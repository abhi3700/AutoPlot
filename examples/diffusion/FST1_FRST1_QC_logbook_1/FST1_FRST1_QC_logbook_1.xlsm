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iffusion\FST1_FRST1_QC_logbook_1\"/>
    </mc:Choice>
  </mc:AlternateContent>
  <bookViews>
    <workbookView xWindow="-5361" yWindow="-21146" windowWidth="38404" windowHeight="21146" tabRatio="911" firstSheet="2" activeTab="7"/>
  </bookViews>
  <sheets>
    <sheet name="Load-unload(CP-QC)" sheetId="4" r:id="rId1"/>
    <sheet name="M cont" sheetId="5" r:id="rId2"/>
    <sheet name="CV SLE" sheetId="6" r:id="rId3"/>
    <sheet name="Profiling" sheetId="7" r:id="rId4"/>
    <sheet name="HCl purge" sheetId="8" r:id="rId5"/>
    <sheet name="Native Oxide" sheetId="9" r:id="rId6"/>
    <sheet name="Native oxide (2)" sheetId="10" r:id="rId7"/>
    <sheet name="AA-DENS QC" sheetId="11" r:id="rId8"/>
    <sheet name="AA-DENS QC graphs" sheetId="12" r:id="rId9"/>
    <sheet name="AA-OX QC" sheetId="13" r:id="rId10"/>
    <sheet name="AA-OX QC Graphs" sheetId="14" r:id="rId11"/>
    <sheet name="RBOX-1000" sheetId="15" r:id="rId12"/>
    <sheet name="CV-500" sheetId="16" r:id="rId13"/>
    <sheet name="RUN_code" sheetId="1" r:id="rId14"/>
    <sheet name="_xlwings.conf" sheetId="2" state="hidden" r:id="rId15"/>
  </sheets>
  <externalReferences>
    <externalReference r:id="rId16"/>
  </externalReferenc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4" i="11" l="1"/>
  <c r="X5" i="11"/>
  <c r="X6" i="11"/>
  <c r="X9" i="11"/>
  <c r="X10" i="11"/>
  <c r="X11" i="11"/>
  <c r="X12" i="11"/>
  <c r="X13" i="11"/>
  <c r="X14" i="11"/>
  <c r="X16" i="11"/>
  <c r="X18" i="11"/>
  <c r="X19" i="11"/>
  <c r="X20" i="11"/>
  <c r="X25" i="11"/>
  <c r="X26" i="11"/>
  <c r="X27" i="11"/>
  <c r="X28" i="11"/>
  <c r="Y8" i="15"/>
  <c r="X8" i="15"/>
  <c r="R8" i="15"/>
  <c r="Q8" i="15"/>
  <c r="Y7" i="15"/>
  <c r="X7" i="15"/>
  <c r="R7" i="15"/>
  <c r="Q7" i="15"/>
  <c r="R6" i="15"/>
  <c r="Q6" i="15"/>
  <c r="R5" i="15"/>
  <c r="Q5" i="15"/>
  <c r="S120" i="13"/>
  <c r="S119" i="13"/>
  <c r="S118" i="13"/>
  <c r="S117" i="13"/>
  <c r="S116" i="13"/>
  <c r="AA115" i="13"/>
  <c r="S115" i="13"/>
  <c r="AA114" i="13"/>
  <c r="S114" i="13"/>
  <c r="AA113" i="13"/>
  <c r="S113" i="13"/>
  <c r="AA112" i="13"/>
  <c r="S112" i="13"/>
  <c r="AA111" i="13"/>
  <c r="S111" i="13"/>
  <c r="AA110" i="13"/>
  <c r="S110" i="13"/>
  <c r="AA109" i="13"/>
  <c r="S109" i="13"/>
  <c r="AA108" i="13"/>
  <c r="S108" i="13"/>
  <c r="AA107" i="13"/>
  <c r="S107" i="13"/>
  <c r="AA106" i="13"/>
  <c r="S106" i="13"/>
  <c r="AA105" i="13"/>
  <c r="S105" i="13"/>
  <c r="AA104" i="13"/>
  <c r="S104" i="13"/>
  <c r="AA103" i="13"/>
  <c r="S103" i="13"/>
  <c r="AA102" i="13"/>
  <c r="S102" i="13"/>
  <c r="AA101" i="13"/>
  <c r="S101" i="13"/>
  <c r="AA100" i="13"/>
  <c r="S100" i="13"/>
  <c r="AA99" i="13"/>
  <c r="S99" i="13"/>
  <c r="AA98" i="13"/>
  <c r="S98" i="13"/>
  <c r="AA97" i="13"/>
  <c r="S97" i="13"/>
  <c r="AA96" i="13"/>
  <c r="S96" i="13"/>
  <c r="AA95" i="13"/>
  <c r="S95" i="13"/>
  <c r="AA94" i="13"/>
  <c r="S94" i="13"/>
  <c r="AA93" i="13"/>
  <c r="S93" i="13"/>
  <c r="AA92" i="13"/>
  <c r="S92" i="13"/>
  <c r="AA91" i="13"/>
  <c r="S91" i="13"/>
  <c r="AA90" i="13"/>
  <c r="S90" i="13"/>
  <c r="AA89" i="13"/>
  <c r="S89" i="13"/>
  <c r="AA88" i="13"/>
  <c r="S88" i="13"/>
  <c r="AA87" i="13"/>
  <c r="S87" i="13"/>
  <c r="AA86" i="13"/>
  <c r="S86" i="13"/>
  <c r="AA85" i="13"/>
  <c r="S85" i="13"/>
  <c r="AA84" i="13"/>
  <c r="S84" i="13"/>
  <c r="AA83" i="13"/>
  <c r="S83" i="13"/>
  <c r="AA82" i="13"/>
  <c r="S82" i="13"/>
  <c r="AA81" i="13"/>
  <c r="S81" i="13"/>
  <c r="AA80" i="13"/>
  <c r="S80" i="13"/>
  <c r="AA79" i="13"/>
  <c r="S79" i="13"/>
  <c r="AA78" i="13"/>
  <c r="S78" i="13"/>
  <c r="AA77" i="13"/>
  <c r="S77" i="13"/>
  <c r="AA76" i="13"/>
  <c r="S76" i="13"/>
  <c r="AA75" i="13"/>
  <c r="S75" i="13"/>
  <c r="AA74" i="13"/>
  <c r="S74" i="13"/>
  <c r="AA73" i="13"/>
  <c r="S73" i="13"/>
  <c r="AA72" i="13"/>
  <c r="S72" i="13"/>
  <c r="AA71" i="13"/>
  <c r="S71" i="13"/>
  <c r="AA70" i="13"/>
  <c r="S70" i="13"/>
  <c r="AA69" i="13"/>
  <c r="S69" i="13"/>
  <c r="AA68" i="13"/>
  <c r="S68" i="13"/>
  <c r="AA67" i="13"/>
  <c r="S67" i="13"/>
  <c r="AA66" i="13"/>
  <c r="S66" i="13"/>
  <c r="AB65" i="13"/>
  <c r="AA65" i="13"/>
  <c r="T65" i="13"/>
  <c r="S65" i="13"/>
  <c r="AB64" i="13"/>
  <c r="AA64" i="13"/>
  <c r="T64" i="13"/>
  <c r="S64" i="13"/>
  <c r="AB63" i="13"/>
  <c r="AA63" i="13"/>
  <c r="T63" i="13"/>
  <c r="S63" i="13"/>
  <c r="AB62" i="13"/>
  <c r="AA62" i="13"/>
  <c r="T62" i="13"/>
  <c r="S62" i="13"/>
  <c r="AB61" i="13"/>
  <c r="AA61" i="13"/>
  <c r="T61" i="13"/>
  <c r="S61" i="13"/>
  <c r="AB60" i="13"/>
  <c r="AA60" i="13"/>
  <c r="T60" i="13"/>
  <c r="S60" i="13"/>
  <c r="AB59" i="13"/>
  <c r="AA59" i="13"/>
  <c r="T59" i="13"/>
  <c r="S59" i="13"/>
  <c r="AB58" i="13"/>
  <c r="AA58" i="13"/>
  <c r="T58" i="13"/>
  <c r="S58" i="13"/>
  <c r="AB57" i="13"/>
  <c r="AA57" i="13"/>
  <c r="T57" i="13"/>
  <c r="S57" i="13"/>
  <c r="AB56" i="13"/>
  <c r="AA56" i="13"/>
  <c r="T56" i="13"/>
  <c r="S56" i="13"/>
  <c r="AB55" i="13"/>
  <c r="AA55" i="13"/>
  <c r="T55" i="13"/>
  <c r="S55" i="13"/>
  <c r="AB54" i="13"/>
  <c r="AA54" i="13"/>
  <c r="T54" i="13"/>
  <c r="S54" i="13"/>
  <c r="AB53" i="13"/>
  <c r="AA53" i="13"/>
  <c r="T53" i="13"/>
  <c r="S53" i="13"/>
  <c r="AB52" i="13"/>
  <c r="AA52" i="13"/>
  <c r="T52" i="13"/>
  <c r="S52" i="13"/>
  <c r="AB51" i="13"/>
  <c r="AA51" i="13"/>
  <c r="T51" i="13"/>
  <c r="S51" i="13"/>
  <c r="AB50" i="13"/>
  <c r="AA50" i="13"/>
  <c r="T50" i="13"/>
  <c r="S50" i="13"/>
  <c r="W49" i="13"/>
  <c r="AB49" i="13"/>
  <c r="AA49" i="13"/>
  <c r="T49" i="13"/>
  <c r="S49" i="13"/>
  <c r="W48" i="13"/>
  <c r="AB48" i="13"/>
  <c r="AA48" i="13"/>
  <c r="T48" i="13"/>
  <c r="S48" i="13"/>
  <c r="W47" i="13"/>
  <c r="AB47" i="13"/>
  <c r="AA47" i="13"/>
  <c r="T47" i="13"/>
  <c r="S47" i="13"/>
  <c r="W46" i="13"/>
  <c r="AB46" i="13"/>
  <c r="AA46" i="13"/>
  <c r="T46" i="13"/>
  <c r="S46" i="13"/>
  <c r="W45" i="13"/>
  <c r="AB45" i="13"/>
  <c r="AA45" i="13"/>
  <c r="T45" i="13"/>
  <c r="S45" i="13"/>
  <c r="W44" i="13"/>
  <c r="AB44" i="13"/>
  <c r="AA44" i="13"/>
  <c r="T44" i="13"/>
  <c r="S44" i="13"/>
  <c r="W43" i="13"/>
  <c r="AB43" i="13"/>
  <c r="AA43" i="13"/>
  <c r="T43" i="13"/>
  <c r="S43" i="13"/>
  <c r="W42" i="13"/>
  <c r="AB42" i="13"/>
  <c r="AA42" i="13"/>
  <c r="T42" i="13"/>
  <c r="S42" i="13"/>
  <c r="W41" i="13"/>
  <c r="AB41" i="13"/>
  <c r="AA41" i="13"/>
  <c r="T41" i="13"/>
  <c r="S41" i="13"/>
  <c r="W40" i="13"/>
  <c r="AB40" i="13"/>
  <c r="AA40" i="13"/>
  <c r="T40" i="13"/>
  <c r="S40" i="13"/>
  <c r="W39" i="13"/>
  <c r="AB39" i="13"/>
  <c r="AA39" i="13"/>
  <c r="T39" i="13"/>
  <c r="S39" i="13"/>
  <c r="W38" i="13"/>
  <c r="AB38" i="13"/>
  <c r="AA38" i="13"/>
  <c r="T38" i="13"/>
  <c r="S38" i="13"/>
  <c r="W37" i="13"/>
  <c r="AB37" i="13"/>
  <c r="AA37" i="13"/>
  <c r="T37" i="13"/>
  <c r="S37" i="13"/>
  <c r="W36" i="13"/>
  <c r="AB36" i="13"/>
  <c r="AA36" i="13"/>
  <c r="T36" i="13"/>
  <c r="S36" i="13"/>
  <c r="W35" i="13"/>
  <c r="AB35" i="13"/>
  <c r="AA35" i="13"/>
  <c r="T35" i="13"/>
  <c r="S35" i="13"/>
  <c r="W34" i="13"/>
  <c r="AB34" i="13"/>
  <c r="AA34" i="13"/>
  <c r="T34" i="13"/>
  <c r="S34" i="13"/>
  <c r="W33" i="13"/>
  <c r="AB33" i="13"/>
  <c r="AA33" i="13"/>
  <c r="T33" i="13"/>
  <c r="S33" i="13"/>
  <c r="W32" i="13"/>
  <c r="AB32" i="13"/>
  <c r="AA32" i="13"/>
  <c r="T32" i="13"/>
  <c r="S32" i="13"/>
  <c r="W31" i="13"/>
  <c r="AB31" i="13"/>
  <c r="AA31" i="13"/>
  <c r="T31" i="13"/>
  <c r="S31" i="13"/>
  <c r="W30" i="13"/>
  <c r="AB30" i="13"/>
  <c r="AA30" i="13"/>
  <c r="T30" i="13"/>
  <c r="S30" i="13"/>
  <c r="W29" i="13"/>
  <c r="AB29" i="13"/>
  <c r="AA29" i="13"/>
  <c r="T29" i="13"/>
  <c r="S29" i="13"/>
  <c r="W28" i="13"/>
  <c r="AB28" i="13"/>
  <c r="AA28" i="13"/>
  <c r="T28" i="13"/>
  <c r="S28" i="13"/>
  <c r="U27" i="13"/>
  <c r="W27" i="13"/>
  <c r="Y27" i="13"/>
  <c r="AB27" i="13"/>
  <c r="AA27" i="13"/>
  <c r="T27" i="13"/>
  <c r="S27" i="13"/>
  <c r="U26" i="13"/>
  <c r="W26" i="13"/>
  <c r="Y26" i="13"/>
  <c r="AB26" i="13"/>
  <c r="AA26" i="13"/>
  <c r="T26" i="13"/>
  <c r="S26" i="13"/>
  <c r="U25" i="13"/>
  <c r="W25" i="13"/>
  <c r="X25" i="13"/>
  <c r="Y25" i="13"/>
  <c r="AB25" i="13"/>
  <c r="AA25" i="13"/>
  <c r="T25" i="13"/>
  <c r="S25" i="13"/>
  <c r="U24" i="13"/>
  <c r="W24" i="13"/>
  <c r="X24" i="13"/>
  <c r="Y24" i="13"/>
  <c r="AB24" i="13"/>
  <c r="AA24" i="13"/>
  <c r="T24" i="13"/>
  <c r="S24" i="13"/>
  <c r="U23" i="13"/>
  <c r="V23" i="13"/>
  <c r="W23" i="13"/>
  <c r="X23" i="13"/>
  <c r="Y23" i="13"/>
  <c r="AB23" i="13"/>
  <c r="AA23" i="13"/>
  <c r="T23" i="13"/>
  <c r="S23" i="13"/>
  <c r="U22" i="13"/>
  <c r="V22" i="13"/>
  <c r="W22" i="13"/>
  <c r="X22" i="13"/>
  <c r="Y22" i="13"/>
  <c r="AB22" i="13"/>
  <c r="AA22" i="13"/>
  <c r="T22" i="13"/>
  <c r="S22" i="13"/>
  <c r="U21" i="13"/>
  <c r="V21" i="13"/>
  <c r="W21" i="13"/>
  <c r="X21" i="13"/>
  <c r="Y21" i="13"/>
  <c r="AB21" i="13"/>
  <c r="AA21" i="13"/>
  <c r="T21" i="13"/>
  <c r="S21" i="13"/>
  <c r="V20" i="13"/>
  <c r="W20" i="13"/>
  <c r="X20" i="13"/>
  <c r="Y20" i="13"/>
  <c r="AB20" i="13"/>
  <c r="AA20" i="13"/>
  <c r="T20" i="13"/>
  <c r="S20" i="13"/>
  <c r="U19" i="13"/>
  <c r="V19" i="13"/>
  <c r="W19" i="13"/>
  <c r="X19" i="13"/>
  <c r="Y19" i="13"/>
  <c r="AB19" i="13"/>
  <c r="AA19" i="13"/>
  <c r="T19" i="13"/>
  <c r="S19" i="13"/>
  <c r="U18" i="13"/>
  <c r="V18" i="13"/>
  <c r="W18" i="13"/>
  <c r="X18" i="13"/>
  <c r="Y18" i="13"/>
  <c r="AB18" i="13"/>
  <c r="AA18" i="13"/>
  <c r="T18" i="13"/>
  <c r="S18" i="13"/>
  <c r="U17" i="13"/>
  <c r="V17" i="13"/>
  <c r="W17" i="13"/>
  <c r="X17" i="13"/>
  <c r="Y17" i="13"/>
  <c r="AB17" i="13"/>
  <c r="AA17" i="13"/>
  <c r="T17" i="13"/>
  <c r="S17" i="13"/>
  <c r="AB16" i="13"/>
  <c r="AA16" i="13"/>
  <c r="T16" i="13"/>
  <c r="S16" i="13"/>
  <c r="U15" i="13"/>
  <c r="W15" i="13"/>
  <c r="Y15" i="13"/>
  <c r="AB15" i="13"/>
  <c r="AA15" i="13"/>
  <c r="T15" i="13"/>
  <c r="S15" i="13"/>
  <c r="U14" i="13"/>
  <c r="W14" i="13"/>
  <c r="Y14" i="13"/>
  <c r="AB14" i="13"/>
  <c r="AA14" i="13"/>
  <c r="T14" i="13"/>
  <c r="S14" i="13"/>
  <c r="U13" i="13"/>
  <c r="W13" i="13"/>
  <c r="Y13" i="13"/>
  <c r="AB13" i="13"/>
  <c r="AA13" i="13"/>
  <c r="T13" i="13"/>
  <c r="S13" i="13"/>
  <c r="U12" i="13"/>
  <c r="W12" i="13"/>
  <c r="Y12" i="13"/>
  <c r="AB12" i="13"/>
  <c r="AA12" i="13"/>
  <c r="T12" i="13"/>
  <c r="S12" i="13"/>
  <c r="U11" i="13"/>
  <c r="W11" i="13"/>
  <c r="Y11" i="13"/>
  <c r="AB11" i="13"/>
  <c r="AA11" i="13"/>
  <c r="T11" i="13"/>
  <c r="S11" i="13"/>
  <c r="U10" i="13"/>
  <c r="W10" i="13"/>
  <c r="Y10" i="13"/>
  <c r="AB10" i="13"/>
  <c r="AA10" i="13"/>
  <c r="T10" i="13"/>
  <c r="S10" i="13"/>
  <c r="U9" i="13"/>
  <c r="W9" i="13"/>
  <c r="Y9" i="13"/>
  <c r="AB9" i="13"/>
  <c r="AA9" i="13"/>
  <c r="T9" i="13"/>
  <c r="S9" i="13"/>
  <c r="AB8" i="13"/>
  <c r="AA8" i="13"/>
  <c r="T8" i="13"/>
  <c r="S8" i="13"/>
  <c r="AB7" i="13"/>
  <c r="AA7" i="13"/>
  <c r="T7" i="13"/>
  <c r="S7" i="13"/>
  <c r="AB6" i="13"/>
  <c r="AA6" i="13"/>
  <c r="T6" i="13"/>
  <c r="S6" i="13"/>
  <c r="AB5" i="13"/>
  <c r="AA5" i="13"/>
  <c r="T5" i="13"/>
  <c r="S5" i="13"/>
  <c r="W105" i="11"/>
  <c r="U105" i="11"/>
  <c r="W104" i="11"/>
  <c r="U104" i="11"/>
  <c r="W103" i="11"/>
  <c r="U103" i="11"/>
  <c r="W102" i="11"/>
  <c r="U102" i="11"/>
  <c r="W101" i="11"/>
  <c r="U101" i="11"/>
  <c r="W100" i="11"/>
  <c r="U100" i="11"/>
  <c r="W99" i="11"/>
  <c r="U99" i="11"/>
  <c r="W98" i="11"/>
  <c r="U98" i="11"/>
  <c r="W97" i="11"/>
  <c r="U97" i="11"/>
  <c r="W96" i="11"/>
  <c r="U96" i="11"/>
  <c r="W95" i="11"/>
  <c r="U95" i="11"/>
  <c r="W94" i="11"/>
  <c r="U94" i="11"/>
  <c r="W93" i="11"/>
  <c r="U93" i="11"/>
  <c r="W92" i="11"/>
  <c r="U92" i="11"/>
  <c r="W91" i="11"/>
  <c r="U91" i="11"/>
  <c r="W90" i="11"/>
  <c r="U90" i="11"/>
  <c r="AE89" i="11"/>
  <c r="AD89" i="11"/>
  <c r="W89" i="11"/>
  <c r="U89" i="11"/>
  <c r="AE88" i="11"/>
  <c r="AD88" i="11"/>
  <c r="W88" i="11"/>
  <c r="U88" i="11"/>
  <c r="AE87" i="11"/>
  <c r="AD87" i="11"/>
  <c r="W87" i="11"/>
  <c r="U87" i="11"/>
  <c r="AE86" i="11"/>
  <c r="AD86" i="11"/>
  <c r="W86" i="11"/>
  <c r="U86" i="11"/>
  <c r="V86" i="11"/>
  <c r="AE85" i="11"/>
  <c r="AD85" i="11"/>
  <c r="W85" i="11"/>
  <c r="U85" i="11"/>
  <c r="V85" i="11"/>
  <c r="AE84" i="11"/>
  <c r="AD84" i="11"/>
  <c r="W84" i="11"/>
  <c r="U84" i="11"/>
  <c r="V84" i="11"/>
  <c r="AE83" i="11"/>
  <c r="AD83" i="11"/>
  <c r="W83" i="11"/>
  <c r="U83" i="11"/>
  <c r="V83" i="11"/>
  <c r="AE82" i="11"/>
  <c r="AD82" i="11"/>
  <c r="W82" i="11"/>
  <c r="U82" i="11"/>
  <c r="V82" i="11"/>
  <c r="AE81" i="11"/>
  <c r="AD81" i="11"/>
  <c r="W81" i="11"/>
  <c r="U81" i="11"/>
  <c r="V81" i="11"/>
  <c r="AE80" i="11"/>
  <c r="AD80" i="11"/>
  <c r="W80" i="11"/>
  <c r="U80" i="11"/>
  <c r="V80" i="11"/>
  <c r="AE79" i="11"/>
  <c r="AD79" i="11"/>
  <c r="W79" i="11"/>
  <c r="U79" i="11"/>
  <c r="V79" i="11"/>
  <c r="AE78" i="11"/>
  <c r="AD78" i="11"/>
  <c r="W78" i="11"/>
  <c r="U78" i="11"/>
  <c r="V78" i="11"/>
  <c r="AE77" i="11"/>
  <c r="AD77" i="11"/>
  <c r="W77" i="11"/>
  <c r="U77" i="11"/>
  <c r="V77" i="11"/>
  <c r="AE76" i="11"/>
  <c r="AD76" i="11"/>
  <c r="W76" i="11"/>
  <c r="U76" i="11"/>
  <c r="V76" i="11"/>
  <c r="AE75" i="11"/>
  <c r="AD75" i="11"/>
  <c r="W75" i="11"/>
  <c r="U75" i="11"/>
  <c r="V75" i="11"/>
  <c r="AE74" i="11"/>
  <c r="AD74" i="11"/>
  <c r="W74" i="11"/>
  <c r="U74" i="11"/>
  <c r="V74" i="11"/>
  <c r="AE73" i="11"/>
  <c r="AD73" i="11"/>
  <c r="W73" i="11"/>
  <c r="U73" i="11"/>
  <c r="V73" i="11"/>
  <c r="AE72" i="11"/>
  <c r="AD72" i="11"/>
  <c r="W72" i="11"/>
  <c r="U72" i="11"/>
  <c r="V72" i="11"/>
  <c r="AE71" i="11"/>
  <c r="AD71" i="11"/>
  <c r="W71" i="11"/>
  <c r="U71" i="11"/>
  <c r="V71" i="11"/>
  <c r="AE70" i="11"/>
  <c r="AD70" i="11"/>
  <c r="W70" i="11"/>
  <c r="U70" i="11"/>
  <c r="V70" i="11"/>
  <c r="AE69" i="11"/>
  <c r="AD69" i="11"/>
  <c r="W69" i="11"/>
  <c r="U69" i="11"/>
  <c r="V69" i="11"/>
  <c r="AE68" i="11"/>
  <c r="AD68" i="11"/>
  <c r="W68" i="11"/>
  <c r="U68" i="11"/>
  <c r="V68" i="11"/>
  <c r="AE67" i="11"/>
  <c r="AD67" i="11"/>
  <c r="W67" i="11"/>
  <c r="U67" i="11"/>
  <c r="V67" i="11"/>
  <c r="AE66" i="11"/>
  <c r="AD66" i="11"/>
  <c r="W66" i="11"/>
  <c r="U66" i="11"/>
  <c r="V66" i="11"/>
  <c r="AE65" i="11"/>
  <c r="AD65" i="11"/>
  <c r="W65" i="11"/>
  <c r="U65" i="11"/>
  <c r="V65" i="11"/>
  <c r="AE64" i="11"/>
  <c r="AD64" i="11"/>
  <c r="W64" i="11"/>
  <c r="U64" i="11"/>
  <c r="V64" i="11"/>
  <c r="AE63" i="11"/>
  <c r="AD63" i="11"/>
  <c r="W63" i="11"/>
  <c r="U63" i="11"/>
  <c r="V63" i="11"/>
  <c r="AE62" i="11"/>
  <c r="AD62" i="11"/>
  <c r="W62" i="11"/>
  <c r="U62" i="11"/>
  <c r="V62" i="11"/>
  <c r="AE61" i="11"/>
  <c r="AD61" i="11"/>
  <c r="W61" i="11"/>
  <c r="U61" i="11"/>
  <c r="V61" i="11"/>
  <c r="AE60" i="11"/>
  <c r="AD60" i="11"/>
  <c r="W60" i="11"/>
  <c r="U60" i="11"/>
  <c r="V60" i="11"/>
  <c r="AE59" i="11"/>
  <c r="AD59" i="11"/>
  <c r="W59" i="11"/>
  <c r="U59" i="11"/>
  <c r="V59" i="11"/>
  <c r="AE58" i="11"/>
  <c r="AD58" i="11"/>
  <c r="W58" i="11"/>
  <c r="U58" i="11"/>
  <c r="V58" i="11"/>
  <c r="AE57" i="11"/>
  <c r="AD57" i="11"/>
  <c r="W57" i="11"/>
  <c r="U57" i="11"/>
  <c r="V57" i="11"/>
  <c r="AE56" i="11"/>
  <c r="AD56" i="11"/>
  <c r="W56" i="11"/>
  <c r="U56" i="11"/>
  <c r="V56" i="11"/>
  <c r="AE55" i="11"/>
  <c r="AD55" i="11"/>
  <c r="W55" i="11"/>
  <c r="U55" i="11"/>
  <c r="V55" i="11"/>
  <c r="AE54" i="11"/>
  <c r="AD54" i="11"/>
  <c r="W54" i="11"/>
  <c r="U54" i="11"/>
  <c r="V54" i="11"/>
  <c r="AE53" i="11"/>
  <c r="AD53" i="11"/>
  <c r="W53" i="11"/>
  <c r="U53" i="11"/>
  <c r="V53" i="11"/>
  <c r="AE52" i="11"/>
  <c r="AD52" i="11"/>
  <c r="W52" i="11"/>
  <c r="U52" i="11"/>
  <c r="V52" i="11"/>
  <c r="AE51" i="11"/>
  <c r="AD51" i="11"/>
  <c r="W51" i="11"/>
  <c r="U51" i="11"/>
  <c r="V51" i="11"/>
  <c r="AE50" i="11"/>
  <c r="AD50" i="11"/>
  <c r="W50" i="11"/>
  <c r="U50" i="11"/>
  <c r="V50" i="11"/>
  <c r="AE49" i="11"/>
  <c r="AD49" i="11"/>
  <c r="W49" i="11"/>
  <c r="U49" i="11"/>
  <c r="V49" i="11"/>
  <c r="AE48" i="11"/>
  <c r="AD48" i="11"/>
  <c r="W48" i="11"/>
  <c r="U48" i="11"/>
  <c r="V48" i="11"/>
  <c r="Z47" i="11"/>
  <c r="AE47" i="11"/>
  <c r="AD47" i="11"/>
  <c r="W47" i="11"/>
  <c r="U47" i="11"/>
  <c r="V47" i="11"/>
  <c r="Z46" i="11"/>
  <c r="AE46" i="11"/>
  <c r="AD46" i="11"/>
  <c r="W46" i="11"/>
  <c r="U46" i="11"/>
  <c r="V46" i="11"/>
  <c r="Z45" i="11"/>
  <c r="AE45" i="11"/>
  <c r="AD45" i="11"/>
  <c r="W45" i="11"/>
  <c r="U45" i="11"/>
  <c r="V45" i="11"/>
  <c r="Z44" i="11"/>
  <c r="AE44" i="11"/>
  <c r="AD44" i="11"/>
  <c r="W44" i="11"/>
  <c r="U44" i="11"/>
  <c r="V44" i="11"/>
  <c r="Z43" i="11"/>
  <c r="AE43" i="11"/>
  <c r="AD43" i="11"/>
  <c r="W43" i="11"/>
  <c r="U43" i="11"/>
  <c r="V43" i="11"/>
  <c r="Z42" i="11"/>
  <c r="AE42" i="11"/>
  <c r="AD42" i="11"/>
  <c r="W42" i="11"/>
  <c r="U42" i="11"/>
  <c r="V42" i="11"/>
  <c r="Z41" i="11"/>
  <c r="AE41" i="11"/>
  <c r="AD41" i="11"/>
  <c r="W41" i="11"/>
  <c r="U41" i="11"/>
  <c r="V41" i="11"/>
  <c r="Z40" i="11"/>
  <c r="AE40" i="11"/>
  <c r="AD40" i="11"/>
  <c r="W40" i="11"/>
  <c r="U40" i="11"/>
  <c r="V40" i="11"/>
  <c r="Z39" i="11"/>
  <c r="AE39" i="11"/>
  <c r="AD39" i="11"/>
  <c r="W39" i="11"/>
  <c r="U39" i="11"/>
  <c r="V39" i="11"/>
  <c r="Z38" i="11"/>
  <c r="AE38" i="11"/>
  <c r="AD38" i="11"/>
  <c r="W38" i="11"/>
  <c r="U38" i="11"/>
  <c r="V38" i="11"/>
  <c r="Z37" i="11"/>
  <c r="AE37" i="11"/>
  <c r="AD37" i="11"/>
  <c r="W37" i="11"/>
  <c r="U37" i="11"/>
  <c r="V37" i="11"/>
  <c r="Z36" i="11"/>
  <c r="AE36" i="11"/>
  <c r="AD36" i="11"/>
  <c r="W36" i="11"/>
  <c r="U36" i="11"/>
  <c r="V36" i="11"/>
  <c r="Z35" i="11"/>
  <c r="AE35" i="11"/>
  <c r="AD35" i="11"/>
  <c r="W35" i="11"/>
  <c r="U35" i="11"/>
  <c r="V35" i="11"/>
  <c r="Z34" i="11"/>
  <c r="AE34" i="11"/>
  <c r="AD34" i="11"/>
  <c r="W34" i="11"/>
  <c r="U34" i="11"/>
  <c r="V34" i="11"/>
  <c r="Z33" i="11"/>
  <c r="AE33" i="11"/>
  <c r="AD33" i="11"/>
  <c r="W33" i="11"/>
  <c r="U33" i="11"/>
  <c r="V33" i="11"/>
  <c r="Z32" i="11"/>
  <c r="AE32" i="11"/>
  <c r="AD32" i="11"/>
  <c r="W32" i="11"/>
  <c r="U32" i="11"/>
  <c r="V32" i="11"/>
  <c r="Z31" i="11"/>
  <c r="AE31" i="11"/>
  <c r="AD31" i="11"/>
  <c r="W31" i="11"/>
  <c r="U31" i="11"/>
  <c r="V31" i="11"/>
  <c r="Z30" i="11"/>
  <c r="AE30" i="11"/>
  <c r="AD30" i="11"/>
  <c r="W30" i="11"/>
  <c r="U30" i="11"/>
  <c r="V30" i="11"/>
  <c r="Z29" i="11"/>
  <c r="AE29" i="11"/>
  <c r="AD29" i="11"/>
  <c r="W29" i="11"/>
  <c r="U29" i="11"/>
  <c r="V29" i="11"/>
  <c r="Z28" i="11"/>
  <c r="AB28" i="11"/>
  <c r="AE28" i="11"/>
  <c r="AD28" i="11"/>
  <c r="W28" i="11"/>
  <c r="U28" i="11"/>
  <c r="V28" i="11"/>
  <c r="Z27" i="11"/>
  <c r="AB27" i="11"/>
  <c r="AE27" i="11"/>
  <c r="AD27" i="11"/>
  <c r="W27" i="11"/>
  <c r="U27" i="11"/>
  <c r="V27" i="11"/>
  <c r="Z26" i="11"/>
  <c r="AB26" i="11"/>
  <c r="AE26" i="11"/>
  <c r="AD26" i="11"/>
  <c r="W26" i="11"/>
  <c r="U26" i="11"/>
  <c r="V26" i="11"/>
  <c r="Z25" i="11"/>
  <c r="AB25" i="11"/>
  <c r="AE25" i="11"/>
  <c r="AD25" i="11"/>
  <c r="W25" i="11"/>
  <c r="U25" i="11"/>
  <c r="V25" i="11"/>
  <c r="AE24" i="11"/>
  <c r="AD24" i="11"/>
  <c r="W24" i="11"/>
  <c r="U24" i="11"/>
  <c r="V24" i="11"/>
  <c r="AE23" i="11"/>
  <c r="AD23" i="11"/>
  <c r="W23" i="11"/>
  <c r="U23" i="11"/>
  <c r="V23" i="11"/>
  <c r="AE22" i="11"/>
  <c r="AD22" i="11"/>
  <c r="W22" i="11"/>
  <c r="U22" i="11"/>
  <c r="V22" i="11"/>
  <c r="AE21" i="11"/>
  <c r="AD21" i="11"/>
  <c r="W21" i="11"/>
  <c r="U21" i="11"/>
  <c r="V21" i="11"/>
  <c r="Z20" i="11"/>
  <c r="AB20" i="11"/>
  <c r="AE20" i="11"/>
  <c r="AD20" i="11"/>
  <c r="W20" i="11"/>
  <c r="U20" i="11"/>
  <c r="V20" i="11"/>
  <c r="Z19" i="11"/>
  <c r="AB19" i="11"/>
  <c r="AE19" i="11"/>
  <c r="AD19" i="11"/>
  <c r="W19" i="11"/>
  <c r="U19" i="11"/>
  <c r="V19" i="11"/>
  <c r="Z18" i="11"/>
  <c r="AB18" i="11"/>
  <c r="AE18" i="11"/>
  <c r="AD18" i="11"/>
  <c r="W18" i="11"/>
  <c r="U18" i="11"/>
  <c r="V18" i="11"/>
  <c r="W17" i="11"/>
  <c r="V17" i="11"/>
  <c r="Z16" i="11"/>
  <c r="AB16" i="11"/>
  <c r="AE16" i="11"/>
  <c r="AD16" i="11"/>
  <c r="W16" i="11"/>
  <c r="U16" i="11"/>
  <c r="V16" i="11"/>
  <c r="W15" i="11"/>
  <c r="V15" i="11"/>
  <c r="Z14" i="11"/>
  <c r="AB14" i="11"/>
  <c r="AE14" i="11"/>
  <c r="AD14" i="11"/>
  <c r="W14" i="11"/>
  <c r="U14" i="11"/>
  <c r="V14" i="11"/>
  <c r="Z13" i="11"/>
  <c r="AB13" i="11"/>
  <c r="AE13" i="11"/>
  <c r="AD13" i="11"/>
  <c r="W13" i="11"/>
  <c r="U13" i="11"/>
  <c r="V13" i="11"/>
  <c r="Z12" i="11"/>
  <c r="AB12" i="11"/>
  <c r="AE12" i="11"/>
  <c r="AD12" i="11"/>
  <c r="W12" i="11"/>
  <c r="U12" i="11"/>
  <c r="V12" i="11"/>
  <c r="Z11" i="11"/>
  <c r="AB11" i="11"/>
  <c r="AE11" i="11"/>
  <c r="AD11" i="11"/>
  <c r="W11" i="11"/>
  <c r="U11" i="11"/>
  <c r="V11" i="11"/>
  <c r="Z10" i="11"/>
  <c r="AB10" i="11"/>
  <c r="AE10" i="11"/>
  <c r="AD10" i="11"/>
  <c r="W10" i="11"/>
  <c r="U10" i="11"/>
  <c r="V10" i="11"/>
  <c r="Z9" i="11"/>
  <c r="AB9" i="11"/>
  <c r="AE9" i="11"/>
  <c r="AD9" i="11"/>
  <c r="W9" i="11"/>
  <c r="U9" i="11"/>
  <c r="V9" i="11"/>
  <c r="AE8" i="11"/>
  <c r="AD8" i="11"/>
  <c r="W8" i="11"/>
  <c r="U8" i="11"/>
  <c r="V8" i="11"/>
  <c r="AE7" i="11"/>
  <c r="AD7" i="11"/>
  <c r="W7" i="11"/>
  <c r="U7" i="11"/>
  <c r="V7" i="11"/>
  <c r="Z6" i="11"/>
  <c r="AB6" i="11"/>
  <c r="AE6" i="11"/>
  <c r="AD6" i="11"/>
  <c r="W6" i="11"/>
  <c r="U6" i="11"/>
  <c r="V6" i="11"/>
  <c r="Z5" i="11"/>
  <c r="AB5" i="11"/>
  <c r="AE5" i="11"/>
  <c r="AD5" i="11"/>
  <c r="W5" i="11"/>
  <c r="U5" i="11"/>
  <c r="V5" i="11"/>
  <c r="AD4" i="11"/>
  <c r="W4" i="11"/>
  <c r="U4" i="11"/>
  <c r="V4" i="11"/>
  <c r="H10" i="9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</calcChain>
</file>

<file path=xl/comments1.xml><?xml version="1.0" encoding="utf-8"?>
<comments xmlns="http://schemas.openxmlformats.org/spreadsheetml/2006/main">
  <authors>
    <author>Ravi Shankar RV</author>
  </authors>
  <commentList>
    <comment ref="A147" authorId="0" shapeId="0">
      <text>
        <r>
          <rPr>
            <b/>
            <sz val="9"/>
            <color indexed="81"/>
            <rFont val="Tahoma"/>
            <family val="2"/>
          </rPr>
          <t>Nestec Monitor Wafer</t>
        </r>
      </text>
    </comment>
    <comment ref="A148" authorId="0" shapeId="0">
      <text>
        <r>
          <rPr>
            <b/>
            <sz val="9"/>
            <color indexed="81"/>
            <rFont val="Tahoma"/>
            <family val="2"/>
          </rPr>
          <t>Covalent Monitor Wafer</t>
        </r>
      </text>
    </comment>
  </commentList>
</comments>
</file>

<file path=xl/sharedStrings.xml><?xml version="1.0" encoding="utf-8"?>
<sst xmlns="http://schemas.openxmlformats.org/spreadsheetml/2006/main" count="803" uniqueCount="235">
  <si>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</si>
  <si>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</si>
  <si>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</si>
  <si>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</si>
  <si>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</si>
  <si>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</si>
  <si>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</si>
  <si>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</si>
  <si>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</si>
  <si>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</si>
  <si>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</si>
  <si>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</si>
  <si>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</si>
  <si>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</si>
  <si>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</si>
  <si>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10"/>
        <rFont val="Arial"/>
        <family val="2"/>
      </rPr>
      <t>: Diffusion</t>
    </r>
  </si>
  <si>
    <r>
      <t>Tool</t>
    </r>
    <r>
      <rPr>
        <b/>
        <sz val="10"/>
        <rFont val="Arial"/>
        <family val="2"/>
      </rPr>
      <t>: FRST1</t>
    </r>
  </si>
  <si>
    <r>
      <t>QC Name</t>
    </r>
    <r>
      <rPr>
        <b/>
        <sz val="10"/>
        <rFont val="Arial"/>
        <family val="2"/>
      </rPr>
      <t xml:space="preserve">: </t>
    </r>
  </si>
  <si>
    <t>Load-unload CP</t>
  </si>
  <si>
    <t xml:space="preserve">        Unit: count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</si>
  <si>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168hrs    </t>
    </r>
  </si>
  <si>
    <r>
      <t>Wafer Type</t>
    </r>
    <r>
      <rPr>
        <b/>
        <sz val="10"/>
        <rFont val="Arial"/>
        <family val="2"/>
      </rPr>
      <t>: Regrind Bare Si Wafer (&lt;50 Particle of size &gt;0.16 µ)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</si>
  <si>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03</t>
    </r>
  </si>
  <si>
    <r>
      <t>Pass Criteria</t>
    </r>
    <r>
      <rPr>
        <b/>
        <sz val="10"/>
        <rFont val="Arial"/>
        <family val="2"/>
      </rPr>
      <t xml:space="preserve">: LCL =-20, UCL = 20; LSL = -20, USL = 150 of particles size </t>
    </r>
    <r>
      <rPr>
        <b/>
        <sz val="10"/>
        <rFont val="Calibri"/>
        <family val="2"/>
      </rPr>
      <t>≤</t>
    </r>
    <r>
      <rPr>
        <b/>
        <sz val="8"/>
        <rFont val="Arial"/>
        <family val="2"/>
      </rPr>
      <t xml:space="preserve"> 0.16</t>
    </r>
    <r>
      <rPr>
        <b/>
        <sz val="8"/>
        <rFont val="Calibri"/>
        <family val="2"/>
      </rPr>
      <t>μm</t>
    </r>
  </si>
  <si>
    <t xml:space="preserve">                                   </t>
  </si>
  <si>
    <t>Remarks</t>
  </si>
  <si>
    <t>Date</t>
  </si>
  <si>
    <t>#     
Runs</t>
  </si>
  <si>
    <t># wfrs</t>
  </si>
  <si>
    <t>TOP</t>
  </si>
  <si>
    <t>CTR</t>
  </si>
  <si>
    <t>BTM</t>
  </si>
  <si>
    <r>
      <rPr>
        <b/>
        <sz val="11"/>
        <color indexed="12"/>
        <rFont val="Arial"/>
        <family val="2"/>
      </rPr>
      <t>∆</t>
    </r>
    <r>
      <rPr>
        <b/>
        <sz val="11"/>
        <color indexed="12"/>
        <rFont val="Calibri"/>
        <family val="2"/>
      </rPr>
      <t xml:space="preserve"> </t>
    </r>
    <r>
      <rPr>
        <b/>
        <sz val="11"/>
        <color indexed="12"/>
        <rFont val="Calibri"/>
        <family val="2"/>
      </rPr>
      <t>Cp</t>
    </r>
  </si>
  <si>
    <t>Operator</t>
  </si>
  <si>
    <t>Pre</t>
  </si>
  <si>
    <t>Post</t>
  </si>
  <si>
    <t>UZ</t>
  </si>
  <si>
    <t>CZ</t>
  </si>
  <si>
    <t>LZ</t>
  </si>
  <si>
    <t>CPX is down and DIA is functional.</t>
  </si>
  <si>
    <t>CL</t>
  </si>
  <si>
    <t>Δ CP &lt;25 @ 0.16μm</t>
  </si>
  <si>
    <r>
      <t>Tool</t>
    </r>
    <r>
      <rPr>
        <b/>
        <sz val="10"/>
        <rFont val="Arial"/>
        <family val="2"/>
      </rPr>
      <t>: FRST1/MTXB1</t>
    </r>
  </si>
  <si>
    <t>Metal Contamination procedure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</si>
  <si>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:336hrs    </t>
    </r>
  </si>
  <si>
    <r>
      <t>Wafer Type</t>
    </r>
    <r>
      <rPr>
        <sz val="12"/>
        <color theme="1"/>
        <rFont val="Calibri"/>
        <family val="2"/>
        <scheme val="minor"/>
      </rPr>
      <t>:Bare Si wafer,</t>
    </r>
  </si>
  <si>
    <r>
      <t>Recipe</t>
    </r>
    <r>
      <rPr>
        <sz val="10"/>
        <rFont val="Arial"/>
        <family val="2"/>
      </rPr>
      <t>: CV 500, with layout:1/3. *1 for scheduled metal cont. tests; and 3 for unscheduled metal cont. test (after PM's, special eng. request..)</t>
    </r>
  </si>
  <si>
    <r>
      <t>Pass Criteria</t>
    </r>
    <r>
      <rPr>
        <b/>
        <sz val="10"/>
        <rFont val="Arial"/>
        <family val="2"/>
      </rPr>
      <t>:(Max of the 2 points): LCL =0, UCL =10; LSL =0, USL=10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</si>
  <si>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E10 atoms/cm^2</t>
    </r>
  </si>
  <si>
    <t>No. of Wafers: 01/03</t>
  </si>
  <si>
    <t>Wafer 
ID</t>
  </si>
  <si>
    <t>Al</t>
  </si>
  <si>
    <t>Cr</t>
  </si>
  <si>
    <t>Cu</t>
  </si>
  <si>
    <t>Fe</t>
  </si>
  <si>
    <t>Na</t>
  </si>
  <si>
    <t>Ni</t>
  </si>
  <si>
    <t>Result</t>
  </si>
  <si>
    <t>Tech EC</t>
  </si>
  <si>
    <t>Pt#1</t>
  </si>
  <si>
    <t>Pt#2</t>
  </si>
  <si>
    <t>dd/mm/yy</t>
  </si>
  <si>
    <t>Wf#1</t>
  </si>
  <si>
    <t>Wf#2</t>
  </si>
  <si>
    <t>Wf#3</t>
  </si>
  <si>
    <r>
      <t>Tool</t>
    </r>
    <r>
      <rPr>
        <b/>
        <sz val="10"/>
        <rFont val="Arial"/>
        <family val="2"/>
      </rPr>
      <t>: FRST1/MTCV1</t>
    </r>
  </si>
  <si>
    <t>CV SLE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</si>
  <si>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:720hrs    </t>
    </r>
  </si>
  <si>
    <r>
      <t>Wafer Type</t>
    </r>
    <r>
      <rPr>
        <sz val="12"/>
        <color theme="1"/>
        <rFont val="Calibri"/>
        <family val="2"/>
        <scheme val="minor"/>
      </rPr>
      <t>:Bare Si N- type wafer,</t>
    </r>
  </si>
  <si>
    <r>
      <t>Recipe</t>
    </r>
    <r>
      <rPr>
        <sz val="10"/>
        <rFont val="Arial"/>
        <family val="2"/>
      </rPr>
      <t>: CV-500, with layout:1/3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</si>
  <si>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V</t>
    </r>
  </si>
  <si>
    <r>
      <t>Pass Criteria</t>
    </r>
    <r>
      <rPr>
        <b/>
        <sz val="10"/>
        <rFont val="Arial"/>
        <family val="2"/>
      </rPr>
      <t>:(</t>
    </r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 xml:space="preserve"> Vfb): LCL =0, UCL =0.2; LSL =0, USL=0.2</t>
    </r>
  </si>
  <si>
    <t>Pt#3</t>
  </si>
  <si>
    <t>Pt#4</t>
  </si>
  <si>
    <t>Pt#5</t>
  </si>
  <si>
    <t>Profiling</t>
  </si>
  <si>
    <r>
      <t>Wafer Type</t>
    </r>
    <r>
      <rPr>
        <sz val="12"/>
        <color theme="1"/>
        <rFont val="Calibri"/>
        <family val="2"/>
        <scheme val="minor"/>
      </rPr>
      <t>: All dummy wafers</t>
    </r>
  </si>
  <si>
    <r>
      <rPr>
        <b/>
        <u/>
        <sz val="10"/>
        <rFont val="Arial"/>
        <family val="2"/>
      </rPr>
      <t>Frequency</t>
    </r>
    <r>
      <rPr>
        <sz val="10"/>
        <rFont val="Arial"/>
        <family val="2"/>
      </rPr>
      <t xml:space="preserve">: As per request or after PM  </t>
    </r>
  </si>
  <si>
    <r>
      <t>Recipe</t>
    </r>
    <r>
      <rPr>
        <sz val="10"/>
        <rFont val="Arial"/>
        <family val="2"/>
      </rPr>
      <t>: AutoProfile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</si>
  <si>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 xml:space="preserve"> Temp): 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</si>
  <si>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</t>
    </r>
  </si>
  <si>
    <t>TEMP</t>
  </si>
  <si>
    <t>Zone#1</t>
  </si>
  <si>
    <t>Zone#2</t>
  </si>
  <si>
    <t>Zone#3</t>
  </si>
  <si>
    <t>Zone#4</t>
  </si>
  <si>
    <t>Before</t>
  </si>
  <si>
    <t>After</t>
  </si>
  <si>
    <r>
      <rPr>
        <b/>
        <u/>
        <sz val="10"/>
        <rFont val="Arial"/>
        <family val="2"/>
      </rPr>
      <t>QC Name</t>
    </r>
    <r>
      <rPr>
        <sz val="10"/>
        <rFont val="Arial"/>
        <family val="2"/>
      </rPr>
      <t>: HCl purge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</si>
  <si>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All dummy wafers</t>
    </r>
  </si>
  <si>
    <r>
      <t>Recipe</t>
    </r>
    <r>
      <rPr>
        <sz val="10"/>
        <rFont val="Arial"/>
        <family val="2"/>
      </rPr>
      <t>: HCL-PURGE</t>
    </r>
  </si>
  <si>
    <r>
      <t xml:space="preserve">Frequency: </t>
    </r>
    <r>
      <rPr>
        <sz val="10"/>
        <rFont val="Arial"/>
        <family val="2"/>
      </rPr>
      <t>336 hrs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</si>
  <si>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 nil</t>
    </r>
  </si>
  <si>
    <t>done/not done</t>
  </si>
  <si>
    <t>Done</t>
  </si>
  <si>
    <t>Abort</t>
  </si>
  <si>
    <t>SCR over heat</t>
  </si>
  <si>
    <t>18/6/14</t>
  </si>
  <si>
    <t>30/6/14</t>
  </si>
  <si>
    <t>14/7/14</t>
  </si>
  <si>
    <t>30/7/14</t>
  </si>
  <si>
    <t>19/8/14</t>
  </si>
  <si>
    <t>23/8/14</t>
  </si>
  <si>
    <t>22/9/14</t>
  </si>
  <si>
    <t>27/10/14</t>
  </si>
  <si>
    <t>16/2/15</t>
  </si>
  <si>
    <t>21/4/15</t>
  </si>
  <si>
    <t>14/10/15</t>
  </si>
  <si>
    <r>
      <rPr>
        <b/>
        <u/>
        <sz val="10"/>
        <rFont val="Arial"/>
        <family val="2"/>
      </rPr>
      <t>Area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Diffusion</t>
    </r>
  </si>
  <si>
    <r>
      <rPr>
        <b/>
        <sz val="10"/>
        <rFont val="Arial"/>
        <family val="2"/>
      </rPr>
      <t>Frequency:</t>
    </r>
    <r>
      <rPr>
        <sz val="10"/>
        <rFont val="Arial"/>
        <family val="2"/>
      </rPr>
      <t xml:space="preserve"> As per request</t>
    </r>
  </si>
  <si>
    <r>
      <rPr>
        <b/>
        <u/>
        <sz val="10"/>
        <rFont val="Arial"/>
        <family val="2"/>
      </rPr>
      <t>QC Name</t>
    </r>
    <r>
      <rPr>
        <b/>
        <sz val="10"/>
        <rFont val="Arial"/>
        <family val="2"/>
      </rPr>
      <t xml:space="preserve">: </t>
    </r>
    <r>
      <rPr>
        <sz val="10"/>
        <rFont val="Arial"/>
        <family val="2"/>
      </rPr>
      <t>Native Oxide check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</si>
  <si>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Bare Si Wafer</t>
    </r>
  </si>
  <si>
    <r>
      <t>Recipe</t>
    </r>
    <r>
      <rPr>
        <sz val="10"/>
        <rFont val="Arial"/>
        <family val="2"/>
      </rPr>
      <t>: Native Oxide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</si>
  <si>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 xml:space="preserve">: </t>
    </r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Thick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10</t>
    </r>
    <r>
      <rPr>
        <sz val="10"/>
        <rFont val="Calibri"/>
        <family val="2"/>
      </rPr>
      <t>Å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</si>
  <si>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3</t>
    </r>
  </si>
  <si>
    <t>Wafer</t>
  </si>
  <si>
    <t>Pre CP</t>
  </si>
  <si>
    <t>Post CP</t>
  </si>
  <si>
    <r>
      <rPr>
        <b/>
        <sz val="10"/>
        <rFont val="Calibri"/>
        <family val="2"/>
      </rPr>
      <t>Δ</t>
    </r>
    <r>
      <rPr>
        <b/>
        <sz val="10"/>
        <rFont val="Arial"/>
        <family val="2"/>
      </rPr>
      <t xml:space="preserve"> Cp</t>
    </r>
  </si>
  <si>
    <t>Pre Thick (Å)</t>
  </si>
  <si>
    <r>
      <t>Post Thick (</t>
    </r>
    <r>
      <rPr>
        <b/>
        <sz val="10"/>
        <rFont val="Calibri"/>
        <family val="2"/>
      </rPr>
      <t>Å</t>
    </r>
    <r>
      <rPr>
        <b/>
        <sz val="10"/>
        <rFont val="Arial"/>
        <family val="2"/>
      </rPr>
      <t>)</t>
    </r>
  </si>
  <si>
    <t xml:space="preserve">∆ Thick (Å) </t>
  </si>
  <si>
    <r>
      <t>Area</t>
    </r>
    <r>
      <rPr>
        <b/>
        <sz val="12"/>
        <rFont val="Arial"/>
        <family val="2"/>
      </rPr>
      <t>: Diffusion</t>
    </r>
  </si>
  <si>
    <r>
      <t>Tool</t>
    </r>
    <r>
      <rPr>
        <b/>
        <sz val="12"/>
        <rFont val="Arial"/>
        <family val="2"/>
      </rPr>
      <t>: FRBG1</t>
    </r>
  </si>
  <si>
    <r>
      <t>QC Name</t>
    </r>
    <r>
      <rPr>
        <b/>
        <sz val="12"/>
        <rFont val="Arial"/>
        <family val="2"/>
      </rPr>
      <t xml:space="preserve">: </t>
    </r>
  </si>
  <si>
    <t>Native Oxide</t>
  </si>
  <si>
    <t>Unit: count</t>
  </si>
  <si>
    <r>
      <rPr>
        <b/>
        <u/>
        <sz val="12"/>
        <rFont val="Arial"/>
        <family val="2"/>
      </rPr>
      <t>Frequency</t>
    </r>
    <r>
      <rPr>
        <b/>
        <sz val="12"/>
        <rFont val="Arial"/>
        <family val="2"/>
      </rPr>
      <t xml:space="preserve">: As per request </t>
    </r>
  </si>
  <si>
    <r>
      <t>Wafer Type</t>
    </r>
    <r>
      <rPr>
        <b/>
        <sz val="12"/>
        <rFont val="Arial"/>
        <family val="2"/>
      </rPr>
      <t>: All dummy wafers</t>
    </r>
  </si>
  <si>
    <t>No. of Wafers: 03</t>
  </si>
  <si>
    <r>
      <t>Pass Criteria</t>
    </r>
    <r>
      <rPr>
        <b/>
        <sz val="12"/>
        <rFont val="Arial"/>
        <family val="2"/>
      </rPr>
      <t>: LCL =-20, UCL = 20; LSL = -20, USL = 150</t>
    </r>
  </si>
  <si>
    <t>Runs</t>
  </si>
  <si>
    <t>No. of waf</t>
  </si>
  <si>
    <t>Thickness [A]</t>
  </si>
  <si>
    <t>In Wafer Uniformity [%]</t>
  </si>
  <si>
    <t>Temp [C]</t>
  </si>
  <si>
    <t>Process Time [min]</t>
  </si>
  <si>
    <t>C-Top (18)</t>
  </si>
  <si>
    <t>C-BTM (44)</t>
  </si>
  <si>
    <t>AVG</t>
  </si>
  <si>
    <t>Sigma TH</t>
  </si>
  <si>
    <t xml:space="preserve">BTM </t>
  </si>
  <si>
    <t xml:space="preserve">AVG </t>
  </si>
  <si>
    <t>Sigma In Wafer Uniformity</t>
  </si>
  <si>
    <t xml:space="preserve">Top </t>
  </si>
  <si>
    <t xml:space="preserve">Top/Cnt </t>
  </si>
  <si>
    <t>Cnt/BTM</t>
  </si>
  <si>
    <t>Min</t>
  </si>
  <si>
    <t>Max</t>
  </si>
  <si>
    <t>Avg</t>
  </si>
  <si>
    <t>CL [XA , YA] target 500A</t>
  </si>
  <si>
    <t>&lt;XA</t>
  </si>
  <si>
    <t>&lt;X%</t>
  </si>
  <si>
    <t>∆ CP</t>
  </si>
  <si>
    <t>Process Time
[mm:ss]</t>
  </si>
  <si>
    <t>Process Time
[min]</t>
  </si>
  <si>
    <t>Top</t>
  </si>
  <si>
    <t>C-Top</t>
  </si>
  <si>
    <t>Center</t>
  </si>
  <si>
    <t>C-BTM</t>
  </si>
  <si>
    <t>LCL</t>
  </si>
  <si>
    <t>UCL</t>
  </si>
  <si>
    <t>Ox-rate</t>
  </si>
  <si>
    <t>C-TOP</t>
  </si>
  <si>
    <t>CNT</t>
  </si>
  <si>
    <t>Sigma In Wafer Uni.</t>
  </si>
  <si>
    <t>lcl</t>
  </si>
  <si>
    <t>US runs</t>
  </si>
  <si>
    <t>MTOP-1 thickness measured</t>
  </si>
  <si>
    <t>Heater off so recipe aborted</t>
  </si>
  <si>
    <t>Check run for alarms</t>
  </si>
  <si>
    <t>CPX down so CP wasn't measured</t>
  </si>
  <si>
    <t>Mechanical CP measured in DIA01/YEDI1 and thickness measured in THS01/MTOP1</t>
  </si>
  <si>
    <r>
      <t xml:space="preserve">CP measured on DIA01, THK measured on </t>
    </r>
    <r>
      <rPr>
        <b/>
        <sz val="11"/>
        <color indexed="10"/>
        <rFont val="Calibri"/>
        <family val="2"/>
      </rPr>
      <t>MTRU1</t>
    </r>
  </si>
  <si>
    <r>
      <t xml:space="preserve">same above wafers; THK measured on </t>
    </r>
    <r>
      <rPr>
        <b/>
        <sz val="11"/>
        <color indexed="10"/>
        <rFont val="Calibri"/>
        <family val="2"/>
      </rPr>
      <t>MTOP1</t>
    </r>
    <r>
      <rPr>
        <sz val="11"/>
        <rFont val="Calibri"/>
        <family val="2"/>
      </rPr>
      <t xml:space="preserve"> with AA-OX recipe</t>
    </r>
  </si>
  <si>
    <t>THK measured on MTRU1, CP was already passed on 01.aug, baswed on DIA01 data</t>
  </si>
  <si>
    <t>THK measured on MTRU1, CP could not be measured because CPX &amp; DIA01 down</t>
  </si>
  <si>
    <t>THK measured on MTRU1, Load-unload CP ob DIA01.</t>
  </si>
  <si>
    <t>CP measured on DIA01, THK measured on MTRU1</t>
  </si>
  <si>
    <t>CP measured on CPX01</t>
  </si>
  <si>
    <t>CPX01</t>
  </si>
  <si>
    <t>cpx down</t>
  </si>
  <si>
    <t>cpx&amp;dia01 down</t>
  </si>
  <si>
    <t>MTRU1</t>
  </si>
  <si>
    <t>nestec monitor</t>
  </si>
  <si>
    <t>covalent monitor</t>
  </si>
  <si>
    <t>THICKNESS</t>
  </si>
  <si>
    <t>UNIFORMITY</t>
  </si>
  <si>
    <t>CP</t>
  </si>
  <si>
    <r>
      <t>Set Temp [</t>
    </r>
    <r>
      <rPr>
        <b/>
        <sz val="11"/>
        <color indexed="12"/>
        <rFont val="Calibri"/>
        <family val="2"/>
      </rPr>
      <t>°C]</t>
    </r>
  </si>
  <si>
    <t>US release data</t>
  </si>
  <si>
    <t>MTOP1 data</t>
  </si>
  <si>
    <t xml:space="preserve">CPX was down </t>
  </si>
  <si>
    <t xml:space="preserve"> </t>
  </si>
  <si>
    <t>MRTU01 data</t>
  </si>
  <si>
    <t>MTOP01 data</t>
  </si>
  <si>
    <t>MTRU1 data</t>
  </si>
  <si>
    <t>CPX &amp; DIA down; MTRU1 data</t>
  </si>
  <si>
    <t>DIA load-unload</t>
  </si>
  <si>
    <t>DIA down</t>
  </si>
  <si>
    <t>Measured on CPX01.</t>
  </si>
  <si>
    <t>post cp 41</t>
  </si>
  <si>
    <t>,26</t>
  </si>
  <si>
    <t>nestec</t>
  </si>
  <si>
    <t>covalent</t>
  </si>
  <si>
    <t>CPX down for post CP</t>
  </si>
  <si>
    <t>Δ CP</t>
  </si>
  <si>
    <t>FST01 - RB-OX-1000</t>
  </si>
  <si>
    <t>FST01 - CV500</t>
  </si>
  <si>
    <t>MTL. CHK</t>
  </si>
  <si>
    <t>MTLChk. POD-G</t>
  </si>
  <si>
    <t>Trial</t>
  </si>
  <si>
    <t>For FNI</t>
  </si>
  <si>
    <t>Top Min</t>
  </si>
  <si>
    <t>Center Avg</t>
  </si>
  <si>
    <t>Center Max</t>
  </si>
  <si>
    <t>Center Min</t>
  </si>
  <si>
    <t>Top Avg</t>
  </si>
  <si>
    <t>Top Max</t>
  </si>
  <si>
    <t>BTM Min</t>
  </si>
  <si>
    <t>BTM Max</t>
  </si>
  <si>
    <t>BTM Avg</t>
  </si>
  <si>
    <t>Thick LCL</t>
  </si>
  <si>
    <t>Thick UCL</t>
  </si>
  <si>
    <t>Thick LSL</t>
  </si>
  <si>
    <t>Thick USL</t>
  </si>
  <si>
    <t>Unif TOP</t>
  </si>
  <si>
    <t>Unif CNT</t>
  </si>
  <si>
    <t>Unif BTM</t>
  </si>
  <si>
    <t>Unif UCL</t>
  </si>
  <si>
    <t xml:space="preserve">Unif AVG </t>
  </si>
  <si>
    <t>CP TOP</t>
  </si>
  <si>
    <t>CP CNT</t>
  </si>
  <si>
    <t>CP BTM</t>
  </si>
  <si>
    <t>CP UCL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</si>
</sst>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0.0"/>
  </numFmts>
  <fonts count="4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0"/>
      <color indexed="8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b/>
      <sz val="8"/>
      <name val="Calibri"/>
      <family val="2"/>
    </font>
    <font>
      <b/>
      <sz val="12"/>
      <color indexed="12"/>
      <name val="Calibri"/>
      <family val="2"/>
    </font>
    <font>
      <b/>
      <sz val="11"/>
      <color indexed="12"/>
      <name val="Calibri"/>
      <family val="2"/>
    </font>
    <font>
      <b/>
      <sz val="11"/>
      <color indexed="8"/>
      <name val="Calibri"/>
      <family val="2"/>
    </font>
    <font>
      <b/>
      <sz val="11"/>
      <color indexed="12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0"/>
      <color indexed="23"/>
      <name val="Arial"/>
      <family val="2"/>
    </font>
    <font>
      <b/>
      <sz val="10"/>
      <name val="Symbol"/>
      <family val="1"/>
      <charset val="2"/>
    </font>
    <font>
      <u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Calibri"/>
      <family val="2"/>
    </font>
    <font>
      <b/>
      <sz val="14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0.5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46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8" fillId="0" borderId="0" xfId="2" applyFont="1"/>
    <xf numFmtId="0" fontId="8" fillId="0" borderId="0" xfId="2" applyFont="1" applyAlignment="1">
      <alignment horizontal="center"/>
    </xf>
    <xf numFmtId="0" fontId="6" fillId="2" borderId="0" xfId="1" applyFont="1" applyFill="1" applyBorder="1" applyAlignment="1"/>
    <xf numFmtId="0" fontId="6" fillId="2" borderId="0" xfId="1" applyFont="1" applyFill="1" applyBorder="1" applyAlignment="1">
      <alignment horizontal="center" vertical="center"/>
    </xf>
    <xf numFmtId="0" fontId="9" fillId="2" borderId="0" xfId="1" applyFont="1" applyFill="1" applyBorder="1" applyAlignment="1"/>
    <xf numFmtId="0" fontId="5" fillId="0" borderId="0" xfId="1"/>
    <xf numFmtId="0" fontId="6" fillId="2" borderId="1" xfId="1" applyFont="1" applyFill="1" applyBorder="1" applyAlignment="1">
      <alignment horizontal="right"/>
    </xf>
    <xf numFmtId="0" fontId="9" fillId="2" borderId="0" xfId="1" applyFont="1" applyFill="1" applyBorder="1"/>
    <xf numFmtId="0" fontId="5" fillId="2" borderId="0" xfId="1" applyFill="1" applyBorder="1"/>
    <xf numFmtId="0" fontId="5" fillId="2" borderId="1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9" fillId="0" borderId="0" xfId="1" applyFont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/>
    <xf numFmtId="0" fontId="9" fillId="2" borderId="1" xfId="1" applyFont="1" applyFill="1" applyBorder="1" applyAlignment="1"/>
    <xf numFmtId="0" fontId="15" fillId="4" borderId="2" xfId="2" applyFont="1" applyFill="1" applyBorder="1" applyAlignment="1">
      <alignment horizontal="center" vertical="center" wrapText="1" readingOrder="1"/>
    </xf>
    <xf numFmtId="164" fontId="17" fillId="0" borderId="2" xfId="2" applyNumberFormat="1" applyFont="1" applyBorder="1" applyAlignment="1">
      <alignment horizontal="center" vertical="center" wrapText="1" readingOrder="1"/>
    </xf>
    <xf numFmtId="0" fontId="17" fillId="0" borderId="2" xfId="2" applyFont="1" applyBorder="1" applyAlignment="1">
      <alignment horizontal="center" vertical="center" wrapText="1" readingOrder="1"/>
    </xf>
    <xf numFmtId="0" fontId="5" fillId="0" borderId="2" xfId="1" applyFont="1" applyBorder="1" applyAlignment="1">
      <alignment horizontal="center" vertical="center" wrapText="1"/>
    </xf>
    <xf numFmtId="0" fontId="18" fillId="5" borderId="2" xfId="2" applyFont="1" applyFill="1" applyBorder="1" applyAlignment="1">
      <alignment horizontal="center"/>
    </xf>
    <xf numFmtId="165" fontId="17" fillId="0" borderId="2" xfId="2" applyNumberFormat="1" applyFont="1" applyBorder="1" applyAlignment="1">
      <alignment horizontal="center" vertical="center" wrapText="1" readingOrder="1"/>
    </xf>
    <xf numFmtId="2" fontId="17" fillId="0" borderId="2" xfId="2" applyNumberFormat="1" applyFont="1" applyBorder="1" applyAlignment="1">
      <alignment horizontal="left" vertical="center" wrapText="1" readingOrder="1"/>
    </xf>
    <xf numFmtId="12" fontId="8" fillId="0" borderId="2" xfId="2" applyNumberFormat="1" applyFont="1" applyBorder="1" applyAlignment="1">
      <alignment readingOrder="1"/>
    </xf>
    <xf numFmtId="12" fontId="17" fillId="0" borderId="2" xfId="2" applyNumberFormat="1" applyFont="1" applyBorder="1" applyAlignment="1">
      <alignment vertical="center" readingOrder="1"/>
    </xf>
    <xf numFmtId="0" fontId="19" fillId="5" borderId="2" xfId="2" applyFont="1" applyFill="1" applyBorder="1" applyAlignment="1">
      <alignment horizontal="center"/>
    </xf>
    <xf numFmtId="12" fontId="17" fillId="0" borderId="2" xfId="2" applyNumberFormat="1" applyFont="1" applyBorder="1" applyAlignment="1">
      <alignment vertical="center" wrapText="1" readingOrder="1"/>
    </xf>
    <xf numFmtId="12" fontId="17" fillId="0" borderId="2" xfId="2" applyNumberFormat="1" applyFont="1" applyBorder="1" applyAlignment="1">
      <alignment horizontal="left" vertical="center" wrapText="1" readingOrder="1"/>
    </xf>
    <xf numFmtId="12" fontId="17" fillId="0" borderId="2" xfId="2" applyNumberFormat="1" applyFont="1" applyBorder="1"/>
    <xf numFmtId="12" fontId="17" fillId="0" borderId="2" xfId="2" applyNumberFormat="1" applyFont="1" applyBorder="1" applyAlignment="1">
      <alignment horizontal="center" vertical="center" wrapText="1" readingOrder="1"/>
    </xf>
    <xf numFmtId="164" fontId="19" fillId="0" borderId="2" xfId="2" applyNumberFormat="1" applyFont="1" applyBorder="1" applyAlignment="1">
      <alignment horizontal="center" vertical="center" wrapText="1" readingOrder="1"/>
    </xf>
    <xf numFmtId="0" fontId="17" fillId="0" borderId="2" xfId="2" applyFont="1" applyBorder="1" applyAlignment="1">
      <alignment vertical="center" wrapText="1" readingOrder="1"/>
    </xf>
    <xf numFmtId="2" fontId="17" fillId="0" borderId="2" xfId="2" applyNumberFormat="1" applyFont="1" applyBorder="1" applyAlignment="1">
      <alignment vertical="center" readingOrder="1"/>
    </xf>
    <xf numFmtId="0" fontId="18" fillId="5" borderId="2" xfId="2" applyFont="1" applyFill="1" applyBorder="1" applyAlignment="1">
      <alignment horizontal="center" vertical="center" wrapText="1" readingOrder="1"/>
    </xf>
    <xf numFmtId="165" fontId="17" fillId="0" borderId="2" xfId="2" applyNumberFormat="1" applyFont="1" applyBorder="1" applyAlignment="1">
      <alignment vertical="center" wrapText="1" readingOrder="1"/>
    </xf>
    <xf numFmtId="0" fontId="18" fillId="5" borderId="2" xfId="2" applyFont="1" applyFill="1" applyBorder="1" applyAlignment="1">
      <alignment vertical="center" wrapText="1" readingOrder="1"/>
    </xf>
    <xf numFmtId="2" fontId="17" fillId="0" borderId="2" xfId="2" applyNumberFormat="1" applyFont="1" applyBorder="1" applyAlignment="1">
      <alignment vertical="center" wrapText="1" readingOrder="1"/>
    </xf>
    <xf numFmtId="2" fontId="17" fillId="0" borderId="2" xfId="2" applyNumberFormat="1" applyFont="1" applyBorder="1" applyAlignment="1">
      <alignment horizontal="center" vertical="center"/>
    </xf>
    <xf numFmtId="2" fontId="17" fillId="0" borderId="2" xfId="2" applyNumberFormat="1" applyFont="1" applyBorder="1" applyAlignment="1">
      <alignment horizontal="center" vertical="center" wrapText="1" readingOrder="1"/>
    </xf>
    <xf numFmtId="164" fontId="15" fillId="3" borderId="8" xfId="2" applyNumberFormat="1" applyFont="1" applyFill="1" applyBorder="1" applyAlignment="1">
      <alignment horizontal="center" vertical="center" wrapText="1" readingOrder="1"/>
    </xf>
    <xf numFmtId="0" fontId="15" fillId="3" borderId="9" xfId="2" applyFont="1" applyFill="1" applyBorder="1" applyAlignment="1">
      <alignment horizontal="center" vertical="center" wrapText="1" readingOrder="1"/>
    </xf>
    <xf numFmtId="0" fontId="15" fillId="3" borderId="10" xfId="2" applyFont="1" applyFill="1" applyBorder="1" applyAlignment="1">
      <alignment horizontal="center" vertical="center" wrapText="1" readingOrder="1"/>
    </xf>
    <xf numFmtId="0" fontId="15" fillId="3" borderId="11" xfId="2" applyFont="1" applyFill="1" applyBorder="1" applyAlignment="1">
      <alignment horizontal="center" vertical="center" wrapText="1" readingOrder="1"/>
    </xf>
    <xf numFmtId="2" fontId="15" fillId="3" borderId="9" xfId="2" applyNumberFormat="1" applyFont="1" applyFill="1" applyBorder="1" applyAlignment="1">
      <alignment horizontal="center" vertical="center" wrapText="1" readingOrder="1"/>
    </xf>
    <xf numFmtId="2" fontId="15" fillId="3" borderId="14" xfId="2" applyNumberFormat="1" applyFont="1" applyFill="1" applyBorder="1" applyAlignment="1">
      <alignment horizontal="center" vertical="center" wrapText="1" readingOrder="1"/>
    </xf>
    <xf numFmtId="164" fontId="8" fillId="0" borderId="0" xfId="2" applyNumberFormat="1" applyFont="1"/>
    <xf numFmtId="0" fontId="5" fillId="0" borderId="0" xfId="1" applyBorder="1"/>
    <xf numFmtId="0" fontId="6" fillId="2" borderId="0" xfId="1" applyFont="1" applyFill="1" applyBorder="1" applyAlignment="1">
      <alignment horizontal="right"/>
    </xf>
    <xf numFmtId="0" fontId="5" fillId="0" borderId="2" xfId="1" applyFont="1" applyBorder="1" applyAlignment="1">
      <alignment vertical="center"/>
    </xf>
    <xf numFmtId="0" fontId="5" fillId="0" borderId="0" xfId="1" applyFont="1" applyBorder="1" applyAlignment="1">
      <alignment vertical="center"/>
    </xf>
    <xf numFmtId="0" fontId="9" fillId="0" borderId="0" xfId="1" applyFont="1"/>
    <xf numFmtId="0" fontId="5" fillId="2" borderId="0" xfId="1" applyFont="1" applyFill="1" applyBorder="1"/>
    <xf numFmtId="0" fontId="5" fillId="2" borderId="0" xfId="1" applyFill="1"/>
    <xf numFmtId="0" fontId="9" fillId="0" borderId="2" xfId="1" applyFont="1" applyBorder="1" applyAlignment="1">
      <alignment horizontal="center" vertical="top"/>
    </xf>
    <xf numFmtId="0" fontId="9" fillId="0" borderId="2" xfId="1" applyFont="1" applyBorder="1" applyAlignment="1">
      <alignment horizontal="center" vertical="top" wrapText="1"/>
    </xf>
    <xf numFmtId="0" fontId="20" fillId="2" borderId="2" xfId="1" applyFont="1" applyFill="1" applyBorder="1" applyAlignment="1">
      <alignment horizontal="center" vertical="top"/>
    </xf>
    <xf numFmtId="0" fontId="5" fillId="0" borderId="2" xfId="1" applyFont="1" applyBorder="1" applyAlignment="1">
      <alignment horizontal="center" wrapText="1"/>
    </xf>
    <xf numFmtId="0" fontId="20" fillId="0" borderId="2" xfId="1" applyFont="1" applyBorder="1" applyAlignment="1"/>
    <xf numFmtId="0" fontId="5" fillId="0" borderId="2" xfId="1" applyFont="1" applyBorder="1" applyAlignment="1">
      <alignment horizontal="center"/>
    </xf>
    <xf numFmtId="0" fontId="5" fillId="0" borderId="2" xfId="1" applyFont="1" applyBorder="1" applyAlignment="1"/>
    <xf numFmtId="0" fontId="9" fillId="0" borderId="15" xfId="1" applyFont="1" applyBorder="1" applyAlignment="1">
      <alignment horizontal="center" vertical="top" wrapText="1"/>
    </xf>
    <xf numFmtId="0" fontId="9" fillId="0" borderId="16" xfId="1" applyFont="1" applyBorder="1" applyAlignment="1">
      <alignment horizontal="center" vertical="top" wrapText="1"/>
    </xf>
    <xf numFmtId="15" fontId="20" fillId="2" borderId="2" xfId="1" applyNumberFormat="1" applyFont="1" applyFill="1" applyBorder="1" applyAlignment="1">
      <alignment horizontal="center" vertical="top"/>
    </xf>
    <xf numFmtId="0" fontId="9" fillId="2" borderId="0" xfId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22" fillId="6" borderId="0" xfId="1" applyFont="1" applyFill="1" applyBorder="1" applyAlignment="1"/>
    <xf numFmtId="0" fontId="6" fillId="6" borderId="0" xfId="1" applyFont="1" applyFill="1" applyBorder="1" applyAlignment="1"/>
    <xf numFmtId="0" fontId="5" fillId="6" borderId="0" xfId="1" applyFill="1" applyBorder="1"/>
    <xf numFmtId="0" fontId="5" fillId="6" borderId="0" xfId="1" applyFill="1"/>
    <xf numFmtId="0" fontId="22" fillId="2" borderId="0" xfId="1" applyFont="1" applyFill="1" applyBorder="1" applyAlignment="1">
      <alignment horizontal="left"/>
    </xf>
    <xf numFmtId="0" fontId="5" fillId="0" borderId="0" xfId="1" applyFont="1"/>
    <xf numFmtId="0" fontId="22" fillId="0" borderId="0" xfId="1" applyFont="1" applyFill="1" applyBorder="1" applyAlignment="1"/>
    <xf numFmtId="14" fontId="20" fillId="2" borderId="2" xfId="1" applyNumberFormat="1" applyFont="1" applyFill="1" applyBorder="1" applyAlignment="1">
      <alignment horizontal="center" vertical="top"/>
    </xf>
    <xf numFmtId="0" fontId="22" fillId="2" borderId="0" xfId="1" applyFont="1" applyFill="1" applyBorder="1" applyAlignment="1"/>
    <xf numFmtId="0" fontId="8" fillId="0" borderId="0" xfId="1" applyFont="1"/>
    <xf numFmtId="0" fontId="25" fillId="2" borderId="0" xfId="1" applyFont="1" applyFill="1" applyBorder="1" applyAlignment="1"/>
    <xf numFmtId="0" fontId="26" fillId="2" borderId="0" xfId="1" applyFont="1" applyFill="1" applyBorder="1" applyAlignment="1"/>
    <xf numFmtId="0" fontId="26" fillId="0" borderId="0" xfId="1" applyFont="1"/>
    <xf numFmtId="0" fontId="25" fillId="2" borderId="0" xfId="1" applyFont="1" applyFill="1" applyBorder="1" applyAlignment="1">
      <alignment horizontal="right"/>
    </xf>
    <xf numFmtId="0" fontId="27" fillId="0" borderId="0" xfId="1" applyFont="1"/>
    <xf numFmtId="0" fontId="26" fillId="2" borderId="0" xfId="1" applyFont="1" applyFill="1" applyBorder="1"/>
    <xf numFmtId="0" fontId="25" fillId="2" borderId="0" xfId="1" applyFont="1" applyFill="1" applyBorder="1" applyAlignment="1">
      <alignment horizontal="left"/>
    </xf>
    <xf numFmtId="0" fontId="26" fillId="0" borderId="0" xfId="1" applyFont="1" applyBorder="1" applyAlignment="1">
      <alignment vertical="center"/>
    </xf>
    <xf numFmtId="0" fontId="6" fillId="2" borderId="19" xfId="1" applyFont="1" applyFill="1" applyBorder="1" applyAlignment="1"/>
    <xf numFmtId="0" fontId="15" fillId="4" borderId="20" xfId="1" applyFont="1" applyFill="1" applyBorder="1" applyAlignment="1">
      <alignment horizontal="center" vertical="center" wrapText="1" readingOrder="1"/>
    </xf>
    <xf numFmtId="0" fontId="15" fillId="4" borderId="20" xfId="1" applyFont="1" applyFill="1" applyBorder="1" applyAlignment="1">
      <alignment horizontal="center" vertical="center" wrapText="1"/>
    </xf>
    <xf numFmtId="2" fontId="18" fillId="0" borderId="20" xfId="1" applyNumberFormat="1" applyFont="1" applyBorder="1" applyAlignment="1">
      <alignment horizontal="center" vertical="center"/>
    </xf>
    <xf numFmtId="2" fontId="17" fillId="0" borderId="20" xfId="1" applyNumberFormat="1" applyFont="1" applyBorder="1" applyAlignment="1">
      <alignment horizontal="center" vertical="center"/>
    </xf>
    <xf numFmtId="2" fontId="18" fillId="0" borderId="20" xfId="1" applyNumberFormat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 readingOrder="1"/>
    </xf>
    <xf numFmtId="164" fontId="17" fillId="0" borderId="24" xfId="1" applyNumberFormat="1" applyFont="1" applyBorder="1" applyAlignment="1">
      <alignment horizontal="center" vertical="center" wrapText="1" readingOrder="1"/>
    </xf>
    <xf numFmtId="0" fontId="17" fillId="0" borderId="2" xfId="1" applyFont="1" applyBorder="1" applyAlignment="1">
      <alignment horizontal="center" vertical="center" wrapText="1" readingOrder="1"/>
    </xf>
    <xf numFmtId="0" fontId="5" fillId="0" borderId="2" xfId="1" applyFont="1" applyBorder="1" applyAlignment="1">
      <alignment wrapText="1"/>
    </xf>
    <xf numFmtId="2" fontId="17" fillId="0" borderId="18" xfId="1" applyNumberFormat="1" applyFont="1" applyBorder="1" applyAlignment="1">
      <alignment horizontal="center" vertical="center" wrapText="1"/>
    </xf>
    <xf numFmtId="2" fontId="17" fillId="0" borderId="18" xfId="1" applyNumberFormat="1" applyFont="1" applyBorder="1" applyAlignment="1">
      <alignment horizontal="center" vertical="center"/>
    </xf>
    <xf numFmtId="2" fontId="18" fillId="0" borderId="18" xfId="1" applyNumberFormat="1" applyFont="1" applyFill="1" applyBorder="1" applyAlignment="1">
      <alignment horizontal="center" vertical="center" wrapText="1" readingOrder="1"/>
    </xf>
    <xf numFmtId="2" fontId="18" fillId="0" borderId="18" xfId="1" applyNumberFormat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 wrapText="1" readingOrder="1"/>
    </xf>
    <xf numFmtId="2" fontId="17" fillId="0" borderId="18" xfId="1" applyNumberFormat="1" applyFont="1" applyBorder="1" applyAlignment="1">
      <alignment horizontal="center" vertical="center" wrapText="1" readingOrder="1"/>
    </xf>
    <xf numFmtId="2" fontId="17" fillId="0" borderId="18" xfId="1" applyNumberFormat="1" applyFont="1" applyBorder="1" applyAlignment="1">
      <alignment horizontal="left" vertical="center" wrapText="1" readingOrder="1"/>
    </xf>
    <xf numFmtId="164" fontId="17" fillId="0" borderId="25" xfId="1" applyNumberFormat="1" applyFont="1" applyBorder="1" applyAlignment="1">
      <alignment horizontal="center" vertical="center" wrapText="1" readingOrder="1"/>
    </xf>
    <xf numFmtId="0" fontId="8" fillId="0" borderId="2" xfId="1" applyFont="1" applyBorder="1"/>
    <xf numFmtId="2" fontId="17" fillId="0" borderId="2" xfId="1" applyNumberFormat="1" applyFont="1" applyBorder="1" applyAlignment="1">
      <alignment horizontal="center" vertical="center"/>
    </xf>
    <xf numFmtId="2" fontId="18" fillId="0" borderId="2" xfId="1" applyNumberFormat="1" applyFont="1" applyFill="1" applyBorder="1" applyAlignment="1">
      <alignment horizontal="center" vertical="center" wrapText="1" readingOrder="1"/>
    </xf>
    <xf numFmtId="2" fontId="18" fillId="0" borderId="2" xfId="1" applyNumberFormat="1" applyFont="1" applyBorder="1" applyAlignment="1">
      <alignment horizontal="center" vertical="center"/>
    </xf>
    <xf numFmtId="0" fontId="17" fillId="0" borderId="2" xfId="1" applyFont="1" applyFill="1" applyBorder="1" applyAlignment="1">
      <alignment horizontal="center" vertical="center" wrapText="1" readingOrder="1"/>
    </xf>
    <xf numFmtId="2" fontId="17" fillId="6" borderId="2" xfId="1" applyNumberFormat="1" applyFont="1" applyFill="1" applyBorder="1" applyAlignment="1">
      <alignment horizontal="center" vertical="center" wrapText="1" readingOrder="1"/>
    </xf>
    <xf numFmtId="2" fontId="17" fillId="0" borderId="2" xfId="1" applyNumberFormat="1" applyFont="1" applyBorder="1" applyAlignment="1">
      <alignment horizontal="left" vertical="center" readingOrder="1"/>
    </xf>
    <xf numFmtId="0" fontId="8" fillId="0" borderId="0" xfId="1" applyFont="1" applyAlignment="1">
      <alignment horizontal="center"/>
    </xf>
    <xf numFmtId="0" fontId="8" fillId="0" borderId="2" xfId="1" applyFont="1" applyBorder="1" applyAlignment="1">
      <alignment horizontal="center"/>
    </xf>
    <xf numFmtId="0" fontId="17" fillId="6" borderId="2" xfId="1" applyFont="1" applyFill="1" applyBorder="1" applyAlignment="1">
      <alignment horizontal="center" vertical="center" wrapText="1" readingOrder="1"/>
    </xf>
    <xf numFmtId="0" fontId="17" fillId="2" borderId="2" xfId="1" applyFont="1" applyFill="1" applyBorder="1" applyAlignment="1">
      <alignment horizontal="center" vertical="center" wrapText="1" readingOrder="1"/>
    </xf>
    <xf numFmtId="2" fontId="17" fillId="2" borderId="2" xfId="1" applyNumberFormat="1" applyFont="1" applyFill="1" applyBorder="1" applyAlignment="1">
      <alignment horizontal="center" vertical="center" wrapText="1" readingOrder="1"/>
    </xf>
    <xf numFmtId="2" fontId="8" fillId="0" borderId="2" xfId="1" applyNumberFormat="1" applyFont="1" applyBorder="1"/>
    <xf numFmtId="164" fontId="17" fillId="0" borderId="26" xfId="1" applyNumberFormat="1" applyFont="1" applyBorder="1" applyAlignment="1">
      <alignment horizontal="center" vertical="center" wrapText="1" readingOrder="1"/>
    </xf>
    <xf numFmtId="2" fontId="17" fillId="0" borderId="2" xfId="1" applyNumberFormat="1" applyFont="1" applyBorder="1" applyAlignment="1">
      <alignment horizontal="left" vertical="center" wrapText="1" readingOrder="1"/>
    </xf>
    <xf numFmtId="0" fontId="17" fillId="0" borderId="26" xfId="1" applyFont="1" applyBorder="1" applyAlignment="1">
      <alignment horizontal="center" vertical="center" wrapText="1" readingOrder="1"/>
    </xf>
    <xf numFmtId="2" fontId="17" fillId="0" borderId="2" xfId="1" applyNumberFormat="1" applyFont="1" applyFill="1" applyBorder="1" applyAlignment="1">
      <alignment horizontal="center" vertical="center" wrapText="1" readingOrder="1"/>
    </xf>
    <xf numFmtId="0" fontId="17" fillId="0" borderId="2" xfId="1" applyFont="1" applyBorder="1" applyAlignment="1">
      <alignment horizontal="center" vertical="center" wrapText="1"/>
    </xf>
    <xf numFmtId="0" fontId="17" fillId="0" borderId="17" xfId="1" applyFont="1" applyBorder="1" applyAlignment="1">
      <alignment horizontal="center" vertical="center" wrapText="1" readingOrder="1"/>
    </xf>
    <xf numFmtId="0" fontId="15" fillId="3" borderId="2" xfId="1" applyFont="1" applyFill="1" applyBorder="1" applyAlignment="1">
      <alignment horizontal="center" vertical="center" wrapText="1" readingOrder="1"/>
    </xf>
    <xf numFmtId="0" fontId="15" fillId="3" borderId="28" xfId="1" applyFont="1" applyFill="1" applyBorder="1" applyAlignment="1">
      <alignment horizontal="center" vertical="center" wrapText="1" readingOrder="1"/>
    </xf>
    <xf numFmtId="0" fontId="15" fillId="3" borderId="29" xfId="1" applyFont="1" applyFill="1" applyBorder="1" applyAlignment="1">
      <alignment horizontal="center" vertical="center" wrapText="1" readingOrder="1"/>
    </xf>
    <xf numFmtId="0" fontId="15" fillId="3" borderId="30" xfId="1" applyFont="1" applyFill="1" applyBorder="1" applyAlignment="1">
      <alignment horizontal="center" vertical="center" wrapText="1" readingOrder="1"/>
    </xf>
    <xf numFmtId="2" fontId="15" fillId="3" borderId="2" xfId="1" applyNumberFormat="1" applyFont="1" applyFill="1" applyBorder="1" applyAlignment="1">
      <alignment horizontal="center" vertical="center" wrapText="1" readingOrder="1"/>
    </xf>
    <xf numFmtId="0" fontId="29" fillId="0" borderId="0" xfId="1" applyFont="1" applyFill="1"/>
    <xf numFmtId="0" fontId="4" fillId="7" borderId="46" xfId="1" applyFont="1" applyFill="1" applyBorder="1" applyAlignment="1">
      <alignment horizontal="center" vertical="center" wrapText="1" readingOrder="1"/>
    </xf>
    <xf numFmtId="0" fontId="4" fillId="7" borderId="47" xfId="1" applyFont="1" applyFill="1" applyBorder="1" applyAlignment="1">
      <alignment horizontal="center" vertical="center" wrapText="1" readingOrder="1"/>
    </xf>
    <xf numFmtId="0" fontId="30" fillId="0" borderId="47" xfId="1" applyNumberFormat="1" applyFont="1" applyFill="1" applyBorder="1" applyAlignment="1">
      <alignment horizontal="center" vertical="center" wrapText="1" readingOrder="1"/>
    </xf>
    <xf numFmtId="164" fontId="31" fillId="0" borderId="51" xfId="1" applyNumberFormat="1" applyFont="1" applyFill="1" applyBorder="1" applyAlignment="1">
      <alignment horizontal="center" vertical="center" wrapText="1" readingOrder="1"/>
    </xf>
    <xf numFmtId="0" fontId="31" fillId="0" borderId="52" xfId="1" applyNumberFormat="1" applyFont="1" applyFill="1" applyBorder="1" applyAlignment="1">
      <alignment horizontal="center" vertical="center" wrapText="1" readingOrder="1"/>
    </xf>
    <xf numFmtId="0" fontId="31" fillId="0" borderId="18" xfId="1" applyNumberFormat="1" applyFont="1" applyFill="1" applyBorder="1" applyAlignment="1">
      <alignment horizontal="center" vertical="center" wrapText="1" readingOrder="1"/>
    </xf>
    <xf numFmtId="166" fontId="31" fillId="0" borderId="18" xfId="1" applyNumberFormat="1" applyFont="1" applyFill="1" applyBorder="1" applyAlignment="1">
      <alignment horizontal="center" vertical="center" wrapText="1" readingOrder="1"/>
    </xf>
    <xf numFmtId="2" fontId="29" fillId="0" borderId="18" xfId="1" applyNumberFormat="1" applyFont="1" applyFill="1" applyBorder="1" applyAlignment="1">
      <alignment horizontal="center" vertical="center" readingOrder="1"/>
    </xf>
    <xf numFmtId="2" fontId="29" fillId="0" borderId="53" xfId="1" applyNumberFormat="1" applyFont="1" applyFill="1" applyBorder="1" applyAlignment="1">
      <alignment horizontal="center" vertical="center" readingOrder="1"/>
    </xf>
    <xf numFmtId="2" fontId="29" fillId="0" borderId="52" xfId="1" applyNumberFormat="1" applyFont="1" applyFill="1" applyBorder="1" applyAlignment="1">
      <alignment horizontal="center" vertical="center" readingOrder="1"/>
    </xf>
    <xf numFmtId="2" fontId="31" fillId="0" borderId="18" xfId="1" applyNumberFormat="1" applyFont="1" applyFill="1" applyBorder="1" applyAlignment="1">
      <alignment horizontal="center" vertical="center" wrapText="1" readingOrder="1"/>
    </xf>
    <xf numFmtId="2" fontId="31" fillId="0" borderId="53" xfId="1" applyNumberFormat="1" applyFont="1" applyFill="1" applyBorder="1" applyAlignment="1">
      <alignment horizontal="center" vertical="center" wrapText="1" readingOrder="1"/>
    </xf>
    <xf numFmtId="0" fontId="31" fillId="0" borderId="52" xfId="1" applyFont="1" applyFill="1" applyBorder="1" applyAlignment="1">
      <alignment horizontal="center" vertical="center" wrapText="1" readingOrder="1"/>
    </xf>
    <xf numFmtId="0" fontId="31" fillId="0" borderId="18" xfId="1" applyFont="1" applyFill="1" applyBorder="1" applyAlignment="1">
      <alignment horizontal="center" vertical="center" wrapText="1" readingOrder="1"/>
    </xf>
    <xf numFmtId="0" fontId="31" fillId="0" borderId="53" xfId="1" applyFont="1" applyFill="1" applyBorder="1" applyAlignment="1">
      <alignment horizontal="center" vertical="center" wrapText="1" readingOrder="1"/>
    </xf>
    <xf numFmtId="45" fontId="29" fillId="0" borderId="52" xfId="1" applyNumberFormat="1" applyFont="1" applyFill="1" applyBorder="1" applyAlignment="1">
      <alignment horizontal="center" vertical="center" wrapText="1" readingOrder="1"/>
    </xf>
    <xf numFmtId="2" fontId="29" fillId="0" borderId="45" xfId="1" applyNumberFormat="1" applyFont="1" applyFill="1" applyBorder="1" applyAlignment="1">
      <alignment horizontal="center" vertical="center" wrapText="1" readingOrder="1"/>
    </xf>
    <xf numFmtId="0" fontId="32" fillId="0" borderId="22" xfId="1" applyFont="1" applyFill="1" applyBorder="1" applyAlignment="1">
      <alignment vertical="top" wrapText="1" readingOrder="1"/>
    </xf>
    <xf numFmtId="164" fontId="31" fillId="0" borderId="54" xfId="1" applyNumberFormat="1" applyFont="1" applyFill="1" applyBorder="1" applyAlignment="1">
      <alignment horizontal="center" vertical="center" wrapText="1" readingOrder="1"/>
    </xf>
    <xf numFmtId="0" fontId="31" fillId="0" borderId="55" xfId="1" applyNumberFormat="1" applyFont="1" applyFill="1" applyBorder="1" applyAlignment="1">
      <alignment horizontal="center" vertical="center" wrapText="1" readingOrder="1"/>
    </xf>
    <xf numFmtId="0" fontId="31" fillId="0" borderId="2" xfId="1" applyNumberFormat="1" applyFont="1" applyFill="1" applyBorder="1" applyAlignment="1">
      <alignment horizontal="center" vertical="center" wrapText="1" readingOrder="1"/>
    </xf>
    <xf numFmtId="0" fontId="31" fillId="0" borderId="2" xfId="1" applyNumberFormat="1" applyFont="1" applyFill="1" applyBorder="1" applyAlignment="1">
      <alignment horizontal="center" vertical="center" readingOrder="1"/>
    </xf>
    <xf numFmtId="0" fontId="29" fillId="0" borderId="2" xfId="1" applyNumberFormat="1" applyFont="1" applyFill="1" applyBorder="1" applyAlignment="1">
      <alignment horizontal="center" vertical="center" readingOrder="1"/>
    </xf>
    <xf numFmtId="166" fontId="31" fillId="0" borderId="2" xfId="1" applyNumberFormat="1" applyFont="1" applyFill="1" applyBorder="1" applyAlignment="1">
      <alignment horizontal="center" vertical="center" wrapText="1" readingOrder="1"/>
    </xf>
    <xf numFmtId="2" fontId="29" fillId="0" borderId="2" xfId="1" applyNumberFormat="1" applyFont="1" applyFill="1" applyBorder="1" applyAlignment="1">
      <alignment horizontal="center" vertical="center" readingOrder="1"/>
    </xf>
    <xf numFmtId="2" fontId="29" fillId="0" borderId="56" xfId="1" applyNumberFormat="1" applyFont="1" applyFill="1" applyBorder="1" applyAlignment="1">
      <alignment horizontal="center" vertical="center" readingOrder="1"/>
    </xf>
    <xf numFmtId="2" fontId="29" fillId="0" borderId="55" xfId="1" applyNumberFormat="1" applyFont="1" applyFill="1" applyBorder="1" applyAlignment="1">
      <alignment horizontal="center" vertical="center" readingOrder="1"/>
    </xf>
    <xf numFmtId="0" fontId="29" fillId="0" borderId="2" xfId="1" applyFont="1" applyFill="1" applyBorder="1"/>
    <xf numFmtId="2" fontId="31" fillId="0" borderId="2" xfId="1" applyNumberFormat="1" applyFont="1" applyFill="1" applyBorder="1" applyAlignment="1">
      <alignment horizontal="center" vertical="center" wrapText="1" readingOrder="1"/>
    </xf>
    <xf numFmtId="2" fontId="29" fillId="0" borderId="56" xfId="1" applyNumberFormat="1" applyFont="1" applyFill="1" applyBorder="1" applyAlignment="1">
      <alignment horizontal="center" vertical="center" wrapText="1" readingOrder="1"/>
    </xf>
    <xf numFmtId="0" fontId="31" fillId="0" borderId="55" xfId="1" applyFont="1" applyFill="1" applyBorder="1" applyAlignment="1">
      <alignment horizontal="center" vertical="center" wrapText="1" readingOrder="1"/>
    </xf>
    <xf numFmtId="0" fontId="31" fillId="0" borderId="2" xfId="1" applyFont="1" applyFill="1" applyBorder="1" applyAlignment="1">
      <alignment horizontal="center" vertical="center" wrapText="1" readingOrder="1"/>
    </xf>
    <xf numFmtId="0" fontId="31" fillId="0" borderId="56" xfId="1" applyFont="1" applyFill="1" applyBorder="1" applyAlignment="1">
      <alignment horizontal="center" vertical="center" wrapText="1" readingOrder="1"/>
    </xf>
    <xf numFmtId="1" fontId="31" fillId="0" borderId="55" xfId="1" applyNumberFormat="1" applyFont="1" applyFill="1" applyBorder="1" applyAlignment="1">
      <alignment horizontal="center" vertical="center" wrapText="1" readingOrder="1"/>
    </xf>
    <xf numFmtId="1" fontId="31" fillId="0" borderId="2" xfId="1" applyNumberFormat="1" applyFont="1" applyFill="1" applyBorder="1" applyAlignment="1">
      <alignment horizontal="center" vertical="center" wrapText="1" readingOrder="1"/>
    </xf>
    <xf numFmtId="1" fontId="31" fillId="0" borderId="56" xfId="1" applyNumberFormat="1" applyFont="1" applyFill="1" applyBorder="1" applyAlignment="1">
      <alignment horizontal="center" vertical="center" wrapText="1" readingOrder="1"/>
    </xf>
    <xf numFmtId="45" fontId="29" fillId="0" borderId="55" xfId="1" applyNumberFormat="1" applyFont="1" applyFill="1" applyBorder="1" applyAlignment="1">
      <alignment horizontal="center" vertical="center" wrapText="1" readingOrder="1"/>
    </xf>
    <xf numFmtId="2" fontId="29" fillId="0" borderId="57" xfId="1" applyNumberFormat="1" applyFont="1" applyFill="1" applyBorder="1" applyAlignment="1">
      <alignment horizontal="center" vertical="center" wrapText="1" readingOrder="1"/>
    </xf>
    <xf numFmtId="0" fontId="29" fillId="0" borderId="54" xfId="1" applyFont="1" applyFill="1" applyBorder="1" applyAlignment="1">
      <alignment vertical="top" wrapText="1" readingOrder="1"/>
    </xf>
    <xf numFmtId="0" fontId="3" fillId="0" borderId="2" xfId="1" applyNumberFormat="1" applyFont="1" applyFill="1" applyBorder="1" applyAlignment="1">
      <alignment horizontal="center" vertical="center" readingOrder="1"/>
    </xf>
    <xf numFmtId="0" fontId="29" fillId="0" borderId="0" xfId="1" applyFont="1" applyFill="1" applyBorder="1"/>
    <xf numFmtId="164" fontId="31" fillId="0" borderId="0" xfId="1" applyNumberFormat="1" applyFont="1" applyFill="1" applyBorder="1" applyAlignment="1">
      <alignment horizontal="center" vertical="center" wrapText="1" readingOrder="1"/>
    </xf>
    <xf numFmtId="0" fontId="31" fillId="0" borderId="0" xfId="1" applyNumberFormat="1" applyFont="1" applyFill="1" applyBorder="1" applyAlignment="1">
      <alignment horizontal="center" vertical="center" wrapText="1" readingOrder="1"/>
    </xf>
    <xf numFmtId="0" fontId="31" fillId="0" borderId="0" xfId="1" applyNumberFormat="1" applyFont="1" applyFill="1" applyBorder="1" applyAlignment="1">
      <alignment horizontal="center" vertical="center" readingOrder="1"/>
    </xf>
    <xf numFmtId="2" fontId="33" fillId="0" borderId="0" xfId="1" applyNumberFormat="1" applyFont="1" applyFill="1" applyBorder="1" applyAlignment="1">
      <alignment horizontal="center" vertical="center" readingOrder="1"/>
    </xf>
    <xf numFmtId="2" fontId="29" fillId="0" borderId="0" xfId="1" applyNumberFormat="1" applyFont="1" applyFill="1" applyBorder="1" applyAlignment="1">
      <alignment horizontal="center" vertical="center" readingOrder="1"/>
    </xf>
    <xf numFmtId="2" fontId="31" fillId="0" borderId="0" xfId="1" applyNumberFormat="1" applyFont="1" applyFill="1" applyBorder="1" applyAlignment="1">
      <alignment horizontal="center" vertical="center" wrapText="1" readingOrder="1"/>
    </xf>
    <xf numFmtId="2" fontId="33" fillId="0" borderId="0" xfId="1" applyNumberFormat="1" applyFont="1" applyFill="1" applyBorder="1" applyAlignment="1">
      <alignment horizontal="center" vertical="center" wrapText="1" readingOrder="1"/>
    </xf>
    <xf numFmtId="0" fontId="31" fillId="0" borderId="0" xfId="1" applyFont="1" applyFill="1" applyBorder="1" applyAlignment="1">
      <alignment horizontal="center" vertical="center" wrapText="1" readingOrder="1"/>
    </xf>
    <xf numFmtId="1" fontId="31" fillId="0" borderId="0" xfId="1" applyNumberFormat="1" applyFont="1" applyFill="1" applyBorder="1" applyAlignment="1">
      <alignment horizontal="center" vertical="center" wrapText="1" readingOrder="1"/>
    </xf>
    <xf numFmtId="45" fontId="29" fillId="0" borderId="0" xfId="1" applyNumberFormat="1" applyFont="1" applyFill="1" applyBorder="1" applyAlignment="1">
      <alignment horizontal="center" vertical="center" wrapText="1" readingOrder="1"/>
    </xf>
    <xf numFmtId="2" fontId="29" fillId="0" borderId="0" xfId="1" applyNumberFormat="1" applyFont="1" applyFill="1" applyBorder="1" applyAlignment="1">
      <alignment horizontal="center" vertical="center" wrapText="1" readingOrder="1"/>
    </xf>
    <xf numFmtId="0" fontId="29" fillId="0" borderId="0" xfId="1" applyFont="1" applyFill="1" applyBorder="1" applyAlignment="1">
      <alignment vertical="top" wrapText="1" readingOrder="1"/>
    </xf>
    <xf numFmtId="0" fontId="31" fillId="0" borderId="4" xfId="1" applyNumberFormat="1" applyFont="1" applyFill="1" applyBorder="1" applyAlignment="1">
      <alignment horizontal="center" vertical="center" wrapText="1" readingOrder="1"/>
    </xf>
    <xf numFmtId="0" fontId="31" fillId="0" borderId="5" xfId="1" applyNumberFormat="1" applyFont="1" applyFill="1" applyBorder="1" applyAlignment="1">
      <alignment horizontal="center" vertical="center" wrapText="1" readingOrder="1"/>
    </xf>
    <xf numFmtId="0" fontId="31" fillId="0" borderId="5" xfId="1" applyNumberFormat="1" applyFont="1" applyFill="1" applyBorder="1" applyAlignment="1">
      <alignment horizontal="center" vertical="center" readingOrder="1"/>
    </xf>
    <xf numFmtId="0" fontId="31" fillId="0" borderId="17" xfId="1" applyNumberFormat="1" applyFont="1" applyFill="1" applyBorder="1" applyAlignment="1">
      <alignment horizontal="center" vertical="center" readingOrder="1"/>
    </xf>
    <xf numFmtId="2" fontId="29" fillId="0" borderId="17" xfId="1" applyNumberFormat="1" applyFont="1" applyFill="1" applyBorder="1" applyAlignment="1">
      <alignment horizontal="center" vertical="center" readingOrder="1"/>
    </xf>
    <xf numFmtId="2" fontId="29" fillId="0" borderId="60" xfId="1" applyNumberFormat="1" applyFont="1" applyFill="1" applyBorder="1" applyAlignment="1">
      <alignment horizontal="center" vertical="center" readingOrder="1"/>
    </xf>
    <xf numFmtId="2" fontId="29" fillId="0" borderId="17" xfId="1" applyNumberFormat="1" applyFont="1" applyFill="1" applyBorder="1"/>
    <xf numFmtId="0" fontId="29" fillId="0" borderId="17" xfId="1" applyFont="1" applyFill="1" applyBorder="1"/>
    <xf numFmtId="2" fontId="29" fillId="0" borderId="2" xfId="1" applyNumberFormat="1" applyFont="1" applyFill="1" applyBorder="1"/>
    <xf numFmtId="45" fontId="29" fillId="9" borderId="55" xfId="1" applyNumberFormat="1" applyFont="1" applyFill="1" applyBorder="1" applyAlignment="1">
      <alignment horizontal="center" vertical="center" wrapText="1" readingOrder="1"/>
    </xf>
    <xf numFmtId="2" fontId="29" fillId="9" borderId="56" xfId="1" applyNumberFormat="1" applyFont="1" applyFill="1" applyBorder="1" applyAlignment="1">
      <alignment horizontal="center" vertical="center" wrapText="1" readingOrder="1"/>
    </xf>
    <xf numFmtId="0" fontId="29" fillId="0" borderId="54" xfId="1" applyFont="1" applyBorder="1" applyAlignment="1">
      <alignment vertical="top" wrapText="1" readingOrder="1"/>
    </xf>
    <xf numFmtId="0" fontId="29" fillId="0" borderId="0" xfId="1" applyFont="1"/>
    <xf numFmtId="45" fontId="29" fillId="10" borderId="55" xfId="1" applyNumberFormat="1" applyFont="1" applyFill="1" applyBorder="1" applyAlignment="1">
      <alignment horizontal="center" vertical="center" wrapText="1" readingOrder="1"/>
    </xf>
    <xf numFmtId="2" fontId="29" fillId="10" borderId="56" xfId="1" applyNumberFormat="1" applyFont="1" applyFill="1" applyBorder="1" applyAlignment="1">
      <alignment horizontal="center" vertical="center" wrapText="1" readingOrder="1"/>
    </xf>
    <xf numFmtId="2" fontId="3" fillId="0" borderId="2" xfId="1" applyNumberFormat="1" applyFont="1" applyFill="1" applyBorder="1" applyAlignment="1">
      <alignment horizontal="center" vertical="center" readingOrder="1"/>
    </xf>
    <xf numFmtId="2" fontId="3" fillId="0" borderId="56" xfId="1" applyNumberFormat="1" applyFont="1" applyFill="1" applyBorder="1" applyAlignment="1">
      <alignment horizontal="center" vertical="center" wrapText="1" readingOrder="1"/>
    </xf>
    <xf numFmtId="0" fontId="29" fillId="0" borderId="55" xfId="1" applyNumberFormat="1" applyFont="1" applyFill="1" applyBorder="1"/>
    <xf numFmtId="0" fontId="29" fillId="0" borderId="2" xfId="1" applyNumberFormat="1" applyFont="1" applyFill="1" applyBorder="1"/>
    <xf numFmtId="0" fontId="29" fillId="0" borderId="55" xfId="1" applyFont="1" applyFill="1" applyBorder="1"/>
    <xf numFmtId="164" fontId="29" fillId="0" borderId="22" xfId="1" applyNumberFormat="1" applyFont="1" applyFill="1" applyBorder="1" applyAlignment="1">
      <alignment horizontal="center" vertical="center"/>
    </xf>
    <xf numFmtId="0" fontId="29" fillId="0" borderId="0" xfId="1" applyNumberFormat="1" applyFont="1" applyFill="1" applyBorder="1"/>
    <xf numFmtId="0" fontId="31" fillId="0" borderId="60" xfId="1" applyFont="1" applyFill="1" applyBorder="1" applyAlignment="1">
      <alignment horizontal="center" vertical="center" wrapText="1" readingOrder="1"/>
    </xf>
    <xf numFmtId="0" fontId="31" fillId="0" borderId="17" xfId="1" applyFont="1" applyFill="1" applyBorder="1" applyAlignment="1">
      <alignment horizontal="center" vertical="center" wrapText="1" readingOrder="1"/>
    </xf>
    <xf numFmtId="0" fontId="29" fillId="0" borderId="22" xfId="1" applyFont="1" applyBorder="1" applyAlignment="1">
      <alignment vertical="top" wrapText="1" readingOrder="1"/>
    </xf>
    <xf numFmtId="164" fontId="29" fillId="0" borderId="54" xfId="1" applyNumberFormat="1" applyFont="1" applyFill="1" applyBorder="1" applyAlignment="1">
      <alignment horizontal="center" vertical="center"/>
    </xf>
    <xf numFmtId="164" fontId="29" fillId="0" borderId="54" xfId="1" applyNumberFormat="1" applyFont="1" applyFill="1" applyBorder="1"/>
    <xf numFmtId="0" fontId="29" fillId="0" borderId="40" xfId="1" applyNumberFormat="1" applyFont="1" applyFill="1" applyBorder="1"/>
    <xf numFmtId="0" fontId="29" fillId="0" borderId="56" xfId="1" applyFont="1" applyFill="1" applyBorder="1"/>
    <xf numFmtId="0" fontId="29" fillId="0" borderId="55" xfId="1" applyFont="1" applyBorder="1"/>
    <xf numFmtId="2" fontId="29" fillId="0" borderId="56" xfId="1" applyNumberFormat="1" applyFont="1" applyBorder="1"/>
    <xf numFmtId="0" fontId="29" fillId="0" borderId="0" xfId="1" applyFont="1" applyBorder="1"/>
    <xf numFmtId="0" fontId="29" fillId="0" borderId="2" xfId="1" applyNumberFormat="1" applyFont="1" applyFill="1" applyBorder="1" applyAlignment="1">
      <alignment horizontal="center"/>
    </xf>
    <xf numFmtId="0" fontId="29" fillId="0" borderId="2" xfId="1" applyFont="1" applyBorder="1"/>
    <xf numFmtId="0" fontId="29" fillId="0" borderId="56" xfId="1" applyFont="1" applyBorder="1"/>
    <xf numFmtId="164" fontId="29" fillId="0" borderId="0" xfId="1" applyNumberFormat="1" applyFont="1" applyFill="1" applyBorder="1"/>
    <xf numFmtId="2" fontId="29" fillId="0" borderId="0" xfId="1" applyNumberFormat="1" applyFont="1" applyFill="1" applyBorder="1"/>
    <xf numFmtId="2" fontId="29" fillId="0" borderId="0" xfId="1" applyNumberFormat="1" applyFont="1" applyBorder="1"/>
    <xf numFmtId="0" fontId="29" fillId="0" borderId="0" xfId="1" applyFont="1" applyBorder="1" applyAlignment="1">
      <alignment vertical="top" wrapText="1" readingOrder="1"/>
    </xf>
    <xf numFmtId="164" fontId="29" fillId="0" borderId="0" xfId="1" applyNumberFormat="1" applyFont="1" applyBorder="1"/>
    <xf numFmtId="0" fontId="29" fillId="0" borderId="0" xfId="1" applyNumberFormat="1" applyFont="1" applyBorder="1"/>
    <xf numFmtId="164" fontId="29" fillId="0" borderId="0" xfId="1" applyNumberFormat="1" applyFont="1"/>
    <xf numFmtId="0" fontId="29" fillId="0" borderId="0" xfId="1" applyNumberFormat="1" applyFont="1"/>
    <xf numFmtId="2" fontId="29" fillId="0" borderId="0" xfId="1" applyNumberFormat="1" applyFont="1" applyFill="1"/>
    <xf numFmtId="2" fontId="29" fillId="0" borderId="0" xfId="1" applyNumberFormat="1" applyFont="1"/>
    <xf numFmtId="0" fontId="29" fillId="0" borderId="0" xfId="1" applyFont="1" applyAlignment="1">
      <alignment vertical="top" wrapText="1" readingOrder="1"/>
    </xf>
    <xf numFmtId="0" fontId="35" fillId="0" borderId="0" xfId="1" applyFont="1"/>
    <xf numFmtId="164" fontId="29" fillId="0" borderId="24" xfId="1" applyNumberFormat="1" applyFont="1" applyFill="1" applyBorder="1" applyAlignment="1">
      <alignment horizontal="center" vertical="center" wrapText="1" readingOrder="1"/>
    </xf>
    <xf numFmtId="0" fontId="29" fillId="0" borderId="66" xfId="1" applyNumberFormat="1" applyFont="1" applyFill="1" applyBorder="1" applyAlignment="1">
      <alignment horizontal="center" vertical="top" wrapText="1" readingOrder="1"/>
    </xf>
    <xf numFmtId="0" fontId="29" fillId="0" borderId="67" xfId="1" applyNumberFormat="1" applyFont="1" applyFill="1" applyBorder="1" applyAlignment="1">
      <alignment horizontal="center" vertical="top" wrapText="1" readingOrder="1"/>
    </xf>
    <xf numFmtId="2" fontId="29" fillId="0" borderId="67" xfId="1" applyNumberFormat="1" applyFont="1" applyFill="1" applyBorder="1" applyAlignment="1">
      <alignment horizontal="center" vertical="top" wrapText="1" readingOrder="1"/>
    </xf>
    <xf numFmtId="1" fontId="29" fillId="0" borderId="67" xfId="1" applyNumberFormat="1" applyFont="1" applyFill="1" applyBorder="1" applyAlignment="1">
      <alignment horizontal="center" vertical="top" wrapText="1" readingOrder="1"/>
    </xf>
    <xf numFmtId="2" fontId="29" fillId="0" borderId="67" xfId="1" applyNumberFormat="1" applyFont="1" applyFill="1" applyBorder="1" applyAlignment="1">
      <alignment horizontal="center" vertical="top" readingOrder="1"/>
    </xf>
    <xf numFmtId="2" fontId="29" fillId="0" borderId="73" xfId="1" applyNumberFormat="1" applyFont="1" applyFill="1" applyBorder="1" applyAlignment="1">
      <alignment horizontal="center" vertical="top" wrapText="1" readingOrder="1"/>
    </xf>
    <xf numFmtId="2" fontId="29" fillId="0" borderId="66" xfId="1" applyNumberFormat="1" applyFont="1" applyFill="1" applyBorder="1" applyAlignment="1">
      <alignment horizontal="center" vertical="top" wrapText="1" readingOrder="1"/>
    </xf>
    <xf numFmtId="2" fontId="29" fillId="0" borderId="68" xfId="1" applyNumberFormat="1" applyFont="1" applyFill="1" applyBorder="1" applyAlignment="1">
      <alignment horizontal="center" vertical="top" wrapText="1" readingOrder="1"/>
    </xf>
    <xf numFmtId="0" fontId="29" fillId="0" borderId="64" xfId="1" applyFont="1" applyFill="1" applyBorder="1" applyAlignment="1">
      <alignment horizontal="center" vertical="top" wrapText="1" readingOrder="1"/>
    </xf>
    <xf numFmtId="0" fontId="29" fillId="0" borderId="67" xfId="1" applyFont="1" applyFill="1" applyBorder="1" applyAlignment="1">
      <alignment horizontal="center" vertical="top" wrapText="1" readingOrder="1"/>
    </xf>
    <xf numFmtId="0" fontId="30" fillId="0" borderId="67" xfId="1" applyFont="1" applyFill="1" applyBorder="1" applyAlignment="1">
      <alignment horizontal="center" vertical="top" wrapText="1" readingOrder="1"/>
    </xf>
    <xf numFmtId="0" fontId="31" fillId="0" borderId="68" xfId="1" applyFont="1" applyFill="1" applyBorder="1" applyAlignment="1">
      <alignment horizontal="center" vertical="top" wrapText="1" readingOrder="1"/>
    </xf>
    <xf numFmtId="0" fontId="30" fillId="0" borderId="42" xfId="1" applyFont="1" applyFill="1" applyBorder="1" applyAlignment="1">
      <alignment horizontal="center" vertical="top" wrapText="1" readingOrder="1"/>
    </xf>
    <xf numFmtId="0" fontId="30" fillId="0" borderId="18" xfId="1" applyFont="1" applyFill="1" applyBorder="1" applyAlignment="1">
      <alignment horizontal="center" vertical="top" wrapText="1" readingOrder="1"/>
    </xf>
    <xf numFmtId="0" fontId="30" fillId="0" borderId="43" xfId="1" applyFont="1" applyFill="1" applyBorder="1" applyAlignment="1">
      <alignment horizontal="center" vertical="top" wrapText="1" readingOrder="1"/>
    </xf>
    <xf numFmtId="0" fontId="28" fillId="0" borderId="51" xfId="1" applyFont="1" applyFill="1" applyBorder="1" applyAlignment="1">
      <alignment horizontal="center" vertical="top" wrapText="1" readingOrder="1"/>
    </xf>
    <xf numFmtId="0" fontId="28" fillId="0" borderId="74" xfId="1" applyFont="1" applyFill="1" applyBorder="1" applyAlignment="1">
      <alignment horizontal="center" vertical="center" wrapText="1" readingOrder="1"/>
    </xf>
    <xf numFmtId="164" fontId="29" fillId="0" borderId="25" xfId="1" applyNumberFormat="1" applyFont="1" applyFill="1" applyBorder="1" applyAlignment="1">
      <alignment horizontal="center" vertical="center" wrapText="1" readingOrder="1"/>
    </xf>
    <xf numFmtId="0" fontId="29" fillId="0" borderId="55" xfId="1" applyNumberFormat="1" applyFont="1" applyFill="1" applyBorder="1" applyAlignment="1">
      <alignment horizontal="center" vertical="top" wrapText="1" readingOrder="1"/>
    </xf>
    <xf numFmtId="0" fontId="29" fillId="0" borderId="2" xfId="1" applyNumberFormat="1" applyFont="1" applyFill="1" applyBorder="1" applyAlignment="1">
      <alignment horizontal="center" vertical="top" wrapText="1" readingOrder="1"/>
    </xf>
    <xf numFmtId="0" fontId="29" fillId="0" borderId="2" xfId="1" applyNumberFormat="1" applyFont="1" applyFill="1" applyBorder="1" applyAlignment="1">
      <alignment horizontal="center" vertical="top" readingOrder="1"/>
    </xf>
    <xf numFmtId="2" fontId="29" fillId="0" borderId="2" xfId="1" applyNumberFormat="1" applyFont="1" applyFill="1" applyBorder="1" applyAlignment="1">
      <alignment horizontal="center" vertical="top" readingOrder="1"/>
    </xf>
    <xf numFmtId="1" fontId="29" fillId="0" borderId="2" xfId="1" applyNumberFormat="1" applyFont="1" applyFill="1" applyBorder="1" applyAlignment="1">
      <alignment horizontal="center" vertical="top" wrapText="1" readingOrder="1"/>
    </xf>
    <xf numFmtId="2" fontId="29" fillId="0" borderId="15" xfId="1" applyNumberFormat="1" applyFont="1" applyFill="1" applyBorder="1" applyAlignment="1">
      <alignment horizontal="center" vertical="top" wrapText="1" readingOrder="1"/>
    </xf>
    <xf numFmtId="2" fontId="29" fillId="0" borderId="55" xfId="1" applyNumberFormat="1" applyFont="1" applyFill="1" applyBorder="1" applyAlignment="1">
      <alignment horizontal="center" vertical="top" readingOrder="1"/>
    </xf>
    <xf numFmtId="2" fontId="29" fillId="0" borderId="56" xfId="1" applyNumberFormat="1" applyFont="1" applyFill="1" applyBorder="1" applyAlignment="1">
      <alignment horizontal="center" vertical="top" wrapText="1" readingOrder="1"/>
    </xf>
    <xf numFmtId="0" fontId="29" fillId="0" borderId="16" xfId="1" applyFont="1" applyFill="1" applyBorder="1" applyAlignment="1">
      <alignment horizontal="center" vertical="top" wrapText="1" readingOrder="1"/>
    </xf>
    <xf numFmtId="0" fontId="29" fillId="0" borderId="2" xfId="1" applyFont="1" applyFill="1" applyBorder="1" applyAlignment="1">
      <alignment horizontal="center" vertical="top" wrapText="1" readingOrder="1"/>
    </xf>
    <xf numFmtId="0" fontId="31" fillId="0" borderId="2" xfId="1" applyFont="1" applyFill="1" applyBorder="1" applyAlignment="1">
      <alignment horizontal="center" vertical="top" wrapText="1" readingOrder="1"/>
    </xf>
    <xf numFmtId="0" fontId="31" fillId="0" borderId="56" xfId="1" applyFont="1" applyFill="1" applyBorder="1" applyAlignment="1">
      <alignment horizontal="center" vertical="top" wrapText="1" readingOrder="1"/>
    </xf>
    <xf numFmtId="1" fontId="31" fillId="0" borderId="16" xfId="1" applyNumberFormat="1" applyFont="1" applyFill="1" applyBorder="1" applyAlignment="1">
      <alignment horizontal="center" vertical="top" wrapText="1" readingOrder="1"/>
    </xf>
    <xf numFmtId="1" fontId="31" fillId="0" borderId="2" xfId="1" applyNumberFormat="1" applyFont="1" applyFill="1" applyBorder="1" applyAlignment="1">
      <alignment horizontal="center" vertical="top" wrapText="1" readingOrder="1"/>
    </xf>
    <xf numFmtId="1" fontId="31" fillId="0" borderId="15" xfId="1" applyNumberFormat="1" applyFont="1" applyFill="1" applyBorder="1" applyAlignment="1">
      <alignment horizontal="center" vertical="top" wrapText="1" readingOrder="1"/>
    </xf>
    <xf numFmtId="2" fontId="29" fillId="0" borderId="54" xfId="1" applyNumberFormat="1" applyFont="1" applyFill="1" applyBorder="1" applyAlignment="1">
      <alignment horizontal="center" vertical="top" wrapText="1" readingOrder="1"/>
    </xf>
    <xf numFmtId="2" fontId="29" fillId="0" borderId="2" xfId="1" applyNumberFormat="1" applyFont="1" applyFill="1" applyBorder="1" applyAlignment="1">
      <alignment horizontal="center" vertical="top" wrapText="1" readingOrder="1"/>
    </xf>
    <xf numFmtId="0" fontId="29" fillId="0" borderId="75" xfId="1" applyFont="1" applyFill="1" applyBorder="1"/>
    <xf numFmtId="0" fontId="31" fillId="0" borderId="2" xfId="1" applyFont="1" applyBorder="1" applyAlignment="1">
      <alignment horizontal="center" vertical="top" wrapText="1" readingOrder="1"/>
    </xf>
    <xf numFmtId="1" fontId="31" fillId="9" borderId="15" xfId="1" applyNumberFormat="1" applyFont="1" applyFill="1" applyBorder="1" applyAlignment="1">
      <alignment horizontal="center" vertical="top" wrapText="1" readingOrder="1"/>
    </xf>
    <xf numFmtId="0" fontId="29" fillId="0" borderId="75" xfId="1" applyFont="1" applyBorder="1"/>
    <xf numFmtId="0" fontId="29" fillId="0" borderId="16" xfId="1" applyFont="1" applyFill="1" applyBorder="1" applyAlignment="1">
      <alignment vertical="top" wrapText="1" readingOrder="1"/>
    </xf>
    <xf numFmtId="0" fontId="29" fillId="0" borderId="2" xfId="1" applyFont="1" applyFill="1" applyBorder="1" applyAlignment="1">
      <alignment vertical="top" wrapText="1" readingOrder="1"/>
    </xf>
    <xf numFmtId="1" fontId="31" fillId="0" borderId="16" xfId="1" applyNumberFormat="1" applyFont="1" applyFill="1" applyBorder="1" applyAlignment="1">
      <alignment vertical="top" wrapText="1" readingOrder="1"/>
    </xf>
    <xf numFmtId="1" fontId="31" fillId="0" borderId="2" xfId="1" applyNumberFormat="1" applyFont="1" applyFill="1" applyBorder="1" applyAlignment="1">
      <alignment vertical="top" wrapText="1" readingOrder="1"/>
    </xf>
    <xf numFmtId="1" fontId="31" fillId="0" borderId="15" xfId="1" applyNumberFormat="1" applyFont="1" applyFill="1" applyBorder="1" applyAlignment="1">
      <alignment vertical="top" wrapText="1" readingOrder="1"/>
    </xf>
    <xf numFmtId="2" fontId="29" fillId="0" borderId="54" xfId="1" applyNumberFormat="1" applyFont="1" applyFill="1" applyBorder="1" applyAlignment="1">
      <alignment horizontal="center" vertical="center" wrapText="1" readingOrder="1"/>
    </xf>
    <xf numFmtId="2" fontId="29" fillId="0" borderId="54" xfId="1" applyNumberFormat="1" applyFont="1" applyFill="1" applyBorder="1" applyAlignment="1">
      <alignment vertical="top" wrapText="1" readingOrder="1"/>
    </xf>
    <xf numFmtId="0" fontId="29" fillId="0" borderId="16" xfId="1" applyFont="1" applyBorder="1"/>
    <xf numFmtId="164" fontId="29" fillId="0" borderId="25" xfId="1" applyNumberFormat="1" applyFont="1" applyFill="1" applyBorder="1" applyAlignment="1">
      <alignment horizontal="center" vertical="center"/>
    </xf>
    <xf numFmtId="2" fontId="29" fillId="0" borderId="2" xfId="1" applyNumberFormat="1" applyFont="1" applyFill="1" applyBorder="1" applyAlignment="1">
      <alignment horizontal="center" readingOrder="1"/>
    </xf>
    <xf numFmtId="0" fontId="29" fillId="0" borderId="16" xfId="1" applyFont="1" applyFill="1" applyBorder="1"/>
    <xf numFmtId="164" fontId="29" fillId="0" borderId="55" xfId="1" applyNumberFormat="1" applyFont="1" applyFill="1" applyBorder="1" applyAlignment="1">
      <alignment horizontal="center" vertical="top" wrapText="1" readingOrder="1"/>
    </xf>
    <xf numFmtId="0" fontId="29" fillId="0" borderId="15" xfId="1" applyFont="1" applyFill="1" applyBorder="1"/>
    <xf numFmtId="0" fontId="29" fillId="0" borderId="54" xfId="1" applyFont="1" applyBorder="1"/>
    <xf numFmtId="15" fontId="29" fillId="0" borderId="25" xfId="1" applyNumberFormat="1" applyFont="1" applyFill="1" applyBorder="1"/>
    <xf numFmtId="14" fontId="29" fillId="0" borderId="25" xfId="1" applyNumberFormat="1" applyFont="1" applyFill="1" applyBorder="1"/>
    <xf numFmtId="164" fontId="29" fillId="0" borderId="25" xfId="1" applyNumberFormat="1" applyFont="1" applyBorder="1" applyAlignment="1">
      <alignment horizontal="center" vertical="center"/>
    </xf>
    <xf numFmtId="0" fontId="29" fillId="0" borderId="55" xfId="1" applyNumberFormat="1" applyFont="1" applyBorder="1"/>
    <xf numFmtId="0" fontId="29" fillId="0" borderId="2" xfId="1" applyNumberFormat="1" applyFont="1" applyBorder="1"/>
    <xf numFmtId="2" fontId="29" fillId="0" borderId="2" xfId="1" applyNumberFormat="1" applyFont="1" applyBorder="1" applyAlignment="1">
      <alignment horizontal="center" readingOrder="1"/>
    </xf>
    <xf numFmtId="0" fontId="29" fillId="0" borderId="15" xfId="1" applyFont="1" applyBorder="1"/>
    <xf numFmtId="0" fontId="29" fillId="10" borderId="16" xfId="1" applyFont="1" applyFill="1" applyBorder="1"/>
    <xf numFmtId="0" fontId="29" fillId="10" borderId="2" xfId="1" applyFont="1" applyFill="1" applyBorder="1"/>
    <xf numFmtId="0" fontId="29" fillId="9" borderId="2" xfId="1" applyFont="1" applyFill="1" applyBorder="1"/>
    <xf numFmtId="0" fontId="29" fillId="9" borderId="15" xfId="1" applyFont="1" applyFill="1" applyBorder="1"/>
    <xf numFmtId="0" fontId="29" fillId="10" borderId="15" xfId="1" applyFont="1" applyFill="1" applyBorder="1"/>
    <xf numFmtId="164" fontId="29" fillId="0" borderId="0" xfId="1" applyNumberFormat="1" applyFont="1" applyAlignment="1">
      <alignment horizontal="center" vertical="center"/>
    </xf>
    <xf numFmtId="0" fontId="29" fillId="0" borderId="0" xfId="1" applyFont="1" applyAlignment="1">
      <alignment horizontal="center" readingOrder="1"/>
    </xf>
    <xf numFmtId="0" fontId="29" fillId="10" borderId="0" xfId="1" applyFont="1" applyFill="1"/>
    <xf numFmtId="0" fontId="5" fillId="0" borderId="0" xfId="1" applyFill="1"/>
    <xf numFmtId="0" fontId="30" fillId="0" borderId="2" xfId="1" applyNumberFormat="1" applyFont="1" applyFill="1" applyBorder="1" applyAlignment="1">
      <alignment horizontal="center" vertical="center" wrapText="1" readingOrder="1"/>
    </xf>
    <xf numFmtId="2" fontId="30" fillId="0" borderId="2" xfId="1" applyNumberFormat="1" applyFont="1" applyFill="1" applyBorder="1" applyAlignment="1">
      <alignment horizontal="center" vertical="center" wrapText="1" readingOrder="1"/>
    </xf>
    <xf numFmtId="0" fontId="30" fillId="0" borderId="2" xfId="1" applyFont="1" applyFill="1" applyBorder="1" applyAlignment="1">
      <alignment horizontal="center" vertical="center" wrapText="1" readingOrder="1"/>
    </xf>
    <xf numFmtId="0" fontId="28" fillId="0" borderId="2" xfId="1" applyFont="1" applyFill="1" applyBorder="1" applyAlignment="1">
      <alignment horizontal="center" vertical="center" wrapText="1" readingOrder="1"/>
    </xf>
    <xf numFmtId="0" fontId="28" fillId="0" borderId="2" xfId="1" applyFont="1" applyFill="1" applyBorder="1" applyAlignment="1">
      <alignment vertical="top" wrapText="1" readingOrder="1"/>
    </xf>
    <xf numFmtId="164" fontId="31" fillId="11" borderId="2" xfId="1" applyNumberFormat="1" applyFont="1" applyFill="1" applyBorder="1" applyAlignment="1">
      <alignment horizontal="center" vertical="center" wrapText="1" readingOrder="1"/>
    </xf>
    <xf numFmtId="0" fontId="31" fillId="11" borderId="2" xfId="1" applyNumberFormat="1" applyFont="1" applyFill="1" applyBorder="1" applyAlignment="1">
      <alignment horizontal="center" vertical="center" wrapText="1" readingOrder="1"/>
    </xf>
    <xf numFmtId="2" fontId="39" fillId="11" borderId="2" xfId="1" applyNumberFormat="1" applyFont="1" applyFill="1" applyBorder="1" applyAlignment="1">
      <alignment horizontal="center" vertical="center" readingOrder="1"/>
    </xf>
    <xf numFmtId="2" fontId="5" fillId="11" borderId="2" xfId="1" applyNumberFormat="1" applyFont="1" applyFill="1" applyBorder="1" applyAlignment="1">
      <alignment horizontal="center" vertical="center" readingOrder="1"/>
    </xf>
    <xf numFmtId="2" fontId="33" fillId="11" borderId="2" xfId="1" applyNumberFormat="1" applyFont="1" applyFill="1" applyBorder="1" applyAlignment="1">
      <alignment horizontal="center" vertical="center" readingOrder="1"/>
    </xf>
    <xf numFmtId="0" fontId="5" fillId="11" borderId="2" xfId="1" applyFill="1" applyBorder="1"/>
    <xf numFmtId="2" fontId="33" fillId="11" borderId="2" xfId="1" applyNumberFormat="1" applyFont="1" applyFill="1" applyBorder="1" applyAlignment="1">
      <alignment horizontal="center" vertical="center" wrapText="1" readingOrder="1"/>
    </xf>
    <xf numFmtId="0" fontId="31" fillId="11" borderId="2" xfId="1" applyFont="1" applyFill="1" applyBorder="1" applyAlignment="1">
      <alignment horizontal="center" vertical="center" wrapText="1" readingOrder="1"/>
    </xf>
    <xf numFmtId="1" fontId="31" fillId="11" borderId="2" xfId="1" applyNumberFormat="1" applyFont="1" applyFill="1" applyBorder="1" applyAlignment="1">
      <alignment horizontal="center" vertical="center" wrapText="1" readingOrder="1"/>
    </xf>
    <xf numFmtId="45" fontId="29" fillId="11" borderId="2" xfId="1" applyNumberFormat="1" applyFont="1" applyFill="1" applyBorder="1" applyAlignment="1">
      <alignment horizontal="center" vertical="center" wrapText="1" readingOrder="1"/>
    </xf>
    <xf numFmtId="0" fontId="5" fillId="11" borderId="0" xfId="1" applyFill="1"/>
    <xf numFmtId="164" fontId="5" fillId="0" borderId="0" xfId="1" applyNumberFormat="1"/>
    <xf numFmtId="0" fontId="5" fillId="0" borderId="0" xfId="1" applyNumberFormat="1"/>
    <xf numFmtId="2" fontId="30" fillId="12" borderId="2" xfId="1" applyNumberFormat="1" applyFont="1" applyFill="1" applyBorder="1" applyAlignment="1">
      <alignment horizontal="center" vertical="center" wrapText="1" readingOrder="1"/>
    </xf>
    <xf numFmtId="0" fontId="30" fillId="12" borderId="2" xfId="1" applyFont="1" applyFill="1" applyBorder="1" applyAlignment="1">
      <alignment horizontal="center" vertical="center" wrapText="1" readingOrder="1"/>
    </xf>
    <xf numFmtId="164" fontId="31" fillId="0" borderId="18" xfId="1" applyNumberFormat="1" applyFont="1" applyFill="1" applyBorder="1" applyAlignment="1">
      <alignment horizontal="center" vertical="center" wrapText="1" readingOrder="1"/>
    </xf>
    <xf numFmtId="0" fontId="32" fillId="0" borderId="2" xfId="1" applyFont="1" applyFill="1" applyBorder="1" applyAlignment="1">
      <alignment horizontal="center" vertical="center" wrapText="1" readingOrder="1"/>
    </xf>
    <xf numFmtId="0" fontId="32" fillId="0" borderId="17" xfId="1" applyFont="1" applyFill="1" applyBorder="1" applyAlignment="1">
      <alignment vertical="top" wrapText="1" readingOrder="1"/>
    </xf>
    <xf numFmtId="0" fontId="5" fillId="0" borderId="0" xfId="1" applyFont="1" applyFill="1"/>
    <xf numFmtId="0" fontId="4" fillId="7" borderId="31" xfId="1" applyFont="1" applyFill="1" applyBorder="1" applyAlignment="1">
      <alignment vertical="center" wrapText="1" readingOrder="1"/>
    </xf>
    <xf numFmtId="0" fontId="4" fillId="7" borderId="40" xfId="1" applyFont="1" applyFill="1" applyBorder="1" applyAlignment="1">
      <alignment vertical="center" wrapText="1" readingOrder="1"/>
    </xf>
    <xf numFmtId="0" fontId="4" fillId="7" borderId="5" xfId="1" applyFont="1" applyFill="1" applyBorder="1" applyAlignment="1">
      <alignment vertical="center" wrapText="1" readingOrder="1"/>
    </xf>
    <xf numFmtId="0" fontId="4" fillId="7" borderId="44" xfId="1" applyFont="1" applyFill="1" applyBorder="1" applyAlignment="1">
      <alignment vertical="center" wrapText="1" readingOrder="1"/>
    </xf>
    <xf numFmtId="0" fontId="4" fillId="7" borderId="43" xfId="1" applyFont="1" applyFill="1" applyBorder="1" applyAlignment="1">
      <alignment vertical="center" wrapText="1" readingOrder="1"/>
    </xf>
    <xf numFmtId="0" fontId="4" fillId="7" borderId="41" xfId="1" applyFont="1" applyFill="1" applyBorder="1" applyAlignment="1">
      <alignment vertical="center" wrapText="1" readingOrder="1"/>
    </xf>
    <xf numFmtId="0" fontId="4" fillId="7" borderId="42" xfId="1" applyFont="1" applyFill="1" applyBorder="1" applyAlignment="1">
      <alignment vertical="center" wrapText="1" readingOrder="1"/>
    </xf>
    <xf numFmtId="0" fontId="28" fillId="8" borderId="21" xfId="1" applyFont="1" applyFill="1" applyBorder="1" applyAlignment="1">
      <alignment vertical="center" wrapText="1" readingOrder="1"/>
    </xf>
    <xf numFmtId="0" fontId="28" fillId="8" borderId="22" xfId="1" applyFont="1" applyFill="1" applyBorder="1" applyAlignment="1">
      <alignment vertical="center" wrapText="1" readingOrder="1"/>
    </xf>
    <xf numFmtId="14" fontId="0" fillId="0" borderId="0" xfId="0" applyNumberFormat="1"/>
    <xf numFmtId="0" fontId="15" fillId="3" borderId="12" xfId="2" applyFont="1" applyFill="1" applyBorder="1" applyAlignment="1">
      <alignment horizontal="center" vertical="center" wrapText="1" readingOrder="1"/>
    </xf>
    <xf numFmtId="0" fontId="15" fillId="3" borderId="11" xfId="2" applyFont="1" applyFill="1" applyBorder="1" applyAlignment="1">
      <alignment horizontal="center" vertical="center" wrapText="1" readingOrder="1"/>
    </xf>
    <xf numFmtId="0" fontId="15" fillId="3" borderId="13" xfId="2" applyFont="1" applyFill="1" applyBorder="1" applyAlignment="1">
      <alignment horizontal="center" vertical="center" wrapText="1" readingOrder="1"/>
    </xf>
    <xf numFmtId="0" fontId="6" fillId="2" borderId="0" xfId="1" applyFont="1" applyFill="1" applyBorder="1" applyAlignment="1">
      <alignment horizontal="center"/>
    </xf>
    <xf numFmtId="0" fontId="5" fillId="0" borderId="0" xfId="1"/>
    <xf numFmtId="0" fontId="5" fillId="0" borderId="1" xfId="1" applyBorder="1"/>
    <xf numFmtId="0" fontId="5" fillId="2" borderId="0" xfId="1" applyFont="1" applyFill="1" applyBorder="1" applyAlignment="1">
      <alignment horizontal="left"/>
    </xf>
    <xf numFmtId="0" fontId="5" fillId="2" borderId="1" xfId="1" applyFont="1" applyFill="1" applyBorder="1" applyAlignment="1">
      <alignment horizontal="left"/>
    </xf>
    <xf numFmtId="0" fontId="13" fillId="3" borderId="2" xfId="2" applyFont="1" applyFill="1" applyBorder="1" applyAlignment="1">
      <alignment horizontal="center" wrapText="1" readingOrder="1"/>
    </xf>
    <xf numFmtId="0" fontId="14" fillId="4" borderId="3" xfId="2" applyFont="1" applyFill="1" applyBorder="1" applyAlignment="1">
      <alignment horizontal="center" vertical="center" wrapText="1" readingOrder="1"/>
    </xf>
    <xf numFmtId="0" fontId="14" fillId="4" borderId="6" xfId="2" applyFont="1" applyFill="1" applyBorder="1" applyAlignment="1">
      <alignment horizontal="center" vertical="center" wrapText="1" readingOrder="1"/>
    </xf>
    <xf numFmtId="0" fontId="14" fillId="4" borderId="7" xfId="2" applyFont="1" applyFill="1" applyBorder="1" applyAlignment="1">
      <alignment horizontal="center" vertical="center" wrapText="1" readingOrder="1"/>
    </xf>
    <xf numFmtId="164" fontId="15" fillId="4" borderId="4" xfId="2" applyNumberFormat="1" applyFont="1" applyFill="1" applyBorder="1" applyAlignment="1">
      <alignment horizontal="center" vertical="center" wrapText="1" readingOrder="1"/>
    </xf>
    <xf numFmtId="0" fontId="15" fillId="4" borderId="5" xfId="2" applyFont="1" applyFill="1" applyBorder="1" applyAlignment="1">
      <alignment horizontal="center" vertical="center" wrapText="1" readingOrder="1"/>
    </xf>
    <xf numFmtId="0" fontId="14" fillId="4" borderId="2" xfId="2" applyFont="1" applyFill="1" applyBorder="1" applyAlignment="1">
      <alignment horizontal="center" vertical="center" wrapText="1" readingOrder="1"/>
    </xf>
    <xf numFmtId="0" fontId="9" fillId="2" borderId="0" xfId="1" applyFont="1" applyFill="1" applyBorder="1" applyAlignment="1">
      <alignment horizontal="left"/>
    </xf>
    <xf numFmtId="0" fontId="9" fillId="0" borderId="15" xfId="1" applyFont="1" applyBorder="1" applyAlignment="1">
      <alignment horizontal="center" vertical="top" wrapText="1"/>
    </xf>
    <xf numFmtId="0" fontId="9" fillId="0" borderId="16" xfId="1" applyFont="1" applyBorder="1" applyAlignment="1">
      <alignment horizontal="center" vertical="top" wrapText="1"/>
    </xf>
    <xf numFmtId="0" fontId="9" fillId="0" borderId="2" xfId="1" applyFont="1" applyFill="1" applyBorder="1" applyAlignment="1">
      <alignment horizontal="center" vertical="top" wrapText="1"/>
    </xf>
    <xf numFmtId="0" fontId="5" fillId="0" borderId="17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18" xfId="1" applyFont="1" applyBorder="1" applyAlignment="1">
      <alignment horizontal="center" vertical="center" wrapText="1"/>
    </xf>
    <xf numFmtId="0" fontId="25" fillId="2" borderId="0" xfId="1" applyFont="1" applyFill="1" applyBorder="1" applyAlignment="1">
      <alignment horizontal="center"/>
    </xf>
    <xf numFmtId="0" fontId="8" fillId="0" borderId="0" xfId="1" applyFont="1" applyAlignment="1">
      <alignment horizontal="center"/>
    </xf>
    <xf numFmtId="0" fontId="8" fillId="0" borderId="19" xfId="1" applyFont="1" applyBorder="1" applyAlignment="1">
      <alignment horizontal="center"/>
    </xf>
    <xf numFmtId="0" fontId="13" fillId="3" borderId="20" xfId="1" applyFont="1" applyFill="1" applyBorder="1" applyAlignment="1">
      <alignment horizontal="center" wrapText="1" readingOrder="1"/>
    </xf>
    <xf numFmtId="0" fontId="14" fillId="4" borderId="21" xfId="1" applyFont="1" applyFill="1" applyBorder="1" applyAlignment="1">
      <alignment horizontal="center" vertical="center" wrapText="1" readingOrder="1"/>
    </xf>
    <xf numFmtId="0" fontId="14" fillId="4" borderId="22" xfId="1" applyFont="1" applyFill="1" applyBorder="1" applyAlignment="1">
      <alignment horizontal="center" vertical="center" wrapText="1" readingOrder="1"/>
    </xf>
    <xf numFmtId="0" fontId="14" fillId="4" borderId="23" xfId="1" applyFont="1" applyFill="1" applyBorder="1" applyAlignment="1">
      <alignment horizontal="center" vertical="center" wrapText="1" readingOrder="1"/>
    </xf>
    <xf numFmtId="0" fontId="15" fillId="4" borderId="20" xfId="1" applyFont="1" applyFill="1" applyBorder="1" applyAlignment="1">
      <alignment horizontal="center" vertical="center" wrapText="1" readingOrder="1"/>
    </xf>
    <xf numFmtId="0" fontId="5" fillId="0" borderId="20" xfId="1" applyBorder="1"/>
    <xf numFmtId="0" fontId="15" fillId="4" borderId="21" xfId="1" applyFont="1" applyFill="1" applyBorder="1" applyAlignment="1">
      <alignment horizontal="center" vertical="center" wrapText="1" readingOrder="1"/>
    </xf>
    <xf numFmtId="0" fontId="15" fillId="4" borderId="22" xfId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/>
    </xf>
    <xf numFmtId="0" fontId="15" fillId="4" borderId="23" xfId="1" applyFont="1" applyFill="1" applyBorder="1" applyAlignment="1">
      <alignment horizontal="center" vertical="center" wrapText="1" readingOrder="1"/>
    </xf>
    <xf numFmtId="0" fontId="15" fillId="3" borderId="15" xfId="1" applyFont="1" applyFill="1" applyBorder="1" applyAlignment="1">
      <alignment horizontal="center" vertical="center" wrapText="1" readingOrder="1"/>
    </xf>
    <xf numFmtId="0" fontId="15" fillId="3" borderId="16" xfId="1" applyFont="1" applyFill="1" applyBorder="1" applyAlignment="1">
      <alignment horizontal="center" vertical="center" wrapText="1" readingOrder="1"/>
    </xf>
    <xf numFmtId="0" fontId="15" fillId="3" borderId="27" xfId="1" applyFont="1" applyFill="1" applyBorder="1" applyAlignment="1">
      <alignment horizontal="center" vertical="center" wrapText="1" readingOrder="1"/>
    </xf>
    <xf numFmtId="0" fontId="15" fillId="3" borderId="15" xfId="1" applyFont="1" applyFill="1" applyBorder="1" applyAlignment="1">
      <alignment horizontal="center" vertical="center" wrapText="1"/>
    </xf>
    <xf numFmtId="0" fontId="15" fillId="3" borderId="27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center" wrapText="1"/>
    </xf>
    <xf numFmtId="2" fontId="15" fillId="4" borderId="20" xfId="1" applyNumberFormat="1" applyFont="1" applyFill="1" applyBorder="1" applyAlignment="1">
      <alignment horizontal="center" vertical="center" wrapText="1" readingOrder="1"/>
    </xf>
    <xf numFmtId="2" fontId="28" fillId="8" borderId="35" xfId="1" applyNumberFormat="1" applyFont="1" applyFill="1" applyBorder="1" applyAlignment="1">
      <alignment horizontal="center" vertical="center" wrapText="1" readingOrder="1"/>
    </xf>
    <xf numFmtId="2" fontId="28" fillId="8" borderId="36" xfId="1" applyNumberFormat="1" applyFont="1" applyFill="1" applyBorder="1" applyAlignment="1">
      <alignment horizontal="center" vertical="center" wrapText="1" readingOrder="1"/>
    </xf>
    <xf numFmtId="2" fontId="28" fillId="8" borderId="37" xfId="1" applyNumberFormat="1" applyFont="1" applyFill="1" applyBorder="1" applyAlignment="1">
      <alignment horizontal="center" vertical="center" wrapText="1" readingOrder="1"/>
    </xf>
    <xf numFmtId="0" fontId="14" fillId="8" borderId="32" xfId="1" applyFont="1" applyFill="1" applyBorder="1" applyAlignment="1">
      <alignment horizontal="center" vertical="center" wrapText="1" readingOrder="1"/>
    </xf>
    <xf numFmtId="0" fontId="28" fillId="8" borderId="33" xfId="1" applyFont="1" applyFill="1" applyBorder="1" applyAlignment="1">
      <alignment horizontal="center" vertical="center" wrapText="1" readingOrder="1"/>
    </xf>
    <xf numFmtId="0" fontId="28" fillId="8" borderId="34" xfId="1" applyFont="1" applyFill="1" applyBorder="1" applyAlignment="1">
      <alignment horizontal="center" vertical="center" wrapText="1" readingOrder="1"/>
    </xf>
    <xf numFmtId="0" fontId="28" fillId="8" borderId="35" xfId="1" applyFont="1" applyFill="1" applyBorder="1" applyAlignment="1">
      <alignment horizontal="center" vertical="center" wrapText="1" readingOrder="1"/>
    </xf>
    <xf numFmtId="0" fontId="28" fillId="8" borderId="36" xfId="1" applyFont="1" applyFill="1" applyBorder="1" applyAlignment="1">
      <alignment horizontal="center" vertical="center" wrapText="1" readingOrder="1"/>
    </xf>
    <xf numFmtId="0" fontId="28" fillId="8" borderId="37" xfId="1" applyFont="1" applyFill="1" applyBorder="1" applyAlignment="1">
      <alignment horizontal="center" vertical="center" wrapText="1" readingOrder="1"/>
    </xf>
    <xf numFmtId="0" fontId="28" fillId="8" borderId="38" xfId="1" applyFont="1" applyFill="1" applyBorder="1" applyAlignment="1">
      <alignment horizontal="center" vertical="center" wrapText="1" readingOrder="1"/>
    </xf>
    <xf numFmtId="0" fontId="28" fillId="8" borderId="4" xfId="1" applyFont="1" applyFill="1" applyBorder="1" applyAlignment="1">
      <alignment horizontal="center" vertical="center" wrapText="1" readingOrder="1"/>
    </xf>
    <xf numFmtId="0" fontId="28" fillId="8" borderId="50" xfId="1" applyFont="1" applyFill="1" applyBorder="1" applyAlignment="1">
      <alignment horizontal="center" vertical="center" wrapText="1" readingOrder="1"/>
    </xf>
    <xf numFmtId="0" fontId="4" fillId="7" borderId="5" xfId="1" applyFont="1" applyFill="1" applyBorder="1" applyAlignment="1">
      <alignment horizontal="center" vertical="center" wrapText="1" readingOrder="1"/>
    </xf>
    <xf numFmtId="0" fontId="4" fillId="7" borderId="48" xfId="1" applyFont="1" applyFill="1" applyBorder="1" applyAlignment="1">
      <alignment horizontal="center" vertical="center" wrapText="1" readingOrder="1"/>
    </xf>
    <xf numFmtId="0" fontId="4" fillId="7" borderId="45" xfId="1" applyFont="1" applyFill="1" applyBorder="1" applyAlignment="1">
      <alignment horizontal="center" vertical="center" wrapText="1" readingOrder="1"/>
    </xf>
    <xf numFmtId="0" fontId="4" fillId="7" borderId="49" xfId="1" applyFont="1" applyFill="1" applyBorder="1" applyAlignment="1">
      <alignment horizontal="center" vertical="center" wrapText="1" readingOrder="1"/>
    </xf>
    <xf numFmtId="0" fontId="4" fillId="7" borderId="39" xfId="1" applyFont="1" applyFill="1" applyBorder="1" applyAlignment="1">
      <alignment horizontal="center" vertical="center" wrapText="1" readingOrder="1"/>
    </xf>
    <xf numFmtId="0" fontId="30" fillId="0" borderId="43" xfId="1" applyNumberFormat="1" applyFont="1" applyFill="1" applyBorder="1" applyAlignment="1">
      <alignment horizontal="center" vertical="center" wrapText="1" readingOrder="1"/>
    </xf>
    <xf numFmtId="0" fontId="30" fillId="0" borderId="41" xfId="1" applyNumberFormat="1" applyFont="1" applyFill="1" applyBorder="1" applyAlignment="1">
      <alignment horizontal="center" vertical="center" wrapText="1" readingOrder="1"/>
    </xf>
    <xf numFmtId="0" fontId="30" fillId="0" borderId="42" xfId="1" applyNumberFormat="1" applyFont="1" applyFill="1" applyBorder="1" applyAlignment="1">
      <alignment horizontal="center" vertical="center" wrapText="1" readingOrder="1"/>
    </xf>
    <xf numFmtId="0" fontId="4" fillId="7" borderId="43" xfId="1" applyFont="1" applyFill="1" applyBorder="1" applyAlignment="1">
      <alignment horizontal="center" vertical="center" wrapText="1" readingOrder="1"/>
    </xf>
    <xf numFmtId="0" fontId="4" fillId="7" borderId="41" xfId="1" applyFont="1" applyFill="1" applyBorder="1" applyAlignment="1">
      <alignment horizontal="center" vertical="center" wrapText="1" readingOrder="1"/>
    </xf>
    <xf numFmtId="0" fontId="4" fillId="7" borderId="42" xfId="1" applyFont="1" applyFill="1" applyBorder="1" applyAlignment="1">
      <alignment horizontal="center" vertical="center" wrapText="1" readingOrder="1"/>
    </xf>
    <xf numFmtId="2" fontId="28" fillId="8" borderId="32" xfId="1" applyNumberFormat="1" applyFont="1" applyFill="1" applyBorder="1" applyAlignment="1">
      <alignment horizontal="center" vertical="center" wrapText="1" readingOrder="1"/>
    </xf>
    <xf numFmtId="2" fontId="28" fillId="8" borderId="33" xfId="1" applyNumberFormat="1" applyFont="1" applyFill="1" applyBorder="1" applyAlignment="1">
      <alignment horizontal="center" vertical="center" wrapText="1" readingOrder="1"/>
    </xf>
    <xf numFmtId="2" fontId="28" fillId="8" borderId="34" xfId="1" applyNumberFormat="1" applyFont="1" applyFill="1" applyBorder="1" applyAlignment="1">
      <alignment horizontal="center" vertical="center" wrapText="1" readingOrder="1"/>
    </xf>
    <xf numFmtId="0" fontId="4" fillId="7" borderId="24" xfId="1" applyFont="1" applyFill="1" applyBorder="1" applyAlignment="1">
      <alignment horizontal="center" vertical="center" wrapText="1" readingOrder="1"/>
    </xf>
    <xf numFmtId="0" fontId="33" fillId="0" borderId="58" xfId="1" applyFont="1" applyFill="1" applyBorder="1" applyAlignment="1">
      <alignment horizontal="center" vertical="center" wrapText="1" readingOrder="1"/>
    </xf>
    <xf numFmtId="0" fontId="33" fillId="0" borderId="22" xfId="1" applyFont="1" applyFill="1" applyBorder="1" applyAlignment="1">
      <alignment horizontal="center" vertical="center" wrapText="1" readingOrder="1"/>
    </xf>
    <xf numFmtId="0" fontId="33" fillId="0" borderId="59" xfId="1" applyFont="1" applyFill="1" applyBorder="1" applyAlignment="1">
      <alignment horizontal="center" vertical="center" wrapText="1" readingOrder="1"/>
    </xf>
    <xf numFmtId="0" fontId="4" fillId="7" borderId="44" xfId="1" applyFont="1" applyFill="1" applyBorder="1" applyAlignment="1">
      <alignment horizontal="center" vertical="center" wrapText="1" readingOrder="1"/>
    </xf>
    <xf numFmtId="2" fontId="28" fillId="8" borderId="39" xfId="1" applyNumberFormat="1" applyFont="1" applyFill="1" applyBorder="1" applyAlignment="1">
      <alignment horizontal="center" vertical="center" wrapText="1" readingOrder="1"/>
    </xf>
    <xf numFmtId="2" fontId="28" fillId="8" borderId="45" xfId="1" applyNumberFormat="1" applyFont="1" applyFill="1" applyBorder="1" applyAlignment="1">
      <alignment horizontal="center" vertical="center" wrapText="1" readingOrder="1"/>
    </xf>
    <xf numFmtId="2" fontId="28" fillId="8" borderId="49" xfId="1" applyNumberFormat="1" applyFont="1" applyFill="1" applyBorder="1" applyAlignment="1">
      <alignment horizontal="center" vertical="center" wrapText="1" readingOrder="1"/>
    </xf>
    <xf numFmtId="164" fontId="31" fillId="0" borderId="58" xfId="1" applyNumberFormat="1" applyFont="1" applyFill="1" applyBorder="1" applyAlignment="1">
      <alignment horizontal="center" vertical="center" wrapText="1" readingOrder="1"/>
    </xf>
    <xf numFmtId="164" fontId="31" fillId="0" borderId="22" xfId="1" applyNumberFormat="1" applyFont="1" applyFill="1" applyBorder="1" applyAlignment="1">
      <alignment horizontal="center" vertical="center" wrapText="1" readingOrder="1"/>
    </xf>
    <xf numFmtId="0" fontId="4" fillId="7" borderId="38" xfId="1" applyFont="1" applyFill="1" applyBorder="1" applyAlignment="1">
      <alignment horizontal="center" vertical="center" wrapText="1" readingOrder="1"/>
    </xf>
    <xf numFmtId="0" fontId="4" fillId="7" borderId="51" xfId="1" applyFont="1" applyFill="1" applyBorder="1" applyAlignment="1">
      <alignment horizontal="center" vertical="center" wrapText="1" readingOrder="1"/>
    </xf>
    <xf numFmtId="0" fontId="4" fillId="7" borderId="54" xfId="1" applyFont="1" applyFill="1" applyBorder="1" applyAlignment="1">
      <alignment horizontal="center" vertical="center" wrapText="1" readingOrder="1"/>
    </xf>
    <xf numFmtId="0" fontId="4" fillId="7" borderId="69" xfId="1" applyFont="1" applyFill="1" applyBorder="1" applyAlignment="1">
      <alignment horizontal="center" vertical="center" wrapText="1" readingOrder="1"/>
    </xf>
    <xf numFmtId="2" fontId="28" fillId="8" borderId="32" xfId="1" applyNumberFormat="1" applyFont="1" applyFill="1" applyBorder="1" applyAlignment="1">
      <alignment horizontal="center" vertical="top" wrapText="1" readingOrder="1"/>
    </xf>
    <xf numFmtId="2" fontId="28" fillId="8" borderId="33" xfId="1" applyNumberFormat="1" applyFont="1" applyFill="1" applyBorder="1" applyAlignment="1">
      <alignment horizontal="center" vertical="top" wrapText="1" readingOrder="1"/>
    </xf>
    <xf numFmtId="2" fontId="28" fillId="8" borderId="35" xfId="1" applyNumberFormat="1" applyFont="1" applyFill="1" applyBorder="1" applyAlignment="1">
      <alignment horizontal="center" vertical="top" wrapText="1" readingOrder="1"/>
    </xf>
    <xf numFmtId="2" fontId="28" fillId="8" borderId="36" xfId="1" applyNumberFormat="1" applyFont="1" applyFill="1" applyBorder="1" applyAlignment="1">
      <alignment horizontal="center" vertical="top" wrapText="1" readingOrder="1"/>
    </xf>
    <xf numFmtId="2" fontId="28" fillId="8" borderId="37" xfId="1" applyNumberFormat="1" applyFont="1" applyFill="1" applyBorder="1" applyAlignment="1">
      <alignment horizontal="center" vertical="top" wrapText="1" readingOrder="1"/>
    </xf>
    <xf numFmtId="0" fontId="36" fillId="8" borderId="31" xfId="1" applyFont="1" applyFill="1" applyBorder="1" applyAlignment="1">
      <alignment horizontal="center" vertical="top" wrapText="1" readingOrder="1"/>
    </xf>
    <xf numFmtId="0" fontId="36" fillId="8" borderId="61" xfId="1" applyFont="1" applyFill="1" applyBorder="1" applyAlignment="1">
      <alignment horizontal="center" vertical="top" wrapText="1" readingOrder="1"/>
    </xf>
    <xf numFmtId="0" fontId="36" fillId="8" borderId="3" xfId="1" applyFont="1" applyFill="1" applyBorder="1" applyAlignment="1">
      <alignment horizontal="center" vertical="top" wrapText="1" readingOrder="1"/>
    </xf>
    <xf numFmtId="0" fontId="28" fillId="8" borderId="38" xfId="1" applyFont="1" applyFill="1" applyBorder="1" applyAlignment="1">
      <alignment horizontal="center" vertical="top" wrapText="1" readingOrder="1"/>
    </xf>
    <xf numFmtId="0" fontId="28" fillId="8" borderId="44" xfId="1" applyFont="1" applyFill="1" applyBorder="1" applyAlignment="1">
      <alignment horizontal="center" vertical="top" wrapText="1" readingOrder="1"/>
    </xf>
    <xf numFmtId="0" fontId="28" fillId="8" borderId="39" xfId="1" applyFont="1" applyFill="1" applyBorder="1" applyAlignment="1">
      <alignment horizontal="center" vertical="top" wrapText="1" readingOrder="1"/>
    </xf>
    <xf numFmtId="0" fontId="4" fillId="7" borderId="66" xfId="1" applyFont="1" applyFill="1" applyBorder="1" applyAlignment="1">
      <alignment horizontal="center" vertical="center" wrapText="1" readingOrder="1"/>
    </xf>
    <xf numFmtId="0" fontId="4" fillId="7" borderId="46" xfId="1" applyFont="1" applyFill="1" applyBorder="1" applyAlignment="1">
      <alignment horizontal="center" vertical="center" wrapText="1" readingOrder="1"/>
    </xf>
    <xf numFmtId="0" fontId="4" fillId="7" borderId="67" xfId="1" applyFont="1" applyFill="1" applyBorder="1" applyAlignment="1">
      <alignment horizontal="center" vertical="center" wrapText="1" readingOrder="1"/>
    </xf>
    <xf numFmtId="0" fontId="4" fillId="7" borderId="47" xfId="1" applyFont="1" applyFill="1" applyBorder="1" applyAlignment="1">
      <alignment horizontal="center" vertical="center" wrapText="1" readingOrder="1"/>
    </xf>
    <xf numFmtId="0" fontId="4" fillId="7" borderId="68" xfId="1" applyFont="1" applyFill="1" applyBorder="1" applyAlignment="1">
      <alignment horizontal="center" vertical="center" wrapText="1" readingOrder="1"/>
    </xf>
    <xf numFmtId="0" fontId="4" fillId="7" borderId="71" xfId="1" applyFont="1" applyFill="1" applyBorder="1" applyAlignment="1">
      <alignment horizontal="center" vertical="center" wrapText="1" readingOrder="1"/>
    </xf>
    <xf numFmtId="0" fontId="4" fillId="7" borderId="64" xfId="1" applyFont="1" applyFill="1" applyBorder="1" applyAlignment="1">
      <alignment horizontal="center" vertical="center" wrapText="1" readingOrder="1"/>
    </xf>
    <xf numFmtId="0" fontId="4" fillId="7" borderId="72" xfId="1" applyFont="1" applyFill="1" applyBorder="1" applyAlignment="1">
      <alignment horizontal="center" vertical="center" wrapText="1" readingOrder="1"/>
    </xf>
    <xf numFmtId="0" fontId="29" fillId="0" borderId="75" xfId="1" applyFont="1" applyFill="1" applyBorder="1" applyAlignment="1">
      <alignment horizontal="left" vertical="center"/>
    </xf>
    <xf numFmtId="0" fontId="31" fillId="0" borderId="2" xfId="1" applyFont="1" applyFill="1" applyBorder="1" applyAlignment="1">
      <alignment horizontal="center" vertical="top" wrapText="1" readingOrder="1"/>
    </xf>
    <xf numFmtId="0" fontId="28" fillId="8" borderId="21" xfId="1" applyFont="1" applyFill="1" applyBorder="1" applyAlignment="1">
      <alignment horizontal="center" vertical="center" wrapText="1" readingOrder="1"/>
    </xf>
    <xf numFmtId="0" fontId="28" fillId="8" borderId="22" xfId="1" applyFont="1" applyFill="1" applyBorder="1" applyAlignment="1">
      <alignment horizontal="center" vertical="center" wrapText="1" readingOrder="1"/>
    </xf>
    <xf numFmtId="0" fontId="28" fillId="8" borderId="23" xfId="1" applyFont="1" applyFill="1" applyBorder="1" applyAlignment="1">
      <alignment horizontal="center" vertical="center" wrapText="1" readingOrder="1"/>
    </xf>
    <xf numFmtId="0" fontId="4" fillId="7" borderId="62" xfId="1" applyFont="1" applyFill="1" applyBorder="1" applyAlignment="1">
      <alignment horizontal="center" vertical="center" wrapText="1" readingOrder="1"/>
    </xf>
    <xf numFmtId="0" fontId="4" fillId="7" borderId="63" xfId="1" applyFont="1" applyFill="1" applyBorder="1" applyAlignment="1">
      <alignment horizontal="center" vertical="center" wrapText="1" readingOrder="1"/>
    </xf>
    <xf numFmtId="0" fontId="4" fillId="7" borderId="65" xfId="1" applyFont="1" applyFill="1" applyBorder="1" applyAlignment="1">
      <alignment horizontal="center" vertical="center" wrapText="1" readingOrder="1"/>
    </xf>
    <xf numFmtId="0" fontId="4" fillId="7" borderId="70" xfId="1" applyFont="1" applyFill="1" applyBorder="1" applyAlignment="1">
      <alignment horizontal="center" vertical="center" wrapText="1" readingOrder="1"/>
    </xf>
    <xf numFmtId="2" fontId="30" fillId="0" borderId="15" xfId="1" applyNumberFormat="1" applyFont="1" applyFill="1" applyBorder="1" applyAlignment="1">
      <alignment horizontal="center" vertical="center" wrapText="1" readingOrder="1"/>
    </xf>
    <xf numFmtId="2" fontId="30" fillId="0" borderId="27" xfId="1" applyNumberFormat="1" applyFont="1" applyFill="1" applyBorder="1" applyAlignment="1">
      <alignment horizontal="center" vertical="center" wrapText="1" readingOrder="1"/>
    </xf>
    <xf numFmtId="2" fontId="30" fillId="0" borderId="16" xfId="1" applyNumberFormat="1" applyFont="1" applyFill="1" applyBorder="1" applyAlignment="1">
      <alignment horizontal="center" vertical="center" wrapText="1" readingOrder="1"/>
    </xf>
    <xf numFmtId="0" fontId="33" fillId="11" borderId="17" xfId="1" applyFont="1" applyFill="1" applyBorder="1" applyAlignment="1">
      <alignment horizontal="center" vertical="center" wrapText="1" readingOrder="1"/>
    </xf>
    <xf numFmtId="0" fontId="33" fillId="11" borderId="5" xfId="1" applyFont="1" applyFill="1" applyBorder="1" applyAlignment="1">
      <alignment horizontal="center" vertical="center" wrapText="1" readingOrder="1"/>
    </xf>
    <xf numFmtId="0" fontId="33" fillId="11" borderId="18" xfId="1" applyFont="1" applyFill="1" applyBorder="1" applyAlignment="1">
      <alignment horizontal="center" vertical="center" wrapText="1" readingOrder="1"/>
    </xf>
    <xf numFmtId="0" fontId="38" fillId="0" borderId="2" xfId="1" applyFont="1" applyFill="1" applyBorder="1" applyAlignment="1">
      <alignment horizontal="center" vertical="center" wrapText="1" readingOrder="1"/>
    </xf>
    <xf numFmtId="0" fontId="28" fillId="0" borderId="2" xfId="1" applyFont="1" applyFill="1" applyBorder="1" applyAlignment="1">
      <alignment vertical="top" wrapText="1" readingOrder="1"/>
    </xf>
    <xf numFmtId="164" fontId="30" fillId="0" borderId="17" xfId="1" applyNumberFormat="1" applyFont="1" applyFill="1" applyBorder="1" applyAlignment="1">
      <alignment horizontal="center" vertical="center" wrapText="1" readingOrder="1"/>
    </xf>
    <xf numFmtId="164" fontId="30" fillId="0" borderId="5" xfId="1" applyNumberFormat="1" applyFont="1" applyFill="1" applyBorder="1" applyAlignment="1">
      <alignment horizontal="center" vertical="center" wrapText="1" readingOrder="1"/>
    </xf>
    <xf numFmtId="164" fontId="30" fillId="0" borderId="18" xfId="1" applyNumberFormat="1" applyFont="1" applyFill="1" applyBorder="1" applyAlignment="1">
      <alignment horizontal="center" vertical="center" wrapText="1" readingOrder="1"/>
    </xf>
    <xf numFmtId="2" fontId="28" fillId="0" borderId="2" xfId="1" applyNumberFormat="1" applyFont="1" applyFill="1" applyBorder="1" applyAlignment="1">
      <alignment horizontal="center" vertical="center" wrapText="1" readingOrder="1"/>
    </xf>
    <xf numFmtId="0" fontId="28" fillId="0" borderId="2" xfId="1" applyFont="1" applyFill="1" applyBorder="1" applyAlignment="1">
      <alignment horizontal="center" vertical="center" wrapText="1" readingOrder="1"/>
    </xf>
    <xf numFmtId="0" fontId="30" fillId="0" borderId="15" xfId="1" applyNumberFormat="1" applyFont="1" applyFill="1" applyBorder="1" applyAlignment="1">
      <alignment horizontal="center" vertical="center" wrapText="1" readingOrder="1"/>
    </xf>
    <xf numFmtId="0" fontId="30" fillId="0" borderId="27" xfId="1" applyNumberFormat="1" applyFont="1" applyFill="1" applyBorder="1" applyAlignment="1">
      <alignment horizontal="center" vertical="center" wrapText="1" readingOrder="1"/>
    </xf>
    <xf numFmtId="0" fontId="30" fillId="0" borderId="16" xfId="1" applyNumberFormat="1" applyFont="1" applyFill="1" applyBorder="1" applyAlignment="1">
      <alignment horizontal="center" vertical="center" wrapText="1" readingOrder="1"/>
    </xf>
    <xf numFmtId="0" fontId="28" fillId="12" borderId="2" xfId="1" applyFont="1" applyFill="1" applyBorder="1" applyAlignment="1">
      <alignment horizontal="center" vertical="center" wrapText="1" readingOrder="1"/>
    </xf>
    <xf numFmtId="0" fontId="4" fillId="7" borderId="4" xfId="1" applyFont="1" applyFill="1" applyBorder="1" applyAlignment="1">
      <alignment vertical="center" wrapText="1" readingOrder="1"/>
    </xf>
    <xf numFmtId="0" fontId="4" fillId="7" borderId="39" xfId="1" applyFont="1" applyFill="1" applyBorder="1" applyAlignment="1">
      <alignment vertical="center" wrapText="1" readingOrder="1"/>
    </xf>
    <xf numFmtId="0" fontId="4" fillId="7" borderId="2" xfId="1" applyFont="1" applyFill="1" applyBorder="1" applyAlignment="1">
      <alignment vertical="center" wrapText="1" readingOrder="1"/>
    </xf>
    <xf numFmtId="0" fontId="4" fillId="7" borderId="76" xfId="1" applyFont="1" applyFill="1" applyBorder="1" applyAlignment="1">
      <alignment horizontal="center" vertical="center" wrapText="1" readingOrder="1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630140628485487E-2"/>
          <c:y val="0.13333338758682764"/>
          <c:w val="0.90958995370353335"/>
          <c:h val="0.70666695421018644"/>
        </c:manualLayout>
      </c:layout>
      <c:lineChart>
        <c:grouping val="standard"/>
        <c:varyColors val="0"/>
        <c:ser>
          <c:idx val="4"/>
          <c:order val="0"/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QC'!$D$4:$D$152</c:f>
              <c:numCache>
                <c:formatCode>General</c:formatCode>
                <c:ptCount val="149"/>
                <c:pt idx="0">
                  <c:v>97.474000000000004</c:v>
                </c:pt>
                <c:pt idx="1">
                  <c:v>97.128</c:v>
                </c:pt>
                <c:pt idx="2">
                  <c:v>94.442999999999998</c:v>
                </c:pt>
                <c:pt idx="3">
                  <c:v>96.212999999999994</c:v>
                </c:pt>
                <c:pt idx="4">
                  <c:v>96.19</c:v>
                </c:pt>
                <c:pt idx="5">
                  <c:v>96.03</c:v>
                </c:pt>
                <c:pt idx="6">
                  <c:v>96.58</c:v>
                </c:pt>
                <c:pt idx="7">
                  <c:v>100.13</c:v>
                </c:pt>
                <c:pt idx="8">
                  <c:v>99.97</c:v>
                </c:pt>
                <c:pt idx="9">
                  <c:v>95.99</c:v>
                </c:pt>
                <c:pt idx="10">
                  <c:v>95.56</c:v>
                </c:pt>
                <c:pt idx="12">
                  <c:v>95.37</c:v>
                </c:pt>
                <c:pt idx="14">
                  <c:v>95.369</c:v>
                </c:pt>
                <c:pt idx="15">
                  <c:v>95.23</c:v>
                </c:pt>
                <c:pt idx="16">
                  <c:v>95.01</c:v>
                </c:pt>
                <c:pt idx="17">
                  <c:v>95.76</c:v>
                </c:pt>
                <c:pt idx="18">
                  <c:v>95.91</c:v>
                </c:pt>
                <c:pt idx="19">
                  <c:v>97.406000000000006</c:v>
                </c:pt>
                <c:pt idx="20">
                  <c:v>96.63</c:v>
                </c:pt>
                <c:pt idx="21">
                  <c:v>97.28</c:v>
                </c:pt>
                <c:pt idx="22">
                  <c:v>97.322999999999993</c:v>
                </c:pt>
                <c:pt idx="23">
                  <c:v>96.89</c:v>
                </c:pt>
                <c:pt idx="24">
                  <c:v>96.65</c:v>
                </c:pt>
                <c:pt idx="27">
                  <c:v>97.47</c:v>
                </c:pt>
                <c:pt idx="29">
                  <c:v>97.36</c:v>
                </c:pt>
                <c:pt idx="33">
                  <c:v>96.45</c:v>
                </c:pt>
                <c:pt idx="37">
                  <c:v>97.08</c:v>
                </c:pt>
                <c:pt idx="49">
                  <c:v>100.8</c:v>
                </c:pt>
                <c:pt idx="50">
                  <c:v>97.44</c:v>
                </c:pt>
                <c:pt idx="60">
                  <c:v>94.31</c:v>
                </c:pt>
                <c:pt idx="61">
                  <c:v>93.8</c:v>
                </c:pt>
                <c:pt idx="62">
                  <c:v>95.63</c:v>
                </c:pt>
                <c:pt idx="63">
                  <c:v>95.56</c:v>
                </c:pt>
                <c:pt idx="64">
                  <c:v>95.83</c:v>
                </c:pt>
                <c:pt idx="65">
                  <c:v>96</c:v>
                </c:pt>
                <c:pt idx="134">
                  <c:v>99.14</c:v>
                </c:pt>
                <c:pt idx="139">
                  <c:v>99.18</c:v>
                </c:pt>
                <c:pt idx="140">
                  <c:v>95.82</c:v>
                </c:pt>
                <c:pt idx="141">
                  <c:v>99.16</c:v>
                </c:pt>
                <c:pt idx="142">
                  <c:v>98.87</c:v>
                </c:pt>
                <c:pt idx="143">
                  <c:v>98.94</c:v>
                </c:pt>
                <c:pt idx="144">
                  <c:v>99.49</c:v>
                </c:pt>
                <c:pt idx="145">
                  <c:v>95.47</c:v>
                </c:pt>
                <c:pt idx="146">
                  <c:v>96</c:v>
                </c:pt>
                <c:pt idx="147">
                  <c:v>95.82</c:v>
                </c:pt>
                <c:pt idx="148">
                  <c:v>94.92</c:v>
                </c:pt>
              </c:numCache>
            </c:numRef>
          </c:val>
          <c:smooth val="0"/>
        </c:ser>
        <c:ser>
          <c:idx val="5"/>
          <c:order val="1"/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QC'!$J$4:$J$152</c:f>
              <c:numCache>
                <c:formatCode>General</c:formatCode>
                <c:ptCount val="149"/>
                <c:pt idx="0">
                  <c:v>96.373999999999995</c:v>
                </c:pt>
                <c:pt idx="1">
                  <c:v>96.546999999999997</c:v>
                </c:pt>
                <c:pt idx="2">
                  <c:v>95.744</c:v>
                </c:pt>
                <c:pt idx="3">
                  <c:v>95.555999999999997</c:v>
                </c:pt>
                <c:pt idx="4">
                  <c:v>95.918000000000006</c:v>
                </c:pt>
                <c:pt idx="5">
                  <c:v>95.84</c:v>
                </c:pt>
                <c:pt idx="6">
                  <c:v>96.21</c:v>
                </c:pt>
                <c:pt idx="7">
                  <c:v>99</c:v>
                </c:pt>
                <c:pt idx="8">
                  <c:v>98.88</c:v>
                </c:pt>
                <c:pt idx="9">
                  <c:v>95.3</c:v>
                </c:pt>
                <c:pt idx="10">
                  <c:v>95.49</c:v>
                </c:pt>
                <c:pt idx="12">
                  <c:v>95.1</c:v>
                </c:pt>
                <c:pt idx="14">
                  <c:v>95.161000000000001</c:v>
                </c:pt>
                <c:pt idx="15">
                  <c:v>95.05</c:v>
                </c:pt>
                <c:pt idx="16">
                  <c:v>94.66</c:v>
                </c:pt>
                <c:pt idx="17">
                  <c:v>95.47</c:v>
                </c:pt>
                <c:pt idx="18">
                  <c:v>95.45</c:v>
                </c:pt>
                <c:pt idx="19">
                  <c:v>97.033000000000001</c:v>
                </c:pt>
                <c:pt idx="20">
                  <c:v>96.27</c:v>
                </c:pt>
                <c:pt idx="21">
                  <c:v>95.29</c:v>
                </c:pt>
                <c:pt idx="22">
                  <c:v>96.149000000000001</c:v>
                </c:pt>
                <c:pt idx="23">
                  <c:v>96.56</c:v>
                </c:pt>
                <c:pt idx="24">
                  <c:v>96.14</c:v>
                </c:pt>
                <c:pt idx="25">
                  <c:v>96.03</c:v>
                </c:pt>
                <c:pt idx="26">
                  <c:v>96.89</c:v>
                </c:pt>
                <c:pt idx="27">
                  <c:v>96.96</c:v>
                </c:pt>
                <c:pt idx="28">
                  <c:v>96.79</c:v>
                </c:pt>
                <c:pt idx="29">
                  <c:v>97.01</c:v>
                </c:pt>
                <c:pt idx="30">
                  <c:v>96.94</c:v>
                </c:pt>
                <c:pt idx="31">
                  <c:v>95.93</c:v>
                </c:pt>
                <c:pt idx="32">
                  <c:v>96.3</c:v>
                </c:pt>
                <c:pt idx="33">
                  <c:v>96.46</c:v>
                </c:pt>
                <c:pt idx="34">
                  <c:v>96.02</c:v>
                </c:pt>
                <c:pt idx="35">
                  <c:v>96.12</c:v>
                </c:pt>
                <c:pt idx="36">
                  <c:v>96.28</c:v>
                </c:pt>
                <c:pt idx="37">
                  <c:v>96.69</c:v>
                </c:pt>
                <c:pt idx="38">
                  <c:v>97.4</c:v>
                </c:pt>
                <c:pt idx="39">
                  <c:v>96.52</c:v>
                </c:pt>
                <c:pt idx="40">
                  <c:v>95.41</c:v>
                </c:pt>
                <c:pt idx="41">
                  <c:v>96.69</c:v>
                </c:pt>
                <c:pt idx="42">
                  <c:v>96.45</c:v>
                </c:pt>
                <c:pt idx="43">
                  <c:v>96.14</c:v>
                </c:pt>
                <c:pt idx="44">
                  <c:v>96.1</c:v>
                </c:pt>
                <c:pt idx="45">
                  <c:v>96.23</c:v>
                </c:pt>
                <c:pt idx="46">
                  <c:v>96.4</c:v>
                </c:pt>
                <c:pt idx="47">
                  <c:v>96.9</c:v>
                </c:pt>
                <c:pt idx="48">
                  <c:v>96.76</c:v>
                </c:pt>
                <c:pt idx="49">
                  <c:v>99.6</c:v>
                </c:pt>
                <c:pt idx="50">
                  <c:v>97.21</c:v>
                </c:pt>
                <c:pt idx="51">
                  <c:v>98.96</c:v>
                </c:pt>
                <c:pt idx="52">
                  <c:v>99.06</c:v>
                </c:pt>
                <c:pt idx="53">
                  <c:v>99.92</c:v>
                </c:pt>
                <c:pt idx="54">
                  <c:v>98.42</c:v>
                </c:pt>
                <c:pt idx="55">
                  <c:v>99.31</c:v>
                </c:pt>
                <c:pt idx="56">
                  <c:v>96.81</c:v>
                </c:pt>
                <c:pt idx="57">
                  <c:v>94.01</c:v>
                </c:pt>
                <c:pt idx="58">
                  <c:v>93.78</c:v>
                </c:pt>
                <c:pt idx="59">
                  <c:v>94.02</c:v>
                </c:pt>
                <c:pt idx="60">
                  <c:v>93.91</c:v>
                </c:pt>
                <c:pt idx="61">
                  <c:v>93.71</c:v>
                </c:pt>
                <c:pt idx="62">
                  <c:v>95.2</c:v>
                </c:pt>
                <c:pt idx="63">
                  <c:v>95.28</c:v>
                </c:pt>
                <c:pt idx="64">
                  <c:v>95.65</c:v>
                </c:pt>
                <c:pt idx="65">
                  <c:v>95.5</c:v>
                </c:pt>
                <c:pt idx="66">
                  <c:v>94.79</c:v>
                </c:pt>
                <c:pt idx="67">
                  <c:v>93.47</c:v>
                </c:pt>
                <c:pt idx="68">
                  <c:v>92.37</c:v>
                </c:pt>
                <c:pt idx="69">
                  <c:v>97.1</c:v>
                </c:pt>
                <c:pt idx="70">
                  <c:v>95.12</c:v>
                </c:pt>
                <c:pt idx="71">
                  <c:v>98.63</c:v>
                </c:pt>
                <c:pt idx="72">
                  <c:v>97.17</c:v>
                </c:pt>
                <c:pt idx="73">
                  <c:v>98.53</c:v>
                </c:pt>
                <c:pt idx="74">
                  <c:v>99.75</c:v>
                </c:pt>
                <c:pt idx="75">
                  <c:v>99.7</c:v>
                </c:pt>
                <c:pt idx="76">
                  <c:v>96.28</c:v>
                </c:pt>
                <c:pt idx="77">
                  <c:v>96.01</c:v>
                </c:pt>
                <c:pt idx="78">
                  <c:v>97.52</c:v>
                </c:pt>
                <c:pt idx="79">
                  <c:v>97.53</c:v>
                </c:pt>
                <c:pt idx="80">
                  <c:v>97.83</c:v>
                </c:pt>
                <c:pt idx="81">
                  <c:v>97.53</c:v>
                </c:pt>
                <c:pt idx="82">
                  <c:v>97.42</c:v>
                </c:pt>
                <c:pt idx="83">
                  <c:v>96.39</c:v>
                </c:pt>
                <c:pt idx="84">
                  <c:v>97.36</c:v>
                </c:pt>
                <c:pt idx="85">
                  <c:v>96.13</c:v>
                </c:pt>
                <c:pt idx="86">
                  <c:v>97.16</c:v>
                </c:pt>
                <c:pt idx="87">
                  <c:v>97.16</c:v>
                </c:pt>
                <c:pt idx="88">
                  <c:v>97.1</c:v>
                </c:pt>
                <c:pt idx="89">
                  <c:v>95.79</c:v>
                </c:pt>
                <c:pt idx="90">
                  <c:v>96.74</c:v>
                </c:pt>
                <c:pt idx="91">
                  <c:v>96.85</c:v>
                </c:pt>
                <c:pt idx="92">
                  <c:v>96.74</c:v>
                </c:pt>
                <c:pt idx="93">
                  <c:v>97.04</c:v>
                </c:pt>
                <c:pt idx="94">
                  <c:v>96.89</c:v>
                </c:pt>
                <c:pt idx="95">
                  <c:v>96.06</c:v>
                </c:pt>
                <c:pt idx="96">
                  <c:v>96.08</c:v>
                </c:pt>
                <c:pt idx="97">
                  <c:v>97.09</c:v>
                </c:pt>
                <c:pt idx="98">
                  <c:v>96.22</c:v>
                </c:pt>
                <c:pt idx="99">
                  <c:v>96.11</c:v>
                </c:pt>
                <c:pt idx="100">
                  <c:v>95.59</c:v>
                </c:pt>
                <c:pt idx="101">
                  <c:v>95.43</c:v>
                </c:pt>
                <c:pt idx="102">
                  <c:v>97.2</c:v>
                </c:pt>
                <c:pt idx="103">
                  <c:v>97.55</c:v>
                </c:pt>
                <c:pt idx="104">
                  <c:v>97.71</c:v>
                </c:pt>
                <c:pt idx="105">
                  <c:v>97.04</c:v>
                </c:pt>
                <c:pt idx="106">
                  <c:v>97.67</c:v>
                </c:pt>
                <c:pt idx="107">
                  <c:v>98.23</c:v>
                </c:pt>
                <c:pt idx="108">
                  <c:v>97.01</c:v>
                </c:pt>
                <c:pt idx="109">
                  <c:v>96.99</c:v>
                </c:pt>
                <c:pt idx="110">
                  <c:v>96.99</c:v>
                </c:pt>
                <c:pt idx="111">
                  <c:v>97.9</c:v>
                </c:pt>
                <c:pt idx="112">
                  <c:v>99.52</c:v>
                </c:pt>
                <c:pt idx="113">
                  <c:v>97.61</c:v>
                </c:pt>
                <c:pt idx="114">
                  <c:v>97.18</c:v>
                </c:pt>
                <c:pt idx="115">
                  <c:v>97.08</c:v>
                </c:pt>
                <c:pt idx="116">
                  <c:v>97.59</c:v>
                </c:pt>
                <c:pt idx="117">
                  <c:v>97.38</c:v>
                </c:pt>
                <c:pt idx="118">
                  <c:v>97.59</c:v>
                </c:pt>
                <c:pt idx="119">
                  <c:v>98.23</c:v>
                </c:pt>
                <c:pt idx="120">
                  <c:v>97.41</c:v>
                </c:pt>
                <c:pt idx="121">
                  <c:v>96.89</c:v>
                </c:pt>
                <c:pt idx="122">
                  <c:v>97.28</c:v>
                </c:pt>
                <c:pt idx="123">
                  <c:v>97.54</c:v>
                </c:pt>
                <c:pt idx="124">
                  <c:v>98.31</c:v>
                </c:pt>
                <c:pt idx="125">
                  <c:v>98.39</c:v>
                </c:pt>
                <c:pt idx="126">
                  <c:v>98.63</c:v>
                </c:pt>
                <c:pt idx="127">
                  <c:v>98.55</c:v>
                </c:pt>
                <c:pt idx="128">
                  <c:v>97.34</c:v>
                </c:pt>
                <c:pt idx="129">
                  <c:v>98.86</c:v>
                </c:pt>
                <c:pt idx="130">
                  <c:v>99.39</c:v>
                </c:pt>
                <c:pt idx="131">
                  <c:v>98.45</c:v>
                </c:pt>
                <c:pt idx="132">
                  <c:v>98.2</c:v>
                </c:pt>
                <c:pt idx="133">
                  <c:v>99.46</c:v>
                </c:pt>
                <c:pt idx="134">
                  <c:v>99.21</c:v>
                </c:pt>
                <c:pt idx="135">
                  <c:v>99.41</c:v>
                </c:pt>
                <c:pt idx="136">
                  <c:v>99.49</c:v>
                </c:pt>
                <c:pt idx="137">
                  <c:v>99.87</c:v>
                </c:pt>
                <c:pt idx="138">
                  <c:v>99.49</c:v>
                </c:pt>
                <c:pt idx="139">
                  <c:v>99.56</c:v>
                </c:pt>
                <c:pt idx="140">
                  <c:v>96.07</c:v>
                </c:pt>
                <c:pt idx="141">
                  <c:v>100.11</c:v>
                </c:pt>
                <c:pt idx="142">
                  <c:v>98.87</c:v>
                </c:pt>
                <c:pt idx="143">
                  <c:v>98.39</c:v>
                </c:pt>
                <c:pt idx="144">
                  <c:v>99</c:v>
                </c:pt>
                <c:pt idx="145">
                  <c:v>95.77</c:v>
                </c:pt>
                <c:pt idx="146">
                  <c:v>95.89</c:v>
                </c:pt>
                <c:pt idx="147">
                  <c:v>95.93</c:v>
                </c:pt>
                <c:pt idx="148">
                  <c:v>95.12</c:v>
                </c:pt>
              </c:numCache>
            </c:numRef>
          </c:val>
          <c:smooth val="0"/>
        </c:ser>
        <c:ser>
          <c:idx val="6"/>
          <c:order val="2"/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QC'!$P$4:$P$152</c:f>
              <c:numCache>
                <c:formatCode>General</c:formatCode>
                <c:ptCount val="149"/>
                <c:pt idx="0">
                  <c:v>96.546999999999997</c:v>
                </c:pt>
                <c:pt idx="1">
                  <c:v>98.120999999999995</c:v>
                </c:pt>
                <c:pt idx="2">
                  <c:v>97.763999999999996</c:v>
                </c:pt>
                <c:pt idx="3">
                  <c:v>95.311999999999998</c:v>
                </c:pt>
                <c:pt idx="4">
                  <c:v>95.686000000000007</c:v>
                </c:pt>
                <c:pt idx="5">
                  <c:v>95.441000000000003</c:v>
                </c:pt>
                <c:pt idx="6">
                  <c:v>95.608000000000004</c:v>
                </c:pt>
                <c:pt idx="7">
                  <c:v>98.12</c:v>
                </c:pt>
                <c:pt idx="8">
                  <c:v>98.24</c:v>
                </c:pt>
                <c:pt idx="9">
                  <c:v>94.39</c:v>
                </c:pt>
                <c:pt idx="10">
                  <c:v>95.02</c:v>
                </c:pt>
                <c:pt idx="12">
                  <c:v>94.49</c:v>
                </c:pt>
                <c:pt idx="14">
                  <c:v>94.625</c:v>
                </c:pt>
                <c:pt idx="15">
                  <c:v>94.58</c:v>
                </c:pt>
                <c:pt idx="16">
                  <c:v>94.35</c:v>
                </c:pt>
                <c:pt idx="17">
                  <c:v>95.24</c:v>
                </c:pt>
                <c:pt idx="18">
                  <c:v>95.22</c:v>
                </c:pt>
                <c:pt idx="19">
                  <c:v>96.668000000000006</c:v>
                </c:pt>
                <c:pt idx="20">
                  <c:v>95.92</c:v>
                </c:pt>
                <c:pt idx="21">
                  <c:v>94.51</c:v>
                </c:pt>
                <c:pt idx="22">
                  <c:v>95.915000000000006</c:v>
                </c:pt>
                <c:pt idx="23">
                  <c:v>96.06</c:v>
                </c:pt>
                <c:pt idx="24">
                  <c:v>95.74</c:v>
                </c:pt>
                <c:pt idx="27">
                  <c:v>96.28</c:v>
                </c:pt>
                <c:pt idx="29">
                  <c:v>96.2</c:v>
                </c:pt>
                <c:pt idx="33">
                  <c:v>95.53</c:v>
                </c:pt>
                <c:pt idx="37">
                  <c:v>95.82</c:v>
                </c:pt>
                <c:pt idx="49">
                  <c:v>101.62</c:v>
                </c:pt>
                <c:pt idx="50">
                  <c:v>96.7</c:v>
                </c:pt>
                <c:pt idx="60">
                  <c:v>93.42</c:v>
                </c:pt>
                <c:pt idx="61">
                  <c:v>93.43</c:v>
                </c:pt>
                <c:pt idx="62">
                  <c:v>94.64</c:v>
                </c:pt>
                <c:pt idx="63">
                  <c:v>94.8</c:v>
                </c:pt>
                <c:pt idx="64">
                  <c:v>95.03</c:v>
                </c:pt>
                <c:pt idx="65">
                  <c:v>93.95</c:v>
                </c:pt>
                <c:pt idx="69">
                  <c:v>95.56</c:v>
                </c:pt>
                <c:pt idx="139">
                  <c:v>100.96</c:v>
                </c:pt>
                <c:pt idx="140">
                  <c:v>98.31</c:v>
                </c:pt>
                <c:pt idx="141">
                  <c:v>101.86</c:v>
                </c:pt>
                <c:pt idx="142">
                  <c:v>101.38</c:v>
                </c:pt>
                <c:pt idx="143">
                  <c:v>100.8</c:v>
                </c:pt>
                <c:pt idx="144">
                  <c:v>100.63</c:v>
                </c:pt>
                <c:pt idx="145">
                  <c:v>96.79</c:v>
                </c:pt>
                <c:pt idx="146">
                  <c:v>96.71</c:v>
                </c:pt>
                <c:pt idx="147">
                  <c:v>96.7</c:v>
                </c:pt>
                <c:pt idx="148">
                  <c:v>97.04</c:v>
                </c:pt>
              </c:numCache>
            </c:numRef>
          </c:val>
          <c:smooth val="0"/>
        </c:ser>
        <c:ser>
          <c:idx val="0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QC'!$Q$4:$Q$152</c:f>
              <c:numCache>
                <c:formatCode>General</c:formatCode>
                <c:ptCount val="149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</c:numCache>
            </c:numRef>
          </c:val>
          <c:smooth val="0"/>
        </c:ser>
        <c:ser>
          <c:idx val="1"/>
          <c:order val="4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QC'!$R$4:$R$152</c:f>
              <c:numCache>
                <c:formatCode>General</c:formatCode>
                <c:ptCount val="14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</c:numCache>
            </c:numRef>
          </c:val>
          <c:smooth val="0"/>
        </c:ser>
        <c:ser>
          <c:idx val="2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QC'!$S$4:$S$152</c:f>
              <c:numCache>
                <c:formatCode>General</c:formatCode>
                <c:ptCount val="149"/>
                <c:pt idx="0">
                  <c:v>81.5</c:v>
                </c:pt>
                <c:pt idx="1">
                  <c:v>81.5</c:v>
                </c:pt>
                <c:pt idx="2">
                  <c:v>81.5</c:v>
                </c:pt>
                <c:pt idx="3">
                  <c:v>81.5</c:v>
                </c:pt>
                <c:pt idx="4">
                  <c:v>81.5</c:v>
                </c:pt>
                <c:pt idx="5">
                  <c:v>81.5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81.5</c:v>
                </c:pt>
                <c:pt idx="10">
                  <c:v>81.5</c:v>
                </c:pt>
                <c:pt idx="11">
                  <c:v>81.5</c:v>
                </c:pt>
                <c:pt idx="12">
                  <c:v>81.5</c:v>
                </c:pt>
                <c:pt idx="13">
                  <c:v>81.5</c:v>
                </c:pt>
                <c:pt idx="14">
                  <c:v>81.5</c:v>
                </c:pt>
                <c:pt idx="15">
                  <c:v>81.5</c:v>
                </c:pt>
                <c:pt idx="16">
                  <c:v>81.5</c:v>
                </c:pt>
                <c:pt idx="17">
                  <c:v>81.5</c:v>
                </c:pt>
                <c:pt idx="18">
                  <c:v>81.5</c:v>
                </c:pt>
                <c:pt idx="19">
                  <c:v>81.5</c:v>
                </c:pt>
                <c:pt idx="20">
                  <c:v>81.5</c:v>
                </c:pt>
                <c:pt idx="21">
                  <c:v>81.5</c:v>
                </c:pt>
                <c:pt idx="22">
                  <c:v>81.5</c:v>
                </c:pt>
                <c:pt idx="23">
                  <c:v>81.5</c:v>
                </c:pt>
                <c:pt idx="24">
                  <c:v>81.5</c:v>
                </c:pt>
                <c:pt idx="25">
                  <c:v>81.5</c:v>
                </c:pt>
                <c:pt idx="26">
                  <c:v>81.5</c:v>
                </c:pt>
                <c:pt idx="27">
                  <c:v>81.5</c:v>
                </c:pt>
                <c:pt idx="28">
                  <c:v>81.5</c:v>
                </c:pt>
                <c:pt idx="29">
                  <c:v>81.5</c:v>
                </c:pt>
                <c:pt idx="30">
                  <c:v>81.5</c:v>
                </c:pt>
                <c:pt idx="31">
                  <c:v>81.5</c:v>
                </c:pt>
                <c:pt idx="32">
                  <c:v>81.5</c:v>
                </c:pt>
                <c:pt idx="33">
                  <c:v>81.5</c:v>
                </c:pt>
                <c:pt idx="34">
                  <c:v>81.5</c:v>
                </c:pt>
                <c:pt idx="35">
                  <c:v>81.5</c:v>
                </c:pt>
                <c:pt idx="36">
                  <c:v>81.5</c:v>
                </c:pt>
                <c:pt idx="37">
                  <c:v>81.5</c:v>
                </c:pt>
                <c:pt idx="38">
                  <c:v>81.5</c:v>
                </c:pt>
                <c:pt idx="39">
                  <c:v>81.5</c:v>
                </c:pt>
                <c:pt idx="40">
                  <c:v>81.5</c:v>
                </c:pt>
                <c:pt idx="41">
                  <c:v>81.5</c:v>
                </c:pt>
                <c:pt idx="42">
                  <c:v>81.5</c:v>
                </c:pt>
                <c:pt idx="43">
                  <c:v>81.5</c:v>
                </c:pt>
                <c:pt idx="44">
                  <c:v>81.5</c:v>
                </c:pt>
                <c:pt idx="45">
                  <c:v>81.5</c:v>
                </c:pt>
                <c:pt idx="46">
                  <c:v>81.5</c:v>
                </c:pt>
                <c:pt idx="47">
                  <c:v>81.5</c:v>
                </c:pt>
                <c:pt idx="48">
                  <c:v>81.5</c:v>
                </c:pt>
                <c:pt idx="49">
                  <c:v>81.5</c:v>
                </c:pt>
                <c:pt idx="50">
                  <c:v>81.5</c:v>
                </c:pt>
                <c:pt idx="51">
                  <c:v>81.5</c:v>
                </c:pt>
                <c:pt idx="52">
                  <c:v>81.5</c:v>
                </c:pt>
                <c:pt idx="53">
                  <c:v>81.5</c:v>
                </c:pt>
                <c:pt idx="54">
                  <c:v>81.5</c:v>
                </c:pt>
                <c:pt idx="55">
                  <c:v>81.5</c:v>
                </c:pt>
                <c:pt idx="56">
                  <c:v>81.5</c:v>
                </c:pt>
                <c:pt idx="57">
                  <c:v>81.5</c:v>
                </c:pt>
                <c:pt idx="58">
                  <c:v>81.5</c:v>
                </c:pt>
                <c:pt idx="59">
                  <c:v>81.5</c:v>
                </c:pt>
                <c:pt idx="60">
                  <c:v>81.5</c:v>
                </c:pt>
                <c:pt idx="61">
                  <c:v>81.5</c:v>
                </c:pt>
                <c:pt idx="62">
                  <c:v>81.5</c:v>
                </c:pt>
                <c:pt idx="63">
                  <c:v>81.5</c:v>
                </c:pt>
                <c:pt idx="64">
                  <c:v>81.5</c:v>
                </c:pt>
                <c:pt idx="65">
                  <c:v>81.5</c:v>
                </c:pt>
                <c:pt idx="66">
                  <c:v>81.5</c:v>
                </c:pt>
                <c:pt idx="67">
                  <c:v>81.5</c:v>
                </c:pt>
                <c:pt idx="68">
                  <c:v>81.5</c:v>
                </c:pt>
                <c:pt idx="69">
                  <c:v>81.5</c:v>
                </c:pt>
                <c:pt idx="70">
                  <c:v>81.5</c:v>
                </c:pt>
                <c:pt idx="71">
                  <c:v>81.5</c:v>
                </c:pt>
                <c:pt idx="72">
                  <c:v>81.5</c:v>
                </c:pt>
                <c:pt idx="73">
                  <c:v>81.5</c:v>
                </c:pt>
                <c:pt idx="74">
                  <c:v>81.5</c:v>
                </c:pt>
                <c:pt idx="75">
                  <c:v>81.5</c:v>
                </c:pt>
                <c:pt idx="76">
                  <c:v>81.5</c:v>
                </c:pt>
                <c:pt idx="77">
                  <c:v>81.5</c:v>
                </c:pt>
                <c:pt idx="78">
                  <c:v>81.5</c:v>
                </c:pt>
                <c:pt idx="79">
                  <c:v>81.5</c:v>
                </c:pt>
                <c:pt idx="80">
                  <c:v>81.5</c:v>
                </c:pt>
                <c:pt idx="81">
                  <c:v>81.5</c:v>
                </c:pt>
                <c:pt idx="82">
                  <c:v>81.5</c:v>
                </c:pt>
                <c:pt idx="83">
                  <c:v>81.5</c:v>
                </c:pt>
                <c:pt idx="84">
                  <c:v>81.5</c:v>
                </c:pt>
                <c:pt idx="85">
                  <c:v>81.5</c:v>
                </c:pt>
                <c:pt idx="86">
                  <c:v>81.5</c:v>
                </c:pt>
                <c:pt idx="87">
                  <c:v>81.5</c:v>
                </c:pt>
                <c:pt idx="88">
                  <c:v>81.5</c:v>
                </c:pt>
                <c:pt idx="89">
                  <c:v>81.5</c:v>
                </c:pt>
                <c:pt idx="90">
                  <c:v>81.5</c:v>
                </c:pt>
                <c:pt idx="91">
                  <c:v>81.5</c:v>
                </c:pt>
                <c:pt idx="92">
                  <c:v>81.5</c:v>
                </c:pt>
                <c:pt idx="93">
                  <c:v>81.5</c:v>
                </c:pt>
                <c:pt idx="94">
                  <c:v>81.5</c:v>
                </c:pt>
                <c:pt idx="95">
                  <c:v>81.5</c:v>
                </c:pt>
                <c:pt idx="96">
                  <c:v>81.5</c:v>
                </c:pt>
                <c:pt idx="97">
                  <c:v>81.5</c:v>
                </c:pt>
                <c:pt idx="98">
                  <c:v>81.5</c:v>
                </c:pt>
                <c:pt idx="99">
                  <c:v>81.5</c:v>
                </c:pt>
                <c:pt idx="100">
                  <c:v>81.5</c:v>
                </c:pt>
                <c:pt idx="101">
                  <c:v>81.5</c:v>
                </c:pt>
                <c:pt idx="102">
                  <c:v>81.5</c:v>
                </c:pt>
                <c:pt idx="103">
                  <c:v>81.5</c:v>
                </c:pt>
                <c:pt idx="104">
                  <c:v>81.5</c:v>
                </c:pt>
                <c:pt idx="105">
                  <c:v>81.5</c:v>
                </c:pt>
                <c:pt idx="106">
                  <c:v>81.5</c:v>
                </c:pt>
                <c:pt idx="107">
                  <c:v>81.5</c:v>
                </c:pt>
                <c:pt idx="108">
                  <c:v>81.5</c:v>
                </c:pt>
                <c:pt idx="109">
                  <c:v>81.5</c:v>
                </c:pt>
                <c:pt idx="110">
                  <c:v>81.5</c:v>
                </c:pt>
                <c:pt idx="111">
                  <c:v>81.5</c:v>
                </c:pt>
                <c:pt idx="112">
                  <c:v>81.5</c:v>
                </c:pt>
                <c:pt idx="113">
                  <c:v>81.5</c:v>
                </c:pt>
                <c:pt idx="114">
                  <c:v>81.5</c:v>
                </c:pt>
                <c:pt idx="115">
                  <c:v>81.5</c:v>
                </c:pt>
                <c:pt idx="116">
                  <c:v>81.5</c:v>
                </c:pt>
                <c:pt idx="117">
                  <c:v>81.5</c:v>
                </c:pt>
                <c:pt idx="118">
                  <c:v>81.5</c:v>
                </c:pt>
                <c:pt idx="119">
                  <c:v>81.5</c:v>
                </c:pt>
                <c:pt idx="120">
                  <c:v>81.5</c:v>
                </c:pt>
                <c:pt idx="121">
                  <c:v>81.5</c:v>
                </c:pt>
                <c:pt idx="122">
                  <c:v>81.5</c:v>
                </c:pt>
                <c:pt idx="123">
                  <c:v>81.5</c:v>
                </c:pt>
                <c:pt idx="124">
                  <c:v>81.5</c:v>
                </c:pt>
                <c:pt idx="125">
                  <c:v>81.5</c:v>
                </c:pt>
                <c:pt idx="126">
                  <c:v>81.5</c:v>
                </c:pt>
                <c:pt idx="127">
                  <c:v>81.5</c:v>
                </c:pt>
                <c:pt idx="128">
                  <c:v>81.5</c:v>
                </c:pt>
                <c:pt idx="129">
                  <c:v>81.5</c:v>
                </c:pt>
                <c:pt idx="130">
                  <c:v>81.5</c:v>
                </c:pt>
                <c:pt idx="131">
                  <c:v>81.5</c:v>
                </c:pt>
                <c:pt idx="132">
                  <c:v>81.5</c:v>
                </c:pt>
                <c:pt idx="133">
                  <c:v>81.5</c:v>
                </c:pt>
                <c:pt idx="134">
                  <c:v>81.5</c:v>
                </c:pt>
                <c:pt idx="135">
                  <c:v>81.5</c:v>
                </c:pt>
                <c:pt idx="136">
                  <c:v>81.5</c:v>
                </c:pt>
                <c:pt idx="137">
                  <c:v>81.5</c:v>
                </c:pt>
                <c:pt idx="138">
                  <c:v>81.5</c:v>
                </c:pt>
                <c:pt idx="139">
                  <c:v>81.5</c:v>
                </c:pt>
                <c:pt idx="140">
                  <c:v>81.5</c:v>
                </c:pt>
                <c:pt idx="141">
                  <c:v>81.5</c:v>
                </c:pt>
                <c:pt idx="142">
                  <c:v>81.5</c:v>
                </c:pt>
                <c:pt idx="143">
                  <c:v>81.5</c:v>
                </c:pt>
                <c:pt idx="144">
                  <c:v>81.5</c:v>
                </c:pt>
                <c:pt idx="145">
                  <c:v>81.5</c:v>
                </c:pt>
                <c:pt idx="146">
                  <c:v>81.5</c:v>
                </c:pt>
                <c:pt idx="147">
                  <c:v>81.5</c:v>
                </c:pt>
                <c:pt idx="148">
                  <c:v>81.5</c:v>
                </c:pt>
              </c:numCache>
            </c:numRef>
          </c:val>
          <c:smooth val="0"/>
        </c:ser>
        <c:ser>
          <c:idx val="3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QC'!$T$4:$T$152</c:f>
              <c:numCache>
                <c:formatCode>General</c:formatCode>
                <c:ptCount val="149"/>
                <c:pt idx="0">
                  <c:v>111.5</c:v>
                </c:pt>
                <c:pt idx="1">
                  <c:v>111.5</c:v>
                </c:pt>
                <c:pt idx="2">
                  <c:v>111.5</c:v>
                </c:pt>
                <c:pt idx="3">
                  <c:v>111.5</c:v>
                </c:pt>
                <c:pt idx="4">
                  <c:v>111.5</c:v>
                </c:pt>
                <c:pt idx="5">
                  <c:v>111.5</c:v>
                </c:pt>
                <c:pt idx="6">
                  <c:v>111.5</c:v>
                </c:pt>
                <c:pt idx="7">
                  <c:v>111.5</c:v>
                </c:pt>
                <c:pt idx="8">
                  <c:v>111.5</c:v>
                </c:pt>
                <c:pt idx="9">
                  <c:v>111.5</c:v>
                </c:pt>
                <c:pt idx="10">
                  <c:v>111.5</c:v>
                </c:pt>
                <c:pt idx="11">
                  <c:v>111.5</c:v>
                </c:pt>
                <c:pt idx="12">
                  <c:v>111.5</c:v>
                </c:pt>
                <c:pt idx="13">
                  <c:v>111.5</c:v>
                </c:pt>
                <c:pt idx="14">
                  <c:v>111.5</c:v>
                </c:pt>
                <c:pt idx="15">
                  <c:v>111.5</c:v>
                </c:pt>
                <c:pt idx="16">
                  <c:v>111.5</c:v>
                </c:pt>
                <c:pt idx="17">
                  <c:v>111.5</c:v>
                </c:pt>
                <c:pt idx="18">
                  <c:v>111.5</c:v>
                </c:pt>
                <c:pt idx="19">
                  <c:v>111.5</c:v>
                </c:pt>
                <c:pt idx="20">
                  <c:v>111.5</c:v>
                </c:pt>
                <c:pt idx="21">
                  <c:v>111.5</c:v>
                </c:pt>
                <c:pt idx="22">
                  <c:v>111.5</c:v>
                </c:pt>
                <c:pt idx="23">
                  <c:v>111.5</c:v>
                </c:pt>
                <c:pt idx="24">
                  <c:v>111.5</c:v>
                </c:pt>
                <c:pt idx="25">
                  <c:v>111.5</c:v>
                </c:pt>
                <c:pt idx="26">
                  <c:v>111.5</c:v>
                </c:pt>
                <c:pt idx="27">
                  <c:v>111.5</c:v>
                </c:pt>
                <c:pt idx="28">
                  <c:v>111.5</c:v>
                </c:pt>
                <c:pt idx="29">
                  <c:v>111.5</c:v>
                </c:pt>
                <c:pt idx="30">
                  <c:v>111.5</c:v>
                </c:pt>
                <c:pt idx="31">
                  <c:v>111.5</c:v>
                </c:pt>
                <c:pt idx="32">
                  <c:v>111.5</c:v>
                </c:pt>
                <c:pt idx="33">
                  <c:v>111.5</c:v>
                </c:pt>
                <c:pt idx="34">
                  <c:v>111.5</c:v>
                </c:pt>
                <c:pt idx="35">
                  <c:v>111.5</c:v>
                </c:pt>
                <c:pt idx="36">
                  <c:v>111.5</c:v>
                </c:pt>
                <c:pt idx="37">
                  <c:v>111.5</c:v>
                </c:pt>
                <c:pt idx="38">
                  <c:v>111.5</c:v>
                </c:pt>
                <c:pt idx="39">
                  <c:v>111.5</c:v>
                </c:pt>
                <c:pt idx="40">
                  <c:v>111.5</c:v>
                </c:pt>
                <c:pt idx="41">
                  <c:v>111.5</c:v>
                </c:pt>
                <c:pt idx="42">
                  <c:v>111.5</c:v>
                </c:pt>
                <c:pt idx="43">
                  <c:v>111.5</c:v>
                </c:pt>
                <c:pt idx="44">
                  <c:v>111.5</c:v>
                </c:pt>
                <c:pt idx="45">
                  <c:v>111.5</c:v>
                </c:pt>
                <c:pt idx="46">
                  <c:v>111.5</c:v>
                </c:pt>
                <c:pt idx="47">
                  <c:v>111.5</c:v>
                </c:pt>
                <c:pt idx="48">
                  <c:v>111.5</c:v>
                </c:pt>
                <c:pt idx="49">
                  <c:v>111.5</c:v>
                </c:pt>
                <c:pt idx="50">
                  <c:v>111.5</c:v>
                </c:pt>
                <c:pt idx="51">
                  <c:v>111.5</c:v>
                </c:pt>
                <c:pt idx="52">
                  <c:v>111.5</c:v>
                </c:pt>
                <c:pt idx="53">
                  <c:v>111.5</c:v>
                </c:pt>
                <c:pt idx="54">
                  <c:v>111.5</c:v>
                </c:pt>
                <c:pt idx="55">
                  <c:v>111.5</c:v>
                </c:pt>
                <c:pt idx="56">
                  <c:v>111.5</c:v>
                </c:pt>
                <c:pt idx="57">
                  <c:v>111.5</c:v>
                </c:pt>
                <c:pt idx="58">
                  <c:v>111.5</c:v>
                </c:pt>
                <c:pt idx="59">
                  <c:v>111.5</c:v>
                </c:pt>
                <c:pt idx="60">
                  <c:v>111.5</c:v>
                </c:pt>
                <c:pt idx="61">
                  <c:v>111.5</c:v>
                </c:pt>
                <c:pt idx="62">
                  <c:v>111.5</c:v>
                </c:pt>
                <c:pt idx="63">
                  <c:v>111.5</c:v>
                </c:pt>
                <c:pt idx="64">
                  <c:v>111.5</c:v>
                </c:pt>
                <c:pt idx="65">
                  <c:v>111.5</c:v>
                </c:pt>
                <c:pt idx="66">
                  <c:v>111.5</c:v>
                </c:pt>
                <c:pt idx="67">
                  <c:v>111.5</c:v>
                </c:pt>
                <c:pt idx="68">
                  <c:v>111.5</c:v>
                </c:pt>
                <c:pt idx="69">
                  <c:v>111.5</c:v>
                </c:pt>
                <c:pt idx="70">
                  <c:v>111.5</c:v>
                </c:pt>
                <c:pt idx="71">
                  <c:v>111.5</c:v>
                </c:pt>
                <c:pt idx="72">
                  <c:v>111.5</c:v>
                </c:pt>
                <c:pt idx="73">
                  <c:v>111.5</c:v>
                </c:pt>
                <c:pt idx="74">
                  <c:v>111.5</c:v>
                </c:pt>
                <c:pt idx="75">
                  <c:v>111.5</c:v>
                </c:pt>
                <c:pt idx="76">
                  <c:v>111.5</c:v>
                </c:pt>
                <c:pt idx="77">
                  <c:v>111.5</c:v>
                </c:pt>
                <c:pt idx="78">
                  <c:v>111.5</c:v>
                </c:pt>
                <c:pt idx="79">
                  <c:v>111.5</c:v>
                </c:pt>
                <c:pt idx="80">
                  <c:v>111.5</c:v>
                </c:pt>
                <c:pt idx="81">
                  <c:v>111.5</c:v>
                </c:pt>
                <c:pt idx="82">
                  <c:v>111.5</c:v>
                </c:pt>
                <c:pt idx="83">
                  <c:v>111.5</c:v>
                </c:pt>
                <c:pt idx="84">
                  <c:v>111.5</c:v>
                </c:pt>
                <c:pt idx="85">
                  <c:v>111.5</c:v>
                </c:pt>
                <c:pt idx="86">
                  <c:v>111.5</c:v>
                </c:pt>
                <c:pt idx="87">
                  <c:v>111.5</c:v>
                </c:pt>
                <c:pt idx="88">
                  <c:v>111.5</c:v>
                </c:pt>
                <c:pt idx="89">
                  <c:v>111.5</c:v>
                </c:pt>
                <c:pt idx="90">
                  <c:v>111.5</c:v>
                </c:pt>
                <c:pt idx="91">
                  <c:v>111.5</c:v>
                </c:pt>
                <c:pt idx="92">
                  <c:v>111.5</c:v>
                </c:pt>
                <c:pt idx="93">
                  <c:v>111.5</c:v>
                </c:pt>
                <c:pt idx="94">
                  <c:v>111.5</c:v>
                </c:pt>
                <c:pt idx="95">
                  <c:v>111.5</c:v>
                </c:pt>
                <c:pt idx="96">
                  <c:v>111.5</c:v>
                </c:pt>
                <c:pt idx="97">
                  <c:v>111.5</c:v>
                </c:pt>
                <c:pt idx="98">
                  <c:v>111.5</c:v>
                </c:pt>
                <c:pt idx="99">
                  <c:v>111.5</c:v>
                </c:pt>
                <c:pt idx="100">
                  <c:v>111.5</c:v>
                </c:pt>
                <c:pt idx="101">
                  <c:v>111.5</c:v>
                </c:pt>
                <c:pt idx="102">
                  <c:v>111.5</c:v>
                </c:pt>
                <c:pt idx="103">
                  <c:v>111.5</c:v>
                </c:pt>
                <c:pt idx="104">
                  <c:v>111.5</c:v>
                </c:pt>
                <c:pt idx="105">
                  <c:v>111.5</c:v>
                </c:pt>
                <c:pt idx="106">
                  <c:v>111.5</c:v>
                </c:pt>
                <c:pt idx="107">
                  <c:v>111.5</c:v>
                </c:pt>
                <c:pt idx="108">
                  <c:v>111.5</c:v>
                </c:pt>
                <c:pt idx="109">
                  <c:v>111.5</c:v>
                </c:pt>
                <c:pt idx="110">
                  <c:v>111.5</c:v>
                </c:pt>
                <c:pt idx="111">
                  <c:v>111.5</c:v>
                </c:pt>
                <c:pt idx="112">
                  <c:v>111.5</c:v>
                </c:pt>
                <c:pt idx="113">
                  <c:v>111.5</c:v>
                </c:pt>
                <c:pt idx="114">
                  <c:v>111.5</c:v>
                </c:pt>
                <c:pt idx="115">
                  <c:v>111.5</c:v>
                </c:pt>
                <c:pt idx="116">
                  <c:v>111.5</c:v>
                </c:pt>
                <c:pt idx="117">
                  <c:v>111.5</c:v>
                </c:pt>
                <c:pt idx="118">
                  <c:v>111.5</c:v>
                </c:pt>
                <c:pt idx="119">
                  <c:v>111.5</c:v>
                </c:pt>
                <c:pt idx="120">
                  <c:v>111.5</c:v>
                </c:pt>
                <c:pt idx="121">
                  <c:v>111.5</c:v>
                </c:pt>
                <c:pt idx="122">
                  <c:v>111.5</c:v>
                </c:pt>
                <c:pt idx="123">
                  <c:v>111.5</c:v>
                </c:pt>
                <c:pt idx="124">
                  <c:v>111.5</c:v>
                </c:pt>
                <c:pt idx="125">
                  <c:v>111.5</c:v>
                </c:pt>
                <c:pt idx="126">
                  <c:v>111.5</c:v>
                </c:pt>
                <c:pt idx="127">
                  <c:v>111.5</c:v>
                </c:pt>
                <c:pt idx="128">
                  <c:v>111.5</c:v>
                </c:pt>
                <c:pt idx="129">
                  <c:v>111.5</c:v>
                </c:pt>
                <c:pt idx="130">
                  <c:v>111.5</c:v>
                </c:pt>
                <c:pt idx="131">
                  <c:v>111.5</c:v>
                </c:pt>
                <c:pt idx="132">
                  <c:v>111.5</c:v>
                </c:pt>
                <c:pt idx="133">
                  <c:v>111.5</c:v>
                </c:pt>
                <c:pt idx="134">
                  <c:v>111.5</c:v>
                </c:pt>
                <c:pt idx="135">
                  <c:v>111.5</c:v>
                </c:pt>
                <c:pt idx="136">
                  <c:v>111.5</c:v>
                </c:pt>
                <c:pt idx="137">
                  <c:v>111.5</c:v>
                </c:pt>
                <c:pt idx="138">
                  <c:v>111.5</c:v>
                </c:pt>
                <c:pt idx="139">
                  <c:v>111.5</c:v>
                </c:pt>
                <c:pt idx="140">
                  <c:v>111.5</c:v>
                </c:pt>
                <c:pt idx="141">
                  <c:v>111.5</c:v>
                </c:pt>
                <c:pt idx="142">
                  <c:v>111.5</c:v>
                </c:pt>
                <c:pt idx="143">
                  <c:v>111.5</c:v>
                </c:pt>
                <c:pt idx="144">
                  <c:v>111.5</c:v>
                </c:pt>
                <c:pt idx="145">
                  <c:v>111.5</c:v>
                </c:pt>
                <c:pt idx="146">
                  <c:v>111.5</c:v>
                </c:pt>
                <c:pt idx="147">
                  <c:v>111.5</c:v>
                </c:pt>
                <c:pt idx="148">
                  <c:v>111.5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68000"/>
        <c:axId val="437668784"/>
      </c:lineChart>
      <c:dateAx>
        <c:axId val="437668000"/>
        <c:scaling>
          <c:orientation val="minMax"/>
          <c:min val="41395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68784"/>
        <c:crosses val="autoZero"/>
        <c:auto val="0"/>
        <c:lblOffset val="100"/>
        <c:baseTimeUnit val="days"/>
      </c:dateAx>
      <c:valAx>
        <c:axId val="437668784"/>
        <c:scaling>
          <c:orientation val="minMax"/>
          <c:max val="104"/>
          <c:min val="9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68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45581836147924"/>
          <c:y val="0.14968172505404606"/>
          <c:w val="0.44209258285886782"/>
          <c:h val="5.8917274755316003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465796031339667E-2"/>
          <c:y val="0.18214333359200682"/>
          <c:w val="0.87876800497110941"/>
          <c:h val="0.58393009886849256"/>
        </c:manualLayout>
      </c:layout>
      <c:lineChart>
        <c:grouping val="standard"/>
        <c:varyColors val="0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QC'!$X$4:$X$170</c:f>
              <c:numCache>
                <c:formatCode>General</c:formatCode>
                <c:ptCount val="167"/>
                <c:pt idx="0">
                  <c:v>0.57054741711642221</c:v>
                </c:pt>
                <c:pt idx="1">
                  <c:v>0.57054741711642221</c:v>
                </c:pt>
                <c:pt idx="2">
                  <c:v>0.83501893055339427</c:v>
                </c:pt>
                <c:pt idx="3">
                  <c:v>1.3</c:v>
                </c:pt>
                <c:pt idx="4">
                  <c:v>1.1599999999999999</c:v>
                </c:pt>
                <c:pt idx="5">
                  <c:v>1.0411244143675169</c:v>
                </c:pt>
                <c:pt idx="6">
                  <c:v>1.148949384121726</c:v>
                </c:pt>
                <c:pt idx="7">
                  <c:v>1.0112134561473749</c:v>
                </c:pt>
                <c:pt idx="8">
                  <c:v>0.98751817133690845</c:v>
                </c:pt>
                <c:pt idx="9">
                  <c:v>1.2523481527864704</c:v>
                </c:pt>
                <c:pt idx="10">
                  <c:v>1.6460688929792244</c:v>
                </c:pt>
                <c:pt idx="12">
                  <c:v>1.3700068237887773</c:v>
                </c:pt>
                <c:pt idx="14">
                  <c:v>1.5702956777480224</c:v>
                </c:pt>
                <c:pt idx="15">
                  <c:v>1.4886118562937236</c:v>
                </c:pt>
                <c:pt idx="16">
                  <c:v>1.7786456958885335</c:v>
                </c:pt>
                <c:pt idx="17">
                  <c:v>1.37</c:v>
                </c:pt>
                <c:pt idx="18">
                  <c:v>1.7</c:v>
                </c:pt>
                <c:pt idx="19">
                  <c:v>1.37</c:v>
                </c:pt>
                <c:pt idx="20">
                  <c:v>1.36</c:v>
                </c:pt>
                <c:pt idx="21">
                  <c:v>4.3425200854266199</c:v>
                </c:pt>
                <c:pt idx="22">
                  <c:v>2.206558381857183</c:v>
                </c:pt>
                <c:pt idx="23">
                  <c:v>1.2144075241589625</c:v>
                </c:pt>
                <c:pt idx="24">
                  <c:v>1.4726399007905722</c:v>
                </c:pt>
                <c:pt idx="49">
                  <c:v>1.48</c:v>
                </c:pt>
                <c:pt idx="50">
                  <c:v>1.53</c:v>
                </c:pt>
                <c:pt idx="60">
                  <c:v>1.6</c:v>
                </c:pt>
                <c:pt idx="61">
                  <c:v>1.54</c:v>
                </c:pt>
                <c:pt idx="62">
                  <c:v>2.14</c:v>
                </c:pt>
                <c:pt idx="63">
                  <c:v>1.63</c:v>
                </c:pt>
                <c:pt idx="64">
                  <c:v>1.66</c:v>
                </c:pt>
                <c:pt idx="65">
                  <c:v>1.83</c:v>
                </c:pt>
                <c:pt idx="134">
                  <c:v>1.2</c:v>
                </c:pt>
                <c:pt idx="139">
                  <c:v>0.79</c:v>
                </c:pt>
                <c:pt idx="140">
                  <c:v>0.6</c:v>
                </c:pt>
                <c:pt idx="141">
                  <c:v>0.78</c:v>
                </c:pt>
                <c:pt idx="143">
                  <c:v>1.3</c:v>
                </c:pt>
                <c:pt idx="144">
                  <c:v>1.4</c:v>
                </c:pt>
                <c:pt idx="145">
                  <c:v>1.49</c:v>
                </c:pt>
                <c:pt idx="146">
                  <c:v>1</c:v>
                </c:pt>
                <c:pt idx="147">
                  <c:v>1.02</c:v>
                </c:pt>
                <c:pt idx="148">
                  <c:v>1.23</c:v>
                </c:pt>
                <c:pt idx="149">
                  <c:v>2.31</c:v>
                </c:pt>
                <c:pt idx="150">
                  <c:v>1.41</c:v>
                </c:pt>
                <c:pt idx="151">
                  <c:v>1.1499999999999999</c:v>
                </c:pt>
                <c:pt idx="152">
                  <c:v>1.31</c:v>
                </c:pt>
                <c:pt idx="156">
                  <c:v>1.02</c:v>
                </c:pt>
              </c:numCache>
            </c:numRef>
          </c:val>
          <c:smooth val="0"/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QC'!$Z$4:$Z$170</c:f>
              <c:numCache>
                <c:formatCode>General</c:formatCode>
                <c:ptCount val="167"/>
                <c:pt idx="1">
                  <c:v>1.1576227390180927</c:v>
                </c:pt>
                <c:pt idx="2">
                  <c:v>0.60764798323729519</c:v>
                </c:pt>
                <c:pt idx="3">
                  <c:v>0.62</c:v>
                </c:pt>
                <c:pt idx="4">
                  <c:v>0.61</c:v>
                </c:pt>
                <c:pt idx="5">
                  <c:v>0.74865190304172169</c:v>
                </c:pt>
                <c:pt idx="6">
                  <c:v>0.98411871908357218</c:v>
                </c:pt>
                <c:pt idx="7">
                  <c:v>0.96752950711716557</c:v>
                </c:pt>
                <c:pt idx="8">
                  <c:v>0.93903862748084288</c:v>
                </c:pt>
                <c:pt idx="9">
                  <c:v>0.51351917836930916</c:v>
                </c:pt>
                <c:pt idx="10">
                  <c:v>0.78698845750262336</c:v>
                </c:pt>
                <c:pt idx="12">
                  <c:v>0.80657915546417902</c:v>
                </c:pt>
                <c:pt idx="14">
                  <c:v>0.68442666105086414</c:v>
                </c:pt>
                <c:pt idx="15">
                  <c:v>0.89671906319232153</c:v>
                </c:pt>
                <c:pt idx="16">
                  <c:v>1.4059196617336209</c:v>
                </c:pt>
                <c:pt idx="17">
                  <c:v>0.85</c:v>
                </c:pt>
                <c:pt idx="18">
                  <c:v>0.83</c:v>
                </c:pt>
                <c:pt idx="19">
                  <c:v>0.90400000000000003</c:v>
                </c:pt>
                <c:pt idx="20">
                  <c:v>0.88</c:v>
                </c:pt>
                <c:pt idx="21">
                  <c:v>0.71398572028559393</c:v>
                </c:pt>
                <c:pt idx="22">
                  <c:v>0.91302759952000845</c:v>
                </c:pt>
                <c:pt idx="23">
                  <c:v>0.89846793040768835</c:v>
                </c:pt>
                <c:pt idx="24">
                  <c:v>0.89160018770529925</c:v>
                </c:pt>
                <c:pt idx="25">
                  <c:v>1.1110531532001435</c:v>
                </c:pt>
                <c:pt idx="26">
                  <c:v>0.87837139609383208</c:v>
                </c:pt>
                <c:pt idx="27">
                  <c:v>0.89941073090044199</c:v>
                </c:pt>
                <c:pt idx="28">
                  <c:v>1.0763817015110735</c:v>
                </c:pt>
                <c:pt idx="29">
                  <c:v>1.1609308085238119</c:v>
                </c:pt>
                <c:pt idx="30">
                  <c:v>1.0707081156571703</c:v>
                </c:pt>
                <c:pt idx="31">
                  <c:v>0.92471657698135423</c:v>
                </c:pt>
                <c:pt idx="32">
                  <c:v>0.85906180038527924</c:v>
                </c:pt>
                <c:pt idx="33">
                  <c:v>1.3081395348837188</c:v>
                </c:pt>
                <c:pt idx="34">
                  <c:v>0.91350420211932981</c:v>
                </c:pt>
                <c:pt idx="35">
                  <c:v>0.92326952167335885</c:v>
                </c:pt>
                <c:pt idx="36">
                  <c:v>0.83858534298661358</c:v>
                </c:pt>
                <c:pt idx="37">
                  <c:v>1.0322112142745965</c:v>
                </c:pt>
                <c:pt idx="38">
                  <c:v>1.0087493566649479</c:v>
                </c:pt>
                <c:pt idx="39">
                  <c:v>1.2081928960331854</c:v>
                </c:pt>
                <c:pt idx="40">
                  <c:v>0.62352632957820153</c:v>
                </c:pt>
                <c:pt idx="41">
                  <c:v>1.2156639594433782</c:v>
                </c:pt>
                <c:pt idx="42">
                  <c:v>0.9304017880347244</c:v>
                </c:pt>
                <c:pt idx="43">
                  <c:v>1.2385512073272249</c:v>
                </c:pt>
                <c:pt idx="44">
                  <c:v>1.35</c:v>
                </c:pt>
                <c:pt idx="45">
                  <c:v>1.3</c:v>
                </c:pt>
                <c:pt idx="46">
                  <c:v>1.23</c:v>
                </c:pt>
                <c:pt idx="47">
                  <c:v>1.17</c:v>
                </c:pt>
                <c:pt idx="48">
                  <c:v>0.84</c:v>
                </c:pt>
                <c:pt idx="49">
                  <c:v>3.04</c:v>
                </c:pt>
                <c:pt idx="50">
                  <c:v>0.98</c:v>
                </c:pt>
                <c:pt idx="51">
                  <c:v>0.78</c:v>
                </c:pt>
                <c:pt idx="52">
                  <c:v>0.83</c:v>
                </c:pt>
                <c:pt idx="53">
                  <c:v>1.47</c:v>
                </c:pt>
                <c:pt idx="54">
                  <c:v>1.33</c:v>
                </c:pt>
                <c:pt idx="55">
                  <c:v>1.62</c:v>
                </c:pt>
                <c:pt idx="56">
                  <c:v>1.5</c:v>
                </c:pt>
                <c:pt idx="57">
                  <c:v>1.96</c:v>
                </c:pt>
                <c:pt idx="58">
                  <c:v>1.72</c:v>
                </c:pt>
                <c:pt idx="59">
                  <c:v>1.86</c:v>
                </c:pt>
                <c:pt idx="60">
                  <c:v>1.26</c:v>
                </c:pt>
                <c:pt idx="61">
                  <c:v>1.1100000000000001</c:v>
                </c:pt>
                <c:pt idx="62">
                  <c:v>1.51</c:v>
                </c:pt>
                <c:pt idx="63">
                  <c:v>1.47</c:v>
                </c:pt>
                <c:pt idx="64">
                  <c:v>1.24</c:v>
                </c:pt>
                <c:pt idx="65">
                  <c:v>0.9</c:v>
                </c:pt>
                <c:pt idx="66">
                  <c:v>0.76</c:v>
                </c:pt>
                <c:pt idx="67">
                  <c:v>1.06</c:v>
                </c:pt>
                <c:pt idx="69">
                  <c:v>1.8</c:v>
                </c:pt>
                <c:pt idx="70">
                  <c:v>0.75</c:v>
                </c:pt>
                <c:pt idx="71">
                  <c:v>1.44</c:v>
                </c:pt>
                <c:pt idx="72">
                  <c:v>0.61</c:v>
                </c:pt>
                <c:pt idx="73">
                  <c:v>0.98</c:v>
                </c:pt>
                <c:pt idx="74">
                  <c:v>1.19</c:v>
                </c:pt>
                <c:pt idx="75">
                  <c:v>0.73</c:v>
                </c:pt>
                <c:pt idx="76">
                  <c:v>1.46</c:v>
                </c:pt>
                <c:pt idx="77">
                  <c:v>0.67</c:v>
                </c:pt>
                <c:pt idx="78">
                  <c:v>0.99</c:v>
                </c:pt>
                <c:pt idx="79">
                  <c:v>1.76</c:v>
                </c:pt>
                <c:pt idx="80">
                  <c:v>1.62</c:v>
                </c:pt>
                <c:pt idx="81">
                  <c:v>1.3</c:v>
                </c:pt>
                <c:pt idx="82">
                  <c:v>1.25</c:v>
                </c:pt>
                <c:pt idx="83">
                  <c:v>0.51</c:v>
                </c:pt>
                <c:pt idx="84">
                  <c:v>1.82</c:v>
                </c:pt>
                <c:pt idx="85">
                  <c:v>0.49</c:v>
                </c:pt>
                <c:pt idx="86">
                  <c:v>0.8</c:v>
                </c:pt>
                <c:pt idx="87">
                  <c:v>0.97</c:v>
                </c:pt>
                <c:pt idx="88">
                  <c:v>1.32</c:v>
                </c:pt>
                <c:pt idx="89">
                  <c:v>0.52</c:v>
                </c:pt>
                <c:pt idx="90">
                  <c:v>0.65</c:v>
                </c:pt>
                <c:pt idx="91">
                  <c:v>0.76</c:v>
                </c:pt>
                <c:pt idx="92">
                  <c:v>1.1100000000000001</c:v>
                </c:pt>
                <c:pt idx="93">
                  <c:v>1.47</c:v>
                </c:pt>
                <c:pt idx="94">
                  <c:v>0.7</c:v>
                </c:pt>
                <c:pt idx="95">
                  <c:v>0.45</c:v>
                </c:pt>
                <c:pt idx="96">
                  <c:v>0.55000000000000004</c:v>
                </c:pt>
                <c:pt idx="97">
                  <c:v>1.17</c:v>
                </c:pt>
                <c:pt idx="98">
                  <c:v>0.47</c:v>
                </c:pt>
                <c:pt idx="99">
                  <c:v>0.62</c:v>
                </c:pt>
                <c:pt idx="100">
                  <c:v>0.57999999999999996</c:v>
                </c:pt>
                <c:pt idx="101">
                  <c:v>0.43</c:v>
                </c:pt>
                <c:pt idx="102">
                  <c:v>0.74</c:v>
                </c:pt>
                <c:pt idx="103">
                  <c:v>0.32</c:v>
                </c:pt>
                <c:pt idx="104">
                  <c:v>0.75</c:v>
                </c:pt>
                <c:pt idx="105">
                  <c:v>0.42</c:v>
                </c:pt>
                <c:pt idx="106">
                  <c:v>0.81</c:v>
                </c:pt>
                <c:pt idx="107">
                  <c:v>0.72</c:v>
                </c:pt>
                <c:pt idx="108">
                  <c:v>0.42</c:v>
                </c:pt>
                <c:pt idx="109">
                  <c:v>0.5</c:v>
                </c:pt>
                <c:pt idx="110">
                  <c:v>0.5</c:v>
                </c:pt>
                <c:pt idx="111">
                  <c:v>0.65</c:v>
                </c:pt>
                <c:pt idx="112">
                  <c:v>0.91</c:v>
                </c:pt>
                <c:pt idx="113">
                  <c:v>0.89</c:v>
                </c:pt>
                <c:pt idx="114">
                  <c:v>0.85</c:v>
                </c:pt>
                <c:pt idx="115">
                  <c:v>1.6</c:v>
                </c:pt>
                <c:pt idx="116">
                  <c:v>0.7</c:v>
                </c:pt>
                <c:pt idx="117">
                  <c:v>0.5</c:v>
                </c:pt>
                <c:pt idx="118">
                  <c:v>0.38</c:v>
                </c:pt>
                <c:pt idx="119">
                  <c:v>0.37</c:v>
                </c:pt>
                <c:pt idx="120">
                  <c:v>0.57999999999999996</c:v>
                </c:pt>
                <c:pt idx="121">
                  <c:v>0.44</c:v>
                </c:pt>
                <c:pt idx="122">
                  <c:v>0.33</c:v>
                </c:pt>
                <c:pt idx="123">
                  <c:v>0.73</c:v>
                </c:pt>
                <c:pt idx="124">
                  <c:v>0.49</c:v>
                </c:pt>
                <c:pt idx="125">
                  <c:v>0.4</c:v>
                </c:pt>
                <c:pt idx="126">
                  <c:v>0.83</c:v>
                </c:pt>
                <c:pt idx="127">
                  <c:v>0.87</c:v>
                </c:pt>
                <c:pt idx="128">
                  <c:v>0.66</c:v>
                </c:pt>
                <c:pt idx="129">
                  <c:v>0.62</c:v>
                </c:pt>
                <c:pt idx="130">
                  <c:v>0.81</c:v>
                </c:pt>
                <c:pt idx="131">
                  <c:v>2.11</c:v>
                </c:pt>
                <c:pt idx="132">
                  <c:v>0.86</c:v>
                </c:pt>
                <c:pt idx="133">
                  <c:v>0.64</c:v>
                </c:pt>
                <c:pt idx="134">
                  <c:v>0.68</c:v>
                </c:pt>
                <c:pt idx="135">
                  <c:v>0.79</c:v>
                </c:pt>
                <c:pt idx="136">
                  <c:v>0.68</c:v>
                </c:pt>
                <c:pt idx="137">
                  <c:v>0.75</c:v>
                </c:pt>
                <c:pt idx="138">
                  <c:v>0.75</c:v>
                </c:pt>
                <c:pt idx="139">
                  <c:v>0.8</c:v>
                </c:pt>
                <c:pt idx="140">
                  <c:v>0.82</c:v>
                </c:pt>
                <c:pt idx="141">
                  <c:v>0.31</c:v>
                </c:pt>
                <c:pt idx="143">
                  <c:v>0.95</c:v>
                </c:pt>
                <c:pt idx="144">
                  <c:v>0.98</c:v>
                </c:pt>
                <c:pt idx="145">
                  <c:v>0.66</c:v>
                </c:pt>
                <c:pt idx="146">
                  <c:v>0.89</c:v>
                </c:pt>
                <c:pt idx="147">
                  <c:v>0.61</c:v>
                </c:pt>
                <c:pt idx="148">
                  <c:v>0.95</c:v>
                </c:pt>
                <c:pt idx="149">
                  <c:v>1.43</c:v>
                </c:pt>
                <c:pt idx="150">
                  <c:v>0.95</c:v>
                </c:pt>
                <c:pt idx="151">
                  <c:v>1.91</c:v>
                </c:pt>
                <c:pt idx="152">
                  <c:v>1</c:v>
                </c:pt>
                <c:pt idx="153">
                  <c:v>0.79</c:v>
                </c:pt>
                <c:pt idx="154">
                  <c:v>0.93</c:v>
                </c:pt>
                <c:pt idx="155">
                  <c:v>0.81</c:v>
                </c:pt>
                <c:pt idx="156">
                  <c:v>0.74</c:v>
                </c:pt>
              </c:numCache>
            </c:numRef>
          </c:val>
          <c:smooth val="0"/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QC'!$AB$4:$AB$170</c:f>
              <c:numCache>
                <c:formatCode>General</c:formatCode>
                <c:ptCount val="167"/>
                <c:pt idx="1">
                  <c:v>2.1702668360864092</c:v>
                </c:pt>
                <c:pt idx="2">
                  <c:v>1.5413553477193183</c:v>
                </c:pt>
                <c:pt idx="3">
                  <c:v>1.21</c:v>
                </c:pt>
                <c:pt idx="4">
                  <c:v>1.34</c:v>
                </c:pt>
                <c:pt idx="5">
                  <c:v>1.2658227848101322</c:v>
                </c:pt>
                <c:pt idx="6">
                  <c:v>1.3087634802638466</c:v>
                </c:pt>
                <c:pt idx="7">
                  <c:v>1.4391050088990585</c:v>
                </c:pt>
                <c:pt idx="8">
                  <c:v>1.466245799816724</c:v>
                </c:pt>
                <c:pt idx="9">
                  <c:v>1.6758591429783605</c:v>
                </c:pt>
                <c:pt idx="10">
                  <c:v>1.6182594486321269</c:v>
                </c:pt>
                <c:pt idx="12">
                  <c:v>1.2941550864538016</c:v>
                </c:pt>
                <c:pt idx="14">
                  <c:v>1.1974144325527207</c:v>
                </c:pt>
                <c:pt idx="15">
                  <c:v>1.3668150031786386</c:v>
                </c:pt>
                <c:pt idx="16">
                  <c:v>1.1754693899260644</c:v>
                </c:pt>
                <c:pt idx="17">
                  <c:v>1.31</c:v>
                </c:pt>
                <c:pt idx="18">
                  <c:v>1.34</c:v>
                </c:pt>
                <c:pt idx="19">
                  <c:v>1.28</c:v>
                </c:pt>
                <c:pt idx="20">
                  <c:v>1.29</c:v>
                </c:pt>
                <c:pt idx="21">
                  <c:v>1.3903629802589708</c:v>
                </c:pt>
                <c:pt idx="22">
                  <c:v>1.3768912622375769</c:v>
                </c:pt>
                <c:pt idx="23">
                  <c:v>1.395348837209303</c:v>
                </c:pt>
                <c:pt idx="24">
                  <c:v>1.340594888981987</c:v>
                </c:pt>
                <c:pt idx="49">
                  <c:v>5.63</c:v>
                </c:pt>
                <c:pt idx="50">
                  <c:v>1.51</c:v>
                </c:pt>
                <c:pt idx="60">
                  <c:v>1.17</c:v>
                </c:pt>
                <c:pt idx="61">
                  <c:v>1.66</c:v>
                </c:pt>
                <c:pt idx="62">
                  <c:v>1.51</c:v>
                </c:pt>
                <c:pt idx="63">
                  <c:v>1.33</c:v>
                </c:pt>
                <c:pt idx="64">
                  <c:v>1.75</c:v>
                </c:pt>
                <c:pt idx="65">
                  <c:v>0.99</c:v>
                </c:pt>
                <c:pt idx="85">
                  <c:v>-10</c:v>
                </c:pt>
                <c:pt idx="134">
                  <c:v>1.18</c:v>
                </c:pt>
                <c:pt idx="139">
                  <c:v>0.99</c:v>
                </c:pt>
                <c:pt idx="140">
                  <c:v>0.71</c:v>
                </c:pt>
                <c:pt idx="141">
                  <c:v>0.52</c:v>
                </c:pt>
                <c:pt idx="143">
                  <c:v>0.78</c:v>
                </c:pt>
                <c:pt idx="144">
                  <c:v>1.25</c:v>
                </c:pt>
                <c:pt idx="145">
                  <c:v>1.1399999999999999</c:v>
                </c:pt>
                <c:pt idx="146">
                  <c:v>0.98</c:v>
                </c:pt>
                <c:pt idx="147">
                  <c:v>1.29</c:v>
                </c:pt>
                <c:pt idx="148">
                  <c:v>0.96</c:v>
                </c:pt>
                <c:pt idx="149">
                  <c:v>2.48</c:v>
                </c:pt>
                <c:pt idx="150">
                  <c:v>1.88</c:v>
                </c:pt>
                <c:pt idx="151">
                  <c:v>1.02</c:v>
                </c:pt>
                <c:pt idx="152">
                  <c:v>1.25</c:v>
                </c:pt>
                <c:pt idx="156">
                  <c:v>1.1399999999999999</c:v>
                </c:pt>
              </c:numCache>
            </c:numRef>
          </c:val>
          <c:smooth val="0"/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QC'!$AC$4:$AC$170</c:f>
              <c:numCache>
                <c:formatCode>General</c:formatCode>
                <c:ptCount val="167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80152"/>
        <c:axId val="437677800"/>
      </c:lineChart>
      <c:dateAx>
        <c:axId val="437680152"/>
        <c:scaling>
          <c:orientation val="minMax"/>
          <c:min val="41395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77800"/>
        <c:crosses val="autoZero"/>
        <c:auto val="0"/>
        <c:lblOffset val="100"/>
        <c:baseTimeUnit val="days"/>
      </c:dateAx>
      <c:valAx>
        <c:axId val="437677800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80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584086507954708"/>
          <c:y val="0.1160410523219626"/>
          <c:w val="0.44209258285886782"/>
          <c:h val="5.972701222453957E-2"/>
        </c:manualLayout>
      </c:layout>
      <c:overlay val="0"/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780863837285798E-2"/>
          <c:y val="0.18224337182485803"/>
          <c:w val="0.93356258049541863"/>
          <c:h val="0.6386306192153145"/>
        </c:manualLayout>
      </c:layout>
      <c:lineChart>
        <c:grouping val="standard"/>
        <c:varyColors val="0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QC'!$AF$4:$AF$170</c:f>
              <c:numCache>
                <c:formatCode>General</c:formatCode>
                <c:ptCount val="167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-8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-2</c:v>
                </c:pt>
                <c:pt idx="9">
                  <c:v>-4</c:v>
                </c:pt>
                <c:pt idx="10">
                  <c:v>8</c:v>
                </c:pt>
                <c:pt idx="12">
                  <c:v>0</c:v>
                </c:pt>
                <c:pt idx="14">
                  <c:v>-2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6</c:v>
                </c:pt>
                <c:pt idx="20">
                  <c:v>11</c:v>
                </c:pt>
                <c:pt idx="21">
                  <c:v>1</c:v>
                </c:pt>
                <c:pt idx="25">
                  <c:v>29</c:v>
                </c:pt>
                <c:pt idx="26">
                  <c:v>6</c:v>
                </c:pt>
                <c:pt idx="29">
                  <c:v>1</c:v>
                </c:pt>
                <c:pt idx="33">
                  <c:v>0</c:v>
                </c:pt>
                <c:pt idx="49">
                  <c:v>3</c:v>
                </c:pt>
                <c:pt idx="50">
                  <c:v>0</c:v>
                </c:pt>
                <c:pt idx="60">
                  <c:v>-21</c:v>
                </c:pt>
                <c:pt idx="61">
                  <c:v>-2</c:v>
                </c:pt>
                <c:pt idx="62">
                  <c:v>-11</c:v>
                </c:pt>
                <c:pt idx="63">
                  <c:v>-14</c:v>
                </c:pt>
                <c:pt idx="64">
                  <c:v>-8</c:v>
                </c:pt>
                <c:pt idx="65">
                  <c:v>-12</c:v>
                </c:pt>
                <c:pt idx="134">
                  <c:v>-5</c:v>
                </c:pt>
                <c:pt idx="141">
                  <c:v>-8</c:v>
                </c:pt>
                <c:pt idx="143">
                  <c:v>-4</c:v>
                </c:pt>
                <c:pt idx="145">
                  <c:v>-4</c:v>
                </c:pt>
                <c:pt idx="147">
                  <c:v>-10</c:v>
                </c:pt>
                <c:pt idx="148">
                  <c:v>-10</c:v>
                </c:pt>
                <c:pt idx="149">
                  <c:v>-4</c:v>
                </c:pt>
                <c:pt idx="150">
                  <c:v>1</c:v>
                </c:pt>
                <c:pt idx="151">
                  <c:v>-7</c:v>
                </c:pt>
                <c:pt idx="152">
                  <c:v>-11</c:v>
                </c:pt>
                <c:pt idx="156">
                  <c:v>-5</c:v>
                </c:pt>
              </c:numCache>
            </c:numRef>
          </c:val>
          <c:smooth val="0"/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QC'!$AH$4:$AH$170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2">
                  <c:v>-6</c:v>
                </c:pt>
                <c:pt idx="14">
                  <c:v>-1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5</c:v>
                </c:pt>
                <c:pt idx="21">
                  <c:v>5</c:v>
                </c:pt>
                <c:pt idx="25">
                  <c:v>8</c:v>
                </c:pt>
                <c:pt idx="26">
                  <c:v>-14</c:v>
                </c:pt>
                <c:pt idx="29">
                  <c:v>-1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-3</c:v>
                </c:pt>
                <c:pt idx="36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-7</c:v>
                </c:pt>
                <c:pt idx="41">
                  <c:v>-1</c:v>
                </c:pt>
                <c:pt idx="42">
                  <c:v>1</c:v>
                </c:pt>
                <c:pt idx="43">
                  <c:v>-3</c:v>
                </c:pt>
                <c:pt idx="44">
                  <c:v>-1</c:v>
                </c:pt>
                <c:pt idx="45">
                  <c:v>-4</c:v>
                </c:pt>
                <c:pt idx="46">
                  <c:v>-5</c:v>
                </c:pt>
                <c:pt idx="47">
                  <c:v>-3</c:v>
                </c:pt>
                <c:pt idx="48">
                  <c:v>-2</c:v>
                </c:pt>
                <c:pt idx="49">
                  <c:v>2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4</c:v>
                </c:pt>
                <c:pt idx="54">
                  <c:v>-4</c:v>
                </c:pt>
                <c:pt idx="55">
                  <c:v>0</c:v>
                </c:pt>
                <c:pt idx="56">
                  <c:v>-1</c:v>
                </c:pt>
                <c:pt idx="57">
                  <c:v>-4</c:v>
                </c:pt>
                <c:pt idx="58">
                  <c:v>-5</c:v>
                </c:pt>
                <c:pt idx="59">
                  <c:v>-8</c:v>
                </c:pt>
                <c:pt idx="60">
                  <c:v>-19</c:v>
                </c:pt>
                <c:pt idx="61">
                  <c:v>-7</c:v>
                </c:pt>
                <c:pt idx="62">
                  <c:v>-4</c:v>
                </c:pt>
                <c:pt idx="63">
                  <c:v>-5</c:v>
                </c:pt>
                <c:pt idx="64">
                  <c:v>-7</c:v>
                </c:pt>
                <c:pt idx="65">
                  <c:v>-16</c:v>
                </c:pt>
                <c:pt idx="66">
                  <c:v>-11</c:v>
                </c:pt>
                <c:pt idx="67">
                  <c:v>-2</c:v>
                </c:pt>
                <c:pt idx="68">
                  <c:v>-19</c:v>
                </c:pt>
                <c:pt idx="69">
                  <c:v>-3</c:v>
                </c:pt>
                <c:pt idx="70">
                  <c:v>1</c:v>
                </c:pt>
                <c:pt idx="71">
                  <c:v>-2</c:v>
                </c:pt>
                <c:pt idx="72">
                  <c:v>-5</c:v>
                </c:pt>
                <c:pt idx="73">
                  <c:v>-2</c:v>
                </c:pt>
                <c:pt idx="74">
                  <c:v>-7</c:v>
                </c:pt>
                <c:pt idx="75">
                  <c:v>-1</c:v>
                </c:pt>
                <c:pt idx="76">
                  <c:v>-20</c:v>
                </c:pt>
                <c:pt idx="77">
                  <c:v>1</c:v>
                </c:pt>
                <c:pt idx="78">
                  <c:v>-4</c:v>
                </c:pt>
                <c:pt idx="79">
                  <c:v>-4</c:v>
                </c:pt>
                <c:pt idx="80">
                  <c:v>-7</c:v>
                </c:pt>
                <c:pt idx="81">
                  <c:v>-11</c:v>
                </c:pt>
                <c:pt idx="82">
                  <c:v>-5</c:v>
                </c:pt>
                <c:pt idx="83">
                  <c:v>-9</c:v>
                </c:pt>
                <c:pt idx="84">
                  <c:v>-7</c:v>
                </c:pt>
                <c:pt idx="85">
                  <c:v>-4</c:v>
                </c:pt>
                <c:pt idx="86">
                  <c:v>-3</c:v>
                </c:pt>
                <c:pt idx="87">
                  <c:v>-3</c:v>
                </c:pt>
                <c:pt idx="88">
                  <c:v>-8</c:v>
                </c:pt>
                <c:pt idx="89">
                  <c:v>-6</c:v>
                </c:pt>
                <c:pt idx="90">
                  <c:v>-12</c:v>
                </c:pt>
                <c:pt idx="91">
                  <c:v>0</c:v>
                </c:pt>
                <c:pt idx="92">
                  <c:v>-20</c:v>
                </c:pt>
                <c:pt idx="93">
                  <c:v>-11</c:v>
                </c:pt>
                <c:pt idx="94">
                  <c:v>5</c:v>
                </c:pt>
                <c:pt idx="95">
                  <c:v>-7</c:v>
                </c:pt>
                <c:pt idx="96">
                  <c:v>-20</c:v>
                </c:pt>
                <c:pt idx="97">
                  <c:v>-16</c:v>
                </c:pt>
                <c:pt idx="98">
                  <c:v>-10</c:v>
                </c:pt>
                <c:pt idx="99">
                  <c:v>-12</c:v>
                </c:pt>
                <c:pt idx="100">
                  <c:v>-4</c:v>
                </c:pt>
                <c:pt idx="101">
                  <c:v>-7</c:v>
                </c:pt>
                <c:pt idx="103">
                  <c:v>1</c:v>
                </c:pt>
                <c:pt idx="104">
                  <c:v>-11</c:v>
                </c:pt>
                <c:pt idx="105">
                  <c:v>-12</c:v>
                </c:pt>
                <c:pt idx="106">
                  <c:v>0</c:v>
                </c:pt>
                <c:pt idx="107">
                  <c:v>-11</c:v>
                </c:pt>
                <c:pt idx="108">
                  <c:v>-13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-2</c:v>
                </c:pt>
                <c:pt idx="113">
                  <c:v>-4</c:v>
                </c:pt>
                <c:pt idx="114">
                  <c:v>-6</c:v>
                </c:pt>
                <c:pt idx="115">
                  <c:v>-8</c:v>
                </c:pt>
                <c:pt idx="116">
                  <c:v>2</c:v>
                </c:pt>
                <c:pt idx="117">
                  <c:v>-8</c:v>
                </c:pt>
                <c:pt idx="118">
                  <c:v>-18</c:v>
                </c:pt>
                <c:pt idx="119">
                  <c:v>-20</c:v>
                </c:pt>
                <c:pt idx="120">
                  <c:v>-4</c:v>
                </c:pt>
                <c:pt idx="121">
                  <c:v>-1</c:v>
                </c:pt>
                <c:pt idx="122">
                  <c:v>0</c:v>
                </c:pt>
                <c:pt idx="123">
                  <c:v>3</c:v>
                </c:pt>
                <c:pt idx="124">
                  <c:v>-3</c:v>
                </c:pt>
                <c:pt idx="125">
                  <c:v>-16</c:v>
                </c:pt>
                <c:pt idx="126">
                  <c:v>-10</c:v>
                </c:pt>
                <c:pt idx="127">
                  <c:v>-5</c:v>
                </c:pt>
                <c:pt idx="128">
                  <c:v>-18</c:v>
                </c:pt>
                <c:pt idx="129">
                  <c:v>-9</c:v>
                </c:pt>
                <c:pt idx="130">
                  <c:v>0</c:v>
                </c:pt>
                <c:pt idx="131">
                  <c:v>1</c:v>
                </c:pt>
                <c:pt idx="132">
                  <c:v>-8</c:v>
                </c:pt>
                <c:pt idx="133">
                  <c:v>-20</c:v>
                </c:pt>
                <c:pt idx="134">
                  <c:v>-2</c:v>
                </c:pt>
                <c:pt idx="135">
                  <c:v>-5</c:v>
                </c:pt>
                <c:pt idx="136">
                  <c:v>-18</c:v>
                </c:pt>
                <c:pt idx="137">
                  <c:v>-15</c:v>
                </c:pt>
                <c:pt idx="138">
                  <c:v>0</c:v>
                </c:pt>
                <c:pt idx="141">
                  <c:v>4</c:v>
                </c:pt>
                <c:pt idx="143">
                  <c:v>-13</c:v>
                </c:pt>
                <c:pt idx="145">
                  <c:v>24</c:v>
                </c:pt>
                <c:pt idx="147">
                  <c:v>-11</c:v>
                </c:pt>
                <c:pt idx="148">
                  <c:v>-8</c:v>
                </c:pt>
                <c:pt idx="149">
                  <c:v>-10</c:v>
                </c:pt>
                <c:pt idx="150">
                  <c:v>-13</c:v>
                </c:pt>
                <c:pt idx="151">
                  <c:v>-2</c:v>
                </c:pt>
                <c:pt idx="152">
                  <c:v>-8</c:v>
                </c:pt>
                <c:pt idx="153">
                  <c:v>-2</c:v>
                </c:pt>
                <c:pt idx="154">
                  <c:v>-9</c:v>
                </c:pt>
                <c:pt idx="155">
                  <c:v>0.93</c:v>
                </c:pt>
                <c:pt idx="156">
                  <c:v>-5</c:v>
                </c:pt>
              </c:numCache>
            </c:numRef>
          </c:val>
          <c:smooth val="0"/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QC'!$AJ$4:$AJ$170</c:f>
              <c:numCache>
                <c:formatCode>General</c:formatCode>
                <c:ptCount val="167"/>
                <c:pt idx="0">
                  <c:v>-1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-4</c:v>
                </c:pt>
                <c:pt idx="5">
                  <c:v>0</c:v>
                </c:pt>
                <c:pt idx="6">
                  <c:v>-3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1</c:v>
                </c:pt>
                <c:pt idx="16">
                  <c:v>6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8</c:v>
                </c:pt>
                <c:pt idx="21">
                  <c:v>14</c:v>
                </c:pt>
                <c:pt idx="25">
                  <c:v>8</c:v>
                </c:pt>
                <c:pt idx="26">
                  <c:v>9</c:v>
                </c:pt>
                <c:pt idx="29">
                  <c:v>-4</c:v>
                </c:pt>
                <c:pt idx="33">
                  <c:v>0</c:v>
                </c:pt>
                <c:pt idx="49">
                  <c:v>2</c:v>
                </c:pt>
                <c:pt idx="50">
                  <c:v>-2</c:v>
                </c:pt>
                <c:pt idx="60">
                  <c:v>-37</c:v>
                </c:pt>
                <c:pt idx="61">
                  <c:v>-3</c:v>
                </c:pt>
                <c:pt idx="62">
                  <c:v>-2</c:v>
                </c:pt>
                <c:pt idx="63">
                  <c:v>-9</c:v>
                </c:pt>
                <c:pt idx="64">
                  <c:v>-4</c:v>
                </c:pt>
                <c:pt idx="65">
                  <c:v>-5</c:v>
                </c:pt>
                <c:pt idx="69">
                  <c:v>4</c:v>
                </c:pt>
                <c:pt idx="134">
                  <c:v>1</c:v>
                </c:pt>
                <c:pt idx="141">
                  <c:v>-5</c:v>
                </c:pt>
                <c:pt idx="143">
                  <c:v>-4</c:v>
                </c:pt>
                <c:pt idx="145">
                  <c:v>-4</c:v>
                </c:pt>
                <c:pt idx="147">
                  <c:v>-2</c:v>
                </c:pt>
                <c:pt idx="148">
                  <c:v>-6</c:v>
                </c:pt>
                <c:pt idx="149">
                  <c:v>0</c:v>
                </c:pt>
                <c:pt idx="150">
                  <c:v>-3</c:v>
                </c:pt>
                <c:pt idx="151">
                  <c:v>-15</c:v>
                </c:pt>
                <c:pt idx="152">
                  <c:v>-7</c:v>
                </c:pt>
                <c:pt idx="156">
                  <c:v>-5</c:v>
                </c:pt>
              </c:numCache>
            </c:numRef>
          </c:val>
          <c:smooth val="0"/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QC'!$AK$4:$AK$170</c:f>
              <c:numCache>
                <c:formatCode>General</c:formatCode>
                <c:ptCount val="16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80936"/>
        <c:axId val="437678192"/>
      </c:lineChart>
      <c:dateAx>
        <c:axId val="437680936"/>
        <c:scaling>
          <c:orientation val="minMax"/>
          <c:min val="41395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78192"/>
        <c:crossesAt val="-25"/>
        <c:auto val="0"/>
        <c:lblOffset val="100"/>
        <c:baseTimeUnit val="days"/>
      </c:dateAx>
      <c:valAx>
        <c:axId val="437678192"/>
        <c:scaling>
          <c:orientation val="minMax"/>
          <c:max val="40"/>
          <c:min val="-2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80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177370627256249"/>
          <c:w val="0.44209258285886782"/>
          <c:h val="6.1102959429000812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465796031339667E-2"/>
          <c:y val="0.1473989999396704"/>
          <c:w val="0.93630230927163427"/>
          <c:h val="0.69364235265727248"/>
        </c:manualLayout>
      </c:layout>
      <c:lineChart>
        <c:grouping val="standard"/>
        <c:varyColors val="0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QC'!$D$5:$D$173</c:f>
              <c:numCache>
                <c:formatCode>General</c:formatCode>
                <c:ptCount val="169"/>
                <c:pt idx="0">
                  <c:v>235.40600000000001</c:v>
                </c:pt>
                <c:pt idx="1">
                  <c:v>235.16900000000001</c:v>
                </c:pt>
                <c:pt idx="2">
                  <c:v>235.28399999999999</c:v>
                </c:pt>
                <c:pt idx="3">
                  <c:v>235.31100000000001</c:v>
                </c:pt>
                <c:pt idx="4">
                  <c:v>235.02</c:v>
                </c:pt>
                <c:pt idx="5">
                  <c:v>235.93</c:v>
                </c:pt>
                <c:pt idx="6">
                  <c:v>242.41</c:v>
                </c:pt>
                <c:pt idx="7">
                  <c:v>233.93</c:v>
                </c:pt>
                <c:pt idx="8">
                  <c:v>234.12</c:v>
                </c:pt>
                <c:pt idx="9">
                  <c:v>233.03</c:v>
                </c:pt>
                <c:pt idx="10">
                  <c:v>233.23699999999999</c:v>
                </c:pt>
                <c:pt idx="11">
                  <c:v>232.20599999999999</c:v>
                </c:pt>
                <c:pt idx="12">
                  <c:v>233.22</c:v>
                </c:pt>
                <c:pt idx="13">
                  <c:v>233.43</c:v>
                </c:pt>
                <c:pt idx="14">
                  <c:v>232.79</c:v>
                </c:pt>
                <c:pt idx="15">
                  <c:v>234.68</c:v>
                </c:pt>
                <c:pt idx="16">
                  <c:v>256.99</c:v>
                </c:pt>
                <c:pt idx="17">
                  <c:v>240.16</c:v>
                </c:pt>
                <c:pt idx="18">
                  <c:v>237.28</c:v>
                </c:pt>
                <c:pt idx="19">
                  <c:v>232.93</c:v>
                </c:pt>
                <c:pt idx="20">
                  <c:v>235.84</c:v>
                </c:pt>
                <c:pt idx="21">
                  <c:v>235.02</c:v>
                </c:pt>
                <c:pt idx="22">
                  <c:v>233.52</c:v>
                </c:pt>
                <c:pt idx="49">
                  <c:v>236.78</c:v>
                </c:pt>
                <c:pt idx="54">
                  <c:v>236.2</c:v>
                </c:pt>
                <c:pt idx="59">
                  <c:v>227.71</c:v>
                </c:pt>
                <c:pt idx="60">
                  <c:v>232.45</c:v>
                </c:pt>
                <c:pt idx="61">
                  <c:v>232.49</c:v>
                </c:pt>
                <c:pt idx="62">
                  <c:v>232.06</c:v>
                </c:pt>
                <c:pt idx="64">
                  <c:v>230.08</c:v>
                </c:pt>
                <c:pt idx="65">
                  <c:v>229.13</c:v>
                </c:pt>
                <c:pt idx="66">
                  <c:v>229.75</c:v>
                </c:pt>
                <c:pt idx="116">
                  <c:v>233.27</c:v>
                </c:pt>
                <c:pt idx="143">
                  <c:v>235.43</c:v>
                </c:pt>
                <c:pt idx="144">
                  <c:v>234.63</c:v>
                </c:pt>
                <c:pt idx="145">
                  <c:v>238.69</c:v>
                </c:pt>
                <c:pt idx="146">
                  <c:v>237.54</c:v>
                </c:pt>
                <c:pt idx="147">
                  <c:v>235.73</c:v>
                </c:pt>
                <c:pt idx="148">
                  <c:v>237.72</c:v>
                </c:pt>
                <c:pt idx="149">
                  <c:v>236.13</c:v>
                </c:pt>
                <c:pt idx="150">
                  <c:v>235.74</c:v>
                </c:pt>
                <c:pt idx="151">
                  <c:v>236.62</c:v>
                </c:pt>
                <c:pt idx="152">
                  <c:v>234.6</c:v>
                </c:pt>
                <c:pt idx="153">
                  <c:v>244.53</c:v>
                </c:pt>
                <c:pt idx="154">
                  <c:v>231.68</c:v>
                </c:pt>
                <c:pt idx="155">
                  <c:v>238.03</c:v>
                </c:pt>
                <c:pt idx="156">
                  <c:v>232.4</c:v>
                </c:pt>
                <c:pt idx="157">
                  <c:v>235.01</c:v>
                </c:pt>
                <c:pt idx="158">
                  <c:v>232.1</c:v>
                </c:pt>
                <c:pt idx="159">
                  <c:v>232.94</c:v>
                </c:pt>
                <c:pt idx="160">
                  <c:v>233.28</c:v>
                </c:pt>
                <c:pt idx="161">
                  <c:v>230.95</c:v>
                </c:pt>
                <c:pt idx="162">
                  <c:v>231.38</c:v>
                </c:pt>
                <c:pt idx="165">
                  <c:v>230.98</c:v>
                </c:pt>
                <c:pt idx="166">
                  <c:v>238.45</c:v>
                </c:pt>
              </c:numCache>
            </c:numRef>
          </c:val>
          <c:smooth val="0"/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QC'!$J$5:$J$173</c:f>
              <c:numCache>
                <c:formatCode>General</c:formatCode>
                <c:ptCount val="169"/>
                <c:pt idx="0">
                  <c:v>236.7</c:v>
                </c:pt>
                <c:pt idx="1">
                  <c:v>236.358</c:v>
                </c:pt>
                <c:pt idx="2">
                  <c:v>236.47</c:v>
                </c:pt>
                <c:pt idx="3">
                  <c:v>238.64099999999999</c:v>
                </c:pt>
                <c:pt idx="4">
                  <c:v>236.72</c:v>
                </c:pt>
                <c:pt idx="5">
                  <c:v>237.2</c:v>
                </c:pt>
                <c:pt idx="6">
                  <c:v>243.97</c:v>
                </c:pt>
                <c:pt idx="7">
                  <c:v>235.52</c:v>
                </c:pt>
                <c:pt idx="8">
                  <c:v>235.69</c:v>
                </c:pt>
                <c:pt idx="9">
                  <c:v>234.77</c:v>
                </c:pt>
                <c:pt idx="10">
                  <c:v>235.38</c:v>
                </c:pt>
                <c:pt idx="11">
                  <c:v>234.934</c:v>
                </c:pt>
                <c:pt idx="12">
                  <c:v>235.35</c:v>
                </c:pt>
                <c:pt idx="13">
                  <c:v>235.75</c:v>
                </c:pt>
                <c:pt idx="14">
                  <c:v>234.84</c:v>
                </c:pt>
                <c:pt idx="15">
                  <c:v>236.25</c:v>
                </c:pt>
                <c:pt idx="16">
                  <c:v>254.83</c:v>
                </c:pt>
                <c:pt idx="17">
                  <c:v>237.64</c:v>
                </c:pt>
                <c:pt idx="18">
                  <c:v>236.36</c:v>
                </c:pt>
                <c:pt idx="19">
                  <c:v>235.59</c:v>
                </c:pt>
                <c:pt idx="20">
                  <c:v>237.61</c:v>
                </c:pt>
                <c:pt idx="21">
                  <c:v>237.53</c:v>
                </c:pt>
                <c:pt idx="22">
                  <c:v>236.22</c:v>
                </c:pt>
                <c:pt idx="23">
                  <c:v>236.15</c:v>
                </c:pt>
                <c:pt idx="24">
                  <c:v>236.06</c:v>
                </c:pt>
                <c:pt idx="25">
                  <c:v>236.36</c:v>
                </c:pt>
                <c:pt idx="26">
                  <c:v>234.88</c:v>
                </c:pt>
                <c:pt idx="27">
                  <c:v>234.76</c:v>
                </c:pt>
                <c:pt idx="28">
                  <c:v>233.96</c:v>
                </c:pt>
                <c:pt idx="29">
                  <c:v>234.79</c:v>
                </c:pt>
                <c:pt idx="30">
                  <c:v>235.04</c:v>
                </c:pt>
                <c:pt idx="31">
                  <c:v>234.06</c:v>
                </c:pt>
                <c:pt idx="32">
                  <c:v>234.63</c:v>
                </c:pt>
                <c:pt idx="33">
                  <c:v>234.64</c:v>
                </c:pt>
                <c:pt idx="34">
                  <c:v>237.58</c:v>
                </c:pt>
                <c:pt idx="35">
                  <c:v>237.45</c:v>
                </c:pt>
                <c:pt idx="36">
                  <c:v>235.59</c:v>
                </c:pt>
                <c:pt idx="37">
                  <c:v>238.45</c:v>
                </c:pt>
                <c:pt idx="38">
                  <c:v>236.3</c:v>
                </c:pt>
                <c:pt idx="39">
                  <c:v>237.16</c:v>
                </c:pt>
                <c:pt idx="40">
                  <c:v>237.3</c:v>
                </c:pt>
                <c:pt idx="41">
                  <c:v>235.97</c:v>
                </c:pt>
                <c:pt idx="42">
                  <c:v>236.3</c:v>
                </c:pt>
                <c:pt idx="43">
                  <c:v>235.95</c:v>
                </c:pt>
                <c:pt idx="44">
                  <c:v>233.18</c:v>
                </c:pt>
                <c:pt idx="45">
                  <c:v>238.59</c:v>
                </c:pt>
                <c:pt idx="46">
                  <c:v>236.3</c:v>
                </c:pt>
                <c:pt idx="47">
                  <c:v>237.6</c:v>
                </c:pt>
                <c:pt idx="48">
                  <c:v>237.1</c:v>
                </c:pt>
                <c:pt idx="49">
                  <c:v>237.23</c:v>
                </c:pt>
                <c:pt idx="50">
                  <c:v>237.59</c:v>
                </c:pt>
                <c:pt idx="51">
                  <c:v>237.69</c:v>
                </c:pt>
                <c:pt idx="52">
                  <c:v>237.23</c:v>
                </c:pt>
                <c:pt idx="53">
                  <c:v>238.52</c:v>
                </c:pt>
                <c:pt idx="54">
                  <c:v>235.98</c:v>
                </c:pt>
                <c:pt idx="55">
                  <c:v>235.4</c:v>
                </c:pt>
                <c:pt idx="56">
                  <c:v>233.69</c:v>
                </c:pt>
                <c:pt idx="57">
                  <c:v>230.55</c:v>
                </c:pt>
                <c:pt idx="58">
                  <c:v>230.84</c:v>
                </c:pt>
                <c:pt idx="59">
                  <c:v>230.34</c:v>
                </c:pt>
                <c:pt idx="60">
                  <c:v>234.92</c:v>
                </c:pt>
                <c:pt idx="61">
                  <c:v>230.47</c:v>
                </c:pt>
                <c:pt idx="62">
                  <c:v>234.29</c:v>
                </c:pt>
                <c:pt idx="63">
                  <c:v>230.89</c:v>
                </c:pt>
                <c:pt idx="64">
                  <c:v>233.08</c:v>
                </c:pt>
                <c:pt idx="65">
                  <c:v>231.94</c:v>
                </c:pt>
                <c:pt idx="66">
                  <c:v>230.02</c:v>
                </c:pt>
                <c:pt idx="67">
                  <c:v>231.48</c:v>
                </c:pt>
                <c:pt idx="68">
                  <c:v>231.8</c:v>
                </c:pt>
                <c:pt idx="69">
                  <c:v>233.76</c:v>
                </c:pt>
                <c:pt idx="70">
                  <c:v>234.08</c:v>
                </c:pt>
                <c:pt idx="71">
                  <c:v>235.02</c:v>
                </c:pt>
                <c:pt idx="72">
                  <c:v>231.77</c:v>
                </c:pt>
                <c:pt idx="73">
                  <c:v>233.35</c:v>
                </c:pt>
                <c:pt idx="74">
                  <c:v>231.85</c:v>
                </c:pt>
                <c:pt idx="75">
                  <c:v>239.2</c:v>
                </c:pt>
                <c:pt idx="76">
                  <c:v>232.89</c:v>
                </c:pt>
                <c:pt idx="77">
                  <c:v>231.45</c:v>
                </c:pt>
                <c:pt idx="78">
                  <c:v>232.55</c:v>
                </c:pt>
                <c:pt idx="79">
                  <c:v>233.8</c:v>
                </c:pt>
                <c:pt idx="80">
                  <c:v>234.11</c:v>
                </c:pt>
                <c:pt idx="81">
                  <c:v>235.03</c:v>
                </c:pt>
                <c:pt idx="82">
                  <c:v>232.87</c:v>
                </c:pt>
                <c:pt idx="83">
                  <c:v>233.33</c:v>
                </c:pt>
                <c:pt idx="84">
                  <c:v>235.97</c:v>
                </c:pt>
                <c:pt idx="85">
                  <c:v>229.09</c:v>
                </c:pt>
                <c:pt idx="86">
                  <c:v>240.16</c:v>
                </c:pt>
                <c:pt idx="87">
                  <c:v>230.2</c:v>
                </c:pt>
                <c:pt idx="88">
                  <c:v>231.02</c:v>
                </c:pt>
                <c:pt idx="89">
                  <c:v>231.52</c:v>
                </c:pt>
                <c:pt idx="90">
                  <c:v>231.89</c:v>
                </c:pt>
                <c:pt idx="91">
                  <c:v>232.52</c:v>
                </c:pt>
                <c:pt idx="92">
                  <c:v>230.11</c:v>
                </c:pt>
                <c:pt idx="93">
                  <c:v>231.78</c:v>
                </c:pt>
                <c:pt idx="94">
                  <c:v>230.49</c:v>
                </c:pt>
                <c:pt idx="95">
                  <c:v>235.85</c:v>
                </c:pt>
                <c:pt idx="96">
                  <c:v>234.72</c:v>
                </c:pt>
                <c:pt idx="97">
                  <c:v>236.34</c:v>
                </c:pt>
                <c:pt idx="98">
                  <c:v>235.19</c:v>
                </c:pt>
                <c:pt idx="99">
                  <c:v>227.72</c:v>
                </c:pt>
                <c:pt idx="100">
                  <c:v>231.35</c:v>
                </c:pt>
                <c:pt idx="101">
                  <c:v>230.22</c:v>
                </c:pt>
                <c:pt idx="102">
                  <c:v>228.65</c:v>
                </c:pt>
                <c:pt idx="103">
                  <c:v>231.18</c:v>
                </c:pt>
                <c:pt idx="104">
                  <c:v>231.64</c:v>
                </c:pt>
                <c:pt idx="105">
                  <c:v>231.48</c:v>
                </c:pt>
                <c:pt idx="106">
                  <c:v>230.67</c:v>
                </c:pt>
                <c:pt idx="107">
                  <c:v>234.36</c:v>
                </c:pt>
                <c:pt idx="108">
                  <c:v>234.15</c:v>
                </c:pt>
                <c:pt idx="109">
                  <c:v>231.81</c:v>
                </c:pt>
                <c:pt idx="110">
                  <c:v>234.21</c:v>
                </c:pt>
                <c:pt idx="111">
                  <c:v>234.26</c:v>
                </c:pt>
                <c:pt idx="112">
                  <c:v>234.08</c:v>
                </c:pt>
                <c:pt idx="113">
                  <c:v>232.02</c:v>
                </c:pt>
                <c:pt idx="114">
                  <c:v>233.5</c:v>
                </c:pt>
                <c:pt idx="115">
                  <c:v>233.55</c:v>
                </c:pt>
                <c:pt idx="117">
                  <c:v>233.54</c:v>
                </c:pt>
                <c:pt idx="118">
                  <c:v>231.98</c:v>
                </c:pt>
                <c:pt idx="119">
                  <c:v>234.04</c:v>
                </c:pt>
                <c:pt idx="120">
                  <c:v>231.88</c:v>
                </c:pt>
                <c:pt idx="121">
                  <c:v>231.92</c:v>
                </c:pt>
                <c:pt idx="122">
                  <c:v>233.81</c:v>
                </c:pt>
                <c:pt idx="123">
                  <c:v>231.91</c:v>
                </c:pt>
                <c:pt idx="124">
                  <c:v>233.25</c:v>
                </c:pt>
                <c:pt idx="125">
                  <c:v>232.42</c:v>
                </c:pt>
                <c:pt idx="126">
                  <c:v>234.11</c:v>
                </c:pt>
                <c:pt idx="127">
                  <c:v>234.62</c:v>
                </c:pt>
                <c:pt idx="128">
                  <c:v>235.79</c:v>
                </c:pt>
                <c:pt idx="129">
                  <c:v>233.7</c:v>
                </c:pt>
                <c:pt idx="130">
                  <c:v>232.64</c:v>
                </c:pt>
                <c:pt idx="131">
                  <c:v>234.84</c:v>
                </c:pt>
                <c:pt idx="132">
                  <c:v>235.32</c:v>
                </c:pt>
                <c:pt idx="133">
                  <c:v>233.12</c:v>
                </c:pt>
                <c:pt idx="134">
                  <c:v>236.96</c:v>
                </c:pt>
                <c:pt idx="135">
                  <c:v>236.73</c:v>
                </c:pt>
                <c:pt idx="136">
                  <c:v>236.39</c:v>
                </c:pt>
                <c:pt idx="137">
                  <c:v>236.76</c:v>
                </c:pt>
                <c:pt idx="138">
                  <c:v>236.77799999999999</c:v>
                </c:pt>
                <c:pt idx="139">
                  <c:v>238.66</c:v>
                </c:pt>
                <c:pt idx="140">
                  <c:v>240.1</c:v>
                </c:pt>
                <c:pt idx="141">
                  <c:v>238.79</c:v>
                </c:pt>
                <c:pt idx="142">
                  <c:v>238.93</c:v>
                </c:pt>
                <c:pt idx="143">
                  <c:v>238.37</c:v>
                </c:pt>
                <c:pt idx="144">
                  <c:v>237.221</c:v>
                </c:pt>
                <c:pt idx="145">
                  <c:v>239.49</c:v>
                </c:pt>
                <c:pt idx="146">
                  <c:v>239.78</c:v>
                </c:pt>
                <c:pt idx="147">
                  <c:v>243</c:v>
                </c:pt>
                <c:pt idx="148">
                  <c:v>238.36</c:v>
                </c:pt>
                <c:pt idx="149">
                  <c:v>238.34</c:v>
                </c:pt>
                <c:pt idx="150">
                  <c:v>238.7</c:v>
                </c:pt>
                <c:pt idx="151">
                  <c:v>237.29</c:v>
                </c:pt>
                <c:pt idx="152">
                  <c:v>237.71</c:v>
                </c:pt>
                <c:pt idx="153">
                  <c:v>248.17</c:v>
                </c:pt>
                <c:pt idx="154">
                  <c:v>233.6</c:v>
                </c:pt>
                <c:pt idx="155">
                  <c:v>241.64</c:v>
                </c:pt>
                <c:pt idx="156">
                  <c:v>234.17</c:v>
                </c:pt>
                <c:pt idx="157">
                  <c:v>238.2</c:v>
                </c:pt>
                <c:pt idx="158">
                  <c:v>232.56</c:v>
                </c:pt>
                <c:pt idx="159">
                  <c:v>233.97</c:v>
                </c:pt>
                <c:pt idx="160">
                  <c:v>232.22</c:v>
                </c:pt>
                <c:pt idx="161">
                  <c:v>231.78</c:v>
                </c:pt>
                <c:pt idx="162">
                  <c:v>230.24</c:v>
                </c:pt>
                <c:pt idx="163">
                  <c:v>232.61</c:v>
                </c:pt>
                <c:pt idx="164">
                  <c:v>231.23</c:v>
                </c:pt>
                <c:pt idx="165">
                  <c:v>233.22</c:v>
                </c:pt>
                <c:pt idx="166">
                  <c:v>242.01</c:v>
                </c:pt>
              </c:numCache>
            </c:numRef>
          </c:val>
          <c:smooth val="0"/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QC'!$P$5:$P$173</c:f>
              <c:numCache>
                <c:formatCode>General</c:formatCode>
                <c:ptCount val="169"/>
                <c:pt idx="0">
                  <c:v>237.22900000000001</c:v>
                </c:pt>
                <c:pt idx="1">
                  <c:v>237.15700000000001</c:v>
                </c:pt>
                <c:pt idx="2">
                  <c:v>236.81100000000001</c:v>
                </c:pt>
                <c:pt idx="3">
                  <c:v>236.804</c:v>
                </c:pt>
                <c:pt idx="4">
                  <c:v>237.06</c:v>
                </c:pt>
                <c:pt idx="5">
                  <c:v>237.1</c:v>
                </c:pt>
                <c:pt idx="6">
                  <c:v>243.47</c:v>
                </c:pt>
                <c:pt idx="7">
                  <c:v>235.7</c:v>
                </c:pt>
                <c:pt idx="8">
                  <c:v>235.44</c:v>
                </c:pt>
                <c:pt idx="9">
                  <c:v>234.37</c:v>
                </c:pt>
                <c:pt idx="10">
                  <c:v>235.11199999999999</c:v>
                </c:pt>
                <c:pt idx="11">
                  <c:v>234.93700000000001</c:v>
                </c:pt>
                <c:pt idx="12">
                  <c:v>235.83</c:v>
                </c:pt>
                <c:pt idx="13">
                  <c:v>235.52</c:v>
                </c:pt>
                <c:pt idx="14">
                  <c:v>234.87</c:v>
                </c:pt>
                <c:pt idx="15">
                  <c:v>235.9</c:v>
                </c:pt>
                <c:pt idx="16">
                  <c:v>256.33</c:v>
                </c:pt>
                <c:pt idx="17">
                  <c:v>242.65</c:v>
                </c:pt>
                <c:pt idx="18">
                  <c:v>235.87</c:v>
                </c:pt>
                <c:pt idx="19">
                  <c:v>235.44</c:v>
                </c:pt>
                <c:pt idx="20">
                  <c:v>237.58</c:v>
                </c:pt>
                <c:pt idx="21">
                  <c:v>236.81</c:v>
                </c:pt>
                <c:pt idx="22">
                  <c:v>235.53</c:v>
                </c:pt>
                <c:pt idx="49">
                  <c:v>235.5</c:v>
                </c:pt>
                <c:pt idx="54">
                  <c:v>237.85</c:v>
                </c:pt>
                <c:pt idx="59">
                  <c:v>229.62</c:v>
                </c:pt>
                <c:pt idx="60">
                  <c:v>234.36</c:v>
                </c:pt>
                <c:pt idx="61">
                  <c:v>229.72</c:v>
                </c:pt>
                <c:pt idx="62">
                  <c:v>233.57</c:v>
                </c:pt>
                <c:pt idx="64">
                  <c:v>232.82</c:v>
                </c:pt>
                <c:pt idx="65">
                  <c:v>231.07</c:v>
                </c:pt>
                <c:pt idx="66">
                  <c:v>231.39</c:v>
                </c:pt>
                <c:pt idx="116">
                  <c:v>239.14</c:v>
                </c:pt>
                <c:pt idx="143">
                  <c:v>246.38</c:v>
                </c:pt>
                <c:pt idx="144">
                  <c:v>247.46</c:v>
                </c:pt>
                <c:pt idx="145">
                  <c:v>246.82</c:v>
                </c:pt>
                <c:pt idx="146">
                  <c:v>244.38</c:v>
                </c:pt>
                <c:pt idx="147">
                  <c:v>251.01</c:v>
                </c:pt>
                <c:pt idx="148">
                  <c:v>258.29000000000002</c:v>
                </c:pt>
                <c:pt idx="149">
                  <c:v>246.3</c:v>
                </c:pt>
                <c:pt idx="150">
                  <c:v>245.37</c:v>
                </c:pt>
                <c:pt idx="151">
                  <c:v>248.43</c:v>
                </c:pt>
                <c:pt idx="152">
                  <c:v>247.52</c:v>
                </c:pt>
                <c:pt idx="153">
                  <c:v>250.96</c:v>
                </c:pt>
                <c:pt idx="154">
                  <c:v>235.16</c:v>
                </c:pt>
                <c:pt idx="155">
                  <c:v>242.92</c:v>
                </c:pt>
                <c:pt idx="156">
                  <c:v>233.19</c:v>
                </c:pt>
                <c:pt idx="157">
                  <c:v>238.11</c:v>
                </c:pt>
                <c:pt idx="158">
                  <c:v>237.62</c:v>
                </c:pt>
                <c:pt idx="159">
                  <c:v>235.47</c:v>
                </c:pt>
                <c:pt idx="160">
                  <c:v>233.01</c:v>
                </c:pt>
                <c:pt idx="161">
                  <c:v>235.4</c:v>
                </c:pt>
                <c:pt idx="162">
                  <c:v>235.13</c:v>
                </c:pt>
                <c:pt idx="165">
                  <c:v>235.83</c:v>
                </c:pt>
                <c:pt idx="166">
                  <c:v>241.07</c:v>
                </c:pt>
              </c:numCache>
            </c:numRef>
          </c:val>
          <c:smooth val="0"/>
        </c:ser>
        <c:ser>
          <c:idx val="0"/>
          <c:order val="3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QC'!$Q$5:$Q$173</c:f>
              <c:numCache>
                <c:formatCode>General</c:formatCode>
                <c:ptCount val="169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  <c:pt idx="43">
                  <c:v>229</c:v>
                </c:pt>
                <c:pt idx="44">
                  <c:v>229</c:v>
                </c:pt>
                <c:pt idx="45">
                  <c:v>229</c:v>
                </c:pt>
                <c:pt idx="46">
                  <c:v>229</c:v>
                </c:pt>
                <c:pt idx="47">
                  <c:v>229</c:v>
                </c:pt>
                <c:pt idx="48">
                  <c:v>229</c:v>
                </c:pt>
                <c:pt idx="49">
                  <c:v>229</c:v>
                </c:pt>
                <c:pt idx="50">
                  <c:v>229</c:v>
                </c:pt>
                <c:pt idx="51">
                  <c:v>229</c:v>
                </c:pt>
                <c:pt idx="52">
                  <c:v>229</c:v>
                </c:pt>
                <c:pt idx="53">
                  <c:v>229</c:v>
                </c:pt>
                <c:pt idx="54">
                  <c:v>229</c:v>
                </c:pt>
                <c:pt idx="55">
                  <c:v>229</c:v>
                </c:pt>
                <c:pt idx="56">
                  <c:v>229</c:v>
                </c:pt>
                <c:pt idx="57">
                  <c:v>229</c:v>
                </c:pt>
                <c:pt idx="58">
                  <c:v>229</c:v>
                </c:pt>
                <c:pt idx="59">
                  <c:v>229</c:v>
                </c:pt>
                <c:pt idx="60">
                  <c:v>229</c:v>
                </c:pt>
                <c:pt idx="61">
                  <c:v>229</c:v>
                </c:pt>
                <c:pt idx="62">
                  <c:v>229</c:v>
                </c:pt>
                <c:pt idx="63">
                  <c:v>229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229</c:v>
                </c:pt>
                <c:pt idx="78">
                  <c:v>229</c:v>
                </c:pt>
                <c:pt idx="79">
                  <c:v>229</c:v>
                </c:pt>
                <c:pt idx="80">
                  <c:v>229</c:v>
                </c:pt>
                <c:pt idx="81">
                  <c:v>229</c:v>
                </c:pt>
                <c:pt idx="82">
                  <c:v>229</c:v>
                </c:pt>
                <c:pt idx="83">
                  <c:v>229</c:v>
                </c:pt>
                <c:pt idx="84">
                  <c:v>229</c:v>
                </c:pt>
                <c:pt idx="85">
                  <c:v>229</c:v>
                </c:pt>
                <c:pt idx="86">
                  <c:v>229</c:v>
                </c:pt>
                <c:pt idx="87">
                  <c:v>229</c:v>
                </c:pt>
                <c:pt idx="88">
                  <c:v>229</c:v>
                </c:pt>
                <c:pt idx="89">
                  <c:v>229</c:v>
                </c:pt>
                <c:pt idx="90">
                  <c:v>229</c:v>
                </c:pt>
                <c:pt idx="91">
                  <c:v>229</c:v>
                </c:pt>
                <c:pt idx="92">
                  <c:v>229</c:v>
                </c:pt>
                <c:pt idx="93">
                  <c:v>229</c:v>
                </c:pt>
                <c:pt idx="94">
                  <c:v>229</c:v>
                </c:pt>
                <c:pt idx="95">
                  <c:v>229</c:v>
                </c:pt>
                <c:pt idx="96">
                  <c:v>229</c:v>
                </c:pt>
                <c:pt idx="97">
                  <c:v>229</c:v>
                </c:pt>
                <c:pt idx="98">
                  <c:v>229</c:v>
                </c:pt>
                <c:pt idx="99">
                  <c:v>229</c:v>
                </c:pt>
                <c:pt idx="100">
                  <c:v>229</c:v>
                </c:pt>
                <c:pt idx="101">
                  <c:v>229</c:v>
                </c:pt>
                <c:pt idx="102">
                  <c:v>229</c:v>
                </c:pt>
                <c:pt idx="103">
                  <c:v>229</c:v>
                </c:pt>
                <c:pt idx="104">
                  <c:v>229</c:v>
                </c:pt>
                <c:pt idx="105">
                  <c:v>229</c:v>
                </c:pt>
                <c:pt idx="106">
                  <c:v>229</c:v>
                </c:pt>
                <c:pt idx="107">
                  <c:v>229</c:v>
                </c:pt>
                <c:pt idx="108">
                  <c:v>229</c:v>
                </c:pt>
                <c:pt idx="109">
                  <c:v>229</c:v>
                </c:pt>
                <c:pt idx="110">
                  <c:v>229</c:v>
                </c:pt>
                <c:pt idx="111">
                  <c:v>229</c:v>
                </c:pt>
                <c:pt idx="112">
                  <c:v>229</c:v>
                </c:pt>
                <c:pt idx="113">
                  <c:v>229</c:v>
                </c:pt>
                <c:pt idx="114">
                  <c:v>229</c:v>
                </c:pt>
                <c:pt idx="115">
                  <c:v>229</c:v>
                </c:pt>
                <c:pt idx="116">
                  <c:v>229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229</c:v>
                </c:pt>
                <c:pt idx="121">
                  <c:v>229</c:v>
                </c:pt>
                <c:pt idx="122">
                  <c:v>229</c:v>
                </c:pt>
                <c:pt idx="123">
                  <c:v>229</c:v>
                </c:pt>
                <c:pt idx="124">
                  <c:v>229</c:v>
                </c:pt>
                <c:pt idx="125">
                  <c:v>229</c:v>
                </c:pt>
                <c:pt idx="126">
                  <c:v>229</c:v>
                </c:pt>
                <c:pt idx="127">
                  <c:v>229</c:v>
                </c:pt>
                <c:pt idx="128">
                  <c:v>229</c:v>
                </c:pt>
                <c:pt idx="129">
                  <c:v>229</c:v>
                </c:pt>
                <c:pt idx="130">
                  <c:v>229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229</c:v>
                </c:pt>
                <c:pt idx="144">
                  <c:v>229</c:v>
                </c:pt>
                <c:pt idx="145">
                  <c:v>229</c:v>
                </c:pt>
                <c:pt idx="146">
                  <c:v>229</c:v>
                </c:pt>
                <c:pt idx="147">
                  <c:v>229</c:v>
                </c:pt>
                <c:pt idx="148">
                  <c:v>229</c:v>
                </c:pt>
                <c:pt idx="149">
                  <c:v>229</c:v>
                </c:pt>
                <c:pt idx="150">
                  <c:v>229</c:v>
                </c:pt>
                <c:pt idx="151">
                  <c:v>229</c:v>
                </c:pt>
                <c:pt idx="152">
                  <c:v>229</c:v>
                </c:pt>
                <c:pt idx="153">
                  <c:v>229</c:v>
                </c:pt>
                <c:pt idx="154">
                  <c:v>229</c:v>
                </c:pt>
                <c:pt idx="155">
                  <c:v>229</c:v>
                </c:pt>
                <c:pt idx="156">
                  <c:v>229</c:v>
                </c:pt>
                <c:pt idx="157">
                  <c:v>229</c:v>
                </c:pt>
                <c:pt idx="158">
                  <c:v>229</c:v>
                </c:pt>
                <c:pt idx="159">
                  <c:v>229</c:v>
                </c:pt>
                <c:pt idx="160">
                  <c:v>229</c:v>
                </c:pt>
                <c:pt idx="161">
                  <c:v>229</c:v>
                </c:pt>
                <c:pt idx="162">
                  <c:v>229</c:v>
                </c:pt>
                <c:pt idx="163">
                  <c:v>229</c:v>
                </c:pt>
                <c:pt idx="164">
                  <c:v>229</c:v>
                </c:pt>
                <c:pt idx="165">
                  <c:v>229</c:v>
                </c:pt>
                <c:pt idx="166">
                  <c:v>229</c:v>
                </c:pt>
                <c:pt idx="167">
                  <c:v>229</c:v>
                </c:pt>
                <c:pt idx="168">
                  <c:v>229</c:v>
                </c:pt>
              </c:numCache>
            </c:numRef>
          </c:val>
          <c:smooth val="0"/>
        </c:ser>
        <c:ser>
          <c:idx val="1"/>
          <c:order val="4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QC'!$R$5:$R$173</c:f>
              <c:numCache>
                <c:formatCode>General</c:formatCode>
                <c:ptCount val="169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67216"/>
        <c:axId val="437679760"/>
      </c:lineChart>
      <c:dateAx>
        <c:axId val="437667216"/>
        <c:scaling>
          <c:orientation val="minMax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79760"/>
        <c:crosses val="autoZero"/>
        <c:auto val="0"/>
        <c:lblOffset val="100"/>
        <c:baseTimeUnit val="days"/>
      </c:dateAx>
      <c:valAx>
        <c:axId val="437679760"/>
        <c:scaling>
          <c:orientation val="minMax"/>
          <c:max val="245"/>
          <c:min val="22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7667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957685873750937"/>
          <c:y val="7.3204466174509999E-2"/>
          <c:w val="0.44209258285886782"/>
          <c:h val="5.9392302745357166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780863837285798E-2"/>
          <c:y val="0.17979240017100767"/>
          <c:w val="0.93356258049541863"/>
          <c:h val="0.66864942212358225"/>
        </c:manualLayout>
      </c:layout>
      <c:lineChart>
        <c:grouping val="standard"/>
        <c:varyColors val="0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QC'!$AC$5:$AC$173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1</c:v>
                </c:pt>
                <c:pt idx="12">
                  <c:v>0</c:v>
                </c:pt>
                <c:pt idx="13">
                  <c:v>5</c:v>
                </c:pt>
                <c:pt idx="15">
                  <c:v>2</c:v>
                </c:pt>
                <c:pt idx="18">
                  <c:v>-1</c:v>
                </c:pt>
                <c:pt idx="20">
                  <c:v>29</c:v>
                </c:pt>
                <c:pt idx="21">
                  <c:v>8</c:v>
                </c:pt>
                <c:pt idx="22">
                  <c:v>10</c:v>
                </c:pt>
                <c:pt idx="49">
                  <c:v>-1</c:v>
                </c:pt>
                <c:pt idx="54">
                  <c:v>0</c:v>
                </c:pt>
                <c:pt idx="61">
                  <c:v>-8</c:v>
                </c:pt>
                <c:pt idx="62">
                  <c:v>-10</c:v>
                </c:pt>
                <c:pt idx="64">
                  <c:v>-5</c:v>
                </c:pt>
                <c:pt idx="65">
                  <c:v>-11</c:v>
                </c:pt>
                <c:pt idx="66">
                  <c:v>-9</c:v>
                </c:pt>
                <c:pt idx="116">
                  <c:v>-70</c:v>
                </c:pt>
                <c:pt idx="144">
                  <c:v>-10</c:v>
                </c:pt>
                <c:pt idx="145">
                  <c:v>-11</c:v>
                </c:pt>
                <c:pt idx="146">
                  <c:v>-14</c:v>
                </c:pt>
                <c:pt idx="147">
                  <c:v>-26</c:v>
                </c:pt>
                <c:pt idx="149">
                  <c:v>10</c:v>
                </c:pt>
                <c:pt idx="151">
                  <c:v>-18</c:v>
                </c:pt>
                <c:pt idx="152">
                  <c:v>-11</c:v>
                </c:pt>
                <c:pt idx="153">
                  <c:v>-25</c:v>
                </c:pt>
                <c:pt idx="155">
                  <c:v>-19</c:v>
                </c:pt>
                <c:pt idx="156">
                  <c:v>-3</c:v>
                </c:pt>
                <c:pt idx="157">
                  <c:v>-14</c:v>
                </c:pt>
                <c:pt idx="158">
                  <c:v>-11</c:v>
                </c:pt>
                <c:pt idx="159">
                  <c:v>-12</c:v>
                </c:pt>
                <c:pt idx="160">
                  <c:v>-16</c:v>
                </c:pt>
                <c:pt idx="161">
                  <c:v>-17</c:v>
                </c:pt>
                <c:pt idx="162">
                  <c:v>-15</c:v>
                </c:pt>
                <c:pt idx="165">
                  <c:v>-9</c:v>
                </c:pt>
                <c:pt idx="166">
                  <c:v>-11</c:v>
                </c:pt>
              </c:numCache>
            </c:numRef>
          </c:val>
          <c:smooth val="0"/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QC'!$AE$5:$AE$173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-3</c:v>
                </c:pt>
                <c:pt idx="7">
                  <c:v>-2</c:v>
                </c:pt>
                <c:pt idx="8">
                  <c:v>1</c:v>
                </c:pt>
                <c:pt idx="9">
                  <c:v>-2</c:v>
                </c:pt>
                <c:pt idx="10">
                  <c:v>-1</c:v>
                </c:pt>
                <c:pt idx="12">
                  <c:v>-1</c:v>
                </c:pt>
                <c:pt idx="13">
                  <c:v>6</c:v>
                </c:pt>
                <c:pt idx="15">
                  <c:v>4</c:v>
                </c:pt>
                <c:pt idx="18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4</c:v>
                </c:pt>
                <c:pt idx="24">
                  <c:v>0</c:v>
                </c:pt>
                <c:pt idx="25">
                  <c:v>-1</c:v>
                </c:pt>
                <c:pt idx="27">
                  <c:v>4</c:v>
                </c:pt>
                <c:pt idx="28">
                  <c:v>2</c:v>
                </c:pt>
                <c:pt idx="29">
                  <c:v>-11</c:v>
                </c:pt>
                <c:pt idx="30">
                  <c:v>-2</c:v>
                </c:pt>
                <c:pt idx="31">
                  <c:v>0</c:v>
                </c:pt>
                <c:pt idx="32">
                  <c:v>41</c:v>
                </c:pt>
                <c:pt idx="36">
                  <c:v>-4</c:v>
                </c:pt>
                <c:pt idx="37">
                  <c:v>1</c:v>
                </c:pt>
                <c:pt idx="38">
                  <c:v>-2</c:v>
                </c:pt>
                <c:pt idx="39">
                  <c:v>-5</c:v>
                </c:pt>
                <c:pt idx="40">
                  <c:v>-2</c:v>
                </c:pt>
                <c:pt idx="41">
                  <c:v>0</c:v>
                </c:pt>
                <c:pt idx="42">
                  <c:v>-1</c:v>
                </c:pt>
                <c:pt idx="43">
                  <c:v>-4</c:v>
                </c:pt>
                <c:pt idx="45">
                  <c:v>0</c:v>
                </c:pt>
                <c:pt idx="46">
                  <c:v>-1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-4</c:v>
                </c:pt>
                <c:pt idx="51">
                  <c:v>-1</c:v>
                </c:pt>
                <c:pt idx="52">
                  <c:v>-1</c:v>
                </c:pt>
                <c:pt idx="53">
                  <c:v>1</c:v>
                </c:pt>
                <c:pt idx="54">
                  <c:v>4</c:v>
                </c:pt>
                <c:pt idx="55">
                  <c:v>1</c:v>
                </c:pt>
                <c:pt idx="56">
                  <c:v>-1</c:v>
                </c:pt>
                <c:pt idx="57">
                  <c:v>-4</c:v>
                </c:pt>
                <c:pt idx="58">
                  <c:v>-10</c:v>
                </c:pt>
                <c:pt idx="61">
                  <c:v>-12</c:v>
                </c:pt>
                <c:pt idx="62">
                  <c:v>-8</c:v>
                </c:pt>
                <c:pt idx="63">
                  <c:v>-8</c:v>
                </c:pt>
                <c:pt idx="64">
                  <c:v>-3</c:v>
                </c:pt>
                <c:pt idx="65">
                  <c:v>-13</c:v>
                </c:pt>
                <c:pt idx="66">
                  <c:v>-3</c:v>
                </c:pt>
                <c:pt idx="67">
                  <c:v>-5</c:v>
                </c:pt>
                <c:pt idx="68">
                  <c:v>0</c:v>
                </c:pt>
                <c:pt idx="69">
                  <c:v>-13</c:v>
                </c:pt>
                <c:pt idx="70">
                  <c:v>1</c:v>
                </c:pt>
                <c:pt idx="71">
                  <c:v>-3</c:v>
                </c:pt>
                <c:pt idx="72">
                  <c:v>-17</c:v>
                </c:pt>
                <c:pt idx="73">
                  <c:v>3</c:v>
                </c:pt>
                <c:pt idx="74">
                  <c:v>1</c:v>
                </c:pt>
                <c:pt idx="75">
                  <c:v>-1</c:v>
                </c:pt>
                <c:pt idx="76">
                  <c:v>-4</c:v>
                </c:pt>
                <c:pt idx="77">
                  <c:v>-20</c:v>
                </c:pt>
                <c:pt idx="78">
                  <c:v>-19</c:v>
                </c:pt>
                <c:pt idx="79">
                  <c:v>-16</c:v>
                </c:pt>
                <c:pt idx="80">
                  <c:v>-2</c:v>
                </c:pt>
                <c:pt idx="81">
                  <c:v>-4</c:v>
                </c:pt>
                <c:pt idx="82">
                  <c:v>18</c:v>
                </c:pt>
                <c:pt idx="83">
                  <c:v>-41</c:v>
                </c:pt>
                <c:pt idx="84">
                  <c:v>-14</c:v>
                </c:pt>
                <c:pt idx="85">
                  <c:v>-20</c:v>
                </c:pt>
                <c:pt idx="86">
                  <c:v>-6</c:v>
                </c:pt>
                <c:pt idx="87">
                  <c:v>-17</c:v>
                </c:pt>
                <c:pt idx="88">
                  <c:v>-10</c:v>
                </c:pt>
                <c:pt idx="89">
                  <c:v>-12</c:v>
                </c:pt>
                <c:pt idx="90">
                  <c:v>-10</c:v>
                </c:pt>
                <c:pt idx="91">
                  <c:v>-20</c:v>
                </c:pt>
                <c:pt idx="92">
                  <c:v>-10</c:v>
                </c:pt>
                <c:pt idx="93">
                  <c:v>-6</c:v>
                </c:pt>
                <c:pt idx="94">
                  <c:v>-10</c:v>
                </c:pt>
                <c:pt idx="95">
                  <c:v>-9</c:v>
                </c:pt>
                <c:pt idx="96">
                  <c:v>-8</c:v>
                </c:pt>
                <c:pt idx="97">
                  <c:v>-26</c:v>
                </c:pt>
                <c:pt idx="98">
                  <c:v>-12</c:v>
                </c:pt>
                <c:pt idx="99">
                  <c:v>-20</c:v>
                </c:pt>
                <c:pt idx="100">
                  <c:v>-31</c:v>
                </c:pt>
                <c:pt idx="101">
                  <c:v>-7</c:v>
                </c:pt>
                <c:pt idx="102">
                  <c:v>-5</c:v>
                </c:pt>
                <c:pt idx="103">
                  <c:v>-8</c:v>
                </c:pt>
                <c:pt idx="104">
                  <c:v>-10</c:v>
                </c:pt>
                <c:pt idx="105">
                  <c:v>-10</c:v>
                </c:pt>
                <c:pt idx="106">
                  <c:v>-14</c:v>
                </c:pt>
                <c:pt idx="107">
                  <c:v>-15</c:v>
                </c:pt>
                <c:pt idx="108">
                  <c:v>-9</c:v>
                </c:pt>
                <c:pt idx="109">
                  <c:v>-12</c:v>
                </c:pt>
                <c:pt idx="110">
                  <c:v>-16</c:v>
                </c:pt>
                <c:pt idx="111">
                  <c:v>-2</c:v>
                </c:pt>
                <c:pt idx="112">
                  <c:v>-10</c:v>
                </c:pt>
                <c:pt idx="113">
                  <c:v>-3</c:v>
                </c:pt>
                <c:pt idx="114">
                  <c:v>-20</c:v>
                </c:pt>
                <c:pt idx="115">
                  <c:v>27</c:v>
                </c:pt>
                <c:pt idx="117">
                  <c:v>-16</c:v>
                </c:pt>
                <c:pt idx="118">
                  <c:v>-6</c:v>
                </c:pt>
                <c:pt idx="119">
                  <c:v>-12</c:v>
                </c:pt>
                <c:pt idx="120">
                  <c:v>-6</c:v>
                </c:pt>
                <c:pt idx="121">
                  <c:v>-16</c:v>
                </c:pt>
                <c:pt idx="122">
                  <c:v>-4</c:v>
                </c:pt>
                <c:pt idx="123">
                  <c:v>5</c:v>
                </c:pt>
                <c:pt idx="124">
                  <c:v>-1</c:v>
                </c:pt>
                <c:pt idx="125">
                  <c:v>5</c:v>
                </c:pt>
                <c:pt idx="126">
                  <c:v>-3</c:v>
                </c:pt>
                <c:pt idx="127">
                  <c:v>-10</c:v>
                </c:pt>
                <c:pt idx="128">
                  <c:v>-2</c:v>
                </c:pt>
                <c:pt idx="129">
                  <c:v>-5</c:v>
                </c:pt>
                <c:pt idx="130">
                  <c:v>-4</c:v>
                </c:pt>
                <c:pt idx="131">
                  <c:v>-20</c:v>
                </c:pt>
                <c:pt idx="132">
                  <c:v>-18</c:v>
                </c:pt>
                <c:pt idx="133">
                  <c:v>-20</c:v>
                </c:pt>
                <c:pt idx="134">
                  <c:v>-6</c:v>
                </c:pt>
                <c:pt idx="135">
                  <c:v>-11</c:v>
                </c:pt>
                <c:pt idx="136">
                  <c:v>-2</c:v>
                </c:pt>
                <c:pt idx="137">
                  <c:v>0</c:v>
                </c:pt>
                <c:pt idx="138">
                  <c:v>-19</c:v>
                </c:pt>
                <c:pt idx="139">
                  <c:v>-8</c:v>
                </c:pt>
                <c:pt idx="140">
                  <c:v>-24</c:v>
                </c:pt>
                <c:pt idx="144">
                  <c:v>-10</c:v>
                </c:pt>
                <c:pt idx="145">
                  <c:v>-12</c:v>
                </c:pt>
                <c:pt idx="146">
                  <c:v>-12</c:v>
                </c:pt>
                <c:pt idx="147">
                  <c:v>-10</c:v>
                </c:pt>
                <c:pt idx="149">
                  <c:v>-1</c:v>
                </c:pt>
                <c:pt idx="151">
                  <c:v>-7</c:v>
                </c:pt>
                <c:pt idx="152">
                  <c:v>-4</c:v>
                </c:pt>
                <c:pt idx="153">
                  <c:v>-4</c:v>
                </c:pt>
                <c:pt idx="155">
                  <c:v>-5</c:v>
                </c:pt>
                <c:pt idx="156">
                  <c:v>-13</c:v>
                </c:pt>
                <c:pt idx="157">
                  <c:v>-12</c:v>
                </c:pt>
                <c:pt idx="158">
                  <c:v>-5</c:v>
                </c:pt>
                <c:pt idx="159">
                  <c:v>-6</c:v>
                </c:pt>
                <c:pt idx="160">
                  <c:v>-14</c:v>
                </c:pt>
                <c:pt idx="161">
                  <c:v>-5</c:v>
                </c:pt>
                <c:pt idx="162">
                  <c:v>-36</c:v>
                </c:pt>
                <c:pt idx="164">
                  <c:v>-4</c:v>
                </c:pt>
                <c:pt idx="165">
                  <c:v>-6</c:v>
                </c:pt>
                <c:pt idx="166">
                  <c:v>-3</c:v>
                </c:pt>
              </c:numCache>
            </c:numRef>
          </c:val>
          <c:smooth val="0"/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QC'!$AG$5:$AG$173</c:f>
              <c:numCache>
                <c:formatCode>General</c:formatCode>
                <c:ptCount val="169"/>
                <c:pt idx="0">
                  <c:v>-3</c:v>
                </c:pt>
                <c:pt idx="1">
                  <c:v>-3</c:v>
                </c:pt>
                <c:pt idx="2">
                  <c:v>0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3">
                  <c:v>9</c:v>
                </c:pt>
                <c:pt idx="15">
                  <c:v>2</c:v>
                </c:pt>
                <c:pt idx="116">
                  <c:v>-1</c:v>
                </c:pt>
                <c:pt idx="144">
                  <c:v>-11</c:v>
                </c:pt>
                <c:pt idx="145">
                  <c:v>-10</c:v>
                </c:pt>
                <c:pt idx="146">
                  <c:v>-18</c:v>
                </c:pt>
                <c:pt idx="147">
                  <c:v>-8</c:v>
                </c:pt>
                <c:pt idx="149">
                  <c:v>1</c:v>
                </c:pt>
                <c:pt idx="151">
                  <c:v>-5</c:v>
                </c:pt>
                <c:pt idx="152">
                  <c:v>-13</c:v>
                </c:pt>
                <c:pt idx="153">
                  <c:v>-2</c:v>
                </c:pt>
                <c:pt idx="155">
                  <c:v>-4</c:v>
                </c:pt>
                <c:pt idx="156">
                  <c:v>-1</c:v>
                </c:pt>
                <c:pt idx="157">
                  <c:v>-1</c:v>
                </c:pt>
                <c:pt idx="158">
                  <c:v>-20</c:v>
                </c:pt>
                <c:pt idx="159">
                  <c:v>-7</c:v>
                </c:pt>
                <c:pt idx="160">
                  <c:v>-10</c:v>
                </c:pt>
                <c:pt idx="161">
                  <c:v>-8</c:v>
                </c:pt>
                <c:pt idx="162">
                  <c:v>-8</c:v>
                </c:pt>
                <c:pt idx="165">
                  <c:v>-9</c:v>
                </c:pt>
                <c:pt idx="166">
                  <c:v>-8</c:v>
                </c:pt>
              </c:numCache>
            </c:numRef>
          </c:val>
          <c:smooth val="0"/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QC'!$AH$5:$AH$173</c:f>
              <c:numCache>
                <c:formatCode>General</c:formatCode>
                <c:ptCount val="16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9">
                  <c:v>20</c:v>
                </c:pt>
                <c:pt idx="140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920800"/>
        <c:axId val="441926288"/>
      </c:lineChart>
      <c:dateAx>
        <c:axId val="441920800"/>
        <c:scaling>
          <c:orientation val="minMax"/>
          <c:min val="41256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26288"/>
        <c:crossesAt val="-25"/>
        <c:auto val="0"/>
        <c:lblOffset val="100"/>
        <c:baseTimeUnit val="days"/>
      </c:dateAx>
      <c:valAx>
        <c:axId val="441926288"/>
        <c:scaling>
          <c:orientation val="minMax"/>
          <c:max val="40"/>
          <c:min val="-2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20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063857564885078"/>
          <c:w val="0.44209258285886782"/>
          <c:h val="6.0993060934622874E-2"/>
        </c:manualLayout>
      </c:layout>
      <c:overlay val="0"/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465796031339667E-2"/>
          <c:y val="0.18321917808219179"/>
          <c:w val="0.93287764830136477"/>
          <c:h val="0.63184931506849318"/>
        </c:manualLayout>
      </c:layout>
      <c:lineChart>
        <c:grouping val="standard"/>
        <c:varyColors val="0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QC'!$U$5:$U$173</c:f>
              <c:numCache>
                <c:formatCode>General</c:formatCode>
                <c:ptCount val="169"/>
                <c:pt idx="0">
                  <c:v>0.71572687692471149</c:v>
                </c:pt>
                <c:pt idx="1">
                  <c:v>0.95986409004035056</c:v>
                </c:pt>
                <c:pt idx="2">
                  <c:v>0.99337748344371002</c:v>
                </c:pt>
                <c:pt idx="3">
                  <c:v>1.0487877372510717</c:v>
                </c:pt>
                <c:pt idx="4">
                  <c:v>0.65720909458281129</c:v>
                </c:pt>
                <c:pt idx="5">
                  <c:v>0.56992732896883358</c:v>
                </c:pt>
                <c:pt idx="6">
                  <c:v>0.63744036848165697</c:v>
                </c:pt>
                <c:pt idx="7">
                  <c:v>0.29350461525373162</c:v>
                </c:pt>
                <c:pt idx="8">
                  <c:v>0.59525079473448228</c:v>
                </c:pt>
                <c:pt idx="9">
                  <c:v>0.53202900416183763</c:v>
                </c:pt>
                <c:pt idx="10">
                  <c:v>0.67840862884413455</c:v>
                </c:pt>
                <c:pt idx="11">
                  <c:v>0.46800000000000003</c:v>
                </c:pt>
                <c:pt idx="12">
                  <c:v>0.65541466758053513</c:v>
                </c:pt>
                <c:pt idx="13">
                  <c:v>0.49022755977993721</c:v>
                </c:pt>
                <c:pt idx="14">
                  <c:v>0.56256978441981786</c:v>
                </c:pt>
                <c:pt idx="15">
                  <c:v>0.76070000000000004</c:v>
                </c:pt>
                <c:pt idx="16">
                  <c:v>1.2682888815289586</c:v>
                </c:pt>
                <c:pt idx="17">
                  <c:v>0.4560124934929719</c:v>
                </c:pt>
                <c:pt idx="18">
                  <c:v>0.93844239650772654</c:v>
                </c:pt>
                <c:pt idx="19">
                  <c:v>0.55563898483255814</c:v>
                </c:pt>
                <c:pt idx="20">
                  <c:v>0.56351156681637082</c:v>
                </c:pt>
                <c:pt idx="21">
                  <c:v>1.6364015863076609</c:v>
                </c:pt>
                <c:pt idx="22">
                  <c:v>0.56265109214213793</c:v>
                </c:pt>
                <c:pt idx="49">
                  <c:v>0.72</c:v>
                </c:pt>
                <c:pt idx="54">
                  <c:v>2.77</c:v>
                </c:pt>
                <c:pt idx="59">
                  <c:v>0.36</c:v>
                </c:pt>
                <c:pt idx="60">
                  <c:v>3.48</c:v>
                </c:pt>
                <c:pt idx="61">
                  <c:v>0.57999999999999996</c:v>
                </c:pt>
                <c:pt idx="62">
                  <c:v>0.34</c:v>
                </c:pt>
                <c:pt idx="64">
                  <c:v>0.49</c:v>
                </c:pt>
                <c:pt idx="65">
                  <c:v>0.31</c:v>
                </c:pt>
                <c:pt idx="66">
                  <c:v>0.52</c:v>
                </c:pt>
                <c:pt idx="143">
                  <c:v>1.56</c:v>
                </c:pt>
                <c:pt idx="144">
                  <c:v>1.43</c:v>
                </c:pt>
                <c:pt idx="145">
                  <c:v>4.6399999999999997</c:v>
                </c:pt>
                <c:pt idx="146">
                  <c:v>5.04</c:v>
                </c:pt>
                <c:pt idx="147">
                  <c:v>1.25</c:v>
                </c:pt>
                <c:pt idx="148">
                  <c:v>2.67</c:v>
                </c:pt>
                <c:pt idx="149">
                  <c:v>1.42</c:v>
                </c:pt>
                <c:pt idx="150">
                  <c:v>1.29</c:v>
                </c:pt>
                <c:pt idx="151">
                  <c:v>2.5299999999999998</c:v>
                </c:pt>
                <c:pt idx="152">
                  <c:v>0.89</c:v>
                </c:pt>
                <c:pt idx="153">
                  <c:v>0.9</c:v>
                </c:pt>
                <c:pt idx="154">
                  <c:v>1.0900000000000001</c:v>
                </c:pt>
                <c:pt idx="155">
                  <c:v>4.9800000000000004</c:v>
                </c:pt>
                <c:pt idx="156">
                  <c:v>1.29</c:v>
                </c:pt>
                <c:pt idx="157">
                  <c:v>2.34</c:v>
                </c:pt>
                <c:pt idx="158">
                  <c:v>1.02</c:v>
                </c:pt>
                <c:pt idx="159">
                  <c:v>1.84</c:v>
                </c:pt>
                <c:pt idx="160">
                  <c:v>1.48</c:v>
                </c:pt>
                <c:pt idx="161">
                  <c:v>0.84</c:v>
                </c:pt>
                <c:pt idx="162">
                  <c:v>0.71</c:v>
                </c:pt>
                <c:pt idx="165">
                  <c:v>1.58</c:v>
                </c:pt>
                <c:pt idx="166">
                  <c:v>2.94</c:v>
                </c:pt>
              </c:numCache>
            </c:numRef>
          </c:val>
          <c:smooth val="0"/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QC'!$W$5:$W$173</c:f>
              <c:numCache>
                <c:formatCode>General</c:formatCode>
                <c:ptCount val="169"/>
                <c:pt idx="0">
                  <c:v>0.32310518868920685</c:v>
                </c:pt>
                <c:pt idx="1">
                  <c:v>0.46079053054322094</c:v>
                </c:pt>
                <c:pt idx="2">
                  <c:v>0.46900747876790444</c:v>
                </c:pt>
                <c:pt idx="3">
                  <c:v>0.44348707551951222</c:v>
                </c:pt>
                <c:pt idx="4">
                  <c:v>0.33789491468153288</c:v>
                </c:pt>
                <c:pt idx="5">
                  <c:v>0.23185228901442179</c:v>
                </c:pt>
                <c:pt idx="6">
                  <c:v>0.28855008697431628</c:v>
                </c:pt>
                <c:pt idx="7">
                  <c:v>0.40513310001060482</c:v>
                </c:pt>
                <c:pt idx="8">
                  <c:v>0.31807964714364478</c:v>
                </c:pt>
                <c:pt idx="9">
                  <c:v>0.33199965948752924</c:v>
                </c:pt>
                <c:pt idx="10">
                  <c:v>0.314105012946224</c:v>
                </c:pt>
                <c:pt idx="11">
                  <c:v>0.22600000000000001</c:v>
                </c:pt>
                <c:pt idx="12">
                  <c:v>0.40332852169483008</c:v>
                </c:pt>
                <c:pt idx="13">
                  <c:v>0.24385589177039496</c:v>
                </c:pt>
                <c:pt idx="14">
                  <c:v>0.27872933466669553</c:v>
                </c:pt>
                <c:pt idx="15">
                  <c:v>0.72995780590716874</c:v>
                </c:pt>
                <c:pt idx="16">
                  <c:v>1.7156138588508694</c:v>
                </c:pt>
                <c:pt idx="17">
                  <c:v>0.64328348765106858</c:v>
                </c:pt>
                <c:pt idx="18">
                  <c:v>0.13970619364125073</c:v>
                </c:pt>
                <c:pt idx="19">
                  <c:v>0.31173788569610839</c:v>
                </c:pt>
                <c:pt idx="20">
                  <c:v>0.1661933312296186</c:v>
                </c:pt>
                <c:pt idx="21">
                  <c:v>0.15367450476811775</c:v>
                </c:pt>
                <c:pt idx="22">
                  <c:v>0.24544031145529105</c:v>
                </c:pt>
                <c:pt idx="23">
                  <c:v>0.29624613821998508</c:v>
                </c:pt>
                <c:pt idx="24">
                  <c:v>0.28149935445637025</c:v>
                </c:pt>
                <c:pt idx="25">
                  <c:v>0.2600587775123136</c:v>
                </c:pt>
                <c:pt idx="26">
                  <c:v>0.29337982057060152</c:v>
                </c:pt>
                <c:pt idx="27">
                  <c:v>0.28939864663574366</c:v>
                </c:pt>
                <c:pt idx="28">
                  <c:v>0.29042453233108084</c:v>
                </c:pt>
                <c:pt idx="29">
                  <c:v>0.28101847909393285</c:v>
                </c:pt>
                <c:pt idx="30">
                  <c:v>0.35526623694343734</c:v>
                </c:pt>
                <c:pt idx="31">
                  <c:v>0.25620222895938949</c:v>
                </c:pt>
                <c:pt idx="32">
                  <c:v>0.25345573044237557</c:v>
                </c:pt>
                <c:pt idx="33">
                  <c:v>0.22582019599488756</c:v>
                </c:pt>
                <c:pt idx="34">
                  <c:v>0.31556359658349814</c:v>
                </c:pt>
                <c:pt idx="35">
                  <c:v>0.3115789473684249</c:v>
                </c:pt>
                <c:pt idx="36">
                  <c:v>0.25661145632303528</c:v>
                </c:pt>
                <c:pt idx="37">
                  <c:v>0.27249098683659162</c:v>
                </c:pt>
                <c:pt idx="38">
                  <c:v>0.27710206240084662</c:v>
                </c:pt>
                <c:pt idx="39">
                  <c:v>0.17074558907228279</c:v>
                </c:pt>
                <c:pt idx="40">
                  <c:v>0.23583912402611173</c:v>
                </c:pt>
                <c:pt idx="41">
                  <c:v>0.23712737127371372</c:v>
                </c:pt>
                <c:pt idx="42">
                  <c:v>0.23483614360970345</c:v>
                </c:pt>
                <c:pt idx="43">
                  <c:v>0.22871664548919612</c:v>
                </c:pt>
                <c:pt idx="44">
                  <c:v>0.21437146287086262</c:v>
                </c:pt>
                <c:pt idx="45">
                  <c:v>0.28000000000000003</c:v>
                </c:pt>
                <c:pt idx="46">
                  <c:v>0.34</c:v>
                </c:pt>
                <c:pt idx="47">
                  <c:v>0.16</c:v>
                </c:pt>
                <c:pt idx="48">
                  <c:v>0.22</c:v>
                </c:pt>
                <c:pt idx="49">
                  <c:v>0.23</c:v>
                </c:pt>
                <c:pt idx="50">
                  <c:v>0.17</c:v>
                </c:pt>
                <c:pt idx="51">
                  <c:v>0.18</c:v>
                </c:pt>
                <c:pt idx="52">
                  <c:v>0.17</c:v>
                </c:pt>
                <c:pt idx="53">
                  <c:v>0.19</c:v>
                </c:pt>
                <c:pt idx="54">
                  <c:v>1.04</c:v>
                </c:pt>
                <c:pt idx="55">
                  <c:v>1.64</c:v>
                </c:pt>
                <c:pt idx="56">
                  <c:v>1.42</c:v>
                </c:pt>
                <c:pt idx="57">
                  <c:v>0.28999999999999998</c:v>
                </c:pt>
                <c:pt idx="58">
                  <c:v>0.22</c:v>
                </c:pt>
                <c:pt idx="59">
                  <c:v>0.14000000000000001</c:v>
                </c:pt>
                <c:pt idx="60">
                  <c:v>0.25</c:v>
                </c:pt>
                <c:pt idx="61">
                  <c:v>0.35</c:v>
                </c:pt>
                <c:pt idx="62">
                  <c:v>0.1</c:v>
                </c:pt>
                <c:pt idx="63">
                  <c:v>0.28999999999999998</c:v>
                </c:pt>
                <c:pt idx="64">
                  <c:v>0.31</c:v>
                </c:pt>
                <c:pt idx="65">
                  <c:v>0.08</c:v>
                </c:pt>
                <c:pt idx="66">
                  <c:v>0.25</c:v>
                </c:pt>
                <c:pt idx="67">
                  <c:v>0.85</c:v>
                </c:pt>
                <c:pt idx="68">
                  <c:v>0.96</c:v>
                </c:pt>
                <c:pt idx="69">
                  <c:v>0.94</c:v>
                </c:pt>
                <c:pt idx="70">
                  <c:v>0.14000000000000001</c:v>
                </c:pt>
                <c:pt idx="71">
                  <c:v>0.76</c:v>
                </c:pt>
                <c:pt idx="72">
                  <c:v>0.3</c:v>
                </c:pt>
                <c:pt idx="73">
                  <c:v>0.25</c:v>
                </c:pt>
                <c:pt idx="74">
                  <c:v>0.43</c:v>
                </c:pt>
                <c:pt idx="75">
                  <c:v>0.21</c:v>
                </c:pt>
                <c:pt idx="76">
                  <c:v>0.26</c:v>
                </c:pt>
                <c:pt idx="77">
                  <c:v>0.61</c:v>
                </c:pt>
                <c:pt idx="78">
                  <c:v>0.22</c:v>
                </c:pt>
                <c:pt idx="79">
                  <c:v>1.1299999999999999</c:v>
                </c:pt>
                <c:pt idx="80">
                  <c:v>0.2</c:v>
                </c:pt>
                <c:pt idx="81">
                  <c:v>0.41</c:v>
                </c:pt>
                <c:pt idx="82">
                  <c:v>0.21</c:v>
                </c:pt>
                <c:pt idx="83">
                  <c:v>0.39</c:v>
                </c:pt>
                <c:pt idx="84">
                  <c:v>0.17</c:v>
                </c:pt>
                <c:pt idx="85">
                  <c:v>0.45</c:v>
                </c:pt>
                <c:pt idx="86">
                  <c:v>0.13</c:v>
                </c:pt>
                <c:pt idx="87">
                  <c:v>0.32</c:v>
                </c:pt>
                <c:pt idx="88">
                  <c:v>0.2</c:v>
                </c:pt>
                <c:pt idx="89">
                  <c:v>0.25</c:v>
                </c:pt>
                <c:pt idx="90">
                  <c:v>0.35</c:v>
                </c:pt>
                <c:pt idx="91">
                  <c:v>0.47</c:v>
                </c:pt>
                <c:pt idx="92">
                  <c:v>0.31</c:v>
                </c:pt>
                <c:pt idx="93">
                  <c:v>0.31</c:v>
                </c:pt>
                <c:pt idx="94">
                  <c:v>0.34</c:v>
                </c:pt>
                <c:pt idx="95">
                  <c:v>0.84</c:v>
                </c:pt>
                <c:pt idx="96">
                  <c:v>0.4</c:v>
                </c:pt>
                <c:pt idx="97">
                  <c:v>0.18</c:v>
                </c:pt>
                <c:pt idx="98">
                  <c:v>1.61</c:v>
                </c:pt>
                <c:pt idx="99">
                  <c:v>0.46</c:v>
                </c:pt>
                <c:pt idx="100">
                  <c:v>0.39</c:v>
                </c:pt>
                <c:pt idx="101">
                  <c:v>0.49</c:v>
                </c:pt>
                <c:pt idx="102">
                  <c:v>0.35</c:v>
                </c:pt>
                <c:pt idx="103">
                  <c:v>0.44</c:v>
                </c:pt>
                <c:pt idx="104">
                  <c:v>0.43</c:v>
                </c:pt>
                <c:pt idx="105">
                  <c:v>0.97</c:v>
                </c:pt>
                <c:pt idx="106">
                  <c:v>0.45</c:v>
                </c:pt>
                <c:pt idx="107">
                  <c:v>0.32</c:v>
                </c:pt>
                <c:pt idx="108">
                  <c:v>0.8</c:v>
                </c:pt>
                <c:pt idx="109">
                  <c:v>0.35</c:v>
                </c:pt>
                <c:pt idx="110">
                  <c:v>0.21</c:v>
                </c:pt>
                <c:pt idx="111">
                  <c:v>0.64</c:v>
                </c:pt>
                <c:pt idx="112">
                  <c:v>0.27</c:v>
                </c:pt>
                <c:pt idx="113">
                  <c:v>0.35</c:v>
                </c:pt>
                <c:pt idx="114">
                  <c:v>0.63</c:v>
                </c:pt>
                <c:pt idx="115">
                  <c:v>0.26</c:v>
                </c:pt>
                <c:pt idx="116">
                  <c:v>2.84</c:v>
                </c:pt>
                <c:pt idx="117">
                  <c:v>0.49</c:v>
                </c:pt>
                <c:pt idx="118">
                  <c:v>0.44</c:v>
                </c:pt>
                <c:pt idx="119">
                  <c:v>0.49</c:v>
                </c:pt>
                <c:pt idx="120">
                  <c:v>0.56000000000000005</c:v>
                </c:pt>
                <c:pt idx="121">
                  <c:v>0.62</c:v>
                </c:pt>
                <c:pt idx="122">
                  <c:v>0.44</c:v>
                </c:pt>
                <c:pt idx="123">
                  <c:v>0.31</c:v>
                </c:pt>
                <c:pt idx="124">
                  <c:v>0.36</c:v>
                </c:pt>
                <c:pt idx="125">
                  <c:v>0.38</c:v>
                </c:pt>
                <c:pt idx="126">
                  <c:v>0.53</c:v>
                </c:pt>
                <c:pt idx="127">
                  <c:v>0.75</c:v>
                </c:pt>
                <c:pt idx="128">
                  <c:v>0.65</c:v>
                </c:pt>
                <c:pt idx="129">
                  <c:v>1.1299999999999999</c:v>
                </c:pt>
                <c:pt idx="130">
                  <c:v>1.28</c:v>
                </c:pt>
                <c:pt idx="131">
                  <c:v>0.73</c:v>
                </c:pt>
                <c:pt idx="132">
                  <c:v>0.67</c:v>
                </c:pt>
                <c:pt idx="133">
                  <c:v>0.61</c:v>
                </c:pt>
                <c:pt idx="134">
                  <c:v>0.7</c:v>
                </c:pt>
                <c:pt idx="135">
                  <c:v>0.85</c:v>
                </c:pt>
                <c:pt idx="136">
                  <c:v>1</c:v>
                </c:pt>
                <c:pt idx="137">
                  <c:v>0.85</c:v>
                </c:pt>
                <c:pt idx="138">
                  <c:v>0.68</c:v>
                </c:pt>
                <c:pt idx="139">
                  <c:v>2.44</c:v>
                </c:pt>
                <c:pt idx="140">
                  <c:v>2.4</c:v>
                </c:pt>
                <c:pt idx="141">
                  <c:v>2.65</c:v>
                </c:pt>
                <c:pt idx="142">
                  <c:v>3.24</c:v>
                </c:pt>
                <c:pt idx="143">
                  <c:v>2.87</c:v>
                </c:pt>
                <c:pt idx="144">
                  <c:v>1.07</c:v>
                </c:pt>
                <c:pt idx="145">
                  <c:v>3.66</c:v>
                </c:pt>
                <c:pt idx="146">
                  <c:v>4.24</c:v>
                </c:pt>
                <c:pt idx="147">
                  <c:v>3.65</c:v>
                </c:pt>
                <c:pt idx="148">
                  <c:v>1.48</c:v>
                </c:pt>
                <c:pt idx="149">
                  <c:v>1.56</c:v>
                </c:pt>
                <c:pt idx="150">
                  <c:v>1.64</c:v>
                </c:pt>
                <c:pt idx="151">
                  <c:v>0.66</c:v>
                </c:pt>
                <c:pt idx="152">
                  <c:v>1.05</c:v>
                </c:pt>
                <c:pt idx="153">
                  <c:v>1.94</c:v>
                </c:pt>
                <c:pt idx="154">
                  <c:v>0.68</c:v>
                </c:pt>
                <c:pt idx="155">
                  <c:v>6.7</c:v>
                </c:pt>
                <c:pt idx="156">
                  <c:v>1.05</c:v>
                </c:pt>
                <c:pt idx="157">
                  <c:v>3.24</c:v>
                </c:pt>
                <c:pt idx="158">
                  <c:v>0.61</c:v>
                </c:pt>
                <c:pt idx="159">
                  <c:v>0.76</c:v>
                </c:pt>
                <c:pt idx="160">
                  <c:v>0.95</c:v>
                </c:pt>
                <c:pt idx="161">
                  <c:v>0.85</c:v>
                </c:pt>
                <c:pt idx="162">
                  <c:v>0.53</c:v>
                </c:pt>
                <c:pt idx="163">
                  <c:v>2.4500000000000002</c:v>
                </c:pt>
                <c:pt idx="164">
                  <c:v>1.46</c:v>
                </c:pt>
                <c:pt idx="165">
                  <c:v>1.66</c:v>
                </c:pt>
                <c:pt idx="166">
                  <c:v>1.76</c:v>
                </c:pt>
              </c:numCache>
            </c:numRef>
          </c:val>
          <c:smooth val="0"/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QC'!$Y$5:$Y$173</c:f>
              <c:numCache>
                <c:formatCode>General</c:formatCode>
                <c:ptCount val="169"/>
                <c:pt idx="0">
                  <c:v>1.027974384900578</c:v>
                </c:pt>
                <c:pt idx="1">
                  <c:v>1.1653145084817198</c:v>
                </c:pt>
                <c:pt idx="2">
                  <c:v>1.1677416635049096</c:v>
                </c:pt>
                <c:pt idx="3">
                  <c:v>1.2498682685214475</c:v>
                </c:pt>
                <c:pt idx="4">
                  <c:v>0.83746440248918874</c:v>
                </c:pt>
                <c:pt idx="5">
                  <c:v>0.76081687706801271</c:v>
                </c:pt>
                <c:pt idx="6">
                  <c:v>0.76760894929687029</c:v>
                </c:pt>
                <c:pt idx="7">
                  <c:v>0.82697201017811817</c:v>
                </c:pt>
                <c:pt idx="8">
                  <c:v>0.78733473398272702</c:v>
                </c:pt>
                <c:pt idx="9">
                  <c:v>0.72476125511595701</c:v>
                </c:pt>
                <c:pt idx="10">
                  <c:v>0.70551234646606176</c:v>
                </c:pt>
                <c:pt idx="11">
                  <c:v>0.72</c:v>
                </c:pt>
                <c:pt idx="12">
                  <c:v>0.78576723498888246</c:v>
                </c:pt>
                <c:pt idx="13">
                  <c:v>0.63821215783558949</c:v>
                </c:pt>
                <c:pt idx="14">
                  <c:v>0.6336920001701225</c:v>
                </c:pt>
                <c:pt idx="15">
                  <c:v>0.66886800440268079</c:v>
                </c:pt>
                <c:pt idx="16">
                  <c:v>1.6138789688347694</c:v>
                </c:pt>
                <c:pt idx="17">
                  <c:v>0.86479123237910416</c:v>
                </c:pt>
                <c:pt idx="18">
                  <c:v>0.56980660467283739</c:v>
                </c:pt>
                <c:pt idx="19">
                  <c:v>0.67952093773889166</c:v>
                </c:pt>
                <c:pt idx="20">
                  <c:v>0.55562571031695629</c:v>
                </c:pt>
                <c:pt idx="21">
                  <c:v>0.70281336400666605</c:v>
                </c:pt>
                <c:pt idx="22">
                  <c:v>0.73627702688365959</c:v>
                </c:pt>
                <c:pt idx="49">
                  <c:v>0.83</c:v>
                </c:pt>
                <c:pt idx="54">
                  <c:v>2.98</c:v>
                </c:pt>
                <c:pt idx="59">
                  <c:v>0.71</c:v>
                </c:pt>
                <c:pt idx="60">
                  <c:v>8.14</c:v>
                </c:pt>
                <c:pt idx="61">
                  <c:v>0.79</c:v>
                </c:pt>
                <c:pt idx="62">
                  <c:v>0.61</c:v>
                </c:pt>
                <c:pt idx="64">
                  <c:v>0.77</c:v>
                </c:pt>
                <c:pt idx="65">
                  <c:v>0.53</c:v>
                </c:pt>
                <c:pt idx="66">
                  <c:v>0.53</c:v>
                </c:pt>
                <c:pt idx="116">
                  <c:v>0.28999999999999998</c:v>
                </c:pt>
                <c:pt idx="143">
                  <c:v>1.33</c:v>
                </c:pt>
                <c:pt idx="144">
                  <c:v>1.21</c:v>
                </c:pt>
                <c:pt idx="145">
                  <c:v>1.54</c:v>
                </c:pt>
                <c:pt idx="146">
                  <c:v>2.76</c:v>
                </c:pt>
                <c:pt idx="147">
                  <c:v>5.7</c:v>
                </c:pt>
                <c:pt idx="148">
                  <c:v>3.73</c:v>
                </c:pt>
                <c:pt idx="149">
                  <c:v>2.84</c:v>
                </c:pt>
                <c:pt idx="150">
                  <c:v>2.17</c:v>
                </c:pt>
                <c:pt idx="151">
                  <c:v>1.06</c:v>
                </c:pt>
                <c:pt idx="152">
                  <c:v>1.24</c:v>
                </c:pt>
                <c:pt idx="153">
                  <c:v>2.57</c:v>
                </c:pt>
                <c:pt idx="154">
                  <c:v>1.6</c:v>
                </c:pt>
                <c:pt idx="155">
                  <c:v>6.35</c:v>
                </c:pt>
                <c:pt idx="156">
                  <c:v>1.05</c:v>
                </c:pt>
                <c:pt idx="157">
                  <c:v>2.5</c:v>
                </c:pt>
                <c:pt idx="158">
                  <c:v>2.02</c:v>
                </c:pt>
                <c:pt idx="159">
                  <c:v>1.28</c:v>
                </c:pt>
                <c:pt idx="160">
                  <c:v>0.74</c:v>
                </c:pt>
                <c:pt idx="161">
                  <c:v>1.07</c:v>
                </c:pt>
                <c:pt idx="162">
                  <c:v>0.82</c:v>
                </c:pt>
                <c:pt idx="165">
                  <c:v>2.97</c:v>
                </c:pt>
                <c:pt idx="166">
                  <c:v>1.1200000000000001</c:v>
                </c:pt>
              </c:numCache>
            </c:numRef>
          </c:val>
          <c:smooth val="0"/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QC'!$Z$5:$Z$173</c:f>
              <c:numCache>
                <c:formatCode>General</c:formatCode>
                <c:ptCount val="16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927856"/>
        <c:axId val="441929816"/>
      </c:lineChart>
      <c:dateAx>
        <c:axId val="441927856"/>
        <c:scaling>
          <c:orientation val="minMax"/>
          <c:min val="41256"/>
        </c:scaling>
        <c:delete val="0"/>
        <c:axPos val="b"/>
        <c:numFmt formatCode="dd\-mmm\-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29816"/>
        <c:crosses val="autoZero"/>
        <c:auto val="0"/>
        <c:lblOffset val="100"/>
        <c:baseTimeUnit val="days"/>
      </c:dateAx>
      <c:valAx>
        <c:axId val="441929816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27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049181010229549"/>
          <c:w val="0.44209258285886782"/>
          <c:h val="6.0655777153895793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AA-OX THICKNESS </a:t>
            </a:r>
          </a:p>
        </c:rich>
      </c:tx>
      <c:layout>
        <c:manualLayout>
          <c:xMode val="edge"/>
          <c:yMode val="edge"/>
          <c:x val="0.43551755397663899"/>
          <c:y val="4.65498193478953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321824527906209E-2"/>
          <c:y val="0.17637568323928504"/>
          <c:w val="0.85394131158862052"/>
          <c:h val="0.62945083284478798"/>
        </c:manualLayout>
      </c:layout>
      <c:lineChart>
        <c:grouping val="standard"/>
        <c:varyColors val="0"/>
        <c:ser>
          <c:idx val="5"/>
          <c:order val="0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QC'!$J$131:$J$173</c:f>
              <c:numCache>
                <c:formatCode>General</c:formatCode>
                <c:ptCount val="43"/>
                <c:pt idx="0">
                  <c:v>234.11</c:v>
                </c:pt>
                <c:pt idx="1">
                  <c:v>234.62</c:v>
                </c:pt>
                <c:pt idx="2">
                  <c:v>235.79</c:v>
                </c:pt>
                <c:pt idx="3">
                  <c:v>233.7</c:v>
                </c:pt>
                <c:pt idx="4">
                  <c:v>232.64</c:v>
                </c:pt>
                <c:pt idx="5">
                  <c:v>234.84</c:v>
                </c:pt>
                <c:pt idx="6">
                  <c:v>235.32</c:v>
                </c:pt>
                <c:pt idx="7">
                  <c:v>233.12</c:v>
                </c:pt>
                <c:pt idx="8">
                  <c:v>236.96</c:v>
                </c:pt>
                <c:pt idx="9">
                  <c:v>236.73</c:v>
                </c:pt>
                <c:pt idx="10">
                  <c:v>236.39</c:v>
                </c:pt>
                <c:pt idx="11">
                  <c:v>236.76</c:v>
                </c:pt>
                <c:pt idx="12">
                  <c:v>236.77799999999999</c:v>
                </c:pt>
                <c:pt idx="13">
                  <c:v>238.66</c:v>
                </c:pt>
                <c:pt idx="14">
                  <c:v>240.1</c:v>
                </c:pt>
                <c:pt idx="15">
                  <c:v>238.79</c:v>
                </c:pt>
                <c:pt idx="16">
                  <c:v>238.93</c:v>
                </c:pt>
                <c:pt idx="17">
                  <c:v>238.37</c:v>
                </c:pt>
                <c:pt idx="18">
                  <c:v>237.221</c:v>
                </c:pt>
                <c:pt idx="19">
                  <c:v>239.49</c:v>
                </c:pt>
                <c:pt idx="20">
                  <c:v>239.78</c:v>
                </c:pt>
                <c:pt idx="21">
                  <c:v>243</c:v>
                </c:pt>
                <c:pt idx="22">
                  <c:v>238.36</c:v>
                </c:pt>
                <c:pt idx="23">
                  <c:v>238.34</c:v>
                </c:pt>
                <c:pt idx="24">
                  <c:v>238.7</c:v>
                </c:pt>
                <c:pt idx="25">
                  <c:v>237.29</c:v>
                </c:pt>
                <c:pt idx="26">
                  <c:v>237.71</c:v>
                </c:pt>
                <c:pt idx="27">
                  <c:v>248.17</c:v>
                </c:pt>
                <c:pt idx="28">
                  <c:v>233.6</c:v>
                </c:pt>
                <c:pt idx="29">
                  <c:v>241.64</c:v>
                </c:pt>
                <c:pt idx="30">
                  <c:v>234.17</c:v>
                </c:pt>
                <c:pt idx="31">
                  <c:v>238.2</c:v>
                </c:pt>
                <c:pt idx="32">
                  <c:v>232.56</c:v>
                </c:pt>
                <c:pt idx="33">
                  <c:v>233.97</c:v>
                </c:pt>
                <c:pt idx="34">
                  <c:v>232.22</c:v>
                </c:pt>
                <c:pt idx="35">
                  <c:v>231.78</c:v>
                </c:pt>
                <c:pt idx="36">
                  <c:v>230.24</c:v>
                </c:pt>
                <c:pt idx="37">
                  <c:v>232.61</c:v>
                </c:pt>
                <c:pt idx="38">
                  <c:v>231.23</c:v>
                </c:pt>
                <c:pt idx="39">
                  <c:v>233.22</c:v>
                </c:pt>
                <c:pt idx="40">
                  <c:v>242.01</c:v>
                </c:pt>
              </c:numCache>
            </c:numRef>
          </c:val>
          <c:smooth val="0"/>
        </c:ser>
        <c:ser>
          <c:idx val="0"/>
          <c:order val="1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QC'!$Q$131:$Q$173</c:f>
              <c:numCache>
                <c:formatCode>General</c:formatCode>
                <c:ptCount val="43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</c:numCache>
            </c:numRef>
          </c:val>
          <c:smooth val="0"/>
        </c:ser>
        <c:ser>
          <c:idx val="1"/>
          <c:order val="2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QC'!$R$131:$R$173</c:f>
              <c:numCache>
                <c:formatCode>General</c:formatCode>
                <c:ptCount val="43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930992"/>
        <c:axId val="441923544"/>
      </c:lineChart>
      <c:dateAx>
        <c:axId val="441930992"/>
        <c:scaling>
          <c:orientation val="minMax"/>
        </c:scaling>
        <c:delete val="0"/>
        <c:axPos val="b"/>
        <c:numFmt formatCode="dd\-mmm\-yy" sourceLinked="0"/>
        <c:majorTickMark val="out"/>
        <c:minorTickMark val="none"/>
        <c:tickLblPos val="low"/>
        <c:spPr>
          <a:ln w="95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23544"/>
        <c:crosses val="autoZero"/>
        <c:auto val="0"/>
        <c:lblOffset val="100"/>
        <c:baseTimeUnit val="days"/>
        <c:majorUnit val="42"/>
        <c:majorTimeUnit val="days"/>
      </c:dateAx>
      <c:valAx>
        <c:axId val="441923544"/>
        <c:scaling>
          <c:orientation val="minMax"/>
          <c:max val="245"/>
          <c:min val="22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1930992"/>
        <c:crosses val="autoZero"/>
        <c:crossBetween val="between"/>
        <c:majorUnit val="3"/>
        <c:minorUnit val="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7500007177655938"/>
          <c:y val="0.72024895986466964"/>
          <c:w val="0.44802643272688264"/>
          <c:h val="6.6460740931718443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161778</xdr:rowOff>
    </xdr:from>
    <xdr:to>
      <xdr:col>19</xdr:col>
      <xdr:colOff>154745</xdr:colOff>
      <xdr:row>30</xdr:row>
      <xdr:rowOff>49237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19</xdr:col>
      <xdr:colOff>154745</xdr:colOff>
      <xdr:row>58</xdr:row>
      <xdr:rowOff>77372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19</xdr:col>
      <xdr:colOff>154745</xdr:colOff>
      <xdr:row>92</xdr:row>
      <xdr:rowOff>28135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232117</xdr:rowOff>
    </xdr:from>
    <xdr:to>
      <xdr:col>19</xdr:col>
      <xdr:colOff>154745</xdr:colOff>
      <xdr:row>33</xdr:row>
      <xdr:rowOff>77372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19</xdr:col>
      <xdr:colOff>154745</xdr:colOff>
      <xdr:row>96</xdr:row>
      <xdr:rowOff>35169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19</xdr:col>
      <xdr:colOff>154745</xdr:colOff>
      <xdr:row>63</xdr:row>
      <xdr:rowOff>84406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196948</xdr:colOff>
      <xdr:row>98</xdr:row>
      <xdr:rowOff>56271</xdr:rowOff>
    </xdr:from>
    <xdr:to>
      <xdr:col>19</xdr:col>
      <xdr:colOff>365760</xdr:colOff>
      <xdr:row>126</xdr:row>
      <xdr:rowOff>77372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555674</xdr:colOff>
          <xdr:row>6</xdr:row>
          <xdr:rowOff>0</xdr:rowOff>
        </xdr:from>
        <xdr:to>
          <xdr:col>5</xdr:col>
          <xdr:colOff>478302</xdr:colOff>
          <xdr:row>9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ffice/Diffusion/FST1(FRST1)%20%20QC%20logbook-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d-unload(CP-QC)"/>
      <sheetName val="M cont"/>
      <sheetName val="CV SLE"/>
      <sheetName val="Profiling"/>
      <sheetName val="HCl purge"/>
      <sheetName val="Native Oxide"/>
      <sheetName val="Native oxide (2)"/>
      <sheetName val="AA-DENS QC"/>
      <sheetName val="AA-DENS QC graphs"/>
      <sheetName val="AA-OX QC"/>
      <sheetName val="AA-OX QC Graphs"/>
      <sheetName val="RBOX-1000"/>
      <sheetName val="CV-5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4">
            <v>41236</v>
          </cell>
          <cell r="D4">
            <v>97.474000000000004</v>
          </cell>
          <cell r="J4">
            <v>96.373999999999995</v>
          </cell>
          <cell r="P4">
            <v>96.546999999999997</v>
          </cell>
          <cell r="Q4">
            <v>94</v>
          </cell>
          <cell r="R4">
            <v>99</v>
          </cell>
          <cell r="S4">
            <v>81.5</v>
          </cell>
          <cell r="T4">
            <v>111.5</v>
          </cell>
          <cell r="X4">
            <v>0.57054741711642221</v>
          </cell>
          <cell r="AC4">
            <v>1.8</v>
          </cell>
          <cell r="AF4">
            <v>0</v>
          </cell>
          <cell r="AH4">
            <v>0</v>
          </cell>
          <cell r="AJ4">
            <v>-1</v>
          </cell>
          <cell r="AK4">
            <v>20</v>
          </cell>
        </row>
        <row r="5">
          <cell r="A5">
            <v>41247</v>
          </cell>
          <cell r="D5">
            <v>97.128</v>
          </cell>
          <cell r="J5">
            <v>96.546999999999997</v>
          </cell>
          <cell r="P5">
            <v>98.120999999999995</v>
          </cell>
          <cell r="Q5">
            <v>94</v>
          </cell>
          <cell r="R5">
            <v>99</v>
          </cell>
          <cell r="S5">
            <v>81.5</v>
          </cell>
          <cell r="T5">
            <v>111.5</v>
          </cell>
          <cell r="X5">
            <v>0.57054741711642221</v>
          </cell>
          <cell r="Z5">
            <v>1.1576227390180927</v>
          </cell>
          <cell r="AB5">
            <v>2.1702668360864092</v>
          </cell>
          <cell r="AC5">
            <v>1.8</v>
          </cell>
          <cell r="AF5">
            <v>-1</v>
          </cell>
          <cell r="AH5">
            <v>0</v>
          </cell>
          <cell r="AJ5">
            <v>-2</v>
          </cell>
          <cell r="AK5">
            <v>20</v>
          </cell>
        </row>
        <row r="6">
          <cell r="A6">
            <v>41248</v>
          </cell>
          <cell r="D6">
            <v>94.442999999999998</v>
          </cell>
          <cell r="J6">
            <v>95.744</v>
          </cell>
          <cell r="P6">
            <v>97.763999999999996</v>
          </cell>
          <cell r="Q6">
            <v>94</v>
          </cell>
          <cell r="R6">
            <v>99</v>
          </cell>
          <cell r="S6">
            <v>81.5</v>
          </cell>
          <cell r="T6">
            <v>111.5</v>
          </cell>
          <cell r="X6">
            <v>0.83501893055339427</v>
          </cell>
          <cell r="Z6">
            <v>0.60764798323729519</v>
          </cell>
          <cell r="AB6">
            <v>1.5413553477193183</v>
          </cell>
          <cell r="AC6">
            <v>1.8</v>
          </cell>
          <cell r="AF6">
            <v>0</v>
          </cell>
          <cell r="AH6">
            <v>0</v>
          </cell>
          <cell r="AJ6">
            <v>0</v>
          </cell>
          <cell r="AK6">
            <v>20</v>
          </cell>
        </row>
        <row r="7">
          <cell r="A7">
            <v>41253</v>
          </cell>
          <cell r="D7">
            <v>96.212999999999994</v>
          </cell>
          <cell r="J7">
            <v>95.555999999999997</v>
          </cell>
          <cell r="P7">
            <v>95.311999999999998</v>
          </cell>
          <cell r="Q7">
            <v>94</v>
          </cell>
          <cell r="R7">
            <v>99</v>
          </cell>
          <cell r="S7">
            <v>81.5</v>
          </cell>
          <cell r="T7">
            <v>111.5</v>
          </cell>
          <cell r="X7">
            <v>1.3</v>
          </cell>
          <cell r="Z7">
            <v>0.62</v>
          </cell>
          <cell r="AB7">
            <v>1.21</v>
          </cell>
          <cell r="AC7">
            <v>1.8</v>
          </cell>
          <cell r="AF7">
            <v>-8</v>
          </cell>
          <cell r="AH7">
            <v>-3</v>
          </cell>
          <cell r="AJ7">
            <v>1</v>
          </cell>
          <cell r="AK7">
            <v>20</v>
          </cell>
        </row>
        <row r="8">
          <cell r="A8">
            <v>41254</v>
          </cell>
          <cell r="D8">
            <v>96.19</v>
          </cell>
          <cell r="J8">
            <v>95.918000000000006</v>
          </cell>
          <cell r="P8">
            <v>95.686000000000007</v>
          </cell>
          <cell r="Q8">
            <v>94</v>
          </cell>
          <cell r="R8">
            <v>99</v>
          </cell>
          <cell r="S8">
            <v>81.5</v>
          </cell>
          <cell r="T8">
            <v>111.5</v>
          </cell>
          <cell r="X8">
            <v>1.1599999999999999</v>
          </cell>
          <cell r="Z8">
            <v>0.61</v>
          </cell>
          <cell r="AB8">
            <v>1.34</v>
          </cell>
          <cell r="AC8">
            <v>1.8</v>
          </cell>
          <cell r="AF8">
            <v>-4</v>
          </cell>
          <cell r="AH8">
            <v>-1</v>
          </cell>
          <cell r="AJ8">
            <v>-4</v>
          </cell>
          <cell r="AK8">
            <v>20</v>
          </cell>
        </row>
        <row r="9">
          <cell r="A9">
            <v>41282</v>
          </cell>
          <cell r="D9">
            <v>96.03</v>
          </cell>
          <cell r="J9">
            <v>95.84</v>
          </cell>
          <cell r="P9">
            <v>95.441000000000003</v>
          </cell>
          <cell r="Q9">
            <v>94</v>
          </cell>
          <cell r="R9">
            <v>99</v>
          </cell>
          <cell r="S9">
            <v>81.5</v>
          </cell>
          <cell r="T9">
            <v>111.5</v>
          </cell>
          <cell r="X9">
            <v>1.0411244143675169</v>
          </cell>
          <cell r="Z9">
            <v>0.74865190304172169</v>
          </cell>
          <cell r="AB9">
            <v>1.2658227848101322</v>
          </cell>
          <cell r="AC9">
            <v>1.8</v>
          </cell>
          <cell r="AF9">
            <v>0</v>
          </cell>
          <cell r="AH9">
            <v>0</v>
          </cell>
          <cell r="AJ9">
            <v>0</v>
          </cell>
          <cell r="AK9">
            <v>20</v>
          </cell>
        </row>
        <row r="10">
          <cell r="A10">
            <v>41306</v>
          </cell>
          <cell r="D10">
            <v>96.58</v>
          </cell>
          <cell r="J10">
            <v>96.21</v>
          </cell>
          <cell r="P10">
            <v>95.608000000000004</v>
          </cell>
          <cell r="Q10">
            <v>94</v>
          </cell>
          <cell r="R10">
            <v>99</v>
          </cell>
          <cell r="S10">
            <v>81.5</v>
          </cell>
          <cell r="T10">
            <v>111.5</v>
          </cell>
          <cell r="X10">
            <v>1.148949384121726</v>
          </cell>
          <cell r="Z10">
            <v>0.98411871908357218</v>
          </cell>
          <cell r="AB10">
            <v>1.3087634802638466</v>
          </cell>
          <cell r="AC10">
            <v>1.8</v>
          </cell>
          <cell r="AF10">
            <v>0</v>
          </cell>
          <cell r="AH10">
            <v>-1</v>
          </cell>
          <cell r="AJ10">
            <v>-3</v>
          </cell>
          <cell r="AK10">
            <v>20</v>
          </cell>
        </row>
        <row r="11">
          <cell r="A11">
            <v>41326</v>
          </cell>
          <cell r="D11">
            <v>100.13</v>
          </cell>
          <cell r="J11">
            <v>99</v>
          </cell>
          <cell r="P11">
            <v>98.12</v>
          </cell>
          <cell r="Q11">
            <v>94</v>
          </cell>
          <cell r="R11">
            <v>99</v>
          </cell>
          <cell r="S11">
            <v>81.5</v>
          </cell>
          <cell r="T11">
            <v>111.5</v>
          </cell>
          <cell r="X11">
            <v>1.0112134561473749</v>
          </cell>
          <cell r="Z11">
            <v>0.96752950711716557</v>
          </cell>
          <cell r="AB11">
            <v>1.4391050088990585</v>
          </cell>
          <cell r="AC11">
            <v>1.8</v>
          </cell>
          <cell r="AF11">
            <v>-3</v>
          </cell>
          <cell r="AH11">
            <v>1</v>
          </cell>
          <cell r="AJ11">
            <v>1</v>
          </cell>
          <cell r="AK11">
            <v>20</v>
          </cell>
        </row>
        <row r="12">
          <cell r="A12">
            <v>41354</v>
          </cell>
          <cell r="D12">
            <v>99.97</v>
          </cell>
          <cell r="J12">
            <v>98.88</v>
          </cell>
          <cell r="P12">
            <v>98.24</v>
          </cell>
          <cell r="Q12">
            <v>94</v>
          </cell>
          <cell r="R12">
            <v>99</v>
          </cell>
          <cell r="S12">
            <v>81.5</v>
          </cell>
          <cell r="T12">
            <v>111.5</v>
          </cell>
          <cell r="X12">
            <v>0.98751817133690845</v>
          </cell>
          <cell r="Z12">
            <v>0.93903862748084288</v>
          </cell>
          <cell r="AB12">
            <v>1.466245799816724</v>
          </cell>
          <cell r="AC12">
            <v>1.8</v>
          </cell>
          <cell r="AF12">
            <v>-2</v>
          </cell>
          <cell r="AH12">
            <v>1</v>
          </cell>
          <cell r="AJ12">
            <v>1</v>
          </cell>
          <cell r="AK12">
            <v>20</v>
          </cell>
        </row>
        <row r="13">
          <cell r="A13">
            <v>41374</v>
          </cell>
          <cell r="D13">
            <v>95.99</v>
          </cell>
          <cell r="J13">
            <v>95.3</v>
          </cell>
          <cell r="P13">
            <v>94.39</v>
          </cell>
          <cell r="Q13">
            <v>94</v>
          </cell>
          <cell r="R13">
            <v>99</v>
          </cell>
          <cell r="S13">
            <v>81.5</v>
          </cell>
          <cell r="T13">
            <v>111.5</v>
          </cell>
          <cell r="X13">
            <v>1.2523481527864704</v>
          </cell>
          <cell r="Z13">
            <v>0.51351917836930916</v>
          </cell>
          <cell r="AB13">
            <v>1.6758591429783605</v>
          </cell>
          <cell r="AC13">
            <v>1.8</v>
          </cell>
          <cell r="AF13">
            <v>-4</v>
          </cell>
          <cell r="AH13">
            <v>-1</v>
          </cell>
          <cell r="AJ13">
            <v>0</v>
          </cell>
          <cell r="AK13">
            <v>20</v>
          </cell>
        </row>
        <row r="14">
          <cell r="A14">
            <v>41395</v>
          </cell>
          <cell r="D14">
            <v>95.56</v>
          </cell>
          <cell r="J14">
            <v>95.49</v>
          </cell>
          <cell r="P14">
            <v>95.02</v>
          </cell>
          <cell r="Q14">
            <v>94</v>
          </cell>
          <cell r="R14">
            <v>99</v>
          </cell>
          <cell r="S14">
            <v>81.5</v>
          </cell>
          <cell r="T14">
            <v>111.5</v>
          </cell>
          <cell r="X14">
            <v>1.6460688929792244</v>
          </cell>
          <cell r="Z14">
            <v>0.78698845750262336</v>
          </cell>
          <cell r="AB14">
            <v>1.6182594486321269</v>
          </cell>
          <cell r="AC14">
            <v>1.8</v>
          </cell>
          <cell r="AF14">
            <v>8</v>
          </cell>
          <cell r="AH14">
            <v>0</v>
          </cell>
          <cell r="AJ14">
            <v>0</v>
          </cell>
          <cell r="AK14">
            <v>20</v>
          </cell>
        </row>
        <row r="15">
          <cell r="A15">
            <v>41412</v>
          </cell>
          <cell r="Q15">
            <v>94</v>
          </cell>
          <cell r="R15">
            <v>99</v>
          </cell>
          <cell r="S15">
            <v>81.5</v>
          </cell>
          <cell r="T15">
            <v>111.5</v>
          </cell>
          <cell r="AC15">
            <v>1.8</v>
          </cell>
          <cell r="AK15">
            <v>20</v>
          </cell>
        </row>
        <row r="16">
          <cell r="A16">
            <v>41417</v>
          </cell>
          <cell r="D16">
            <v>95.37</v>
          </cell>
          <cell r="J16">
            <v>95.1</v>
          </cell>
          <cell r="P16">
            <v>94.49</v>
          </cell>
          <cell r="Q16">
            <v>94</v>
          </cell>
          <cell r="R16">
            <v>99</v>
          </cell>
          <cell r="S16">
            <v>81.5</v>
          </cell>
          <cell r="T16">
            <v>111.5</v>
          </cell>
          <cell r="X16">
            <v>1.3700068237887773</v>
          </cell>
          <cell r="Z16">
            <v>0.80657915546417902</v>
          </cell>
          <cell r="AB16">
            <v>1.2941550864538016</v>
          </cell>
          <cell r="AC16">
            <v>1.8</v>
          </cell>
          <cell r="AF16">
            <v>0</v>
          </cell>
          <cell r="AH16">
            <v>-6</v>
          </cell>
          <cell r="AJ16">
            <v>0</v>
          </cell>
          <cell r="AK16">
            <v>20</v>
          </cell>
        </row>
        <row r="17">
          <cell r="A17">
            <v>41422</v>
          </cell>
          <cell r="Q17">
            <v>94</v>
          </cell>
          <cell r="R17">
            <v>99</v>
          </cell>
          <cell r="S17">
            <v>81.5</v>
          </cell>
          <cell r="T17">
            <v>111.5</v>
          </cell>
          <cell r="AC17">
            <v>1.8</v>
          </cell>
          <cell r="AK17">
            <v>20</v>
          </cell>
        </row>
        <row r="18">
          <cell r="A18">
            <v>41444</v>
          </cell>
          <cell r="D18">
            <v>95.369</v>
          </cell>
          <cell r="J18">
            <v>95.161000000000001</v>
          </cell>
          <cell r="P18">
            <v>94.625</v>
          </cell>
          <cell r="Q18">
            <v>94</v>
          </cell>
          <cell r="R18">
            <v>99</v>
          </cell>
          <cell r="S18">
            <v>81.5</v>
          </cell>
          <cell r="T18">
            <v>111.5</v>
          </cell>
          <cell r="X18">
            <v>1.5702956777480224</v>
          </cell>
          <cell r="Z18">
            <v>0.68442666105086414</v>
          </cell>
          <cell r="AB18">
            <v>1.1974144325527207</v>
          </cell>
          <cell r="AC18">
            <v>1.8</v>
          </cell>
          <cell r="AF18">
            <v>-2</v>
          </cell>
          <cell r="AH18">
            <v>-1</v>
          </cell>
          <cell r="AJ18">
            <v>1</v>
          </cell>
          <cell r="AK18">
            <v>20</v>
          </cell>
        </row>
        <row r="19">
          <cell r="A19">
            <v>41464</v>
          </cell>
          <cell r="D19">
            <v>95.23</v>
          </cell>
          <cell r="J19">
            <v>95.05</v>
          </cell>
          <cell r="P19">
            <v>94.58</v>
          </cell>
          <cell r="Q19">
            <v>94</v>
          </cell>
          <cell r="R19">
            <v>99</v>
          </cell>
          <cell r="S19">
            <v>81.5</v>
          </cell>
          <cell r="T19">
            <v>111.5</v>
          </cell>
          <cell r="X19">
            <v>1.4886118562937236</v>
          </cell>
          <cell r="Z19">
            <v>0.89671906319232153</v>
          </cell>
          <cell r="AB19">
            <v>1.3668150031786386</v>
          </cell>
          <cell r="AC19">
            <v>1.8</v>
          </cell>
          <cell r="AK19">
            <v>20</v>
          </cell>
        </row>
        <row r="20">
          <cell r="A20">
            <v>41481</v>
          </cell>
          <cell r="D20">
            <v>95.01</v>
          </cell>
          <cell r="J20">
            <v>94.66</v>
          </cell>
          <cell r="P20">
            <v>94.35</v>
          </cell>
          <cell r="Q20">
            <v>94</v>
          </cell>
          <cell r="R20">
            <v>99</v>
          </cell>
          <cell r="S20">
            <v>81.5</v>
          </cell>
          <cell r="T20">
            <v>111.5</v>
          </cell>
          <cell r="X20">
            <v>1.7786456958885335</v>
          </cell>
          <cell r="Z20">
            <v>1.4059196617336209</v>
          </cell>
          <cell r="AB20">
            <v>1.1754693899260644</v>
          </cell>
          <cell r="AC20">
            <v>1.8</v>
          </cell>
          <cell r="AF20">
            <v>3</v>
          </cell>
          <cell r="AH20">
            <v>7</v>
          </cell>
          <cell r="AJ20">
            <v>6</v>
          </cell>
          <cell r="AK20">
            <v>20</v>
          </cell>
        </row>
        <row r="21">
          <cell r="A21">
            <v>41487</v>
          </cell>
          <cell r="D21">
            <v>95.76</v>
          </cell>
          <cell r="J21">
            <v>95.47</v>
          </cell>
          <cell r="P21">
            <v>95.24</v>
          </cell>
          <cell r="Q21">
            <v>94</v>
          </cell>
          <cell r="R21">
            <v>99</v>
          </cell>
          <cell r="S21">
            <v>81.5</v>
          </cell>
          <cell r="T21">
            <v>111.5</v>
          </cell>
          <cell r="X21">
            <v>1.37</v>
          </cell>
          <cell r="Z21">
            <v>0.85</v>
          </cell>
          <cell r="AB21">
            <v>1.31</v>
          </cell>
          <cell r="AC21">
            <v>1.8</v>
          </cell>
          <cell r="AF21">
            <v>2</v>
          </cell>
          <cell r="AH21">
            <v>3</v>
          </cell>
          <cell r="AJ21">
            <v>4</v>
          </cell>
          <cell r="AK21">
            <v>20</v>
          </cell>
        </row>
        <row r="22">
          <cell r="D22">
            <v>95.91</v>
          </cell>
          <cell r="J22">
            <v>95.45</v>
          </cell>
          <cell r="P22">
            <v>95.22</v>
          </cell>
          <cell r="Q22">
            <v>94</v>
          </cell>
          <cell r="R22">
            <v>99</v>
          </cell>
          <cell r="S22">
            <v>81.5</v>
          </cell>
          <cell r="T22">
            <v>111.5</v>
          </cell>
          <cell r="X22">
            <v>1.7</v>
          </cell>
          <cell r="Z22">
            <v>0.83</v>
          </cell>
          <cell r="AB22">
            <v>1.34</v>
          </cell>
          <cell r="AC22">
            <v>1.8</v>
          </cell>
          <cell r="AF22">
            <v>2</v>
          </cell>
          <cell r="AH22">
            <v>3</v>
          </cell>
          <cell r="AJ22">
            <v>4</v>
          </cell>
          <cell r="AK22">
            <v>20</v>
          </cell>
        </row>
        <row r="23">
          <cell r="A23">
            <v>41488</v>
          </cell>
          <cell r="D23">
            <v>97.406000000000006</v>
          </cell>
          <cell r="J23">
            <v>97.033000000000001</v>
          </cell>
          <cell r="P23">
            <v>96.668000000000006</v>
          </cell>
          <cell r="Q23">
            <v>94</v>
          </cell>
          <cell r="R23">
            <v>99</v>
          </cell>
          <cell r="S23">
            <v>81.5</v>
          </cell>
          <cell r="T23">
            <v>111.5</v>
          </cell>
          <cell r="X23">
            <v>1.37</v>
          </cell>
          <cell r="Z23">
            <v>0.90400000000000003</v>
          </cell>
          <cell r="AB23">
            <v>1.28</v>
          </cell>
          <cell r="AC23">
            <v>1.8</v>
          </cell>
          <cell r="AF23">
            <v>6</v>
          </cell>
          <cell r="AH23">
            <v>1</v>
          </cell>
          <cell r="AJ23">
            <v>1</v>
          </cell>
          <cell r="AK23">
            <v>20</v>
          </cell>
        </row>
        <row r="24">
          <cell r="A24">
            <v>41491</v>
          </cell>
          <cell r="D24">
            <v>96.63</v>
          </cell>
          <cell r="J24">
            <v>96.27</v>
          </cell>
          <cell r="P24">
            <v>95.92</v>
          </cell>
          <cell r="Q24">
            <v>94</v>
          </cell>
          <cell r="R24">
            <v>99</v>
          </cell>
          <cell r="S24">
            <v>81.5</v>
          </cell>
          <cell r="T24">
            <v>111.5</v>
          </cell>
          <cell r="X24">
            <v>1.36</v>
          </cell>
          <cell r="Z24">
            <v>0.88</v>
          </cell>
          <cell r="AB24">
            <v>1.29</v>
          </cell>
          <cell r="AC24">
            <v>1.8</v>
          </cell>
          <cell r="AF24">
            <v>11</v>
          </cell>
          <cell r="AH24">
            <v>5</v>
          </cell>
          <cell r="AJ24">
            <v>8</v>
          </cell>
          <cell r="AK24">
            <v>20</v>
          </cell>
        </row>
        <row r="25">
          <cell r="A25">
            <v>41507</v>
          </cell>
          <cell r="D25">
            <v>97.28</v>
          </cell>
          <cell r="J25">
            <v>95.29</v>
          </cell>
          <cell r="P25">
            <v>94.51</v>
          </cell>
          <cell r="Q25">
            <v>94</v>
          </cell>
          <cell r="R25">
            <v>99</v>
          </cell>
          <cell r="S25">
            <v>81.5</v>
          </cell>
          <cell r="T25">
            <v>111.5</v>
          </cell>
          <cell r="X25">
            <v>4.3425200854266199</v>
          </cell>
          <cell r="Z25">
            <v>0.71398572028559393</v>
          </cell>
          <cell r="AB25">
            <v>1.3903629802589708</v>
          </cell>
          <cell r="AC25">
            <v>1.8</v>
          </cell>
          <cell r="AF25">
            <v>1</v>
          </cell>
          <cell r="AH25">
            <v>5</v>
          </cell>
          <cell r="AJ25">
            <v>14</v>
          </cell>
          <cell r="AK25">
            <v>20</v>
          </cell>
        </row>
        <row r="26">
          <cell r="A26">
            <v>41524</v>
          </cell>
          <cell r="D26">
            <v>97.322999999999993</v>
          </cell>
          <cell r="J26">
            <v>96.149000000000001</v>
          </cell>
          <cell r="P26">
            <v>95.915000000000006</v>
          </cell>
          <cell r="Q26">
            <v>94</v>
          </cell>
          <cell r="R26">
            <v>99</v>
          </cell>
          <cell r="S26">
            <v>81.5</v>
          </cell>
          <cell r="T26">
            <v>111.5</v>
          </cell>
          <cell r="X26">
            <v>2.206558381857183</v>
          </cell>
          <cell r="Z26">
            <v>0.91302759952000845</v>
          </cell>
          <cell r="AB26">
            <v>1.3768912622375769</v>
          </cell>
          <cell r="AC26">
            <v>1.8</v>
          </cell>
          <cell r="AK26">
            <v>20</v>
          </cell>
        </row>
        <row r="27">
          <cell r="A27">
            <v>41533</v>
          </cell>
          <cell r="D27">
            <v>96.89</v>
          </cell>
          <cell r="J27">
            <v>96.56</v>
          </cell>
          <cell r="P27">
            <v>96.06</v>
          </cell>
          <cell r="Q27">
            <v>94</v>
          </cell>
          <cell r="R27">
            <v>99</v>
          </cell>
          <cell r="S27">
            <v>81.5</v>
          </cell>
          <cell r="T27">
            <v>111.5</v>
          </cell>
          <cell r="X27">
            <v>1.2144075241589625</v>
          </cell>
          <cell r="Z27">
            <v>0.89846793040768835</v>
          </cell>
          <cell r="AB27">
            <v>1.395348837209303</v>
          </cell>
          <cell r="AC27">
            <v>1.8</v>
          </cell>
          <cell r="AK27">
            <v>20</v>
          </cell>
        </row>
        <row r="28">
          <cell r="A28">
            <v>41543</v>
          </cell>
          <cell r="D28">
            <v>96.65</v>
          </cell>
          <cell r="J28">
            <v>96.14</v>
          </cell>
          <cell r="P28">
            <v>95.74</v>
          </cell>
          <cell r="Q28">
            <v>94</v>
          </cell>
          <cell r="R28">
            <v>99</v>
          </cell>
          <cell r="S28">
            <v>81.5</v>
          </cell>
          <cell r="T28">
            <v>111.5</v>
          </cell>
          <cell r="X28">
            <v>1.4726399007905722</v>
          </cell>
          <cell r="Z28">
            <v>0.89160018770529925</v>
          </cell>
          <cell r="AB28">
            <v>1.340594888981987</v>
          </cell>
          <cell r="AC28">
            <v>1.8</v>
          </cell>
          <cell r="AK28">
            <v>20</v>
          </cell>
        </row>
        <row r="29">
          <cell r="A29">
            <v>41569</v>
          </cell>
          <cell r="J29">
            <v>96.03</v>
          </cell>
          <cell r="Q29">
            <v>94</v>
          </cell>
          <cell r="R29">
            <v>99</v>
          </cell>
          <cell r="S29">
            <v>81.5</v>
          </cell>
          <cell r="T29">
            <v>111.5</v>
          </cell>
          <cell r="Z29">
            <v>1.1110531532001435</v>
          </cell>
          <cell r="AC29">
            <v>1.8</v>
          </cell>
          <cell r="AF29">
            <v>29</v>
          </cell>
          <cell r="AH29">
            <v>8</v>
          </cell>
          <cell r="AJ29">
            <v>8</v>
          </cell>
          <cell r="AK29">
            <v>20</v>
          </cell>
        </row>
        <row r="30">
          <cell r="A30">
            <v>41585</v>
          </cell>
          <cell r="J30">
            <v>96.89</v>
          </cell>
          <cell r="Q30">
            <v>94</v>
          </cell>
          <cell r="R30">
            <v>99</v>
          </cell>
          <cell r="S30">
            <v>81.5</v>
          </cell>
          <cell r="T30">
            <v>111.5</v>
          </cell>
          <cell r="Z30">
            <v>0.87837139609383208</v>
          </cell>
          <cell r="AC30">
            <v>1.8</v>
          </cell>
          <cell r="AF30">
            <v>6</v>
          </cell>
          <cell r="AH30">
            <v>-14</v>
          </cell>
          <cell r="AJ30">
            <v>9</v>
          </cell>
          <cell r="AK30">
            <v>20</v>
          </cell>
        </row>
        <row r="31">
          <cell r="A31">
            <v>41606</v>
          </cell>
          <cell r="D31">
            <v>97.47</v>
          </cell>
          <cell r="J31">
            <v>96.96</v>
          </cell>
          <cell r="P31">
            <v>96.28</v>
          </cell>
          <cell r="Q31">
            <v>94</v>
          </cell>
          <cell r="R31">
            <v>99</v>
          </cell>
          <cell r="S31">
            <v>81.5</v>
          </cell>
          <cell r="T31">
            <v>111.5</v>
          </cell>
          <cell r="Z31">
            <v>0.89941073090044199</v>
          </cell>
          <cell r="AC31">
            <v>1.8</v>
          </cell>
          <cell r="AK31">
            <v>20</v>
          </cell>
        </row>
        <row r="32">
          <cell r="A32">
            <v>41628</v>
          </cell>
          <cell r="J32">
            <v>96.79</v>
          </cell>
          <cell r="Q32">
            <v>94</v>
          </cell>
          <cell r="R32">
            <v>99</v>
          </cell>
          <cell r="S32">
            <v>81.5</v>
          </cell>
          <cell r="T32">
            <v>111.5</v>
          </cell>
          <cell r="Z32">
            <v>1.0763817015110735</v>
          </cell>
          <cell r="AC32">
            <v>1.8</v>
          </cell>
          <cell r="AK32">
            <v>20</v>
          </cell>
        </row>
        <row r="33">
          <cell r="A33">
            <v>41656</v>
          </cell>
          <cell r="D33">
            <v>97.36</v>
          </cell>
          <cell r="J33">
            <v>97.01</v>
          </cell>
          <cell r="P33">
            <v>96.2</v>
          </cell>
          <cell r="Q33">
            <v>94</v>
          </cell>
          <cell r="R33">
            <v>99</v>
          </cell>
          <cell r="S33">
            <v>81.5</v>
          </cell>
          <cell r="T33">
            <v>111.5</v>
          </cell>
          <cell r="Z33">
            <v>1.1609308085238119</v>
          </cell>
          <cell r="AC33">
            <v>1.8</v>
          </cell>
          <cell r="AF33">
            <v>1</v>
          </cell>
          <cell r="AH33">
            <v>-1</v>
          </cell>
          <cell r="AJ33">
            <v>-4</v>
          </cell>
          <cell r="AK33">
            <v>20</v>
          </cell>
        </row>
        <row r="34">
          <cell r="A34">
            <v>41698</v>
          </cell>
          <cell r="J34">
            <v>96.94</v>
          </cell>
          <cell r="Q34">
            <v>94</v>
          </cell>
          <cell r="R34">
            <v>99</v>
          </cell>
          <cell r="S34">
            <v>81.5</v>
          </cell>
          <cell r="T34">
            <v>111.5</v>
          </cell>
          <cell r="Z34">
            <v>1.0707081156571703</v>
          </cell>
          <cell r="AC34">
            <v>1.8</v>
          </cell>
          <cell r="AK34">
            <v>20</v>
          </cell>
        </row>
        <row r="35">
          <cell r="A35">
            <v>41809</v>
          </cell>
          <cell r="J35">
            <v>95.93</v>
          </cell>
          <cell r="Q35">
            <v>94</v>
          </cell>
          <cell r="R35">
            <v>99</v>
          </cell>
          <cell r="S35">
            <v>81.5</v>
          </cell>
          <cell r="T35">
            <v>111.5</v>
          </cell>
          <cell r="Z35">
            <v>0.92471657698135423</v>
          </cell>
          <cell r="AC35">
            <v>1.8</v>
          </cell>
          <cell r="AH35">
            <v>1</v>
          </cell>
          <cell r="AK35">
            <v>20</v>
          </cell>
        </row>
        <row r="36">
          <cell r="A36">
            <v>41810</v>
          </cell>
          <cell r="J36">
            <v>96.3</v>
          </cell>
          <cell r="Q36">
            <v>94</v>
          </cell>
          <cell r="R36">
            <v>99</v>
          </cell>
          <cell r="S36">
            <v>81.5</v>
          </cell>
          <cell r="T36">
            <v>111.5</v>
          </cell>
          <cell r="Z36">
            <v>0.85906180038527924</v>
          </cell>
          <cell r="AC36">
            <v>1.8</v>
          </cell>
          <cell r="AH36">
            <v>4</v>
          </cell>
          <cell r="AK36">
            <v>20</v>
          </cell>
        </row>
        <row r="37">
          <cell r="A37">
            <v>41817</v>
          </cell>
          <cell r="D37">
            <v>96.45</v>
          </cell>
          <cell r="J37">
            <v>96.46</v>
          </cell>
          <cell r="P37">
            <v>95.53</v>
          </cell>
          <cell r="Q37">
            <v>94</v>
          </cell>
          <cell r="R37">
            <v>99</v>
          </cell>
          <cell r="S37">
            <v>81.5</v>
          </cell>
          <cell r="T37">
            <v>111.5</v>
          </cell>
          <cell r="Z37">
            <v>1.3081395348837188</v>
          </cell>
          <cell r="AC37">
            <v>1.8</v>
          </cell>
          <cell r="AF37">
            <v>0</v>
          </cell>
          <cell r="AH37">
            <v>1</v>
          </cell>
          <cell r="AJ37">
            <v>0</v>
          </cell>
          <cell r="AK37">
            <v>20</v>
          </cell>
        </row>
        <row r="38">
          <cell r="A38">
            <v>41835</v>
          </cell>
          <cell r="J38">
            <v>96.02</v>
          </cell>
          <cell r="Q38">
            <v>94</v>
          </cell>
          <cell r="R38">
            <v>99</v>
          </cell>
          <cell r="S38">
            <v>81.5</v>
          </cell>
          <cell r="T38">
            <v>111.5</v>
          </cell>
          <cell r="Z38">
            <v>0.91350420211932981</v>
          </cell>
          <cell r="AC38">
            <v>1.8</v>
          </cell>
          <cell r="AH38">
            <v>-3</v>
          </cell>
          <cell r="AK38">
            <v>20</v>
          </cell>
        </row>
        <row r="39">
          <cell r="A39">
            <v>41857</v>
          </cell>
          <cell r="J39">
            <v>96.12</v>
          </cell>
          <cell r="Q39">
            <v>94</v>
          </cell>
          <cell r="R39">
            <v>99</v>
          </cell>
          <cell r="S39">
            <v>81.5</v>
          </cell>
          <cell r="T39">
            <v>111.5</v>
          </cell>
          <cell r="Z39">
            <v>0.92326952167335885</v>
          </cell>
          <cell r="AC39">
            <v>1.8</v>
          </cell>
          <cell r="AK39">
            <v>20</v>
          </cell>
        </row>
        <row r="40">
          <cell r="A40">
            <v>41885</v>
          </cell>
          <cell r="J40">
            <v>96.28</v>
          </cell>
          <cell r="Q40">
            <v>94</v>
          </cell>
          <cell r="R40">
            <v>99</v>
          </cell>
          <cell r="S40">
            <v>81.5</v>
          </cell>
          <cell r="T40">
            <v>111.5</v>
          </cell>
          <cell r="Z40">
            <v>0.83858534298661358</v>
          </cell>
          <cell r="AC40">
            <v>1.8</v>
          </cell>
          <cell r="AH40">
            <v>0</v>
          </cell>
          <cell r="AK40">
            <v>20</v>
          </cell>
        </row>
        <row r="41">
          <cell r="A41">
            <v>41925</v>
          </cell>
          <cell r="D41">
            <v>97.08</v>
          </cell>
          <cell r="J41">
            <v>96.69</v>
          </cell>
          <cell r="P41">
            <v>95.82</v>
          </cell>
          <cell r="Q41">
            <v>94</v>
          </cell>
          <cell r="R41">
            <v>99</v>
          </cell>
          <cell r="S41">
            <v>81.5</v>
          </cell>
          <cell r="T41">
            <v>111.5</v>
          </cell>
          <cell r="Z41">
            <v>1.0322112142745965</v>
          </cell>
          <cell r="AC41">
            <v>1.8</v>
          </cell>
          <cell r="AK41">
            <v>20</v>
          </cell>
        </row>
        <row r="42">
          <cell r="A42">
            <v>42027</v>
          </cell>
          <cell r="J42">
            <v>97.4</v>
          </cell>
          <cell r="Q42">
            <v>94</v>
          </cell>
          <cell r="R42">
            <v>99</v>
          </cell>
          <cell r="S42">
            <v>81.5</v>
          </cell>
          <cell r="T42">
            <v>111.5</v>
          </cell>
          <cell r="Z42">
            <v>1.0087493566649479</v>
          </cell>
          <cell r="AC42">
            <v>1.8</v>
          </cell>
          <cell r="AH42">
            <v>0</v>
          </cell>
          <cell r="AK42">
            <v>20</v>
          </cell>
        </row>
        <row r="43">
          <cell r="A43">
            <v>42048</v>
          </cell>
          <cell r="J43">
            <v>96.52</v>
          </cell>
          <cell r="Q43">
            <v>94</v>
          </cell>
          <cell r="R43">
            <v>99</v>
          </cell>
          <cell r="S43">
            <v>81.5</v>
          </cell>
          <cell r="T43">
            <v>111.5</v>
          </cell>
          <cell r="Z43">
            <v>1.2081928960331854</v>
          </cell>
          <cell r="AC43">
            <v>1.8</v>
          </cell>
          <cell r="AH43">
            <v>-2</v>
          </cell>
          <cell r="AK43">
            <v>20</v>
          </cell>
        </row>
        <row r="44">
          <cell r="A44">
            <v>42056</v>
          </cell>
          <cell r="J44">
            <v>95.41</v>
          </cell>
          <cell r="Q44">
            <v>94</v>
          </cell>
          <cell r="R44">
            <v>99</v>
          </cell>
          <cell r="S44">
            <v>81.5</v>
          </cell>
          <cell r="T44">
            <v>111.5</v>
          </cell>
          <cell r="Z44">
            <v>0.62352632957820153</v>
          </cell>
          <cell r="AC44">
            <v>1.8</v>
          </cell>
          <cell r="AH44">
            <v>-7</v>
          </cell>
          <cell r="AK44">
            <v>20</v>
          </cell>
        </row>
        <row r="45">
          <cell r="A45">
            <v>42089</v>
          </cell>
          <cell r="J45">
            <v>96.69</v>
          </cell>
          <cell r="Q45">
            <v>94</v>
          </cell>
          <cell r="R45">
            <v>99</v>
          </cell>
          <cell r="S45">
            <v>81.5</v>
          </cell>
          <cell r="T45">
            <v>111.5</v>
          </cell>
          <cell r="Z45">
            <v>1.2156639594433782</v>
          </cell>
          <cell r="AC45">
            <v>1.8</v>
          </cell>
          <cell r="AH45">
            <v>-1</v>
          </cell>
          <cell r="AK45">
            <v>20</v>
          </cell>
        </row>
        <row r="46">
          <cell r="A46">
            <v>42163</v>
          </cell>
          <cell r="J46">
            <v>96.45</v>
          </cell>
          <cell r="Q46">
            <v>94</v>
          </cell>
          <cell r="R46">
            <v>99</v>
          </cell>
          <cell r="S46">
            <v>81.5</v>
          </cell>
          <cell r="T46">
            <v>111.5</v>
          </cell>
          <cell r="Z46">
            <v>0.9304017880347244</v>
          </cell>
          <cell r="AC46">
            <v>1.8</v>
          </cell>
          <cell r="AH46">
            <v>1</v>
          </cell>
          <cell r="AK46">
            <v>20</v>
          </cell>
        </row>
        <row r="47">
          <cell r="A47">
            <v>42193</v>
          </cell>
          <cell r="J47">
            <v>96.14</v>
          </cell>
          <cell r="Q47">
            <v>94</v>
          </cell>
          <cell r="R47">
            <v>99</v>
          </cell>
          <cell r="S47">
            <v>81.5</v>
          </cell>
          <cell r="T47">
            <v>111.5</v>
          </cell>
          <cell r="Z47">
            <v>1.2385512073272249</v>
          </cell>
          <cell r="AC47">
            <v>1.8</v>
          </cell>
          <cell r="AH47">
            <v>-3</v>
          </cell>
          <cell r="AK47">
            <v>20</v>
          </cell>
        </row>
        <row r="48">
          <cell r="A48">
            <v>42200</v>
          </cell>
          <cell r="J48">
            <v>96.1</v>
          </cell>
          <cell r="Q48">
            <v>94</v>
          </cell>
          <cell r="R48">
            <v>99</v>
          </cell>
          <cell r="S48">
            <v>81.5</v>
          </cell>
          <cell r="T48">
            <v>111.5</v>
          </cell>
          <cell r="Z48">
            <v>1.35</v>
          </cell>
          <cell r="AC48">
            <v>1.8</v>
          </cell>
          <cell r="AH48">
            <v>-1</v>
          </cell>
          <cell r="AK48">
            <v>20</v>
          </cell>
        </row>
        <row r="49">
          <cell r="A49">
            <v>42233</v>
          </cell>
          <cell r="J49">
            <v>96.23</v>
          </cell>
          <cell r="Q49">
            <v>94</v>
          </cell>
          <cell r="R49">
            <v>99</v>
          </cell>
          <cell r="S49">
            <v>81.5</v>
          </cell>
          <cell r="T49">
            <v>111.5</v>
          </cell>
          <cell r="Z49">
            <v>1.3</v>
          </cell>
          <cell r="AC49">
            <v>1.8</v>
          </cell>
          <cell r="AH49">
            <v>-4</v>
          </cell>
          <cell r="AK49">
            <v>20</v>
          </cell>
        </row>
        <row r="50">
          <cell r="A50">
            <v>42268</v>
          </cell>
          <cell r="J50">
            <v>96.4</v>
          </cell>
          <cell r="Q50">
            <v>94</v>
          </cell>
          <cell r="R50">
            <v>99</v>
          </cell>
          <cell r="S50">
            <v>81.5</v>
          </cell>
          <cell r="T50">
            <v>111.5</v>
          </cell>
          <cell r="Z50">
            <v>1.23</v>
          </cell>
          <cell r="AC50">
            <v>1.8</v>
          </cell>
          <cell r="AH50">
            <v>-5</v>
          </cell>
          <cell r="AK50">
            <v>20</v>
          </cell>
        </row>
        <row r="51">
          <cell r="A51">
            <v>42283</v>
          </cell>
          <cell r="J51">
            <v>96.9</v>
          </cell>
          <cell r="Q51">
            <v>94</v>
          </cell>
          <cell r="R51">
            <v>99</v>
          </cell>
          <cell r="S51">
            <v>81.5</v>
          </cell>
          <cell r="T51">
            <v>111.5</v>
          </cell>
          <cell r="Z51">
            <v>1.17</v>
          </cell>
          <cell r="AC51">
            <v>1.8</v>
          </cell>
          <cell r="AH51">
            <v>-3</v>
          </cell>
          <cell r="AK51">
            <v>20</v>
          </cell>
        </row>
        <row r="52">
          <cell r="A52">
            <v>42297</v>
          </cell>
          <cell r="J52">
            <v>96.76</v>
          </cell>
          <cell r="Q52">
            <v>94</v>
          </cell>
          <cell r="R52">
            <v>99</v>
          </cell>
          <cell r="S52">
            <v>81.5</v>
          </cell>
          <cell r="T52">
            <v>111.5</v>
          </cell>
          <cell r="Z52">
            <v>0.84</v>
          </cell>
          <cell r="AC52">
            <v>1.8</v>
          </cell>
          <cell r="AH52">
            <v>-2</v>
          </cell>
          <cell r="AK52">
            <v>20</v>
          </cell>
        </row>
        <row r="53">
          <cell r="A53">
            <v>42313</v>
          </cell>
          <cell r="D53">
            <v>100.8</v>
          </cell>
          <cell r="J53">
            <v>99.6</v>
          </cell>
          <cell r="P53">
            <v>101.62</v>
          </cell>
          <cell r="Q53">
            <v>94</v>
          </cell>
          <cell r="R53">
            <v>99</v>
          </cell>
          <cell r="S53">
            <v>81.5</v>
          </cell>
          <cell r="T53">
            <v>111.5</v>
          </cell>
          <cell r="X53">
            <v>1.48</v>
          </cell>
          <cell r="Z53">
            <v>3.04</v>
          </cell>
          <cell r="AB53">
            <v>5.63</v>
          </cell>
          <cell r="AC53">
            <v>1.8</v>
          </cell>
          <cell r="AF53">
            <v>3</v>
          </cell>
          <cell r="AH53">
            <v>2</v>
          </cell>
          <cell r="AJ53">
            <v>2</v>
          </cell>
          <cell r="AK53">
            <v>20</v>
          </cell>
        </row>
        <row r="54">
          <cell r="A54">
            <v>42314</v>
          </cell>
          <cell r="D54">
            <v>97.44</v>
          </cell>
          <cell r="J54">
            <v>97.21</v>
          </cell>
          <cell r="P54">
            <v>96.7</v>
          </cell>
          <cell r="Q54">
            <v>94</v>
          </cell>
          <cell r="R54">
            <v>99</v>
          </cell>
          <cell r="S54">
            <v>81.5</v>
          </cell>
          <cell r="T54">
            <v>111.5</v>
          </cell>
          <cell r="X54">
            <v>1.53</v>
          </cell>
          <cell r="Z54">
            <v>0.98</v>
          </cell>
          <cell r="AB54">
            <v>1.51</v>
          </cell>
          <cell r="AC54">
            <v>1.8</v>
          </cell>
          <cell r="AF54">
            <v>0</v>
          </cell>
          <cell r="AH54">
            <v>-1</v>
          </cell>
          <cell r="AJ54">
            <v>-2</v>
          </cell>
          <cell r="AK54">
            <v>20</v>
          </cell>
        </row>
        <row r="55">
          <cell r="A55">
            <v>42325</v>
          </cell>
          <cell r="J55">
            <v>98.96</v>
          </cell>
          <cell r="Q55">
            <v>94</v>
          </cell>
          <cell r="R55">
            <v>99</v>
          </cell>
          <cell r="S55">
            <v>81.5</v>
          </cell>
          <cell r="T55">
            <v>111.5</v>
          </cell>
          <cell r="Z55">
            <v>0.78</v>
          </cell>
          <cell r="AC55">
            <v>1.8</v>
          </cell>
          <cell r="AH55">
            <v>-1</v>
          </cell>
          <cell r="AK55">
            <v>20</v>
          </cell>
        </row>
        <row r="56">
          <cell r="A56">
            <v>42341</v>
          </cell>
          <cell r="J56">
            <v>99.06</v>
          </cell>
          <cell r="Q56">
            <v>94</v>
          </cell>
          <cell r="R56">
            <v>99</v>
          </cell>
          <cell r="S56">
            <v>81.5</v>
          </cell>
          <cell r="T56">
            <v>111.5</v>
          </cell>
          <cell r="Z56">
            <v>0.83</v>
          </cell>
          <cell r="AC56">
            <v>1.8</v>
          </cell>
          <cell r="AH56">
            <v>-1</v>
          </cell>
          <cell r="AK56">
            <v>20</v>
          </cell>
        </row>
        <row r="57">
          <cell r="A57">
            <v>42353</v>
          </cell>
          <cell r="J57">
            <v>99.92</v>
          </cell>
          <cell r="Q57">
            <v>94</v>
          </cell>
          <cell r="R57">
            <v>99</v>
          </cell>
          <cell r="S57">
            <v>81.5</v>
          </cell>
          <cell r="T57">
            <v>111.5</v>
          </cell>
          <cell r="Z57">
            <v>1.47</v>
          </cell>
          <cell r="AC57">
            <v>1.8</v>
          </cell>
          <cell r="AH57">
            <v>4</v>
          </cell>
          <cell r="AK57">
            <v>20</v>
          </cell>
        </row>
        <row r="58">
          <cell r="A58">
            <v>42391</v>
          </cell>
          <cell r="J58">
            <v>98.42</v>
          </cell>
          <cell r="Q58">
            <v>94</v>
          </cell>
          <cell r="R58">
            <v>99</v>
          </cell>
          <cell r="S58">
            <v>81.5</v>
          </cell>
          <cell r="T58">
            <v>111.5</v>
          </cell>
          <cell r="Z58">
            <v>1.33</v>
          </cell>
          <cell r="AC58">
            <v>1.8</v>
          </cell>
          <cell r="AH58">
            <v>-4</v>
          </cell>
          <cell r="AK58">
            <v>20</v>
          </cell>
        </row>
        <row r="59">
          <cell r="A59">
            <v>42444</v>
          </cell>
          <cell r="J59">
            <v>99.31</v>
          </cell>
          <cell r="Q59">
            <v>94</v>
          </cell>
          <cell r="R59">
            <v>99</v>
          </cell>
          <cell r="S59">
            <v>81.5</v>
          </cell>
          <cell r="T59">
            <v>111.5</v>
          </cell>
          <cell r="Z59">
            <v>1.62</v>
          </cell>
          <cell r="AC59">
            <v>1.8</v>
          </cell>
          <cell r="AH59">
            <v>0</v>
          </cell>
          <cell r="AK59">
            <v>20</v>
          </cell>
        </row>
        <row r="60">
          <cell r="A60">
            <v>42467</v>
          </cell>
          <cell r="J60">
            <v>96.81</v>
          </cell>
          <cell r="Q60">
            <v>94</v>
          </cell>
          <cell r="R60">
            <v>99</v>
          </cell>
          <cell r="S60">
            <v>81.5</v>
          </cell>
          <cell r="T60">
            <v>111.5</v>
          </cell>
          <cell r="Z60">
            <v>1.5</v>
          </cell>
          <cell r="AC60">
            <v>1.8</v>
          </cell>
          <cell r="AH60">
            <v>-1</v>
          </cell>
          <cell r="AK60">
            <v>20</v>
          </cell>
        </row>
        <row r="61">
          <cell r="A61">
            <v>42502</v>
          </cell>
          <cell r="J61">
            <v>94.01</v>
          </cell>
          <cell r="Q61">
            <v>94</v>
          </cell>
          <cell r="R61">
            <v>99</v>
          </cell>
          <cell r="S61">
            <v>81.5</v>
          </cell>
          <cell r="T61">
            <v>111.5</v>
          </cell>
          <cell r="Z61">
            <v>1.96</v>
          </cell>
          <cell r="AC61">
            <v>1.8</v>
          </cell>
          <cell r="AH61">
            <v>-4</v>
          </cell>
          <cell r="AK61">
            <v>20</v>
          </cell>
        </row>
        <row r="62">
          <cell r="A62">
            <v>42515</v>
          </cell>
          <cell r="J62">
            <v>93.78</v>
          </cell>
          <cell r="Q62">
            <v>94</v>
          </cell>
          <cell r="R62">
            <v>99</v>
          </cell>
          <cell r="S62">
            <v>81.5</v>
          </cell>
          <cell r="T62">
            <v>111.5</v>
          </cell>
          <cell r="Z62">
            <v>1.72</v>
          </cell>
          <cell r="AC62">
            <v>1.8</v>
          </cell>
          <cell r="AH62">
            <v>-5</v>
          </cell>
          <cell r="AK62">
            <v>20</v>
          </cell>
        </row>
        <row r="63">
          <cell r="A63">
            <v>42535</v>
          </cell>
          <cell r="J63">
            <v>94.02</v>
          </cell>
          <cell r="Q63">
            <v>94</v>
          </cell>
          <cell r="R63">
            <v>99</v>
          </cell>
          <cell r="S63">
            <v>81.5</v>
          </cell>
          <cell r="T63">
            <v>111.5</v>
          </cell>
          <cell r="Z63">
            <v>1.86</v>
          </cell>
          <cell r="AC63">
            <v>1.8</v>
          </cell>
          <cell r="AH63">
            <v>-8</v>
          </cell>
          <cell r="AK63">
            <v>20</v>
          </cell>
        </row>
        <row r="64">
          <cell r="A64">
            <v>42577</v>
          </cell>
          <cell r="D64">
            <v>94.31</v>
          </cell>
          <cell r="J64">
            <v>93.91</v>
          </cell>
          <cell r="P64">
            <v>93.42</v>
          </cell>
          <cell r="Q64">
            <v>94</v>
          </cell>
          <cell r="R64">
            <v>99</v>
          </cell>
          <cell r="S64">
            <v>81.5</v>
          </cell>
          <cell r="T64">
            <v>111.5</v>
          </cell>
          <cell r="X64">
            <v>1.6</v>
          </cell>
          <cell r="Z64">
            <v>1.26</v>
          </cell>
          <cell r="AB64">
            <v>1.17</v>
          </cell>
          <cell r="AC64">
            <v>1.8</v>
          </cell>
          <cell r="AF64">
            <v>-21</v>
          </cell>
          <cell r="AH64">
            <v>-19</v>
          </cell>
          <cell r="AJ64">
            <v>-37</v>
          </cell>
          <cell r="AK64">
            <v>20</v>
          </cell>
        </row>
        <row r="65">
          <cell r="A65">
            <v>42578</v>
          </cell>
          <cell r="D65">
            <v>93.8</v>
          </cell>
          <cell r="J65">
            <v>93.71</v>
          </cell>
          <cell r="P65">
            <v>93.43</v>
          </cell>
          <cell r="Q65">
            <v>94</v>
          </cell>
          <cell r="R65">
            <v>99</v>
          </cell>
          <cell r="S65">
            <v>81.5</v>
          </cell>
          <cell r="T65">
            <v>111.5</v>
          </cell>
          <cell r="X65">
            <v>1.54</v>
          </cell>
          <cell r="Z65">
            <v>1.1100000000000001</v>
          </cell>
          <cell r="AB65">
            <v>1.66</v>
          </cell>
          <cell r="AC65">
            <v>1.8</v>
          </cell>
          <cell r="AF65">
            <v>-2</v>
          </cell>
          <cell r="AH65">
            <v>-7</v>
          </cell>
          <cell r="AJ65">
            <v>-3</v>
          </cell>
          <cell r="AK65">
            <v>20</v>
          </cell>
        </row>
        <row r="66">
          <cell r="A66">
            <v>42591</v>
          </cell>
          <cell r="D66">
            <v>95.63</v>
          </cell>
          <cell r="J66">
            <v>95.2</v>
          </cell>
          <cell r="P66">
            <v>94.64</v>
          </cell>
          <cell r="Q66">
            <v>94</v>
          </cell>
          <cell r="R66">
            <v>99</v>
          </cell>
          <cell r="S66">
            <v>81.5</v>
          </cell>
          <cell r="T66">
            <v>111.5</v>
          </cell>
          <cell r="X66">
            <v>2.14</v>
          </cell>
          <cell r="Z66">
            <v>1.51</v>
          </cell>
          <cell r="AB66">
            <v>1.51</v>
          </cell>
          <cell r="AC66">
            <v>1.8</v>
          </cell>
          <cell r="AF66">
            <v>-11</v>
          </cell>
          <cell r="AH66">
            <v>-4</v>
          </cell>
          <cell r="AJ66">
            <v>-2</v>
          </cell>
          <cell r="AK66">
            <v>20</v>
          </cell>
        </row>
        <row r="67">
          <cell r="A67">
            <v>42600</v>
          </cell>
          <cell r="D67">
            <v>95.56</v>
          </cell>
          <cell r="J67">
            <v>95.28</v>
          </cell>
          <cell r="P67">
            <v>94.8</v>
          </cell>
          <cell r="Q67">
            <v>94</v>
          </cell>
          <cell r="R67">
            <v>99</v>
          </cell>
          <cell r="S67">
            <v>81.5</v>
          </cell>
          <cell r="T67">
            <v>111.5</v>
          </cell>
          <cell r="X67">
            <v>1.63</v>
          </cell>
          <cell r="Z67">
            <v>1.47</v>
          </cell>
          <cell r="AB67">
            <v>1.33</v>
          </cell>
          <cell r="AC67">
            <v>1.8</v>
          </cell>
          <cell r="AF67">
            <v>-14</v>
          </cell>
          <cell r="AH67">
            <v>-5</v>
          </cell>
          <cell r="AJ67">
            <v>-9</v>
          </cell>
          <cell r="AK67">
            <v>20</v>
          </cell>
        </row>
        <row r="68">
          <cell r="A68">
            <v>42608</v>
          </cell>
          <cell r="D68">
            <v>95.83</v>
          </cell>
          <cell r="J68">
            <v>95.65</v>
          </cell>
          <cell r="P68">
            <v>95.03</v>
          </cell>
          <cell r="Q68">
            <v>94</v>
          </cell>
          <cell r="R68">
            <v>99</v>
          </cell>
          <cell r="S68">
            <v>81.5</v>
          </cell>
          <cell r="T68">
            <v>111.5</v>
          </cell>
          <cell r="X68">
            <v>1.66</v>
          </cell>
          <cell r="Z68">
            <v>1.24</v>
          </cell>
          <cell r="AB68">
            <v>1.75</v>
          </cell>
          <cell r="AC68">
            <v>1.8</v>
          </cell>
          <cell r="AF68">
            <v>-8</v>
          </cell>
          <cell r="AH68">
            <v>-7</v>
          </cell>
          <cell r="AJ68">
            <v>-4</v>
          </cell>
          <cell r="AK68">
            <v>20</v>
          </cell>
        </row>
        <row r="69">
          <cell r="A69">
            <v>42618</v>
          </cell>
          <cell r="D69">
            <v>96</v>
          </cell>
          <cell r="J69">
            <v>95.5</v>
          </cell>
          <cell r="P69">
            <v>93.95</v>
          </cell>
          <cell r="Q69">
            <v>94</v>
          </cell>
          <cell r="R69">
            <v>99</v>
          </cell>
          <cell r="S69">
            <v>81.5</v>
          </cell>
          <cell r="T69">
            <v>111.5</v>
          </cell>
          <cell r="X69">
            <v>1.83</v>
          </cell>
          <cell r="Z69">
            <v>0.9</v>
          </cell>
          <cell r="AB69">
            <v>0.99</v>
          </cell>
          <cell r="AC69">
            <v>1.8</v>
          </cell>
          <cell r="AF69">
            <v>-12</v>
          </cell>
          <cell r="AH69">
            <v>-16</v>
          </cell>
          <cell r="AJ69">
            <v>-5</v>
          </cell>
          <cell r="AK69">
            <v>20</v>
          </cell>
        </row>
        <row r="70">
          <cell r="A70">
            <v>42625</v>
          </cell>
          <cell r="J70">
            <v>94.79</v>
          </cell>
          <cell r="Q70">
            <v>94</v>
          </cell>
          <cell r="R70">
            <v>99</v>
          </cell>
          <cell r="S70">
            <v>81.5</v>
          </cell>
          <cell r="T70">
            <v>111.5</v>
          </cell>
          <cell r="Z70">
            <v>0.76</v>
          </cell>
          <cell r="AC70">
            <v>1.8</v>
          </cell>
          <cell r="AH70">
            <v>-11</v>
          </cell>
          <cell r="AK70">
            <v>20</v>
          </cell>
        </row>
        <row r="71">
          <cell r="A71">
            <v>42627</v>
          </cell>
          <cell r="J71">
            <v>93.47</v>
          </cell>
          <cell r="Q71">
            <v>94</v>
          </cell>
          <cell r="R71">
            <v>99</v>
          </cell>
          <cell r="S71">
            <v>81.5</v>
          </cell>
          <cell r="T71">
            <v>111.5</v>
          </cell>
          <cell r="Z71">
            <v>1.06</v>
          </cell>
          <cell r="AC71">
            <v>1.8</v>
          </cell>
          <cell r="AH71">
            <v>-2</v>
          </cell>
          <cell r="AK71">
            <v>20</v>
          </cell>
        </row>
        <row r="72">
          <cell r="A72">
            <v>42629</v>
          </cell>
          <cell r="J72">
            <v>92.37</v>
          </cell>
          <cell r="Q72">
            <v>94</v>
          </cell>
          <cell r="R72">
            <v>99</v>
          </cell>
          <cell r="S72">
            <v>81.5</v>
          </cell>
          <cell r="T72">
            <v>111.5</v>
          </cell>
          <cell r="AC72">
            <v>1.8</v>
          </cell>
          <cell r="AH72">
            <v>-19</v>
          </cell>
          <cell r="AK72">
            <v>20</v>
          </cell>
        </row>
        <row r="73">
          <cell r="A73">
            <v>42640</v>
          </cell>
          <cell r="J73">
            <v>97.1</v>
          </cell>
          <cell r="P73">
            <v>95.56</v>
          </cell>
          <cell r="Q73">
            <v>94</v>
          </cell>
          <cell r="R73">
            <v>99</v>
          </cell>
          <cell r="S73">
            <v>81.5</v>
          </cell>
          <cell r="T73">
            <v>111.5</v>
          </cell>
          <cell r="Z73">
            <v>1.8</v>
          </cell>
          <cell r="AC73">
            <v>1.8</v>
          </cell>
          <cell r="AH73">
            <v>-3</v>
          </cell>
          <cell r="AJ73">
            <v>4</v>
          </cell>
          <cell r="AK73">
            <v>20</v>
          </cell>
        </row>
        <row r="74">
          <cell r="A74">
            <v>42661</v>
          </cell>
          <cell r="J74">
            <v>95.12</v>
          </cell>
          <cell r="Q74">
            <v>94</v>
          </cell>
          <cell r="R74">
            <v>99</v>
          </cell>
          <cell r="S74">
            <v>81.5</v>
          </cell>
          <cell r="T74">
            <v>111.5</v>
          </cell>
          <cell r="Z74">
            <v>0.75</v>
          </cell>
          <cell r="AC74">
            <v>1.8</v>
          </cell>
          <cell r="AH74">
            <v>1</v>
          </cell>
          <cell r="AK74">
            <v>20</v>
          </cell>
        </row>
        <row r="75">
          <cell r="A75">
            <v>42668</v>
          </cell>
          <cell r="J75">
            <v>98.63</v>
          </cell>
          <cell r="Q75">
            <v>94</v>
          </cell>
          <cell r="R75">
            <v>99</v>
          </cell>
          <cell r="S75">
            <v>81.5</v>
          </cell>
          <cell r="T75">
            <v>111.5</v>
          </cell>
          <cell r="Z75">
            <v>1.44</v>
          </cell>
          <cell r="AC75">
            <v>1.8</v>
          </cell>
          <cell r="AH75">
            <v>-2</v>
          </cell>
          <cell r="AK75">
            <v>20</v>
          </cell>
        </row>
        <row r="76">
          <cell r="A76">
            <v>42668</v>
          </cell>
          <cell r="J76">
            <v>97.17</v>
          </cell>
          <cell r="Q76">
            <v>94</v>
          </cell>
          <cell r="R76">
            <v>99</v>
          </cell>
          <cell r="S76">
            <v>81.5</v>
          </cell>
          <cell r="T76">
            <v>111.5</v>
          </cell>
          <cell r="Z76">
            <v>0.61</v>
          </cell>
          <cell r="AC76">
            <v>1.8</v>
          </cell>
          <cell r="AH76">
            <v>-5</v>
          </cell>
          <cell r="AK76">
            <v>20</v>
          </cell>
        </row>
        <row r="77">
          <cell r="A77">
            <v>42675</v>
          </cell>
          <cell r="J77">
            <v>98.53</v>
          </cell>
          <cell r="Q77">
            <v>94</v>
          </cell>
          <cell r="R77">
            <v>99</v>
          </cell>
          <cell r="S77">
            <v>81.5</v>
          </cell>
          <cell r="T77">
            <v>111.5</v>
          </cell>
          <cell r="Z77">
            <v>0.98</v>
          </cell>
          <cell r="AC77">
            <v>1.8</v>
          </cell>
          <cell r="AH77">
            <v>-2</v>
          </cell>
          <cell r="AK77">
            <v>20</v>
          </cell>
        </row>
        <row r="78">
          <cell r="A78">
            <v>42695</v>
          </cell>
          <cell r="J78">
            <v>99.75</v>
          </cell>
          <cell r="Q78">
            <v>94</v>
          </cell>
          <cell r="R78">
            <v>99</v>
          </cell>
          <cell r="S78">
            <v>81.5</v>
          </cell>
          <cell r="T78">
            <v>111.5</v>
          </cell>
          <cell r="Z78">
            <v>1.19</v>
          </cell>
          <cell r="AC78">
            <v>1.8</v>
          </cell>
          <cell r="AH78">
            <v>-7</v>
          </cell>
          <cell r="AK78">
            <v>20</v>
          </cell>
        </row>
        <row r="79">
          <cell r="A79">
            <v>42696</v>
          </cell>
          <cell r="J79">
            <v>99.7</v>
          </cell>
          <cell r="Q79">
            <v>94</v>
          </cell>
          <cell r="R79">
            <v>99</v>
          </cell>
          <cell r="S79">
            <v>81.5</v>
          </cell>
          <cell r="T79">
            <v>111.5</v>
          </cell>
          <cell r="Z79">
            <v>0.73</v>
          </cell>
          <cell r="AC79">
            <v>1.8</v>
          </cell>
          <cell r="AH79">
            <v>-1</v>
          </cell>
          <cell r="AK79">
            <v>20</v>
          </cell>
        </row>
        <row r="80">
          <cell r="A80">
            <v>42717</v>
          </cell>
          <cell r="J80">
            <v>96.28</v>
          </cell>
          <cell r="Q80">
            <v>94</v>
          </cell>
          <cell r="R80">
            <v>99</v>
          </cell>
          <cell r="S80">
            <v>81.5</v>
          </cell>
          <cell r="T80">
            <v>111.5</v>
          </cell>
          <cell r="Z80">
            <v>1.46</v>
          </cell>
          <cell r="AC80">
            <v>1.8</v>
          </cell>
          <cell r="AH80">
            <v>-20</v>
          </cell>
          <cell r="AK80">
            <v>20</v>
          </cell>
        </row>
        <row r="81">
          <cell r="A81">
            <v>42719</v>
          </cell>
          <cell r="J81">
            <v>96.01</v>
          </cell>
          <cell r="Q81">
            <v>94</v>
          </cell>
          <cell r="R81">
            <v>99</v>
          </cell>
          <cell r="S81">
            <v>81.5</v>
          </cell>
          <cell r="T81">
            <v>111.5</v>
          </cell>
          <cell r="Z81">
            <v>0.67</v>
          </cell>
          <cell r="AC81">
            <v>1.8</v>
          </cell>
          <cell r="AH81">
            <v>1</v>
          </cell>
          <cell r="AK81">
            <v>20</v>
          </cell>
        </row>
        <row r="82">
          <cell r="A82">
            <v>42732</v>
          </cell>
          <cell r="J82">
            <v>97.52</v>
          </cell>
          <cell r="Q82">
            <v>94</v>
          </cell>
          <cell r="R82">
            <v>99</v>
          </cell>
          <cell r="S82">
            <v>81.5</v>
          </cell>
          <cell r="T82">
            <v>111.5</v>
          </cell>
          <cell r="Z82">
            <v>0.99</v>
          </cell>
          <cell r="AC82">
            <v>1.8</v>
          </cell>
          <cell r="AH82">
            <v>-4</v>
          </cell>
          <cell r="AK82">
            <v>20</v>
          </cell>
        </row>
        <row r="83">
          <cell r="A83">
            <v>42766</v>
          </cell>
          <cell r="J83">
            <v>97.53</v>
          </cell>
          <cell r="Q83">
            <v>94</v>
          </cell>
          <cell r="R83">
            <v>99</v>
          </cell>
          <cell r="S83">
            <v>81.5</v>
          </cell>
          <cell r="T83">
            <v>111.5</v>
          </cell>
          <cell r="Z83">
            <v>1.76</v>
          </cell>
          <cell r="AC83">
            <v>1.8</v>
          </cell>
          <cell r="AH83">
            <v>-4</v>
          </cell>
          <cell r="AK83">
            <v>20</v>
          </cell>
        </row>
        <row r="84">
          <cell r="A84">
            <v>42794</v>
          </cell>
          <cell r="J84">
            <v>97.83</v>
          </cell>
          <cell r="Q84">
            <v>94</v>
          </cell>
          <cell r="R84">
            <v>99</v>
          </cell>
          <cell r="S84">
            <v>81.5</v>
          </cell>
          <cell r="T84">
            <v>111.5</v>
          </cell>
          <cell r="Z84">
            <v>1.62</v>
          </cell>
          <cell r="AC84">
            <v>1.8</v>
          </cell>
          <cell r="AH84">
            <v>-7</v>
          </cell>
          <cell r="AK84">
            <v>20</v>
          </cell>
        </row>
        <row r="85">
          <cell r="A85">
            <v>42815</v>
          </cell>
          <cell r="J85">
            <v>97.53</v>
          </cell>
          <cell r="Q85">
            <v>94</v>
          </cell>
          <cell r="R85">
            <v>99</v>
          </cell>
          <cell r="S85">
            <v>81.5</v>
          </cell>
          <cell r="T85">
            <v>111.5</v>
          </cell>
          <cell r="Z85">
            <v>1.3</v>
          </cell>
          <cell r="AC85">
            <v>1.8</v>
          </cell>
          <cell r="AH85">
            <v>-11</v>
          </cell>
          <cell r="AK85">
            <v>20</v>
          </cell>
        </row>
        <row r="86">
          <cell r="A86">
            <v>42823</v>
          </cell>
          <cell r="J86">
            <v>97.42</v>
          </cell>
          <cell r="Q86">
            <v>94</v>
          </cell>
          <cell r="R86">
            <v>99</v>
          </cell>
          <cell r="S86">
            <v>81.5</v>
          </cell>
          <cell r="T86">
            <v>111.5</v>
          </cell>
          <cell r="Z86">
            <v>1.25</v>
          </cell>
          <cell r="AC86">
            <v>1.8</v>
          </cell>
          <cell r="AH86">
            <v>-5</v>
          </cell>
          <cell r="AK86">
            <v>20</v>
          </cell>
        </row>
        <row r="87">
          <cell r="A87">
            <v>42832</v>
          </cell>
          <cell r="J87">
            <v>96.39</v>
          </cell>
          <cell r="Q87">
            <v>94</v>
          </cell>
          <cell r="R87">
            <v>99</v>
          </cell>
          <cell r="S87">
            <v>81.5</v>
          </cell>
          <cell r="T87">
            <v>111.5</v>
          </cell>
          <cell r="Z87">
            <v>0.51</v>
          </cell>
          <cell r="AC87">
            <v>1.8</v>
          </cell>
          <cell r="AH87">
            <v>-9</v>
          </cell>
          <cell r="AK87">
            <v>20</v>
          </cell>
        </row>
        <row r="88">
          <cell r="A88">
            <v>42844</v>
          </cell>
          <cell r="J88">
            <v>97.36</v>
          </cell>
          <cell r="Q88">
            <v>94</v>
          </cell>
          <cell r="R88">
            <v>99</v>
          </cell>
          <cell r="S88">
            <v>81.5</v>
          </cell>
          <cell r="T88">
            <v>111.5</v>
          </cell>
          <cell r="Z88">
            <v>1.82</v>
          </cell>
          <cell r="AC88">
            <v>1.8</v>
          </cell>
          <cell r="AH88">
            <v>-7</v>
          </cell>
          <cell r="AK88">
            <v>20</v>
          </cell>
        </row>
        <row r="89">
          <cell r="A89">
            <v>42847</v>
          </cell>
          <cell r="J89">
            <v>96.13</v>
          </cell>
          <cell r="Q89">
            <v>94</v>
          </cell>
          <cell r="R89">
            <v>99</v>
          </cell>
          <cell r="S89">
            <v>81.5</v>
          </cell>
          <cell r="T89">
            <v>111.5</v>
          </cell>
          <cell r="Z89">
            <v>0.49</v>
          </cell>
          <cell r="AB89">
            <v>-10</v>
          </cell>
          <cell r="AC89">
            <v>1.8</v>
          </cell>
          <cell r="AH89">
            <v>-4</v>
          </cell>
          <cell r="AK89">
            <v>20</v>
          </cell>
        </row>
        <row r="90">
          <cell r="A90">
            <v>42870</v>
          </cell>
          <cell r="J90">
            <v>97.16</v>
          </cell>
          <cell r="Q90">
            <v>94</v>
          </cell>
          <cell r="R90">
            <v>99</v>
          </cell>
          <cell r="S90">
            <v>81.5</v>
          </cell>
          <cell r="T90">
            <v>111.5</v>
          </cell>
          <cell r="Z90">
            <v>0.8</v>
          </cell>
          <cell r="AC90">
            <v>1.8</v>
          </cell>
          <cell r="AH90">
            <v>-3</v>
          </cell>
          <cell r="AK90">
            <v>20</v>
          </cell>
        </row>
        <row r="91">
          <cell r="A91">
            <v>42891</v>
          </cell>
          <cell r="J91">
            <v>97.16</v>
          </cell>
          <cell r="Q91">
            <v>94</v>
          </cell>
          <cell r="R91">
            <v>99</v>
          </cell>
          <cell r="S91">
            <v>81.5</v>
          </cell>
          <cell r="T91">
            <v>111.5</v>
          </cell>
          <cell r="Z91">
            <v>0.97</v>
          </cell>
          <cell r="AC91">
            <v>1.8</v>
          </cell>
          <cell r="AH91">
            <v>-3</v>
          </cell>
          <cell r="AK91">
            <v>20</v>
          </cell>
        </row>
        <row r="92">
          <cell r="A92">
            <v>42905</v>
          </cell>
          <cell r="J92">
            <v>97.1</v>
          </cell>
          <cell r="Q92">
            <v>94</v>
          </cell>
          <cell r="R92">
            <v>99</v>
          </cell>
          <cell r="S92">
            <v>81.5</v>
          </cell>
          <cell r="T92">
            <v>111.5</v>
          </cell>
          <cell r="Z92">
            <v>1.32</v>
          </cell>
          <cell r="AC92">
            <v>1.8</v>
          </cell>
          <cell r="AH92">
            <v>-8</v>
          </cell>
          <cell r="AK92">
            <v>20</v>
          </cell>
        </row>
        <row r="93">
          <cell r="A93">
            <v>42916</v>
          </cell>
          <cell r="J93">
            <v>95.79</v>
          </cell>
          <cell r="Q93">
            <v>94</v>
          </cell>
          <cell r="R93">
            <v>99</v>
          </cell>
          <cell r="S93">
            <v>81.5</v>
          </cell>
          <cell r="T93">
            <v>111.5</v>
          </cell>
          <cell r="Z93">
            <v>0.52</v>
          </cell>
          <cell r="AC93">
            <v>1.8</v>
          </cell>
          <cell r="AH93">
            <v>-6</v>
          </cell>
          <cell r="AK93">
            <v>20</v>
          </cell>
        </row>
        <row r="94">
          <cell r="A94">
            <v>42933</v>
          </cell>
          <cell r="J94">
            <v>96.74</v>
          </cell>
          <cell r="Q94">
            <v>94</v>
          </cell>
          <cell r="R94">
            <v>99</v>
          </cell>
          <cell r="S94">
            <v>81.5</v>
          </cell>
          <cell r="T94">
            <v>111.5</v>
          </cell>
          <cell r="Z94">
            <v>0.65</v>
          </cell>
          <cell r="AC94">
            <v>1.8</v>
          </cell>
          <cell r="AH94">
            <v>-12</v>
          </cell>
          <cell r="AK94">
            <v>20</v>
          </cell>
        </row>
        <row r="95">
          <cell r="A95">
            <v>42943</v>
          </cell>
          <cell r="J95">
            <v>96.85</v>
          </cell>
          <cell r="Q95">
            <v>94</v>
          </cell>
          <cell r="R95">
            <v>99</v>
          </cell>
          <cell r="S95">
            <v>81.5</v>
          </cell>
          <cell r="T95">
            <v>111.5</v>
          </cell>
          <cell r="Z95">
            <v>0.76</v>
          </cell>
          <cell r="AC95">
            <v>1.8</v>
          </cell>
          <cell r="AH95">
            <v>0</v>
          </cell>
          <cell r="AK95">
            <v>20</v>
          </cell>
        </row>
        <row r="96">
          <cell r="A96">
            <v>42954</v>
          </cell>
          <cell r="J96">
            <v>96.74</v>
          </cell>
          <cell r="Q96">
            <v>94</v>
          </cell>
          <cell r="R96">
            <v>99</v>
          </cell>
          <cell r="S96">
            <v>81.5</v>
          </cell>
          <cell r="T96">
            <v>111.5</v>
          </cell>
          <cell r="Z96">
            <v>1.1100000000000001</v>
          </cell>
          <cell r="AC96">
            <v>1.8</v>
          </cell>
          <cell r="AH96">
            <v>-20</v>
          </cell>
          <cell r="AK96">
            <v>20</v>
          </cell>
        </row>
        <row r="97">
          <cell r="A97">
            <v>42961</v>
          </cell>
          <cell r="J97">
            <v>97.04</v>
          </cell>
          <cell r="Q97">
            <v>94</v>
          </cell>
          <cell r="R97">
            <v>99</v>
          </cell>
          <cell r="S97">
            <v>81.5</v>
          </cell>
          <cell r="T97">
            <v>111.5</v>
          </cell>
          <cell r="Z97">
            <v>1.47</v>
          </cell>
          <cell r="AC97">
            <v>1.8</v>
          </cell>
          <cell r="AH97">
            <v>-11</v>
          </cell>
          <cell r="AK97">
            <v>20</v>
          </cell>
        </row>
        <row r="98">
          <cell r="A98">
            <v>42975</v>
          </cell>
          <cell r="J98">
            <v>96.89</v>
          </cell>
          <cell r="Q98">
            <v>94</v>
          </cell>
          <cell r="R98">
            <v>99</v>
          </cell>
          <cell r="S98">
            <v>81.5</v>
          </cell>
          <cell r="T98">
            <v>111.5</v>
          </cell>
          <cell r="Z98">
            <v>0.7</v>
          </cell>
          <cell r="AC98">
            <v>1.8</v>
          </cell>
          <cell r="AH98">
            <v>5</v>
          </cell>
          <cell r="AK98">
            <v>20</v>
          </cell>
        </row>
        <row r="99">
          <cell r="A99">
            <v>42995</v>
          </cell>
          <cell r="J99">
            <v>96.06</v>
          </cell>
          <cell r="Q99">
            <v>94</v>
          </cell>
          <cell r="R99">
            <v>99</v>
          </cell>
          <cell r="S99">
            <v>81.5</v>
          </cell>
          <cell r="T99">
            <v>111.5</v>
          </cell>
          <cell r="Z99">
            <v>0.45</v>
          </cell>
          <cell r="AC99">
            <v>1.8</v>
          </cell>
          <cell r="AH99">
            <v>-7</v>
          </cell>
          <cell r="AK99">
            <v>20</v>
          </cell>
        </row>
        <row r="100">
          <cell r="A100">
            <v>43002</v>
          </cell>
          <cell r="J100">
            <v>96.08</v>
          </cell>
          <cell r="Q100">
            <v>94</v>
          </cell>
          <cell r="R100">
            <v>99</v>
          </cell>
          <cell r="S100">
            <v>81.5</v>
          </cell>
          <cell r="T100">
            <v>111.5</v>
          </cell>
          <cell r="Z100">
            <v>0.55000000000000004</v>
          </cell>
          <cell r="AC100">
            <v>1.8</v>
          </cell>
          <cell r="AH100">
            <v>-20</v>
          </cell>
          <cell r="AK100">
            <v>20</v>
          </cell>
        </row>
        <row r="101">
          <cell r="A101">
            <v>43018</v>
          </cell>
          <cell r="J101">
            <v>97.09</v>
          </cell>
          <cell r="Q101">
            <v>94</v>
          </cell>
          <cell r="R101">
            <v>99</v>
          </cell>
          <cell r="S101">
            <v>81.5</v>
          </cell>
          <cell r="T101">
            <v>111.5</v>
          </cell>
          <cell r="Z101">
            <v>1.17</v>
          </cell>
          <cell r="AC101">
            <v>1.8</v>
          </cell>
          <cell r="AH101">
            <v>-16</v>
          </cell>
          <cell r="AK101">
            <v>20</v>
          </cell>
        </row>
        <row r="102">
          <cell r="A102">
            <v>43027</v>
          </cell>
          <cell r="J102">
            <v>96.22</v>
          </cell>
          <cell r="Q102">
            <v>94</v>
          </cell>
          <cell r="R102">
            <v>99</v>
          </cell>
          <cell r="S102">
            <v>81.5</v>
          </cell>
          <cell r="T102">
            <v>111.5</v>
          </cell>
          <cell r="Z102">
            <v>0.47</v>
          </cell>
          <cell r="AC102">
            <v>1.8</v>
          </cell>
          <cell r="AH102">
            <v>-10</v>
          </cell>
          <cell r="AK102">
            <v>20</v>
          </cell>
        </row>
        <row r="103">
          <cell r="A103">
            <v>43032</v>
          </cell>
          <cell r="J103">
            <v>96.11</v>
          </cell>
          <cell r="Q103">
            <v>94</v>
          </cell>
          <cell r="R103">
            <v>99</v>
          </cell>
          <cell r="S103">
            <v>81.5</v>
          </cell>
          <cell r="T103">
            <v>111.5</v>
          </cell>
          <cell r="Z103">
            <v>0.62</v>
          </cell>
          <cell r="AC103">
            <v>1.8</v>
          </cell>
          <cell r="AH103">
            <v>-12</v>
          </cell>
          <cell r="AK103">
            <v>20</v>
          </cell>
        </row>
        <row r="104">
          <cell r="A104">
            <v>43068</v>
          </cell>
          <cell r="J104">
            <v>95.59</v>
          </cell>
          <cell r="Q104">
            <v>94</v>
          </cell>
          <cell r="R104">
            <v>99</v>
          </cell>
          <cell r="S104">
            <v>81.5</v>
          </cell>
          <cell r="T104">
            <v>111.5</v>
          </cell>
          <cell r="Z104">
            <v>0.57999999999999996</v>
          </cell>
          <cell r="AC104">
            <v>1.8</v>
          </cell>
          <cell r="AH104">
            <v>-4</v>
          </cell>
          <cell r="AK104">
            <v>20</v>
          </cell>
        </row>
        <row r="105">
          <cell r="A105">
            <v>43074</v>
          </cell>
          <cell r="J105">
            <v>95.43</v>
          </cell>
          <cell r="Q105">
            <v>94</v>
          </cell>
          <cell r="R105">
            <v>99</v>
          </cell>
          <cell r="S105">
            <v>81.5</v>
          </cell>
          <cell r="T105">
            <v>111.5</v>
          </cell>
          <cell r="Z105">
            <v>0.43</v>
          </cell>
          <cell r="AC105">
            <v>1.8</v>
          </cell>
          <cell r="AH105">
            <v>-7</v>
          </cell>
          <cell r="AK105">
            <v>20</v>
          </cell>
        </row>
        <row r="106">
          <cell r="A106">
            <v>43087</v>
          </cell>
          <cell r="J106">
            <v>97.2</v>
          </cell>
          <cell r="Q106">
            <v>94</v>
          </cell>
          <cell r="R106">
            <v>99</v>
          </cell>
          <cell r="S106">
            <v>81.5</v>
          </cell>
          <cell r="T106">
            <v>111.5</v>
          </cell>
          <cell r="Z106">
            <v>0.74</v>
          </cell>
          <cell r="AC106">
            <v>1.8</v>
          </cell>
          <cell r="AK106">
            <v>20</v>
          </cell>
        </row>
        <row r="107">
          <cell r="A107">
            <v>43133</v>
          </cell>
          <cell r="J107">
            <v>97.55</v>
          </cell>
          <cell r="Q107">
            <v>94</v>
          </cell>
          <cell r="R107">
            <v>99</v>
          </cell>
          <cell r="S107">
            <v>81.5</v>
          </cell>
          <cell r="T107">
            <v>111.5</v>
          </cell>
          <cell r="Z107">
            <v>0.32</v>
          </cell>
          <cell r="AC107">
            <v>1.8</v>
          </cell>
          <cell r="AH107">
            <v>1</v>
          </cell>
          <cell r="AK107">
            <v>20</v>
          </cell>
        </row>
        <row r="108">
          <cell r="A108">
            <v>43157</v>
          </cell>
          <cell r="J108">
            <v>97.71</v>
          </cell>
          <cell r="Q108">
            <v>94</v>
          </cell>
          <cell r="R108">
            <v>99</v>
          </cell>
          <cell r="S108">
            <v>81.5</v>
          </cell>
          <cell r="T108">
            <v>111.5</v>
          </cell>
          <cell r="Z108">
            <v>0.75</v>
          </cell>
          <cell r="AC108">
            <v>1.8</v>
          </cell>
          <cell r="AH108">
            <v>-11</v>
          </cell>
          <cell r="AK108">
            <v>20</v>
          </cell>
        </row>
        <row r="109">
          <cell r="A109">
            <v>43158</v>
          </cell>
          <cell r="J109">
            <v>97.04</v>
          </cell>
          <cell r="Q109">
            <v>94</v>
          </cell>
          <cell r="R109">
            <v>99</v>
          </cell>
          <cell r="S109">
            <v>81.5</v>
          </cell>
          <cell r="T109">
            <v>111.5</v>
          </cell>
          <cell r="Z109">
            <v>0.42</v>
          </cell>
          <cell r="AC109">
            <v>1.8</v>
          </cell>
          <cell r="AH109">
            <v>-12</v>
          </cell>
          <cell r="AK109">
            <v>20</v>
          </cell>
        </row>
        <row r="110">
          <cell r="A110">
            <v>43163</v>
          </cell>
          <cell r="J110">
            <v>97.67</v>
          </cell>
          <cell r="Q110">
            <v>94</v>
          </cell>
          <cell r="R110">
            <v>99</v>
          </cell>
          <cell r="S110">
            <v>81.5</v>
          </cell>
          <cell r="T110">
            <v>111.5</v>
          </cell>
          <cell r="Z110">
            <v>0.81</v>
          </cell>
          <cell r="AC110">
            <v>1.8</v>
          </cell>
          <cell r="AH110">
            <v>0</v>
          </cell>
          <cell r="AK110">
            <v>20</v>
          </cell>
        </row>
        <row r="111">
          <cell r="A111">
            <v>43178</v>
          </cell>
          <cell r="J111">
            <v>98.23</v>
          </cell>
          <cell r="Q111">
            <v>94</v>
          </cell>
          <cell r="R111">
            <v>99</v>
          </cell>
          <cell r="S111">
            <v>81.5</v>
          </cell>
          <cell r="T111">
            <v>111.5</v>
          </cell>
          <cell r="Z111">
            <v>0.72</v>
          </cell>
          <cell r="AC111">
            <v>1.8</v>
          </cell>
          <cell r="AH111">
            <v>-11</v>
          </cell>
          <cell r="AK111">
            <v>20</v>
          </cell>
        </row>
        <row r="112">
          <cell r="A112">
            <v>43179</v>
          </cell>
          <cell r="J112">
            <v>97.01</v>
          </cell>
          <cell r="Q112">
            <v>94</v>
          </cell>
          <cell r="R112">
            <v>99</v>
          </cell>
          <cell r="S112">
            <v>81.5</v>
          </cell>
          <cell r="T112">
            <v>111.5</v>
          </cell>
          <cell r="Z112">
            <v>0.42</v>
          </cell>
          <cell r="AC112">
            <v>1.8</v>
          </cell>
          <cell r="AH112">
            <v>-13</v>
          </cell>
          <cell r="AK112">
            <v>20</v>
          </cell>
        </row>
        <row r="113">
          <cell r="A113">
            <v>43181</v>
          </cell>
          <cell r="J113">
            <v>96.99</v>
          </cell>
          <cell r="Q113">
            <v>94</v>
          </cell>
          <cell r="R113">
            <v>99</v>
          </cell>
          <cell r="S113">
            <v>81.5</v>
          </cell>
          <cell r="T113">
            <v>111.5</v>
          </cell>
          <cell r="Z113">
            <v>0.5</v>
          </cell>
          <cell r="AC113">
            <v>1.8</v>
          </cell>
          <cell r="AH113">
            <v>-10</v>
          </cell>
          <cell r="AK113">
            <v>20</v>
          </cell>
        </row>
        <row r="114">
          <cell r="A114">
            <v>43186</v>
          </cell>
          <cell r="J114">
            <v>96.99</v>
          </cell>
          <cell r="Q114">
            <v>94</v>
          </cell>
          <cell r="R114">
            <v>99</v>
          </cell>
          <cell r="S114">
            <v>81.5</v>
          </cell>
          <cell r="T114">
            <v>111.5</v>
          </cell>
          <cell r="Z114">
            <v>0.5</v>
          </cell>
          <cell r="AC114">
            <v>1.8</v>
          </cell>
          <cell r="AH114">
            <v>-10</v>
          </cell>
          <cell r="AK114">
            <v>20</v>
          </cell>
        </row>
        <row r="115">
          <cell r="A115">
            <v>43202</v>
          </cell>
          <cell r="J115">
            <v>97.9</v>
          </cell>
          <cell r="Q115">
            <v>94</v>
          </cell>
          <cell r="R115">
            <v>99</v>
          </cell>
          <cell r="S115">
            <v>81.5</v>
          </cell>
          <cell r="T115">
            <v>111.5</v>
          </cell>
          <cell r="Z115">
            <v>0.65</v>
          </cell>
          <cell r="AC115">
            <v>1.8</v>
          </cell>
          <cell r="AH115">
            <v>-10</v>
          </cell>
          <cell r="AK115">
            <v>20</v>
          </cell>
        </row>
        <row r="116">
          <cell r="A116">
            <v>43213</v>
          </cell>
          <cell r="J116">
            <v>99.52</v>
          </cell>
          <cell r="Q116">
            <v>94</v>
          </cell>
          <cell r="R116">
            <v>99</v>
          </cell>
          <cell r="S116">
            <v>81.5</v>
          </cell>
          <cell r="T116">
            <v>111.5</v>
          </cell>
          <cell r="Z116">
            <v>0.91</v>
          </cell>
          <cell r="AC116">
            <v>1.8</v>
          </cell>
          <cell r="AH116">
            <v>-2</v>
          </cell>
          <cell r="AK116">
            <v>20</v>
          </cell>
        </row>
        <row r="117">
          <cell r="A117">
            <v>43228</v>
          </cell>
          <cell r="J117">
            <v>97.61</v>
          </cell>
          <cell r="Q117">
            <v>94</v>
          </cell>
          <cell r="R117">
            <v>99</v>
          </cell>
          <cell r="S117">
            <v>81.5</v>
          </cell>
          <cell r="T117">
            <v>111.5</v>
          </cell>
          <cell r="Z117">
            <v>0.89</v>
          </cell>
          <cell r="AC117">
            <v>1.8</v>
          </cell>
          <cell r="AH117">
            <v>-4</v>
          </cell>
          <cell r="AK117">
            <v>20</v>
          </cell>
        </row>
        <row r="118">
          <cell r="A118">
            <v>43234</v>
          </cell>
          <cell r="J118">
            <v>97.18</v>
          </cell>
          <cell r="Q118">
            <v>94</v>
          </cell>
          <cell r="R118">
            <v>99</v>
          </cell>
          <cell r="S118">
            <v>81.5</v>
          </cell>
          <cell r="T118">
            <v>111.5</v>
          </cell>
          <cell r="Z118">
            <v>0.85</v>
          </cell>
          <cell r="AC118">
            <v>1.8</v>
          </cell>
          <cell r="AH118">
            <v>-6</v>
          </cell>
          <cell r="AK118">
            <v>20</v>
          </cell>
        </row>
        <row r="119">
          <cell r="A119">
            <v>43235</v>
          </cell>
          <cell r="J119">
            <v>97.08</v>
          </cell>
          <cell r="Q119">
            <v>94</v>
          </cell>
          <cell r="R119">
            <v>99</v>
          </cell>
          <cell r="S119">
            <v>81.5</v>
          </cell>
          <cell r="T119">
            <v>111.5</v>
          </cell>
          <cell r="Z119">
            <v>1.6</v>
          </cell>
          <cell r="AC119">
            <v>1.8</v>
          </cell>
          <cell r="AH119">
            <v>-8</v>
          </cell>
          <cell r="AK119">
            <v>20</v>
          </cell>
        </row>
        <row r="120">
          <cell r="A120">
            <v>43236</v>
          </cell>
          <cell r="J120">
            <v>97.59</v>
          </cell>
          <cell r="Q120">
            <v>94</v>
          </cell>
          <cell r="R120">
            <v>99</v>
          </cell>
          <cell r="S120">
            <v>81.5</v>
          </cell>
          <cell r="T120">
            <v>111.5</v>
          </cell>
          <cell r="Z120">
            <v>0.7</v>
          </cell>
          <cell r="AC120">
            <v>1.8</v>
          </cell>
          <cell r="AH120">
            <v>2</v>
          </cell>
          <cell r="AK120">
            <v>20</v>
          </cell>
        </row>
        <row r="121">
          <cell r="A121">
            <v>43245</v>
          </cell>
          <cell r="J121">
            <v>97.38</v>
          </cell>
          <cell r="Q121">
            <v>94</v>
          </cell>
          <cell r="R121">
            <v>99</v>
          </cell>
          <cell r="S121">
            <v>81.5</v>
          </cell>
          <cell r="T121">
            <v>111.5</v>
          </cell>
          <cell r="Z121">
            <v>0.5</v>
          </cell>
          <cell r="AC121">
            <v>1.8</v>
          </cell>
          <cell r="AH121">
            <v>-8</v>
          </cell>
          <cell r="AK121">
            <v>20</v>
          </cell>
        </row>
        <row r="122">
          <cell r="A122">
            <v>43255</v>
          </cell>
          <cell r="J122">
            <v>97.59</v>
          </cell>
          <cell r="Q122">
            <v>94</v>
          </cell>
          <cell r="R122">
            <v>99</v>
          </cell>
          <cell r="S122">
            <v>81.5</v>
          </cell>
          <cell r="T122">
            <v>111.5</v>
          </cell>
          <cell r="Z122">
            <v>0.38</v>
          </cell>
          <cell r="AC122">
            <v>1.8</v>
          </cell>
          <cell r="AH122">
            <v>-18</v>
          </cell>
          <cell r="AK122">
            <v>20</v>
          </cell>
        </row>
        <row r="123">
          <cell r="A123">
            <v>43257</v>
          </cell>
          <cell r="J123">
            <v>98.23</v>
          </cell>
          <cell r="Q123">
            <v>94</v>
          </cell>
          <cell r="R123">
            <v>99</v>
          </cell>
          <cell r="S123">
            <v>81.5</v>
          </cell>
          <cell r="T123">
            <v>111.5</v>
          </cell>
          <cell r="Z123">
            <v>0.37</v>
          </cell>
          <cell r="AC123">
            <v>1.8</v>
          </cell>
          <cell r="AH123">
            <v>-20</v>
          </cell>
          <cell r="AK123">
            <v>20</v>
          </cell>
        </row>
        <row r="124">
          <cell r="A124">
            <v>43269</v>
          </cell>
          <cell r="J124">
            <v>97.41</v>
          </cell>
          <cell r="Q124">
            <v>94</v>
          </cell>
          <cell r="R124">
            <v>99</v>
          </cell>
          <cell r="S124">
            <v>81.5</v>
          </cell>
          <cell r="T124">
            <v>111.5</v>
          </cell>
          <cell r="Z124">
            <v>0.57999999999999996</v>
          </cell>
          <cell r="AC124">
            <v>1.8</v>
          </cell>
          <cell r="AH124">
            <v>-4</v>
          </cell>
          <cell r="AK124">
            <v>20</v>
          </cell>
        </row>
        <row r="125">
          <cell r="A125">
            <v>43271</v>
          </cell>
          <cell r="J125">
            <v>96.89</v>
          </cell>
          <cell r="Q125">
            <v>94</v>
          </cell>
          <cell r="R125">
            <v>99</v>
          </cell>
          <cell r="S125">
            <v>81.5</v>
          </cell>
          <cell r="T125">
            <v>111.5</v>
          </cell>
          <cell r="Z125">
            <v>0.44</v>
          </cell>
          <cell r="AC125">
            <v>1.8</v>
          </cell>
          <cell r="AH125">
            <v>-1</v>
          </cell>
          <cell r="AK125">
            <v>20</v>
          </cell>
        </row>
        <row r="126">
          <cell r="A126">
            <v>43276</v>
          </cell>
          <cell r="J126">
            <v>97.28</v>
          </cell>
          <cell r="Q126">
            <v>94</v>
          </cell>
          <cell r="R126">
            <v>99</v>
          </cell>
          <cell r="S126">
            <v>81.5</v>
          </cell>
          <cell r="T126">
            <v>111.5</v>
          </cell>
          <cell r="Z126">
            <v>0.33</v>
          </cell>
          <cell r="AC126">
            <v>1.8</v>
          </cell>
          <cell r="AH126">
            <v>0</v>
          </cell>
          <cell r="AK126">
            <v>20</v>
          </cell>
        </row>
        <row r="127">
          <cell r="A127">
            <v>43277</v>
          </cell>
          <cell r="J127">
            <v>97.54</v>
          </cell>
          <cell r="Q127">
            <v>94</v>
          </cell>
          <cell r="R127">
            <v>99</v>
          </cell>
          <cell r="S127">
            <v>81.5</v>
          </cell>
          <cell r="T127">
            <v>111.5</v>
          </cell>
          <cell r="Z127">
            <v>0.73</v>
          </cell>
          <cell r="AC127">
            <v>1.8</v>
          </cell>
          <cell r="AH127">
            <v>3</v>
          </cell>
          <cell r="AK127">
            <v>20</v>
          </cell>
        </row>
        <row r="128">
          <cell r="A128">
            <v>43287</v>
          </cell>
          <cell r="J128">
            <v>98.31</v>
          </cell>
          <cell r="Q128">
            <v>94</v>
          </cell>
          <cell r="R128">
            <v>99</v>
          </cell>
          <cell r="S128">
            <v>81.5</v>
          </cell>
          <cell r="T128">
            <v>111.5</v>
          </cell>
          <cell r="Z128">
            <v>0.49</v>
          </cell>
          <cell r="AC128">
            <v>1.8</v>
          </cell>
          <cell r="AH128">
            <v>-3</v>
          </cell>
          <cell r="AK128">
            <v>20</v>
          </cell>
        </row>
        <row r="129">
          <cell r="A129">
            <v>43304</v>
          </cell>
          <cell r="J129">
            <v>98.39</v>
          </cell>
          <cell r="Q129">
            <v>94</v>
          </cell>
          <cell r="R129">
            <v>99</v>
          </cell>
          <cell r="S129">
            <v>81.5</v>
          </cell>
          <cell r="T129">
            <v>111.5</v>
          </cell>
          <cell r="Z129">
            <v>0.4</v>
          </cell>
          <cell r="AC129">
            <v>1.8</v>
          </cell>
          <cell r="AH129">
            <v>-16</v>
          </cell>
          <cell r="AK129">
            <v>20</v>
          </cell>
        </row>
        <row r="130">
          <cell r="A130">
            <v>43313</v>
          </cell>
          <cell r="J130">
            <v>98.63</v>
          </cell>
          <cell r="Q130">
            <v>94</v>
          </cell>
          <cell r="R130">
            <v>99</v>
          </cell>
          <cell r="S130">
            <v>81.5</v>
          </cell>
          <cell r="T130">
            <v>111.5</v>
          </cell>
          <cell r="Z130">
            <v>0.83</v>
          </cell>
          <cell r="AC130">
            <v>1.8</v>
          </cell>
          <cell r="AH130">
            <v>-10</v>
          </cell>
          <cell r="AK130">
            <v>20</v>
          </cell>
        </row>
        <row r="131">
          <cell r="A131">
            <v>43332</v>
          </cell>
          <cell r="J131">
            <v>98.55</v>
          </cell>
          <cell r="Q131">
            <v>94</v>
          </cell>
          <cell r="R131">
            <v>99</v>
          </cell>
          <cell r="S131">
            <v>81.5</v>
          </cell>
          <cell r="T131">
            <v>111.5</v>
          </cell>
          <cell r="Z131">
            <v>0.87</v>
          </cell>
          <cell r="AC131">
            <v>1.8</v>
          </cell>
          <cell r="AH131">
            <v>-5</v>
          </cell>
          <cell r="AK131">
            <v>20</v>
          </cell>
        </row>
        <row r="132">
          <cell r="A132">
            <v>43336</v>
          </cell>
          <cell r="J132">
            <v>97.34</v>
          </cell>
          <cell r="Q132">
            <v>94</v>
          </cell>
          <cell r="R132">
            <v>99</v>
          </cell>
          <cell r="S132">
            <v>81.5</v>
          </cell>
          <cell r="T132">
            <v>111.5</v>
          </cell>
          <cell r="Z132">
            <v>0.66</v>
          </cell>
          <cell r="AC132">
            <v>1.8</v>
          </cell>
          <cell r="AH132">
            <v>-18</v>
          </cell>
          <cell r="AK132">
            <v>20</v>
          </cell>
        </row>
        <row r="133">
          <cell r="A133">
            <v>43349</v>
          </cell>
          <cell r="J133">
            <v>98.86</v>
          </cell>
          <cell r="Q133">
            <v>94</v>
          </cell>
          <cell r="R133">
            <v>99</v>
          </cell>
          <cell r="S133">
            <v>81.5</v>
          </cell>
          <cell r="T133">
            <v>111.5</v>
          </cell>
          <cell r="Z133">
            <v>0.62</v>
          </cell>
          <cell r="AC133">
            <v>1.8</v>
          </cell>
          <cell r="AH133">
            <v>-9</v>
          </cell>
          <cell r="AK133">
            <v>20</v>
          </cell>
        </row>
        <row r="134">
          <cell r="A134">
            <v>43381</v>
          </cell>
          <cell r="J134">
            <v>99.39</v>
          </cell>
          <cell r="Q134">
            <v>94</v>
          </cell>
          <cell r="R134">
            <v>99</v>
          </cell>
          <cell r="S134">
            <v>81.5</v>
          </cell>
          <cell r="T134">
            <v>111.5</v>
          </cell>
          <cell r="Z134">
            <v>0.81</v>
          </cell>
          <cell r="AC134">
            <v>1.8</v>
          </cell>
          <cell r="AH134">
            <v>0</v>
          </cell>
          <cell r="AK134">
            <v>20</v>
          </cell>
        </row>
        <row r="135">
          <cell r="A135">
            <v>43387</v>
          </cell>
          <cell r="J135">
            <v>98.45</v>
          </cell>
          <cell r="Q135">
            <v>94</v>
          </cell>
          <cell r="R135">
            <v>99</v>
          </cell>
          <cell r="S135">
            <v>81.5</v>
          </cell>
          <cell r="T135">
            <v>111.5</v>
          </cell>
          <cell r="Z135">
            <v>2.11</v>
          </cell>
          <cell r="AC135">
            <v>1.8</v>
          </cell>
          <cell r="AH135">
            <v>1</v>
          </cell>
          <cell r="AK135">
            <v>20</v>
          </cell>
        </row>
        <row r="136">
          <cell r="A136">
            <v>43389</v>
          </cell>
          <cell r="J136">
            <v>98.2</v>
          </cell>
          <cell r="Q136">
            <v>94</v>
          </cell>
          <cell r="R136">
            <v>99</v>
          </cell>
          <cell r="S136">
            <v>81.5</v>
          </cell>
          <cell r="T136">
            <v>111.5</v>
          </cell>
          <cell r="Z136">
            <v>0.86</v>
          </cell>
          <cell r="AC136">
            <v>1.8</v>
          </cell>
          <cell r="AH136">
            <v>-8</v>
          </cell>
          <cell r="AK136">
            <v>20</v>
          </cell>
        </row>
        <row r="137">
          <cell r="A137">
            <v>43402</v>
          </cell>
          <cell r="J137">
            <v>99.46</v>
          </cell>
          <cell r="Q137">
            <v>94</v>
          </cell>
          <cell r="R137">
            <v>99</v>
          </cell>
          <cell r="S137">
            <v>81.5</v>
          </cell>
          <cell r="T137">
            <v>111.5</v>
          </cell>
          <cell r="Z137">
            <v>0.64</v>
          </cell>
          <cell r="AC137">
            <v>1.8</v>
          </cell>
          <cell r="AH137">
            <v>-20</v>
          </cell>
          <cell r="AK137">
            <v>20</v>
          </cell>
        </row>
        <row r="138">
          <cell r="A138">
            <v>43409</v>
          </cell>
          <cell r="D138">
            <v>99.14</v>
          </cell>
          <cell r="J138">
            <v>99.21</v>
          </cell>
          <cell r="Q138">
            <v>94</v>
          </cell>
          <cell r="R138">
            <v>99</v>
          </cell>
          <cell r="S138">
            <v>81.5</v>
          </cell>
          <cell r="T138">
            <v>111.5</v>
          </cell>
          <cell r="X138">
            <v>1.2</v>
          </cell>
          <cell r="Z138">
            <v>0.68</v>
          </cell>
          <cell r="AB138">
            <v>1.18</v>
          </cell>
          <cell r="AC138">
            <v>1.8</v>
          </cell>
          <cell r="AF138">
            <v>-5</v>
          </cell>
          <cell r="AH138">
            <v>-2</v>
          </cell>
          <cell r="AJ138">
            <v>1</v>
          </cell>
          <cell r="AK138">
            <v>20</v>
          </cell>
        </row>
        <row r="139">
          <cell r="A139">
            <v>43423</v>
          </cell>
          <cell r="J139">
            <v>99.41</v>
          </cell>
          <cell r="Q139">
            <v>94</v>
          </cell>
          <cell r="R139">
            <v>99</v>
          </cell>
          <cell r="S139">
            <v>81.5</v>
          </cell>
          <cell r="T139">
            <v>111.5</v>
          </cell>
          <cell r="Z139">
            <v>0.79</v>
          </cell>
          <cell r="AC139">
            <v>1.8</v>
          </cell>
          <cell r="AH139">
            <v>-5</v>
          </cell>
          <cell r="AK139">
            <v>20</v>
          </cell>
        </row>
        <row r="140">
          <cell r="A140">
            <v>43453</v>
          </cell>
          <cell r="J140">
            <v>99.49</v>
          </cell>
          <cell r="Q140">
            <v>94</v>
          </cell>
          <cell r="R140">
            <v>99</v>
          </cell>
          <cell r="S140">
            <v>81.5</v>
          </cell>
          <cell r="T140">
            <v>111.5</v>
          </cell>
          <cell r="Z140">
            <v>0.68</v>
          </cell>
          <cell r="AC140">
            <v>1.8</v>
          </cell>
          <cell r="AH140">
            <v>-18</v>
          </cell>
          <cell r="AK140">
            <v>20</v>
          </cell>
        </row>
        <row r="141">
          <cell r="A141">
            <v>39813</v>
          </cell>
          <cell r="J141">
            <v>99.87</v>
          </cell>
          <cell r="Q141">
            <v>94</v>
          </cell>
          <cell r="R141">
            <v>99</v>
          </cell>
          <cell r="S141">
            <v>81.5</v>
          </cell>
          <cell r="T141">
            <v>111.5</v>
          </cell>
          <cell r="Z141">
            <v>0.75</v>
          </cell>
          <cell r="AC141">
            <v>1.8</v>
          </cell>
          <cell r="AH141">
            <v>-15</v>
          </cell>
          <cell r="AK141">
            <v>20</v>
          </cell>
        </row>
        <row r="142">
          <cell r="A142">
            <v>43465</v>
          </cell>
          <cell r="J142">
            <v>99.49</v>
          </cell>
          <cell r="Q142">
            <v>94</v>
          </cell>
          <cell r="R142">
            <v>99</v>
          </cell>
          <cell r="S142">
            <v>81.5</v>
          </cell>
          <cell r="T142">
            <v>111.5</v>
          </cell>
          <cell r="Z142">
            <v>0.75</v>
          </cell>
          <cell r="AC142">
            <v>1.8</v>
          </cell>
          <cell r="AH142">
            <v>0</v>
          </cell>
          <cell r="AK142">
            <v>20</v>
          </cell>
        </row>
        <row r="143">
          <cell r="A143">
            <v>43466</v>
          </cell>
          <cell r="D143">
            <v>99.18</v>
          </cell>
          <cell r="J143">
            <v>99.56</v>
          </cell>
          <cell r="P143">
            <v>100.96</v>
          </cell>
          <cell r="Q143">
            <v>94</v>
          </cell>
          <cell r="R143">
            <v>99</v>
          </cell>
          <cell r="S143">
            <v>81.5</v>
          </cell>
          <cell r="T143">
            <v>111.5</v>
          </cell>
          <cell r="X143">
            <v>0.79</v>
          </cell>
          <cell r="Z143">
            <v>0.8</v>
          </cell>
          <cell r="AB143">
            <v>0.99</v>
          </cell>
          <cell r="AC143">
            <v>1.8</v>
          </cell>
          <cell r="AK143">
            <v>20</v>
          </cell>
        </row>
        <row r="144">
          <cell r="A144">
            <v>43481</v>
          </cell>
          <cell r="D144">
            <v>95.82</v>
          </cell>
          <cell r="J144">
            <v>96.07</v>
          </cell>
          <cell r="P144">
            <v>98.31</v>
          </cell>
          <cell r="Q144">
            <v>94</v>
          </cell>
          <cell r="R144">
            <v>99</v>
          </cell>
          <cell r="S144">
            <v>81.5</v>
          </cell>
          <cell r="T144">
            <v>111.5</v>
          </cell>
          <cell r="X144">
            <v>0.6</v>
          </cell>
          <cell r="Z144">
            <v>0.82</v>
          </cell>
          <cell r="AB144">
            <v>0.71</v>
          </cell>
          <cell r="AC144">
            <v>1.8</v>
          </cell>
          <cell r="AK144">
            <v>20</v>
          </cell>
        </row>
        <row r="145">
          <cell r="A145">
            <v>43493</v>
          </cell>
          <cell r="D145">
            <v>99.16</v>
          </cell>
          <cell r="J145">
            <v>100.11</v>
          </cell>
          <cell r="P145">
            <v>101.86</v>
          </cell>
          <cell r="Q145">
            <v>94</v>
          </cell>
          <cell r="R145">
            <v>99</v>
          </cell>
          <cell r="S145">
            <v>81.5</v>
          </cell>
          <cell r="T145">
            <v>111.5</v>
          </cell>
          <cell r="X145">
            <v>0.78</v>
          </cell>
          <cell r="Z145">
            <v>0.31</v>
          </cell>
          <cell r="AB145">
            <v>0.52</v>
          </cell>
          <cell r="AC145">
            <v>1.8</v>
          </cell>
          <cell r="AF145">
            <v>-8</v>
          </cell>
          <cell r="AH145">
            <v>4</v>
          </cell>
          <cell r="AJ145">
            <v>-5</v>
          </cell>
          <cell r="AK145">
            <v>20</v>
          </cell>
        </row>
        <row r="146">
          <cell r="A146">
            <v>43494</v>
          </cell>
          <cell r="D146">
            <v>98.87</v>
          </cell>
          <cell r="J146">
            <v>98.87</v>
          </cell>
          <cell r="P146">
            <v>101.38</v>
          </cell>
          <cell r="Q146">
            <v>94</v>
          </cell>
          <cell r="R146">
            <v>99</v>
          </cell>
          <cell r="S146">
            <v>81.5</v>
          </cell>
          <cell r="T146">
            <v>111.5</v>
          </cell>
          <cell r="AC146">
            <v>1.8</v>
          </cell>
          <cell r="AK146">
            <v>20</v>
          </cell>
        </row>
        <row r="147">
          <cell r="A147">
            <v>43495</v>
          </cell>
          <cell r="D147">
            <v>98.94</v>
          </cell>
          <cell r="J147">
            <v>98.39</v>
          </cell>
          <cell r="P147">
            <v>100.8</v>
          </cell>
          <cell r="Q147">
            <v>94</v>
          </cell>
          <cell r="R147">
            <v>99</v>
          </cell>
          <cell r="S147">
            <v>81.5</v>
          </cell>
          <cell r="T147">
            <v>111.5</v>
          </cell>
          <cell r="X147">
            <v>1.3</v>
          </cell>
          <cell r="Z147">
            <v>0.95</v>
          </cell>
          <cell r="AB147">
            <v>0.78</v>
          </cell>
          <cell r="AC147">
            <v>1.8</v>
          </cell>
          <cell r="AF147">
            <v>-4</v>
          </cell>
          <cell r="AH147">
            <v>-13</v>
          </cell>
          <cell r="AJ147">
            <v>-4</v>
          </cell>
          <cell r="AK147">
            <v>20</v>
          </cell>
        </row>
        <row r="148">
          <cell r="A148">
            <v>43497</v>
          </cell>
          <cell r="D148">
            <v>99.49</v>
          </cell>
          <cell r="J148">
            <v>99</v>
          </cell>
          <cell r="P148">
            <v>100.63</v>
          </cell>
          <cell r="Q148">
            <v>94</v>
          </cell>
          <cell r="R148">
            <v>99</v>
          </cell>
          <cell r="S148">
            <v>81.5</v>
          </cell>
          <cell r="T148">
            <v>111.5</v>
          </cell>
          <cell r="X148">
            <v>1.4</v>
          </cell>
          <cell r="Z148">
            <v>0.98</v>
          </cell>
          <cell r="AB148">
            <v>1.25</v>
          </cell>
          <cell r="AC148">
            <v>1.8</v>
          </cell>
          <cell r="AK148">
            <v>20</v>
          </cell>
        </row>
        <row r="149">
          <cell r="A149">
            <v>43500</v>
          </cell>
          <cell r="D149">
            <v>95.47</v>
          </cell>
          <cell r="J149">
            <v>95.77</v>
          </cell>
          <cell r="P149">
            <v>96.79</v>
          </cell>
          <cell r="Q149">
            <v>94</v>
          </cell>
          <cell r="R149">
            <v>99</v>
          </cell>
          <cell r="S149">
            <v>81.5</v>
          </cell>
          <cell r="T149">
            <v>111.5</v>
          </cell>
          <cell r="X149">
            <v>1.49</v>
          </cell>
          <cell r="Z149">
            <v>0.66</v>
          </cell>
          <cell r="AB149">
            <v>1.1399999999999999</v>
          </cell>
          <cell r="AC149">
            <v>1.8</v>
          </cell>
          <cell r="AF149">
            <v>-4</v>
          </cell>
          <cell r="AH149">
            <v>24</v>
          </cell>
          <cell r="AJ149">
            <v>-4</v>
          </cell>
          <cell r="AK149">
            <v>20</v>
          </cell>
        </row>
        <row r="150">
          <cell r="A150">
            <v>43501</v>
          </cell>
          <cell r="D150">
            <v>96</v>
          </cell>
          <cell r="J150">
            <v>95.89</v>
          </cell>
          <cell r="P150">
            <v>96.71</v>
          </cell>
          <cell r="Q150">
            <v>94</v>
          </cell>
          <cell r="R150">
            <v>99</v>
          </cell>
          <cell r="S150">
            <v>81.5</v>
          </cell>
          <cell r="T150">
            <v>111.5</v>
          </cell>
          <cell r="X150">
            <v>1</v>
          </cell>
          <cell r="Z150">
            <v>0.89</v>
          </cell>
          <cell r="AB150">
            <v>0.98</v>
          </cell>
          <cell r="AC150">
            <v>1.8</v>
          </cell>
          <cell r="AK150">
            <v>20</v>
          </cell>
        </row>
        <row r="151">
          <cell r="A151">
            <v>43507</v>
          </cell>
          <cell r="D151">
            <v>95.82</v>
          </cell>
          <cell r="J151">
            <v>95.93</v>
          </cell>
          <cell r="P151">
            <v>96.7</v>
          </cell>
          <cell r="Q151">
            <v>94</v>
          </cell>
          <cell r="R151">
            <v>99</v>
          </cell>
          <cell r="S151">
            <v>81.5</v>
          </cell>
          <cell r="T151">
            <v>111.5</v>
          </cell>
          <cell r="X151">
            <v>1.02</v>
          </cell>
          <cell r="Z151">
            <v>0.61</v>
          </cell>
          <cell r="AB151">
            <v>1.29</v>
          </cell>
          <cell r="AC151">
            <v>1.8</v>
          </cell>
          <cell r="AF151">
            <v>-10</v>
          </cell>
          <cell r="AH151">
            <v>-11</v>
          </cell>
          <cell r="AJ151">
            <v>-2</v>
          </cell>
          <cell r="AK151">
            <v>20</v>
          </cell>
        </row>
        <row r="152">
          <cell r="A152">
            <v>43509</v>
          </cell>
          <cell r="D152">
            <v>94.92</v>
          </cell>
          <cell r="J152">
            <v>95.12</v>
          </cell>
          <cell r="P152">
            <v>97.04</v>
          </cell>
          <cell r="Q152">
            <v>94</v>
          </cell>
          <cell r="R152">
            <v>99</v>
          </cell>
          <cell r="S152">
            <v>81.5</v>
          </cell>
          <cell r="T152">
            <v>111.5</v>
          </cell>
          <cell r="X152">
            <v>1.23</v>
          </cell>
          <cell r="Z152">
            <v>0.95</v>
          </cell>
          <cell r="AB152">
            <v>0.96</v>
          </cell>
          <cell r="AC152">
            <v>1.8</v>
          </cell>
          <cell r="AF152">
            <v>-10</v>
          </cell>
          <cell r="AH152">
            <v>-8</v>
          </cell>
          <cell r="AJ152">
            <v>-6</v>
          </cell>
          <cell r="AK152">
            <v>20</v>
          </cell>
        </row>
        <row r="153">
          <cell r="A153">
            <v>43527</v>
          </cell>
          <cell r="X153">
            <v>2.31</v>
          </cell>
          <cell r="Z153">
            <v>1.43</v>
          </cell>
          <cell r="AB153">
            <v>2.48</v>
          </cell>
          <cell r="AC153">
            <v>1.8</v>
          </cell>
          <cell r="AF153">
            <v>-4</v>
          </cell>
          <cell r="AH153">
            <v>-10</v>
          </cell>
          <cell r="AJ153">
            <v>0</v>
          </cell>
          <cell r="AK153">
            <v>20</v>
          </cell>
        </row>
        <row r="154">
          <cell r="A154">
            <v>43533</v>
          </cell>
          <cell r="X154">
            <v>1.41</v>
          </cell>
          <cell r="Z154">
            <v>0.95</v>
          </cell>
          <cell r="AB154">
            <v>1.88</v>
          </cell>
          <cell r="AC154">
            <v>1.8</v>
          </cell>
          <cell r="AF154">
            <v>1</v>
          </cell>
          <cell r="AH154">
            <v>-13</v>
          </cell>
          <cell r="AJ154">
            <v>-3</v>
          </cell>
          <cell r="AK154">
            <v>20</v>
          </cell>
        </row>
        <row r="155">
          <cell r="A155">
            <v>43543</v>
          </cell>
          <cell r="X155">
            <v>1.1499999999999999</v>
          </cell>
          <cell r="Z155">
            <v>1.91</v>
          </cell>
          <cell r="AB155">
            <v>1.02</v>
          </cell>
          <cell r="AC155">
            <v>1.8</v>
          </cell>
          <cell r="AF155">
            <v>-7</v>
          </cell>
          <cell r="AH155">
            <v>-2</v>
          </cell>
          <cell r="AJ155">
            <v>-15</v>
          </cell>
          <cell r="AK155">
            <v>20</v>
          </cell>
        </row>
        <row r="156">
          <cell r="A156">
            <v>43549</v>
          </cell>
          <cell r="X156">
            <v>1.31</v>
          </cell>
          <cell r="Z156">
            <v>1</v>
          </cell>
          <cell r="AB156">
            <v>1.25</v>
          </cell>
          <cell r="AC156">
            <v>1.8</v>
          </cell>
          <cell r="AF156">
            <v>-11</v>
          </cell>
          <cell r="AH156">
            <v>-8</v>
          </cell>
          <cell r="AJ156">
            <v>-7</v>
          </cell>
          <cell r="AK156">
            <v>20</v>
          </cell>
        </row>
        <row r="157">
          <cell r="A157">
            <v>43560</v>
          </cell>
          <cell r="Z157">
            <v>0.79</v>
          </cell>
          <cell r="AC157">
            <v>1.8</v>
          </cell>
          <cell r="AH157">
            <v>-2</v>
          </cell>
          <cell r="AK157">
            <v>20</v>
          </cell>
        </row>
        <row r="158">
          <cell r="A158">
            <v>43577</v>
          </cell>
          <cell r="Z158">
            <v>0.93</v>
          </cell>
          <cell r="AC158">
            <v>1.8</v>
          </cell>
          <cell r="AH158">
            <v>-9</v>
          </cell>
          <cell r="AK158">
            <v>20</v>
          </cell>
        </row>
        <row r="159">
          <cell r="A159">
            <v>43580</v>
          </cell>
          <cell r="Z159">
            <v>0.81</v>
          </cell>
          <cell r="AC159">
            <v>1.8</v>
          </cell>
          <cell r="AH159">
            <v>0.93</v>
          </cell>
          <cell r="AK159">
            <v>20</v>
          </cell>
        </row>
        <row r="160">
          <cell r="A160">
            <v>43587</v>
          </cell>
          <cell r="X160">
            <v>1.02</v>
          </cell>
          <cell r="Z160">
            <v>0.74</v>
          </cell>
          <cell r="AB160">
            <v>1.1399999999999999</v>
          </cell>
          <cell r="AC160">
            <v>1.8</v>
          </cell>
          <cell r="AF160">
            <v>-5</v>
          </cell>
          <cell r="AH160">
            <v>-5</v>
          </cell>
          <cell r="AJ160">
            <v>-5</v>
          </cell>
          <cell r="AK160">
            <v>20</v>
          </cell>
        </row>
        <row r="161">
          <cell r="AC161">
            <v>1.8</v>
          </cell>
          <cell r="AK161">
            <v>20</v>
          </cell>
        </row>
        <row r="162">
          <cell r="AC162">
            <v>1.8</v>
          </cell>
          <cell r="AK162">
            <v>20</v>
          </cell>
        </row>
        <row r="163">
          <cell r="AC163">
            <v>1.8</v>
          </cell>
          <cell r="AK163">
            <v>20</v>
          </cell>
        </row>
        <row r="164">
          <cell r="AC164">
            <v>1.8</v>
          </cell>
          <cell r="AK164">
            <v>20</v>
          </cell>
        </row>
        <row r="165">
          <cell r="AC165">
            <v>1.8</v>
          </cell>
          <cell r="AK165">
            <v>20</v>
          </cell>
        </row>
        <row r="166">
          <cell r="AC166">
            <v>1.8</v>
          </cell>
          <cell r="AK166">
            <v>20</v>
          </cell>
        </row>
        <row r="167">
          <cell r="AC167">
            <v>1.8</v>
          </cell>
          <cell r="AK167">
            <v>20</v>
          </cell>
        </row>
        <row r="168">
          <cell r="AC168">
            <v>1.8</v>
          </cell>
          <cell r="AK168">
            <v>20</v>
          </cell>
        </row>
        <row r="169">
          <cell r="AC169">
            <v>1.8</v>
          </cell>
          <cell r="AK169">
            <v>20</v>
          </cell>
        </row>
        <row r="170">
          <cell r="AC170">
            <v>1.8</v>
          </cell>
          <cell r="AK170">
            <v>20</v>
          </cell>
        </row>
      </sheetData>
      <sheetData sheetId="8" refreshError="1"/>
      <sheetData sheetId="9">
        <row r="5">
          <cell r="A5">
            <v>41256</v>
          </cell>
          <cell r="D5">
            <v>235.40600000000001</v>
          </cell>
          <cell r="J5">
            <v>236.7</v>
          </cell>
          <cell r="P5">
            <v>237.22900000000001</v>
          </cell>
          <cell r="Q5">
            <v>229</v>
          </cell>
          <cell r="R5">
            <v>239</v>
          </cell>
          <cell r="U5">
            <v>0.71572687692471149</v>
          </cell>
          <cell r="W5">
            <v>0.32310518868920685</v>
          </cell>
          <cell r="Y5">
            <v>1.027974384900578</v>
          </cell>
          <cell r="Z5">
            <v>2</v>
          </cell>
          <cell r="AC5">
            <v>-1</v>
          </cell>
          <cell r="AE5">
            <v>-1</v>
          </cell>
          <cell r="AG5">
            <v>-3</v>
          </cell>
          <cell r="AH5">
            <v>20</v>
          </cell>
        </row>
        <row r="6">
          <cell r="A6">
            <v>41257</v>
          </cell>
          <cell r="D6">
            <v>235.16900000000001</v>
          </cell>
          <cell r="J6">
            <v>236.358</v>
          </cell>
          <cell r="P6">
            <v>237.15700000000001</v>
          </cell>
          <cell r="Q6">
            <v>229</v>
          </cell>
          <cell r="R6">
            <v>239</v>
          </cell>
          <cell r="U6">
            <v>0.95986409004035056</v>
          </cell>
          <cell r="W6">
            <v>0.46079053054322094</v>
          </cell>
          <cell r="Y6">
            <v>1.1653145084817198</v>
          </cell>
          <cell r="Z6">
            <v>2</v>
          </cell>
          <cell r="AC6">
            <v>-1</v>
          </cell>
          <cell r="AE6">
            <v>-1</v>
          </cell>
          <cell r="AG6">
            <v>-3</v>
          </cell>
          <cell r="AH6">
            <v>20</v>
          </cell>
        </row>
        <row r="7">
          <cell r="A7">
            <v>41258</v>
          </cell>
          <cell r="D7">
            <v>235.28399999999999</v>
          </cell>
          <cell r="J7">
            <v>236.47</v>
          </cell>
          <cell r="P7">
            <v>236.81100000000001</v>
          </cell>
          <cell r="Q7">
            <v>229</v>
          </cell>
          <cell r="R7">
            <v>239</v>
          </cell>
          <cell r="U7">
            <v>0.99337748344371002</v>
          </cell>
          <cell r="W7">
            <v>0.46900747876790444</v>
          </cell>
          <cell r="Y7">
            <v>1.1677416635049096</v>
          </cell>
          <cell r="Z7">
            <v>2</v>
          </cell>
          <cell r="AC7">
            <v>-1</v>
          </cell>
          <cell r="AE7">
            <v>0</v>
          </cell>
          <cell r="AG7">
            <v>0</v>
          </cell>
          <cell r="AH7">
            <v>20</v>
          </cell>
        </row>
        <row r="8">
          <cell r="A8">
            <v>41260</v>
          </cell>
          <cell r="D8">
            <v>235.31100000000001</v>
          </cell>
          <cell r="J8">
            <v>238.64099999999999</v>
          </cell>
          <cell r="P8">
            <v>236.804</v>
          </cell>
          <cell r="Q8">
            <v>229</v>
          </cell>
          <cell r="R8">
            <v>239</v>
          </cell>
          <cell r="U8">
            <v>1.0487877372510717</v>
          </cell>
          <cell r="W8">
            <v>0.44348707551951222</v>
          </cell>
          <cell r="Y8">
            <v>1.2498682685214475</v>
          </cell>
          <cell r="Z8">
            <v>2</v>
          </cell>
          <cell r="AC8">
            <v>-3</v>
          </cell>
          <cell r="AE8">
            <v>0</v>
          </cell>
          <cell r="AG8">
            <v>-1</v>
          </cell>
          <cell r="AH8">
            <v>20</v>
          </cell>
        </row>
        <row r="9">
          <cell r="A9">
            <v>41291</v>
          </cell>
          <cell r="D9">
            <v>235.02</v>
          </cell>
          <cell r="J9">
            <v>236.72</v>
          </cell>
          <cell r="P9">
            <v>237.06</v>
          </cell>
          <cell r="Q9">
            <v>229</v>
          </cell>
          <cell r="R9">
            <v>239</v>
          </cell>
          <cell r="U9">
            <v>0.65720909458281129</v>
          </cell>
          <cell r="W9">
            <v>0.33789491468153288</v>
          </cell>
          <cell r="Y9">
            <v>0.83746440248918874</v>
          </cell>
          <cell r="Z9">
            <v>2</v>
          </cell>
          <cell r="AC9">
            <v>-3</v>
          </cell>
          <cell r="AE9">
            <v>-1</v>
          </cell>
          <cell r="AG9">
            <v>-5</v>
          </cell>
          <cell r="AH9">
            <v>20</v>
          </cell>
        </row>
        <row r="10">
          <cell r="A10">
            <v>41313</v>
          </cell>
          <cell r="D10">
            <v>235.93</v>
          </cell>
          <cell r="J10">
            <v>237.2</v>
          </cell>
          <cell r="P10">
            <v>237.1</v>
          </cell>
          <cell r="Q10">
            <v>229</v>
          </cell>
          <cell r="R10">
            <v>239</v>
          </cell>
          <cell r="U10">
            <v>0.56992732896883358</v>
          </cell>
          <cell r="W10">
            <v>0.23185228901442179</v>
          </cell>
          <cell r="Y10">
            <v>0.76081687706801271</v>
          </cell>
          <cell r="Z10">
            <v>2</v>
          </cell>
          <cell r="AC10">
            <v>-1</v>
          </cell>
          <cell r="AE10">
            <v>0</v>
          </cell>
          <cell r="AG10">
            <v>-4</v>
          </cell>
          <cell r="AH10">
            <v>20</v>
          </cell>
        </row>
        <row r="11">
          <cell r="A11">
            <v>41347</v>
          </cell>
          <cell r="D11">
            <v>242.41</v>
          </cell>
          <cell r="J11">
            <v>243.97</v>
          </cell>
          <cell r="P11">
            <v>243.47</v>
          </cell>
          <cell r="Q11">
            <v>229</v>
          </cell>
          <cell r="R11">
            <v>239</v>
          </cell>
          <cell r="U11">
            <v>0.63744036848165697</v>
          </cell>
          <cell r="W11">
            <v>0.28855008697431628</v>
          </cell>
          <cell r="Y11">
            <v>0.76760894929687029</v>
          </cell>
          <cell r="Z11">
            <v>2</v>
          </cell>
          <cell r="AC11">
            <v>0</v>
          </cell>
          <cell r="AE11">
            <v>-3</v>
          </cell>
          <cell r="AG11">
            <v>0</v>
          </cell>
          <cell r="AH11">
            <v>20</v>
          </cell>
        </row>
        <row r="12">
          <cell r="A12">
            <v>41366</v>
          </cell>
          <cell r="D12">
            <v>233.93</v>
          </cell>
          <cell r="J12">
            <v>235.52</v>
          </cell>
          <cell r="P12">
            <v>235.7</v>
          </cell>
          <cell r="Q12">
            <v>229</v>
          </cell>
          <cell r="R12">
            <v>239</v>
          </cell>
          <cell r="U12">
            <v>0.29350461525373162</v>
          </cell>
          <cell r="W12">
            <v>0.40513310001060482</v>
          </cell>
          <cell r="Y12">
            <v>0.82697201017811817</v>
          </cell>
          <cell r="Z12">
            <v>2</v>
          </cell>
          <cell r="AC12">
            <v>-1</v>
          </cell>
          <cell r="AE12">
            <v>-2</v>
          </cell>
          <cell r="AG12">
            <v>0</v>
          </cell>
          <cell r="AH12">
            <v>20</v>
          </cell>
        </row>
        <row r="13">
          <cell r="A13">
            <v>41386</v>
          </cell>
          <cell r="D13">
            <v>234.12</v>
          </cell>
          <cell r="J13">
            <v>235.69</v>
          </cell>
          <cell r="P13">
            <v>235.44</v>
          </cell>
          <cell r="Q13">
            <v>229</v>
          </cell>
          <cell r="R13">
            <v>239</v>
          </cell>
          <cell r="U13">
            <v>0.59525079473448228</v>
          </cell>
          <cell r="W13">
            <v>0.31807964714364478</v>
          </cell>
          <cell r="Y13">
            <v>0.78733473398272702</v>
          </cell>
          <cell r="Z13">
            <v>2</v>
          </cell>
          <cell r="AC13">
            <v>0</v>
          </cell>
          <cell r="AE13">
            <v>1</v>
          </cell>
          <cell r="AG13">
            <v>2</v>
          </cell>
          <cell r="AH13">
            <v>20</v>
          </cell>
        </row>
        <row r="14">
          <cell r="A14">
            <v>41403</v>
          </cell>
          <cell r="D14">
            <v>233.03</v>
          </cell>
          <cell r="J14">
            <v>234.77</v>
          </cell>
          <cell r="P14">
            <v>234.37</v>
          </cell>
          <cell r="Q14">
            <v>229</v>
          </cell>
          <cell r="R14">
            <v>239</v>
          </cell>
          <cell r="U14">
            <v>0.53202900416183763</v>
          </cell>
          <cell r="W14">
            <v>0.33199965948752924</v>
          </cell>
          <cell r="Y14">
            <v>0.72476125511595701</v>
          </cell>
          <cell r="Z14">
            <v>2</v>
          </cell>
          <cell r="AC14">
            <v>-1</v>
          </cell>
          <cell r="AE14">
            <v>-2</v>
          </cell>
          <cell r="AG14">
            <v>1</v>
          </cell>
          <cell r="AH14">
            <v>20</v>
          </cell>
        </row>
        <row r="15">
          <cell r="A15">
            <v>41424</v>
          </cell>
          <cell r="D15">
            <v>233.23699999999999</v>
          </cell>
          <cell r="J15">
            <v>235.38</v>
          </cell>
          <cell r="P15">
            <v>235.11199999999999</v>
          </cell>
          <cell r="Q15">
            <v>229</v>
          </cell>
          <cell r="R15">
            <v>239</v>
          </cell>
          <cell r="U15">
            <v>0.67840862884413455</v>
          </cell>
          <cell r="W15">
            <v>0.314105012946224</v>
          </cell>
          <cell r="Y15">
            <v>0.70551234646606176</v>
          </cell>
          <cell r="Z15">
            <v>2</v>
          </cell>
          <cell r="AC15">
            <v>1</v>
          </cell>
          <cell r="AE15">
            <v>-1</v>
          </cell>
          <cell r="AG15">
            <v>2</v>
          </cell>
          <cell r="AH15">
            <v>20</v>
          </cell>
        </row>
        <row r="16">
          <cell r="A16">
            <v>41456</v>
          </cell>
          <cell r="D16">
            <v>232.20599999999999</v>
          </cell>
          <cell r="J16">
            <v>234.934</v>
          </cell>
          <cell r="P16">
            <v>234.93700000000001</v>
          </cell>
          <cell r="Q16">
            <v>229</v>
          </cell>
          <cell r="R16">
            <v>239</v>
          </cell>
          <cell r="U16">
            <v>0.46800000000000003</v>
          </cell>
          <cell r="W16">
            <v>0.22600000000000001</v>
          </cell>
          <cell r="Y16">
            <v>0.72</v>
          </cell>
          <cell r="Z16">
            <v>2</v>
          </cell>
          <cell r="AH16">
            <v>20</v>
          </cell>
        </row>
        <row r="17">
          <cell r="A17">
            <v>41484</v>
          </cell>
          <cell r="D17">
            <v>233.22</v>
          </cell>
          <cell r="J17">
            <v>235.35</v>
          </cell>
          <cell r="P17">
            <v>235.83</v>
          </cell>
          <cell r="Q17">
            <v>229</v>
          </cell>
          <cell r="R17">
            <v>239</v>
          </cell>
          <cell r="U17">
            <v>0.65541466758053513</v>
          </cell>
          <cell r="W17">
            <v>0.40332852169483008</v>
          </cell>
          <cell r="Y17">
            <v>0.78576723498888246</v>
          </cell>
          <cell r="Z17">
            <v>2</v>
          </cell>
          <cell r="AC17">
            <v>0</v>
          </cell>
          <cell r="AE17">
            <v>-1</v>
          </cell>
          <cell r="AH17">
            <v>20</v>
          </cell>
        </row>
        <row r="18">
          <cell r="A18">
            <v>41488</v>
          </cell>
          <cell r="D18">
            <v>233.43</v>
          </cell>
          <cell r="J18">
            <v>235.75</v>
          </cell>
          <cell r="P18">
            <v>235.52</v>
          </cell>
          <cell r="Q18">
            <v>229</v>
          </cell>
          <cell r="R18">
            <v>239</v>
          </cell>
          <cell r="U18">
            <v>0.49022755977993721</v>
          </cell>
          <cell r="W18">
            <v>0.24385589177039496</v>
          </cell>
          <cell r="Y18">
            <v>0.63821215783558949</v>
          </cell>
          <cell r="Z18">
            <v>2</v>
          </cell>
          <cell r="AC18">
            <v>5</v>
          </cell>
          <cell r="AE18">
            <v>6</v>
          </cell>
          <cell r="AG18">
            <v>9</v>
          </cell>
          <cell r="AH18">
            <v>20</v>
          </cell>
        </row>
        <row r="19">
          <cell r="A19">
            <v>41488</v>
          </cell>
          <cell r="D19">
            <v>232.79</v>
          </cell>
          <cell r="J19">
            <v>234.84</v>
          </cell>
          <cell r="P19">
            <v>234.87</v>
          </cell>
          <cell r="Q19">
            <v>229</v>
          </cell>
          <cell r="R19">
            <v>239</v>
          </cell>
          <cell r="U19">
            <v>0.56256978441981786</v>
          </cell>
          <cell r="W19">
            <v>0.27872933466669553</v>
          </cell>
          <cell r="Y19">
            <v>0.6336920001701225</v>
          </cell>
          <cell r="Z19">
            <v>2</v>
          </cell>
          <cell r="AH19">
            <v>20</v>
          </cell>
        </row>
        <row r="20">
          <cell r="A20">
            <v>41500</v>
          </cell>
          <cell r="D20">
            <v>234.68</v>
          </cell>
          <cell r="J20">
            <v>236.25</v>
          </cell>
          <cell r="P20">
            <v>235.9</v>
          </cell>
          <cell r="Q20">
            <v>229</v>
          </cell>
          <cell r="R20">
            <v>239</v>
          </cell>
          <cell r="U20">
            <v>0.76070000000000004</v>
          </cell>
          <cell r="W20">
            <v>0.72995780590716874</v>
          </cell>
          <cell r="Y20">
            <v>0.66886800440268079</v>
          </cell>
          <cell r="Z20">
            <v>2</v>
          </cell>
          <cell r="AC20">
            <v>2</v>
          </cell>
          <cell r="AE20">
            <v>4</v>
          </cell>
          <cell r="AG20">
            <v>2</v>
          </cell>
          <cell r="AH20">
            <v>20</v>
          </cell>
        </row>
        <row r="21">
          <cell r="A21">
            <v>41522</v>
          </cell>
          <cell r="D21">
            <v>256.99</v>
          </cell>
          <cell r="J21">
            <v>254.83</v>
          </cell>
          <cell r="P21">
            <v>256.33</v>
          </cell>
          <cell r="Q21">
            <v>229</v>
          </cell>
          <cell r="R21">
            <v>239</v>
          </cell>
          <cell r="U21">
            <v>1.2682888815289586</v>
          </cell>
          <cell r="W21">
            <v>1.7156138588508694</v>
          </cell>
          <cell r="Y21">
            <v>1.6138789688347694</v>
          </cell>
          <cell r="Z21">
            <v>2</v>
          </cell>
          <cell r="AH21">
            <v>20</v>
          </cell>
        </row>
        <row r="22">
          <cell r="A22">
            <v>41522</v>
          </cell>
          <cell r="D22">
            <v>240.16</v>
          </cell>
          <cell r="J22">
            <v>237.64</v>
          </cell>
          <cell r="P22">
            <v>242.65</v>
          </cell>
          <cell r="Q22">
            <v>229</v>
          </cell>
          <cell r="R22">
            <v>239</v>
          </cell>
          <cell r="U22">
            <v>0.4560124934929719</v>
          </cell>
          <cell r="W22">
            <v>0.64328348765106858</v>
          </cell>
          <cell r="Y22">
            <v>0.86479123237910416</v>
          </cell>
          <cell r="Z22">
            <v>2</v>
          </cell>
          <cell r="AH22">
            <v>20</v>
          </cell>
        </row>
        <row r="23">
          <cell r="A23">
            <v>41536</v>
          </cell>
          <cell r="D23">
            <v>237.28</v>
          </cell>
          <cell r="J23">
            <v>236.36</v>
          </cell>
          <cell r="P23">
            <v>235.87</v>
          </cell>
          <cell r="Q23">
            <v>229</v>
          </cell>
          <cell r="R23">
            <v>239</v>
          </cell>
          <cell r="U23">
            <v>0.93844239650772654</v>
          </cell>
          <cell r="W23">
            <v>0.13970619364125073</v>
          </cell>
          <cell r="Y23">
            <v>0.56980660467283739</v>
          </cell>
          <cell r="Z23">
            <v>2</v>
          </cell>
          <cell r="AC23">
            <v>-1</v>
          </cell>
          <cell r="AE23">
            <v>0</v>
          </cell>
          <cell r="AH23">
            <v>20</v>
          </cell>
        </row>
        <row r="24">
          <cell r="A24">
            <v>41550</v>
          </cell>
          <cell r="D24">
            <v>232.93</v>
          </cell>
          <cell r="J24">
            <v>235.59</v>
          </cell>
          <cell r="P24">
            <v>235.44</v>
          </cell>
          <cell r="Q24">
            <v>229</v>
          </cell>
          <cell r="R24">
            <v>239</v>
          </cell>
          <cell r="U24">
            <v>0.55563898483255814</v>
          </cell>
          <cell r="W24">
            <v>0.31173788569610839</v>
          </cell>
          <cell r="Y24">
            <v>0.67952093773889166</v>
          </cell>
          <cell r="Z24">
            <v>2</v>
          </cell>
          <cell r="AH24">
            <v>20</v>
          </cell>
        </row>
        <row r="25">
          <cell r="A25">
            <v>41576</v>
          </cell>
          <cell r="D25">
            <v>235.84</v>
          </cell>
          <cell r="J25">
            <v>237.61</v>
          </cell>
          <cell r="P25">
            <v>237.58</v>
          </cell>
          <cell r="Q25">
            <v>229</v>
          </cell>
          <cell r="R25">
            <v>239</v>
          </cell>
          <cell r="U25">
            <v>0.56351156681637082</v>
          </cell>
          <cell r="W25">
            <v>0.1661933312296186</v>
          </cell>
          <cell r="Y25">
            <v>0.55562571031695629</v>
          </cell>
          <cell r="Z25">
            <v>2</v>
          </cell>
          <cell r="AC25">
            <v>29</v>
          </cell>
          <cell r="AE25">
            <v>8</v>
          </cell>
          <cell r="AH25">
            <v>20</v>
          </cell>
        </row>
        <row r="26">
          <cell r="A26">
            <v>41600</v>
          </cell>
          <cell r="D26">
            <v>235.02</v>
          </cell>
          <cell r="J26">
            <v>237.53</v>
          </cell>
          <cell r="P26">
            <v>236.81</v>
          </cell>
          <cell r="Q26">
            <v>229</v>
          </cell>
          <cell r="R26">
            <v>239</v>
          </cell>
          <cell r="U26">
            <v>1.6364015863076609</v>
          </cell>
          <cell r="W26">
            <v>0.15367450476811775</v>
          </cell>
          <cell r="Y26">
            <v>0.70281336400666605</v>
          </cell>
          <cell r="Z26">
            <v>2</v>
          </cell>
          <cell r="AC26">
            <v>8</v>
          </cell>
          <cell r="AE26">
            <v>0</v>
          </cell>
          <cell r="AH26">
            <v>20</v>
          </cell>
        </row>
        <row r="27">
          <cell r="A27">
            <v>41614</v>
          </cell>
          <cell r="D27">
            <v>233.52</v>
          </cell>
          <cell r="J27">
            <v>236.22</v>
          </cell>
          <cell r="P27">
            <v>235.53</v>
          </cell>
          <cell r="Q27">
            <v>229</v>
          </cell>
          <cell r="R27">
            <v>239</v>
          </cell>
          <cell r="U27">
            <v>0.56265109214213793</v>
          </cell>
          <cell r="W27">
            <v>0.24544031145529105</v>
          </cell>
          <cell r="Y27">
            <v>0.73627702688365959</v>
          </cell>
          <cell r="Z27">
            <v>2</v>
          </cell>
          <cell r="AC27">
            <v>10</v>
          </cell>
          <cell r="AE27">
            <v>4</v>
          </cell>
          <cell r="AH27">
            <v>20</v>
          </cell>
        </row>
        <row r="28">
          <cell r="A28">
            <v>41627</v>
          </cell>
          <cell r="J28">
            <v>236.15</v>
          </cell>
          <cell r="Q28">
            <v>229</v>
          </cell>
          <cell r="R28">
            <v>239</v>
          </cell>
          <cell r="W28">
            <v>0.29624613821998508</v>
          </cell>
          <cell r="Z28">
            <v>2</v>
          </cell>
          <cell r="AH28">
            <v>20</v>
          </cell>
        </row>
        <row r="29">
          <cell r="A29">
            <v>41670</v>
          </cell>
          <cell r="J29">
            <v>236.06</v>
          </cell>
          <cell r="Q29">
            <v>229</v>
          </cell>
          <cell r="R29">
            <v>239</v>
          </cell>
          <cell r="W29">
            <v>0.28149935445637025</v>
          </cell>
          <cell r="Z29">
            <v>2</v>
          </cell>
          <cell r="AE29">
            <v>0</v>
          </cell>
          <cell r="AH29">
            <v>20</v>
          </cell>
        </row>
        <row r="30">
          <cell r="A30">
            <v>41711</v>
          </cell>
          <cell r="J30">
            <v>236.36</v>
          </cell>
          <cell r="Q30">
            <v>229</v>
          </cell>
          <cell r="R30">
            <v>239</v>
          </cell>
          <cell r="W30">
            <v>0.2600587775123136</v>
          </cell>
          <cell r="Z30">
            <v>2</v>
          </cell>
          <cell r="AE30">
            <v>-1</v>
          </cell>
          <cell r="AH30">
            <v>20</v>
          </cell>
        </row>
        <row r="31">
          <cell r="A31">
            <v>41766</v>
          </cell>
          <cell r="J31">
            <v>234.88</v>
          </cell>
          <cell r="Q31">
            <v>229</v>
          </cell>
          <cell r="R31">
            <v>239</v>
          </cell>
          <cell r="W31">
            <v>0.29337982057060152</v>
          </cell>
          <cell r="Z31">
            <v>2</v>
          </cell>
          <cell r="AH31">
            <v>20</v>
          </cell>
        </row>
        <row r="32">
          <cell r="A32">
            <v>41793</v>
          </cell>
          <cell r="J32">
            <v>234.76</v>
          </cell>
          <cell r="Q32">
            <v>229</v>
          </cell>
          <cell r="R32">
            <v>239</v>
          </cell>
          <cell r="W32">
            <v>0.28939864663574366</v>
          </cell>
          <cell r="Z32">
            <v>2</v>
          </cell>
          <cell r="AE32">
            <v>4</v>
          </cell>
          <cell r="AH32">
            <v>20</v>
          </cell>
        </row>
        <row r="33">
          <cell r="A33">
            <v>41807</v>
          </cell>
          <cell r="J33">
            <v>233.96</v>
          </cell>
          <cell r="Q33">
            <v>229</v>
          </cell>
          <cell r="R33">
            <v>239</v>
          </cell>
          <cell r="W33">
            <v>0.29042453233108084</v>
          </cell>
          <cell r="Z33">
            <v>2</v>
          </cell>
          <cell r="AE33">
            <v>2</v>
          </cell>
          <cell r="AH33">
            <v>20</v>
          </cell>
        </row>
        <row r="34">
          <cell r="A34">
            <v>41827</v>
          </cell>
          <cell r="J34">
            <v>234.79</v>
          </cell>
          <cell r="Q34">
            <v>229</v>
          </cell>
          <cell r="R34">
            <v>239</v>
          </cell>
          <cell r="W34">
            <v>0.28101847909393285</v>
          </cell>
          <cell r="Z34">
            <v>2</v>
          </cell>
          <cell r="AE34">
            <v>-11</v>
          </cell>
          <cell r="AH34">
            <v>20</v>
          </cell>
        </row>
        <row r="35">
          <cell r="A35">
            <v>41844</v>
          </cell>
          <cell r="J35">
            <v>235.04</v>
          </cell>
          <cell r="Q35">
            <v>229</v>
          </cell>
          <cell r="R35">
            <v>239</v>
          </cell>
          <cell r="W35">
            <v>0.35526623694343734</v>
          </cell>
          <cell r="Z35">
            <v>2</v>
          </cell>
          <cell r="AE35">
            <v>-2</v>
          </cell>
          <cell r="AH35">
            <v>20</v>
          </cell>
        </row>
        <row r="36">
          <cell r="A36">
            <v>41877</v>
          </cell>
          <cell r="J36">
            <v>234.06</v>
          </cell>
          <cell r="Q36">
            <v>229</v>
          </cell>
          <cell r="R36">
            <v>239</v>
          </cell>
          <cell r="W36">
            <v>0.25620222895938949</v>
          </cell>
          <cell r="Z36">
            <v>2</v>
          </cell>
          <cell r="AE36">
            <v>0</v>
          </cell>
          <cell r="AH36">
            <v>20</v>
          </cell>
        </row>
        <row r="37">
          <cell r="A37">
            <v>41738</v>
          </cell>
          <cell r="J37">
            <v>234.63</v>
          </cell>
          <cell r="Q37">
            <v>229</v>
          </cell>
          <cell r="R37">
            <v>239</v>
          </cell>
          <cell r="W37">
            <v>0.25345573044237557</v>
          </cell>
          <cell r="Z37">
            <v>2</v>
          </cell>
          <cell r="AE37">
            <v>41</v>
          </cell>
          <cell r="AH37">
            <v>20</v>
          </cell>
        </row>
        <row r="38">
          <cell r="A38">
            <v>41898</v>
          </cell>
          <cell r="J38">
            <v>234.64</v>
          </cell>
          <cell r="Q38">
            <v>229</v>
          </cell>
          <cell r="R38">
            <v>239</v>
          </cell>
          <cell r="W38">
            <v>0.22582019599488756</v>
          </cell>
          <cell r="Z38">
            <v>2</v>
          </cell>
          <cell r="AH38">
            <v>20</v>
          </cell>
        </row>
        <row r="39">
          <cell r="A39">
            <v>41967</v>
          </cell>
          <cell r="J39">
            <v>237.58</v>
          </cell>
          <cell r="Q39">
            <v>229</v>
          </cell>
          <cell r="R39">
            <v>239</v>
          </cell>
          <cell r="W39">
            <v>0.31556359658349814</v>
          </cell>
          <cell r="Z39">
            <v>2</v>
          </cell>
          <cell r="AH39">
            <v>20</v>
          </cell>
        </row>
        <row r="40">
          <cell r="A40">
            <v>41989</v>
          </cell>
          <cell r="J40">
            <v>237.45</v>
          </cell>
          <cell r="Q40">
            <v>229</v>
          </cell>
          <cell r="R40">
            <v>239</v>
          </cell>
          <cell r="W40">
            <v>0.3115789473684249</v>
          </cell>
          <cell r="Z40">
            <v>2</v>
          </cell>
          <cell r="AH40">
            <v>20</v>
          </cell>
        </row>
        <row r="41">
          <cell r="A41">
            <v>42003</v>
          </cell>
          <cell r="J41">
            <v>235.59</v>
          </cell>
          <cell r="Q41">
            <v>229</v>
          </cell>
          <cell r="R41">
            <v>239</v>
          </cell>
          <cell r="W41">
            <v>0.25661145632303528</v>
          </cell>
          <cell r="Z41">
            <v>2</v>
          </cell>
          <cell r="AE41">
            <v>-4</v>
          </cell>
          <cell r="AH41">
            <v>20</v>
          </cell>
        </row>
        <row r="42">
          <cell r="A42">
            <v>42027</v>
          </cell>
          <cell r="J42">
            <v>238.45</v>
          </cell>
          <cell r="Q42">
            <v>229</v>
          </cell>
          <cell r="R42">
            <v>239</v>
          </cell>
          <cell r="W42">
            <v>0.27249098683659162</v>
          </cell>
          <cell r="Z42">
            <v>2</v>
          </cell>
          <cell r="AE42">
            <v>1</v>
          </cell>
          <cell r="AH42">
            <v>20</v>
          </cell>
        </row>
        <row r="43">
          <cell r="A43">
            <v>42047</v>
          </cell>
          <cell r="J43">
            <v>236.3</v>
          </cell>
          <cell r="Q43">
            <v>229</v>
          </cell>
          <cell r="R43">
            <v>239</v>
          </cell>
          <cell r="W43">
            <v>0.27710206240084662</v>
          </cell>
          <cell r="Z43">
            <v>2</v>
          </cell>
          <cell r="AE43">
            <v>-2</v>
          </cell>
          <cell r="AH43">
            <v>20</v>
          </cell>
        </row>
        <row r="44">
          <cell r="A44">
            <v>42058</v>
          </cell>
          <cell r="J44">
            <v>237.16</v>
          </cell>
          <cell r="Q44">
            <v>229</v>
          </cell>
          <cell r="R44">
            <v>239</v>
          </cell>
          <cell r="W44">
            <v>0.17074558907228279</v>
          </cell>
          <cell r="Z44">
            <v>2</v>
          </cell>
          <cell r="AE44">
            <v>-5</v>
          </cell>
          <cell r="AH44">
            <v>20</v>
          </cell>
        </row>
        <row r="45">
          <cell r="A45">
            <v>42080</v>
          </cell>
          <cell r="J45">
            <v>237.3</v>
          </cell>
          <cell r="Q45">
            <v>229</v>
          </cell>
          <cell r="R45">
            <v>239</v>
          </cell>
          <cell r="W45">
            <v>0.23583912402611173</v>
          </cell>
          <cell r="Z45">
            <v>2</v>
          </cell>
          <cell r="AE45">
            <v>-2</v>
          </cell>
          <cell r="AH45">
            <v>20</v>
          </cell>
        </row>
        <row r="46">
          <cell r="A46">
            <v>42116</v>
          </cell>
          <cell r="J46">
            <v>235.97</v>
          </cell>
          <cell r="Q46">
            <v>229</v>
          </cell>
          <cell r="R46">
            <v>239</v>
          </cell>
          <cell r="W46">
            <v>0.23712737127371372</v>
          </cell>
          <cell r="Z46">
            <v>2</v>
          </cell>
          <cell r="AE46">
            <v>0</v>
          </cell>
          <cell r="AH46">
            <v>20</v>
          </cell>
        </row>
        <row r="47">
          <cell r="A47">
            <v>42139</v>
          </cell>
          <cell r="J47">
            <v>236.3</v>
          </cell>
          <cell r="Q47">
            <v>229</v>
          </cell>
          <cell r="R47">
            <v>239</v>
          </cell>
          <cell r="W47">
            <v>0.23483614360970345</v>
          </cell>
          <cell r="Z47">
            <v>2</v>
          </cell>
          <cell r="AE47">
            <v>-1</v>
          </cell>
          <cell r="AH47">
            <v>20</v>
          </cell>
        </row>
        <row r="48">
          <cell r="A48">
            <v>42185</v>
          </cell>
          <cell r="J48">
            <v>235.95</v>
          </cell>
          <cell r="Q48">
            <v>229</v>
          </cell>
          <cell r="R48">
            <v>239</v>
          </cell>
          <cell r="W48">
            <v>0.22871664548919612</v>
          </cell>
          <cell r="Z48">
            <v>2</v>
          </cell>
          <cell r="AE48">
            <v>-4</v>
          </cell>
          <cell r="AH48">
            <v>20</v>
          </cell>
        </row>
        <row r="49">
          <cell r="A49">
            <v>42219</v>
          </cell>
          <cell r="J49">
            <v>233.18</v>
          </cell>
          <cell r="Q49">
            <v>229</v>
          </cell>
          <cell r="R49">
            <v>239</v>
          </cell>
          <cell r="W49">
            <v>0.21437146287086262</v>
          </cell>
          <cell r="Z49">
            <v>2</v>
          </cell>
          <cell r="AH49">
            <v>20</v>
          </cell>
        </row>
        <row r="50">
          <cell r="A50">
            <v>42243</v>
          </cell>
          <cell r="J50">
            <v>238.59</v>
          </cell>
          <cell r="Q50">
            <v>229</v>
          </cell>
          <cell r="R50">
            <v>239</v>
          </cell>
          <cell r="W50">
            <v>0.28000000000000003</v>
          </cell>
          <cell r="Z50">
            <v>2</v>
          </cell>
          <cell r="AE50">
            <v>0</v>
          </cell>
          <cell r="AH50">
            <v>20</v>
          </cell>
        </row>
        <row r="51">
          <cell r="A51">
            <v>42271</v>
          </cell>
          <cell r="J51">
            <v>236.3</v>
          </cell>
          <cell r="Q51">
            <v>229</v>
          </cell>
          <cell r="R51">
            <v>239</v>
          </cell>
          <cell r="W51">
            <v>0.34</v>
          </cell>
          <cell r="Z51">
            <v>2</v>
          </cell>
          <cell r="AE51">
            <v>-1</v>
          </cell>
          <cell r="AH51">
            <v>20</v>
          </cell>
        </row>
        <row r="52">
          <cell r="A52">
            <v>42291</v>
          </cell>
          <cell r="J52">
            <v>237.6</v>
          </cell>
          <cell r="Q52">
            <v>229</v>
          </cell>
          <cell r="R52">
            <v>239</v>
          </cell>
          <cell r="W52">
            <v>0.16</v>
          </cell>
          <cell r="Z52">
            <v>2</v>
          </cell>
          <cell r="AE52">
            <v>0</v>
          </cell>
          <cell r="AH52">
            <v>20</v>
          </cell>
        </row>
        <row r="53">
          <cell r="A53">
            <v>42304</v>
          </cell>
          <cell r="J53">
            <v>237.1</v>
          </cell>
          <cell r="Q53">
            <v>229</v>
          </cell>
          <cell r="R53">
            <v>239</v>
          </cell>
          <cell r="W53">
            <v>0.22</v>
          </cell>
          <cell r="Z53">
            <v>2</v>
          </cell>
          <cell r="AE53">
            <v>0</v>
          </cell>
          <cell r="AH53">
            <v>20</v>
          </cell>
        </row>
        <row r="54">
          <cell r="A54">
            <v>42314</v>
          </cell>
          <cell r="D54">
            <v>236.78</v>
          </cell>
          <cell r="J54">
            <v>237.23</v>
          </cell>
          <cell r="P54">
            <v>235.5</v>
          </cell>
          <cell r="Q54">
            <v>229</v>
          </cell>
          <cell r="R54">
            <v>239</v>
          </cell>
          <cell r="U54">
            <v>0.72</v>
          </cell>
          <cell r="W54">
            <v>0.23</v>
          </cell>
          <cell r="Y54">
            <v>0.83</v>
          </cell>
          <cell r="Z54">
            <v>2</v>
          </cell>
          <cell r="AC54">
            <v>-1</v>
          </cell>
          <cell r="AE54">
            <v>1</v>
          </cell>
          <cell r="AH54">
            <v>20</v>
          </cell>
        </row>
        <row r="55">
          <cell r="A55">
            <v>42331</v>
          </cell>
          <cell r="J55">
            <v>237.59</v>
          </cell>
          <cell r="Q55">
            <v>229</v>
          </cell>
          <cell r="R55">
            <v>239</v>
          </cell>
          <cell r="W55">
            <v>0.17</v>
          </cell>
          <cell r="Z55">
            <v>2</v>
          </cell>
          <cell r="AE55">
            <v>-4</v>
          </cell>
          <cell r="AH55">
            <v>20</v>
          </cell>
        </row>
        <row r="56">
          <cell r="A56">
            <v>42345</v>
          </cell>
          <cell r="J56">
            <v>237.69</v>
          </cell>
          <cell r="Q56">
            <v>229</v>
          </cell>
          <cell r="R56">
            <v>239</v>
          </cell>
          <cell r="W56">
            <v>0.18</v>
          </cell>
          <cell r="Z56">
            <v>2</v>
          </cell>
          <cell r="AE56">
            <v>-1</v>
          </cell>
          <cell r="AH56">
            <v>20</v>
          </cell>
        </row>
        <row r="57">
          <cell r="A57">
            <v>42376</v>
          </cell>
          <cell r="J57">
            <v>237.23</v>
          </cell>
          <cell r="Q57">
            <v>229</v>
          </cell>
          <cell r="R57">
            <v>239</v>
          </cell>
          <cell r="W57">
            <v>0.17</v>
          </cell>
          <cell r="Z57">
            <v>2</v>
          </cell>
          <cell r="AE57">
            <v>-1</v>
          </cell>
          <cell r="AH57">
            <v>20</v>
          </cell>
        </row>
        <row r="58">
          <cell r="A58">
            <v>42401</v>
          </cell>
          <cell r="J58">
            <v>238.52</v>
          </cell>
          <cell r="Q58">
            <v>229</v>
          </cell>
          <cell r="R58">
            <v>239</v>
          </cell>
          <cell r="W58">
            <v>0.19</v>
          </cell>
          <cell r="Z58">
            <v>2</v>
          </cell>
          <cell r="AE58">
            <v>1</v>
          </cell>
          <cell r="AH58">
            <v>20</v>
          </cell>
        </row>
        <row r="59">
          <cell r="A59">
            <v>42416</v>
          </cell>
          <cell r="D59">
            <v>236.2</v>
          </cell>
          <cell r="J59">
            <v>235.98</v>
          </cell>
          <cell r="P59">
            <v>237.85</v>
          </cell>
          <cell r="Q59">
            <v>229</v>
          </cell>
          <cell r="R59">
            <v>239</v>
          </cell>
          <cell r="U59">
            <v>2.77</v>
          </cell>
          <cell r="W59">
            <v>1.04</v>
          </cell>
          <cell r="Y59">
            <v>2.98</v>
          </cell>
          <cell r="Z59">
            <v>2</v>
          </cell>
          <cell r="AC59">
            <v>0</v>
          </cell>
          <cell r="AE59">
            <v>4</v>
          </cell>
          <cell r="AH59">
            <v>20</v>
          </cell>
        </row>
        <row r="60">
          <cell r="A60">
            <v>42450</v>
          </cell>
          <cell r="J60">
            <v>235.4</v>
          </cell>
          <cell r="Q60">
            <v>229</v>
          </cell>
          <cell r="R60">
            <v>239</v>
          </cell>
          <cell r="W60">
            <v>1.64</v>
          </cell>
          <cell r="Z60">
            <v>2</v>
          </cell>
          <cell r="AE60">
            <v>1</v>
          </cell>
          <cell r="AH60">
            <v>20</v>
          </cell>
        </row>
        <row r="61">
          <cell r="A61">
            <v>42495</v>
          </cell>
          <cell r="J61">
            <v>233.69</v>
          </cell>
          <cell r="Q61">
            <v>229</v>
          </cell>
          <cell r="R61">
            <v>239</v>
          </cell>
          <cell r="W61">
            <v>1.42</v>
          </cell>
          <cell r="Z61">
            <v>2</v>
          </cell>
          <cell r="AE61">
            <v>-1</v>
          </cell>
          <cell r="AH61">
            <v>20</v>
          </cell>
        </row>
        <row r="62">
          <cell r="A62">
            <v>42530</v>
          </cell>
          <cell r="J62">
            <v>230.55</v>
          </cell>
          <cell r="Q62">
            <v>229</v>
          </cell>
          <cell r="R62">
            <v>239</v>
          </cell>
          <cell r="W62">
            <v>0.28999999999999998</v>
          </cell>
          <cell r="Z62">
            <v>2</v>
          </cell>
          <cell r="AE62">
            <v>-4</v>
          </cell>
          <cell r="AH62">
            <v>20</v>
          </cell>
        </row>
        <row r="63">
          <cell r="A63">
            <v>42543</v>
          </cell>
          <cell r="J63">
            <v>230.84</v>
          </cell>
          <cell r="Q63">
            <v>229</v>
          </cell>
          <cell r="R63">
            <v>239</v>
          </cell>
          <cell r="W63">
            <v>0.22</v>
          </cell>
          <cell r="Z63">
            <v>2</v>
          </cell>
          <cell r="AE63">
            <v>-10</v>
          </cell>
          <cell r="AH63">
            <v>20</v>
          </cell>
        </row>
        <row r="64">
          <cell r="A64">
            <v>42572</v>
          </cell>
          <cell r="D64">
            <v>227.71</v>
          </cell>
          <cell r="J64">
            <v>230.34</v>
          </cell>
          <cell r="P64">
            <v>229.62</v>
          </cell>
          <cell r="Q64">
            <v>229</v>
          </cell>
          <cell r="R64">
            <v>239</v>
          </cell>
          <cell r="U64">
            <v>0.36</v>
          </cell>
          <cell r="W64">
            <v>0.14000000000000001</v>
          </cell>
          <cell r="Y64">
            <v>0.71</v>
          </cell>
          <cell r="Z64">
            <v>2</v>
          </cell>
          <cell r="AH64">
            <v>20</v>
          </cell>
        </row>
        <row r="65">
          <cell r="A65">
            <v>42572</v>
          </cell>
          <cell r="D65">
            <v>232.45</v>
          </cell>
          <cell r="J65">
            <v>234.92</v>
          </cell>
          <cell r="P65">
            <v>234.36</v>
          </cell>
          <cell r="Q65">
            <v>229</v>
          </cell>
          <cell r="R65">
            <v>239</v>
          </cell>
          <cell r="U65">
            <v>3.48</v>
          </cell>
          <cell r="W65">
            <v>0.25</v>
          </cell>
          <cell r="Y65">
            <v>8.14</v>
          </cell>
          <cell r="Z65">
            <v>2</v>
          </cell>
          <cell r="AH65">
            <v>20</v>
          </cell>
        </row>
        <row r="66">
          <cell r="A66">
            <v>42577</v>
          </cell>
          <cell r="D66">
            <v>232.49</v>
          </cell>
          <cell r="J66">
            <v>230.47</v>
          </cell>
          <cell r="P66">
            <v>229.72</v>
          </cell>
          <cell r="Q66">
            <v>229</v>
          </cell>
          <cell r="R66">
            <v>239</v>
          </cell>
          <cell r="U66">
            <v>0.57999999999999996</v>
          </cell>
          <cell r="W66">
            <v>0.35</v>
          </cell>
          <cell r="Y66">
            <v>0.79</v>
          </cell>
          <cell r="Z66">
            <v>2</v>
          </cell>
          <cell r="AC66">
            <v>-8</v>
          </cell>
          <cell r="AE66">
            <v>-12</v>
          </cell>
          <cell r="AH66">
            <v>20</v>
          </cell>
        </row>
        <row r="67">
          <cell r="A67">
            <v>42578</v>
          </cell>
          <cell r="D67">
            <v>232.06</v>
          </cell>
          <cell r="J67">
            <v>234.29</v>
          </cell>
          <cell r="P67">
            <v>233.57</v>
          </cell>
          <cell r="Q67">
            <v>229</v>
          </cell>
          <cell r="R67">
            <v>239</v>
          </cell>
          <cell r="U67">
            <v>0.34</v>
          </cell>
          <cell r="W67">
            <v>0.1</v>
          </cell>
          <cell r="Y67">
            <v>0.61</v>
          </cell>
          <cell r="Z67">
            <v>2</v>
          </cell>
          <cell r="AC67">
            <v>-10</v>
          </cell>
          <cell r="AE67">
            <v>-8</v>
          </cell>
          <cell r="AH67">
            <v>20</v>
          </cell>
        </row>
        <row r="68">
          <cell r="A68">
            <v>42585</v>
          </cell>
          <cell r="J68">
            <v>230.89</v>
          </cell>
          <cell r="Q68">
            <v>229</v>
          </cell>
          <cell r="R68">
            <v>239</v>
          </cell>
          <cell r="W68">
            <v>0.28999999999999998</v>
          </cell>
          <cell r="Z68">
            <v>2</v>
          </cell>
          <cell r="AE68">
            <v>-8</v>
          </cell>
          <cell r="AH68">
            <v>20</v>
          </cell>
        </row>
        <row r="69">
          <cell r="A69">
            <v>42592</v>
          </cell>
          <cell r="D69">
            <v>230.08</v>
          </cell>
          <cell r="J69">
            <v>233.08</v>
          </cell>
          <cell r="P69">
            <v>232.82</v>
          </cell>
          <cell r="Q69">
            <v>229</v>
          </cell>
          <cell r="R69">
            <v>239</v>
          </cell>
          <cell r="U69">
            <v>0.49</v>
          </cell>
          <cell r="W69">
            <v>0.31</v>
          </cell>
          <cell r="Y69">
            <v>0.77</v>
          </cell>
          <cell r="Z69">
            <v>2</v>
          </cell>
          <cell r="AC69">
            <v>-5</v>
          </cell>
          <cell r="AE69">
            <v>-3</v>
          </cell>
          <cell r="AH69">
            <v>20</v>
          </cell>
        </row>
        <row r="70">
          <cell r="A70">
            <v>42598</v>
          </cell>
          <cell r="D70">
            <v>229.13</v>
          </cell>
          <cell r="J70">
            <v>231.94</v>
          </cell>
          <cell r="P70">
            <v>231.07</v>
          </cell>
          <cell r="Q70">
            <v>229</v>
          </cell>
          <cell r="R70">
            <v>239</v>
          </cell>
          <cell r="U70">
            <v>0.31</v>
          </cell>
          <cell r="W70">
            <v>0.08</v>
          </cell>
          <cell r="Y70">
            <v>0.53</v>
          </cell>
          <cell r="Z70">
            <v>2</v>
          </cell>
          <cell r="AC70">
            <v>-11</v>
          </cell>
          <cell r="AE70">
            <v>-13</v>
          </cell>
          <cell r="AH70">
            <v>20</v>
          </cell>
        </row>
        <row r="71">
          <cell r="A71">
            <v>42608</v>
          </cell>
          <cell r="D71">
            <v>229.75</v>
          </cell>
          <cell r="J71">
            <v>230.02</v>
          </cell>
          <cell r="P71">
            <v>231.39</v>
          </cell>
          <cell r="Q71">
            <v>229</v>
          </cell>
          <cell r="R71">
            <v>239</v>
          </cell>
          <cell r="U71">
            <v>0.52</v>
          </cell>
          <cell r="W71">
            <v>0.25</v>
          </cell>
          <cell r="Y71">
            <v>0.53</v>
          </cell>
          <cell r="Z71">
            <v>2</v>
          </cell>
          <cell r="AC71">
            <v>-9</v>
          </cell>
          <cell r="AE71">
            <v>-3</v>
          </cell>
          <cell r="AH71">
            <v>20</v>
          </cell>
        </row>
        <row r="72">
          <cell r="A72">
            <v>42621</v>
          </cell>
          <cell r="J72">
            <v>231.48</v>
          </cell>
          <cell r="Q72">
            <v>229</v>
          </cell>
          <cell r="R72">
            <v>239</v>
          </cell>
          <cell r="W72">
            <v>0.85</v>
          </cell>
          <cell r="Z72">
            <v>2</v>
          </cell>
          <cell r="AE72">
            <v>-5</v>
          </cell>
          <cell r="AH72">
            <v>20</v>
          </cell>
        </row>
        <row r="73">
          <cell r="A73">
            <v>42639</v>
          </cell>
          <cell r="J73">
            <v>231.8</v>
          </cell>
          <cell r="Q73">
            <v>229</v>
          </cell>
          <cell r="R73">
            <v>239</v>
          </cell>
          <cell r="W73">
            <v>0.96</v>
          </cell>
          <cell r="Z73">
            <v>2</v>
          </cell>
          <cell r="AE73">
            <v>0</v>
          </cell>
          <cell r="AH73">
            <v>20</v>
          </cell>
        </row>
        <row r="74">
          <cell r="J74">
            <v>233.76</v>
          </cell>
          <cell r="Q74">
            <v>229</v>
          </cell>
          <cell r="R74">
            <v>239</v>
          </cell>
          <cell r="W74">
            <v>0.94</v>
          </cell>
          <cell r="Z74">
            <v>2</v>
          </cell>
          <cell r="AE74">
            <v>-13</v>
          </cell>
          <cell r="AH74">
            <v>20</v>
          </cell>
        </row>
        <row r="75">
          <cell r="A75">
            <v>42648</v>
          </cell>
          <cell r="J75">
            <v>234.08</v>
          </cell>
          <cell r="Q75">
            <v>229</v>
          </cell>
          <cell r="R75">
            <v>239</v>
          </cell>
          <cell r="W75">
            <v>0.14000000000000001</v>
          </cell>
          <cell r="Z75">
            <v>2</v>
          </cell>
          <cell r="AE75">
            <v>1</v>
          </cell>
          <cell r="AH75">
            <v>20</v>
          </cell>
        </row>
        <row r="76">
          <cell r="A76">
            <v>42660</v>
          </cell>
          <cell r="J76">
            <v>235.02</v>
          </cell>
          <cell r="Q76">
            <v>229</v>
          </cell>
          <cell r="R76">
            <v>239</v>
          </cell>
          <cell r="W76">
            <v>0.76</v>
          </cell>
          <cell r="Z76">
            <v>2</v>
          </cell>
          <cell r="AE76">
            <v>-3</v>
          </cell>
          <cell r="AH76">
            <v>20</v>
          </cell>
        </row>
        <row r="77">
          <cell r="A77">
            <v>42660</v>
          </cell>
          <cell r="J77">
            <v>231.77</v>
          </cell>
          <cell r="Q77">
            <v>229</v>
          </cell>
          <cell r="R77">
            <v>239</v>
          </cell>
          <cell r="W77">
            <v>0.3</v>
          </cell>
          <cell r="Z77">
            <v>2</v>
          </cell>
          <cell r="AE77">
            <v>-17</v>
          </cell>
          <cell r="AH77">
            <v>20</v>
          </cell>
        </row>
        <row r="78">
          <cell r="A78">
            <v>42667</v>
          </cell>
          <cell r="J78">
            <v>233.35</v>
          </cell>
          <cell r="Q78">
            <v>229</v>
          </cell>
          <cell r="R78">
            <v>239</v>
          </cell>
          <cell r="W78">
            <v>0.25</v>
          </cell>
          <cell r="Z78">
            <v>2</v>
          </cell>
          <cell r="AE78">
            <v>3</v>
          </cell>
          <cell r="AH78">
            <v>20</v>
          </cell>
        </row>
        <row r="79">
          <cell r="A79">
            <v>42667</v>
          </cell>
          <cell r="J79">
            <v>231.85</v>
          </cell>
          <cell r="Q79">
            <v>229</v>
          </cell>
          <cell r="R79">
            <v>239</v>
          </cell>
          <cell r="W79">
            <v>0.43</v>
          </cell>
          <cell r="Z79">
            <v>2</v>
          </cell>
          <cell r="AE79">
            <v>1</v>
          </cell>
          <cell r="AH79">
            <v>20</v>
          </cell>
        </row>
        <row r="80">
          <cell r="A80">
            <v>42674</v>
          </cell>
          <cell r="J80">
            <v>239.2</v>
          </cell>
          <cell r="Q80">
            <v>229</v>
          </cell>
          <cell r="R80">
            <v>239</v>
          </cell>
          <cell r="W80">
            <v>0.21</v>
          </cell>
          <cell r="Z80">
            <v>2</v>
          </cell>
          <cell r="AE80">
            <v>-1</v>
          </cell>
          <cell r="AH80">
            <v>20</v>
          </cell>
        </row>
        <row r="81">
          <cell r="A81">
            <v>42695</v>
          </cell>
          <cell r="J81">
            <v>232.89</v>
          </cell>
          <cell r="Q81">
            <v>229</v>
          </cell>
          <cell r="R81">
            <v>239</v>
          </cell>
          <cell r="W81">
            <v>0.26</v>
          </cell>
          <cell r="Z81">
            <v>2</v>
          </cell>
          <cell r="AE81">
            <v>-4</v>
          </cell>
          <cell r="AH81">
            <v>20</v>
          </cell>
        </row>
        <row r="82">
          <cell r="A82">
            <v>42716</v>
          </cell>
          <cell r="J82">
            <v>231.45</v>
          </cell>
          <cell r="Q82">
            <v>229</v>
          </cell>
          <cell r="R82">
            <v>239</v>
          </cell>
          <cell r="W82">
            <v>0.61</v>
          </cell>
          <cell r="Z82">
            <v>2</v>
          </cell>
          <cell r="AE82">
            <v>-20</v>
          </cell>
          <cell r="AH82">
            <v>20</v>
          </cell>
        </row>
        <row r="83">
          <cell r="A83">
            <v>42718</v>
          </cell>
          <cell r="J83">
            <v>232.55</v>
          </cell>
          <cell r="Q83">
            <v>229</v>
          </cell>
          <cell r="R83">
            <v>239</v>
          </cell>
          <cell r="W83">
            <v>0.22</v>
          </cell>
          <cell r="Z83">
            <v>2</v>
          </cell>
          <cell r="AE83">
            <v>-19</v>
          </cell>
          <cell r="AH83">
            <v>20</v>
          </cell>
        </row>
        <row r="84">
          <cell r="A84">
            <v>42740</v>
          </cell>
          <cell r="J84">
            <v>233.8</v>
          </cell>
          <cell r="Q84">
            <v>229</v>
          </cell>
          <cell r="R84">
            <v>239</v>
          </cell>
          <cell r="W84">
            <v>1.1299999999999999</v>
          </cell>
          <cell r="Z84">
            <v>2</v>
          </cell>
          <cell r="AE84">
            <v>-16</v>
          </cell>
          <cell r="AH84">
            <v>20</v>
          </cell>
        </row>
        <row r="85">
          <cell r="A85">
            <v>42782</v>
          </cell>
          <cell r="J85">
            <v>234.11</v>
          </cell>
          <cell r="Q85">
            <v>229</v>
          </cell>
          <cell r="R85">
            <v>239</v>
          </cell>
          <cell r="W85">
            <v>0.2</v>
          </cell>
          <cell r="Z85">
            <v>2</v>
          </cell>
          <cell r="AE85">
            <v>-2</v>
          </cell>
          <cell r="AH85">
            <v>20</v>
          </cell>
        </row>
        <row r="86">
          <cell r="A86">
            <v>42808</v>
          </cell>
          <cell r="J86">
            <v>235.03</v>
          </cell>
          <cell r="Q86">
            <v>229</v>
          </cell>
          <cell r="R86">
            <v>239</v>
          </cell>
          <cell r="W86">
            <v>0.41</v>
          </cell>
          <cell r="Z86">
            <v>2</v>
          </cell>
          <cell r="AE86">
            <v>-4</v>
          </cell>
          <cell r="AH86">
            <v>20</v>
          </cell>
        </row>
        <row r="87">
          <cell r="A87">
            <v>42838</v>
          </cell>
          <cell r="J87">
            <v>232.87</v>
          </cell>
          <cell r="Q87">
            <v>229</v>
          </cell>
          <cell r="R87">
            <v>239</v>
          </cell>
          <cell r="W87">
            <v>0.21</v>
          </cell>
          <cell r="Z87">
            <v>2</v>
          </cell>
          <cell r="AE87">
            <v>18</v>
          </cell>
          <cell r="AH87">
            <v>20</v>
          </cell>
        </row>
        <row r="88">
          <cell r="A88">
            <v>42863</v>
          </cell>
          <cell r="J88">
            <v>233.33</v>
          </cell>
          <cell r="Q88">
            <v>229</v>
          </cell>
          <cell r="R88">
            <v>239</v>
          </cell>
          <cell r="W88">
            <v>0.39</v>
          </cell>
          <cell r="Z88">
            <v>2</v>
          </cell>
          <cell r="AE88">
            <v>-41</v>
          </cell>
          <cell r="AH88">
            <v>20</v>
          </cell>
        </row>
        <row r="89">
          <cell r="A89">
            <v>42877</v>
          </cell>
          <cell r="J89">
            <v>235.97</v>
          </cell>
          <cell r="Q89">
            <v>229</v>
          </cell>
          <cell r="R89">
            <v>239</v>
          </cell>
          <cell r="W89">
            <v>0.17</v>
          </cell>
          <cell r="Z89">
            <v>2</v>
          </cell>
          <cell r="AE89">
            <v>-14</v>
          </cell>
          <cell r="AH89">
            <v>20</v>
          </cell>
        </row>
        <row r="90">
          <cell r="A90">
            <v>42883</v>
          </cell>
          <cell r="J90">
            <v>229.09</v>
          </cell>
          <cell r="Q90">
            <v>229</v>
          </cell>
          <cell r="R90">
            <v>239</v>
          </cell>
          <cell r="W90">
            <v>0.45</v>
          </cell>
          <cell r="Z90">
            <v>2</v>
          </cell>
          <cell r="AE90">
            <v>-20</v>
          </cell>
          <cell r="AH90">
            <v>20</v>
          </cell>
        </row>
        <row r="91">
          <cell r="A91">
            <v>42913</v>
          </cell>
          <cell r="J91">
            <v>240.16</v>
          </cell>
          <cell r="Q91">
            <v>229</v>
          </cell>
          <cell r="R91">
            <v>239</v>
          </cell>
          <cell r="W91">
            <v>0.13</v>
          </cell>
          <cell r="Z91">
            <v>2</v>
          </cell>
          <cell r="AE91">
            <v>-6</v>
          </cell>
          <cell r="AH91">
            <v>20</v>
          </cell>
        </row>
        <row r="92">
          <cell r="A92">
            <v>42927</v>
          </cell>
          <cell r="J92">
            <v>230.2</v>
          </cell>
          <cell r="Q92">
            <v>229</v>
          </cell>
          <cell r="R92">
            <v>239</v>
          </cell>
          <cell r="W92">
            <v>0.32</v>
          </cell>
          <cell r="Z92">
            <v>2</v>
          </cell>
          <cell r="AE92">
            <v>-17</v>
          </cell>
          <cell r="AH92">
            <v>20</v>
          </cell>
        </row>
        <row r="93">
          <cell r="A93">
            <v>42940</v>
          </cell>
          <cell r="J93">
            <v>231.02</v>
          </cell>
          <cell r="Q93">
            <v>229</v>
          </cell>
          <cell r="R93">
            <v>239</v>
          </cell>
          <cell r="W93">
            <v>0.2</v>
          </cell>
          <cell r="Z93">
            <v>2</v>
          </cell>
          <cell r="AE93">
            <v>-10</v>
          </cell>
          <cell r="AH93">
            <v>20</v>
          </cell>
        </row>
        <row r="94">
          <cell r="A94">
            <v>42955</v>
          </cell>
          <cell r="J94">
            <v>231.52</v>
          </cell>
          <cell r="Q94">
            <v>229</v>
          </cell>
          <cell r="R94">
            <v>239</v>
          </cell>
          <cell r="W94">
            <v>0.25</v>
          </cell>
          <cell r="Z94">
            <v>2</v>
          </cell>
          <cell r="AE94">
            <v>-12</v>
          </cell>
          <cell r="AH94">
            <v>20</v>
          </cell>
        </row>
        <row r="95">
          <cell r="A95">
            <v>42968</v>
          </cell>
          <cell r="J95">
            <v>231.89</v>
          </cell>
          <cell r="Q95">
            <v>229</v>
          </cell>
          <cell r="R95">
            <v>239</v>
          </cell>
          <cell r="W95">
            <v>0.35</v>
          </cell>
          <cell r="Z95">
            <v>2</v>
          </cell>
          <cell r="AE95">
            <v>-10</v>
          </cell>
          <cell r="AH95">
            <v>20</v>
          </cell>
        </row>
        <row r="96">
          <cell r="A96">
            <v>42982</v>
          </cell>
          <cell r="J96">
            <v>232.52</v>
          </cell>
          <cell r="Q96">
            <v>229</v>
          </cell>
          <cell r="R96">
            <v>239</v>
          </cell>
          <cell r="W96">
            <v>0.47</v>
          </cell>
          <cell r="Z96">
            <v>2</v>
          </cell>
          <cell r="AE96">
            <v>-20</v>
          </cell>
          <cell r="AH96">
            <v>20</v>
          </cell>
        </row>
        <row r="97">
          <cell r="A97">
            <v>43004</v>
          </cell>
          <cell r="J97">
            <v>230.11</v>
          </cell>
          <cell r="Q97">
            <v>229</v>
          </cell>
          <cell r="R97">
            <v>239</v>
          </cell>
          <cell r="W97">
            <v>0.31</v>
          </cell>
          <cell r="Z97">
            <v>2</v>
          </cell>
          <cell r="AE97">
            <v>-10</v>
          </cell>
          <cell r="AH97">
            <v>20</v>
          </cell>
        </row>
        <row r="98">
          <cell r="A98">
            <v>43025</v>
          </cell>
          <cell r="J98">
            <v>231.78</v>
          </cell>
          <cell r="Q98">
            <v>229</v>
          </cell>
          <cell r="R98">
            <v>239</v>
          </cell>
          <cell r="W98">
            <v>0.31</v>
          </cell>
          <cell r="Z98">
            <v>2</v>
          </cell>
          <cell r="AE98">
            <v>-6</v>
          </cell>
          <cell r="AH98">
            <v>20</v>
          </cell>
        </row>
        <row r="99">
          <cell r="A99">
            <v>43031</v>
          </cell>
          <cell r="J99">
            <v>230.49</v>
          </cell>
          <cell r="Q99">
            <v>229</v>
          </cell>
          <cell r="R99">
            <v>239</v>
          </cell>
          <cell r="W99">
            <v>0.34</v>
          </cell>
          <cell r="Z99">
            <v>2</v>
          </cell>
          <cell r="AE99">
            <v>-10</v>
          </cell>
          <cell r="AH99">
            <v>20</v>
          </cell>
        </row>
        <row r="100">
          <cell r="A100">
            <v>43040</v>
          </cell>
          <cell r="J100">
            <v>235.85</v>
          </cell>
          <cell r="Q100">
            <v>229</v>
          </cell>
          <cell r="R100">
            <v>239</v>
          </cell>
          <cell r="W100">
            <v>0.84</v>
          </cell>
          <cell r="Z100">
            <v>2</v>
          </cell>
          <cell r="AE100">
            <v>-9</v>
          </cell>
          <cell r="AH100">
            <v>20</v>
          </cell>
        </row>
        <row r="101">
          <cell r="A101">
            <v>43045</v>
          </cell>
          <cell r="J101">
            <v>234.72</v>
          </cell>
          <cell r="Q101">
            <v>229</v>
          </cell>
          <cell r="R101">
            <v>239</v>
          </cell>
          <cell r="W101">
            <v>0.4</v>
          </cell>
          <cell r="Z101">
            <v>2</v>
          </cell>
          <cell r="AE101">
            <v>-8</v>
          </cell>
          <cell r="AH101">
            <v>20</v>
          </cell>
        </row>
        <row r="102">
          <cell r="A102">
            <v>43052</v>
          </cell>
          <cell r="J102">
            <v>236.34</v>
          </cell>
          <cell r="Q102">
            <v>229</v>
          </cell>
          <cell r="R102">
            <v>239</v>
          </cell>
          <cell r="W102">
            <v>0.18</v>
          </cell>
          <cell r="Z102">
            <v>2</v>
          </cell>
          <cell r="AE102">
            <v>-26</v>
          </cell>
          <cell r="AH102">
            <v>20</v>
          </cell>
        </row>
        <row r="103">
          <cell r="A103">
            <v>43057</v>
          </cell>
          <cell r="J103">
            <v>235.19</v>
          </cell>
          <cell r="Q103">
            <v>229</v>
          </cell>
          <cell r="R103">
            <v>239</v>
          </cell>
          <cell r="W103">
            <v>1.61</v>
          </cell>
          <cell r="Z103">
            <v>2</v>
          </cell>
          <cell r="AE103">
            <v>-12</v>
          </cell>
          <cell r="AH103">
            <v>20</v>
          </cell>
        </row>
        <row r="104">
          <cell r="A104">
            <v>43073</v>
          </cell>
          <cell r="J104">
            <v>227.72</v>
          </cell>
          <cell r="Q104">
            <v>229</v>
          </cell>
          <cell r="R104">
            <v>239</v>
          </cell>
          <cell r="W104">
            <v>0.46</v>
          </cell>
          <cell r="Z104">
            <v>2</v>
          </cell>
          <cell r="AE104">
            <v>-20</v>
          </cell>
          <cell r="AH104">
            <v>20</v>
          </cell>
        </row>
        <row r="105">
          <cell r="A105">
            <v>43081</v>
          </cell>
          <cell r="J105">
            <v>231.35</v>
          </cell>
          <cell r="Q105">
            <v>229</v>
          </cell>
          <cell r="R105">
            <v>239</v>
          </cell>
          <cell r="W105">
            <v>0.39</v>
          </cell>
          <cell r="Z105">
            <v>2</v>
          </cell>
          <cell r="AE105">
            <v>-31</v>
          </cell>
          <cell r="AH105">
            <v>20</v>
          </cell>
        </row>
        <row r="106">
          <cell r="A106">
            <v>43095</v>
          </cell>
          <cell r="J106">
            <v>230.22</v>
          </cell>
          <cell r="Q106">
            <v>229</v>
          </cell>
          <cell r="R106">
            <v>239</v>
          </cell>
          <cell r="W106">
            <v>0.49</v>
          </cell>
          <cell r="Z106">
            <v>2</v>
          </cell>
          <cell r="AE106">
            <v>-7</v>
          </cell>
          <cell r="AH106">
            <v>20</v>
          </cell>
        </row>
        <row r="107">
          <cell r="A107">
            <v>43101</v>
          </cell>
          <cell r="J107">
            <v>228.65</v>
          </cell>
          <cell r="Q107">
            <v>229</v>
          </cell>
          <cell r="R107">
            <v>239</v>
          </cell>
          <cell r="W107">
            <v>0.35</v>
          </cell>
          <cell r="Z107">
            <v>2</v>
          </cell>
          <cell r="AE107">
            <v>-5</v>
          </cell>
          <cell r="AH107">
            <v>20</v>
          </cell>
        </row>
        <row r="108">
          <cell r="A108">
            <v>43107</v>
          </cell>
          <cell r="J108">
            <v>231.18</v>
          </cell>
          <cell r="Q108">
            <v>229</v>
          </cell>
          <cell r="R108">
            <v>239</v>
          </cell>
          <cell r="W108">
            <v>0.44</v>
          </cell>
          <cell r="Z108">
            <v>2</v>
          </cell>
          <cell r="AE108">
            <v>-8</v>
          </cell>
          <cell r="AH108">
            <v>20</v>
          </cell>
        </row>
        <row r="109">
          <cell r="A109">
            <v>43115</v>
          </cell>
          <cell r="J109">
            <v>231.64</v>
          </cell>
          <cell r="Q109">
            <v>229</v>
          </cell>
          <cell r="R109">
            <v>239</v>
          </cell>
          <cell r="W109">
            <v>0.43</v>
          </cell>
          <cell r="Z109">
            <v>2</v>
          </cell>
          <cell r="AE109">
            <v>-10</v>
          </cell>
          <cell r="AH109">
            <v>20</v>
          </cell>
        </row>
        <row r="110">
          <cell r="A110">
            <v>43120</v>
          </cell>
          <cell r="J110">
            <v>231.48</v>
          </cell>
          <cell r="Q110">
            <v>229</v>
          </cell>
          <cell r="R110">
            <v>239</v>
          </cell>
          <cell r="W110">
            <v>0.97</v>
          </cell>
          <cell r="Z110">
            <v>2</v>
          </cell>
          <cell r="AE110">
            <v>-10</v>
          </cell>
          <cell r="AH110">
            <v>20</v>
          </cell>
        </row>
        <row r="111">
          <cell r="A111">
            <v>43127</v>
          </cell>
          <cell r="J111">
            <v>230.67</v>
          </cell>
          <cell r="Q111">
            <v>229</v>
          </cell>
          <cell r="R111">
            <v>239</v>
          </cell>
          <cell r="W111">
            <v>0.45</v>
          </cell>
          <cell r="Z111">
            <v>2</v>
          </cell>
          <cell r="AE111">
            <v>-14</v>
          </cell>
          <cell r="AH111">
            <v>20</v>
          </cell>
        </row>
        <row r="112">
          <cell r="A112">
            <v>43146</v>
          </cell>
          <cell r="J112">
            <v>234.36</v>
          </cell>
          <cell r="Q112">
            <v>229</v>
          </cell>
          <cell r="R112">
            <v>239</v>
          </cell>
          <cell r="W112">
            <v>0.32</v>
          </cell>
          <cell r="Z112">
            <v>2</v>
          </cell>
          <cell r="AE112">
            <v>-15</v>
          </cell>
          <cell r="AH112">
            <v>20</v>
          </cell>
        </row>
        <row r="113">
          <cell r="A113">
            <v>43146</v>
          </cell>
          <cell r="J113">
            <v>234.15</v>
          </cell>
          <cell r="Q113">
            <v>229</v>
          </cell>
          <cell r="R113">
            <v>239</v>
          </cell>
          <cell r="W113">
            <v>0.8</v>
          </cell>
          <cell r="Z113">
            <v>2</v>
          </cell>
          <cell r="AE113">
            <v>-9</v>
          </cell>
          <cell r="AH113">
            <v>20</v>
          </cell>
        </row>
        <row r="114">
          <cell r="A114">
            <v>43157</v>
          </cell>
          <cell r="J114">
            <v>231.81</v>
          </cell>
          <cell r="Q114">
            <v>229</v>
          </cell>
          <cell r="R114">
            <v>239</v>
          </cell>
          <cell r="W114">
            <v>0.35</v>
          </cell>
          <cell r="Z114">
            <v>2</v>
          </cell>
          <cell r="AE114">
            <v>-12</v>
          </cell>
          <cell r="AH114">
            <v>20</v>
          </cell>
        </row>
        <row r="115">
          <cell r="A115">
            <v>43159</v>
          </cell>
          <cell r="J115">
            <v>234.21</v>
          </cell>
          <cell r="Q115">
            <v>229</v>
          </cell>
          <cell r="R115">
            <v>239</v>
          </cell>
          <cell r="W115">
            <v>0.21</v>
          </cell>
          <cell r="Z115">
            <v>2</v>
          </cell>
          <cell r="AE115">
            <v>-16</v>
          </cell>
          <cell r="AH115">
            <v>20</v>
          </cell>
        </row>
        <row r="116">
          <cell r="A116">
            <v>43167</v>
          </cell>
          <cell r="J116">
            <v>234.26</v>
          </cell>
          <cell r="Q116">
            <v>229</v>
          </cell>
          <cell r="R116">
            <v>239</v>
          </cell>
          <cell r="W116">
            <v>0.64</v>
          </cell>
          <cell r="Z116">
            <v>2</v>
          </cell>
          <cell r="AE116">
            <v>-2</v>
          </cell>
          <cell r="AH116">
            <v>20</v>
          </cell>
        </row>
        <row r="117">
          <cell r="A117">
            <v>43177</v>
          </cell>
          <cell r="J117">
            <v>234.08</v>
          </cell>
          <cell r="Q117">
            <v>229</v>
          </cell>
          <cell r="R117">
            <v>239</v>
          </cell>
          <cell r="W117">
            <v>0.27</v>
          </cell>
          <cell r="Z117">
            <v>2</v>
          </cell>
          <cell r="AE117">
            <v>-10</v>
          </cell>
          <cell r="AH117">
            <v>20</v>
          </cell>
        </row>
        <row r="118">
          <cell r="A118">
            <v>43178</v>
          </cell>
          <cell r="J118">
            <v>232.02</v>
          </cell>
          <cell r="Q118">
            <v>229</v>
          </cell>
          <cell r="R118">
            <v>239</v>
          </cell>
          <cell r="W118">
            <v>0.35</v>
          </cell>
          <cell r="Z118">
            <v>2</v>
          </cell>
          <cell r="AE118">
            <v>-3</v>
          </cell>
          <cell r="AH118">
            <v>20</v>
          </cell>
        </row>
        <row r="119">
          <cell r="A119">
            <v>43185</v>
          </cell>
          <cell r="J119">
            <v>233.5</v>
          </cell>
          <cell r="Q119">
            <v>229</v>
          </cell>
          <cell r="R119">
            <v>239</v>
          </cell>
          <cell r="W119">
            <v>0.63</v>
          </cell>
          <cell r="Z119">
            <v>2</v>
          </cell>
          <cell r="AE119">
            <v>-20</v>
          </cell>
          <cell r="AH119">
            <v>20</v>
          </cell>
        </row>
        <row r="120">
          <cell r="A120">
            <v>43201</v>
          </cell>
          <cell r="J120">
            <v>233.55</v>
          </cell>
          <cell r="Q120">
            <v>229</v>
          </cell>
          <cell r="R120">
            <v>239</v>
          </cell>
          <cell r="W120">
            <v>0.26</v>
          </cell>
          <cell r="Z120">
            <v>2</v>
          </cell>
          <cell r="AE120">
            <v>27</v>
          </cell>
          <cell r="AH120">
            <v>20</v>
          </cell>
        </row>
        <row r="121">
          <cell r="A121">
            <v>43215</v>
          </cell>
          <cell r="D121">
            <v>233.27</v>
          </cell>
          <cell r="P121">
            <v>239.14</v>
          </cell>
          <cell r="Q121">
            <v>229</v>
          </cell>
          <cell r="R121">
            <v>239</v>
          </cell>
          <cell r="W121">
            <v>2.84</v>
          </cell>
          <cell r="Y121">
            <v>0.28999999999999998</v>
          </cell>
          <cell r="Z121">
            <v>2</v>
          </cell>
          <cell r="AC121">
            <v>-70</v>
          </cell>
          <cell r="AG121">
            <v>-1</v>
          </cell>
          <cell r="AH121">
            <v>20</v>
          </cell>
        </row>
        <row r="122">
          <cell r="A122">
            <v>43222</v>
          </cell>
          <cell r="J122">
            <v>233.54</v>
          </cell>
          <cell r="Q122">
            <v>229</v>
          </cell>
          <cell r="R122">
            <v>239</v>
          </cell>
          <cell r="W122">
            <v>0.49</v>
          </cell>
          <cell r="Z122">
            <v>2</v>
          </cell>
          <cell r="AE122">
            <v>-16</v>
          </cell>
          <cell r="AH122">
            <v>20</v>
          </cell>
        </row>
        <row r="123">
          <cell r="A123">
            <v>43227</v>
          </cell>
          <cell r="J123">
            <v>231.98</v>
          </cell>
          <cell r="Q123">
            <v>229</v>
          </cell>
          <cell r="R123">
            <v>239</v>
          </cell>
          <cell r="W123">
            <v>0.44</v>
          </cell>
          <cell r="Z123">
            <v>2</v>
          </cell>
          <cell r="AE123">
            <v>-6</v>
          </cell>
          <cell r="AH123">
            <v>20</v>
          </cell>
        </row>
        <row r="124">
          <cell r="A124">
            <v>43230</v>
          </cell>
          <cell r="J124">
            <v>234.04</v>
          </cell>
          <cell r="Q124">
            <v>229</v>
          </cell>
          <cell r="R124">
            <v>239</v>
          </cell>
          <cell r="W124">
            <v>0.49</v>
          </cell>
          <cell r="Z124">
            <v>2</v>
          </cell>
          <cell r="AE124">
            <v>-12</v>
          </cell>
          <cell r="AH124">
            <v>20</v>
          </cell>
        </row>
        <row r="125">
          <cell r="A125">
            <v>43234</v>
          </cell>
          <cell r="J125">
            <v>231.88</v>
          </cell>
          <cell r="Q125">
            <v>229</v>
          </cell>
          <cell r="R125">
            <v>239</v>
          </cell>
          <cell r="W125">
            <v>0.56000000000000005</v>
          </cell>
          <cell r="Z125">
            <v>2</v>
          </cell>
          <cell r="AE125">
            <v>-6</v>
          </cell>
          <cell r="AH125">
            <v>20</v>
          </cell>
        </row>
        <row r="126">
          <cell r="A126">
            <v>43235</v>
          </cell>
          <cell r="J126">
            <v>231.92</v>
          </cell>
          <cell r="Q126">
            <v>229</v>
          </cell>
          <cell r="R126">
            <v>239</v>
          </cell>
          <cell r="W126">
            <v>0.62</v>
          </cell>
          <cell r="Z126">
            <v>2</v>
          </cell>
          <cell r="AE126">
            <v>-16</v>
          </cell>
          <cell r="AH126">
            <v>20</v>
          </cell>
        </row>
        <row r="127">
          <cell r="A127">
            <v>43242</v>
          </cell>
          <cell r="J127">
            <v>233.81</v>
          </cell>
          <cell r="Q127">
            <v>229</v>
          </cell>
          <cell r="R127">
            <v>239</v>
          </cell>
          <cell r="W127">
            <v>0.44</v>
          </cell>
          <cell r="Z127">
            <v>2</v>
          </cell>
          <cell r="AE127">
            <v>-4</v>
          </cell>
          <cell r="AH127">
            <v>20</v>
          </cell>
        </row>
        <row r="128">
          <cell r="A128">
            <v>43262</v>
          </cell>
          <cell r="J128">
            <v>231.91</v>
          </cell>
          <cell r="Q128">
            <v>229</v>
          </cell>
          <cell r="R128">
            <v>239</v>
          </cell>
          <cell r="W128">
            <v>0.31</v>
          </cell>
          <cell r="Z128">
            <v>2</v>
          </cell>
          <cell r="AE128">
            <v>5</v>
          </cell>
          <cell r="AH128">
            <v>20</v>
          </cell>
        </row>
        <row r="129">
          <cell r="A129">
            <v>43273</v>
          </cell>
          <cell r="J129">
            <v>233.25</v>
          </cell>
          <cell r="Q129">
            <v>229</v>
          </cell>
          <cell r="R129">
            <v>239</v>
          </cell>
          <cell r="W129">
            <v>0.36</v>
          </cell>
          <cell r="Z129">
            <v>2</v>
          </cell>
          <cell r="AE129">
            <v>-1</v>
          </cell>
          <cell r="AH129">
            <v>20</v>
          </cell>
        </row>
        <row r="130">
          <cell r="A130">
            <v>43276</v>
          </cell>
          <cell r="J130">
            <v>232.42</v>
          </cell>
          <cell r="Q130">
            <v>229</v>
          </cell>
          <cell r="R130">
            <v>239</v>
          </cell>
          <cell r="W130">
            <v>0.38</v>
          </cell>
          <cell r="Z130">
            <v>2</v>
          </cell>
          <cell r="AE130">
            <v>5</v>
          </cell>
          <cell r="AH130">
            <v>20</v>
          </cell>
        </row>
        <row r="131">
          <cell r="A131">
            <v>43285</v>
          </cell>
          <cell r="J131">
            <v>234.11</v>
          </cell>
          <cell r="Q131">
            <v>229</v>
          </cell>
          <cell r="R131">
            <v>239</v>
          </cell>
          <cell r="W131">
            <v>0.53</v>
          </cell>
          <cell r="Z131">
            <v>2</v>
          </cell>
          <cell r="AE131">
            <v>-3</v>
          </cell>
          <cell r="AH131">
            <v>20</v>
          </cell>
        </row>
        <row r="132">
          <cell r="A132">
            <v>43297</v>
          </cell>
          <cell r="J132">
            <v>234.62</v>
          </cell>
          <cell r="Q132">
            <v>229</v>
          </cell>
          <cell r="R132">
            <v>239</v>
          </cell>
          <cell r="W132">
            <v>0.75</v>
          </cell>
          <cell r="Z132">
            <v>2</v>
          </cell>
          <cell r="AE132">
            <v>-10</v>
          </cell>
          <cell r="AH132">
            <v>20</v>
          </cell>
        </row>
        <row r="133">
          <cell r="A133">
            <v>43308</v>
          </cell>
          <cell r="J133">
            <v>235.79</v>
          </cell>
          <cell r="Q133">
            <v>229</v>
          </cell>
          <cell r="R133">
            <v>239</v>
          </cell>
          <cell r="W133">
            <v>0.65</v>
          </cell>
          <cell r="Z133">
            <v>2</v>
          </cell>
          <cell r="AE133">
            <v>-2</v>
          </cell>
          <cell r="AH133">
            <v>20</v>
          </cell>
        </row>
        <row r="134">
          <cell r="A134">
            <v>43321</v>
          </cell>
          <cell r="J134">
            <v>233.7</v>
          </cell>
          <cell r="Q134">
            <v>229</v>
          </cell>
          <cell r="R134">
            <v>239</v>
          </cell>
          <cell r="W134">
            <v>1.1299999999999999</v>
          </cell>
          <cell r="Z134">
            <v>2</v>
          </cell>
          <cell r="AE134">
            <v>-5</v>
          </cell>
          <cell r="AH134">
            <v>20</v>
          </cell>
        </row>
        <row r="135">
          <cell r="A135">
            <v>43326</v>
          </cell>
          <cell r="J135">
            <v>232.64</v>
          </cell>
          <cell r="Q135">
            <v>229</v>
          </cell>
          <cell r="R135">
            <v>239</v>
          </cell>
          <cell r="W135">
            <v>1.28</v>
          </cell>
          <cell r="Z135">
            <v>2</v>
          </cell>
          <cell r="AE135">
            <v>-4</v>
          </cell>
          <cell r="AH135">
            <v>20</v>
          </cell>
        </row>
        <row r="136">
          <cell r="A136">
            <v>43347</v>
          </cell>
          <cell r="J136">
            <v>234.84</v>
          </cell>
          <cell r="Q136">
            <v>229</v>
          </cell>
          <cell r="R136">
            <v>239</v>
          </cell>
          <cell r="W136">
            <v>0.73</v>
          </cell>
          <cell r="Z136">
            <v>2</v>
          </cell>
          <cell r="AE136">
            <v>-20</v>
          </cell>
          <cell r="AH136">
            <v>20</v>
          </cell>
        </row>
        <row r="137">
          <cell r="A137">
            <v>43367</v>
          </cell>
          <cell r="J137">
            <v>235.32</v>
          </cell>
          <cell r="Q137">
            <v>229</v>
          </cell>
          <cell r="R137">
            <v>239</v>
          </cell>
          <cell r="W137">
            <v>0.67</v>
          </cell>
          <cell r="Z137">
            <v>2</v>
          </cell>
          <cell r="AE137">
            <v>-18</v>
          </cell>
          <cell r="AH137">
            <v>20</v>
          </cell>
        </row>
        <row r="138">
          <cell r="A138">
            <v>43370</v>
          </cell>
          <cell r="J138">
            <v>233.12</v>
          </cell>
          <cell r="Q138">
            <v>229</v>
          </cell>
          <cell r="R138">
            <v>239</v>
          </cell>
          <cell r="W138">
            <v>0.61</v>
          </cell>
          <cell r="Z138">
            <v>2</v>
          </cell>
          <cell r="AE138">
            <v>-20</v>
          </cell>
          <cell r="AH138">
            <v>20</v>
          </cell>
        </row>
        <row r="139">
          <cell r="A139">
            <v>43386</v>
          </cell>
          <cell r="J139">
            <v>236.96</v>
          </cell>
          <cell r="Q139">
            <v>229</v>
          </cell>
          <cell r="R139">
            <v>239</v>
          </cell>
          <cell r="W139">
            <v>0.7</v>
          </cell>
          <cell r="Z139">
            <v>2</v>
          </cell>
          <cell r="AE139">
            <v>-6</v>
          </cell>
          <cell r="AH139">
            <v>20</v>
          </cell>
        </row>
        <row r="140">
          <cell r="A140">
            <v>43395</v>
          </cell>
          <cell r="J140">
            <v>236.73</v>
          </cell>
          <cell r="Q140">
            <v>229</v>
          </cell>
          <cell r="R140">
            <v>239</v>
          </cell>
          <cell r="W140">
            <v>0.85</v>
          </cell>
          <cell r="Z140">
            <v>2</v>
          </cell>
          <cell r="AE140">
            <v>-11</v>
          </cell>
          <cell r="AH140">
            <v>20</v>
          </cell>
        </row>
        <row r="141">
          <cell r="A141">
            <v>43416</v>
          </cell>
          <cell r="J141">
            <v>236.39</v>
          </cell>
          <cell r="Q141">
            <v>229</v>
          </cell>
          <cell r="R141">
            <v>239</v>
          </cell>
          <cell r="W141">
            <v>1</v>
          </cell>
          <cell r="Z141">
            <v>2</v>
          </cell>
          <cell r="AE141">
            <v>-2</v>
          </cell>
          <cell r="AH141">
            <v>20</v>
          </cell>
        </row>
        <row r="142">
          <cell r="A142">
            <v>43430</v>
          </cell>
          <cell r="J142">
            <v>236.76</v>
          </cell>
          <cell r="Q142">
            <v>229</v>
          </cell>
          <cell r="R142">
            <v>239</v>
          </cell>
          <cell r="W142">
            <v>0.85</v>
          </cell>
          <cell r="Z142">
            <v>2</v>
          </cell>
          <cell r="AE142">
            <v>0</v>
          </cell>
          <cell r="AH142">
            <v>20</v>
          </cell>
        </row>
        <row r="143">
          <cell r="A143">
            <v>43434</v>
          </cell>
          <cell r="J143">
            <v>236.77799999999999</v>
          </cell>
          <cell r="Q143">
            <v>229</v>
          </cell>
          <cell r="R143">
            <v>239</v>
          </cell>
          <cell r="W143">
            <v>0.68</v>
          </cell>
          <cell r="Z143">
            <v>2</v>
          </cell>
          <cell r="AE143">
            <v>-19</v>
          </cell>
        </row>
        <row r="144">
          <cell r="A144">
            <v>43460</v>
          </cell>
          <cell r="J144">
            <v>238.66</v>
          </cell>
          <cell r="Q144">
            <v>229</v>
          </cell>
          <cell r="R144">
            <v>239</v>
          </cell>
          <cell r="W144">
            <v>2.44</v>
          </cell>
          <cell r="Z144">
            <v>2</v>
          </cell>
          <cell r="AE144">
            <v>-8</v>
          </cell>
          <cell r="AH144">
            <v>20</v>
          </cell>
        </row>
        <row r="145">
          <cell r="A145">
            <v>43460</v>
          </cell>
          <cell r="J145">
            <v>240.1</v>
          </cell>
          <cell r="Q145">
            <v>229</v>
          </cell>
          <cell r="R145">
            <v>239</v>
          </cell>
          <cell r="W145">
            <v>2.4</v>
          </cell>
          <cell r="Z145">
            <v>2</v>
          </cell>
          <cell r="AE145">
            <v>-24</v>
          </cell>
          <cell r="AH145">
            <v>20</v>
          </cell>
        </row>
        <row r="146">
          <cell r="A146">
            <v>43461</v>
          </cell>
          <cell r="J146">
            <v>238.79</v>
          </cell>
          <cell r="Q146">
            <v>229</v>
          </cell>
          <cell r="R146">
            <v>239</v>
          </cell>
          <cell r="W146">
            <v>2.65</v>
          </cell>
          <cell r="Z146">
            <v>2</v>
          </cell>
        </row>
        <row r="147">
          <cell r="A147">
            <v>43466</v>
          </cell>
          <cell r="J147">
            <v>238.93</v>
          </cell>
          <cell r="Q147">
            <v>229</v>
          </cell>
          <cell r="R147">
            <v>239</v>
          </cell>
          <cell r="W147">
            <v>3.24</v>
          </cell>
          <cell r="Z147">
            <v>2</v>
          </cell>
        </row>
        <row r="148">
          <cell r="A148">
            <v>43466</v>
          </cell>
          <cell r="D148">
            <v>235.43</v>
          </cell>
          <cell r="J148">
            <v>238.37</v>
          </cell>
          <cell r="P148">
            <v>246.38</v>
          </cell>
          <cell r="Q148">
            <v>229</v>
          </cell>
          <cell r="R148">
            <v>239</v>
          </cell>
          <cell r="U148">
            <v>1.56</v>
          </cell>
          <cell r="W148">
            <v>2.87</v>
          </cell>
          <cell r="Y148">
            <v>1.33</v>
          </cell>
          <cell r="Z148">
            <v>2</v>
          </cell>
          <cell r="AH148">
            <v>20</v>
          </cell>
        </row>
        <row r="149">
          <cell r="A149">
            <v>43480</v>
          </cell>
          <cell r="D149">
            <v>234.63</v>
          </cell>
          <cell r="J149">
            <v>237.221</v>
          </cell>
          <cell r="P149">
            <v>247.46</v>
          </cell>
          <cell r="Q149">
            <v>229</v>
          </cell>
          <cell r="R149">
            <v>239</v>
          </cell>
          <cell r="U149">
            <v>1.43</v>
          </cell>
          <cell r="W149">
            <v>1.07</v>
          </cell>
          <cell r="Y149">
            <v>1.21</v>
          </cell>
          <cell r="Z149">
            <v>2</v>
          </cell>
          <cell r="AC149">
            <v>-10</v>
          </cell>
          <cell r="AE149">
            <v>-10</v>
          </cell>
          <cell r="AG149">
            <v>-11</v>
          </cell>
          <cell r="AH149">
            <v>20</v>
          </cell>
        </row>
        <row r="150">
          <cell r="A150">
            <v>43482</v>
          </cell>
          <cell r="D150">
            <v>238.69</v>
          </cell>
          <cell r="J150">
            <v>239.49</v>
          </cell>
          <cell r="P150">
            <v>246.82</v>
          </cell>
          <cell r="Q150">
            <v>229</v>
          </cell>
          <cell r="R150">
            <v>239</v>
          </cell>
          <cell r="U150">
            <v>4.6399999999999997</v>
          </cell>
          <cell r="W150">
            <v>3.66</v>
          </cell>
          <cell r="Y150">
            <v>1.54</v>
          </cell>
          <cell r="Z150">
            <v>2</v>
          </cell>
          <cell r="AC150">
            <v>-11</v>
          </cell>
          <cell r="AE150">
            <v>-12</v>
          </cell>
          <cell r="AG150">
            <v>-10</v>
          </cell>
          <cell r="AH150">
            <v>20</v>
          </cell>
        </row>
        <row r="151">
          <cell r="A151">
            <v>43486</v>
          </cell>
          <cell r="D151">
            <v>237.54</v>
          </cell>
          <cell r="J151">
            <v>239.78</v>
          </cell>
          <cell r="P151">
            <v>244.38</v>
          </cell>
          <cell r="Q151">
            <v>229</v>
          </cell>
          <cell r="R151">
            <v>239</v>
          </cell>
          <cell r="U151">
            <v>5.04</v>
          </cell>
          <cell r="W151">
            <v>4.24</v>
          </cell>
          <cell r="Y151">
            <v>2.76</v>
          </cell>
          <cell r="Z151">
            <v>2</v>
          </cell>
          <cell r="AC151">
            <v>-14</v>
          </cell>
          <cell r="AE151">
            <v>-12</v>
          </cell>
          <cell r="AG151">
            <v>-18</v>
          </cell>
          <cell r="AH151">
            <v>20</v>
          </cell>
        </row>
        <row r="152">
          <cell r="A152">
            <v>43488</v>
          </cell>
          <cell r="D152">
            <v>235.73</v>
          </cell>
          <cell r="J152">
            <v>243</v>
          </cell>
          <cell r="P152">
            <v>251.01</v>
          </cell>
          <cell r="Q152">
            <v>229</v>
          </cell>
          <cell r="R152">
            <v>239</v>
          </cell>
          <cell r="U152">
            <v>1.25</v>
          </cell>
          <cell r="W152">
            <v>3.65</v>
          </cell>
          <cell r="Y152">
            <v>5.7</v>
          </cell>
          <cell r="Z152">
            <v>2</v>
          </cell>
          <cell r="AC152">
            <v>-26</v>
          </cell>
          <cell r="AE152">
            <v>-10</v>
          </cell>
          <cell r="AG152">
            <v>-8</v>
          </cell>
          <cell r="AH152">
            <v>20</v>
          </cell>
        </row>
        <row r="153">
          <cell r="A153">
            <v>43488</v>
          </cell>
          <cell r="D153">
            <v>237.72</v>
          </cell>
          <cell r="J153">
            <v>238.36</v>
          </cell>
          <cell r="P153">
            <v>258.29000000000002</v>
          </cell>
          <cell r="Q153">
            <v>229</v>
          </cell>
          <cell r="R153">
            <v>239</v>
          </cell>
          <cell r="U153">
            <v>2.67</v>
          </cell>
          <cell r="W153">
            <v>1.48</v>
          </cell>
          <cell r="Y153">
            <v>3.73</v>
          </cell>
          <cell r="Z153">
            <v>2</v>
          </cell>
          <cell r="AH153">
            <v>20</v>
          </cell>
        </row>
        <row r="154">
          <cell r="A154">
            <v>43489</v>
          </cell>
          <cell r="D154">
            <v>236.13</v>
          </cell>
          <cell r="J154">
            <v>238.34</v>
          </cell>
          <cell r="P154">
            <v>246.3</v>
          </cell>
          <cell r="Q154">
            <v>229</v>
          </cell>
          <cell r="R154">
            <v>239</v>
          </cell>
          <cell r="U154">
            <v>1.42</v>
          </cell>
          <cell r="W154">
            <v>1.56</v>
          </cell>
          <cell r="Y154">
            <v>2.84</v>
          </cell>
          <cell r="Z154">
            <v>2</v>
          </cell>
          <cell r="AC154">
            <v>10</v>
          </cell>
          <cell r="AE154">
            <v>-1</v>
          </cell>
          <cell r="AG154">
            <v>1</v>
          </cell>
          <cell r="AH154">
            <v>20</v>
          </cell>
        </row>
        <row r="155">
          <cell r="A155">
            <v>43490</v>
          </cell>
          <cell r="D155">
            <v>235.74</v>
          </cell>
          <cell r="J155">
            <v>238.7</v>
          </cell>
          <cell r="P155">
            <v>245.37</v>
          </cell>
          <cell r="Q155">
            <v>229</v>
          </cell>
          <cell r="R155">
            <v>239</v>
          </cell>
          <cell r="U155">
            <v>1.29</v>
          </cell>
          <cell r="W155">
            <v>1.64</v>
          </cell>
          <cell r="Y155">
            <v>2.17</v>
          </cell>
          <cell r="Z155">
            <v>2</v>
          </cell>
          <cell r="AH155">
            <v>20</v>
          </cell>
        </row>
        <row r="156">
          <cell r="A156">
            <v>43493</v>
          </cell>
          <cell r="D156">
            <v>236.62</v>
          </cell>
          <cell r="J156">
            <v>237.29</v>
          </cell>
          <cell r="P156">
            <v>248.43</v>
          </cell>
          <cell r="Q156">
            <v>229</v>
          </cell>
          <cell r="R156">
            <v>239</v>
          </cell>
          <cell r="U156">
            <v>2.5299999999999998</v>
          </cell>
          <cell r="W156">
            <v>0.66</v>
          </cell>
          <cell r="Y156">
            <v>1.06</v>
          </cell>
          <cell r="Z156">
            <v>2</v>
          </cell>
          <cell r="AC156">
            <v>-18</v>
          </cell>
          <cell r="AE156">
            <v>-7</v>
          </cell>
          <cell r="AG156">
            <v>-5</v>
          </cell>
          <cell r="AH156">
            <v>20</v>
          </cell>
        </row>
        <row r="157">
          <cell r="A157">
            <v>43495</v>
          </cell>
          <cell r="D157">
            <v>234.6</v>
          </cell>
          <cell r="J157">
            <v>237.71</v>
          </cell>
          <cell r="P157">
            <v>247.52</v>
          </cell>
          <cell r="Q157">
            <v>229</v>
          </cell>
          <cell r="R157">
            <v>239</v>
          </cell>
          <cell r="U157">
            <v>0.89</v>
          </cell>
          <cell r="W157">
            <v>1.05</v>
          </cell>
          <cell r="Y157">
            <v>1.24</v>
          </cell>
          <cell r="Z157">
            <v>2</v>
          </cell>
          <cell r="AC157">
            <v>-11</v>
          </cell>
          <cell r="AE157">
            <v>-4</v>
          </cell>
          <cell r="AG157">
            <v>-13</v>
          </cell>
          <cell r="AH157">
            <v>20</v>
          </cell>
        </row>
        <row r="158">
          <cell r="A158">
            <v>43497</v>
          </cell>
          <cell r="D158">
            <v>244.53</v>
          </cell>
          <cell r="J158">
            <v>248.17</v>
          </cell>
          <cell r="P158">
            <v>250.96</v>
          </cell>
          <cell r="Q158">
            <v>229</v>
          </cell>
          <cell r="R158">
            <v>239</v>
          </cell>
          <cell r="U158">
            <v>0.9</v>
          </cell>
          <cell r="W158">
            <v>1.94</v>
          </cell>
          <cell r="Y158">
            <v>2.57</v>
          </cell>
          <cell r="Z158">
            <v>2</v>
          </cell>
          <cell r="AC158">
            <v>-25</v>
          </cell>
          <cell r="AE158">
            <v>-4</v>
          </cell>
          <cell r="AG158">
            <v>-2</v>
          </cell>
          <cell r="AH158">
            <v>20</v>
          </cell>
        </row>
        <row r="159">
          <cell r="A159">
            <v>43497</v>
          </cell>
          <cell r="D159">
            <v>231.68</v>
          </cell>
          <cell r="J159">
            <v>233.6</v>
          </cell>
          <cell r="P159">
            <v>235.16</v>
          </cell>
          <cell r="Q159">
            <v>229</v>
          </cell>
          <cell r="R159">
            <v>239</v>
          </cell>
          <cell r="U159">
            <v>1.0900000000000001</v>
          </cell>
          <cell r="W159">
            <v>0.68</v>
          </cell>
          <cell r="Y159">
            <v>1.6</v>
          </cell>
          <cell r="Z159">
            <v>2</v>
          </cell>
          <cell r="AH159">
            <v>20</v>
          </cell>
        </row>
        <row r="160">
          <cell r="A160">
            <v>43500</v>
          </cell>
          <cell r="D160">
            <v>238.03</v>
          </cell>
          <cell r="J160">
            <v>241.64</v>
          </cell>
          <cell r="P160">
            <v>242.92</v>
          </cell>
          <cell r="Q160">
            <v>229</v>
          </cell>
          <cell r="R160">
            <v>239</v>
          </cell>
          <cell r="U160">
            <v>4.9800000000000004</v>
          </cell>
          <cell r="W160">
            <v>6.7</v>
          </cell>
          <cell r="Y160">
            <v>6.35</v>
          </cell>
          <cell r="Z160">
            <v>2</v>
          </cell>
          <cell r="AC160">
            <v>-19</v>
          </cell>
          <cell r="AE160">
            <v>-5</v>
          </cell>
          <cell r="AG160">
            <v>-4</v>
          </cell>
          <cell r="AH160">
            <v>20</v>
          </cell>
        </row>
        <row r="161">
          <cell r="A161">
            <v>43500</v>
          </cell>
          <cell r="D161">
            <v>232.4</v>
          </cell>
          <cell r="J161">
            <v>234.17</v>
          </cell>
          <cell r="P161">
            <v>233.19</v>
          </cell>
          <cell r="Q161">
            <v>229</v>
          </cell>
          <cell r="R161">
            <v>239</v>
          </cell>
          <cell r="U161">
            <v>1.29</v>
          </cell>
          <cell r="W161">
            <v>1.05</v>
          </cell>
          <cell r="Y161">
            <v>1.05</v>
          </cell>
          <cell r="Z161">
            <v>2</v>
          </cell>
          <cell r="AC161">
            <v>-3</v>
          </cell>
          <cell r="AE161">
            <v>-13</v>
          </cell>
          <cell r="AG161">
            <v>-1</v>
          </cell>
          <cell r="AH161">
            <v>20</v>
          </cell>
        </row>
        <row r="162">
          <cell r="A162">
            <v>43502</v>
          </cell>
          <cell r="D162">
            <v>235.01</v>
          </cell>
          <cell r="J162">
            <v>238.2</v>
          </cell>
          <cell r="P162">
            <v>238.11</v>
          </cell>
          <cell r="Q162">
            <v>229</v>
          </cell>
          <cell r="R162">
            <v>239</v>
          </cell>
          <cell r="U162">
            <v>2.34</v>
          </cell>
          <cell r="W162">
            <v>3.24</v>
          </cell>
          <cell r="Y162">
            <v>2.5</v>
          </cell>
          <cell r="Z162">
            <v>2</v>
          </cell>
          <cell r="AC162">
            <v>-14</v>
          </cell>
          <cell r="AE162">
            <v>-12</v>
          </cell>
          <cell r="AG162">
            <v>-1</v>
          </cell>
          <cell r="AH162">
            <v>20</v>
          </cell>
        </row>
        <row r="163">
          <cell r="A163">
            <v>43507</v>
          </cell>
          <cell r="D163">
            <v>232.1</v>
          </cell>
          <cell r="J163">
            <v>232.56</v>
          </cell>
          <cell r="P163">
            <v>237.62</v>
          </cell>
          <cell r="Q163">
            <v>229</v>
          </cell>
          <cell r="R163">
            <v>239</v>
          </cell>
          <cell r="U163">
            <v>1.02</v>
          </cell>
          <cell r="W163">
            <v>0.61</v>
          </cell>
          <cell r="Y163">
            <v>2.02</v>
          </cell>
          <cell r="Z163">
            <v>2</v>
          </cell>
          <cell r="AC163">
            <v>-11</v>
          </cell>
          <cell r="AE163">
            <v>-5</v>
          </cell>
          <cell r="AG163">
            <v>-20</v>
          </cell>
          <cell r="AH163">
            <v>20</v>
          </cell>
        </row>
        <row r="164">
          <cell r="A164">
            <v>43521</v>
          </cell>
          <cell r="D164">
            <v>232.94</v>
          </cell>
          <cell r="J164">
            <v>233.97</v>
          </cell>
          <cell r="P164">
            <v>235.47</v>
          </cell>
          <cell r="Q164">
            <v>229</v>
          </cell>
          <cell r="R164">
            <v>239</v>
          </cell>
          <cell r="U164">
            <v>1.84</v>
          </cell>
          <cell r="W164">
            <v>0.76</v>
          </cell>
          <cell r="Y164">
            <v>1.28</v>
          </cell>
          <cell r="Z164">
            <v>2</v>
          </cell>
          <cell r="AC164">
            <v>-12</v>
          </cell>
          <cell r="AE164">
            <v>-6</v>
          </cell>
          <cell r="AG164">
            <v>-7</v>
          </cell>
          <cell r="AH164">
            <v>20</v>
          </cell>
        </row>
        <row r="165">
          <cell r="A165">
            <v>43522</v>
          </cell>
          <cell r="D165">
            <v>233.28</v>
          </cell>
          <cell r="J165">
            <v>232.22</v>
          </cell>
          <cell r="P165">
            <v>233.01</v>
          </cell>
          <cell r="Q165">
            <v>229</v>
          </cell>
          <cell r="R165">
            <v>239</v>
          </cell>
          <cell r="U165">
            <v>1.48</v>
          </cell>
          <cell r="W165">
            <v>0.95</v>
          </cell>
          <cell r="Y165">
            <v>0.74</v>
          </cell>
          <cell r="Z165">
            <v>2</v>
          </cell>
          <cell r="AC165">
            <v>-16</v>
          </cell>
          <cell r="AE165">
            <v>-14</v>
          </cell>
          <cell r="AG165">
            <v>-10</v>
          </cell>
          <cell r="AH165">
            <v>20</v>
          </cell>
        </row>
        <row r="166">
          <cell r="A166">
            <v>43532</v>
          </cell>
          <cell r="D166">
            <v>230.95</v>
          </cell>
          <cell r="J166">
            <v>231.78</v>
          </cell>
          <cell r="P166">
            <v>235.4</v>
          </cell>
          <cell r="Q166">
            <v>229</v>
          </cell>
          <cell r="R166">
            <v>239</v>
          </cell>
          <cell r="U166">
            <v>0.84</v>
          </cell>
          <cell r="W166">
            <v>0.85</v>
          </cell>
          <cell r="Y166">
            <v>1.07</v>
          </cell>
          <cell r="Z166">
            <v>2</v>
          </cell>
          <cell r="AC166">
            <v>-17</v>
          </cell>
          <cell r="AE166">
            <v>-5</v>
          </cell>
          <cell r="AG166">
            <v>-8</v>
          </cell>
          <cell r="AH166">
            <v>20</v>
          </cell>
        </row>
        <row r="167">
          <cell r="A167">
            <v>43536</v>
          </cell>
          <cell r="D167">
            <v>231.38</v>
          </cell>
          <cell r="J167">
            <v>230.24</v>
          </cell>
          <cell r="P167">
            <v>235.13</v>
          </cell>
          <cell r="Q167">
            <v>229</v>
          </cell>
          <cell r="R167">
            <v>239</v>
          </cell>
          <cell r="U167">
            <v>0.71</v>
          </cell>
          <cell r="W167">
            <v>0.53</v>
          </cell>
          <cell r="Y167">
            <v>0.82</v>
          </cell>
          <cell r="Z167">
            <v>2</v>
          </cell>
          <cell r="AC167">
            <v>-15</v>
          </cell>
          <cell r="AE167">
            <v>-36</v>
          </cell>
          <cell r="AG167">
            <v>-8</v>
          </cell>
          <cell r="AH167">
            <v>20</v>
          </cell>
        </row>
        <row r="168">
          <cell r="A168">
            <v>43539</v>
          </cell>
          <cell r="J168">
            <v>232.61</v>
          </cell>
          <cell r="Q168">
            <v>229</v>
          </cell>
          <cell r="R168">
            <v>239</v>
          </cell>
          <cell r="W168">
            <v>2.4500000000000002</v>
          </cell>
          <cell r="Z168">
            <v>2</v>
          </cell>
          <cell r="AH168">
            <v>20</v>
          </cell>
        </row>
        <row r="169">
          <cell r="A169">
            <v>43542</v>
          </cell>
          <cell r="J169">
            <v>231.23</v>
          </cell>
          <cell r="Q169">
            <v>229</v>
          </cell>
          <cell r="R169">
            <v>239</v>
          </cell>
          <cell r="W169">
            <v>1.46</v>
          </cell>
          <cell r="Z169">
            <v>2</v>
          </cell>
          <cell r="AE169">
            <v>-4</v>
          </cell>
          <cell r="AH169">
            <v>20</v>
          </cell>
        </row>
        <row r="170">
          <cell r="A170">
            <v>43558</v>
          </cell>
          <cell r="D170">
            <v>230.98</v>
          </cell>
          <cell r="J170">
            <v>233.22</v>
          </cell>
          <cell r="P170">
            <v>235.83</v>
          </cell>
          <cell r="Q170">
            <v>229</v>
          </cell>
          <cell r="R170">
            <v>239</v>
          </cell>
          <cell r="U170">
            <v>1.58</v>
          </cell>
          <cell r="W170">
            <v>1.66</v>
          </cell>
          <cell r="Y170">
            <v>2.97</v>
          </cell>
          <cell r="Z170">
            <v>2</v>
          </cell>
          <cell r="AC170">
            <v>-9</v>
          </cell>
          <cell r="AE170">
            <v>-6</v>
          </cell>
          <cell r="AG170">
            <v>-9</v>
          </cell>
          <cell r="AH170">
            <v>20</v>
          </cell>
        </row>
        <row r="171">
          <cell r="A171">
            <v>43591</v>
          </cell>
          <cell r="D171">
            <v>238.45</v>
          </cell>
          <cell r="J171">
            <v>242.01</v>
          </cell>
          <cell r="P171">
            <v>241.07</v>
          </cell>
          <cell r="Q171">
            <v>229</v>
          </cell>
          <cell r="R171">
            <v>239</v>
          </cell>
          <cell r="U171">
            <v>2.94</v>
          </cell>
          <cell r="W171">
            <v>1.76</v>
          </cell>
          <cell r="Y171">
            <v>1.1200000000000001</v>
          </cell>
          <cell r="Z171">
            <v>2</v>
          </cell>
          <cell r="AC171">
            <v>-11</v>
          </cell>
          <cell r="AE171">
            <v>-3</v>
          </cell>
          <cell r="AG171">
            <v>-8</v>
          </cell>
          <cell r="AH171">
            <v>20</v>
          </cell>
        </row>
        <row r="172">
          <cell r="Q172">
            <v>229</v>
          </cell>
          <cell r="R172">
            <v>239</v>
          </cell>
          <cell r="Z172">
            <v>2</v>
          </cell>
          <cell r="AH172">
            <v>20</v>
          </cell>
        </row>
        <row r="173">
          <cell r="Q173">
            <v>229</v>
          </cell>
          <cell r="R173">
            <v>239</v>
          </cell>
          <cell r="Z173">
            <v>2</v>
          </cell>
          <cell r="AH173">
            <v>20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="80" zoomScaleNormal="80" workbookViewId="0">
      <pane ySplit="10" topLeftCell="A11" activePane="bottomLeft" state="frozen"/>
      <selection pane="bottomLeft" activeCell="D32" sqref="D32"/>
    </sheetView>
  </sheetViews>
  <sheetFormatPr defaultColWidth="8.26953125" defaultRowHeight="13.3" x14ac:dyDescent="0.3"/>
  <cols>
    <col min="1" max="1" width="10.36328125" style="47" customWidth="1"/>
    <col min="2" max="2" width="7.6328125" style="3" customWidth="1"/>
    <col min="3" max="3" width="4.54296875" style="3" customWidth="1"/>
    <col min="4" max="7" width="8.26953125" style="3"/>
    <col min="8" max="8" width="8.26953125" style="3" customWidth="1"/>
    <col min="9" max="9" width="8.26953125" style="3"/>
    <col min="10" max="10" width="6.453125" style="4" customWidth="1"/>
    <col min="11" max="11" width="7" style="4" customWidth="1"/>
    <col min="12" max="12" width="7.54296875" style="4" customWidth="1"/>
    <col min="13" max="13" width="12.36328125" style="3" customWidth="1"/>
    <col min="14" max="14" width="55.7265625" style="3" customWidth="1"/>
    <col min="15" max="256" width="8.26953125" style="3"/>
    <col min="257" max="257" width="10.36328125" style="3" customWidth="1"/>
    <col min="258" max="258" width="7.6328125" style="3" customWidth="1"/>
    <col min="259" max="259" width="4.54296875" style="3" customWidth="1"/>
    <col min="260" max="263" width="8.26953125" style="3"/>
    <col min="264" max="264" width="8.26953125" style="3" customWidth="1"/>
    <col min="265" max="265" width="8.26953125" style="3"/>
    <col min="266" max="266" width="6.453125" style="3" customWidth="1"/>
    <col min="267" max="267" width="7" style="3" customWidth="1"/>
    <col min="268" max="268" width="7.54296875" style="3" customWidth="1"/>
    <col min="269" max="269" width="12.36328125" style="3" customWidth="1"/>
    <col min="270" max="270" width="55.7265625" style="3" customWidth="1"/>
    <col min="271" max="512" width="8.26953125" style="3"/>
    <col min="513" max="513" width="10.36328125" style="3" customWidth="1"/>
    <col min="514" max="514" width="7.6328125" style="3" customWidth="1"/>
    <col min="515" max="515" width="4.54296875" style="3" customWidth="1"/>
    <col min="516" max="519" width="8.26953125" style="3"/>
    <col min="520" max="520" width="8.26953125" style="3" customWidth="1"/>
    <col min="521" max="521" width="8.26953125" style="3"/>
    <col min="522" max="522" width="6.453125" style="3" customWidth="1"/>
    <col min="523" max="523" width="7" style="3" customWidth="1"/>
    <col min="524" max="524" width="7.54296875" style="3" customWidth="1"/>
    <col min="525" max="525" width="12.36328125" style="3" customWidth="1"/>
    <col min="526" max="526" width="55.7265625" style="3" customWidth="1"/>
    <col min="527" max="768" width="8.26953125" style="3"/>
    <col min="769" max="769" width="10.36328125" style="3" customWidth="1"/>
    <col min="770" max="770" width="7.6328125" style="3" customWidth="1"/>
    <col min="771" max="771" width="4.54296875" style="3" customWidth="1"/>
    <col min="772" max="775" width="8.26953125" style="3"/>
    <col min="776" max="776" width="8.26953125" style="3" customWidth="1"/>
    <col min="777" max="777" width="8.26953125" style="3"/>
    <col min="778" max="778" width="6.453125" style="3" customWidth="1"/>
    <col min="779" max="779" width="7" style="3" customWidth="1"/>
    <col min="780" max="780" width="7.54296875" style="3" customWidth="1"/>
    <col min="781" max="781" width="12.36328125" style="3" customWidth="1"/>
    <col min="782" max="782" width="55.7265625" style="3" customWidth="1"/>
    <col min="783" max="1024" width="8.26953125" style="3"/>
    <col min="1025" max="1025" width="10.36328125" style="3" customWidth="1"/>
    <col min="1026" max="1026" width="7.6328125" style="3" customWidth="1"/>
    <col min="1027" max="1027" width="4.54296875" style="3" customWidth="1"/>
    <col min="1028" max="1031" width="8.26953125" style="3"/>
    <col min="1032" max="1032" width="8.26953125" style="3" customWidth="1"/>
    <col min="1033" max="1033" width="8.26953125" style="3"/>
    <col min="1034" max="1034" width="6.453125" style="3" customWidth="1"/>
    <col min="1035" max="1035" width="7" style="3" customWidth="1"/>
    <col min="1036" max="1036" width="7.54296875" style="3" customWidth="1"/>
    <col min="1037" max="1037" width="12.36328125" style="3" customWidth="1"/>
    <col min="1038" max="1038" width="55.7265625" style="3" customWidth="1"/>
    <col min="1039" max="1280" width="8.26953125" style="3"/>
    <col min="1281" max="1281" width="10.36328125" style="3" customWidth="1"/>
    <col min="1282" max="1282" width="7.6328125" style="3" customWidth="1"/>
    <col min="1283" max="1283" width="4.54296875" style="3" customWidth="1"/>
    <col min="1284" max="1287" width="8.26953125" style="3"/>
    <col min="1288" max="1288" width="8.26953125" style="3" customWidth="1"/>
    <col min="1289" max="1289" width="8.26953125" style="3"/>
    <col min="1290" max="1290" width="6.453125" style="3" customWidth="1"/>
    <col min="1291" max="1291" width="7" style="3" customWidth="1"/>
    <col min="1292" max="1292" width="7.54296875" style="3" customWidth="1"/>
    <col min="1293" max="1293" width="12.36328125" style="3" customWidth="1"/>
    <col min="1294" max="1294" width="55.7265625" style="3" customWidth="1"/>
    <col min="1295" max="1536" width="8.26953125" style="3"/>
    <col min="1537" max="1537" width="10.36328125" style="3" customWidth="1"/>
    <col min="1538" max="1538" width="7.6328125" style="3" customWidth="1"/>
    <col min="1539" max="1539" width="4.54296875" style="3" customWidth="1"/>
    <col min="1540" max="1543" width="8.26953125" style="3"/>
    <col min="1544" max="1544" width="8.26953125" style="3" customWidth="1"/>
    <col min="1545" max="1545" width="8.26953125" style="3"/>
    <col min="1546" max="1546" width="6.453125" style="3" customWidth="1"/>
    <col min="1547" max="1547" width="7" style="3" customWidth="1"/>
    <col min="1548" max="1548" width="7.54296875" style="3" customWidth="1"/>
    <col min="1549" max="1549" width="12.36328125" style="3" customWidth="1"/>
    <col min="1550" max="1550" width="55.7265625" style="3" customWidth="1"/>
    <col min="1551" max="1792" width="8.26953125" style="3"/>
    <col min="1793" max="1793" width="10.36328125" style="3" customWidth="1"/>
    <col min="1794" max="1794" width="7.6328125" style="3" customWidth="1"/>
    <col min="1795" max="1795" width="4.54296875" style="3" customWidth="1"/>
    <col min="1796" max="1799" width="8.26953125" style="3"/>
    <col min="1800" max="1800" width="8.26953125" style="3" customWidth="1"/>
    <col min="1801" max="1801" width="8.26953125" style="3"/>
    <col min="1802" max="1802" width="6.453125" style="3" customWidth="1"/>
    <col min="1803" max="1803" width="7" style="3" customWidth="1"/>
    <col min="1804" max="1804" width="7.54296875" style="3" customWidth="1"/>
    <col min="1805" max="1805" width="12.36328125" style="3" customWidth="1"/>
    <col min="1806" max="1806" width="55.7265625" style="3" customWidth="1"/>
    <col min="1807" max="2048" width="8.26953125" style="3"/>
    <col min="2049" max="2049" width="10.36328125" style="3" customWidth="1"/>
    <col min="2050" max="2050" width="7.6328125" style="3" customWidth="1"/>
    <col min="2051" max="2051" width="4.54296875" style="3" customWidth="1"/>
    <col min="2052" max="2055" width="8.26953125" style="3"/>
    <col min="2056" max="2056" width="8.26953125" style="3" customWidth="1"/>
    <col min="2057" max="2057" width="8.26953125" style="3"/>
    <col min="2058" max="2058" width="6.453125" style="3" customWidth="1"/>
    <col min="2059" max="2059" width="7" style="3" customWidth="1"/>
    <col min="2060" max="2060" width="7.54296875" style="3" customWidth="1"/>
    <col min="2061" max="2061" width="12.36328125" style="3" customWidth="1"/>
    <col min="2062" max="2062" width="55.7265625" style="3" customWidth="1"/>
    <col min="2063" max="2304" width="8.26953125" style="3"/>
    <col min="2305" max="2305" width="10.36328125" style="3" customWidth="1"/>
    <col min="2306" max="2306" width="7.6328125" style="3" customWidth="1"/>
    <col min="2307" max="2307" width="4.54296875" style="3" customWidth="1"/>
    <col min="2308" max="2311" width="8.26953125" style="3"/>
    <col min="2312" max="2312" width="8.26953125" style="3" customWidth="1"/>
    <col min="2313" max="2313" width="8.26953125" style="3"/>
    <col min="2314" max="2314" width="6.453125" style="3" customWidth="1"/>
    <col min="2315" max="2315" width="7" style="3" customWidth="1"/>
    <col min="2316" max="2316" width="7.54296875" style="3" customWidth="1"/>
    <col min="2317" max="2317" width="12.36328125" style="3" customWidth="1"/>
    <col min="2318" max="2318" width="55.7265625" style="3" customWidth="1"/>
    <col min="2319" max="2560" width="8.26953125" style="3"/>
    <col min="2561" max="2561" width="10.36328125" style="3" customWidth="1"/>
    <col min="2562" max="2562" width="7.6328125" style="3" customWidth="1"/>
    <col min="2563" max="2563" width="4.54296875" style="3" customWidth="1"/>
    <col min="2564" max="2567" width="8.26953125" style="3"/>
    <col min="2568" max="2568" width="8.26953125" style="3" customWidth="1"/>
    <col min="2569" max="2569" width="8.26953125" style="3"/>
    <col min="2570" max="2570" width="6.453125" style="3" customWidth="1"/>
    <col min="2571" max="2571" width="7" style="3" customWidth="1"/>
    <col min="2572" max="2572" width="7.54296875" style="3" customWidth="1"/>
    <col min="2573" max="2573" width="12.36328125" style="3" customWidth="1"/>
    <col min="2574" max="2574" width="55.7265625" style="3" customWidth="1"/>
    <col min="2575" max="2816" width="8.26953125" style="3"/>
    <col min="2817" max="2817" width="10.36328125" style="3" customWidth="1"/>
    <col min="2818" max="2818" width="7.6328125" style="3" customWidth="1"/>
    <col min="2819" max="2819" width="4.54296875" style="3" customWidth="1"/>
    <col min="2820" max="2823" width="8.26953125" style="3"/>
    <col min="2824" max="2824" width="8.26953125" style="3" customWidth="1"/>
    <col min="2825" max="2825" width="8.26953125" style="3"/>
    <col min="2826" max="2826" width="6.453125" style="3" customWidth="1"/>
    <col min="2827" max="2827" width="7" style="3" customWidth="1"/>
    <col min="2828" max="2828" width="7.54296875" style="3" customWidth="1"/>
    <col min="2829" max="2829" width="12.36328125" style="3" customWidth="1"/>
    <col min="2830" max="2830" width="55.7265625" style="3" customWidth="1"/>
    <col min="2831" max="3072" width="8.26953125" style="3"/>
    <col min="3073" max="3073" width="10.36328125" style="3" customWidth="1"/>
    <col min="3074" max="3074" width="7.6328125" style="3" customWidth="1"/>
    <col min="3075" max="3075" width="4.54296875" style="3" customWidth="1"/>
    <col min="3076" max="3079" width="8.26953125" style="3"/>
    <col min="3080" max="3080" width="8.26953125" style="3" customWidth="1"/>
    <col min="3081" max="3081" width="8.26953125" style="3"/>
    <col min="3082" max="3082" width="6.453125" style="3" customWidth="1"/>
    <col min="3083" max="3083" width="7" style="3" customWidth="1"/>
    <col min="3084" max="3084" width="7.54296875" style="3" customWidth="1"/>
    <col min="3085" max="3085" width="12.36328125" style="3" customWidth="1"/>
    <col min="3086" max="3086" width="55.7265625" style="3" customWidth="1"/>
    <col min="3087" max="3328" width="8.26953125" style="3"/>
    <col min="3329" max="3329" width="10.36328125" style="3" customWidth="1"/>
    <col min="3330" max="3330" width="7.6328125" style="3" customWidth="1"/>
    <col min="3331" max="3331" width="4.54296875" style="3" customWidth="1"/>
    <col min="3332" max="3335" width="8.26953125" style="3"/>
    <col min="3336" max="3336" width="8.26953125" style="3" customWidth="1"/>
    <col min="3337" max="3337" width="8.26953125" style="3"/>
    <col min="3338" max="3338" width="6.453125" style="3" customWidth="1"/>
    <col min="3339" max="3339" width="7" style="3" customWidth="1"/>
    <col min="3340" max="3340" width="7.54296875" style="3" customWidth="1"/>
    <col min="3341" max="3341" width="12.36328125" style="3" customWidth="1"/>
    <col min="3342" max="3342" width="55.7265625" style="3" customWidth="1"/>
    <col min="3343" max="3584" width="8.26953125" style="3"/>
    <col min="3585" max="3585" width="10.36328125" style="3" customWidth="1"/>
    <col min="3586" max="3586" width="7.6328125" style="3" customWidth="1"/>
    <col min="3587" max="3587" width="4.54296875" style="3" customWidth="1"/>
    <col min="3588" max="3591" width="8.26953125" style="3"/>
    <col min="3592" max="3592" width="8.26953125" style="3" customWidth="1"/>
    <col min="3593" max="3593" width="8.26953125" style="3"/>
    <col min="3594" max="3594" width="6.453125" style="3" customWidth="1"/>
    <col min="3595" max="3595" width="7" style="3" customWidth="1"/>
    <col min="3596" max="3596" width="7.54296875" style="3" customWidth="1"/>
    <col min="3597" max="3597" width="12.36328125" style="3" customWidth="1"/>
    <col min="3598" max="3598" width="55.7265625" style="3" customWidth="1"/>
    <col min="3599" max="3840" width="8.26953125" style="3"/>
    <col min="3841" max="3841" width="10.36328125" style="3" customWidth="1"/>
    <col min="3842" max="3842" width="7.6328125" style="3" customWidth="1"/>
    <col min="3843" max="3843" width="4.54296875" style="3" customWidth="1"/>
    <col min="3844" max="3847" width="8.26953125" style="3"/>
    <col min="3848" max="3848" width="8.26953125" style="3" customWidth="1"/>
    <col min="3849" max="3849" width="8.26953125" style="3"/>
    <col min="3850" max="3850" width="6.453125" style="3" customWidth="1"/>
    <col min="3851" max="3851" width="7" style="3" customWidth="1"/>
    <col min="3852" max="3852" width="7.54296875" style="3" customWidth="1"/>
    <col min="3853" max="3853" width="12.36328125" style="3" customWidth="1"/>
    <col min="3854" max="3854" width="55.7265625" style="3" customWidth="1"/>
    <col min="3855" max="4096" width="8.26953125" style="3"/>
    <col min="4097" max="4097" width="10.36328125" style="3" customWidth="1"/>
    <col min="4098" max="4098" width="7.6328125" style="3" customWidth="1"/>
    <col min="4099" max="4099" width="4.54296875" style="3" customWidth="1"/>
    <col min="4100" max="4103" width="8.26953125" style="3"/>
    <col min="4104" max="4104" width="8.26953125" style="3" customWidth="1"/>
    <col min="4105" max="4105" width="8.26953125" style="3"/>
    <col min="4106" max="4106" width="6.453125" style="3" customWidth="1"/>
    <col min="4107" max="4107" width="7" style="3" customWidth="1"/>
    <col min="4108" max="4108" width="7.54296875" style="3" customWidth="1"/>
    <col min="4109" max="4109" width="12.36328125" style="3" customWidth="1"/>
    <col min="4110" max="4110" width="55.7265625" style="3" customWidth="1"/>
    <col min="4111" max="4352" width="8.26953125" style="3"/>
    <col min="4353" max="4353" width="10.36328125" style="3" customWidth="1"/>
    <col min="4354" max="4354" width="7.6328125" style="3" customWidth="1"/>
    <col min="4355" max="4355" width="4.54296875" style="3" customWidth="1"/>
    <col min="4356" max="4359" width="8.26953125" style="3"/>
    <col min="4360" max="4360" width="8.26953125" style="3" customWidth="1"/>
    <col min="4361" max="4361" width="8.26953125" style="3"/>
    <col min="4362" max="4362" width="6.453125" style="3" customWidth="1"/>
    <col min="4363" max="4363" width="7" style="3" customWidth="1"/>
    <col min="4364" max="4364" width="7.54296875" style="3" customWidth="1"/>
    <col min="4365" max="4365" width="12.36328125" style="3" customWidth="1"/>
    <col min="4366" max="4366" width="55.7265625" style="3" customWidth="1"/>
    <col min="4367" max="4608" width="8.26953125" style="3"/>
    <col min="4609" max="4609" width="10.36328125" style="3" customWidth="1"/>
    <col min="4610" max="4610" width="7.6328125" style="3" customWidth="1"/>
    <col min="4611" max="4611" width="4.54296875" style="3" customWidth="1"/>
    <col min="4612" max="4615" width="8.26953125" style="3"/>
    <col min="4616" max="4616" width="8.26953125" style="3" customWidth="1"/>
    <col min="4617" max="4617" width="8.26953125" style="3"/>
    <col min="4618" max="4618" width="6.453125" style="3" customWidth="1"/>
    <col min="4619" max="4619" width="7" style="3" customWidth="1"/>
    <col min="4620" max="4620" width="7.54296875" style="3" customWidth="1"/>
    <col min="4621" max="4621" width="12.36328125" style="3" customWidth="1"/>
    <col min="4622" max="4622" width="55.7265625" style="3" customWidth="1"/>
    <col min="4623" max="4864" width="8.26953125" style="3"/>
    <col min="4865" max="4865" width="10.36328125" style="3" customWidth="1"/>
    <col min="4866" max="4866" width="7.6328125" style="3" customWidth="1"/>
    <col min="4867" max="4867" width="4.54296875" style="3" customWidth="1"/>
    <col min="4868" max="4871" width="8.26953125" style="3"/>
    <col min="4872" max="4872" width="8.26953125" style="3" customWidth="1"/>
    <col min="4873" max="4873" width="8.26953125" style="3"/>
    <col min="4874" max="4874" width="6.453125" style="3" customWidth="1"/>
    <col min="4875" max="4875" width="7" style="3" customWidth="1"/>
    <col min="4876" max="4876" width="7.54296875" style="3" customWidth="1"/>
    <col min="4877" max="4877" width="12.36328125" style="3" customWidth="1"/>
    <col min="4878" max="4878" width="55.7265625" style="3" customWidth="1"/>
    <col min="4879" max="5120" width="8.26953125" style="3"/>
    <col min="5121" max="5121" width="10.36328125" style="3" customWidth="1"/>
    <col min="5122" max="5122" width="7.6328125" style="3" customWidth="1"/>
    <col min="5123" max="5123" width="4.54296875" style="3" customWidth="1"/>
    <col min="5124" max="5127" width="8.26953125" style="3"/>
    <col min="5128" max="5128" width="8.26953125" style="3" customWidth="1"/>
    <col min="5129" max="5129" width="8.26953125" style="3"/>
    <col min="5130" max="5130" width="6.453125" style="3" customWidth="1"/>
    <col min="5131" max="5131" width="7" style="3" customWidth="1"/>
    <col min="5132" max="5132" width="7.54296875" style="3" customWidth="1"/>
    <col min="5133" max="5133" width="12.36328125" style="3" customWidth="1"/>
    <col min="5134" max="5134" width="55.7265625" style="3" customWidth="1"/>
    <col min="5135" max="5376" width="8.26953125" style="3"/>
    <col min="5377" max="5377" width="10.36328125" style="3" customWidth="1"/>
    <col min="5378" max="5378" width="7.6328125" style="3" customWidth="1"/>
    <col min="5379" max="5379" width="4.54296875" style="3" customWidth="1"/>
    <col min="5380" max="5383" width="8.26953125" style="3"/>
    <col min="5384" max="5384" width="8.26953125" style="3" customWidth="1"/>
    <col min="5385" max="5385" width="8.26953125" style="3"/>
    <col min="5386" max="5386" width="6.453125" style="3" customWidth="1"/>
    <col min="5387" max="5387" width="7" style="3" customWidth="1"/>
    <col min="5388" max="5388" width="7.54296875" style="3" customWidth="1"/>
    <col min="5389" max="5389" width="12.36328125" style="3" customWidth="1"/>
    <col min="5390" max="5390" width="55.7265625" style="3" customWidth="1"/>
    <col min="5391" max="5632" width="8.26953125" style="3"/>
    <col min="5633" max="5633" width="10.36328125" style="3" customWidth="1"/>
    <col min="5634" max="5634" width="7.6328125" style="3" customWidth="1"/>
    <col min="5635" max="5635" width="4.54296875" style="3" customWidth="1"/>
    <col min="5636" max="5639" width="8.26953125" style="3"/>
    <col min="5640" max="5640" width="8.26953125" style="3" customWidth="1"/>
    <col min="5641" max="5641" width="8.26953125" style="3"/>
    <col min="5642" max="5642" width="6.453125" style="3" customWidth="1"/>
    <col min="5643" max="5643" width="7" style="3" customWidth="1"/>
    <col min="5644" max="5644" width="7.54296875" style="3" customWidth="1"/>
    <col min="5645" max="5645" width="12.36328125" style="3" customWidth="1"/>
    <col min="5646" max="5646" width="55.7265625" style="3" customWidth="1"/>
    <col min="5647" max="5888" width="8.26953125" style="3"/>
    <col min="5889" max="5889" width="10.36328125" style="3" customWidth="1"/>
    <col min="5890" max="5890" width="7.6328125" style="3" customWidth="1"/>
    <col min="5891" max="5891" width="4.54296875" style="3" customWidth="1"/>
    <col min="5892" max="5895" width="8.26953125" style="3"/>
    <col min="5896" max="5896" width="8.26953125" style="3" customWidth="1"/>
    <col min="5897" max="5897" width="8.26953125" style="3"/>
    <col min="5898" max="5898" width="6.453125" style="3" customWidth="1"/>
    <col min="5899" max="5899" width="7" style="3" customWidth="1"/>
    <col min="5900" max="5900" width="7.54296875" style="3" customWidth="1"/>
    <col min="5901" max="5901" width="12.36328125" style="3" customWidth="1"/>
    <col min="5902" max="5902" width="55.7265625" style="3" customWidth="1"/>
    <col min="5903" max="6144" width="8.26953125" style="3"/>
    <col min="6145" max="6145" width="10.36328125" style="3" customWidth="1"/>
    <col min="6146" max="6146" width="7.6328125" style="3" customWidth="1"/>
    <col min="6147" max="6147" width="4.54296875" style="3" customWidth="1"/>
    <col min="6148" max="6151" width="8.26953125" style="3"/>
    <col min="6152" max="6152" width="8.26953125" style="3" customWidth="1"/>
    <col min="6153" max="6153" width="8.26953125" style="3"/>
    <col min="6154" max="6154" width="6.453125" style="3" customWidth="1"/>
    <col min="6155" max="6155" width="7" style="3" customWidth="1"/>
    <col min="6156" max="6156" width="7.54296875" style="3" customWidth="1"/>
    <col min="6157" max="6157" width="12.36328125" style="3" customWidth="1"/>
    <col min="6158" max="6158" width="55.7265625" style="3" customWidth="1"/>
    <col min="6159" max="6400" width="8.26953125" style="3"/>
    <col min="6401" max="6401" width="10.36328125" style="3" customWidth="1"/>
    <col min="6402" max="6402" width="7.6328125" style="3" customWidth="1"/>
    <col min="6403" max="6403" width="4.54296875" style="3" customWidth="1"/>
    <col min="6404" max="6407" width="8.26953125" style="3"/>
    <col min="6408" max="6408" width="8.26953125" style="3" customWidth="1"/>
    <col min="6409" max="6409" width="8.26953125" style="3"/>
    <col min="6410" max="6410" width="6.453125" style="3" customWidth="1"/>
    <col min="6411" max="6411" width="7" style="3" customWidth="1"/>
    <col min="6412" max="6412" width="7.54296875" style="3" customWidth="1"/>
    <col min="6413" max="6413" width="12.36328125" style="3" customWidth="1"/>
    <col min="6414" max="6414" width="55.7265625" style="3" customWidth="1"/>
    <col min="6415" max="6656" width="8.26953125" style="3"/>
    <col min="6657" max="6657" width="10.36328125" style="3" customWidth="1"/>
    <col min="6658" max="6658" width="7.6328125" style="3" customWidth="1"/>
    <col min="6659" max="6659" width="4.54296875" style="3" customWidth="1"/>
    <col min="6660" max="6663" width="8.26953125" style="3"/>
    <col min="6664" max="6664" width="8.26953125" style="3" customWidth="1"/>
    <col min="6665" max="6665" width="8.26953125" style="3"/>
    <col min="6666" max="6666" width="6.453125" style="3" customWidth="1"/>
    <col min="6667" max="6667" width="7" style="3" customWidth="1"/>
    <col min="6668" max="6668" width="7.54296875" style="3" customWidth="1"/>
    <col min="6669" max="6669" width="12.36328125" style="3" customWidth="1"/>
    <col min="6670" max="6670" width="55.7265625" style="3" customWidth="1"/>
    <col min="6671" max="6912" width="8.26953125" style="3"/>
    <col min="6913" max="6913" width="10.36328125" style="3" customWidth="1"/>
    <col min="6914" max="6914" width="7.6328125" style="3" customWidth="1"/>
    <col min="6915" max="6915" width="4.54296875" style="3" customWidth="1"/>
    <col min="6916" max="6919" width="8.26953125" style="3"/>
    <col min="6920" max="6920" width="8.26953125" style="3" customWidth="1"/>
    <col min="6921" max="6921" width="8.26953125" style="3"/>
    <col min="6922" max="6922" width="6.453125" style="3" customWidth="1"/>
    <col min="6923" max="6923" width="7" style="3" customWidth="1"/>
    <col min="6924" max="6924" width="7.54296875" style="3" customWidth="1"/>
    <col min="6925" max="6925" width="12.36328125" style="3" customWidth="1"/>
    <col min="6926" max="6926" width="55.7265625" style="3" customWidth="1"/>
    <col min="6927" max="7168" width="8.26953125" style="3"/>
    <col min="7169" max="7169" width="10.36328125" style="3" customWidth="1"/>
    <col min="7170" max="7170" width="7.6328125" style="3" customWidth="1"/>
    <col min="7171" max="7171" width="4.54296875" style="3" customWidth="1"/>
    <col min="7172" max="7175" width="8.26953125" style="3"/>
    <col min="7176" max="7176" width="8.26953125" style="3" customWidth="1"/>
    <col min="7177" max="7177" width="8.26953125" style="3"/>
    <col min="7178" max="7178" width="6.453125" style="3" customWidth="1"/>
    <col min="7179" max="7179" width="7" style="3" customWidth="1"/>
    <col min="7180" max="7180" width="7.54296875" style="3" customWidth="1"/>
    <col min="7181" max="7181" width="12.36328125" style="3" customWidth="1"/>
    <col min="7182" max="7182" width="55.7265625" style="3" customWidth="1"/>
    <col min="7183" max="7424" width="8.26953125" style="3"/>
    <col min="7425" max="7425" width="10.36328125" style="3" customWidth="1"/>
    <col min="7426" max="7426" width="7.6328125" style="3" customWidth="1"/>
    <col min="7427" max="7427" width="4.54296875" style="3" customWidth="1"/>
    <col min="7428" max="7431" width="8.26953125" style="3"/>
    <col min="7432" max="7432" width="8.26953125" style="3" customWidth="1"/>
    <col min="7433" max="7433" width="8.26953125" style="3"/>
    <col min="7434" max="7434" width="6.453125" style="3" customWidth="1"/>
    <col min="7435" max="7435" width="7" style="3" customWidth="1"/>
    <col min="7436" max="7436" width="7.54296875" style="3" customWidth="1"/>
    <col min="7437" max="7437" width="12.36328125" style="3" customWidth="1"/>
    <col min="7438" max="7438" width="55.7265625" style="3" customWidth="1"/>
    <col min="7439" max="7680" width="8.26953125" style="3"/>
    <col min="7681" max="7681" width="10.36328125" style="3" customWidth="1"/>
    <col min="7682" max="7682" width="7.6328125" style="3" customWidth="1"/>
    <col min="7683" max="7683" width="4.54296875" style="3" customWidth="1"/>
    <col min="7684" max="7687" width="8.26953125" style="3"/>
    <col min="7688" max="7688" width="8.26953125" style="3" customWidth="1"/>
    <col min="7689" max="7689" width="8.26953125" style="3"/>
    <col min="7690" max="7690" width="6.453125" style="3" customWidth="1"/>
    <col min="7691" max="7691" width="7" style="3" customWidth="1"/>
    <col min="7692" max="7692" width="7.54296875" style="3" customWidth="1"/>
    <col min="7693" max="7693" width="12.36328125" style="3" customWidth="1"/>
    <col min="7694" max="7694" width="55.7265625" style="3" customWidth="1"/>
    <col min="7695" max="7936" width="8.26953125" style="3"/>
    <col min="7937" max="7937" width="10.36328125" style="3" customWidth="1"/>
    <col min="7938" max="7938" width="7.6328125" style="3" customWidth="1"/>
    <col min="7939" max="7939" width="4.54296875" style="3" customWidth="1"/>
    <col min="7940" max="7943" width="8.26953125" style="3"/>
    <col min="7944" max="7944" width="8.26953125" style="3" customWidth="1"/>
    <col min="7945" max="7945" width="8.26953125" style="3"/>
    <col min="7946" max="7946" width="6.453125" style="3" customWidth="1"/>
    <col min="7947" max="7947" width="7" style="3" customWidth="1"/>
    <col min="7948" max="7948" width="7.54296875" style="3" customWidth="1"/>
    <col min="7949" max="7949" width="12.36328125" style="3" customWidth="1"/>
    <col min="7950" max="7950" width="55.7265625" style="3" customWidth="1"/>
    <col min="7951" max="8192" width="8.26953125" style="3"/>
    <col min="8193" max="8193" width="10.36328125" style="3" customWidth="1"/>
    <col min="8194" max="8194" width="7.6328125" style="3" customWidth="1"/>
    <col min="8195" max="8195" width="4.54296875" style="3" customWidth="1"/>
    <col min="8196" max="8199" width="8.26953125" style="3"/>
    <col min="8200" max="8200" width="8.26953125" style="3" customWidth="1"/>
    <col min="8201" max="8201" width="8.26953125" style="3"/>
    <col min="8202" max="8202" width="6.453125" style="3" customWidth="1"/>
    <col min="8203" max="8203" width="7" style="3" customWidth="1"/>
    <col min="8204" max="8204" width="7.54296875" style="3" customWidth="1"/>
    <col min="8205" max="8205" width="12.36328125" style="3" customWidth="1"/>
    <col min="8206" max="8206" width="55.7265625" style="3" customWidth="1"/>
    <col min="8207" max="8448" width="8.26953125" style="3"/>
    <col min="8449" max="8449" width="10.36328125" style="3" customWidth="1"/>
    <col min="8450" max="8450" width="7.6328125" style="3" customWidth="1"/>
    <col min="8451" max="8451" width="4.54296875" style="3" customWidth="1"/>
    <col min="8452" max="8455" width="8.26953125" style="3"/>
    <col min="8456" max="8456" width="8.26953125" style="3" customWidth="1"/>
    <col min="8457" max="8457" width="8.26953125" style="3"/>
    <col min="8458" max="8458" width="6.453125" style="3" customWidth="1"/>
    <col min="8459" max="8459" width="7" style="3" customWidth="1"/>
    <col min="8460" max="8460" width="7.54296875" style="3" customWidth="1"/>
    <col min="8461" max="8461" width="12.36328125" style="3" customWidth="1"/>
    <col min="8462" max="8462" width="55.7265625" style="3" customWidth="1"/>
    <col min="8463" max="8704" width="8.26953125" style="3"/>
    <col min="8705" max="8705" width="10.36328125" style="3" customWidth="1"/>
    <col min="8706" max="8706" width="7.6328125" style="3" customWidth="1"/>
    <col min="8707" max="8707" width="4.54296875" style="3" customWidth="1"/>
    <col min="8708" max="8711" width="8.26953125" style="3"/>
    <col min="8712" max="8712" width="8.26953125" style="3" customWidth="1"/>
    <col min="8713" max="8713" width="8.26953125" style="3"/>
    <col min="8714" max="8714" width="6.453125" style="3" customWidth="1"/>
    <col min="8715" max="8715" width="7" style="3" customWidth="1"/>
    <col min="8716" max="8716" width="7.54296875" style="3" customWidth="1"/>
    <col min="8717" max="8717" width="12.36328125" style="3" customWidth="1"/>
    <col min="8718" max="8718" width="55.7265625" style="3" customWidth="1"/>
    <col min="8719" max="8960" width="8.26953125" style="3"/>
    <col min="8961" max="8961" width="10.36328125" style="3" customWidth="1"/>
    <col min="8962" max="8962" width="7.6328125" style="3" customWidth="1"/>
    <col min="8963" max="8963" width="4.54296875" style="3" customWidth="1"/>
    <col min="8964" max="8967" width="8.26953125" style="3"/>
    <col min="8968" max="8968" width="8.26953125" style="3" customWidth="1"/>
    <col min="8969" max="8969" width="8.26953125" style="3"/>
    <col min="8970" max="8970" width="6.453125" style="3" customWidth="1"/>
    <col min="8971" max="8971" width="7" style="3" customWidth="1"/>
    <col min="8972" max="8972" width="7.54296875" style="3" customWidth="1"/>
    <col min="8973" max="8973" width="12.36328125" style="3" customWidth="1"/>
    <col min="8974" max="8974" width="55.7265625" style="3" customWidth="1"/>
    <col min="8975" max="9216" width="8.26953125" style="3"/>
    <col min="9217" max="9217" width="10.36328125" style="3" customWidth="1"/>
    <col min="9218" max="9218" width="7.6328125" style="3" customWidth="1"/>
    <col min="9219" max="9219" width="4.54296875" style="3" customWidth="1"/>
    <col min="9220" max="9223" width="8.26953125" style="3"/>
    <col min="9224" max="9224" width="8.26953125" style="3" customWidth="1"/>
    <col min="9225" max="9225" width="8.26953125" style="3"/>
    <col min="9226" max="9226" width="6.453125" style="3" customWidth="1"/>
    <col min="9227" max="9227" width="7" style="3" customWidth="1"/>
    <col min="9228" max="9228" width="7.54296875" style="3" customWidth="1"/>
    <col min="9229" max="9229" width="12.36328125" style="3" customWidth="1"/>
    <col min="9230" max="9230" width="55.7265625" style="3" customWidth="1"/>
    <col min="9231" max="9472" width="8.26953125" style="3"/>
    <col min="9473" max="9473" width="10.36328125" style="3" customWidth="1"/>
    <col min="9474" max="9474" width="7.6328125" style="3" customWidth="1"/>
    <col min="9475" max="9475" width="4.54296875" style="3" customWidth="1"/>
    <col min="9476" max="9479" width="8.26953125" style="3"/>
    <col min="9480" max="9480" width="8.26953125" style="3" customWidth="1"/>
    <col min="9481" max="9481" width="8.26953125" style="3"/>
    <col min="9482" max="9482" width="6.453125" style="3" customWidth="1"/>
    <col min="9483" max="9483" width="7" style="3" customWidth="1"/>
    <col min="9484" max="9484" width="7.54296875" style="3" customWidth="1"/>
    <col min="9485" max="9485" width="12.36328125" style="3" customWidth="1"/>
    <col min="9486" max="9486" width="55.7265625" style="3" customWidth="1"/>
    <col min="9487" max="9728" width="8.26953125" style="3"/>
    <col min="9729" max="9729" width="10.36328125" style="3" customWidth="1"/>
    <col min="9730" max="9730" width="7.6328125" style="3" customWidth="1"/>
    <col min="9731" max="9731" width="4.54296875" style="3" customWidth="1"/>
    <col min="9732" max="9735" width="8.26953125" style="3"/>
    <col min="9736" max="9736" width="8.26953125" style="3" customWidth="1"/>
    <col min="9737" max="9737" width="8.26953125" style="3"/>
    <col min="9738" max="9738" width="6.453125" style="3" customWidth="1"/>
    <col min="9739" max="9739" width="7" style="3" customWidth="1"/>
    <col min="9740" max="9740" width="7.54296875" style="3" customWidth="1"/>
    <col min="9741" max="9741" width="12.36328125" style="3" customWidth="1"/>
    <col min="9742" max="9742" width="55.7265625" style="3" customWidth="1"/>
    <col min="9743" max="9984" width="8.26953125" style="3"/>
    <col min="9985" max="9985" width="10.36328125" style="3" customWidth="1"/>
    <col min="9986" max="9986" width="7.6328125" style="3" customWidth="1"/>
    <col min="9987" max="9987" width="4.54296875" style="3" customWidth="1"/>
    <col min="9988" max="9991" width="8.26953125" style="3"/>
    <col min="9992" max="9992" width="8.26953125" style="3" customWidth="1"/>
    <col min="9993" max="9993" width="8.26953125" style="3"/>
    <col min="9994" max="9994" width="6.453125" style="3" customWidth="1"/>
    <col min="9995" max="9995" width="7" style="3" customWidth="1"/>
    <col min="9996" max="9996" width="7.54296875" style="3" customWidth="1"/>
    <col min="9997" max="9997" width="12.36328125" style="3" customWidth="1"/>
    <col min="9998" max="9998" width="55.7265625" style="3" customWidth="1"/>
    <col min="9999" max="10240" width="8.26953125" style="3"/>
    <col min="10241" max="10241" width="10.36328125" style="3" customWidth="1"/>
    <col min="10242" max="10242" width="7.6328125" style="3" customWidth="1"/>
    <col min="10243" max="10243" width="4.54296875" style="3" customWidth="1"/>
    <col min="10244" max="10247" width="8.26953125" style="3"/>
    <col min="10248" max="10248" width="8.26953125" style="3" customWidth="1"/>
    <col min="10249" max="10249" width="8.26953125" style="3"/>
    <col min="10250" max="10250" width="6.453125" style="3" customWidth="1"/>
    <col min="10251" max="10251" width="7" style="3" customWidth="1"/>
    <col min="10252" max="10252" width="7.54296875" style="3" customWidth="1"/>
    <col min="10253" max="10253" width="12.36328125" style="3" customWidth="1"/>
    <col min="10254" max="10254" width="55.7265625" style="3" customWidth="1"/>
    <col min="10255" max="10496" width="8.26953125" style="3"/>
    <col min="10497" max="10497" width="10.36328125" style="3" customWidth="1"/>
    <col min="10498" max="10498" width="7.6328125" style="3" customWidth="1"/>
    <col min="10499" max="10499" width="4.54296875" style="3" customWidth="1"/>
    <col min="10500" max="10503" width="8.26953125" style="3"/>
    <col min="10504" max="10504" width="8.26953125" style="3" customWidth="1"/>
    <col min="10505" max="10505" width="8.26953125" style="3"/>
    <col min="10506" max="10506" width="6.453125" style="3" customWidth="1"/>
    <col min="10507" max="10507" width="7" style="3" customWidth="1"/>
    <col min="10508" max="10508" width="7.54296875" style="3" customWidth="1"/>
    <col min="10509" max="10509" width="12.36328125" style="3" customWidth="1"/>
    <col min="10510" max="10510" width="55.7265625" style="3" customWidth="1"/>
    <col min="10511" max="10752" width="8.26953125" style="3"/>
    <col min="10753" max="10753" width="10.36328125" style="3" customWidth="1"/>
    <col min="10754" max="10754" width="7.6328125" style="3" customWidth="1"/>
    <col min="10755" max="10755" width="4.54296875" style="3" customWidth="1"/>
    <col min="10756" max="10759" width="8.26953125" style="3"/>
    <col min="10760" max="10760" width="8.26953125" style="3" customWidth="1"/>
    <col min="10761" max="10761" width="8.26953125" style="3"/>
    <col min="10762" max="10762" width="6.453125" style="3" customWidth="1"/>
    <col min="10763" max="10763" width="7" style="3" customWidth="1"/>
    <col min="10764" max="10764" width="7.54296875" style="3" customWidth="1"/>
    <col min="10765" max="10765" width="12.36328125" style="3" customWidth="1"/>
    <col min="10766" max="10766" width="55.7265625" style="3" customWidth="1"/>
    <col min="10767" max="11008" width="8.26953125" style="3"/>
    <col min="11009" max="11009" width="10.36328125" style="3" customWidth="1"/>
    <col min="11010" max="11010" width="7.6328125" style="3" customWidth="1"/>
    <col min="11011" max="11011" width="4.54296875" style="3" customWidth="1"/>
    <col min="11012" max="11015" width="8.26953125" style="3"/>
    <col min="11016" max="11016" width="8.26953125" style="3" customWidth="1"/>
    <col min="11017" max="11017" width="8.26953125" style="3"/>
    <col min="11018" max="11018" width="6.453125" style="3" customWidth="1"/>
    <col min="11019" max="11019" width="7" style="3" customWidth="1"/>
    <col min="11020" max="11020" width="7.54296875" style="3" customWidth="1"/>
    <col min="11021" max="11021" width="12.36328125" style="3" customWidth="1"/>
    <col min="11022" max="11022" width="55.7265625" style="3" customWidth="1"/>
    <col min="11023" max="11264" width="8.26953125" style="3"/>
    <col min="11265" max="11265" width="10.36328125" style="3" customWidth="1"/>
    <col min="11266" max="11266" width="7.6328125" style="3" customWidth="1"/>
    <col min="11267" max="11267" width="4.54296875" style="3" customWidth="1"/>
    <col min="11268" max="11271" width="8.26953125" style="3"/>
    <col min="11272" max="11272" width="8.26953125" style="3" customWidth="1"/>
    <col min="11273" max="11273" width="8.26953125" style="3"/>
    <col min="11274" max="11274" width="6.453125" style="3" customWidth="1"/>
    <col min="11275" max="11275" width="7" style="3" customWidth="1"/>
    <col min="11276" max="11276" width="7.54296875" style="3" customWidth="1"/>
    <col min="11277" max="11277" width="12.36328125" style="3" customWidth="1"/>
    <col min="11278" max="11278" width="55.7265625" style="3" customWidth="1"/>
    <col min="11279" max="11520" width="8.26953125" style="3"/>
    <col min="11521" max="11521" width="10.36328125" style="3" customWidth="1"/>
    <col min="11522" max="11522" width="7.6328125" style="3" customWidth="1"/>
    <col min="11523" max="11523" width="4.54296875" style="3" customWidth="1"/>
    <col min="11524" max="11527" width="8.26953125" style="3"/>
    <col min="11528" max="11528" width="8.26953125" style="3" customWidth="1"/>
    <col min="11529" max="11529" width="8.26953125" style="3"/>
    <col min="11530" max="11530" width="6.453125" style="3" customWidth="1"/>
    <col min="11531" max="11531" width="7" style="3" customWidth="1"/>
    <col min="11532" max="11532" width="7.54296875" style="3" customWidth="1"/>
    <col min="11533" max="11533" width="12.36328125" style="3" customWidth="1"/>
    <col min="11534" max="11534" width="55.7265625" style="3" customWidth="1"/>
    <col min="11535" max="11776" width="8.26953125" style="3"/>
    <col min="11777" max="11777" width="10.36328125" style="3" customWidth="1"/>
    <col min="11778" max="11778" width="7.6328125" style="3" customWidth="1"/>
    <col min="11779" max="11779" width="4.54296875" style="3" customWidth="1"/>
    <col min="11780" max="11783" width="8.26953125" style="3"/>
    <col min="11784" max="11784" width="8.26953125" style="3" customWidth="1"/>
    <col min="11785" max="11785" width="8.26953125" style="3"/>
    <col min="11786" max="11786" width="6.453125" style="3" customWidth="1"/>
    <col min="11787" max="11787" width="7" style="3" customWidth="1"/>
    <col min="11788" max="11788" width="7.54296875" style="3" customWidth="1"/>
    <col min="11789" max="11789" width="12.36328125" style="3" customWidth="1"/>
    <col min="11790" max="11790" width="55.7265625" style="3" customWidth="1"/>
    <col min="11791" max="12032" width="8.26953125" style="3"/>
    <col min="12033" max="12033" width="10.36328125" style="3" customWidth="1"/>
    <col min="12034" max="12034" width="7.6328125" style="3" customWidth="1"/>
    <col min="12035" max="12035" width="4.54296875" style="3" customWidth="1"/>
    <col min="12036" max="12039" width="8.26953125" style="3"/>
    <col min="12040" max="12040" width="8.26953125" style="3" customWidth="1"/>
    <col min="12041" max="12041" width="8.26953125" style="3"/>
    <col min="12042" max="12042" width="6.453125" style="3" customWidth="1"/>
    <col min="12043" max="12043" width="7" style="3" customWidth="1"/>
    <col min="12044" max="12044" width="7.54296875" style="3" customWidth="1"/>
    <col min="12045" max="12045" width="12.36328125" style="3" customWidth="1"/>
    <col min="12046" max="12046" width="55.7265625" style="3" customWidth="1"/>
    <col min="12047" max="12288" width="8.26953125" style="3"/>
    <col min="12289" max="12289" width="10.36328125" style="3" customWidth="1"/>
    <col min="12290" max="12290" width="7.6328125" style="3" customWidth="1"/>
    <col min="12291" max="12291" width="4.54296875" style="3" customWidth="1"/>
    <col min="12292" max="12295" width="8.26953125" style="3"/>
    <col min="12296" max="12296" width="8.26953125" style="3" customWidth="1"/>
    <col min="12297" max="12297" width="8.26953125" style="3"/>
    <col min="12298" max="12298" width="6.453125" style="3" customWidth="1"/>
    <col min="12299" max="12299" width="7" style="3" customWidth="1"/>
    <col min="12300" max="12300" width="7.54296875" style="3" customWidth="1"/>
    <col min="12301" max="12301" width="12.36328125" style="3" customWidth="1"/>
    <col min="12302" max="12302" width="55.7265625" style="3" customWidth="1"/>
    <col min="12303" max="12544" width="8.26953125" style="3"/>
    <col min="12545" max="12545" width="10.36328125" style="3" customWidth="1"/>
    <col min="12546" max="12546" width="7.6328125" style="3" customWidth="1"/>
    <col min="12547" max="12547" width="4.54296875" style="3" customWidth="1"/>
    <col min="12548" max="12551" width="8.26953125" style="3"/>
    <col min="12552" max="12552" width="8.26953125" style="3" customWidth="1"/>
    <col min="12553" max="12553" width="8.26953125" style="3"/>
    <col min="12554" max="12554" width="6.453125" style="3" customWidth="1"/>
    <col min="12555" max="12555" width="7" style="3" customWidth="1"/>
    <col min="12556" max="12556" width="7.54296875" style="3" customWidth="1"/>
    <col min="12557" max="12557" width="12.36328125" style="3" customWidth="1"/>
    <col min="12558" max="12558" width="55.7265625" style="3" customWidth="1"/>
    <col min="12559" max="12800" width="8.26953125" style="3"/>
    <col min="12801" max="12801" width="10.36328125" style="3" customWidth="1"/>
    <col min="12802" max="12802" width="7.6328125" style="3" customWidth="1"/>
    <col min="12803" max="12803" width="4.54296875" style="3" customWidth="1"/>
    <col min="12804" max="12807" width="8.26953125" style="3"/>
    <col min="12808" max="12808" width="8.26953125" style="3" customWidth="1"/>
    <col min="12809" max="12809" width="8.26953125" style="3"/>
    <col min="12810" max="12810" width="6.453125" style="3" customWidth="1"/>
    <col min="12811" max="12811" width="7" style="3" customWidth="1"/>
    <col min="12812" max="12812" width="7.54296875" style="3" customWidth="1"/>
    <col min="12813" max="12813" width="12.36328125" style="3" customWidth="1"/>
    <col min="12814" max="12814" width="55.7265625" style="3" customWidth="1"/>
    <col min="12815" max="13056" width="8.26953125" style="3"/>
    <col min="13057" max="13057" width="10.36328125" style="3" customWidth="1"/>
    <col min="13058" max="13058" width="7.6328125" style="3" customWidth="1"/>
    <col min="13059" max="13059" width="4.54296875" style="3" customWidth="1"/>
    <col min="13060" max="13063" width="8.26953125" style="3"/>
    <col min="13064" max="13064" width="8.26953125" style="3" customWidth="1"/>
    <col min="13065" max="13065" width="8.26953125" style="3"/>
    <col min="13066" max="13066" width="6.453125" style="3" customWidth="1"/>
    <col min="13067" max="13067" width="7" style="3" customWidth="1"/>
    <col min="13068" max="13068" width="7.54296875" style="3" customWidth="1"/>
    <col min="13069" max="13069" width="12.36328125" style="3" customWidth="1"/>
    <col min="13070" max="13070" width="55.7265625" style="3" customWidth="1"/>
    <col min="13071" max="13312" width="8.26953125" style="3"/>
    <col min="13313" max="13313" width="10.36328125" style="3" customWidth="1"/>
    <col min="13314" max="13314" width="7.6328125" style="3" customWidth="1"/>
    <col min="13315" max="13315" width="4.54296875" style="3" customWidth="1"/>
    <col min="13316" max="13319" width="8.26953125" style="3"/>
    <col min="13320" max="13320" width="8.26953125" style="3" customWidth="1"/>
    <col min="13321" max="13321" width="8.26953125" style="3"/>
    <col min="13322" max="13322" width="6.453125" style="3" customWidth="1"/>
    <col min="13323" max="13323" width="7" style="3" customWidth="1"/>
    <col min="13324" max="13324" width="7.54296875" style="3" customWidth="1"/>
    <col min="13325" max="13325" width="12.36328125" style="3" customWidth="1"/>
    <col min="13326" max="13326" width="55.7265625" style="3" customWidth="1"/>
    <col min="13327" max="13568" width="8.26953125" style="3"/>
    <col min="13569" max="13569" width="10.36328125" style="3" customWidth="1"/>
    <col min="13570" max="13570" width="7.6328125" style="3" customWidth="1"/>
    <col min="13571" max="13571" width="4.54296875" style="3" customWidth="1"/>
    <col min="13572" max="13575" width="8.26953125" style="3"/>
    <col min="13576" max="13576" width="8.26953125" style="3" customWidth="1"/>
    <col min="13577" max="13577" width="8.26953125" style="3"/>
    <col min="13578" max="13578" width="6.453125" style="3" customWidth="1"/>
    <col min="13579" max="13579" width="7" style="3" customWidth="1"/>
    <col min="13580" max="13580" width="7.54296875" style="3" customWidth="1"/>
    <col min="13581" max="13581" width="12.36328125" style="3" customWidth="1"/>
    <col min="13582" max="13582" width="55.7265625" style="3" customWidth="1"/>
    <col min="13583" max="13824" width="8.26953125" style="3"/>
    <col min="13825" max="13825" width="10.36328125" style="3" customWidth="1"/>
    <col min="13826" max="13826" width="7.6328125" style="3" customWidth="1"/>
    <col min="13827" max="13827" width="4.54296875" style="3" customWidth="1"/>
    <col min="13828" max="13831" width="8.26953125" style="3"/>
    <col min="13832" max="13832" width="8.26953125" style="3" customWidth="1"/>
    <col min="13833" max="13833" width="8.26953125" style="3"/>
    <col min="13834" max="13834" width="6.453125" style="3" customWidth="1"/>
    <col min="13835" max="13835" width="7" style="3" customWidth="1"/>
    <col min="13836" max="13836" width="7.54296875" style="3" customWidth="1"/>
    <col min="13837" max="13837" width="12.36328125" style="3" customWidth="1"/>
    <col min="13838" max="13838" width="55.7265625" style="3" customWidth="1"/>
    <col min="13839" max="14080" width="8.26953125" style="3"/>
    <col min="14081" max="14081" width="10.36328125" style="3" customWidth="1"/>
    <col min="14082" max="14082" width="7.6328125" style="3" customWidth="1"/>
    <col min="14083" max="14083" width="4.54296875" style="3" customWidth="1"/>
    <col min="14084" max="14087" width="8.26953125" style="3"/>
    <col min="14088" max="14088" width="8.26953125" style="3" customWidth="1"/>
    <col min="14089" max="14089" width="8.26953125" style="3"/>
    <col min="14090" max="14090" width="6.453125" style="3" customWidth="1"/>
    <col min="14091" max="14091" width="7" style="3" customWidth="1"/>
    <col min="14092" max="14092" width="7.54296875" style="3" customWidth="1"/>
    <col min="14093" max="14093" width="12.36328125" style="3" customWidth="1"/>
    <col min="14094" max="14094" width="55.7265625" style="3" customWidth="1"/>
    <col min="14095" max="14336" width="8.26953125" style="3"/>
    <col min="14337" max="14337" width="10.36328125" style="3" customWidth="1"/>
    <col min="14338" max="14338" width="7.6328125" style="3" customWidth="1"/>
    <col min="14339" max="14339" width="4.54296875" style="3" customWidth="1"/>
    <col min="14340" max="14343" width="8.26953125" style="3"/>
    <col min="14344" max="14344" width="8.26953125" style="3" customWidth="1"/>
    <col min="14345" max="14345" width="8.26953125" style="3"/>
    <col min="14346" max="14346" width="6.453125" style="3" customWidth="1"/>
    <col min="14347" max="14347" width="7" style="3" customWidth="1"/>
    <col min="14348" max="14348" width="7.54296875" style="3" customWidth="1"/>
    <col min="14349" max="14349" width="12.36328125" style="3" customWidth="1"/>
    <col min="14350" max="14350" width="55.7265625" style="3" customWidth="1"/>
    <col min="14351" max="14592" width="8.26953125" style="3"/>
    <col min="14593" max="14593" width="10.36328125" style="3" customWidth="1"/>
    <col min="14594" max="14594" width="7.6328125" style="3" customWidth="1"/>
    <col min="14595" max="14595" width="4.54296875" style="3" customWidth="1"/>
    <col min="14596" max="14599" width="8.26953125" style="3"/>
    <col min="14600" max="14600" width="8.26953125" style="3" customWidth="1"/>
    <col min="14601" max="14601" width="8.26953125" style="3"/>
    <col min="14602" max="14602" width="6.453125" style="3" customWidth="1"/>
    <col min="14603" max="14603" width="7" style="3" customWidth="1"/>
    <col min="14604" max="14604" width="7.54296875" style="3" customWidth="1"/>
    <col min="14605" max="14605" width="12.36328125" style="3" customWidth="1"/>
    <col min="14606" max="14606" width="55.7265625" style="3" customWidth="1"/>
    <col min="14607" max="14848" width="8.26953125" style="3"/>
    <col min="14849" max="14849" width="10.36328125" style="3" customWidth="1"/>
    <col min="14850" max="14850" width="7.6328125" style="3" customWidth="1"/>
    <col min="14851" max="14851" width="4.54296875" style="3" customWidth="1"/>
    <col min="14852" max="14855" width="8.26953125" style="3"/>
    <col min="14856" max="14856" width="8.26953125" style="3" customWidth="1"/>
    <col min="14857" max="14857" width="8.26953125" style="3"/>
    <col min="14858" max="14858" width="6.453125" style="3" customWidth="1"/>
    <col min="14859" max="14859" width="7" style="3" customWidth="1"/>
    <col min="14860" max="14860" width="7.54296875" style="3" customWidth="1"/>
    <col min="14861" max="14861" width="12.36328125" style="3" customWidth="1"/>
    <col min="14862" max="14862" width="55.7265625" style="3" customWidth="1"/>
    <col min="14863" max="15104" width="8.26953125" style="3"/>
    <col min="15105" max="15105" width="10.36328125" style="3" customWidth="1"/>
    <col min="15106" max="15106" width="7.6328125" style="3" customWidth="1"/>
    <col min="15107" max="15107" width="4.54296875" style="3" customWidth="1"/>
    <col min="15108" max="15111" width="8.26953125" style="3"/>
    <col min="15112" max="15112" width="8.26953125" style="3" customWidth="1"/>
    <col min="15113" max="15113" width="8.26953125" style="3"/>
    <col min="15114" max="15114" width="6.453125" style="3" customWidth="1"/>
    <col min="15115" max="15115" width="7" style="3" customWidth="1"/>
    <col min="15116" max="15116" width="7.54296875" style="3" customWidth="1"/>
    <col min="15117" max="15117" width="12.36328125" style="3" customWidth="1"/>
    <col min="15118" max="15118" width="55.7265625" style="3" customWidth="1"/>
    <col min="15119" max="15360" width="8.26953125" style="3"/>
    <col min="15361" max="15361" width="10.36328125" style="3" customWidth="1"/>
    <col min="15362" max="15362" width="7.6328125" style="3" customWidth="1"/>
    <col min="15363" max="15363" width="4.54296875" style="3" customWidth="1"/>
    <col min="15364" max="15367" width="8.26953125" style="3"/>
    <col min="15368" max="15368" width="8.26953125" style="3" customWidth="1"/>
    <col min="15369" max="15369" width="8.26953125" style="3"/>
    <col min="15370" max="15370" width="6.453125" style="3" customWidth="1"/>
    <col min="15371" max="15371" width="7" style="3" customWidth="1"/>
    <col min="15372" max="15372" width="7.54296875" style="3" customWidth="1"/>
    <col min="15373" max="15373" width="12.36328125" style="3" customWidth="1"/>
    <col min="15374" max="15374" width="55.7265625" style="3" customWidth="1"/>
    <col min="15375" max="15616" width="8.26953125" style="3"/>
    <col min="15617" max="15617" width="10.36328125" style="3" customWidth="1"/>
    <col min="15618" max="15618" width="7.6328125" style="3" customWidth="1"/>
    <col min="15619" max="15619" width="4.54296875" style="3" customWidth="1"/>
    <col min="15620" max="15623" width="8.26953125" style="3"/>
    <col min="15624" max="15624" width="8.26953125" style="3" customWidth="1"/>
    <col min="15625" max="15625" width="8.26953125" style="3"/>
    <col min="15626" max="15626" width="6.453125" style="3" customWidth="1"/>
    <col min="15627" max="15627" width="7" style="3" customWidth="1"/>
    <col min="15628" max="15628" width="7.54296875" style="3" customWidth="1"/>
    <col min="15629" max="15629" width="12.36328125" style="3" customWidth="1"/>
    <col min="15630" max="15630" width="55.7265625" style="3" customWidth="1"/>
    <col min="15631" max="15872" width="8.26953125" style="3"/>
    <col min="15873" max="15873" width="10.36328125" style="3" customWidth="1"/>
    <col min="15874" max="15874" width="7.6328125" style="3" customWidth="1"/>
    <col min="15875" max="15875" width="4.54296875" style="3" customWidth="1"/>
    <col min="15876" max="15879" width="8.26953125" style="3"/>
    <col min="15880" max="15880" width="8.26953125" style="3" customWidth="1"/>
    <col min="15881" max="15881" width="8.26953125" style="3"/>
    <col min="15882" max="15882" width="6.453125" style="3" customWidth="1"/>
    <col min="15883" max="15883" width="7" style="3" customWidth="1"/>
    <col min="15884" max="15884" width="7.54296875" style="3" customWidth="1"/>
    <col min="15885" max="15885" width="12.36328125" style="3" customWidth="1"/>
    <col min="15886" max="15886" width="55.7265625" style="3" customWidth="1"/>
    <col min="15887" max="16128" width="8.26953125" style="3"/>
    <col min="16129" max="16129" width="10.36328125" style="3" customWidth="1"/>
    <col min="16130" max="16130" width="7.6328125" style="3" customWidth="1"/>
    <col min="16131" max="16131" width="4.54296875" style="3" customWidth="1"/>
    <col min="16132" max="16135" width="8.26953125" style="3"/>
    <col min="16136" max="16136" width="8.26953125" style="3" customWidth="1"/>
    <col min="16137" max="16137" width="8.26953125" style="3"/>
    <col min="16138" max="16138" width="6.453125" style="3" customWidth="1"/>
    <col min="16139" max="16139" width="7" style="3" customWidth="1"/>
    <col min="16140" max="16140" width="7.54296875" style="3" customWidth="1"/>
    <col min="16141" max="16141" width="12.36328125" style="3" customWidth="1"/>
    <col min="16142" max="16142" width="55.7265625" style="3" customWidth="1"/>
    <col min="16143" max="16384" width="8.26953125" style="3"/>
  </cols>
  <sheetData>
    <row r="1" spans="1:14" x14ac:dyDescent="0.3">
      <c r="A1" s="335" t="s">
        <v>14</v>
      </c>
      <c r="B1" s="336"/>
      <c r="C1" s="336"/>
      <c r="D1" s="336"/>
      <c r="E1" s="336"/>
      <c r="F1" s="336"/>
      <c r="G1" s="336"/>
      <c r="H1" s="337"/>
    </row>
    <row r="2" spans="1:14" x14ac:dyDescent="0.3">
      <c r="A2" s="5" t="s">
        <v>15</v>
      </c>
      <c r="B2" s="5"/>
      <c r="C2" s="6"/>
      <c r="D2" s="6"/>
      <c r="E2" s="6"/>
      <c r="F2" s="7"/>
      <c r="G2" s="8"/>
      <c r="H2" s="9" t="s">
        <v>16</v>
      </c>
    </row>
    <row r="3" spans="1:14" x14ac:dyDescent="0.3">
      <c r="A3" s="10"/>
      <c r="B3" s="11"/>
      <c r="C3" s="6"/>
      <c r="D3" s="6"/>
      <c r="E3" s="6"/>
      <c r="F3" s="7"/>
      <c r="G3" s="5"/>
      <c r="H3" s="12"/>
    </row>
    <row r="4" spans="1:14" x14ac:dyDescent="0.3">
      <c r="A4" s="13" t="s">
        <v>17</v>
      </c>
      <c r="B4" s="14" t="s">
        <v>18</v>
      </c>
      <c r="C4" s="15"/>
      <c r="D4" s="15" t="s">
        <v>19</v>
      </c>
      <c r="E4" s="15"/>
      <c r="F4" s="7"/>
      <c r="G4" s="338" t="s">
        <v>20</v>
      </c>
      <c r="H4" s="339"/>
    </row>
    <row r="5" spans="1:14" x14ac:dyDescent="0.3">
      <c r="A5" s="5" t="s">
        <v>21</v>
      </c>
      <c r="B5" s="5"/>
      <c r="C5" s="15"/>
      <c r="D5" s="15"/>
      <c r="E5" s="15"/>
      <c r="F5" s="7"/>
      <c r="G5" s="16" t="s">
        <v>22</v>
      </c>
      <c r="H5" s="17"/>
    </row>
    <row r="6" spans="1:14" x14ac:dyDescent="0.3">
      <c r="A6" s="5" t="s">
        <v>23</v>
      </c>
      <c r="B6" s="5"/>
      <c r="C6" s="15"/>
      <c r="D6" s="15"/>
      <c r="E6" s="15"/>
      <c r="F6" s="7"/>
      <c r="G6" s="7"/>
      <c r="H6" s="17"/>
      <c r="I6" s="7"/>
    </row>
    <row r="7" spans="1:14" ht="13.85" thickBot="1" x14ac:dyDescent="0.35">
      <c r="A7" s="5"/>
      <c r="B7" s="5"/>
      <c r="C7" s="15"/>
      <c r="D7" s="15"/>
      <c r="E7" s="15"/>
      <c r="F7" s="7"/>
      <c r="G7" s="7"/>
      <c r="H7" s="17"/>
    </row>
    <row r="8" spans="1:14" ht="16.100000000000001" x14ac:dyDescent="0.35">
      <c r="A8" s="340" t="s">
        <v>24</v>
      </c>
      <c r="B8" s="340"/>
      <c r="C8" s="340"/>
      <c r="D8" s="340"/>
      <c r="E8" s="340"/>
      <c r="F8" s="340"/>
      <c r="G8" s="340"/>
      <c r="H8" s="340"/>
      <c r="I8" s="340"/>
      <c r="J8" s="340"/>
      <c r="K8" s="340"/>
      <c r="L8" s="340"/>
      <c r="M8" s="340"/>
      <c r="N8" s="341" t="s">
        <v>25</v>
      </c>
    </row>
    <row r="9" spans="1:14" ht="15.8" customHeight="1" x14ac:dyDescent="0.3">
      <c r="A9" s="344" t="s">
        <v>26</v>
      </c>
      <c r="B9" s="345" t="s">
        <v>27</v>
      </c>
      <c r="C9" s="345" t="s">
        <v>28</v>
      </c>
      <c r="D9" s="346" t="s">
        <v>29</v>
      </c>
      <c r="E9" s="346"/>
      <c r="F9" s="346" t="s">
        <v>30</v>
      </c>
      <c r="G9" s="346"/>
      <c r="H9" s="346" t="s">
        <v>31</v>
      </c>
      <c r="I9" s="346"/>
      <c r="J9" s="346" t="s">
        <v>32</v>
      </c>
      <c r="K9" s="346"/>
      <c r="L9" s="346"/>
      <c r="M9" s="342" t="s">
        <v>33</v>
      </c>
      <c r="N9" s="342"/>
    </row>
    <row r="10" spans="1:14" ht="39.049999999999997" customHeight="1" thickBot="1" x14ac:dyDescent="0.35">
      <c r="A10" s="344"/>
      <c r="B10" s="345"/>
      <c r="C10" s="345"/>
      <c r="D10" s="18" t="s">
        <v>34</v>
      </c>
      <c r="E10" s="18" t="s">
        <v>35</v>
      </c>
      <c r="F10" s="18" t="s">
        <v>34</v>
      </c>
      <c r="G10" s="18" t="s">
        <v>35</v>
      </c>
      <c r="H10" s="18" t="s">
        <v>34</v>
      </c>
      <c r="I10" s="18" t="s">
        <v>35</v>
      </c>
      <c r="J10" s="18" t="s">
        <v>36</v>
      </c>
      <c r="K10" s="18" t="s">
        <v>37</v>
      </c>
      <c r="L10" s="18" t="s">
        <v>38</v>
      </c>
      <c r="M10" s="343"/>
      <c r="N10" s="343"/>
    </row>
    <row r="11" spans="1:14" ht="14.4" x14ac:dyDescent="0.3">
      <c r="A11" s="19">
        <v>41466</v>
      </c>
      <c r="B11" s="20">
        <v>1</v>
      </c>
      <c r="C11" s="20">
        <v>3</v>
      </c>
      <c r="D11" s="21">
        <v>1</v>
      </c>
      <c r="E11" s="21">
        <v>15</v>
      </c>
      <c r="F11" s="21">
        <v>0</v>
      </c>
      <c r="G11" s="21">
        <v>6</v>
      </c>
      <c r="H11" s="21">
        <v>0</v>
      </c>
      <c r="I11" s="21">
        <v>14</v>
      </c>
      <c r="J11" s="22">
        <f>(E11-D11)</f>
        <v>14</v>
      </c>
      <c r="K11" s="22">
        <f>G11-F11</f>
        <v>6</v>
      </c>
      <c r="L11" s="22">
        <f>I11-H11</f>
        <v>14</v>
      </c>
      <c r="M11" s="23"/>
      <c r="N11" s="24" t="s">
        <v>39</v>
      </c>
    </row>
    <row r="12" spans="1:14" ht="14.4" x14ac:dyDescent="0.3">
      <c r="A12" s="19">
        <v>41472</v>
      </c>
      <c r="B12" s="20">
        <v>2</v>
      </c>
      <c r="C12" s="20">
        <v>3</v>
      </c>
      <c r="D12" s="25">
        <v>34</v>
      </c>
      <c r="E12" s="25">
        <v>97</v>
      </c>
      <c r="F12" s="26">
        <v>17</v>
      </c>
      <c r="G12" s="26">
        <v>27</v>
      </c>
      <c r="H12" s="26">
        <v>42</v>
      </c>
      <c r="I12" s="26">
        <v>92</v>
      </c>
      <c r="J12" s="27">
        <f t="shared" ref="J12:J29" si="0">(E12-D12)</f>
        <v>63</v>
      </c>
      <c r="K12" s="22">
        <f t="shared" ref="K12:K29" si="1">G12-F12</f>
        <v>10</v>
      </c>
      <c r="L12" s="27">
        <f t="shared" ref="L12:L29" si="2">I12-H12</f>
        <v>50</v>
      </c>
      <c r="M12" s="28"/>
      <c r="N12" s="29" t="s">
        <v>39</v>
      </c>
    </row>
    <row r="13" spans="1:14" ht="14.4" x14ac:dyDescent="0.3">
      <c r="A13" s="19">
        <v>41480</v>
      </c>
      <c r="B13" s="20">
        <v>3</v>
      </c>
      <c r="C13" s="20">
        <v>3</v>
      </c>
      <c r="D13" s="25">
        <v>26</v>
      </c>
      <c r="E13" s="25">
        <v>29</v>
      </c>
      <c r="F13" s="26">
        <v>4</v>
      </c>
      <c r="G13" s="26">
        <v>11</v>
      </c>
      <c r="H13" s="26">
        <v>11</v>
      </c>
      <c r="I13" s="26">
        <v>17</v>
      </c>
      <c r="J13" s="22">
        <f t="shared" si="0"/>
        <v>3</v>
      </c>
      <c r="K13" s="22">
        <f t="shared" si="1"/>
        <v>7</v>
      </c>
      <c r="L13" s="22">
        <f t="shared" si="2"/>
        <v>6</v>
      </c>
      <c r="M13" s="28"/>
      <c r="N13" s="29" t="s">
        <v>39</v>
      </c>
    </row>
    <row r="14" spans="1:14" ht="14.4" x14ac:dyDescent="0.3">
      <c r="A14" s="19">
        <v>41481</v>
      </c>
      <c r="B14" s="20">
        <v>4</v>
      </c>
      <c r="C14" s="20">
        <v>3</v>
      </c>
      <c r="D14" s="25">
        <v>29</v>
      </c>
      <c r="E14" s="25">
        <v>30</v>
      </c>
      <c r="F14" s="26">
        <v>11</v>
      </c>
      <c r="G14" s="26">
        <v>28</v>
      </c>
      <c r="H14" s="26">
        <v>17</v>
      </c>
      <c r="I14" s="26">
        <v>37</v>
      </c>
      <c r="J14" s="22">
        <f t="shared" si="0"/>
        <v>1</v>
      </c>
      <c r="K14" s="22">
        <f t="shared" si="1"/>
        <v>17</v>
      </c>
      <c r="L14" s="22">
        <f t="shared" si="2"/>
        <v>20</v>
      </c>
      <c r="M14" s="28"/>
      <c r="N14" s="29" t="s">
        <v>39</v>
      </c>
    </row>
    <row r="15" spans="1:14" ht="14.4" x14ac:dyDescent="0.3">
      <c r="A15" s="19">
        <v>41484</v>
      </c>
      <c r="B15" s="20">
        <v>5</v>
      </c>
      <c r="C15" s="20">
        <v>3</v>
      </c>
      <c r="D15" s="25">
        <v>2</v>
      </c>
      <c r="E15" s="25">
        <v>7</v>
      </c>
      <c r="F15" s="26">
        <v>2</v>
      </c>
      <c r="G15" s="26">
        <v>7</v>
      </c>
      <c r="H15" s="26">
        <v>6</v>
      </c>
      <c r="I15" s="26">
        <v>12</v>
      </c>
      <c r="J15" s="22">
        <f t="shared" si="0"/>
        <v>5</v>
      </c>
      <c r="K15" s="22">
        <f t="shared" si="1"/>
        <v>5</v>
      </c>
      <c r="L15" s="22">
        <f t="shared" si="2"/>
        <v>6</v>
      </c>
      <c r="M15" s="28"/>
      <c r="N15" s="29" t="s">
        <v>39</v>
      </c>
    </row>
    <row r="16" spans="1:14" ht="14.4" x14ac:dyDescent="0.3">
      <c r="A16" s="19">
        <v>41487</v>
      </c>
      <c r="B16" s="20">
        <v>7</v>
      </c>
      <c r="C16" s="20">
        <v>3</v>
      </c>
      <c r="D16" s="25">
        <v>1</v>
      </c>
      <c r="E16" s="25">
        <v>2</v>
      </c>
      <c r="F16" s="26">
        <v>0</v>
      </c>
      <c r="G16" s="26">
        <v>3</v>
      </c>
      <c r="H16" s="26">
        <v>3</v>
      </c>
      <c r="I16" s="26">
        <v>14</v>
      </c>
      <c r="J16" s="22">
        <f t="shared" si="0"/>
        <v>1</v>
      </c>
      <c r="K16" s="22">
        <f t="shared" si="1"/>
        <v>3</v>
      </c>
      <c r="L16" s="22">
        <f t="shared" si="2"/>
        <v>11</v>
      </c>
      <c r="M16" s="28"/>
      <c r="N16" s="29" t="s">
        <v>39</v>
      </c>
    </row>
    <row r="17" spans="1:14" ht="14.4" x14ac:dyDescent="0.3">
      <c r="A17" s="19">
        <v>41488</v>
      </c>
      <c r="B17" s="20">
        <v>8</v>
      </c>
      <c r="C17" s="20">
        <v>3</v>
      </c>
      <c r="D17" s="25">
        <v>3</v>
      </c>
      <c r="E17" s="25">
        <v>9</v>
      </c>
      <c r="F17" s="26">
        <v>2</v>
      </c>
      <c r="G17" s="26">
        <v>3</v>
      </c>
      <c r="H17" s="26">
        <v>2</v>
      </c>
      <c r="I17" s="26">
        <v>3</v>
      </c>
      <c r="J17" s="22">
        <f t="shared" si="0"/>
        <v>6</v>
      </c>
      <c r="K17" s="22">
        <f t="shared" si="1"/>
        <v>1</v>
      </c>
      <c r="L17" s="22">
        <f t="shared" si="2"/>
        <v>1</v>
      </c>
      <c r="M17" s="28"/>
      <c r="N17" s="29" t="s">
        <v>39</v>
      </c>
    </row>
    <row r="18" spans="1:14" ht="14.4" x14ac:dyDescent="0.3">
      <c r="A18" s="19">
        <v>41492</v>
      </c>
      <c r="B18" s="20">
        <v>9</v>
      </c>
      <c r="C18" s="20">
        <v>3</v>
      </c>
      <c r="D18" s="26">
        <v>3</v>
      </c>
      <c r="E18" s="26">
        <v>3</v>
      </c>
      <c r="F18" s="26">
        <v>1</v>
      </c>
      <c r="G18" s="26">
        <v>4</v>
      </c>
      <c r="H18" s="26">
        <v>13</v>
      </c>
      <c r="I18" s="26">
        <v>15</v>
      </c>
      <c r="J18" s="22">
        <f t="shared" si="0"/>
        <v>0</v>
      </c>
      <c r="K18" s="22">
        <f t="shared" si="1"/>
        <v>3</v>
      </c>
      <c r="L18" s="22">
        <f t="shared" si="2"/>
        <v>2</v>
      </c>
      <c r="M18" s="28"/>
      <c r="N18" s="29" t="s">
        <v>39</v>
      </c>
    </row>
    <row r="19" spans="1:14" ht="14.4" x14ac:dyDescent="0.3">
      <c r="A19" s="19">
        <v>41493</v>
      </c>
      <c r="B19" s="20">
        <v>10</v>
      </c>
      <c r="C19" s="20">
        <v>3</v>
      </c>
      <c r="D19" s="26">
        <v>10</v>
      </c>
      <c r="E19" s="26">
        <v>3</v>
      </c>
      <c r="F19" s="26">
        <v>15</v>
      </c>
      <c r="G19" s="26">
        <v>4</v>
      </c>
      <c r="H19" s="26">
        <v>18</v>
      </c>
      <c r="I19" s="26">
        <v>15</v>
      </c>
      <c r="J19" s="22">
        <f t="shared" si="0"/>
        <v>-7</v>
      </c>
      <c r="K19" s="22">
        <f t="shared" si="1"/>
        <v>-11</v>
      </c>
      <c r="L19" s="22">
        <f t="shared" si="2"/>
        <v>-3</v>
      </c>
      <c r="M19" s="28"/>
      <c r="N19" s="29" t="s">
        <v>39</v>
      </c>
    </row>
    <row r="20" spans="1:14" ht="14.4" x14ac:dyDescent="0.3">
      <c r="A20" s="19">
        <v>41500</v>
      </c>
      <c r="B20" s="20">
        <v>11</v>
      </c>
      <c r="C20" s="20">
        <v>3</v>
      </c>
      <c r="D20" s="26">
        <v>5</v>
      </c>
      <c r="E20" s="26">
        <v>7</v>
      </c>
      <c r="F20" s="26">
        <v>6</v>
      </c>
      <c r="G20" s="26">
        <v>10</v>
      </c>
      <c r="H20" s="26">
        <v>16</v>
      </c>
      <c r="I20" s="26">
        <v>26</v>
      </c>
      <c r="J20" s="22">
        <f t="shared" si="0"/>
        <v>2</v>
      </c>
      <c r="K20" s="22">
        <f t="shared" si="1"/>
        <v>4</v>
      </c>
      <c r="L20" s="22">
        <f t="shared" si="2"/>
        <v>10</v>
      </c>
      <c r="M20" s="28"/>
      <c r="N20" s="29" t="s">
        <v>39</v>
      </c>
    </row>
    <row r="21" spans="1:14" ht="14.4" x14ac:dyDescent="0.3">
      <c r="A21" s="19">
        <v>41507</v>
      </c>
      <c r="B21" s="20">
        <v>12</v>
      </c>
      <c r="C21" s="20">
        <v>3</v>
      </c>
      <c r="D21" s="26">
        <v>19</v>
      </c>
      <c r="E21" s="26">
        <v>20</v>
      </c>
      <c r="F21" s="26">
        <v>12</v>
      </c>
      <c r="G21" s="26">
        <v>17</v>
      </c>
      <c r="H21" s="26">
        <v>23</v>
      </c>
      <c r="I21" s="26">
        <v>37</v>
      </c>
      <c r="J21" s="22">
        <f t="shared" si="0"/>
        <v>1</v>
      </c>
      <c r="K21" s="22">
        <f t="shared" si="1"/>
        <v>5</v>
      </c>
      <c r="L21" s="22">
        <f t="shared" si="2"/>
        <v>14</v>
      </c>
      <c r="M21" s="28"/>
      <c r="N21" s="29" t="s">
        <v>39</v>
      </c>
    </row>
    <row r="22" spans="1:14" ht="14.4" x14ac:dyDescent="0.3">
      <c r="A22" s="19">
        <v>41535</v>
      </c>
      <c r="B22" s="20">
        <v>13</v>
      </c>
      <c r="C22" s="20">
        <v>3</v>
      </c>
      <c r="D22" s="26">
        <v>37</v>
      </c>
      <c r="E22" s="26">
        <v>36</v>
      </c>
      <c r="F22" s="26">
        <v>11</v>
      </c>
      <c r="G22" s="26">
        <v>11</v>
      </c>
      <c r="H22" s="26">
        <v>3</v>
      </c>
      <c r="I22" s="26">
        <v>7</v>
      </c>
      <c r="J22" s="22">
        <f t="shared" si="0"/>
        <v>-1</v>
      </c>
      <c r="K22" s="22">
        <f t="shared" si="1"/>
        <v>0</v>
      </c>
      <c r="L22" s="22">
        <f t="shared" si="2"/>
        <v>4</v>
      </c>
      <c r="M22" s="28"/>
      <c r="N22" s="30" t="s">
        <v>39</v>
      </c>
    </row>
    <row r="23" spans="1:14" ht="14.4" x14ac:dyDescent="0.3">
      <c r="A23" s="19">
        <v>41536</v>
      </c>
      <c r="B23" s="20">
        <v>14</v>
      </c>
      <c r="C23" s="20">
        <v>1</v>
      </c>
      <c r="D23" s="31"/>
      <c r="E23" s="26"/>
      <c r="F23" s="26">
        <v>2</v>
      </c>
      <c r="G23" s="26">
        <v>5</v>
      </c>
      <c r="H23" s="26"/>
      <c r="I23" s="26"/>
      <c r="J23" s="22">
        <f t="shared" si="0"/>
        <v>0</v>
      </c>
      <c r="K23" s="22">
        <f t="shared" si="1"/>
        <v>3</v>
      </c>
      <c r="L23" s="22">
        <f t="shared" si="2"/>
        <v>0</v>
      </c>
      <c r="M23" s="28"/>
      <c r="N23" s="30" t="s">
        <v>39</v>
      </c>
    </row>
    <row r="24" spans="1:14" ht="14.4" x14ac:dyDescent="0.3">
      <c r="A24" s="19">
        <v>41569</v>
      </c>
      <c r="B24" s="20">
        <v>15</v>
      </c>
      <c r="C24" s="20">
        <v>3</v>
      </c>
      <c r="D24" s="26">
        <v>22</v>
      </c>
      <c r="E24" s="26">
        <v>51</v>
      </c>
      <c r="F24" s="26">
        <v>12</v>
      </c>
      <c r="G24" s="26">
        <v>20</v>
      </c>
      <c r="H24" s="26">
        <v>46</v>
      </c>
      <c r="I24" s="26">
        <v>54</v>
      </c>
      <c r="J24" s="27">
        <f t="shared" si="0"/>
        <v>29</v>
      </c>
      <c r="K24" s="22">
        <f t="shared" si="1"/>
        <v>8</v>
      </c>
      <c r="L24" s="22">
        <f t="shared" si="2"/>
        <v>8</v>
      </c>
      <c r="M24" s="28"/>
      <c r="N24" s="30" t="s">
        <v>39</v>
      </c>
    </row>
    <row r="25" spans="1:14" ht="14.4" x14ac:dyDescent="0.3">
      <c r="A25" s="19">
        <v>41585</v>
      </c>
      <c r="B25" s="20">
        <v>16</v>
      </c>
      <c r="C25" s="20">
        <v>3</v>
      </c>
      <c r="D25" s="26">
        <v>31</v>
      </c>
      <c r="E25" s="26">
        <v>37</v>
      </c>
      <c r="F25" s="26">
        <v>44</v>
      </c>
      <c r="G25" s="26">
        <v>30</v>
      </c>
      <c r="H25" s="26">
        <v>15</v>
      </c>
      <c r="I25" s="26">
        <v>24</v>
      </c>
      <c r="J25" s="22">
        <f t="shared" si="0"/>
        <v>6</v>
      </c>
      <c r="K25" s="22">
        <f t="shared" si="1"/>
        <v>-14</v>
      </c>
      <c r="L25" s="22">
        <f t="shared" si="2"/>
        <v>9</v>
      </c>
      <c r="M25" s="28"/>
      <c r="N25" s="30" t="s">
        <v>39</v>
      </c>
    </row>
    <row r="26" spans="1:14" ht="14.4" x14ac:dyDescent="0.3">
      <c r="A26" s="19">
        <v>41592</v>
      </c>
      <c r="B26" s="20">
        <v>17</v>
      </c>
      <c r="C26" s="20">
        <v>3</v>
      </c>
      <c r="D26" s="26">
        <v>35</v>
      </c>
      <c r="E26" s="26">
        <v>38</v>
      </c>
      <c r="F26" s="26">
        <v>22</v>
      </c>
      <c r="G26" s="26">
        <v>32</v>
      </c>
      <c r="H26" s="26">
        <v>63</v>
      </c>
      <c r="I26" s="26">
        <v>60</v>
      </c>
      <c r="J26" s="22">
        <f t="shared" si="0"/>
        <v>3</v>
      </c>
      <c r="K26" s="22">
        <f t="shared" si="1"/>
        <v>10</v>
      </c>
      <c r="L26" s="22">
        <f t="shared" si="2"/>
        <v>-3</v>
      </c>
      <c r="M26" s="28"/>
      <c r="N26" s="29" t="s">
        <v>39</v>
      </c>
    </row>
    <row r="27" spans="1:14" ht="14.4" x14ac:dyDescent="0.3">
      <c r="A27" s="19">
        <v>41600</v>
      </c>
      <c r="B27" s="20">
        <v>18</v>
      </c>
      <c r="C27" s="20">
        <v>3</v>
      </c>
      <c r="D27" s="26">
        <v>0</v>
      </c>
      <c r="E27" s="26">
        <v>8</v>
      </c>
      <c r="F27" s="26">
        <v>1</v>
      </c>
      <c r="G27" s="26">
        <v>1</v>
      </c>
      <c r="H27" s="26">
        <v>1</v>
      </c>
      <c r="I27" s="26">
        <v>6</v>
      </c>
      <c r="J27" s="22">
        <f t="shared" si="0"/>
        <v>8</v>
      </c>
      <c r="K27" s="22">
        <f t="shared" si="1"/>
        <v>0</v>
      </c>
      <c r="L27" s="22">
        <f t="shared" si="2"/>
        <v>5</v>
      </c>
      <c r="M27" s="28"/>
      <c r="N27" s="29" t="s">
        <v>39</v>
      </c>
    </row>
    <row r="28" spans="1:14" ht="14.4" x14ac:dyDescent="0.3">
      <c r="A28" s="19">
        <v>41610</v>
      </c>
      <c r="B28" s="20">
        <v>19</v>
      </c>
      <c r="C28" s="20">
        <v>2</v>
      </c>
      <c r="D28" s="26">
        <v>7</v>
      </c>
      <c r="E28" s="26">
        <v>5</v>
      </c>
      <c r="F28" s="26">
        <v>3</v>
      </c>
      <c r="G28" s="26">
        <v>3</v>
      </c>
      <c r="H28" s="26">
        <v>9</v>
      </c>
      <c r="I28" s="26">
        <v>7</v>
      </c>
      <c r="J28" s="22">
        <f t="shared" si="0"/>
        <v>-2</v>
      </c>
      <c r="K28" s="22">
        <f t="shared" si="1"/>
        <v>0</v>
      </c>
      <c r="L28" s="22">
        <f t="shared" si="2"/>
        <v>-2</v>
      </c>
      <c r="M28" s="28"/>
      <c r="N28" s="29" t="s">
        <v>39</v>
      </c>
    </row>
    <row r="29" spans="1:14" ht="14.4" x14ac:dyDescent="0.3">
      <c r="A29" s="19">
        <v>41625</v>
      </c>
      <c r="B29" s="20">
        <v>20</v>
      </c>
      <c r="C29" s="20">
        <v>3</v>
      </c>
      <c r="D29" s="26">
        <v>47</v>
      </c>
      <c r="E29" s="26">
        <v>48</v>
      </c>
      <c r="F29" s="26">
        <v>0</v>
      </c>
      <c r="G29" s="26">
        <v>7</v>
      </c>
      <c r="H29" s="26">
        <v>2</v>
      </c>
      <c r="I29" s="26">
        <v>10</v>
      </c>
      <c r="J29" s="22">
        <f t="shared" si="0"/>
        <v>1</v>
      </c>
      <c r="K29" s="22">
        <f t="shared" si="1"/>
        <v>7</v>
      </c>
      <c r="L29" s="22">
        <f t="shared" si="2"/>
        <v>8</v>
      </c>
      <c r="M29" s="28"/>
      <c r="N29" s="29"/>
    </row>
    <row r="30" spans="1:14" ht="14.4" x14ac:dyDescent="0.3">
      <c r="A30" s="32"/>
      <c r="B30" s="33"/>
      <c r="C30" s="33"/>
      <c r="D30" s="26"/>
      <c r="E30" s="26"/>
      <c r="F30" s="26"/>
      <c r="G30" s="26"/>
      <c r="H30" s="26"/>
      <c r="I30" s="26"/>
      <c r="J30" s="22"/>
      <c r="K30" s="22"/>
      <c r="L30" s="22"/>
      <c r="M30" s="28"/>
      <c r="N30" s="29"/>
    </row>
    <row r="31" spans="1:14" ht="14.4" x14ac:dyDescent="0.3">
      <c r="A31" s="19"/>
      <c r="B31" s="33"/>
      <c r="C31" s="33"/>
      <c r="D31" s="34"/>
      <c r="E31" s="34"/>
      <c r="F31" s="34"/>
      <c r="G31" s="34"/>
      <c r="H31" s="34"/>
      <c r="I31" s="34"/>
      <c r="J31" s="35"/>
      <c r="K31" s="35"/>
      <c r="L31" s="35"/>
      <c r="M31" s="36"/>
      <c r="N31" s="24"/>
    </row>
    <row r="32" spans="1:14" ht="14.4" x14ac:dyDescent="0.3">
      <c r="A32" s="19"/>
      <c r="B32" s="33"/>
      <c r="C32" s="33"/>
      <c r="D32" s="34"/>
      <c r="E32" s="34"/>
      <c r="F32" s="34"/>
      <c r="G32" s="34"/>
      <c r="H32" s="34"/>
      <c r="I32" s="34"/>
      <c r="J32" s="37"/>
      <c r="K32" s="37"/>
      <c r="L32" s="37"/>
      <c r="M32" s="36"/>
      <c r="N32" s="24"/>
    </row>
    <row r="33" spans="1:14" ht="14.4" x14ac:dyDescent="0.3">
      <c r="A33" s="19"/>
      <c r="B33" s="33"/>
      <c r="C33" s="33"/>
      <c r="D33" s="34"/>
      <c r="E33" s="34"/>
      <c r="F33" s="34"/>
      <c r="G33" s="34"/>
      <c r="H33" s="34"/>
      <c r="I33" s="34"/>
      <c r="J33" s="37"/>
      <c r="K33" s="37"/>
      <c r="L33" s="37"/>
      <c r="M33" s="38"/>
      <c r="N33" s="24"/>
    </row>
    <row r="34" spans="1:14" ht="14.4" x14ac:dyDescent="0.3">
      <c r="A34" s="19"/>
      <c r="B34" s="20"/>
      <c r="C34" s="20"/>
      <c r="D34" s="39"/>
      <c r="E34" s="39"/>
      <c r="F34" s="39"/>
      <c r="G34" s="39"/>
      <c r="H34" s="39"/>
      <c r="I34" s="39"/>
      <c r="J34" s="35"/>
      <c r="K34" s="35"/>
      <c r="L34" s="35"/>
      <c r="M34" s="40"/>
      <c r="N34" s="24"/>
    </row>
    <row r="35" spans="1:14" ht="15.8" customHeight="1" thickBot="1" x14ac:dyDescent="0.35">
      <c r="A35" s="41"/>
      <c r="B35" s="42" t="s">
        <v>40</v>
      </c>
      <c r="C35" s="43"/>
      <c r="D35" s="44"/>
      <c r="E35" s="44"/>
      <c r="F35" s="44"/>
      <c r="G35" s="44"/>
      <c r="H35" s="44"/>
      <c r="I35" s="44"/>
      <c r="J35" s="332" t="s">
        <v>41</v>
      </c>
      <c r="K35" s="333"/>
      <c r="L35" s="334"/>
      <c r="M35" s="45"/>
      <c r="N35" s="46"/>
    </row>
  </sheetData>
  <mergeCells count="13">
    <mergeCell ref="J35:L35"/>
    <mergeCell ref="A1:H1"/>
    <mergeCell ref="G4:H4"/>
    <mergeCell ref="A8:M8"/>
    <mergeCell ref="N8:N10"/>
    <mergeCell ref="A9:A10"/>
    <mergeCell ref="B9:B10"/>
    <mergeCell ref="C9:C10"/>
    <mergeCell ref="D9:E9"/>
    <mergeCell ref="F9:G9"/>
    <mergeCell ref="H9:I9"/>
    <mergeCell ref="J9:L9"/>
    <mergeCell ref="M9:M10"/>
  </mergeCells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8"/>
  <sheetViews>
    <sheetView zoomScale="80" zoomScaleNormal="80" workbookViewId="0">
      <selection activeCell="K21" sqref="K21"/>
    </sheetView>
  </sheetViews>
  <sheetFormatPr defaultRowHeight="12.75" x14ac:dyDescent="0.25"/>
  <cols>
    <col min="1" max="16384" width="8.7265625" style="8"/>
  </cols>
  <sheetData>
    <row r="1" spans="1:17" x14ac:dyDescent="0.25">
      <c r="A1" s="335" t="s">
        <v>14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</row>
    <row r="2" spans="1:17" x14ac:dyDescent="0.25">
      <c r="A2" s="5" t="s">
        <v>15</v>
      </c>
      <c r="B2" s="5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7"/>
      <c r="Q2" s="49" t="s">
        <v>42</v>
      </c>
    </row>
    <row r="3" spans="1:17" x14ac:dyDescent="0.25">
      <c r="A3" s="11"/>
      <c r="B3" s="1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7"/>
      <c r="P3" s="5"/>
      <c r="Q3" s="16"/>
    </row>
    <row r="4" spans="1:17" x14ac:dyDescent="0.25">
      <c r="A4" s="13" t="s">
        <v>17</v>
      </c>
      <c r="B4" s="50" t="s">
        <v>43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7"/>
      <c r="P4" s="347" t="s">
        <v>44</v>
      </c>
      <c r="Q4" s="347"/>
    </row>
    <row r="5" spans="1:17" ht="16.100000000000001" x14ac:dyDescent="0.35">
      <c r="A5" s="52" t="s">
        <v>45</v>
      </c>
      <c r="B5" s="16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7"/>
      <c r="P5" s="7"/>
      <c r="Q5" s="7"/>
    </row>
    <row r="6" spans="1:17" x14ac:dyDescent="0.25">
      <c r="A6" s="52" t="s">
        <v>46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7"/>
      <c r="P6" s="7"/>
      <c r="Q6" s="7"/>
    </row>
    <row r="7" spans="1:17" ht="16.100000000000001" x14ac:dyDescent="0.35">
      <c r="A7" s="5" t="s">
        <v>47</v>
      </c>
      <c r="B7" s="5"/>
      <c r="C7" s="11"/>
      <c r="D7" s="11"/>
      <c r="E7" s="11"/>
      <c r="F7" s="11"/>
      <c r="G7" s="11"/>
      <c r="H7" s="11"/>
      <c r="I7" s="53" t="s">
        <v>48</v>
      </c>
      <c r="J7" s="11"/>
      <c r="K7" s="11"/>
      <c r="L7" s="11"/>
      <c r="M7" s="11"/>
      <c r="N7" s="11"/>
      <c r="O7" s="7"/>
      <c r="P7" s="7" t="s">
        <v>49</v>
      </c>
      <c r="Q7" s="7"/>
    </row>
    <row r="8" spans="1:17" x14ac:dyDescent="0.25">
      <c r="A8" s="5"/>
      <c r="B8" s="7"/>
      <c r="C8" s="54"/>
      <c r="D8" s="54"/>
      <c r="E8" s="54"/>
      <c r="F8" s="54"/>
      <c r="G8" s="54"/>
      <c r="H8" s="54"/>
      <c r="I8" s="5"/>
      <c r="J8" s="54"/>
      <c r="K8" s="54"/>
      <c r="L8" s="54"/>
      <c r="M8" s="54"/>
      <c r="N8" s="54"/>
      <c r="O8" s="7"/>
      <c r="P8" s="7"/>
      <c r="Q8" s="7"/>
    </row>
    <row r="9" spans="1:17" ht="12.75" customHeight="1" x14ac:dyDescent="0.25">
      <c r="A9" s="55" t="s">
        <v>26</v>
      </c>
      <c r="B9" s="56" t="s">
        <v>50</v>
      </c>
      <c r="C9" s="348" t="s">
        <v>51</v>
      </c>
      <c r="D9" s="349"/>
      <c r="E9" s="348" t="s">
        <v>52</v>
      </c>
      <c r="F9" s="349"/>
      <c r="G9" s="348" t="s">
        <v>53</v>
      </c>
      <c r="H9" s="349"/>
      <c r="I9" s="348" t="s">
        <v>54</v>
      </c>
      <c r="J9" s="349"/>
      <c r="K9" s="348" t="s">
        <v>55</v>
      </c>
      <c r="L9" s="349"/>
      <c r="M9" s="350" t="s">
        <v>56</v>
      </c>
      <c r="N9" s="350"/>
      <c r="O9" s="55" t="s">
        <v>57</v>
      </c>
      <c r="P9" s="56" t="s">
        <v>58</v>
      </c>
      <c r="Q9" s="55" t="s">
        <v>25</v>
      </c>
    </row>
    <row r="10" spans="1:17" ht="12.75" customHeight="1" x14ac:dyDescent="0.25">
      <c r="A10" s="55"/>
      <c r="B10" s="56"/>
      <c r="C10" s="56" t="s">
        <v>59</v>
      </c>
      <c r="D10" s="56" t="s">
        <v>60</v>
      </c>
      <c r="E10" s="56" t="s">
        <v>59</v>
      </c>
      <c r="F10" s="56" t="s">
        <v>60</v>
      </c>
      <c r="G10" s="56" t="s">
        <v>59</v>
      </c>
      <c r="H10" s="56" t="s">
        <v>60</v>
      </c>
      <c r="I10" s="56" t="s">
        <v>59</v>
      </c>
      <c r="J10" s="56" t="s">
        <v>60</v>
      </c>
      <c r="K10" s="56" t="s">
        <v>59</v>
      </c>
      <c r="L10" s="56" t="s">
        <v>60</v>
      </c>
      <c r="M10" s="56" t="s">
        <v>59</v>
      </c>
      <c r="N10" s="56" t="s">
        <v>60</v>
      </c>
      <c r="O10" s="55"/>
      <c r="P10" s="56"/>
      <c r="Q10" s="55"/>
    </row>
    <row r="11" spans="1:17" x14ac:dyDescent="0.25">
      <c r="A11" s="57" t="s">
        <v>61</v>
      </c>
      <c r="B11" s="57" t="s">
        <v>62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9"/>
      <c r="P11" s="60"/>
      <c r="Q11" s="61"/>
    </row>
    <row r="12" spans="1:17" x14ac:dyDescent="0.25">
      <c r="A12" s="57"/>
      <c r="B12" s="57" t="s">
        <v>63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9"/>
      <c r="P12" s="60"/>
      <c r="Q12" s="61"/>
    </row>
    <row r="13" spans="1:17" x14ac:dyDescent="0.25">
      <c r="A13" s="57"/>
      <c r="B13" s="57" t="s">
        <v>64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9"/>
      <c r="P13" s="60"/>
      <c r="Q13" s="61"/>
    </row>
    <row r="14" spans="1:17" x14ac:dyDescent="0.25">
      <c r="A14" s="57" t="s">
        <v>61</v>
      </c>
      <c r="B14" s="57" t="s">
        <v>62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9"/>
      <c r="P14" s="60"/>
      <c r="Q14" s="61"/>
    </row>
    <row r="15" spans="1:17" x14ac:dyDescent="0.25">
      <c r="A15" s="57"/>
      <c r="B15" s="57" t="s">
        <v>63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9"/>
      <c r="P15" s="60"/>
      <c r="Q15" s="61"/>
    </row>
    <row r="16" spans="1:17" x14ac:dyDescent="0.25">
      <c r="A16" s="57"/>
      <c r="B16" s="57" t="s">
        <v>64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9"/>
      <c r="P16" s="60"/>
      <c r="Q16" s="61"/>
    </row>
    <row r="17" spans="1:17" x14ac:dyDescent="0.25">
      <c r="A17" s="57" t="s">
        <v>61</v>
      </c>
      <c r="B17" s="57" t="s">
        <v>62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9"/>
      <c r="P17" s="60"/>
      <c r="Q17" s="61"/>
    </row>
    <row r="18" spans="1:17" x14ac:dyDescent="0.25">
      <c r="A18" s="57"/>
      <c r="B18" s="57" t="s">
        <v>63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9"/>
      <c r="P18" s="60"/>
      <c r="Q18" s="61"/>
    </row>
    <row r="19" spans="1:17" x14ac:dyDescent="0.25">
      <c r="A19" s="57"/>
      <c r="B19" s="57" t="s">
        <v>64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9"/>
      <c r="P19" s="60"/>
      <c r="Q19" s="61"/>
    </row>
    <row r="20" spans="1:17" x14ac:dyDescent="0.25">
      <c r="A20" s="57" t="s">
        <v>61</v>
      </c>
      <c r="B20" s="57" t="s">
        <v>62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9"/>
      <c r="P20" s="60"/>
      <c r="Q20" s="61"/>
    </row>
    <row r="21" spans="1:17" x14ac:dyDescent="0.25">
      <c r="A21" s="57"/>
      <c r="B21" s="57" t="s">
        <v>63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9"/>
      <c r="P21" s="60"/>
      <c r="Q21" s="61"/>
    </row>
    <row r="22" spans="1:17" x14ac:dyDescent="0.25">
      <c r="A22" s="57"/>
      <c r="B22" s="57" t="s">
        <v>64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9"/>
      <c r="P22" s="60"/>
      <c r="Q22" s="61"/>
    </row>
    <row r="23" spans="1:17" x14ac:dyDescent="0.25">
      <c r="A23" s="57" t="s">
        <v>61</v>
      </c>
      <c r="B23" s="57" t="s">
        <v>62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9"/>
      <c r="P23" s="60"/>
      <c r="Q23" s="61"/>
    </row>
    <row r="24" spans="1:17" x14ac:dyDescent="0.25">
      <c r="A24" s="57"/>
      <c r="B24" s="57" t="s">
        <v>63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9"/>
      <c r="P24" s="60"/>
      <c r="Q24" s="61"/>
    </row>
    <row r="25" spans="1:17" x14ac:dyDescent="0.25">
      <c r="A25" s="57"/>
      <c r="B25" s="57" t="s">
        <v>64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9"/>
      <c r="P25" s="60"/>
      <c r="Q25" s="61"/>
    </row>
    <row r="26" spans="1:17" x14ac:dyDescent="0.25">
      <c r="A26" s="57" t="s">
        <v>61</v>
      </c>
      <c r="B26" s="57" t="s">
        <v>62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9"/>
      <c r="P26" s="60"/>
      <c r="Q26" s="61"/>
    </row>
    <row r="27" spans="1:17" x14ac:dyDescent="0.25">
      <c r="A27" s="57"/>
      <c r="B27" s="57" t="s">
        <v>63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9"/>
      <c r="P27" s="60"/>
      <c r="Q27" s="61"/>
    </row>
    <row r="28" spans="1:17" x14ac:dyDescent="0.25">
      <c r="A28" s="57"/>
      <c r="B28" s="57" t="s">
        <v>64</v>
      </c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9"/>
      <c r="P28" s="60"/>
      <c r="Q28" s="61"/>
    </row>
    <row r="29" spans="1:17" x14ac:dyDescent="0.25">
      <c r="A29" s="57" t="s">
        <v>61</v>
      </c>
      <c r="B29" s="57" t="s">
        <v>62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9"/>
      <c r="P29" s="60"/>
      <c r="Q29" s="61"/>
    </row>
    <row r="30" spans="1:17" x14ac:dyDescent="0.25">
      <c r="A30" s="57"/>
      <c r="B30" s="57" t="s">
        <v>63</v>
      </c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9"/>
      <c r="P30" s="60"/>
      <c r="Q30" s="61"/>
    </row>
    <row r="31" spans="1:17" x14ac:dyDescent="0.25">
      <c r="A31" s="57"/>
      <c r="B31" s="57" t="s">
        <v>64</v>
      </c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9"/>
      <c r="P31" s="60"/>
      <c r="Q31" s="61"/>
    </row>
    <row r="32" spans="1:17" x14ac:dyDescent="0.25">
      <c r="A32" s="57" t="s">
        <v>61</v>
      </c>
      <c r="B32" s="57" t="s">
        <v>62</v>
      </c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9"/>
      <c r="P32" s="60"/>
      <c r="Q32" s="61"/>
    </row>
    <row r="33" spans="1:17" x14ac:dyDescent="0.25">
      <c r="A33" s="57"/>
      <c r="B33" s="57" t="s">
        <v>63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9"/>
      <c r="P33" s="60"/>
      <c r="Q33" s="61"/>
    </row>
    <row r="34" spans="1:17" x14ac:dyDescent="0.25">
      <c r="A34" s="57"/>
      <c r="B34" s="57" t="s">
        <v>64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9"/>
      <c r="P34" s="60"/>
      <c r="Q34" s="61"/>
    </row>
    <row r="35" spans="1:17" x14ac:dyDescent="0.25">
      <c r="A35" s="57" t="s">
        <v>61</v>
      </c>
      <c r="B35" s="57" t="s">
        <v>62</v>
      </c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9"/>
      <c r="P35" s="60"/>
      <c r="Q35" s="61"/>
    </row>
    <row r="36" spans="1:17" x14ac:dyDescent="0.25">
      <c r="A36" s="57"/>
      <c r="B36" s="57" t="s">
        <v>63</v>
      </c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9"/>
      <c r="P36" s="60"/>
      <c r="Q36" s="61"/>
    </row>
    <row r="37" spans="1:17" x14ac:dyDescent="0.25">
      <c r="A37" s="57"/>
      <c r="B37" s="57" t="s">
        <v>64</v>
      </c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9"/>
      <c r="P37" s="60"/>
      <c r="Q37" s="61"/>
    </row>
    <row r="38" spans="1:17" x14ac:dyDescent="0.25">
      <c r="A38" s="57" t="s">
        <v>61</v>
      </c>
      <c r="B38" s="57" t="s">
        <v>62</v>
      </c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9"/>
      <c r="P38" s="60"/>
      <c r="Q38" s="61"/>
    </row>
    <row r="39" spans="1:17" x14ac:dyDescent="0.25">
      <c r="A39" s="57"/>
      <c r="B39" s="57" t="s">
        <v>63</v>
      </c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9"/>
      <c r="P39" s="60"/>
      <c r="Q39" s="61"/>
    </row>
    <row r="40" spans="1:17" x14ac:dyDescent="0.25">
      <c r="A40" s="57"/>
      <c r="B40" s="57" t="s">
        <v>64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9"/>
      <c r="P40" s="60"/>
      <c r="Q40" s="61"/>
    </row>
    <row r="41" spans="1:17" x14ac:dyDescent="0.25">
      <c r="A41" s="57" t="s">
        <v>61</v>
      </c>
      <c r="B41" s="57" t="s">
        <v>62</v>
      </c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9"/>
      <c r="P41" s="60"/>
      <c r="Q41" s="61"/>
    </row>
    <row r="42" spans="1:17" x14ac:dyDescent="0.25">
      <c r="A42" s="57"/>
      <c r="B42" s="57" t="s">
        <v>63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9"/>
      <c r="P42" s="60"/>
      <c r="Q42" s="61"/>
    </row>
    <row r="43" spans="1:17" x14ac:dyDescent="0.25">
      <c r="A43" s="57"/>
      <c r="B43" s="57" t="s">
        <v>64</v>
      </c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9"/>
      <c r="P43" s="60"/>
      <c r="Q43" s="61"/>
    </row>
    <row r="44" spans="1:17" x14ac:dyDescent="0.25">
      <c r="A44" s="57" t="s">
        <v>61</v>
      </c>
      <c r="B44" s="57" t="s">
        <v>62</v>
      </c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9"/>
      <c r="P44" s="60"/>
      <c r="Q44" s="61"/>
    </row>
    <row r="45" spans="1:17" x14ac:dyDescent="0.25">
      <c r="A45" s="57"/>
      <c r="B45" s="57" t="s">
        <v>63</v>
      </c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9"/>
      <c r="P45" s="60"/>
      <c r="Q45" s="61"/>
    </row>
    <row r="46" spans="1:17" x14ac:dyDescent="0.25">
      <c r="A46" s="57"/>
      <c r="B46" s="57" t="s">
        <v>64</v>
      </c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9"/>
      <c r="P46" s="60"/>
      <c r="Q46" s="61"/>
    </row>
    <row r="47" spans="1:17" x14ac:dyDescent="0.25">
      <c r="A47" s="57" t="s">
        <v>61</v>
      </c>
      <c r="B47" s="57" t="s">
        <v>62</v>
      </c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  <c r="P47" s="60"/>
      <c r="Q47" s="61"/>
    </row>
    <row r="48" spans="1:17" x14ac:dyDescent="0.25">
      <c r="A48" s="57"/>
      <c r="B48" s="57" t="s">
        <v>63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9"/>
      <c r="P48" s="60"/>
      <c r="Q48" s="61"/>
    </row>
    <row r="49" spans="1:17" x14ac:dyDescent="0.25">
      <c r="A49" s="57"/>
      <c r="B49" s="57" t="s">
        <v>64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9"/>
      <c r="P49" s="60"/>
      <c r="Q49" s="61"/>
    </row>
    <row r="50" spans="1:17" x14ac:dyDescent="0.25">
      <c r="A50" s="57" t="s">
        <v>61</v>
      </c>
      <c r="B50" s="57" t="s">
        <v>62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9"/>
      <c r="P50" s="60"/>
      <c r="Q50" s="61"/>
    </row>
    <row r="51" spans="1:17" x14ac:dyDescent="0.25">
      <c r="A51" s="57"/>
      <c r="B51" s="57" t="s">
        <v>63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9"/>
      <c r="P51" s="60"/>
      <c r="Q51" s="61"/>
    </row>
    <row r="52" spans="1:17" x14ac:dyDescent="0.25">
      <c r="A52" s="57"/>
      <c r="B52" s="57" t="s">
        <v>64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9"/>
      <c r="P52" s="60"/>
      <c r="Q52" s="61"/>
    </row>
    <row r="53" spans="1:17" x14ac:dyDescent="0.25">
      <c r="A53" s="57" t="s">
        <v>61</v>
      </c>
      <c r="B53" s="57" t="s">
        <v>62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9"/>
      <c r="P53" s="60"/>
      <c r="Q53" s="61"/>
    </row>
    <row r="54" spans="1:17" x14ac:dyDescent="0.25">
      <c r="A54" s="57"/>
      <c r="B54" s="57" t="s">
        <v>63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9"/>
      <c r="P54" s="60"/>
      <c r="Q54" s="61"/>
    </row>
    <row r="55" spans="1:17" x14ac:dyDescent="0.25">
      <c r="A55" s="57"/>
      <c r="B55" s="57" t="s">
        <v>64</v>
      </c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9"/>
      <c r="P55" s="60"/>
      <c r="Q55" s="61"/>
    </row>
    <row r="56" spans="1:17" x14ac:dyDescent="0.25">
      <c r="A56" s="57" t="s">
        <v>61</v>
      </c>
      <c r="B56" s="57" t="s">
        <v>62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9"/>
      <c r="P56" s="60"/>
      <c r="Q56" s="61"/>
    </row>
    <row r="57" spans="1:17" x14ac:dyDescent="0.25">
      <c r="A57" s="57"/>
      <c r="B57" s="57" t="s">
        <v>63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9"/>
      <c r="P57" s="60"/>
      <c r="Q57" s="61"/>
    </row>
    <row r="58" spans="1:17" x14ac:dyDescent="0.25">
      <c r="A58" s="57"/>
      <c r="B58" s="57" t="s">
        <v>64</v>
      </c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9"/>
      <c r="P58" s="60"/>
      <c r="Q58" s="61"/>
    </row>
  </sheetData>
  <mergeCells count="8">
    <mergeCell ref="A1:Q1"/>
    <mergeCell ref="P4:Q4"/>
    <mergeCell ref="C9:D9"/>
    <mergeCell ref="E9:F9"/>
    <mergeCell ref="G9:H9"/>
    <mergeCell ref="I9:J9"/>
    <mergeCell ref="K9:L9"/>
    <mergeCell ref="M9:N9"/>
  </mergeCells>
  <pageMargins left="0.45" right="0.4" top="0.7" bottom="0.25" header="0.3" footer="0.23"/>
  <pageSetup paperSize="9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workbookViewId="0">
      <selection activeCell="K21" sqref="K21"/>
    </sheetView>
  </sheetViews>
  <sheetFormatPr defaultRowHeight="12.75" x14ac:dyDescent="0.25"/>
  <cols>
    <col min="1" max="1" width="8.54296875" style="8" bestFit="1" customWidth="1"/>
    <col min="2" max="256" width="8.7265625" style="8"/>
    <col min="257" max="257" width="8.54296875" style="8" bestFit="1" customWidth="1"/>
    <col min="258" max="512" width="8.7265625" style="8"/>
    <col min="513" max="513" width="8.54296875" style="8" bestFit="1" customWidth="1"/>
    <col min="514" max="768" width="8.7265625" style="8"/>
    <col min="769" max="769" width="8.54296875" style="8" bestFit="1" customWidth="1"/>
    <col min="770" max="1024" width="8.7265625" style="8"/>
    <col min="1025" max="1025" width="8.54296875" style="8" bestFit="1" customWidth="1"/>
    <col min="1026" max="1280" width="8.7265625" style="8"/>
    <col min="1281" max="1281" width="8.54296875" style="8" bestFit="1" customWidth="1"/>
    <col min="1282" max="1536" width="8.7265625" style="8"/>
    <col min="1537" max="1537" width="8.54296875" style="8" bestFit="1" customWidth="1"/>
    <col min="1538" max="1792" width="8.7265625" style="8"/>
    <col min="1793" max="1793" width="8.54296875" style="8" bestFit="1" customWidth="1"/>
    <col min="1794" max="2048" width="8.7265625" style="8"/>
    <col min="2049" max="2049" width="8.54296875" style="8" bestFit="1" customWidth="1"/>
    <col min="2050" max="2304" width="8.7265625" style="8"/>
    <col min="2305" max="2305" width="8.54296875" style="8" bestFit="1" customWidth="1"/>
    <col min="2306" max="2560" width="8.7265625" style="8"/>
    <col min="2561" max="2561" width="8.54296875" style="8" bestFit="1" customWidth="1"/>
    <col min="2562" max="2816" width="8.7265625" style="8"/>
    <col min="2817" max="2817" width="8.54296875" style="8" bestFit="1" customWidth="1"/>
    <col min="2818" max="3072" width="8.7265625" style="8"/>
    <col min="3073" max="3073" width="8.54296875" style="8" bestFit="1" customWidth="1"/>
    <col min="3074" max="3328" width="8.7265625" style="8"/>
    <col min="3329" max="3329" width="8.54296875" style="8" bestFit="1" customWidth="1"/>
    <col min="3330" max="3584" width="8.7265625" style="8"/>
    <col min="3585" max="3585" width="8.54296875" style="8" bestFit="1" customWidth="1"/>
    <col min="3586" max="3840" width="8.7265625" style="8"/>
    <col min="3841" max="3841" width="8.54296875" style="8" bestFit="1" customWidth="1"/>
    <col min="3842" max="4096" width="8.7265625" style="8"/>
    <col min="4097" max="4097" width="8.54296875" style="8" bestFit="1" customWidth="1"/>
    <col min="4098" max="4352" width="8.7265625" style="8"/>
    <col min="4353" max="4353" width="8.54296875" style="8" bestFit="1" customWidth="1"/>
    <col min="4354" max="4608" width="8.7265625" style="8"/>
    <col min="4609" max="4609" width="8.54296875" style="8" bestFit="1" customWidth="1"/>
    <col min="4610" max="4864" width="8.7265625" style="8"/>
    <col min="4865" max="4865" width="8.54296875" style="8" bestFit="1" customWidth="1"/>
    <col min="4866" max="5120" width="8.7265625" style="8"/>
    <col min="5121" max="5121" width="8.54296875" style="8" bestFit="1" customWidth="1"/>
    <col min="5122" max="5376" width="8.7265625" style="8"/>
    <col min="5377" max="5377" width="8.54296875" style="8" bestFit="1" customWidth="1"/>
    <col min="5378" max="5632" width="8.7265625" style="8"/>
    <col min="5633" max="5633" width="8.54296875" style="8" bestFit="1" customWidth="1"/>
    <col min="5634" max="5888" width="8.7265625" style="8"/>
    <col min="5889" max="5889" width="8.54296875" style="8" bestFit="1" customWidth="1"/>
    <col min="5890" max="6144" width="8.7265625" style="8"/>
    <col min="6145" max="6145" width="8.54296875" style="8" bestFit="1" customWidth="1"/>
    <col min="6146" max="6400" width="8.7265625" style="8"/>
    <col min="6401" max="6401" width="8.54296875" style="8" bestFit="1" customWidth="1"/>
    <col min="6402" max="6656" width="8.7265625" style="8"/>
    <col min="6657" max="6657" width="8.54296875" style="8" bestFit="1" customWidth="1"/>
    <col min="6658" max="6912" width="8.7265625" style="8"/>
    <col min="6913" max="6913" width="8.54296875" style="8" bestFit="1" customWidth="1"/>
    <col min="6914" max="7168" width="8.7265625" style="8"/>
    <col min="7169" max="7169" width="8.54296875" style="8" bestFit="1" customWidth="1"/>
    <col min="7170" max="7424" width="8.7265625" style="8"/>
    <col min="7425" max="7425" width="8.54296875" style="8" bestFit="1" customWidth="1"/>
    <col min="7426" max="7680" width="8.7265625" style="8"/>
    <col min="7681" max="7681" width="8.54296875" style="8" bestFit="1" customWidth="1"/>
    <col min="7682" max="7936" width="8.7265625" style="8"/>
    <col min="7937" max="7937" width="8.54296875" style="8" bestFit="1" customWidth="1"/>
    <col min="7938" max="8192" width="8.7265625" style="8"/>
    <col min="8193" max="8193" width="8.54296875" style="8" bestFit="1" customWidth="1"/>
    <col min="8194" max="8448" width="8.7265625" style="8"/>
    <col min="8449" max="8449" width="8.54296875" style="8" bestFit="1" customWidth="1"/>
    <col min="8450" max="8704" width="8.7265625" style="8"/>
    <col min="8705" max="8705" width="8.54296875" style="8" bestFit="1" customWidth="1"/>
    <col min="8706" max="8960" width="8.7265625" style="8"/>
    <col min="8961" max="8961" width="8.54296875" style="8" bestFit="1" customWidth="1"/>
    <col min="8962" max="9216" width="8.7265625" style="8"/>
    <col min="9217" max="9217" width="8.54296875" style="8" bestFit="1" customWidth="1"/>
    <col min="9218" max="9472" width="8.7265625" style="8"/>
    <col min="9473" max="9473" width="8.54296875" style="8" bestFit="1" customWidth="1"/>
    <col min="9474" max="9728" width="8.7265625" style="8"/>
    <col min="9729" max="9729" width="8.54296875" style="8" bestFit="1" customWidth="1"/>
    <col min="9730" max="9984" width="8.7265625" style="8"/>
    <col min="9985" max="9985" width="8.54296875" style="8" bestFit="1" customWidth="1"/>
    <col min="9986" max="10240" width="8.7265625" style="8"/>
    <col min="10241" max="10241" width="8.54296875" style="8" bestFit="1" customWidth="1"/>
    <col min="10242" max="10496" width="8.7265625" style="8"/>
    <col min="10497" max="10497" width="8.54296875" style="8" bestFit="1" customWidth="1"/>
    <col min="10498" max="10752" width="8.7265625" style="8"/>
    <col min="10753" max="10753" width="8.54296875" style="8" bestFit="1" customWidth="1"/>
    <col min="10754" max="11008" width="8.7265625" style="8"/>
    <col min="11009" max="11009" width="8.54296875" style="8" bestFit="1" customWidth="1"/>
    <col min="11010" max="11264" width="8.7265625" style="8"/>
    <col min="11265" max="11265" width="8.54296875" style="8" bestFit="1" customWidth="1"/>
    <col min="11266" max="11520" width="8.7265625" style="8"/>
    <col min="11521" max="11521" width="8.54296875" style="8" bestFit="1" customWidth="1"/>
    <col min="11522" max="11776" width="8.7265625" style="8"/>
    <col min="11777" max="11777" width="8.54296875" style="8" bestFit="1" customWidth="1"/>
    <col min="11778" max="12032" width="8.7265625" style="8"/>
    <col min="12033" max="12033" width="8.54296875" style="8" bestFit="1" customWidth="1"/>
    <col min="12034" max="12288" width="8.7265625" style="8"/>
    <col min="12289" max="12289" width="8.54296875" style="8" bestFit="1" customWidth="1"/>
    <col min="12290" max="12544" width="8.7265625" style="8"/>
    <col min="12545" max="12545" width="8.54296875" style="8" bestFit="1" customWidth="1"/>
    <col min="12546" max="12800" width="8.7265625" style="8"/>
    <col min="12801" max="12801" width="8.54296875" style="8" bestFit="1" customWidth="1"/>
    <col min="12802" max="13056" width="8.7265625" style="8"/>
    <col min="13057" max="13057" width="8.54296875" style="8" bestFit="1" customWidth="1"/>
    <col min="13058" max="13312" width="8.7265625" style="8"/>
    <col min="13313" max="13313" width="8.54296875" style="8" bestFit="1" customWidth="1"/>
    <col min="13314" max="13568" width="8.7265625" style="8"/>
    <col min="13569" max="13569" width="8.54296875" style="8" bestFit="1" customWidth="1"/>
    <col min="13570" max="13824" width="8.7265625" style="8"/>
    <col min="13825" max="13825" width="8.54296875" style="8" bestFit="1" customWidth="1"/>
    <col min="13826" max="14080" width="8.7265625" style="8"/>
    <col min="14081" max="14081" width="8.54296875" style="8" bestFit="1" customWidth="1"/>
    <col min="14082" max="14336" width="8.7265625" style="8"/>
    <col min="14337" max="14337" width="8.54296875" style="8" bestFit="1" customWidth="1"/>
    <col min="14338" max="14592" width="8.7265625" style="8"/>
    <col min="14593" max="14593" width="8.54296875" style="8" bestFit="1" customWidth="1"/>
    <col min="14594" max="14848" width="8.7265625" style="8"/>
    <col min="14849" max="14849" width="8.54296875" style="8" bestFit="1" customWidth="1"/>
    <col min="14850" max="15104" width="8.7265625" style="8"/>
    <col min="15105" max="15105" width="8.54296875" style="8" bestFit="1" customWidth="1"/>
    <col min="15106" max="15360" width="8.7265625" style="8"/>
    <col min="15361" max="15361" width="8.54296875" style="8" bestFit="1" customWidth="1"/>
    <col min="15362" max="15616" width="8.7265625" style="8"/>
    <col min="15617" max="15617" width="8.54296875" style="8" bestFit="1" customWidth="1"/>
    <col min="15618" max="15872" width="8.7265625" style="8"/>
    <col min="15873" max="15873" width="8.54296875" style="8" bestFit="1" customWidth="1"/>
    <col min="15874" max="16128" width="8.7265625" style="8"/>
    <col min="16129" max="16129" width="8.54296875" style="8" bestFit="1" customWidth="1"/>
    <col min="16130" max="16384" width="8.7265625" style="8"/>
  </cols>
  <sheetData>
    <row r="1" spans="1:10" x14ac:dyDescent="0.25">
      <c r="A1" s="335" t="s">
        <v>14</v>
      </c>
      <c r="B1" s="335"/>
      <c r="C1" s="335"/>
      <c r="D1" s="335"/>
      <c r="E1" s="335"/>
      <c r="F1" s="335"/>
      <c r="G1" s="335"/>
      <c r="H1" s="335"/>
      <c r="I1" s="335"/>
      <c r="J1" s="335"/>
    </row>
    <row r="2" spans="1:10" x14ac:dyDescent="0.25">
      <c r="A2" s="5" t="s">
        <v>15</v>
      </c>
      <c r="B2" s="5"/>
      <c r="C2" s="48"/>
      <c r="D2" s="48"/>
      <c r="E2" s="48"/>
      <c r="F2" s="48"/>
      <c r="G2" s="48"/>
      <c r="H2" s="7"/>
      <c r="J2" s="49" t="s">
        <v>65</v>
      </c>
    </row>
    <row r="3" spans="1:10" x14ac:dyDescent="0.25">
      <c r="A3" s="11"/>
      <c r="B3" s="11"/>
      <c r="C3" s="5"/>
      <c r="D3" s="5"/>
      <c r="E3" s="5"/>
      <c r="F3" s="5"/>
      <c r="G3" s="5"/>
      <c r="H3" s="7"/>
      <c r="I3" s="5"/>
      <c r="J3" s="16"/>
    </row>
    <row r="4" spans="1:10" x14ac:dyDescent="0.25">
      <c r="A4" s="13" t="s">
        <v>17</v>
      </c>
      <c r="B4" s="50" t="s">
        <v>66</v>
      </c>
      <c r="C4" s="51"/>
      <c r="D4" s="51"/>
      <c r="E4" s="51"/>
      <c r="F4" s="51"/>
      <c r="G4" s="51"/>
      <c r="H4" s="7"/>
      <c r="I4" s="347" t="s">
        <v>67</v>
      </c>
      <c r="J4" s="347"/>
    </row>
    <row r="5" spans="1:10" ht="16.100000000000001" x14ac:dyDescent="0.35">
      <c r="A5" s="52" t="s">
        <v>68</v>
      </c>
      <c r="B5" s="16"/>
      <c r="C5" s="51"/>
      <c r="D5" s="51"/>
      <c r="E5" s="51"/>
      <c r="F5" s="51"/>
      <c r="G5" s="51"/>
      <c r="H5" s="7"/>
      <c r="I5" s="7"/>
      <c r="J5" s="7"/>
    </row>
    <row r="6" spans="1:10" ht="16.100000000000001" x14ac:dyDescent="0.35">
      <c r="A6" s="52" t="s">
        <v>69</v>
      </c>
      <c r="C6" s="51"/>
      <c r="D6" s="51"/>
      <c r="E6" s="51"/>
      <c r="F6" s="51"/>
      <c r="G6" s="53" t="s">
        <v>70</v>
      </c>
      <c r="H6" s="7"/>
      <c r="I6" s="7"/>
      <c r="J6" s="7"/>
    </row>
    <row r="7" spans="1:10" x14ac:dyDescent="0.25">
      <c r="A7" s="5" t="s">
        <v>71</v>
      </c>
      <c r="B7" s="5"/>
      <c r="C7" s="11"/>
      <c r="D7" s="11"/>
      <c r="E7" s="11"/>
      <c r="H7" s="7"/>
      <c r="I7" s="7" t="s">
        <v>49</v>
      </c>
      <c r="J7" s="7"/>
    </row>
    <row r="8" spans="1:10" x14ac:dyDescent="0.25">
      <c r="A8" s="5"/>
      <c r="B8" s="7"/>
      <c r="C8" s="54"/>
      <c r="D8" s="54"/>
      <c r="E8" s="54"/>
      <c r="F8" s="5"/>
      <c r="G8" s="54"/>
      <c r="H8" s="7"/>
      <c r="I8" s="7"/>
      <c r="J8" s="7"/>
    </row>
    <row r="9" spans="1:10" ht="12.75" customHeight="1" x14ac:dyDescent="0.25">
      <c r="A9" s="55" t="s">
        <v>26</v>
      </c>
      <c r="B9" s="56" t="s">
        <v>50</v>
      </c>
      <c r="C9" s="62" t="s">
        <v>59</v>
      </c>
      <c r="D9" s="62" t="s">
        <v>60</v>
      </c>
      <c r="E9" s="62" t="s">
        <v>72</v>
      </c>
      <c r="F9" s="62" t="s">
        <v>73</v>
      </c>
      <c r="G9" s="63" t="s">
        <v>74</v>
      </c>
      <c r="H9" s="55" t="s">
        <v>57</v>
      </c>
      <c r="I9" s="56" t="s">
        <v>58</v>
      </c>
      <c r="J9" s="55" t="s">
        <v>25</v>
      </c>
    </row>
    <row r="10" spans="1:10" x14ac:dyDescent="0.25">
      <c r="A10" s="64">
        <v>41375</v>
      </c>
      <c r="B10" s="57" t="s">
        <v>62</v>
      </c>
      <c r="C10" s="58"/>
      <c r="D10" s="58"/>
      <c r="E10" s="58"/>
      <c r="F10" s="58"/>
      <c r="G10" s="58"/>
      <c r="H10" s="59"/>
      <c r="I10" s="60"/>
      <c r="J10" s="61"/>
    </row>
    <row r="11" spans="1:10" x14ac:dyDescent="0.25">
      <c r="A11" s="57"/>
      <c r="B11" s="57" t="s">
        <v>63</v>
      </c>
      <c r="C11" s="58"/>
      <c r="D11" s="58"/>
      <c r="E11" s="58"/>
      <c r="F11" s="58"/>
      <c r="G11" s="58"/>
      <c r="H11" s="59"/>
      <c r="I11" s="60"/>
      <c r="J11" s="61"/>
    </row>
    <row r="12" spans="1:10" x14ac:dyDescent="0.25">
      <c r="A12" s="57"/>
      <c r="B12" s="57" t="s">
        <v>64</v>
      </c>
      <c r="C12" s="58"/>
      <c r="D12" s="58"/>
      <c r="E12" s="58"/>
      <c r="F12" s="58"/>
      <c r="G12" s="58"/>
      <c r="H12" s="59"/>
      <c r="I12" s="60"/>
      <c r="J12" s="61"/>
    </row>
    <row r="13" spans="1:10" x14ac:dyDescent="0.25">
      <c r="A13" s="64">
        <v>41381</v>
      </c>
      <c r="B13" s="57" t="s">
        <v>62</v>
      </c>
      <c r="C13" s="58"/>
      <c r="D13" s="58"/>
      <c r="E13" s="58"/>
      <c r="F13" s="58"/>
      <c r="G13" s="58"/>
      <c r="H13" s="59"/>
      <c r="I13" s="60"/>
      <c r="J13" s="61"/>
    </row>
    <row r="14" spans="1:10" x14ac:dyDescent="0.25">
      <c r="A14" s="57"/>
      <c r="B14" s="57" t="s">
        <v>63</v>
      </c>
      <c r="C14" s="58"/>
      <c r="D14" s="58"/>
      <c r="E14" s="58"/>
      <c r="F14" s="58"/>
      <c r="G14" s="58"/>
      <c r="H14" s="59"/>
      <c r="I14" s="60"/>
      <c r="J14" s="61"/>
    </row>
    <row r="15" spans="1:10" x14ac:dyDescent="0.25">
      <c r="A15" s="57"/>
      <c r="B15" s="57" t="s">
        <v>64</v>
      </c>
      <c r="C15" s="58"/>
      <c r="D15" s="58"/>
      <c r="E15" s="58"/>
      <c r="F15" s="58"/>
      <c r="G15" s="58"/>
      <c r="H15" s="59"/>
      <c r="I15" s="60"/>
      <c r="J15" s="61"/>
    </row>
    <row r="16" spans="1:10" x14ac:dyDescent="0.25">
      <c r="A16" s="64">
        <v>41516</v>
      </c>
      <c r="B16" s="57" t="s">
        <v>62</v>
      </c>
      <c r="C16" s="58"/>
      <c r="D16" s="58"/>
      <c r="E16" s="58"/>
      <c r="F16" s="58"/>
      <c r="G16" s="58"/>
      <c r="H16" s="59"/>
      <c r="I16" s="60"/>
      <c r="J16" s="61"/>
    </row>
    <row r="17" spans="1:10" x14ac:dyDescent="0.25">
      <c r="A17" s="57"/>
      <c r="B17" s="57" t="s">
        <v>63</v>
      </c>
      <c r="C17" s="58"/>
      <c r="D17" s="58"/>
      <c r="E17" s="58"/>
      <c r="F17" s="58"/>
      <c r="G17" s="58"/>
      <c r="H17" s="59"/>
      <c r="I17" s="60"/>
      <c r="J17" s="61"/>
    </row>
    <row r="18" spans="1:10" x14ac:dyDescent="0.25">
      <c r="A18" s="57"/>
      <c r="B18" s="57" t="s">
        <v>64</v>
      </c>
      <c r="C18" s="58"/>
      <c r="D18" s="58"/>
      <c r="E18" s="58"/>
      <c r="F18" s="58"/>
      <c r="G18" s="58"/>
      <c r="H18" s="59"/>
      <c r="I18" s="60"/>
      <c r="J18" s="61"/>
    </row>
    <row r="19" spans="1:10" x14ac:dyDescent="0.25">
      <c r="A19" s="64">
        <v>41517</v>
      </c>
      <c r="B19" s="57" t="s">
        <v>62</v>
      </c>
      <c r="C19" s="58"/>
      <c r="D19" s="58"/>
      <c r="E19" s="58"/>
      <c r="F19" s="58"/>
      <c r="G19" s="58"/>
      <c r="H19" s="59"/>
      <c r="I19" s="60"/>
      <c r="J19" s="61"/>
    </row>
    <row r="20" spans="1:10" x14ac:dyDescent="0.25">
      <c r="A20" s="57"/>
      <c r="B20" s="57" t="s">
        <v>63</v>
      </c>
      <c r="C20" s="58"/>
      <c r="D20" s="58"/>
      <c r="E20" s="58"/>
      <c r="F20" s="58"/>
      <c r="G20" s="58"/>
      <c r="H20" s="59"/>
      <c r="I20" s="60"/>
      <c r="J20" s="61"/>
    </row>
    <row r="21" spans="1:10" x14ac:dyDescent="0.25">
      <c r="A21" s="57"/>
      <c r="B21" s="57" t="s">
        <v>64</v>
      </c>
      <c r="C21" s="58"/>
      <c r="D21" s="58"/>
      <c r="E21" s="58"/>
      <c r="F21" s="58"/>
      <c r="G21" s="58"/>
      <c r="H21" s="59"/>
      <c r="I21" s="60"/>
      <c r="J21" s="61"/>
    </row>
    <row r="22" spans="1:10" x14ac:dyDescent="0.25">
      <c r="A22" s="64">
        <v>41519</v>
      </c>
      <c r="B22" s="57" t="s">
        <v>62</v>
      </c>
      <c r="C22" s="58"/>
      <c r="D22" s="58"/>
      <c r="E22" s="58"/>
      <c r="F22" s="58"/>
      <c r="G22" s="58"/>
      <c r="H22" s="59"/>
      <c r="I22" s="60"/>
      <c r="J22" s="61"/>
    </row>
    <row r="23" spans="1:10" x14ac:dyDescent="0.25">
      <c r="A23" s="57"/>
      <c r="B23" s="57" t="s">
        <v>63</v>
      </c>
      <c r="C23" s="58"/>
      <c r="D23" s="58"/>
      <c r="E23" s="58"/>
      <c r="F23" s="58"/>
      <c r="G23" s="58"/>
      <c r="H23" s="59"/>
      <c r="I23" s="60"/>
      <c r="J23" s="61"/>
    </row>
    <row r="24" spans="1:10" x14ac:dyDescent="0.25">
      <c r="A24" s="57"/>
      <c r="B24" s="57" t="s">
        <v>64</v>
      </c>
      <c r="C24" s="58"/>
      <c r="D24" s="58"/>
      <c r="E24" s="58"/>
      <c r="F24" s="58"/>
      <c r="G24" s="58"/>
      <c r="H24" s="59"/>
      <c r="I24" s="60"/>
      <c r="J24" s="61"/>
    </row>
    <row r="25" spans="1:10" x14ac:dyDescent="0.25">
      <c r="A25" s="57" t="s">
        <v>61</v>
      </c>
      <c r="B25" s="57" t="s">
        <v>62</v>
      </c>
      <c r="C25" s="58"/>
      <c r="D25" s="58"/>
      <c r="E25" s="58"/>
      <c r="F25" s="58"/>
      <c r="G25" s="58"/>
      <c r="H25" s="59"/>
      <c r="I25" s="60"/>
      <c r="J25" s="61"/>
    </row>
    <row r="26" spans="1:10" x14ac:dyDescent="0.25">
      <c r="A26" s="57"/>
      <c r="B26" s="57" t="s">
        <v>63</v>
      </c>
      <c r="C26" s="58"/>
      <c r="D26" s="58"/>
      <c r="E26" s="58"/>
      <c r="F26" s="58"/>
      <c r="G26" s="58"/>
      <c r="H26" s="59"/>
      <c r="I26" s="60"/>
      <c r="J26" s="61"/>
    </row>
    <row r="27" spans="1:10" x14ac:dyDescent="0.25">
      <c r="A27" s="57"/>
      <c r="B27" s="57" t="s">
        <v>64</v>
      </c>
      <c r="C27" s="58"/>
      <c r="D27" s="58"/>
      <c r="E27" s="58"/>
      <c r="F27" s="58"/>
      <c r="G27" s="58"/>
      <c r="H27" s="59"/>
      <c r="I27" s="60"/>
      <c r="J27" s="61"/>
    </row>
    <row r="28" spans="1:10" x14ac:dyDescent="0.25">
      <c r="A28" s="57" t="s">
        <v>61</v>
      </c>
      <c r="B28" s="57" t="s">
        <v>62</v>
      </c>
      <c r="C28" s="58"/>
      <c r="D28" s="58"/>
      <c r="E28" s="58"/>
      <c r="F28" s="58"/>
      <c r="G28" s="58"/>
      <c r="H28" s="59"/>
      <c r="I28" s="60"/>
      <c r="J28" s="61"/>
    </row>
    <row r="29" spans="1:10" x14ac:dyDescent="0.25">
      <c r="A29" s="57"/>
      <c r="B29" s="57" t="s">
        <v>63</v>
      </c>
      <c r="C29" s="58"/>
      <c r="D29" s="58"/>
      <c r="E29" s="58"/>
      <c r="F29" s="58"/>
      <c r="G29" s="58"/>
      <c r="H29" s="59"/>
      <c r="I29" s="60"/>
      <c r="J29" s="61"/>
    </row>
    <row r="30" spans="1:10" x14ac:dyDescent="0.25">
      <c r="A30" s="57"/>
      <c r="B30" s="57" t="s">
        <v>64</v>
      </c>
      <c r="C30" s="58"/>
      <c r="D30" s="58"/>
      <c r="E30" s="58"/>
      <c r="F30" s="58"/>
      <c r="G30" s="58"/>
      <c r="H30" s="59"/>
      <c r="I30" s="60"/>
      <c r="J30" s="61"/>
    </row>
    <row r="31" spans="1:10" x14ac:dyDescent="0.25">
      <c r="A31" s="57" t="s">
        <v>61</v>
      </c>
      <c r="B31" s="57" t="s">
        <v>62</v>
      </c>
      <c r="C31" s="58"/>
      <c r="D31" s="58"/>
      <c r="E31" s="58"/>
      <c r="F31" s="58"/>
      <c r="G31" s="58"/>
      <c r="H31" s="59"/>
      <c r="I31" s="60"/>
      <c r="J31" s="61"/>
    </row>
    <row r="32" spans="1:10" x14ac:dyDescent="0.25">
      <c r="A32" s="57"/>
      <c r="B32" s="57" t="s">
        <v>63</v>
      </c>
      <c r="C32" s="58"/>
      <c r="D32" s="58"/>
      <c r="E32" s="58"/>
      <c r="F32" s="58"/>
      <c r="G32" s="58"/>
      <c r="H32" s="59"/>
      <c r="I32" s="60"/>
      <c r="J32" s="61"/>
    </row>
    <row r="33" spans="1:10" x14ac:dyDescent="0.25">
      <c r="A33" s="57"/>
      <c r="B33" s="57" t="s">
        <v>64</v>
      </c>
      <c r="C33" s="58"/>
      <c r="D33" s="58"/>
      <c r="E33" s="58"/>
      <c r="F33" s="58"/>
      <c r="G33" s="58"/>
      <c r="H33" s="59"/>
      <c r="I33" s="60"/>
      <c r="J33" s="61"/>
    </row>
    <row r="34" spans="1:10" x14ac:dyDescent="0.25">
      <c r="A34" s="57" t="s">
        <v>61</v>
      </c>
      <c r="B34" s="57" t="s">
        <v>62</v>
      </c>
      <c r="C34" s="58"/>
      <c r="D34" s="58"/>
      <c r="E34" s="58"/>
      <c r="F34" s="58"/>
      <c r="G34" s="58"/>
      <c r="H34" s="59"/>
      <c r="I34" s="60"/>
      <c r="J34" s="61"/>
    </row>
    <row r="35" spans="1:10" x14ac:dyDescent="0.25">
      <c r="A35" s="57"/>
      <c r="B35" s="57" t="s">
        <v>63</v>
      </c>
      <c r="C35" s="58"/>
      <c r="D35" s="58"/>
      <c r="E35" s="58"/>
      <c r="F35" s="58"/>
      <c r="G35" s="58"/>
      <c r="H35" s="59"/>
      <c r="I35" s="60"/>
      <c r="J35" s="61"/>
    </row>
    <row r="36" spans="1:10" x14ac:dyDescent="0.25">
      <c r="A36" s="57"/>
      <c r="B36" s="57" t="s">
        <v>64</v>
      </c>
      <c r="C36" s="58"/>
      <c r="D36" s="58"/>
      <c r="E36" s="58"/>
      <c r="F36" s="58"/>
      <c r="G36" s="58"/>
      <c r="H36" s="59"/>
      <c r="I36" s="60"/>
      <c r="J36" s="61"/>
    </row>
    <row r="37" spans="1:10" x14ac:dyDescent="0.25">
      <c r="A37" s="57" t="s">
        <v>61</v>
      </c>
      <c r="B37" s="57" t="s">
        <v>62</v>
      </c>
      <c r="C37" s="58"/>
      <c r="D37" s="58"/>
      <c r="E37" s="58"/>
      <c r="F37" s="58"/>
      <c r="G37" s="58"/>
      <c r="H37" s="59"/>
      <c r="I37" s="60"/>
      <c r="J37" s="61"/>
    </row>
    <row r="38" spans="1:10" x14ac:dyDescent="0.25">
      <c r="A38" s="57"/>
      <c r="B38" s="57" t="s">
        <v>63</v>
      </c>
      <c r="C38" s="58"/>
      <c r="D38" s="58"/>
      <c r="E38" s="58"/>
      <c r="F38" s="58"/>
      <c r="G38" s="58"/>
      <c r="H38" s="59"/>
      <c r="I38" s="60"/>
      <c r="J38" s="61"/>
    </row>
    <row r="39" spans="1:10" x14ac:dyDescent="0.25">
      <c r="A39" s="57"/>
      <c r="B39" s="57" t="s">
        <v>64</v>
      </c>
      <c r="C39" s="58"/>
      <c r="D39" s="58"/>
      <c r="E39" s="58"/>
      <c r="F39" s="58"/>
      <c r="G39" s="58"/>
      <c r="H39" s="59"/>
      <c r="I39" s="60"/>
      <c r="J39" s="61"/>
    </row>
    <row r="40" spans="1:10" x14ac:dyDescent="0.25">
      <c r="A40" s="57" t="s">
        <v>61</v>
      </c>
      <c r="B40" s="57" t="s">
        <v>62</v>
      </c>
      <c r="C40" s="58"/>
      <c r="D40" s="58"/>
      <c r="E40" s="58"/>
      <c r="F40" s="58"/>
      <c r="G40" s="58"/>
      <c r="H40" s="59"/>
      <c r="I40" s="60"/>
      <c r="J40" s="61"/>
    </row>
    <row r="41" spans="1:10" x14ac:dyDescent="0.25">
      <c r="A41" s="57"/>
      <c r="B41" s="57" t="s">
        <v>63</v>
      </c>
      <c r="C41" s="58"/>
      <c r="D41" s="58"/>
      <c r="E41" s="58"/>
      <c r="F41" s="58"/>
      <c r="G41" s="58"/>
      <c r="H41" s="59"/>
      <c r="I41" s="60"/>
      <c r="J41" s="61"/>
    </row>
    <row r="42" spans="1:10" x14ac:dyDescent="0.25">
      <c r="A42" s="57"/>
      <c r="B42" s="57" t="s">
        <v>64</v>
      </c>
      <c r="C42" s="58"/>
      <c r="D42" s="58"/>
      <c r="E42" s="58"/>
      <c r="F42" s="58"/>
      <c r="G42" s="58"/>
      <c r="H42" s="59"/>
      <c r="I42" s="60"/>
      <c r="J42" s="61"/>
    </row>
    <row r="43" spans="1:10" x14ac:dyDescent="0.25">
      <c r="A43" s="57" t="s">
        <v>61</v>
      </c>
      <c r="B43" s="57" t="s">
        <v>62</v>
      </c>
      <c r="C43" s="58"/>
      <c r="D43" s="58"/>
      <c r="E43" s="58"/>
      <c r="F43" s="58"/>
      <c r="G43" s="58"/>
      <c r="H43" s="59"/>
      <c r="I43" s="60"/>
      <c r="J43" s="61"/>
    </row>
    <row r="44" spans="1:10" x14ac:dyDescent="0.25">
      <c r="A44" s="57"/>
      <c r="B44" s="57" t="s">
        <v>63</v>
      </c>
      <c r="C44" s="58"/>
      <c r="D44" s="58"/>
      <c r="E44" s="58"/>
      <c r="F44" s="58"/>
      <c r="G44" s="58"/>
      <c r="H44" s="59"/>
      <c r="I44" s="60"/>
      <c r="J44" s="61"/>
    </row>
    <row r="45" spans="1:10" x14ac:dyDescent="0.25">
      <c r="A45" s="57"/>
      <c r="B45" s="57" t="s">
        <v>64</v>
      </c>
      <c r="C45" s="58"/>
      <c r="D45" s="58"/>
      <c r="E45" s="58"/>
      <c r="F45" s="58"/>
      <c r="G45" s="58"/>
      <c r="H45" s="59"/>
      <c r="I45" s="60"/>
      <c r="J45" s="61"/>
    </row>
    <row r="46" spans="1:10" x14ac:dyDescent="0.25">
      <c r="A46" s="57" t="s">
        <v>61</v>
      </c>
      <c r="B46" s="57" t="s">
        <v>62</v>
      </c>
      <c r="C46" s="58"/>
      <c r="D46" s="58"/>
      <c r="E46" s="58"/>
      <c r="F46" s="58"/>
      <c r="G46" s="58"/>
      <c r="H46" s="59"/>
      <c r="I46" s="60"/>
      <c r="J46" s="61"/>
    </row>
    <row r="47" spans="1:10" x14ac:dyDescent="0.25">
      <c r="A47" s="57"/>
      <c r="B47" s="57" t="s">
        <v>63</v>
      </c>
      <c r="C47" s="58"/>
      <c r="D47" s="58"/>
      <c r="E47" s="58"/>
      <c r="F47" s="58"/>
      <c r="G47" s="58"/>
      <c r="H47" s="59"/>
      <c r="I47" s="60"/>
      <c r="J47" s="61"/>
    </row>
    <row r="48" spans="1:10" x14ac:dyDescent="0.25">
      <c r="A48" s="57"/>
      <c r="B48" s="57" t="s">
        <v>64</v>
      </c>
      <c r="C48" s="58"/>
      <c r="D48" s="58"/>
      <c r="E48" s="58"/>
      <c r="F48" s="58"/>
      <c r="G48" s="58"/>
      <c r="H48" s="59"/>
      <c r="I48" s="60"/>
      <c r="J48" s="61"/>
    </row>
    <row r="49" spans="1:10" x14ac:dyDescent="0.25">
      <c r="A49" s="57" t="s">
        <v>61</v>
      </c>
      <c r="B49" s="57" t="s">
        <v>62</v>
      </c>
      <c r="C49" s="58"/>
      <c r="D49" s="58"/>
      <c r="E49" s="58"/>
      <c r="F49" s="58"/>
      <c r="G49" s="58"/>
      <c r="H49" s="59"/>
      <c r="I49" s="60"/>
      <c r="J49" s="61"/>
    </row>
    <row r="50" spans="1:10" x14ac:dyDescent="0.25">
      <c r="A50" s="57"/>
      <c r="B50" s="57" t="s">
        <v>63</v>
      </c>
      <c r="C50" s="58"/>
      <c r="D50" s="58"/>
      <c r="E50" s="58"/>
      <c r="F50" s="58"/>
      <c r="G50" s="58"/>
      <c r="H50" s="59"/>
      <c r="I50" s="60"/>
      <c r="J50" s="61"/>
    </row>
    <row r="51" spans="1:10" x14ac:dyDescent="0.25">
      <c r="A51" s="57"/>
      <c r="B51" s="57" t="s">
        <v>64</v>
      </c>
      <c r="C51" s="58"/>
      <c r="D51" s="58"/>
      <c r="E51" s="58"/>
      <c r="F51" s="58"/>
      <c r="G51" s="58"/>
      <c r="H51" s="59"/>
      <c r="I51" s="60"/>
      <c r="J51" s="61"/>
    </row>
    <row r="52" spans="1:10" x14ac:dyDescent="0.25">
      <c r="A52" s="57" t="s">
        <v>61</v>
      </c>
      <c r="B52" s="57" t="s">
        <v>62</v>
      </c>
      <c r="C52" s="58"/>
      <c r="D52" s="58"/>
      <c r="E52" s="58"/>
      <c r="F52" s="58"/>
      <c r="G52" s="58"/>
      <c r="H52" s="59"/>
      <c r="I52" s="60"/>
      <c r="J52" s="61"/>
    </row>
    <row r="53" spans="1:10" x14ac:dyDescent="0.25">
      <c r="A53" s="57"/>
      <c r="B53" s="57" t="s">
        <v>63</v>
      </c>
      <c r="C53" s="58"/>
      <c r="D53" s="58"/>
      <c r="E53" s="58"/>
      <c r="F53" s="58"/>
      <c r="G53" s="58"/>
      <c r="H53" s="59"/>
      <c r="I53" s="60"/>
      <c r="J53" s="61"/>
    </row>
    <row r="54" spans="1:10" x14ac:dyDescent="0.25">
      <c r="A54" s="57"/>
      <c r="B54" s="57" t="s">
        <v>64</v>
      </c>
      <c r="C54" s="58"/>
      <c r="D54" s="58"/>
      <c r="E54" s="58"/>
      <c r="F54" s="58"/>
      <c r="G54" s="58"/>
      <c r="H54" s="59"/>
      <c r="I54" s="60"/>
      <c r="J54" s="61"/>
    </row>
    <row r="55" spans="1:10" x14ac:dyDescent="0.25">
      <c r="A55" s="57" t="s">
        <v>61</v>
      </c>
      <c r="B55" s="57" t="s">
        <v>62</v>
      </c>
      <c r="C55" s="58"/>
      <c r="D55" s="58"/>
      <c r="E55" s="58"/>
      <c r="F55" s="58"/>
      <c r="G55" s="58"/>
      <c r="H55" s="59"/>
      <c r="I55" s="60"/>
      <c r="J55" s="61"/>
    </row>
    <row r="56" spans="1:10" x14ac:dyDescent="0.25">
      <c r="A56" s="57"/>
      <c r="B56" s="57" t="s">
        <v>63</v>
      </c>
      <c r="C56" s="58"/>
      <c r="D56" s="58"/>
      <c r="E56" s="58"/>
      <c r="F56" s="58"/>
      <c r="G56" s="58"/>
      <c r="H56" s="59"/>
      <c r="I56" s="60"/>
      <c r="J56" s="61"/>
    </row>
    <row r="57" spans="1:10" x14ac:dyDescent="0.25">
      <c r="A57" s="57"/>
      <c r="B57" s="57" t="s">
        <v>64</v>
      </c>
      <c r="C57" s="58"/>
      <c r="D57" s="58"/>
      <c r="E57" s="58"/>
      <c r="F57" s="58"/>
      <c r="G57" s="58"/>
      <c r="H57" s="59"/>
      <c r="I57" s="60"/>
      <c r="J57" s="61"/>
    </row>
  </sheetData>
  <mergeCells count="2">
    <mergeCell ref="A1:J1"/>
    <mergeCell ref="I4:J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topLeftCell="A58" workbookViewId="0">
      <selection activeCell="K21" sqref="K21"/>
    </sheetView>
  </sheetViews>
  <sheetFormatPr defaultRowHeight="12.75" x14ac:dyDescent="0.25"/>
  <cols>
    <col min="1" max="16384" width="8.7265625" style="8"/>
  </cols>
  <sheetData>
    <row r="1" spans="1:9" x14ac:dyDescent="0.25">
      <c r="A1" s="335" t="s">
        <v>14</v>
      </c>
      <c r="B1" s="335"/>
      <c r="C1" s="335"/>
      <c r="D1" s="335"/>
      <c r="E1" s="335"/>
      <c r="F1" s="335"/>
      <c r="G1" s="335"/>
      <c r="H1" s="335"/>
      <c r="I1" s="335"/>
    </row>
    <row r="2" spans="1:9" x14ac:dyDescent="0.25">
      <c r="A2" s="5" t="s">
        <v>15</v>
      </c>
      <c r="B2" s="5"/>
      <c r="C2" s="48"/>
      <c r="D2" s="48"/>
      <c r="E2" s="48"/>
      <c r="F2" s="48"/>
      <c r="G2" s="7"/>
      <c r="I2" s="49" t="s">
        <v>16</v>
      </c>
    </row>
    <row r="3" spans="1:9" x14ac:dyDescent="0.25">
      <c r="A3" s="11"/>
      <c r="B3" s="11"/>
      <c r="C3" s="5"/>
      <c r="D3" s="5"/>
      <c r="E3" s="5"/>
      <c r="F3" s="5"/>
      <c r="G3" s="7"/>
      <c r="H3" s="5"/>
      <c r="I3" s="16"/>
    </row>
    <row r="4" spans="1:9" x14ac:dyDescent="0.25">
      <c r="A4" s="13" t="s">
        <v>17</v>
      </c>
      <c r="B4" s="50" t="s">
        <v>75</v>
      </c>
      <c r="C4" s="51"/>
      <c r="D4" s="51"/>
      <c r="E4" s="51"/>
      <c r="F4" s="51"/>
      <c r="G4" s="65"/>
    </row>
    <row r="5" spans="1:9" ht="16.100000000000001" x14ac:dyDescent="0.35">
      <c r="A5" s="52" t="s">
        <v>76</v>
      </c>
      <c r="B5" s="16"/>
      <c r="C5" s="51"/>
      <c r="D5" s="51"/>
      <c r="E5" s="51"/>
      <c r="F5" s="66" t="s">
        <v>77</v>
      </c>
      <c r="G5" s="66"/>
    </row>
    <row r="6" spans="1:9" x14ac:dyDescent="0.25">
      <c r="A6" s="52" t="s">
        <v>78</v>
      </c>
      <c r="C6" s="51"/>
      <c r="D6" s="51"/>
      <c r="E6" s="51"/>
      <c r="F6" s="51"/>
      <c r="G6" s="7"/>
      <c r="H6" s="7"/>
      <c r="I6" s="7"/>
    </row>
    <row r="7" spans="1:9" x14ac:dyDescent="0.25">
      <c r="A7" s="67" t="s">
        <v>79</v>
      </c>
      <c r="B7" s="68"/>
      <c r="C7" s="69"/>
      <c r="D7" s="69"/>
      <c r="E7" s="69"/>
      <c r="F7" s="70"/>
      <c r="G7" s="7"/>
      <c r="H7" s="16" t="s">
        <v>80</v>
      </c>
      <c r="I7" s="7"/>
    </row>
    <row r="8" spans="1:9" x14ac:dyDescent="0.25">
      <c r="A8" s="5"/>
      <c r="B8" s="7"/>
      <c r="C8" s="54"/>
      <c r="D8" s="54"/>
      <c r="E8" s="54"/>
      <c r="F8" s="5"/>
      <c r="G8" s="7"/>
      <c r="H8" s="7"/>
      <c r="I8" s="7"/>
    </row>
    <row r="9" spans="1:9" ht="12.75" customHeight="1" x14ac:dyDescent="0.25">
      <c r="A9" s="55" t="s">
        <v>26</v>
      </c>
      <c r="B9" s="56" t="s">
        <v>81</v>
      </c>
      <c r="C9" s="62" t="s">
        <v>82</v>
      </c>
      <c r="D9" s="62" t="s">
        <v>83</v>
      </c>
      <c r="E9" s="62" t="s">
        <v>84</v>
      </c>
      <c r="F9" s="62" t="s">
        <v>85</v>
      </c>
      <c r="G9" s="55" t="s">
        <v>57</v>
      </c>
      <c r="H9" s="56" t="s">
        <v>58</v>
      </c>
      <c r="I9" s="55" t="s">
        <v>25</v>
      </c>
    </row>
    <row r="10" spans="1:9" x14ac:dyDescent="0.25">
      <c r="A10" s="57" t="s">
        <v>61</v>
      </c>
      <c r="B10" s="57" t="s">
        <v>86</v>
      </c>
      <c r="C10" s="58"/>
      <c r="D10" s="58"/>
      <c r="E10" s="58"/>
      <c r="F10" s="58"/>
      <c r="G10" s="59"/>
      <c r="H10" s="60"/>
      <c r="I10" s="61"/>
    </row>
    <row r="11" spans="1:9" x14ac:dyDescent="0.25">
      <c r="A11" s="57"/>
      <c r="B11" s="57" t="s">
        <v>87</v>
      </c>
      <c r="C11" s="58"/>
      <c r="D11" s="58"/>
      <c r="E11" s="58"/>
      <c r="F11" s="58"/>
      <c r="G11" s="59"/>
      <c r="H11" s="60"/>
      <c r="I11" s="61"/>
    </row>
    <row r="12" spans="1:9" x14ac:dyDescent="0.25">
      <c r="A12" s="57" t="s">
        <v>61</v>
      </c>
      <c r="B12" s="57" t="s">
        <v>86</v>
      </c>
      <c r="C12" s="58"/>
      <c r="D12" s="58"/>
      <c r="E12" s="58"/>
      <c r="F12" s="58"/>
      <c r="G12" s="59"/>
      <c r="H12" s="60"/>
      <c r="I12" s="61"/>
    </row>
    <row r="13" spans="1:9" x14ac:dyDescent="0.25">
      <c r="A13" s="57"/>
      <c r="B13" s="57" t="s">
        <v>87</v>
      </c>
      <c r="C13" s="58"/>
      <c r="D13" s="58"/>
      <c r="E13" s="58"/>
      <c r="F13" s="58"/>
      <c r="G13" s="59"/>
      <c r="H13" s="60"/>
      <c r="I13" s="61"/>
    </row>
    <row r="14" spans="1:9" x14ac:dyDescent="0.25">
      <c r="A14" s="57" t="s">
        <v>61</v>
      </c>
      <c r="B14" s="57" t="s">
        <v>86</v>
      </c>
      <c r="C14" s="58"/>
      <c r="D14" s="58"/>
      <c r="E14" s="58"/>
      <c r="F14" s="58"/>
      <c r="G14" s="59"/>
      <c r="H14" s="60"/>
      <c r="I14" s="61"/>
    </row>
    <row r="15" spans="1:9" x14ac:dyDescent="0.25">
      <c r="A15" s="57"/>
      <c r="B15" s="57" t="s">
        <v>87</v>
      </c>
      <c r="C15" s="58"/>
      <c r="D15" s="58"/>
      <c r="E15" s="58"/>
      <c r="F15" s="58"/>
      <c r="G15" s="59"/>
      <c r="H15" s="60"/>
      <c r="I15" s="61"/>
    </row>
    <row r="16" spans="1:9" x14ac:dyDescent="0.25">
      <c r="A16" s="57" t="s">
        <v>61</v>
      </c>
      <c r="B16" s="57" t="s">
        <v>86</v>
      </c>
      <c r="C16" s="58"/>
      <c r="D16" s="58"/>
      <c r="E16" s="58"/>
      <c r="F16" s="58"/>
      <c r="G16" s="59"/>
      <c r="H16" s="60"/>
      <c r="I16" s="61"/>
    </row>
    <row r="17" spans="1:9" x14ac:dyDescent="0.25">
      <c r="A17" s="57"/>
      <c r="B17" s="57" t="s">
        <v>87</v>
      </c>
      <c r="C17" s="58"/>
      <c r="D17" s="58"/>
      <c r="E17" s="58"/>
      <c r="F17" s="58"/>
      <c r="G17" s="59"/>
      <c r="H17" s="60"/>
      <c r="I17" s="61"/>
    </row>
    <row r="18" spans="1:9" x14ac:dyDescent="0.25">
      <c r="A18" s="57" t="s">
        <v>61</v>
      </c>
      <c r="B18" s="57" t="s">
        <v>86</v>
      </c>
      <c r="C18" s="58"/>
      <c r="D18" s="58"/>
      <c r="E18" s="58"/>
      <c r="F18" s="58"/>
      <c r="G18" s="59"/>
      <c r="H18" s="60"/>
      <c r="I18" s="61"/>
    </row>
    <row r="19" spans="1:9" x14ac:dyDescent="0.25">
      <c r="A19" s="57"/>
      <c r="B19" s="57" t="s">
        <v>87</v>
      </c>
      <c r="C19" s="58"/>
      <c r="D19" s="58"/>
      <c r="E19" s="58"/>
      <c r="F19" s="58"/>
      <c r="G19" s="59"/>
      <c r="H19" s="60"/>
      <c r="I19" s="61"/>
    </row>
    <row r="20" spans="1:9" x14ac:dyDescent="0.25">
      <c r="A20" s="57" t="s">
        <v>61</v>
      </c>
      <c r="B20" s="57" t="s">
        <v>86</v>
      </c>
      <c r="C20" s="58"/>
      <c r="D20" s="58"/>
      <c r="E20" s="58"/>
      <c r="F20" s="58"/>
      <c r="G20" s="59"/>
      <c r="H20" s="60"/>
      <c r="I20" s="61"/>
    </row>
    <row r="21" spans="1:9" x14ac:dyDescent="0.25">
      <c r="A21" s="57"/>
      <c r="B21" s="57" t="s">
        <v>87</v>
      </c>
      <c r="C21" s="58"/>
      <c r="D21" s="58"/>
      <c r="E21" s="58"/>
      <c r="F21" s="58"/>
      <c r="G21" s="59"/>
      <c r="H21" s="60"/>
      <c r="I21" s="61"/>
    </row>
    <row r="22" spans="1:9" x14ac:dyDescent="0.25">
      <c r="A22" s="57" t="s">
        <v>61</v>
      </c>
      <c r="B22" s="57" t="s">
        <v>86</v>
      </c>
      <c r="C22" s="58"/>
      <c r="D22" s="58"/>
      <c r="E22" s="58"/>
      <c r="F22" s="58"/>
      <c r="G22" s="59"/>
      <c r="H22" s="60"/>
      <c r="I22" s="61"/>
    </row>
    <row r="23" spans="1:9" x14ac:dyDescent="0.25">
      <c r="A23" s="57"/>
      <c r="B23" s="57" t="s">
        <v>87</v>
      </c>
      <c r="C23" s="58"/>
      <c r="D23" s="58"/>
      <c r="E23" s="58"/>
      <c r="F23" s="58"/>
      <c r="G23" s="59"/>
      <c r="H23" s="60"/>
      <c r="I23" s="61"/>
    </row>
    <row r="24" spans="1:9" x14ac:dyDescent="0.25">
      <c r="A24" s="57" t="s">
        <v>61</v>
      </c>
      <c r="B24" s="57" t="s">
        <v>86</v>
      </c>
      <c r="C24" s="58"/>
      <c r="D24" s="58"/>
      <c r="E24" s="58"/>
      <c r="F24" s="58"/>
      <c r="G24" s="59"/>
      <c r="H24" s="60"/>
      <c r="I24" s="61"/>
    </row>
    <row r="25" spans="1:9" x14ac:dyDescent="0.25">
      <c r="A25" s="57"/>
      <c r="B25" s="57" t="s">
        <v>87</v>
      </c>
      <c r="C25" s="58"/>
      <c r="D25" s="58"/>
      <c r="E25" s="58"/>
      <c r="F25" s="58"/>
      <c r="G25" s="59"/>
      <c r="H25" s="60"/>
      <c r="I25" s="61"/>
    </row>
    <row r="26" spans="1:9" x14ac:dyDescent="0.25">
      <c r="A26" s="57" t="s">
        <v>61</v>
      </c>
      <c r="B26" s="57" t="s">
        <v>86</v>
      </c>
      <c r="C26" s="58"/>
      <c r="D26" s="58"/>
      <c r="E26" s="58"/>
      <c r="F26" s="58"/>
      <c r="G26" s="59"/>
      <c r="H26" s="60"/>
      <c r="I26" s="61"/>
    </row>
    <row r="27" spans="1:9" x14ac:dyDescent="0.25">
      <c r="A27" s="57"/>
      <c r="B27" s="57" t="s">
        <v>87</v>
      </c>
      <c r="C27" s="58"/>
      <c r="D27" s="58"/>
      <c r="E27" s="58"/>
      <c r="F27" s="58"/>
      <c r="G27" s="59"/>
      <c r="H27" s="60"/>
      <c r="I27" s="61"/>
    </row>
    <row r="28" spans="1:9" x14ac:dyDescent="0.25">
      <c r="A28" s="57" t="s">
        <v>61</v>
      </c>
      <c r="B28" s="57" t="s">
        <v>86</v>
      </c>
      <c r="C28" s="58"/>
      <c r="D28" s="58"/>
      <c r="E28" s="58"/>
      <c r="F28" s="58"/>
      <c r="G28" s="59"/>
      <c r="H28" s="60"/>
      <c r="I28" s="61"/>
    </row>
    <row r="29" spans="1:9" x14ac:dyDescent="0.25">
      <c r="A29" s="57"/>
      <c r="B29" s="57" t="s">
        <v>87</v>
      </c>
      <c r="C29" s="58"/>
      <c r="D29" s="58"/>
      <c r="E29" s="58"/>
      <c r="F29" s="58"/>
      <c r="G29" s="59"/>
      <c r="H29" s="60"/>
      <c r="I29" s="61"/>
    </row>
    <row r="30" spans="1:9" x14ac:dyDescent="0.25">
      <c r="A30" s="57" t="s">
        <v>61</v>
      </c>
      <c r="B30" s="57" t="s">
        <v>86</v>
      </c>
      <c r="C30" s="58"/>
      <c r="D30" s="58"/>
      <c r="E30" s="58"/>
      <c r="F30" s="58"/>
      <c r="G30" s="59"/>
      <c r="H30" s="60"/>
      <c r="I30" s="61"/>
    </row>
    <row r="31" spans="1:9" x14ac:dyDescent="0.25">
      <c r="A31" s="57"/>
      <c r="B31" s="57" t="s">
        <v>87</v>
      </c>
      <c r="C31" s="58"/>
      <c r="D31" s="58"/>
      <c r="E31" s="58"/>
      <c r="F31" s="58"/>
      <c r="G31" s="59"/>
      <c r="H31" s="60"/>
      <c r="I31" s="61"/>
    </row>
    <row r="32" spans="1:9" x14ac:dyDescent="0.25">
      <c r="A32" s="57" t="s">
        <v>61</v>
      </c>
      <c r="B32" s="57" t="s">
        <v>86</v>
      </c>
      <c r="C32" s="58"/>
      <c r="D32" s="58"/>
      <c r="E32" s="58"/>
      <c r="F32" s="58"/>
      <c r="G32" s="59"/>
      <c r="H32" s="60"/>
      <c r="I32" s="61"/>
    </row>
    <row r="33" spans="1:9" x14ac:dyDescent="0.25">
      <c r="A33" s="57"/>
      <c r="B33" s="57" t="s">
        <v>87</v>
      </c>
      <c r="C33" s="58"/>
      <c r="D33" s="58"/>
      <c r="E33" s="58"/>
      <c r="F33" s="58"/>
      <c r="G33" s="59"/>
      <c r="H33" s="60"/>
      <c r="I33" s="61"/>
    </row>
    <row r="34" spans="1:9" x14ac:dyDescent="0.25">
      <c r="A34" s="57" t="s">
        <v>61</v>
      </c>
      <c r="B34" s="57" t="s">
        <v>86</v>
      </c>
      <c r="C34" s="58"/>
      <c r="D34" s="58"/>
      <c r="E34" s="58"/>
      <c r="F34" s="58"/>
      <c r="G34" s="59"/>
      <c r="H34" s="60"/>
      <c r="I34" s="61"/>
    </row>
    <row r="35" spans="1:9" x14ac:dyDescent="0.25">
      <c r="A35" s="57"/>
      <c r="B35" s="57" t="s">
        <v>87</v>
      </c>
      <c r="C35" s="58"/>
      <c r="D35" s="58"/>
      <c r="E35" s="58"/>
      <c r="F35" s="58"/>
      <c r="G35" s="59"/>
      <c r="H35" s="60"/>
      <c r="I35" s="61"/>
    </row>
    <row r="36" spans="1:9" x14ac:dyDescent="0.25">
      <c r="A36" s="57" t="s">
        <v>61</v>
      </c>
      <c r="B36" s="57" t="s">
        <v>86</v>
      </c>
      <c r="C36" s="58"/>
      <c r="D36" s="58"/>
      <c r="E36" s="58"/>
      <c r="F36" s="58"/>
      <c r="G36" s="59"/>
      <c r="H36" s="60"/>
      <c r="I36" s="61"/>
    </row>
    <row r="37" spans="1:9" x14ac:dyDescent="0.25">
      <c r="A37" s="57"/>
      <c r="B37" s="57" t="s">
        <v>87</v>
      </c>
      <c r="C37" s="58"/>
      <c r="D37" s="58"/>
      <c r="E37" s="58"/>
      <c r="F37" s="58"/>
      <c r="G37" s="59"/>
      <c r="H37" s="60"/>
      <c r="I37" s="61"/>
    </row>
    <row r="38" spans="1:9" x14ac:dyDescent="0.25">
      <c r="A38" s="57" t="s">
        <v>61</v>
      </c>
      <c r="B38" s="57" t="s">
        <v>86</v>
      </c>
      <c r="C38" s="58"/>
      <c r="D38" s="58"/>
      <c r="E38" s="58"/>
      <c r="F38" s="58"/>
      <c r="G38" s="59"/>
      <c r="H38" s="60"/>
      <c r="I38" s="61"/>
    </row>
    <row r="39" spans="1:9" x14ac:dyDescent="0.25">
      <c r="A39" s="57"/>
      <c r="B39" s="57" t="s">
        <v>87</v>
      </c>
      <c r="C39" s="58"/>
      <c r="D39" s="58"/>
      <c r="E39" s="58"/>
      <c r="F39" s="58"/>
      <c r="G39" s="59"/>
      <c r="H39" s="60"/>
      <c r="I39" s="61"/>
    </row>
    <row r="40" spans="1:9" x14ac:dyDescent="0.25">
      <c r="A40" s="57" t="s">
        <v>61</v>
      </c>
      <c r="B40" s="57" t="s">
        <v>86</v>
      </c>
      <c r="C40" s="58"/>
      <c r="D40" s="58"/>
      <c r="E40" s="58"/>
      <c r="F40" s="58"/>
      <c r="G40" s="59"/>
      <c r="H40" s="60"/>
      <c r="I40" s="61"/>
    </row>
    <row r="41" spans="1:9" x14ac:dyDescent="0.25">
      <c r="A41" s="57"/>
      <c r="B41" s="57" t="s">
        <v>87</v>
      </c>
      <c r="C41" s="58"/>
      <c r="D41" s="58"/>
      <c r="E41" s="58"/>
      <c r="F41" s="58"/>
      <c r="G41" s="59"/>
      <c r="H41" s="60"/>
      <c r="I41" s="61"/>
    </row>
    <row r="42" spans="1:9" x14ac:dyDescent="0.25">
      <c r="A42" s="57" t="s">
        <v>61</v>
      </c>
      <c r="B42" s="57" t="s">
        <v>86</v>
      </c>
      <c r="C42" s="58"/>
      <c r="D42" s="58"/>
      <c r="E42" s="58"/>
      <c r="F42" s="58"/>
      <c r="G42" s="59"/>
      <c r="H42" s="60"/>
      <c r="I42" s="61"/>
    </row>
    <row r="43" spans="1:9" x14ac:dyDescent="0.25">
      <c r="A43" s="57"/>
      <c r="B43" s="57" t="s">
        <v>87</v>
      </c>
      <c r="C43" s="58"/>
      <c r="D43" s="58"/>
      <c r="E43" s="58"/>
      <c r="F43" s="58"/>
      <c r="G43" s="59"/>
      <c r="H43" s="60"/>
      <c r="I43" s="61"/>
    </row>
    <row r="44" spans="1:9" x14ac:dyDescent="0.25">
      <c r="A44" s="57" t="s">
        <v>61</v>
      </c>
      <c r="B44" s="57" t="s">
        <v>86</v>
      </c>
      <c r="C44" s="58"/>
      <c r="D44" s="58"/>
      <c r="E44" s="58"/>
      <c r="F44" s="58"/>
      <c r="G44" s="59"/>
      <c r="H44" s="60"/>
      <c r="I44" s="61"/>
    </row>
    <row r="45" spans="1:9" x14ac:dyDescent="0.25">
      <c r="A45" s="57"/>
      <c r="B45" s="57" t="s">
        <v>87</v>
      </c>
      <c r="C45" s="58"/>
      <c r="D45" s="58"/>
      <c r="E45" s="58"/>
      <c r="F45" s="58"/>
      <c r="G45" s="59"/>
      <c r="H45" s="60"/>
      <c r="I45" s="61"/>
    </row>
    <row r="46" spans="1:9" x14ac:dyDescent="0.25">
      <c r="A46" s="57" t="s">
        <v>61</v>
      </c>
      <c r="B46" s="57" t="s">
        <v>86</v>
      </c>
      <c r="C46" s="58"/>
      <c r="D46" s="58"/>
      <c r="E46" s="58"/>
      <c r="F46" s="58"/>
      <c r="G46" s="59"/>
      <c r="H46" s="60"/>
      <c r="I46" s="61"/>
    </row>
    <row r="47" spans="1:9" x14ac:dyDescent="0.25">
      <c r="A47" s="57"/>
      <c r="B47" s="57" t="s">
        <v>87</v>
      </c>
      <c r="C47" s="58"/>
      <c r="D47" s="58"/>
      <c r="E47" s="58"/>
      <c r="F47" s="58"/>
      <c r="G47" s="59"/>
      <c r="H47" s="60"/>
      <c r="I47" s="61"/>
    </row>
    <row r="48" spans="1:9" x14ac:dyDescent="0.25">
      <c r="A48" s="57" t="s">
        <v>61</v>
      </c>
      <c r="B48" s="57" t="s">
        <v>86</v>
      </c>
      <c r="C48" s="58"/>
      <c r="D48" s="58"/>
      <c r="E48" s="58"/>
      <c r="F48" s="58"/>
      <c r="G48" s="59"/>
      <c r="H48" s="60"/>
      <c r="I48" s="61"/>
    </row>
    <row r="49" spans="1:9" x14ac:dyDescent="0.25">
      <c r="A49" s="57"/>
      <c r="B49" s="57" t="s">
        <v>87</v>
      </c>
      <c r="C49" s="58"/>
      <c r="D49" s="58"/>
      <c r="E49" s="58"/>
      <c r="F49" s="58"/>
      <c r="G49" s="59"/>
      <c r="H49" s="60"/>
      <c r="I49" s="61"/>
    </row>
    <row r="50" spans="1:9" x14ac:dyDescent="0.25">
      <c r="A50" s="57" t="s">
        <v>61</v>
      </c>
      <c r="B50" s="57" t="s">
        <v>86</v>
      </c>
      <c r="C50" s="58"/>
      <c r="D50" s="58"/>
      <c r="E50" s="58"/>
      <c r="F50" s="58"/>
      <c r="G50" s="59"/>
      <c r="H50" s="60"/>
      <c r="I50" s="61"/>
    </row>
    <row r="51" spans="1:9" x14ac:dyDescent="0.25">
      <c r="A51" s="57"/>
      <c r="B51" s="57" t="s">
        <v>87</v>
      </c>
      <c r="C51" s="58"/>
      <c r="D51" s="58"/>
      <c r="E51" s="58"/>
      <c r="F51" s="58"/>
      <c r="G51" s="59"/>
      <c r="H51" s="60"/>
      <c r="I51" s="61"/>
    </row>
    <row r="52" spans="1:9" x14ac:dyDescent="0.25">
      <c r="A52" s="57" t="s">
        <v>61</v>
      </c>
      <c r="B52" s="57" t="s">
        <v>86</v>
      </c>
      <c r="C52" s="58"/>
      <c r="D52" s="58"/>
      <c r="E52" s="58"/>
      <c r="F52" s="58"/>
      <c r="G52" s="59"/>
      <c r="H52" s="60"/>
      <c r="I52" s="61"/>
    </row>
    <row r="53" spans="1:9" x14ac:dyDescent="0.25">
      <c r="A53" s="57"/>
      <c r="B53" s="57" t="s">
        <v>87</v>
      </c>
      <c r="C53" s="58"/>
      <c r="D53" s="58"/>
      <c r="E53" s="58"/>
      <c r="F53" s="58"/>
      <c r="G53" s="59"/>
      <c r="H53" s="60"/>
      <c r="I53" s="61"/>
    </row>
    <row r="54" spans="1:9" x14ac:dyDescent="0.25">
      <c r="A54" s="57" t="s">
        <v>61</v>
      </c>
      <c r="B54" s="57" t="s">
        <v>86</v>
      </c>
      <c r="C54" s="58"/>
      <c r="D54" s="58"/>
      <c r="E54" s="58"/>
      <c r="F54" s="58"/>
      <c r="G54" s="59"/>
      <c r="H54" s="60"/>
      <c r="I54" s="61"/>
    </row>
    <row r="55" spans="1:9" x14ac:dyDescent="0.25">
      <c r="A55" s="57"/>
      <c r="B55" s="57" t="s">
        <v>87</v>
      </c>
      <c r="C55" s="58"/>
      <c r="D55" s="58"/>
      <c r="E55" s="58"/>
      <c r="F55" s="58"/>
      <c r="G55" s="59"/>
      <c r="H55" s="60"/>
      <c r="I55" s="61"/>
    </row>
    <row r="56" spans="1:9" x14ac:dyDescent="0.25">
      <c r="A56" s="57" t="s">
        <v>61</v>
      </c>
      <c r="B56" s="57" t="s">
        <v>86</v>
      </c>
      <c r="C56" s="58"/>
      <c r="D56" s="58"/>
      <c r="E56" s="58"/>
      <c r="F56" s="58"/>
      <c r="G56" s="59"/>
      <c r="H56" s="60"/>
      <c r="I56" s="61"/>
    </row>
    <row r="57" spans="1:9" x14ac:dyDescent="0.25">
      <c r="A57" s="57"/>
      <c r="B57" s="57" t="s">
        <v>87</v>
      </c>
      <c r="C57" s="58"/>
      <c r="D57" s="58"/>
      <c r="E57" s="58"/>
      <c r="F57" s="58"/>
      <c r="G57" s="59"/>
      <c r="H57" s="60"/>
      <c r="I57" s="61"/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topLeftCell="A7" workbookViewId="0">
      <pane xSplit="1" ySplit="3" topLeftCell="B34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RowHeight="12.75" x14ac:dyDescent="0.25"/>
  <cols>
    <col min="1" max="1" width="9.1796875" style="8" bestFit="1" customWidth="1"/>
    <col min="2" max="2" width="13" style="8" bestFit="1" customWidth="1"/>
    <col min="3" max="256" width="8.7265625" style="8"/>
    <col min="257" max="257" width="9.1796875" style="8" bestFit="1" customWidth="1"/>
    <col min="258" max="258" width="13" style="8" bestFit="1" customWidth="1"/>
    <col min="259" max="512" width="8.7265625" style="8"/>
    <col min="513" max="513" width="9.1796875" style="8" bestFit="1" customWidth="1"/>
    <col min="514" max="514" width="13" style="8" bestFit="1" customWidth="1"/>
    <col min="515" max="768" width="8.7265625" style="8"/>
    <col min="769" max="769" width="9.1796875" style="8" bestFit="1" customWidth="1"/>
    <col min="770" max="770" width="13" style="8" bestFit="1" customWidth="1"/>
    <col min="771" max="1024" width="8.7265625" style="8"/>
    <col min="1025" max="1025" width="9.1796875" style="8" bestFit="1" customWidth="1"/>
    <col min="1026" max="1026" width="13" style="8" bestFit="1" customWidth="1"/>
    <col min="1027" max="1280" width="8.7265625" style="8"/>
    <col min="1281" max="1281" width="9.1796875" style="8" bestFit="1" customWidth="1"/>
    <col min="1282" max="1282" width="13" style="8" bestFit="1" customWidth="1"/>
    <col min="1283" max="1536" width="8.7265625" style="8"/>
    <col min="1537" max="1537" width="9.1796875" style="8" bestFit="1" customWidth="1"/>
    <col min="1538" max="1538" width="13" style="8" bestFit="1" customWidth="1"/>
    <col min="1539" max="1792" width="8.7265625" style="8"/>
    <col min="1793" max="1793" width="9.1796875" style="8" bestFit="1" customWidth="1"/>
    <col min="1794" max="1794" width="13" style="8" bestFit="1" customWidth="1"/>
    <col min="1795" max="2048" width="8.7265625" style="8"/>
    <col min="2049" max="2049" width="9.1796875" style="8" bestFit="1" customWidth="1"/>
    <col min="2050" max="2050" width="13" style="8" bestFit="1" customWidth="1"/>
    <col min="2051" max="2304" width="8.7265625" style="8"/>
    <col min="2305" max="2305" width="9.1796875" style="8" bestFit="1" customWidth="1"/>
    <col min="2306" max="2306" width="13" style="8" bestFit="1" customWidth="1"/>
    <col min="2307" max="2560" width="8.7265625" style="8"/>
    <col min="2561" max="2561" width="9.1796875" style="8" bestFit="1" customWidth="1"/>
    <col min="2562" max="2562" width="13" style="8" bestFit="1" customWidth="1"/>
    <col min="2563" max="2816" width="8.7265625" style="8"/>
    <col min="2817" max="2817" width="9.1796875" style="8" bestFit="1" customWidth="1"/>
    <col min="2818" max="2818" width="13" style="8" bestFit="1" customWidth="1"/>
    <col min="2819" max="3072" width="8.7265625" style="8"/>
    <col min="3073" max="3073" width="9.1796875" style="8" bestFit="1" customWidth="1"/>
    <col min="3074" max="3074" width="13" style="8" bestFit="1" customWidth="1"/>
    <col min="3075" max="3328" width="8.7265625" style="8"/>
    <col min="3329" max="3329" width="9.1796875" style="8" bestFit="1" customWidth="1"/>
    <col min="3330" max="3330" width="13" style="8" bestFit="1" customWidth="1"/>
    <col min="3331" max="3584" width="8.7265625" style="8"/>
    <col min="3585" max="3585" width="9.1796875" style="8" bestFit="1" customWidth="1"/>
    <col min="3586" max="3586" width="13" style="8" bestFit="1" customWidth="1"/>
    <col min="3587" max="3840" width="8.7265625" style="8"/>
    <col min="3841" max="3841" width="9.1796875" style="8" bestFit="1" customWidth="1"/>
    <col min="3842" max="3842" width="13" style="8" bestFit="1" customWidth="1"/>
    <col min="3843" max="4096" width="8.7265625" style="8"/>
    <col min="4097" max="4097" width="9.1796875" style="8" bestFit="1" customWidth="1"/>
    <col min="4098" max="4098" width="13" style="8" bestFit="1" customWidth="1"/>
    <col min="4099" max="4352" width="8.7265625" style="8"/>
    <col min="4353" max="4353" width="9.1796875" style="8" bestFit="1" customWidth="1"/>
    <col min="4354" max="4354" width="13" style="8" bestFit="1" customWidth="1"/>
    <col min="4355" max="4608" width="8.7265625" style="8"/>
    <col min="4609" max="4609" width="9.1796875" style="8" bestFit="1" customWidth="1"/>
    <col min="4610" max="4610" width="13" style="8" bestFit="1" customWidth="1"/>
    <col min="4611" max="4864" width="8.7265625" style="8"/>
    <col min="4865" max="4865" width="9.1796875" style="8" bestFit="1" customWidth="1"/>
    <col min="4866" max="4866" width="13" style="8" bestFit="1" customWidth="1"/>
    <col min="4867" max="5120" width="8.7265625" style="8"/>
    <col min="5121" max="5121" width="9.1796875" style="8" bestFit="1" customWidth="1"/>
    <col min="5122" max="5122" width="13" style="8" bestFit="1" customWidth="1"/>
    <col min="5123" max="5376" width="8.7265625" style="8"/>
    <col min="5377" max="5377" width="9.1796875" style="8" bestFit="1" customWidth="1"/>
    <col min="5378" max="5378" width="13" style="8" bestFit="1" customWidth="1"/>
    <col min="5379" max="5632" width="8.7265625" style="8"/>
    <col min="5633" max="5633" width="9.1796875" style="8" bestFit="1" customWidth="1"/>
    <col min="5634" max="5634" width="13" style="8" bestFit="1" customWidth="1"/>
    <col min="5635" max="5888" width="8.7265625" style="8"/>
    <col min="5889" max="5889" width="9.1796875" style="8" bestFit="1" customWidth="1"/>
    <col min="5890" max="5890" width="13" style="8" bestFit="1" customWidth="1"/>
    <col min="5891" max="6144" width="8.7265625" style="8"/>
    <col min="6145" max="6145" width="9.1796875" style="8" bestFit="1" customWidth="1"/>
    <col min="6146" max="6146" width="13" style="8" bestFit="1" customWidth="1"/>
    <col min="6147" max="6400" width="8.7265625" style="8"/>
    <col min="6401" max="6401" width="9.1796875" style="8" bestFit="1" customWidth="1"/>
    <col min="6402" max="6402" width="13" style="8" bestFit="1" customWidth="1"/>
    <col min="6403" max="6656" width="8.7265625" style="8"/>
    <col min="6657" max="6657" width="9.1796875" style="8" bestFit="1" customWidth="1"/>
    <col min="6658" max="6658" width="13" style="8" bestFit="1" customWidth="1"/>
    <col min="6659" max="6912" width="8.7265625" style="8"/>
    <col min="6913" max="6913" width="9.1796875" style="8" bestFit="1" customWidth="1"/>
    <col min="6914" max="6914" width="13" style="8" bestFit="1" customWidth="1"/>
    <col min="6915" max="7168" width="8.7265625" style="8"/>
    <col min="7169" max="7169" width="9.1796875" style="8" bestFit="1" customWidth="1"/>
    <col min="7170" max="7170" width="13" style="8" bestFit="1" customWidth="1"/>
    <col min="7171" max="7424" width="8.7265625" style="8"/>
    <col min="7425" max="7425" width="9.1796875" style="8" bestFit="1" customWidth="1"/>
    <col min="7426" max="7426" width="13" style="8" bestFit="1" customWidth="1"/>
    <col min="7427" max="7680" width="8.7265625" style="8"/>
    <col min="7681" max="7681" width="9.1796875" style="8" bestFit="1" customWidth="1"/>
    <col min="7682" max="7682" width="13" style="8" bestFit="1" customWidth="1"/>
    <col min="7683" max="7936" width="8.7265625" style="8"/>
    <col min="7937" max="7937" width="9.1796875" style="8" bestFit="1" customWidth="1"/>
    <col min="7938" max="7938" width="13" style="8" bestFit="1" customWidth="1"/>
    <col min="7939" max="8192" width="8.7265625" style="8"/>
    <col min="8193" max="8193" width="9.1796875" style="8" bestFit="1" customWidth="1"/>
    <col min="8194" max="8194" width="13" style="8" bestFit="1" customWidth="1"/>
    <col min="8195" max="8448" width="8.7265625" style="8"/>
    <col min="8449" max="8449" width="9.1796875" style="8" bestFit="1" customWidth="1"/>
    <col min="8450" max="8450" width="13" style="8" bestFit="1" customWidth="1"/>
    <col min="8451" max="8704" width="8.7265625" style="8"/>
    <col min="8705" max="8705" width="9.1796875" style="8" bestFit="1" customWidth="1"/>
    <col min="8706" max="8706" width="13" style="8" bestFit="1" customWidth="1"/>
    <col min="8707" max="8960" width="8.7265625" style="8"/>
    <col min="8961" max="8961" width="9.1796875" style="8" bestFit="1" customWidth="1"/>
    <col min="8962" max="8962" width="13" style="8" bestFit="1" customWidth="1"/>
    <col min="8963" max="9216" width="8.7265625" style="8"/>
    <col min="9217" max="9217" width="9.1796875" style="8" bestFit="1" customWidth="1"/>
    <col min="9218" max="9218" width="13" style="8" bestFit="1" customWidth="1"/>
    <col min="9219" max="9472" width="8.7265625" style="8"/>
    <col min="9473" max="9473" width="9.1796875" style="8" bestFit="1" customWidth="1"/>
    <col min="9474" max="9474" width="13" style="8" bestFit="1" customWidth="1"/>
    <col min="9475" max="9728" width="8.7265625" style="8"/>
    <col min="9729" max="9729" width="9.1796875" style="8" bestFit="1" customWidth="1"/>
    <col min="9730" max="9730" width="13" style="8" bestFit="1" customWidth="1"/>
    <col min="9731" max="9984" width="8.7265625" style="8"/>
    <col min="9985" max="9985" width="9.1796875" style="8" bestFit="1" customWidth="1"/>
    <col min="9986" max="9986" width="13" style="8" bestFit="1" customWidth="1"/>
    <col min="9987" max="10240" width="8.7265625" style="8"/>
    <col min="10241" max="10241" width="9.1796875" style="8" bestFit="1" customWidth="1"/>
    <col min="10242" max="10242" width="13" style="8" bestFit="1" customWidth="1"/>
    <col min="10243" max="10496" width="8.7265625" style="8"/>
    <col min="10497" max="10497" width="9.1796875" style="8" bestFit="1" customWidth="1"/>
    <col min="10498" max="10498" width="13" style="8" bestFit="1" customWidth="1"/>
    <col min="10499" max="10752" width="8.7265625" style="8"/>
    <col min="10753" max="10753" width="9.1796875" style="8" bestFit="1" customWidth="1"/>
    <col min="10754" max="10754" width="13" style="8" bestFit="1" customWidth="1"/>
    <col min="10755" max="11008" width="8.7265625" style="8"/>
    <col min="11009" max="11009" width="9.1796875" style="8" bestFit="1" customWidth="1"/>
    <col min="11010" max="11010" width="13" style="8" bestFit="1" customWidth="1"/>
    <col min="11011" max="11264" width="8.7265625" style="8"/>
    <col min="11265" max="11265" width="9.1796875" style="8" bestFit="1" customWidth="1"/>
    <col min="11266" max="11266" width="13" style="8" bestFit="1" customWidth="1"/>
    <col min="11267" max="11520" width="8.7265625" style="8"/>
    <col min="11521" max="11521" width="9.1796875" style="8" bestFit="1" customWidth="1"/>
    <col min="11522" max="11522" width="13" style="8" bestFit="1" customWidth="1"/>
    <col min="11523" max="11776" width="8.7265625" style="8"/>
    <col min="11777" max="11777" width="9.1796875" style="8" bestFit="1" customWidth="1"/>
    <col min="11778" max="11778" width="13" style="8" bestFit="1" customWidth="1"/>
    <col min="11779" max="12032" width="8.7265625" style="8"/>
    <col min="12033" max="12033" width="9.1796875" style="8" bestFit="1" customWidth="1"/>
    <col min="12034" max="12034" width="13" style="8" bestFit="1" customWidth="1"/>
    <col min="12035" max="12288" width="8.7265625" style="8"/>
    <col min="12289" max="12289" width="9.1796875" style="8" bestFit="1" customWidth="1"/>
    <col min="12290" max="12290" width="13" style="8" bestFit="1" customWidth="1"/>
    <col min="12291" max="12544" width="8.7265625" style="8"/>
    <col min="12545" max="12545" width="9.1796875" style="8" bestFit="1" customWidth="1"/>
    <col min="12546" max="12546" width="13" style="8" bestFit="1" customWidth="1"/>
    <col min="12547" max="12800" width="8.7265625" style="8"/>
    <col min="12801" max="12801" width="9.1796875" style="8" bestFit="1" customWidth="1"/>
    <col min="12802" max="12802" width="13" style="8" bestFit="1" customWidth="1"/>
    <col min="12803" max="13056" width="8.7265625" style="8"/>
    <col min="13057" max="13057" width="9.1796875" style="8" bestFit="1" customWidth="1"/>
    <col min="13058" max="13058" width="13" style="8" bestFit="1" customWidth="1"/>
    <col min="13059" max="13312" width="8.7265625" style="8"/>
    <col min="13313" max="13313" width="9.1796875" style="8" bestFit="1" customWidth="1"/>
    <col min="13314" max="13314" width="13" style="8" bestFit="1" customWidth="1"/>
    <col min="13315" max="13568" width="8.7265625" style="8"/>
    <col min="13569" max="13569" width="9.1796875" style="8" bestFit="1" customWidth="1"/>
    <col min="13570" max="13570" width="13" style="8" bestFit="1" customWidth="1"/>
    <col min="13571" max="13824" width="8.7265625" style="8"/>
    <col min="13825" max="13825" width="9.1796875" style="8" bestFit="1" customWidth="1"/>
    <col min="13826" max="13826" width="13" style="8" bestFit="1" customWidth="1"/>
    <col min="13827" max="14080" width="8.7265625" style="8"/>
    <col min="14081" max="14081" width="9.1796875" style="8" bestFit="1" customWidth="1"/>
    <col min="14082" max="14082" width="13" style="8" bestFit="1" customWidth="1"/>
    <col min="14083" max="14336" width="8.7265625" style="8"/>
    <col min="14337" max="14337" width="9.1796875" style="8" bestFit="1" customWidth="1"/>
    <col min="14338" max="14338" width="13" style="8" bestFit="1" customWidth="1"/>
    <col min="14339" max="14592" width="8.7265625" style="8"/>
    <col min="14593" max="14593" width="9.1796875" style="8" bestFit="1" customWidth="1"/>
    <col min="14594" max="14594" width="13" style="8" bestFit="1" customWidth="1"/>
    <col min="14595" max="14848" width="8.7265625" style="8"/>
    <col min="14849" max="14849" width="9.1796875" style="8" bestFit="1" customWidth="1"/>
    <col min="14850" max="14850" width="13" style="8" bestFit="1" customWidth="1"/>
    <col min="14851" max="15104" width="8.7265625" style="8"/>
    <col min="15105" max="15105" width="9.1796875" style="8" bestFit="1" customWidth="1"/>
    <col min="15106" max="15106" width="13" style="8" bestFit="1" customWidth="1"/>
    <col min="15107" max="15360" width="8.7265625" style="8"/>
    <col min="15361" max="15361" width="9.1796875" style="8" bestFit="1" customWidth="1"/>
    <col min="15362" max="15362" width="13" style="8" bestFit="1" customWidth="1"/>
    <col min="15363" max="15616" width="8.7265625" style="8"/>
    <col min="15617" max="15617" width="9.1796875" style="8" bestFit="1" customWidth="1"/>
    <col min="15618" max="15618" width="13" style="8" bestFit="1" customWidth="1"/>
    <col min="15619" max="15872" width="8.7265625" style="8"/>
    <col min="15873" max="15873" width="9.1796875" style="8" bestFit="1" customWidth="1"/>
    <col min="15874" max="15874" width="13" style="8" bestFit="1" customWidth="1"/>
    <col min="15875" max="16128" width="8.7265625" style="8"/>
    <col min="16129" max="16129" width="9.1796875" style="8" bestFit="1" customWidth="1"/>
    <col min="16130" max="16130" width="13" style="8" bestFit="1" customWidth="1"/>
    <col min="16131" max="16384" width="8.7265625" style="8"/>
  </cols>
  <sheetData>
    <row r="1" spans="1:4" x14ac:dyDescent="0.25">
      <c r="A1" s="335" t="s">
        <v>14</v>
      </c>
      <c r="B1" s="335"/>
      <c r="C1" s="335"/>
      <c r="D1" s="335"/>
    </row>
    <row r="2" spans="1:4" x14ac:dyDescent="0.25">
      <c r="A2" s="5" t="s">
        <v>15</v>
      </c>
      <c r="B2" s="7"/>
      <c r="D2" s="49" t="s">
        <v>16</v>
      </c>
    </row>
    <row r="3" spans="1:4" x14ac:dyDescent="0.25">
      <c r="A3" s="11"/>
      <c r="B3" s="7"/>
      <c r="C3" s="5"/>
      <c r="D3" s="16"/>
    </row>
    <row r="4" spans="1:4" x14ac:dyDescent="0.25">
      <c r="A4" s="71" t="s">
        <v>88</v>
      </c>
      <c r="B4" s="65"/>
    </row>
    <row r="5" spans="1:4" x14ac:dyDescent="0.25">
      <c r="A5" s="72" t="s">
        <v>89</v>
      </c>
      <c r="B5" s="7"/>
      <c r="D5" s="7"/>
    </row>
    <row r="6" spans="1:4" x14ac:dyDescent="0.25">
      <c r="A6" s="52" t="s">
        <v>90</v>
      </c>
      <c r="B6" s="7"/>
      <c r="C6" s="7" t="s">
        <v>91</v>
      </c>
      <c r="D6" s="7"/>
    </row>
    <row r="7" spans="1:4" x14ac:dyDescent="0.25">
      <c r="A7" s="73" t="s">
        <v>92</v>
      </c>
      <c r="B7" s="7"/>
      <c r="C7" s="16" t="s">
        <v>80</v>
      </c>
      <c r="D7" s="7"/>
    </row>
    <row r="8" spans="1:4" x14ac:dyDescent="0.25">
      <c r="A8" s="5"/>
      <c r="B8" s="7"/>
      <c r="C8" s="7"/>
      <c r="D8" s="7"/>
    </row>
    <row r="9" spans="1:4" ht="12.75" customHeight="1" x14ac:dyDescent="0.25">
      <c r="A9" s="55" t="s">
        <v>26</v>
      </c>
      <c r="B9" s="55" t="s">
        <v>93</v>
      </c>
      <c r="C9" s="56" t="s">
        <v>58</v>
      </c>
      <c r="D9" s="55" t="s">
        <v>25</v>
      </c>
    </row>
    <row r="10" spans="1:4" x14ac:dyDescent="0.25">
      <c r="A10" s="64">
        <v>41302</v>
      </c>
      <c r="B10" s="59" t="s">
        <v>94</v>
      </c>
      <c r="C10" s="60"/>
      <c r="D10" s="61"/>
    </row>
    <row r="11" spans="1:4" x14ac:dyDescent="0.25">
      <c r="A11" s="64">
        <v>41323</v>
      </c>
      <c r="B11" s="59" t="s">
        <v>94</v>
      </c>
      <c r="C11" s="60"/>
      <c r="D11" s="61"/>
    </row>
    <row r="12" spans="1:4" x14ac:dyDescent="0.25">
      <c r="A12" s="64">
        <v>41346</v>
      </c>
      <c r="B12" s="59" t="s">
        <v>94</v>
      </c>
      <c r="C12" s="60"/>
      <c r="D12" s="61"/>
    </row>
    <row r="13" spans="1:4" x14ac:dyDescent="0.25">
      <c r="A13" s="64">
        <v>41365</v>
      </c>
      <c r="B13" s="59" t="s">
        <v>94</v>
      </c>
      <c r="C13" s="60"/>
      <c r="D13" s="61"/>
    </row>
    <row r="14" spans="1:4" x14ac:dyDescent="0.25">
      <c r="A14" s="64">
        <v>41380</v>
      </c>
      <c r="B14" s="59" t="s">
        <v>94</v>
      </c>
      <c r="C14" s="60"/>
      <c r="D14" s="61"/>
    </row>
    <row r="15" spans="1:4" x14ac:dyDescent="0.25">
      <c r="A15" s="64">
        <v>41394</v>
      </c>
      <c r="B15" s="59" t="s">
        <v>94</v>
      </c>
      <c r="C15" s="60"/>
      <c r="D15" s="61"/>
    </row>
    <row r="16" spans="1:4" x14ac:dyDescent="0.25">
      <c r="A16" s="64">
        <v>41416</v>
      </c>
      <c r="B16" s="59" t="s">
        <v>94</v>
      </c>
      <c r="C16" s="60"/>
      <c r="D16" s="61"/>
    </row>
    <row r="17" spans="1:4" x14ac:dyDescent="0.25">
      <c r="A17" s="64">
        <v>41430</v>
      </c>
      <c r="B17" s="59" t="s">
        <v>95</v>
      </c>
      <c r="C17" s="60"/>
      <c r="D17" s="61" t="s">
        <v>96</v>
      </c>
    </row>
    <row r="18" spans="1:4" x14ac:dyDescent="0.25">
      <c r="A18" s="64">
        <v>41443</v>
      </c>
      <c r="B18" s="59" t="s">
        <v>94</v>
      </c>
      <c r="C18" s="60"/>
      <c r="D18" s="61"/>
    </row>
    <row r="19" spans="1:4" x14ac:dyDescent="0.25">
      <c r="A19" s="64">
        <v>41465</v>
      </c>
      <c r="B19" s="59" t="s">
        <v>94</v>
      </c>
      <c r="C19" s="60"/>
      <c r="D19" s="61"/>
    </row>
    <row r="20" spans="1:4" x14ac:dyDescent="0.25">
      <c r="A20" s="64">
        <v>41480</v>
      </c>
      <c r="B20" s="59" t="s">
        <v>94</v>
      </c>
      <c r="C20" s="60"/>
      <c r="D20" s="61"/>
    </row>
    <row r="21" spans="1:4" x14ac:dyDescent="0.25">
      <c r="A21" s="64">
        <v>41486</v>
      </c>
      <c r="B21" s="59" t="s">
        <v>94</v>
      </c>
      <c r="C21" s="60"/>
      <c r="D21" s="61"/>
    </row>
    <row r="22" spans="1:4" x14ac:dyDescent="0.25">
      <c r="A22" s="64">
        <v>41499</v>
      </c>
      <c r="B22" s="59" t="s">
        <v>94</v>
      </c>
      <c r="C22" s="60"/>
      <c r="D22" s="61"/>
    </row>
    <row r="23" spans="1:4" x14ac:dyDescent="0.25">
      <c r="A23" s="64">
        <v>41514</v>
      </c>
      <c r="B23" s="59" t="s">
        <v>94</v>
      </c>
      <c r="C23" s="60"/>
      <c r="D23" s="61"/>
    </row>
    <row r="24" spans="1:4" x14ac:dyDescent="0.25">
      <c r="A24" s="64">
        <v>41526</v>
      </c>
      <c r="B24" s="59" t="s">
        <v>94</v>
      </c>
      <c r="C24" s="60"/>
      <c r="D24" s="61"/>
    </row>
    <row r="25" spans="1:4" x14ac:dyDescent="0.25">
      <c r="A25" s="64">
        <v>41540</v>
      </c>
      <c r="B25" s="59" t="s">
        <v>94</v>
      </c>
      <c r="C25" s="60"/>
      <c r="D25" s="61"/>
    </row>
    <row r="26" spans="1:4" x14ac:dyDescent="0.25">
      <c r="A26" s="64">
        <v>41554</v>
      </c>
      <c r="B26" s="59" t="s">
        <v>94</v>
      </c>
      <c r="C26" s="60"/>
      <c r="D26" s="61"/>
    </row>
    <row r="27" spans="1:4" x14ac:dyDescent="0.25">
      <c r="A27" s="64">
        <v>41568</v>
      </c>
      <c r="B27" s="59" t="s">
        <v>94</v>
      </c>
      <c r="C27" s="60"/>
      <c r="D27" s="61"/>
    </row>
    <row r="28" spans="1:4" x14ac:dyDescent="0.25">
      <c r="A28" s="64">
        <v>41583</v>
      </c>
      <c r="B28" s="59" t="s">
        <v>94</v>
      </c>
      <c r="C28" s="60"/>
      <c r="D28" s="61"/>
    </row>
    <row r="29" spans="1:4" x14ac:dyDescent="0.25">
      <c r="A29" s="64">
        <v>41597</v>
      </c>
      <c r="B29" s="59" t="s">
        <v>94</v>
      </c>
      <c r="C29" s="60"/>
      <c r="D29" s="61"/>
    </row>
    <row r="30" spans="1:4" x14ac:dyDescent="0.25">
      <c r="A30" s="64">
        <v>41610</v>
      </c>
      <c r="B30" s="59" t="s">
        <v>94</v>
      </c>
      <c r="C30" s="60"/>
      <c r="D30" s="61"/>
    </row>
    <row r="31" spans="1:4" x14ac:dyDescent="0.25">
      <c r="A31" s="64">
        <v>41625</v>
      </c>
      <c r="B31" s="59" t="s">
        <v>94</v>
      </c>
      <c r="C31" s="60"/>
      <c r="D31" s="61"/>
    </row>
    <row r="32" spans="1:4" x14ac:dyDescent="0.25">
      <c r="A32" s="64">
        <v>41640</v>
      </c>
      <c r="B32" s="59" t="s">
        <v>94</v>
      </c>
      <c r="C32" s="60"/>
      <c r="D32" s="61"/>
    </row>
    <row r="33" spans="1:4" x14ac:dyDescent="0.25">
      <c r="A33" s="64">
        <v>41666</v>
      </c>
      <c r="B33" s="59" t="s">
        <v>94</v>
      </c>
      <c r="C33" s="60"/>
      <c r="D33" s="61"/>
    </row>
    <row r="34" spans="1:4" x14ac:dyDescent="0.25">
      <c r="A34" s="64">
        <v>41680</v>
      </c>
      <c r="B34" s="59" t="s">
        <v>94</v>
      </c>
      <c r="C34" s="60"/>
      <c r="D34" s="61"/>
    </row>
    <row r="35" spans="1:4" x14ac:dyDescent="0.25">
      <c r="A35" s="64">
        <v>41692</v>
      </c>
      <c r="B35" s="59" t="s">
        <v>94</v>
      </c>
      <c r="C35" s="60"/>
      <c r="D35" s="61"/>
    </row>
    <row r="36" spans="1:4" x14ac:dyDescent="0.25">
      <c r="A36" s="64">
        <v>41344</v>
      </c>
      <c r="B36" s="59" t="s">
        <v>94</v>
      </c>
      <c r="C36" s="60"/>
      <c r="D36" s="61"/>
    </row>
    <row r="37" spans="1:4" x14ac:dyDescent="0.25">
      <c r="A37" s="64">
        <v>41725</v>
      </c>
      <c r="B37" s="59" t="s">
        <v>94</v>
      </c>
      <c r="C37" s="60"/>
      <c r="D37" s="61"/>
    </row>
    <row r="38" spans="1:4" x14ac:dyDescent="0.25">
      <c r="A38" s="64">
        <v>41745</v>
      </c>
      <c r="B38" s="59" t="s">
        <v>94</v>
      </c>
      <c r="C38" s="60"/>
      <c r="D38" s="61"/>
    </row>
    <row r="39" spans="1:4" x14ac:dyDescent="0.25">
      <c r="A39" s="64">
        <v>41765</v>
      </c>
      <c r="B39" s="59" t="s">
        <v>94</v>
      </c>
      <c r="C39" s="60"/>
      <c r="D39" s="61"/>
    </row>
    <row r="40" spans="1:4" x14ac:dyDescent="0.25">
      <c r="A40" s="74">
        <v>41704</v>
      </c>
      <c r="B40" s="59" t="s">
        <v>94</v>
      </c>
      <c r="C40" s="60"/>
      <c r="D40" s="61"/>
    </row>
    <row r="41" spans="1:4" x14ac:dyDescent="0.25">
      <c r="A41" s="57" t="s">
        <v>97</v>
      </c>
      <c r="B41" s="59" t="s">
        <v>94</v>
      </c>
      <c r="C41" s="60"/>
      <c r="D41" s="61"/>
    </row>
    <row r="42" spans="1:4" x14ac:dyDescent="0.25">
      <c r="A42" s="57" t="s">
        <v>98</v>
      </c>
      <c r="B42" s="59" t="s">
        <v>94</v>
      </c>
      <c r="C42" s="60"/>
      <c r="D42" s="61"/>
    </row>
    <row r="43" spans="1:4" x14ac:dyDescent="0.25">
      <c r="A43" s="57" t="s">
        <v>99</v>
      </c>
      <c r="B43" s="59" t="s">
        <v>94</v>
      </c>
      <c r="C43" s="60"/>
      <c r="D43" s="61"/>
    </row>
    <row r="44" spans="1:4" x14ac:dyDescent="0.25">
      <c r="A44" s="57" t="s">
        <v>100</v>
      </c>
      <c r="B44" s="59" t="s">
        <v>94</v>
      </c>
      <c r="C44" s="60"/>
      <c r="D44" s="61"/>
    </row>
    <row r="45" spans="1:4" x14ac:dyDescent="0.25">
      <c r="A45" s="57" t="s">
        <v>101</v>
      </c>
      <c r="B45" s="59" t="s">
        <v>94</v>
      </c>
      <c r="C45" s="60"/>
      <c r="D45" s="61"/>
    </row>
    <row r="46" spans="1:4" x14ac:dyDescent="0.25">
      <c r="A46" s="57" t="s">
        <v>102</v>
      </c>
      <c r="B46" s="59" t="s">
        <v>94</v>
      </c>
      <c r="C46" s="60"/>
      <c r="D46" s="61"/>
    </row>
    <row r="47" spans="1:4" x14ac:dyDescent="0.25">
      <c r="A47" s="74">
        <v>41860</v>
      </c>
      <c r="B47" s="59" t="s">
        <v>94</v>
      </c>
      <c r="C47" s="60"/>
      <c r="D47" s="61"/>
    </row>
    <row r="48" spans="1:4" x14ac:dyDescent="0.25">
      <c r="A48" s="57" t="s">
        <v>103</v>
      </c>
      <c r="B48" s="59" t="s">
        <v>94</v>
      </c>
      <c r="C48" s="60"/>
      <c r="D48" s="61"/>
    </row>
    <row r="49" spans="1:4" x14ac:dyDescent="0.25">
      <c r="A49" s="57" t="s">
        <v>104</v>
      </c>
      <c r="B49" s="59" t="s">
        <v>94</v>
      </c>
      <c r="C49" s="60"/>
      <c r="D49" s="61"/>
    </row>
    <row r="50" spans="1:4" x14ac:dyDescent="0.25">
      <c r="A50" s="74">
        <v>41984</v>
      </c>
      <c r="B50" s="59" t="s">
        <v>94</v>
      </c>
      <c r="C50" s="60"/>
      <c r="D50" s="61"/>
    </row>
    <row r="51" spans="1:4" x14ac:dyDescent="0.25">
      <c r="A51" s="74">
        <v>41863</v>
      </c>
      <c r="B51" s="59" t="s">
        <v>94</v>
      </c>
      <c r="C51" s="60"/>
      <c r="D51" s="61"/>
    </row>
    <row r="52" spans="1:4" x14ac:dyDescent="0.25">
      <c r="A52" s="74">
        <v>42125</v>
      </c>
      <c r="B52" s="59" t="s">
        <v>94</v>
      </c>
      <c r="C52" s="60"/>
      <c r="D52" s="61"/>
    </row>
    <row r="53" spans="1:4" x14ac:dyDescent="0.25">
      <c r="A53" s="57" t="s">
        <v>105</v>
      </c>
      <c r="B53" s="59" t="s">
        <v>94</v>
      </c>
      <c r="C53" s="60"/>
      <c r="D53" s="61"/>
    </row>
    <row r="54" spans="1:4" x14ac:dyDescent="0.25">
      <c r="A54" s="57" t="s">
        <v>106</v>
      </c>
      <c r="B54" s="59" t="s">
        <v>94</v>
      </c>
      <c r="C54" s="60"/>
      <c r="D54" s="61"/>
    </row>
    <row r="55" spans="1:4" x14ac:dyDescent="0.25">
      <c r="A55" s="57" t="s">
        <v>107</v>
      </c>
      <c r="B55" s="59" t="s">
        <v>94</v>
      </c>
      <c r="C55" s="60"/>
      <c r="D55" s="61"/>
    </row>
    <row r="56" spans="1:4" x14ac:dyDescent="0.25">
      <c r="A56" s="57" t="s">
        <v>61</v>
      </c>
      <c r="B56" s="59"/>
      <c r="C56" s="60"/>
      <c r="D56" s="61"/>
    </row>
    <row r="57" spans="1:4" x14ac:dyDescent="0.25">
      <c r="A57" s="57" t="s">
        <v>61</v>
      </c>
      <c r="B57" s="59"/>
      <c r="C57" s="60"/>
      <c r="D57" s="61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59"/>
  <sheetViews>
    <sheetView topLeftCell="A61" workbookViewId="0">
      <selection activeCell="H82" sqref="H82"/>
    </sheetView>
  </sheetViews>
  <sheetFormatPr defaultRowHeight="12.75" x14ac:dyDescent="0.25"/>
  <cols>
    <col min="1" max="1" width="9.90625" style="8" customWidth="1"/>
    <col min="2" max="5" width="8.7265625" style="8"/>
    <col min="6" max="6" width="11.54296875" style="8" customWidth="1"/>
    <col min="7" max="7" width="11.90625" style="8" customWidth="1"/>
    <col min="8" max="8" width="11.54296875" style="8" customWidth="1"/>
    <col min="9" max="256" width="8.7265625" style="8"/>
    <col min="257" max="257" width="9.90625" style="8" customWidth="1"/>
    <col min="258" max="261" width="8.7265625" style="8"/>
    <col min="262" max="262" width="11.54296875" style="8" customWidth="1"/>
    <col min="263" max="263" width="11.90625" style="8" customWidth="1"/>
    <col min="264" max="264" width="11.54296875" style="8" customWidth="1"/>
    <col min="265" max="512" width="8.7265625" style="8"/>
    <col min="513" max="513" width="9.90625" style="8" customWidth="1"/>
    <col min="514" max="517" width="8.7265625" style="8"/>
    <col min="518" max="518" width="11.54296875" style="8" customWidth="1"/>
    <col min="519" max="519" width="11.90625" style="8" customWidth="1"/>
    <col min="520" max="520" width="11.54296875" style="8" customWidth="1"/>
    <col min="521" max="768" width="8.7265625" style="8"/>
    <col min="769" max="769" width="9.90625" style="8" customWidth="1"/>
    <col min="770" max="773" width="8.7265625" style="8"/>
    <col min="774" max="774" width="11.54296875" style="8" customWidth="1"/>
    <col min="775" max="775" width="11.90625" style="8" customWidth="1"/>
    <col min="776" max="776" width="11.54296875" style="8" customWidth="1"/>
    <col min="777" max="1024" width="8.7265625" style="8"/>
    <col min="1025" max="1025" width="9.90625" style="8" customWidth="1"/>
    <col min="1026" max="1029" width="8.7265625" style="8"/>
    <col min="1030" max="1030" width="11.54296875" style="8" customWidth="1"/>
    <col min="1031" max="1031" width="11.90625" style="8" customWidth="1"/>
    <col min="1032" max="1032" width="11.54296875" style="8" customWidth="1"/>
    <col min="1033" max="1280" width="8.7265625" style="8"/>
    <col min="1281" max="1281" width="9.90625" style="8" customWidth="1"/>
    <col min="1282" max="1285" width="8.7265625" style="8"/>
    <col min="1286" max="1286" width="11.54296875" style="8" customWidth="1"/>
    <col min="1287" max="1287" width="11.90625" style="8" customWidth="1"/>
    <col min="1288" max="1288" width="11.54296875" style="8" customWidth="1"/>
    <col min="1289" max="1536" width="8.7265625" style="8"/>
    <col min="1537" max="1537" width="9.90625" style="8" customWidth="1"/>
    <col min="1538" max="1541" width="8.7265625" style="8"/>
    <col min="1542" max="1542" width="11.54296875" style="8" customWidth="1"/>
    <col min="1543" max="1543" width="11.90625" style="8" customWidth="1"/>
    <col min="1544" max="1544" width="11.54296875" style="8" customWidth="1"/>
    <col min="1545" max="1792" width="8.7265625" style="8"/>
    <col min="1793" max="1793" width="9.90625" style="8" customWidth="1"/>
    <col min="1794" max="1797" width="8.7265625" style="8"/>
    <col min="1798" max="1798" width="11.54296875" style="8" customWidth="1"/>
    <col min="1799" max="1799" width="11.90625" style="8" customWidth="1"/>
    <col min="1800" max="1800" width="11.54296875" style="8" customWidth="1"/>
    <col min="1801" max="2048" width="8.7265625" style="8"/>
    <col min="2049" max="2049" width="9.90625" style="8" customWidth="1"/>
    <col min="2050" max="2053" width="8.7265625" style="8"/>
    <col min="2054" max="2054" width="11.54296875" style="8" customWidth="1"/>
    <col min="2055" max="2055" width="11.90625" style="8" customWidth="1"/>
    <col min="2056" max="2056" width="11.54296875" style="8" customWidth="1"/>
    <col min="2057" max="2304" width="8.7265625" style="8"/>
    <col min="2305" max="2305" width="9.90625" style="8" customWidth="1"/>
    <col min="2306" max="2309" width="8.7265625" style="8"/>
    <col min="2310" max="2310" width="11.54296875" style="8" customWidth="1"/>
    <col min="2311" max="2311" width="11.90625" style="8" customWidth="1"/>
    <col min="2312" max="2312" width="11.54296875" style="8" customWidth="1"/>
    <col min="2313" max="2560" width="8.7265625" style="8"/>
    <col min="2561" max="2561" width="9.90625" style="8" customWidth="1"/>
    <col min="2562" max="2565" width="8.7265625" style="8"/>
    <col min="2566" max="2566" width="11.54296875" style="8" customWidth="1"/>
    <col min="2567" max="2567" width="11.90625" style="8" customWidth="1"/>
    <col min="2568" max="2568" width="11.54296875" style="8" customWidth="1"/>
    <col min="2569" max="2816" width="8.7265625" style="8"/>
    <col min="2817" max="2817" width="9.90625" style="8" customWidth="1"/>
    <col min="2818" max="2821" width="8.7265625" style="8"/>
    <col min="2822" max="2822" width="11.54296875" style="8" customWidth="1"/>
    <col min="2823" max="2823" width="11.90625" style="8" customWidth="1"/>
    <col min="2824" max="2824" width="11.54296875" style="8" customWidth="1"/>
    <col min="2825" max="3072" width="8.7265625" style="8"/>
    <col min="3073" max="3073" width="9.90625" style="8" customWidth="1"/>
    <col min="3074" max="3077" width="8.7265625" style="8"/>
    <col min="3078" max="3078" width="11.54296875" style="8" customWidth="1"/>
    <col min="3079" max="3079" width="11.90625" style="8" customWidth="1"/>
    <col min="3080" max="3080" width="11.54296875" style="8" customWidth="1"/>
    <col min="3081" max="3328" width="8.7265625" style="8"/>
    <col min="3329" max="3329" width="9.90625" style="8" customWidth="1"/>
    <col min="3330" max="3333" width="8.7265625" style="8"/>
    <col min="3334" max="3334" width="11.54296875" style="8" customWidth="1"/>
    <col min="3335" max="3335" width="11.90625" style="8" customWidth="1"/>
    <col min="3336" max="3336" width="11.54296875" style="8" customWidth="1"/>
    <col min="3337" max="3584" width="8.7265625" style="8"/>
    <col min="3585" max="3585" width="9.90625" style="8" customWidth="1"/>
    <col min="3586" max="3589" width="8.7265625" style="8"/>
    <col min="3590" max="3590" width="11.54296875" style="8" customWidth="1"/>
    <col min="3591" max="3591" width="11.90625" style="8" customWidth="1"/>
    <col min="3592" max="3592" width="11.54296875" style="8" customWidth="1"/>
    <col min="3593" max="3840" width="8.7265625" style="8"/>
    <col min="3841" max="3841" width="9.90625" style="8" customWidth="1"/>
    <col min="3842" max="3845" width="8.7265625" style="8"/>
    <col min="3846" max="3846" width="11.54296875" style="8" customWidth="1"/>
    <col min="3847" max="3847" width="11.90625" style="8" customWidth="1"/>
    <col min="3848" max="3848" width="11.54296875" style="8" customWidth="1"/>
    <col min="3849" max="4096" width="8.7265625" style="8"/>
    <col min="4097" max="4097" width="9.90625" style="8" customWidth="1"/>
    <col min="4098" max="4101" width="8.7265625" style="8"/>
    <col min="4102" max="4102" width="11.54296875" style="8" customWidth="1"/>
    <col min="4103" max="4103" width="11.90625" style="8" customWidth="1"/>
    <col min="4104" max="4104" width="11.54296875" style="8" customWidth="1"/>
    <col min="4105" max="4352" width="8.7265625" style="8"/>
    <col min="4353" max="4353" width="9.90625" style="8" customWidth="1"/>
    <col min="4354" max="4357" width="8.7265625" style="8"/>
    <col min="4358" max="4358" width="11.54296875" style="8" customWidth="1"/>
    <col min="4359" max="4359" width="11.90625" style="8" customWidth="1"/>
    <col min="4360" max="4360" width="11.54296875" style="8" customWidth="1"/>
    <col min="4361" max="4608" width="8.7265625" style="8"/>
    <col min="4609" max="4609" width="9.90625" style="8" customWidth="1"/>
    <col min="4610" max="4613" width="8.7265625" style="8"/>
    <col min="4614" max="4614" width="11.54296875" style="8" customWidth="1"/>
    <col min="4615" max="4615" width="11.90625" style="8" customWidth="1"/>
    <col min="4616" max="4616" width="11.54296875" style="8" customWidth="1"/>
    <col min="4617" max="4864" width="8.7265625" style="8"/>
    <col min="4865" max="4865" width="9.90625" style="8" customWidth="1"/>
    <col min="4866" max="4869" width="8.7265625" style="8"/>
    <col min="4870" max="4870" width="11.54296875" style="8" customWidth="1"/>
    <col min="4871" max="4871" width="11.90625" style="8" customWidth="1"/>
    <col min="4872" max="4872" width="11.54296875" style="8" customWidth="1"/>
    <col min="4873" max="5120" width="8.7265625" style="8"/>
    <col min="5121" max="5121" width="9.90625" style="8" customWidth="1"/>
    <col min="5122" max="5125" width="8.7265625" style="8"/>
    <col min="5126" max="5126" width="11.54296875" style="8" customWidth="1"/>
    <col min="5127" max="5127" width="11.90625" style="8" customWidth="1"/>
    <col min="5128" max="5128" width="11.54296875" style="8" customWidth="1"/>
    <col min="5129" max="5376" width="8.7265625" style="8"/>
    <col min="5377" max="5377" width="9.90625" style="8" customWidth="1"/>
    <col min="5378" max="5381" width="8.7265625" style="8"/>
    <col min="5382" max="5382" width="11.54296875" style="8" customWidth="1"/>
    <col min="5383" max="5383" width="11.90625" style="8" customWidth="1"/>
    <col min="5384" max="5384" width="11.54296875" style="8" customWidth="1"/>
    <col min="5385" max="5632" width="8.7265625" style="8"/>
    <col min="5633" max="5633" width="9.90625" style="8" customWidth="1"/>
    <col min="5634" max="5637" width="8.7265625" style="8"/>
    <col min="5638" max="5638" width="11.54296875" style="8" customWidth="1"/>
    <col min="5639" max="5639" width="11.90625" style="8" customWidth="1"/>
    <col min="5640" max="5640" width="11.54296875" style="8" customWidth="1"/>
    <col min="5641" max="5888" width="8.7265625" style="8"/>
    <col min="5889" max="5889" width="9.90625" style="8" customWidth="1"/>
    <col min="5890" max="5893" width="8.7265625" style="8"/>
    <col min="5894" max="5894" width="11.54296875" style="8" customWidth="1"/>
    <col min="5895" max="5895" width="11.90625" style="8" customWidth="1"/>
    <col min="5896" max="5896" width="11.54296875" style="8" customWidth="1"/>
    <col min="5897" max="6144" width="8.7265625" style="8"/>
    <col min="6145" max="6145" width="9.90625" style="8" customWidth="1"/>
    <col min="6146" max="6149" width="8.7265625" style="8"/>
    <col min="6150" max="6150" width="11.54296875" style="8" customWidth="1"/>
    <col min="6151" max="6151" width="11.90625" style="8" customWidth="1"/>
    <col min="6152" max="6152" width="11.54296875" style="8" customWidth="1"/>
    <col min="6153" max="6400" width="8.7265625" style="8"/>
    <col min="6401" max="6401" width="9.90625" style="8" customWidth="1"/>
    <col min="6402" max="6405" width="8.7265625" style="8"/>
    <col min="6406" max="6406" width="11.54296875" style="8" customWidth="1"/>
    <col min="6407" max="6407" width="11.90625" style="8" customWidth="1"/>
    <col min="6408" max="6408" width="11.54296875" style="8" customWidth="1"/>
    <col min="6409" max="6656" width="8.7265625" style="8"/>
    <col min="6657" max="6657" width="9.90625" style="8" customWidth="1"/>
    <col min="6658" max="6661" width="8.7265625" style="8"/>
    <col min="6662" max="6662" width="11.54296875" style="8" customWidth="1"/>
    <col min="6663" max="6663" width="11.90625" style="8" customWidth="1"/>
    <col min="6664" max="6664" width="11.54296875" style="8" customWidth="1"/>
    <col min="6665" max="6912" width="8.7265625" style="8"/>
    <col min="6913" max="6913" width="9.90625" style="8" customWidth="1"/>
    <col min="6914" max="6917" width="8.7265625" style="8"/>
    <col min="6918" max="6918" width="11.54296875" style="8" customWidth="1"/>
    <col min="6919" max="6919" width="11.90625" style="8" customWidth="1"/>
    <col min="6920" max="6920" width="11.54296875" style="8" customWidth="1"/>
    <col min="6921" max="7168" width="8.7265625" style="8"/>
    <col min="7169" max="7169" width="9.90625" style="8" customWidth="1"/>
    <col min="7170" max="7173" width="8.7265625" style="8"/>
    <col min="7174" max="7174" width="11.54296875" style="8" customWidth="1"/>
    <col min="7175" max="7175" width="11.90625" style="8" customWidth="1"/>
    <col min="7176" max="7176" width="11.54296875" style="8" customWidth="1"/>
    <col min="7177" max="7424" width="8.7265625" style="8"/>
    <col min="7425" max="7425" width="9.90625" style="8" customWidth="1"/>
    <col min="7426" max="7429" width="8.7265625" style="8"/>
    <col min="7430" max="7430" width="11.54296875" style="8" customWidth="1"/>
    <col min="7431" max="7431" width="11.90625" style="8" customWidth="1"/>
    <col min="7432" max="7432" width="11.54296875" style="8" customWidth="1"/>
    <col min="7433" max="7680" width="8.7265625" style="8"/>
    <col min="7681" max="7681" width="9.90625" style="8" customWidth="1"/>
    <col min="7682" max="7685" width="8.7265625" style="8"/>
    <col min="7686" max="7686" width="11.54296875" style="8" customWidth="1"/>
    <col min="7687" max="7687" width="11.90625" style="8" customWidth="1"/>
    <col min="7688" max="7688" width="11.54296875" style="8" customWidth="1"/>
    <col min="7689" max="7936" width="8.7265625" style="8"/>
    <col min="7937" max="7937" width="9.90625" style="8" customWidth="1"/>
    <col min="7938" max="7941" width="8.7265625" style="8"/>
    <col min="7942" max="7942" width="11.54296875" style="8" customWidth="1"/>
    <col min="7943" max="7943" width="11.90625" style="8" customWidth="1"/>
    <col min="7944" max="7944" width="11.54296875" style="8" customWidth="1"/>
    <col min="7945" max="8192" width="8.7265625" style="8"/>
    <col min="8193" max="8193" width="9.90625" style="8" customWidth="1"/>
    <col min="8194" max="8197" width="8.7265625" style="8"/>
    <col min="8198" max="8198" width="11.54296875" style="8" customWidth="1"/>
    <col min="8199" max="8199" width="11.90625" style="8" customWidth="1"/>
    <col min="8200" max="8200" width="11.54296875" style="8" customWidth="1"/>
    <col min="8201" max="8448" width="8.7265625" style="8"/>
    <col min="8449" max="8449" width="9.90625" style="8" customWidth="1"/>
    <col min="8450" max="8453" width="8.7265625" style="8"/>
    <col min="8454" max="8454" width="11.54296875" style="8" customWidth="1"/>
    <col min="8455" max="8455" width="11.90625" style="8" customWidth="1"/>
    <col min="8456" max="8456" width="11.54296875" style="8" customWidth="1"/>
    <col min="8457" max="8704" width="8.7265625" style="8"/>
    <col min="8705" max="8705" width="9.90625" style="8" customWidth="1"/>
    <col min="8706" max="8709" width="8.7265625" style="8"/>
    <col min="8710" max="8710" width="11.54296875" style="8" customWidth="1"/>
    <col min="8711" max="8711" width="11.90625" style="8" customWidth="1"/>
    <col min="8712" max="8712" width="11.54296875" style="8" customWidth="1"/>
    <col min="8713" max="8960" width="8.7265625" style="8"/>
    <col min="8961" max="8961" width="9.90625" style="8" customWidth="1"/>
    <col min="8962" max="8965" width="8.7265625" style="8"/>
    <col min="8966" max="8966" width="11.54296875" style="8" customWidth="1"/>
    <col min="8967" max="8967" width="11.90625" style="8" customWidth="1"/>
    <col min="8968" max="8968" width="11.54296875" style="8" customWidth="1"/>
    <col min="8969" max="9216" width="8.7265625" style="8"/>
    <col min="9217" max="9217" width="9.90625" style="8" customWidth="1"/>
    <col min="9218" max="9221" width="8.7265625" style="8"/>
    <col min="9222" max="9222" width="11.54296875" style="8" customWidth="1"/>
    <col min="9223" max="9223" width="11.90625" style="8" customWidth="1"/>
    <col min="9224" max="9224" width="11.54296875" style="8" customWidth="1"/>
    <col min="9225" max="9472" width="8.7265625" style="8"/>
    <col min="9473" max="9473" width="9.90625" style="8" customWidth="1"/>
    <col min="9474" max="9477" width="8.7265625" style="8"/>
    <col min="9478" max="9478" width="11.54296875" style="8" customWidth="1"/>
    <col min="9479" max="9479" width="11.90625" style="8" customWidth="1"/>
    <col min="9480" max="9480" width="11.54296875" style="8" customWidth="1"/>
    <col min="9481" max="9728" width="8.7265625" style="8"/>
    <col min="9729" max="9729" width="9.90625" style="8" customWidth="1"/>
    <col min="9730" max="9733" width="8.7265625" style="8"/>
    <col min="9734" max="9734" width="11.54296875" style="8" customWidth="1"/>
    <col min="9735" max="9735" width="11.90625" style="8" customWidth="1"/>
    <col min="9736" max="9736" width="11.54296875" style="8" customWidth="1"/>
    <col min="9737" max="9984" width="8.7265625" style="8"/>
    <col min="9985" max="9985" width="9.90625" style="8" customWidth="1"/>
    <col min="9986" max="9989" width="8.7265625" style="8"/>
    <col min="9990" max="9990" width="11.54296875" style="8" customWidth="1"/>
    <col min="9991" max="9991" width="11.90625" style="8" customWidth="1"/>
    <col min="9992" max="9992" width="11.54296875" style="8" customWidth="1"/>
    <col min="9993" max="10240" width="8.7265625" style="8"/>
    <col min="10241" max="10241" width="9.90625" style="8" customWidth="1"/>
    <col min="10242" max="10245" width="8.7265625" style="8"/>
    <col min="10246" max="10246" width="11.54296875" style="8" customWidth="1"/>
    <col min="10247" max="10247" width="11.90625" style="8" customWidth="1"/>
    <col min="10248" max="10248" width="11.54296875" style="8" customWidth="1"/>
    <col min="10249" max="10496" width="8.7265625" style="8"/>
    <col min="10497" max="10497" width="9.90625" style="8" customWidth="1"/>
    <col min="10498" max="10501" width="8.7265625" style="8"/>
    <col min="10502" max="10502" width="11.54296875" style="8" customWidth="1"/>
    <col min="10503" max="10503" width="11.90625" style="8" customWidth="1"/>
    <col min="10504" max="10504" width="11.54296875" style="8" customWidth="1"/>
    <col min="10505" max="10752" width="8.7265625" style="8"/>
    <col min="10753" max="10753" width="9.90625" style="8" customWidth="1"/>
    <col min="10754" max="10757" width="8.7265625" style="8"/>
    <col min="10758" max="10758" width="11.54296875" style="8" customWidth="1"/>
    <col min="10759" max="10759" width="11.90625" style="8" customWidth="1"/>
    <col min="10760" max="10760" width="11.54296875" style="8" customWidth="1"/>
    <col min="10761" max="11008" width="8.7265625" style="8"/>
    <col min="11009" max="11009" width="9.90625" style="8" customWidth="1"/>
    <col min="11010" max="11013" width="8.7265625" style="8"/>
    <col min="11014" max="11014" width="11.54296875" style="8" customWidth="1"/>
    <col min="11015" max="11015" width="11.90625" style="8" customWidth="1"/>
    <col min="11016" max="11016" width="11.54296875" style="8" customWidth="1"/>
    <col min="11017" max="11264" width="8.7265625" style="8"/>
    <col min="11265" max="11265" width="9.90625" style="8" customWidth="1"/>
    <col min="11266" max="11269" width="8.7265625" style="8"/>
    <col min="11270" max="11270" width="11.54296875" style="8" customWidth="1"/>
    <col min="11271" max="11271" width="11.90625" style="8" customWidth="1"/>
    <col min="11272" max="11272" width="11.54296875" style="8" customWidth="1"/>
    <col min="11273" max="11520" width="8.7265625" style="8"/>
    <col min="11521" max="11521" width="9.90625" style="8" customWidth="1"/>
    <col min="11522" max="11525" width="8.7265625" style="8"/>
    <col min="11526" max="11526" width="11.54296875" style="8" customWidth="1"/>
    <col min="11527" max="11527" width="11.90625" style="8" customWidth="1"/>
    <col min="11528" max="11528" width="11.54296875" style="8" customWidth="1"/>
    <col min="11529" max="11776" width="8.7265625" style="8"/>
    <col min="11777" max="11777" width="9.90625" style="8" customWidth="1"/>
    <col min="11778" max="11781" width="8.7265625" style="8"/>
    <col min="11782" max="11782" width="11.54296875" style="8" customWidth="1"/>
    <col min="11783" max="11783" width="11.90625" style="8" customWidth="1"/>
    <col min="11784" max="11784" width="11.54296875" style="8" customWidth="1"/>
    <col min="11785" max="12032" width="8.7265625" style="8"/>
    <col min="12033" max="12033" width="9.90625" style="8" customWidth="1"/>
    <col min="12034" max="12037" width="8.7265625" style="8"/>
    <col min="12038" max="12038" width="11.54296875" style="8" customWidth="1"/>
    <col min="12039" max="12039" width="11.90625" style="8" customWidth="1"/>
    <col min="12040" max="12040" width="11.54296875" style="8" customWidth="1"/>
    <col min="12041" max="12288" width="8.7265625" style="8"/>
    <col min="12289" max="12289" width="9.90625" style="8" customWidth="1"/>
    <col min="12290" max="12293" width="8.7265625" style="8"/>
    <col min="12294" max="12294" width="11.54296875" style="8" customWidth="1"/>
    <col min="12295" max="12295" width="11.90625" style="8" customWidth="1"/>
    <col min="12296" max="12296" width="11.54296875" style="8" customWidth="1"/>
    <col min="12297" max="12544" width="8.7265625" style="8"/>
    <col min="12545" max="12545" width="9.90625" style="8" customWidth="1"/>
    <col min="12546" max="12549" width="8.7265625" style="8"/>
    <col min="12550" max="12550" width="11.54296875" style="8" customWidth="1"/>
    <col min="12551" max="12551" width="11.90625" style="8" customWidth="1"/>
    <col min="12552" max="12552" width="11.54296875" style="8" customWidth="1"/>
    <col min="12553" max="12800" width="8.7265625" style="8"/>
    <col min="12801" max="12801" width="9.90625" style="8" customWidth="1"/>
    <col min="12802" max="12805" width="8.7265625" style="8"/>
    <col min="12806" max="12806" width="11.54296875" style="8" customWidth="1"/>
    <col min="12807" max="12807" width="11.90625" style="8" customWidth="1"/>
    <col min="12808" max="12808" width="11.54296875" style="8" customWidth="1"/>
    <col min="12809" max="13056" width="8.7265625" style="8"/>
    <col min="13057" max="13057" width="9.90625" style="8" customWidth="1"/>
    <col min="13058" max="13061" width="8.7265625" style="8"/>
    <col min="13062" max="13062" width="11.54296875" style="8" customWidth="1"/>
    <col min="13063" max="13063" width="11.90625" style="8" customWidth="1"/>
    <col min="13064" max="13064" width="11.54296875" style="8" customWidth="1"/>
    <col min="13065" max="13312" width="8.7265625" style="8"/>
    <col min="13313" max="13313" width="9.90625" style="8" customWidth="1"/>
    <col min="13314" max="13317" width="8.7265625" style="8"/>
    <col min="13318" max="13318" width="11.54296875" style="8" customWidth="1"/>
    <col min="13319" max="13319" width="11.90625" style="8" customWidth="1"/>
    <col min="13320" max="13320" width="11.54296875" style="8" customWidth="1"/>
    <col min="13321" max="13568" width="8.7265625" style="8"/>
    <col min="13569" max="13569" width="9.90625" style="8" customWidth="1"/>
    <col min="13570" max="13573" width="8.7265625" style="8"/>
    <col min="13574" max="13574" width="11.54296875" style="8" customWidth="1"/>
    <col min="13575" max="13575" width="11.90625" style="8" customWidth="1"/>
    <col min="13576" max="13576" width="11.54296875" style="8" customWidth="1"/>
    <col min="13577" max="13824" width="8.7265625" style="8"/>
    <col min="13825" max="13825" width="9.90625" style="8" customWidth="1"/>
    <col min="13826" max="13829" width="8.7265625" style="8"/>
    <col min="13830" max="13830" width="11.54296875" style="8" customWidth="1"/>
    <col min="13831" max="13831" width="11.90625" style="8" customWidth="1"/>
    <col min="13832" max="13832" width="11.54296875" style="8" customWidth="1"/>
    <col min="13833" max="14080" width="8.7265625" style="8"/>
    <col min="14081" max="14081" width="9.90625" style="8" customWidth="1"/>
    <col min="14082" max="14085" width="8.7265625" style="8"/>
    <col min="14086" max="14086" width="11.54296875" style="8" customWidth="1"/>
    <col min="14087" max="14087" width="11.90625" style="8" customWidth="1"/>
    <col min="14088" max="14088" width="11.54296875" style="8" customWidth="1"/>
    <col min="14089" max="14336" width="8.7265625" style="8"/>
    <col min="14337" max="14337" width="9.90625" style="8" customWidth="1"/>
    <col min="14338" max="14341" width="8.7265625" style="8"/>
    <col min="14342" max="14342" width="11.54296875" style="8" customWidth="1"/>
    <col min="14343" max="14343" width="11.90625" style="8" customWidth="1"/>
    <col min="14344" max="14344" width="11.54296875" style="8" customWidth="1"/>
    <col min="14345" max="14592" width="8.7265625" style="8"/>
    <col min="14593" max="14593" width="9.90625" style="8" customWidth="1"/>
    <col min="14594" max="14597" width="8.7265625" style="8"/>
    <col min="14598" max="14598" width="11.54296875" style="8" customWidth="1"/>
    <col min="14599" max="14599" width="11.90625" style="8" customWidth="1"/>
    <col min="14600" max="14600" width="11.54296875" style="8" customWidth="1"/>
    <col min="14601" max="14848" width="8.7265625" style="8"/>
    <col min="14849" max="14849" width="9.90625" style="8" customWidth="1"/>
    <col min="14850" max="14853" width="8.7265625" style="8"/>
    <col min="14854" max="14854" width="11.54296875" style="8" customWidth="1"/>
    <col min="14855" max="14855" width="11.90625" style="8" customWidth="1"/>
    <col min="14856" max="14856" width="11.54296875" style="8" customWidth="1"/>
    <col min="14857" max="15104" width="8.7265625" style="8"/>
    <col min="15105" max="15105" width="9.90625" style="8" customWidth="1"/>
    <col min="15106" max="15109" width="8.7265625" style="8"/>
    <col min="15110" max="15110" width="11.54296875" style="8" customWidth="1"/>
    <col min="15111" max="15111" width="11.90625" style="8" customWidth="1"/>
    <col min="15112" max="15112" width="11.54296875" style="8" customWidth="1"/>
    <col min="15113" max="15360" width="8.7265625" style="8"/>
    <col min="15361" max="15361" width="9.90625" style="8" customWidth="1"/>
    <col min="15362" max="15365" width="8.7265625" style="8"/>
    <col min="15366" max="15366" width="11.54296875" style="8" customWidth="1"/>
    <col min="15367" max="15367" width="11.90625" style="8" customWidth="1"/>
    <col min="15368" max="15368" width="11.54296875" style="8" customWidth="1"/>
    <col min="15369" max="15616" width="8.7265625" style="8"/>
    <col min="15617" max="15617" width="9.90625" style="8" customWidth="1"/>
    <col min="15618" max="15621" width="8.7265625" style="8"/>
    <col min="15622" max="15622" width="11.54296875" style="8" customWidth="1"/>
    <col min="15623" max="15623" width="11.90625" style="8" customWidth="1"/>
    <col min="15624" max="15624" width="11.54296875" style="8" customWidth="1"/>
    <col min="15625" max="15872" width="8.7265625" style="8"/>
    <col min="15873" max="15873" width="9.90625" style="8" customWidth="1"/>
    <col min="15874" max="15877" width="8.7265625" style="8"/>
    <col min="15878" max="15878" width="11.54296875" style="8" customWidth="1"/>
    <col min="15879" max="15879" width="11.90625" style="8" customWidth="1"/>
    <col min="15880" max="15880" width="11.54296875" style="8" customWidth="1"/>
    <col min="15881" max="16128" width="8.7265625" style="8"/>
    <col min="16129" max="16129" width="9.90625" style="8" customWidth="1"/>
    <col min="16130" max="16133" width="8.7265625" style="8"/>
    <col min="16134" max="16134" width="11.54296875" style="8" customWidth="1"/>
    <col min="16135" max="16135" width="11.90625" style="8" customWidth="1"/>
    <col min="16136" max="16136" width="11.54296875" style="8" customWidth="1"/>
    <col min="16137" max="16384" width="8.7265625" style="8"/>
  </cols>
  <sheetData>
    <row r="1" spans="1:10" x14ac:dyDescent="0.25">
      <c r="A1" s="335" t="s">
        <v>14</v>
      </c>
      <c r="B1" s="335"/>
      <c r="C1" s="335"/>
      <c r="D1" s="335"/>
      <c r="E1" s="335"/>
      <c r="F1" s="335"/>
      <c r="G1" s="335"/>
      <c r="H1" s="335"/>
      <c r="I1" s="335"/>
      <c r="J1" s="335"/>
    </row>
    <row r="2" spans="1:10" x14ac:dyDescent="0.25">
      <c r="A2" s="75" t="s">
        <v>108</v>
      </c>
      <c r="B2" s="75"/>
      <c r="C2" s="5"/>
      <c r="D2" s="5"/>
      <c r="E2" s="5"/>
      <c r="F2" s="7"/>
      <c r="G2" s="7"/>
      <c r="H2" s="7"/>
      <c r="J2" s="49" t="s">
        <v>16</v>
      </c>
    </row>
    <row r="3" spans="1:10" x14ac:dyDescent="0.25">
      <c r="A3" s="16" t="s">
        <v>109</v>
      </c>
      <c r="B3" s="16"/>
      <c r="C3" s="16"/>
      <c r="D3" s="16"/>
      <c r="E3" s="16"/>
      <c r="F3" s="7"/>
      <c r="G3" s="7"/>
      <c r="H3" s="7"/>
      <c r="I3" s="5"/>
      <c r="J3" s="16"/>
    </row>
    <row r="4" spans="1:10" x14ac:dyDescent="0.25">
      <c r="A4" s="71" t="s">
        <v>110</v>
      </c>
      <c r="B4" s="71"/>
      <c r="C4" s="71"/>
      <c r="D4" s="71"/>
      <c r="E4" s="71"/>
      <c r="F4" s="65"/>
      <c r="G4" s="65"/>
      <c r="H4" s="65"/>
    </row>
    <row r="5" spans="1:10" x14ac:dyDescent="0.25">
      <c r="A5" s="72" t="s">
        <v>111</v>
      </c>
      <c r="B5" s="72"/>
      <c r="C5" s="72"/>
      <c r="D5" s="72"/>
      <c r="E5" s="72"/>
      <c r="F5" s="7"/>
      <c r="G5" s="7"/>
      <c r="H5" s="7"/>
      <c r="J5" s="7"/>
    </row>
    <row r="6" spans="1:10" x14ac:dyDescent="0.25">
      <c r="A6" s="52" t="s">
        <v>112</v>
      </c>
      <c r="B6" s="52"/>
      <c r="C6" s="52"/>
      <c r="D6" s="52"/>
      <c r="E6" s="52"/>
      <c r="F6" s="7"/>
      <c r="G6" s="7"/>
      <c r="H6" s="7"/>
      <c r="J6" s="7"/>
    </row>
    <row r="7" spans="1:10" ht="13.3" x14ac:dyDescent="0.3">
      <c r="A7" s="73" t="s">
        <v>113</v>
      </c>
      <c r="B7" s="73"/>
      <c r="C7" s="73"/>
      <c r="D7" s="73"/>
      <c r="E7" s="73"/>
      <c r="F7" s="7"/>
      <c r="G7" s="7"/>
      <c r="H7" s="7"/>
      <c r="I7" s="16" t="s">
        <v>114</v>
      </c>
      <c r="J7" s="7"/>
    </row>
    <row r="8" spans="1:10" x14ac:dyDescent="0.25">
      <c r="A8" s="5"/>
      <c r="B8" s="5"/>
      <c r="C8" s="5"/>
      <c r="D8" s="5"/>
      <c r="E8" s="5"/>
      <c r="F8" s="7"/>
      <c r="G8" s="7"/>
      <c r="H8" s="7"/>
      <c r="I8" s="7"/>
      <c r="J8" s="7"/>
    </row>
    <row r="9" spans="1:10" ht="12.75" customHeight="1" x14ac:dyDescent="0.25">
      <c r="A9" s="55" t="s">
        <v>26</v>
      </c>
      <c r="B9" s="55" t="s">
        <v>115</v>
      </c>
      <c r="C9" s="55" t="s">
        <v>116</v>
      </c>
      <c r="D9" s="55" t="s">
        <v>117</v>
      </c>
      <c r="E9" s="55" t="s">
        <v>118</v>
      </c>
      <c r="F9" s="55" t="s">
        <v>119</v>
      </c>
      <c r="G9" s="55" t="s">
        <v>120</v>
      </c>
      <c r="H9" s="55" t="s">
        <v>121</v>
      </c>
      <c r="I9" s="56" t="s">
        <v>58</v>
      </c>
      <c r="J9" s="55" t="s">
        <v>25</v>
      </c>
    </row>
    <row r="10" spans="1:10" x14ac:dyDescent="0.25">
      <c r="A10" s="74">
        <v>41072</v>
      </c>
      <c r="B10" s="74" t="s">
        <v>62</v>
      </c>
      <c r="C10" s="57">
        <v>3</v>
      </c>
      <c r="D10" s="57">
        <v>4</v>
      </c>
      <c r="E10" s="57">
        <v>1</v>
      </c>
      <c r="F10" s="59">
        <v>11.702</v>
      </c>
      <c r="G10" s="59">
        <v>16.375</v>
      </c>
      <c r="H10" s="59">
        <f>G10-F10</f>
        <v>4.673</v>
      </c>
      <c r="I10" s="60">
        <v>1211</v>
      </c>
      <c r="J10" s="61"/>
    </row>
    <row r="11" spans="1:10" x14ac:dyDescent="0.25">
      <c r="A11" s="74">
        <v>41580</v>
      </c>
      <c r="B11" s="74" t="s">
        <v>62</v>
      </c>
      <c r="C11" s="57"/>
      <c r="D11" s="57"/>
      <c r="E11" s="57">
        <v>1</v>
      </c>
      <c r="F11" s="59"/>
      <c r="G11" s="59"/>
      <c r="H11" s="59">
        <v>15.875999999999999</v>
      </c>
      <c r="I11" s="351">
        <v>1211</v>
      </c>
      <c r="J11" s="61"/>
    </row>
    <row r="12" spans="1:10" x14ac:dyDescent="0.25">
      <c r="A12" s="74"/>
      <c r="B12" s="74" t="s">
        <v>63</v>
      </c>
      <c r="C12" s="57"/>
      <c r="D12" s="57"/>
      <c r="E12" s="57">
        <v>1</v>
      </c>
      <c r="F12" s="59"/>
      <c r="G12" s="59"/>
      <c r="H12" s="59">
        <v>15.738</v>
      </c>
      <c r="I12" s="352"/>
      <c r="J12" s="61"/>
    </row>
    <row r="13" spans="1:10" x14ac:dyDescent="0.25">
      <c r="A13" s="74"/>
      <c r="B13" s="74" t="s">
        <v>64</v>
      </c>
      <c r="C13" s="57"/>
      <c r="D13" s="57"/>
      <c r="E13" s="57">
        <v>-2</v>
      </c>
      <c r="F13" s="59"/>
      <c r="G13" s="59"/>
      <c r="H13" s="59">
        <v>15.403</v>
      </c>
      <c r="I13" s="353"/>
      <c r="J13" s="61"/>
    </row>
    <row r="14" spans="1:10" x14ac:dyDescent="0.25">
      <c r="A14" s="57" t="s">
        <v>61</v>
      </c>
      <c r="B14" s="57"/>
      <c r="C14" s="57"/>
      <c r="D14" s="57"/>
      <c r="E14" s="57"/>
      <c r="F14" s="59"/>
      <c r="G14" s="59"/>
      <c r="H14" s="59"/>
      <c r="I14" s="60"/>
      <c r="J14" s="61"/>
    </row>
    <row r="15" spans="1:10" x14ac:dyDescent="0.25">
      <c r="A15" s="57" t="s">
        <v>61</v>
      </c>
      <c r="B15" s="57"/>
      <c r="C15" s="57"/>
      <c r="D15" s="57"/>
      <c r="E15" s="57"/>
      <c r="F15" s="59"/>
      <c r="G15" s="59"/>
      <c r="H15" s="59"/>
      <c r="I15" s="60"/>
      <c r="J15" s="61"/>
    </row>
    <row r="16" spans="1:10" x14ac:dyDescent="0.25">
      <c r="A16" s="57" t="s">
        <v>61</v>
      </c>
      <c r="B16" s="57"/>
      <c r="C16" s="57"/>
      <c r="D16" s="57"/>
      <c r="E16" s="57"/>
      <c r="F16" s="59"/>
      <c r="G16" s="59"/>
      <c r="H16" s="59"/>
      <c r="I16" s="60"/>
      <c r="J16" s="61"/>
    </row>
    <row r="17" spans="1:10" x14ac:dyDescent="0.25">
      <c r="A17" s="57" t="s">
        <v>61</v>
      </c>
      <c r="B17" s="57"/>
      <c r="C17" s="57"/>
      <c r="D17" s="57"/>
      <c r="E17" s="57"/>
      <c r="F17" s="59"/>
      <c r="G17" s="59"/>
      <c r="H17" s="59"/>
      <c r="I17" s="60"/>
      <c r="J17" s="61"/>
    </row>
    <row r="18" spans="1:10" x14ac:dyDescent="0.25">
      <c r="A18" s="57" t="s">
        <v>61</v>
      </c>
      <c r="B18" s="57"/>
      <c r="C18" s="57"/>
      <c r="D18" s="57"/>
      <c r="E18" s="57"/>
      <c r="F18" s="59"/>
      <c r="G18" s="59"/>
      <c r="H18" s="59"/>
      <c r="I18" s="60"/>
      <c r="J18" s="61"/>
    </row>
    <row r="19" spans="1:10" x14ac:dyDescent="0.25">
      <c r="A19" s="57" t="s">
        <v>61</v>
      </c>
      <c r="B19" s="57"/>
      <c r="C19" s="57"/>
      <c r="D19" s="57"/>
      <c r="E19" s="57"/>
      <c r="F19" s="59"/>
      <c r="G19" s="59"/>
      <c r="H19" s="59"/>
      <c r="I19" s="60"/>
      <c r="J19" s="61"/>
    </row>
    <row r="20" spans="1:10" x14ac:dyDescent="0.25">
      <c r="A20" s="57" t="s">
        <v>61</v>
      </c>
      <c r="B20" s="57"/>
      <c r="C20" s="57"/>
      <c r="D20" s="57"/>
      <c r="E20" s="57"/>
      <c r="F20" s="59"/>
      <c r="G20" s="59"/>
      <c r="H20" s="59"/>
      <c r="I20" s="60"/>
      <c r="J20" s="61"/>
    </row>
    <row r="21" spans="1:10" x14ac:dyDescent="0.25">
      <c r="A21" s="57" t="s">
        <v>61</v>
      </c>
      <c r="B21" s="57"/>
      <c r="C21" s="57"/>
      <c r="D21" s="57"/>
      <c r="E21" s="57"/>
      <c r="F21" s="59"/>
      <c r="G21" s="59"/>
      <c r="H21" s="59"/>
      <c r="I21" s="60"/>
      <c r="J21" s="61"/>
    </row>
    <row r="22" spans="1:10" x14ac:dyDescent="0.25">
      <c r="A22" s="57" t="s">
        <v>61</v>
      </c>
      <c r="B22" s="57"/>
      <c r="C22" s="57"/>
      <c r="D22" s="57"/>
      <c r="E22" s="57"/>
      <c r="F22" s="59"/>
      <c r="G22" s="59"/>
      <c r="H22" s="59"/>
      <c r="I22" s="60"/>
      <c r="J22" s="61"/>
    </row>
    <row r="23" spans="1:10" x14ac:dyDescent="0.25">
      <c r="A23" s="57" t="s">
        <v>61</v>
      </c>
      <c r="B23" s="57"/>
      <c r="C23" s="57"/>
      <c r="D23" s="57"/>
      <c r="E23" s="57"/>
      <c r="F23" s="59"/>
      <c r="G23" s="59"/>
      <c r="H23" s="59"/>
      <c r="I23" s="60"/>
      <c r="J23" s="61"/>
    </row>
    <row r="24" spans="1:10" x14ac:dyDescent="0.25">
      <c r="A24" s="57" t="s">
        <v>61</v>
      </c>
      <c r="B24" s="57"/>
      <c r="C24" s="57"/>
      <c r="D24" s="57"/>
      <c r="E24" s="57"/>
      <c r="F24" s="59"/>
      <c r="G24" s="59"/>
      <c r="H24" s="59"/>
      <c r="I24" s="60"/>
      <c r="J24" s="61"/>
    </row>
    <row r="25" spans="1:10" x14ac:dyDescent="0.25">
      <c r="A25" s="57" t="s">
        <v>61</v>
      </c>
      <c r="B25" s="57"/>
      <c r="C25" s="57"/>
      <c r="D25" s="57"/>
      <c r="E25" s="57"/>
      <c r="F25" s="59"/>
      <c r="G25" s="59"/>
      <c r="H25" s="59"/>
      <c r="I25" s="60"/>
      <c r="J25" s="61"/>
    </row>
    <row r="26" spans="1:10" x14ac:dyDescent="0.25">
      <c r="A26" s="57" t="s">
        <v>61</v>
      </c>
      <c r="B26" s="57"/>
      <c r="C26" s="57"/>
      <c r="D26" s="57"/>
      <c r="E26" s="57"/>
      <c r="F26" s="59"/>
      <c r="G26" s="59"/>
      <c r="H26" s="59"/>
      <c r="I26" s="60"/>
      <c r="J26" s="61"/>
    </row>
    <row r="27" spans="1:10" x14ac:dyDescent="0.25">
      <c r="A27" s="57" t="s">
        <v>61</v>
      </c>
      <c r="B27" s="57"/>
      <c r="C27" s="57"/>
      <c r="D27" s="57"/>
      <c r="E27" s="57"/>
      <c r="F27" s="59"/>
      <c r="G27" s="59"/>
      <c r="H27" s="59"/>
      <c r="I27" s="60"/>
      <c r="J27" s="61"/>
    </row>
    <row r="28" spans="1:10" x14ac:dyDescent="0.25">
      <c r="A28" s="57" t="s">
        <v>61</v>
      </c>
      <c r="B28" s="57"/>
      <c r="C28" s="57"/>
      <c r="D28" s="57"/>
      <c r="E28" s="57"/>
      <c r="F28" s="59"/>
      <c r="G28" s="59"/>
      <c r="H28" s="59"/>
      <c r="I28" s="60"/>
      <c r="J28" s="61"/>
    </row>
    <row r="29" spans="1:10" x14ac:dyDescent="0.25">
      <c r="A29" s="57" t="s">
        <v>61</v>
      </c>
      <c r="B29" s="57"/>
      <c r="C29" s="57"/>
      <c r="D29" s="57"/>
      <c r="E29" s="57"/>
      <c r="F29" s="59"/>
      <c r="G29" s="59"/>
      <c r="H29" s="59"/>
      <c r="I29" s="60"/>
      <c r="J29" s="61"/>
    </row>
    <row r="30" spans="1:10" x14ac:dyDescent="0.25">
      <c r="A30" s="57" t="s">
        <v>61</v>
      </c>
      <c r="B30" s="57"/>
      <c r="C30" s="57"/>
      <c r="D30" s="57"/>
      <c r="E30" s="57"/>
      <c r="F30" s="59"/>
      <c r="G30" s="59"/>
      <c r="H30" s="59"/>
      <c r="I30" s="60"/>
      <c r="J30" s="61"/>
    </row>
    <row r="31" spans="1:10" x14ac:dyDescent="0.25">
      <c r="A31" s="57" t="s">
        <v>61</v>
      </c>
      <c r="B31" s="57"/>
      <c r="C31" s="57"/>
      <c r="D31" s="57"/>
      <c r="E31" s="57"/>
      <c r="F31" s="59"/>
      <c r="G31" s="59"/>
      <c r="H31" s="59"/>
      <c r="I31" s="60"/>
      <c r="J31" s="61"/>
    </row>
    <row r="32" spans="1:10" x14ac:dyDescent="0.25">
      <c r="A32" s="57" t="s">
        <v>61</v>
      </c>
      <c r="B32" s="57"/>
      <c r="C32" s="57"/>
      <c r="D32" s="57"/>
      <c r="E32" s="57"/>
      <c r="F32" s="59"/>
      <c r="G32" s="59"/>
      <c r="H32" s="59"/>
      <c r="I32" s="60"/>
      <c r="J32" s="61"/>
    </row>
    <row r="33" spans="1:10" x14ac:dyDescent="0.25">
      <c r="A33" s="57" t="s">
        <v>61</v>
      </c>
      <c r="B33" s="57"/>
      <c r="C33" s="57"/>
      <c r="D33" s="57"/>
      <c r="E33" s="57"/>
      <c r="F33" s="59"/>
      <c r="G33" s="59"/>
      <c r="H33" s="59"/>
      <c r="I33" s="60"/>
      <c r="J33" s="61"/>
    </row>
    <row r="34" spans="1:10" x14ac:dyDescent="0.25">
      <c r="A34" s="57" t="s">
        <v>61</v>
      </c>
      <c r="B34" s="57"/>
      <c r="C34" s="57"/>
      <c r="D34" s="57"/>
      <c r="E34" s="57"/>
      <c r="F34" s="59"/>
      <c r="G34" s="59"/>
      <c r="H34" s="59"/>
      <c r="I34" s="60"/>
      <c r="J34" s="61"/>
    </row>
    <row r="35" spans="1:10" x14ac:dyDescent="0.25">
      <c r="A35" s="57" t="s">
        <v>61</v>
      </c>
      <c r="B35" s="57"/>
      <c r="C35" s="57"/>
      <c r="D35" s="57"/>
      <c r="E35" s="57"/>
      <c r="F35" s="59"/>
      <c r="G35" s="59"/>
      <c r="H35" s="59"/>
      <c r="I35" s="60"/>
      <c r="J35" s="61"/>
    </row>
    <row r="36" spans="1:10" x14ac:dyDescent="0.25">
      <c r="A36" s="57" t="s">
        <v>61</v>
      </c>
      <c r="B36" s="57"/>
      <c r="C36" s="57"/>
      <c r="D36" s="57"/>
      <c r="E36" s="57"/>
      <c r="F36" s="59"/>
      <c r="G36" s="59"/>
      <c r="H36" s="59"/>
      <c r="I36" s="60"/>
      <c r="J36" s="61"/>
    </row>
    <row r="37" spans="1:10" x14ac:dyDescent="0.25">
      <c r="A37" s="57" t="s">
        <v>61</v>
      </c>
      <c r="B37" s="57"/>
      <c r="C37" s="57"/>
      <c r="D37" s="57"/>
      <c r="E37" s="57"/>
      <c r="F37" s="59"/>
      <c r="G37" s="59"/>
      <c r="H37" s="59"/>
      <c r="I37" s="60"/>
      <c r="J37" s="61"/>
    </row>
    <row r="38" spans="1:10" x14ac:dyDescent="0.25">
      <c r="A38" s="57" t="s">
        <v>61</v>
      </c>
      <c r="B38" s="57"/>
      <c r="C38" s="57"/>
      <c r="D38" s="57"/>
      <c r="E38" s="57"/>
      <c r="F38" s="59"/>
      <c r="G38" s="59"/>
      <c r="H38" s="59"/>
      <c r="I38" s="60"/>
      <c r="J38" s="61"/>
    </row>
    <row r="39" spans="1:10" x14ac:dyDescent="0.25">
      <c r="A39" s="57" t="s">
        <v>61</v>
      </c>
      <c r="B39" s="57"/>
      <c r="C39" s="57"/>
      <c r="D39" s="57"/>
      <c r="E39" s="57"/>
      <c r="F39" s="59"/>
      <c r="G39" s="59"/>
      <c r="H39" s="59"/>
      <c r="I39" s="60"/>
      <c r="J39" s="61"/>
    </row>
    <row r="40" spans="1:10" x14ac:dyDescent="0.25">
      <c r="A40" s="57" t="s">
        <v>61</v>
      </c>
      <c r="B40" s="57"/>
      <c r="C40" s="57"/>
      <c r="D40" s="57"/>
      <c r="E40" s="57"/>
      <c r="F40" s="59"/>
      <c r="G40" s="59"/>
      <c r="H40" s="59"/>
      <c r="I40" s="60"/>
      <c r="J40" s="61"/>
    </row>
    <row r="41" spans="1:10" x14ac:dyDescent="0.25">
      <c r="A41" s="57" t="s">
        <v>61</v>
      </c>
      <c r="B41" s="57"/>
      <c r="C41" s="57"/>
      <c r="D41" s="57"/>
      <c r="E41" s="57"/>
      <c r="F41" s="59"/>
      <c r="G41" s="59"/>
      <c r="H41" s="59"/>
      <c r="I41" s="60"/>
      <c r="J41" s="61"/>
    </row>
    <row r="42" spans="1:10" x14ac:dyDescent="0.25">
      <c r="A42" s="57" t="s">
        <v>61</v>
      </c>
      <c r="B42" s="57"/>
      <c r="C42" s="57"/>
      <c r="D42" s="57"/>
      <c r="E42" s="57"/>
      <c r="F42" s="59"/>
      <c r="G42" s="59"/>
      <c r="H42" s="59"/>
      <c r="I42" s="60"/>
      <c r="J42" s="61"/>
    </row>
    <row r="43" spans="1:10" x14ac:dyDescent="0.25">
      <c r="A43" s="57" t="s">
        <v>61</v>
      </c>
      <c r="B43" s="57"/>
      <c r="C43" s="57"/>
      <c r="D43" s="57"/>
      <c r="E43" s="57"/>
      <c r="F43" s="59"/>
      <c r="G43" s="59"/>
      <c r="H43" s="59"/>
      <c r="I43" s="60"/>
      <c r="J43" s="61"/>
    </row>
    <row r="44" spans="1:10" x14ac:dyDescent="0.25">
      <c r="A44" s="57" t="s">
        <v>61</v>
      </c>
      <c r="B44" s="57"/>
      <c r="C44" s="57"/>
      <c r="D44" s="57"/>
      <c r="E44" s="57"/>
      <c r="F44" s="59"/>
      <c r="G44" s="59"/>
      <c r="H44" s="59"/>
      <c r="I44" s="60"/>
      <c r="J44" s="61"/>
    </row>
    <row r="45" spans="1:10" x14ac:dyDescent="0.25">
      <c r="A45" s="57" t="s">
        <v>61</v>
      </c>
      <c r="B45" s="57"/>
      <c r="C45" s="57"/>
      <c r="D45" s="57"/>
      <c r="E45" s="57"/>
      <c r="F45" s="59"/>
      <c r="G45" s="59"/>
      <c r="H45" s="59"/>
      <c r="I45" s="60"/>
      <c r="J45" s="61"/>
    </row>
    <row r="46" spans="1:10" x14ac:dyDescent="0.25">
      <c r="A46" s="57" t="s">
        <v>61</v>
      </c>
      <c r="B46" s="57"/>
      <c r="C46" s="57"/>
      <c r="D46" s="57"/>
      <c r="E46" s="57"/>
      <c r="F46" s="59"/>
      <c r="G46" s="59"/>
      <c r="H46" s="59"/>
      <c r="I46" s="60"/>
      <c r="J46" s="61"/>
    </row>
    <row r="47" spans="1:10" x14ac:dyDescent="0.25">
      <c r="A47" s="57" t="s">
        <v>61</v>
      </c>
      <c r="B47" s="57"/>
      <c r="C47" s="57"/>
      <c r="D47" s="57"/>
      <c r="E47" s="57"/>
      <c r="F47" s="59"/>
      <c r="G47" s="59"/>
      <c r="H47" s="59"/>
      <c r="I47" s="60"/>
      <c r="J47" s="61"/>
    </row>
    <row r="48" spans="1:10" x14ac:dyDescent="0.25">
      <c r="A48" s="57" t="s">
        <v>61</v>
      </c>
      <c r="B48" s="57"/>
      <c r="C48" s="57"/>
      <c r="D48" s="57"/>
      <c r="E48" s="57"/>
      <c r="F48" s="59"/>
      <c r="G48" s="59"/>
      <c r="H48" s="59"/>
      <c r="I48" s="60"/>
      <c r="J48" s="61"/>
    </row>
    <row r="49" spans="1:10" x14ac:dyDescent="0.25">
      <c r="A49" s="57" t="s">
        <v>61</v>
      </c>
      <c r="B49" s="57"/>
      <c r="C49" s="57"/>
      <c r="D49" s="57"/>
      <c r="E49" s="57"/>
      <c r="F49" s="59"/>
      <c r="G49" s="59"/>
      <c r="H49" s="59"/>
      <c r="I49" s="60"/>
      <c r="J49" s="61"/>
    </row>
    <row r="50" spans="1:10" x14ac:dyDescent="0.25">
      <c r="A50" s="57" t="s">
        <v>61</v>
      </c>
      <c r="B50" s="57"/>
      <c r="C50" s="57"/>
      <c r="D50" s="57"/>
      <c r="E50" s="57"/>
      <c r="F50" s="59"/>
      <c r="G50" s="59"/>
      <c r="H50" s="59"/>
      <c r="I50" s="60"/>
      <c r="J50" s="61"/>
    </row>
    <row r="51" spans="1:10" x14ac:dyDescent="0.25">
      <c r="A51" s="57" t="s">
        <v>61</v>
      </c>
      <c r="B51" s="57"/>
      <c r="C51" s="57"/>
      <c r="D51" s="57"/>
      <c r="E51" s="57"/>
      <c r="F51" s="59"/>
      <c r="G51" s="59"/>
      <c r="H51" s="59"/>
      <c r="I51" s="60"/>
      <c r="J51" s="61"/>
    </row>
    <row r="52" spans="1:10" x14ac:dyDescent="0.25">
      <c r="A52" s="57" t="s">
        <v>61</v>
      </c>
      <c r="B52" s="57"/>
      <c r="C52" s="57"/>
      <c r="D52" s="57"/>
      <c r="E52" s="57"/>
      <c r="F52" s="59"/>
      <c r="G52" s="59"/>
      <c r="H52" s="59"/>
      <c r="I52" s="60"/>
      <c r="J52" s="61"/>
    </row>
    <row r="53" spans="1:10" x14ac:dyDescent="0.25">
      <c r="A53" s="57" t="s">
        <v>61</v>
      </c>
      <c r="B53" s="57"/>
      <c r="C53" s="57"/>
      <c r="D53" s="57"/>
      <c r="E53" s="57"/>
      <c r="F53" s="59"/>
      <c r="G53" s="59"/>
      <c r="H53" s="59"/>
      <c r="I53" s="60"/>
      <c r="J53" s="61"/>
    </row>
    <row r="54" spans="1:10" x14ac:dyDescent="0.25">
      <c r="A54" s="57" t="s">
        <v>61</v>
      </c>
      <c r="B54" s="57"/>
      <c r="C54" s="57"/>
      <c r="D54" s="57"/>
      <c r="E54" s="57"/>
      <c r="F54" s="59"/>
      <c r="G54" s="59"/>
      <c r="H54" s="59"/>
      <c r="I54" s="60"/>
      <c r="J54" s="61"/>
    </row>
    <row r="55" spans="1:10" x14ac:dyDescent="0.25">
      <c r="A55" s="57" t="s">
        <v>61</v>
      </c>
      <c r="B55" s="57"/>
      <c r="C55" s="57"/>
      <c r="D55" s="57"/>
      <c r="E55" s="57"/>
      <c r="F55" s="59"/>
      <c r="G55" s="59"/>
      <c r="H55" s="59"/>
      <c r="I55" s="60"/>
      <c r="J55" s="61"/>
    </row>
    <row r="56" spans="1:10" x14ac:dyDescent="0.25">
      <c r="A56" s="57" t="s">
        <v>61</v>
      </c>
      <c r="B56" s="57"/>
      <c r="C56" s="57"/>
      <c r="D56" s="57"/>
      <c r="E56" s="57"/>
      <c r="F56" s="59"/>
      <c r="G56" s="59"/>
      <c r="H56" s="59"/>
      <c r="I56" s="60"/>
      <c r="J56" s="61"/>
    </row>
    <row r="57" spans="1:10" x14ac:dyDescent="0.25">
      <c r="A57" s="57" t="s">
        <v>61</v>
      </c>
      <c r="B57" s="57"/>
      <c r="C57" s="57"/>
      <c r="D57" s="57"/>
      <c r="E57" s="57"/>
      <c r="F57" s="59"/>
      <c r="G57" s="59"/>
      <c r="H57" s="59"/>
      <c r="I57" s="60"/>
      <c r="J57" s="61"/>
    </row>
    <row r="58" spans="1:10" x14ac:dyDescent="0.25">
      <c r="A58" s="57" t="s">
        <v>61</v>
      </c>
      <c r="B58" s="57"/>
      <c r="C58" s="57"/>
      <c r="D58" s="57"/>
      <c r="E58" s="57"/>
      <c r="F58" s="59"/>
      <c r="G58" s="59"/>
      <c r="H58" s="59"/>
      <c r="I58" s="60"/>
      <c r="J58" s="61"/>
    </row>
    <row r="59" spans="1:10" x14ac:dyDescent="0.25">
      <c r="A59" s="57" t="s">
        <v>61</v>
      </c>
      <c r="B59" s="57"/>
      <c r="C59" s="57"/>
      <c r="D59" s="57"/>
      <c r="E59" s="57"/>
      <c r="F59" s="59"/>
      <c r="G59" s="59"/>
      <c r="H59" s="59"/>
      <c r="I59" s="60"/>
      <c r="J59" s="61"/>
    </row>
  </sheetData>
  <mergeCells count="2">
    <mergeCell ref="A1:J1"/>
    <mergeCell ref="I11:I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0"/>
  <sheetViews>
    <sheetView zoomScale="75" zoomScaleNormal="75" workbookViewId="0">
      <selection activeCell="K21" sqref="K21"/>
    </sheetView>
  </sheetViews>
  <sheetFormatPr defaultColWidth="8.26953125" defaultRowHeight="13.3" x14ac:dyDescent="0.3"/>
  <cols>
    <col min="1" max="1" width="11.54296875" style="76" customWidth="1"/>
    <col min="2" max="3" width="4.6328125" style="76" customWidth="1"/>
    <col min="4" max="5" width="6.453125" style="76" bestFit="1" customWidth="1"/>
    <col min="6" max="6" width="7.36328125" style="76" bestFit="1" customWidth="1"/>
    <col min="7" max="8" width="6.453125" style="76" bestFit="1" customWidth="1"/>
    <col min="9" max="9" width="7.36328125" style="76" bestFit="1" customWidth="1"/>
    <col min="10" max="11" width="6.453125" style="76" bestFit="1" customWidth="1"/>
    <col min="12" max="12" width="7.36328125" style="76" bestFit="1" customWidth="1"/>
    <col min="13" max="14" width="0" style="76" hidden="1" customWidth="1"/>
    <col min="15" max="15" width="10" style="76" customWidth="1"/>
    <col min="16" max="16" width="8.453125" style="76" bestFit="1" customWidth="1"/>
    <col min="17" max="17" width="6.7265625" style="76" bestFit="1" customWidth="1"/>
    <col min="18" max="18" width="0" style="76" hidden="1" customWidth="1"/>
    <col min="19" max="19" width="9.1796875" style="76" customWidth="1"/>
    <col min="20" max="20" width="0" style="76" hidden="1" customWidth="1"/>
    <col min="21" max="21" width="8.26953125" style="76" bestFit="1" customWidth="1"/>
    <col min="22" max="22" width="5.36328125" style="76" bestFit="1" customWidth="1"/>
    <col min="23" max="23" width="13.6328125" style="76" customWidth="1"/>
    <col min="24" max="26" width="4.453125" style="110" bestFit="1" customWidth="1"/>
    <col min="27" max="27" width="5.453125" style="76" bestFit="1" customWidth="1"/>
    <col min="28" max="28" width="7.6328125" style="76" bestFit="1" customWidth="1"/>
    <col min="29" max="29" width="8.1796875" style="76" bestFit="1" customWidth="1"/>
    <col min="30" max="30" width="6.7265625" style="76" customWidth="1"/>
    <col min="31" max="31" width="12.36328125" style="76" customWidth="1"/>
    <col min="32" max="32" width="33.90625" style="76" customWidth="1"/>
    <col min="33" max="256" width="8.26953125" style="76"/>
    <col min="257" max="257" width="11.54296875" style="76" customWidth="1"/>
    <col min="258" max="259" width="4.6328125" style="76" customWidth="1"/>
    <col min="260" max="261" width="6.453125" style="76" bestFit="1" customWidth="1"/>
    <col min="262" max="262" width="7.36328125" style="76" bestFit="1" customWidth="1"/>
    <col min="263" max="264" width="6.453125" style="76" bestFit="1" customWidth="1"/>
    <col min="265" max="265" width="7.36328125" style="76" bestFit="1" customWidth="1"/>
    <col min="266" max="267" width="6.453125" style="76" bestFit="1" customWidth="1"/>
    <col min="268" max="268" width="7.36328125" style="76" bestFit="1" customWidth="1"/>
    <col min="269" max="270" width="0" style="76" hidden="1" customWidth="1"/>
    <col min="271" max="271" width="10" style="76" customWidth="1"/>
    <col min="272" max="272" width="8.453125" style="76" bestFit="1" customWidth="1"/>
    <col min="273" max="273" width="6.7265625" style="76" bestFit="1" customWidth="1"/>
    <col min="274" max="274" width="0" style="76" hidden="1" customWidth="1"/>
    <col min="275" max="275" width="9.1796875" style="76" customWidth="1"/>
    <col min="276" max="276" width="0" style="76" hidden="1" customWidth="1"/>
    <col min="277" max="277" width="8.26953125" style="76" bestFit="1" customWidth="1"/>
    <col min="278" max="278" width="5.36328125" style="76" bestFit="1" customWidth="1"/>
    <col min="279" max="279" width="13.6328125" style="76" customWidth="1"/>
    <col min="280" max="282" width="4.453125" style="76" bestFit="1" customWidth="1"/>
    <col min="283" max="283" width="5.453125" style="76" bestFit="1" customWidth="1"/>
    <col min="284" max="284" width="7.6328125" style="76" bestFit="1" customWidth="1"/>
    <col min="285" max="285" width="8.1796875" style="76" bestFit="1" customWidth="1"/>
    <col min="286" max="286" width="6.7265625" style="76" customWidth="1"/>
    <col min="287" max="287" width="12.36328125" style="76" customWidth="1"/>
    <col min="288" max="288" width="33.90625" style="76" customWidth="1"/>
    <col min="289" max="512" width="8.26953125" style="76"/>
    <col min="513" max="513" width="11.54296875" style="76" customWidth="1"/>
    <col min="514" max="515" width="4.6328125" style="76" customWidth="1"/>
    <col min="516" max="517" width="6.453125" style="76" bestFit="1" customWidth="1"/>
    <col min="518" max="518" width="7.36328125" style="76" bestFit="1" customWidth="1"/>
    <col min="519" max="520" width="6.453125" style="76" bestFit="1" customWidth="1"/>
    <col min="521" max="521" width="7.36328125" style="76" bestFit="1" customWidth="1"/>
    <col min="522" max="523" width="6.453125" style="76" bestFit="1" customWidth="1"/>
    <col min="524" max="524" width="7.36328125" style="76" bestFit="1" customWidth="1"/>
    <col min="525" max="526" width="0" style="76" hidden="1" customWidth="1"/>
    <col min="527" max="527" width="10" style="76" customWidth="1"/>
    <col min="528" max="528" width="8.453125" style="76" bestFit="1" customWidth="1"/>
    <col min="529" max="529" width="6.7265625" style="76" bestFit="1" customWidth="1"/>
    <col min="530" max="530" width="0" style="76" hidden="1" customWidth="1"/>
    <col min="531" max="531" width="9.1796875" style="76" customWidth="1"/>
    <col min="532" max="532" width="0" style="76" hidden="1" customWidth="1"/>
    <col min="533" max="533" width="8.26953125" style="76" bestFit="1" customWidth="1"/>
    <col min="534" max="534" width="5.36328125" style="76" bestFit="1" customWidth="1"/>
    <col min="535" max="535" width="13.6328125" style="76" customWidth="1"/>
    <col min="536" max="538" width="4.453125" style="76" bestFit="1" customWidth="1"/>
    <col min="539" max="539" width="5.453125" style="76" bestFit="1" customWidth="1"/>
    <col min="540" max="540" width="7.6328125" style="76" bestFit="1" customWidth="1"/>
    <col min="541" max="541" width="8.1796875" style="76" bestFit="1" customWidth="1"/>
    <col min="542" max="542" width="6.7265625" style="76" customWidth="1"/>
    <col min="543" max="543" width="12.36328125" style="76" customWidth="1"/>
    <col min="544" max="544" width="33.90625" style="76" customWidth="1"/>
    <col min="545" max="768" width="8.26953125" style="76"/>
    <col min="769" max="769" width="11.54296875" style="76" customWidth="1"/>
    <col min="770" max="771" width="4.6328125" style="76" customWidth="1"/>
    <col min="772" max="773" width="6.453125" style="76" bestFit="1" customWidth="1"/>
    <col min="774" max="774" width="7.36328125" style="76" bestFit="1" customWidth="1"/>
    <col min="775" max="776" width="6.453125" style="76" bestFit="1" customWidth="1"/>
    <col min="777" max="777" width="7.36328125" style="76" bestFit="1" customWidth="1"/>
    <col min="778" max="779" width="6.453125" style="76" bestFit="1" customWidth="1"/>
    <col min="780" max="780" width="7.36328125" style="76" bestFit="1" customWidth="1"/>
    <col min="781" max="782" width="0" style="76" hidden="1" customWidth="1"/>
    <col min="783" max="783" width="10" style="76" customWidth="1"/>
    <col min="784" max="784" width="8.453125" style="76" bestFit="1" customWidth="1"/>
    <col min="785" max="785" width="6.7265625" style="76" bestFit="1" customWidth="1"/>
    <col min="786" max="786" width="0" style="76" hidden="1" customWidth="1"/>
    <col min="787" max="787" width="9.1796875" style="76" customWidth="1"/>
    <col min="788" max="788" width="0" style="76" hidden="1" customWidth="1"/>
    <col min="789" max="789" width="8.26953125" style="76" bestFit="1" customWidth="1"/>
    <col min="790" max="790" width="5.36328125" style="76" bestFit="1" customWidth="1"/>
    <col min="791" max="791" width="13.6328125" style="76" customWidth="1"/>
    <col min="792" max="794" width="4.453125" style="76" bestFit="1" customWidth="1"/>
    <col min="795" max="795" width="5.453125" style="76" bestFit="1" customWidth="1"/>
    <col min="796" max="796" width="7.6328125" style="76" bestFit="1" customWidth="1"/>
    <col min="797" max="797" width="8.1796875" style="76" bestFit="1" customWidth="1"/>
    <col min="798" max="798" width="6.7265625" style="76" customWidth="1"/>
    <col min="799" max="799" width="12.36328125" style="76" customWidth="1"/>
    <col min="800" max="800" width="33.90625" style="76" customWidth="1"/>
    <col min="801" max="1024" width="8.26953125" style="76"/>
    <col min="1025" max="1025" width="11.54296875" style="76" customWidth="1"/>
    <col min="1026" max="1027" width="4.6328125" style="76" customWidth="1"/>
    <col min="1028" max="1029" width="6.453125" style="76" bestFit="1" customWidth="1"/>
    <col min="1030" max="1030" width="7.36328125" style="76" bestFit="1" customWidth="1"/>
    <col min="1031" max="1032" width="6.453125" style="76" bestFit="1" customWidth="1"/>
    <col min="1033" max="1033" width="7.36328125" style="76" bestFit="1" customWidth="1"/>
    <col min="1034" max="1035" width="6.453125" style="76" bestFit="1" customWidth="1"/>
    <col min="1036" max="1036" width="7.36328125" style="76" bestFit="1" customWidth="1"/>
    <col min="1037" max="1038" width="0" style="76" hidden="1" customWidth="1"/>
    <col min="1039" max="1039" width="10" style="76" customWidth="1"/>
    <col min="1040" max="1040" width="8.453125" style="76" bestFit="1" customWidth="1"/>
    <col min="1041" max="1041" width="6.7265625" style="76" bestFit="1" customWidth="1"/>
    <col min="1042" max="1042" width="0" style="76" hidden="1" customWidth="1"/>
    <col min="1043" max="1043" width="9.1796875" style="76" customWidth="1"/>
    <col min="1044" max="1044" width="0" style="76" hidden="1" customWidth="1"/>
    <col min="1045" max="1045" width="8.26953125" style="76" bestFit="1" customWidth="1"/>
    <col min="1046" max="1046" width="5.36328125" style="76" bestFit="1" customWidth="1"/>
    <col min="1047" max="1047" width="13.6328125" style="76" customWidth="1"/>
    <col min="1048" max="1050" width="4.453125" style="76" bestFit="1" customWidth="1"/>
    <col min="1051" max="1051" width="5.453125" style="76" bestFit="1" customWidth="1"/>
    <col min="1052" max="1052" width="7.6328125" style="76" bestFit="1" customWidth="1"/>
    <col min="1053" max="1053" width="8.1796875" style="76" bestFit="1" customWidth="1"/>
    <col min="1054" max="1054" width="6.7265625" style="76" customWidth="1"/>
    <col min="1055" max="1055" width="12.36328125" style="76" customWidth="1"/>
    <col min="1056" max="1056" width="33.90625" style="76" customWidth="1"/>
    <col min="1057" max="1280" width="8.26953125" style="76"/>
    <col min="1281" max="1281" width="11.54296875" style="76" customWidth="1"/>
    <col min="1282" max="1283" width="4.6328125" style="76" customWidth="1"/>
    <col min="1284" max="1285" width="6.453125" style="76" bestFit="1" customWidth="1"/>
    <col min="1286" max="1286" width="7.36328125" style="76" bestFit="1" customWidth="1"/>
    <col min="1287" max="1288" width="6.453125" style="76" bestFit="1" customWidth="1"/>
    <col min="1289" max="1289" width="7.36328125" style="76" bestFit="1" customWidth="1"/>
    <col min="1290" max="1291" width="6.453125" style="76" bestFit="1" customWidth="1"/>
    <col min="1292" max="1292" width="7.36328125" style="76" bestFit="1" customWidth="1"/>
    <col min="1293" max="1294" width="0" style="76" hidden="1" customWidth="1"/>
    <col min="1295" max="1295" width="10" style="76" customWidth="1"/>
    <col min="1296" max="1296" width="8.453125" style="76" bestFit="1" customWidth="1"/>
    <col min="1297" max="1297" width="6.7265625" style="76" bestFit="1" customWidth="1"/>
    <col min="1298" max="1298" width="0" style="76" hidden="1" customWidth="1"/>
    <col min="1299" max="1299" width="9.1796875" style="76" customWidth="1"/>
    <col min="1300" max="1300" width="0" style="76" hidden="1" customWidth="1"/>
    <col min="1301" max="1301" width="8.26953125" style="76" bestFit="1" customWidth="1"/>
    <col min="1302" max="1302" width="5.36328125" style="76" bestFit="1" customWidth="1"/>
    <col min="1303" max="1303" width="13.6328125" style="76" customWidth="1"/>
    <col min="1304" max="1306" width="4.453125" style="76" bestFit="1" customWidth="1"/>
    <col min="1307" max="1307" width="5.453125" style="76" bestFit="1" customWidth="1"/>
    <col min="1308" max="1308" width="7.6328125" style="76" bestFit="1" customWidth="1"/>
    <col min="1309" max="1309" width="8.1796875" style="76" bestFit="1" customWidth="1"/>
    <col min="1310" max="1310" width="6.7265625" style="76" customWidth="1"/>
    <col min="1311" max="1311" width="12.36328125" style="76" customWidth="1"/>
    <col min="1312" max="1312" width="33.90625" style="76" customWidth="1"/>
    <col min="1313" max="1536" width="8.26953125" style="76"/>
    <col min="1537" max="1537" width="11.54296875" style="76" customWidth="1"/>
    <col min="1538" max="1539" width="4.6328125" style="76" customWidth="1"/>
    <col min="1540" max="1541" width="6.453125" style="76" bestFit="1" customWidth="1"/>
    <col min="1542" max="1542" width="7.36328125" style="76" bestFit="1" customWidth="1"/>
    <col min="1543" max="1544" width="6.453125" style="76" bestFit="1" customWidth="1"/>
    <col min="1545" max="1545" width="7.36328125" style="76" bestFit="1" customWidth="1"/>
    <col min="1546" max="1547" width="6.453125" style="76" bestFit="1" customWidth="1"/>
    <col min="1548" max="1548" width="7.36328125" style="76" bestFit="1" customWidth="1"/>
    <col min="1549" max="1550" width="0" style="76" hidden="1" customWidth="1"/>
    <col min="1551" max="1551" width="10" style="76" customWidth="1"/>
    <col min="1552" max="1552" width="8.453125" style="76" bestFit="1" customWidth="1"/>
    <col min="1553" max="1553" width="6.7265625" style="76" bestFit="1" customWidth="1"/>
    <col min="1554" max="1554" width="0" style="76" hidden="1" customWidth="1"/>
    <col min="1555" max="1555" width="9.1796875" style="76" customWidth="1"/>
    <col min="1556" max="1556" width="0" style="76" hidden="1" customWidth="1"/>
    <col min="1557" max="1557" width="8.26953125" style="76" bestFit="1" customWidth="1"/>
    <col min="1558" max="1558" width="5.36328125" style="76" bestFit="1" customWidth="1"/>
    <col min="1559" max="1559" width="13.6328125" style="76" customWidth="1"/>
    <col min="1560" max="1562" width="4.453125" style="76" bestFit="1" customWidth="1"/>
    <col min="1563" max="1563" width="5.453125" style="76" bestFit="1" customWidth="1"/>
    <col min="1564" max="1564" width="7.6328125" style="76" bestFit="1" customWidth="1"/>
    <col min="1565" max="1565" width="8.1796875" style="76" bestFit="1" customWidth="1"/>
    <col min="1566" max="1566" width="6.7265625" style="76" customWidth="1"/>
    <col min="1567" max="1567" width="12.36328125" style="76" customWidth="1"/>
    <col min="1568" max="1568" width="33.90625" style="76" customWidth="1"/>
    <col min="1569" max="1792" width="8.26953125" style="76"/>
    <col min="1793" max="1793" width="11.54296875" style="76" customWidth="1"/>
    <col min="1794" max="1795" width="4.6328125" style="76" customWidth="1"/>
    <col min="1796" max="1797" width="6.453125" style="76" bestFit="1" customWidth="1"/>
    <col min="1798" max="1798" width="7.36328125" style="76" bestFit="1" customWidth="1"/>
    <col min="1799" max="1800" width="6.453125" style="76" bestFit="1" customWidth="1"/>
    <col min="1801" max="1801" width="7.36328125" style="76" bestFit="1" customWidth="1"/>
    <col min="1802" max="1803" width="6.453125" style="76" bestFit="1" customWidth="1"/>
    <col min="1804" max="1804" width="7.36328125" style="76" bestFit="1" customWidth="1"/>
    <col min="1805" max="1806" width="0" style="76" hidden="1" customWidth="1"/>
    <col min="1807" max="1807" width="10" style="76" customWidth="1"/>
    <col min="1808" max="1808" width="8.453125" style="76" bestFit="1" customWidth="1"/>
    <col min="1809" max="1809" width="6.7265625" style="76" bestFit="1" customWidth="1"/>
    <col min="1810" max="1810" width="0" style="76" hidden="1" customWidth="1"/>
    <col min="1811" max="1811" width="9.1796875" style="76" customWidth="1"/>
    <col min="1812" max="1812" width="0" style="76" hidden="1" customWidth="1"/>
    <col min="1813" max="1813" width="8.26953125" style="76" bestFit="1" customWidth="1"/>
    <col min="1814" max="1814" width="5.36328125" style="76" bestFit="1" customWidth="1"/>
    <col min="1815" max="1815" width="13.6328125" style="76" customWidth="1"/>
    <col min="1816" max="1818" width="4.453125" style="76" bestFit="1" customWidth="1"/>
    <col min="1819" max="1819" width="5.453125" style="76" bestFit="1" customWidth="1"/>
    <col min="1820" max="1820" width="7.6328125" style="76" bestFit="1" customWidth="1"/>
    <col min="1821" max="1821" width="8.1796875" style="76" bestFit="1" customWidth="1"/>
    <col min="1822" max="1822" width="6.7265625" style="76" customWidth="1"/>
    <col min="1823" max="1823" width="12.36328125" style="76" customWidth="1"/>
    <col min="1824" max="1824" width="33.90625" style="76" customWidth="1"/>
    <col min="1825" max="2048" width="8.26953125" style="76"/>
    <col min="2049" max="2049" width="11.54296875" style="76" customWidth="1"/>
    <col min="2050" max="2051" width="4.6328125" style="76" customWidth="1"/>
    <col min="2052" max="2053" width="6.453125" style="76" bestFit="1" customWidth="1"/>
    <col min="2054" max="2054" width="7.36328125" style="76" bestFit="1" customWidth="1"/>
    <col min="2055" max="2056" width="6.453125" style="76" bestFit="1" customWidth="1"/>
    <col min="2057" max="2057" width="7.36328125" style="76" bestFit="1" customWidth="1"/>
    <col min="2058" max="2059" width="6.453125" style="76" bestFit="1" customWidth="1"/>
    <col min="2060" max="2060" width="7.36328125" style="76" bestFit="1" customWidth="1"/>
    <col min="2061" max="2062" width="0" style="76" hidden="1" customWidth="1"/>
    <col min="2063" max="2063" width="10" style="76" customWidth="1"/>
    <col min="2064" max="2064" width="8.453125" style="76" bestFit="1" customWidth="1"/>
    <col min="2065" max="2065" width="6.7265625" style="76" bestFit="1" customWidth="1"/>
    <col min="2066" max="2066" width="0" style="76" hidden="1" customWidth="1"/>
    <col min="2067" max="2067" width="9.1796875" style="76" customWidth="1"/>
    <col min="2068" max="2068" width="0" style="76" hidden="1" customWidth="1"/>
    <col min="2069" max="2069" width="8.26953125" style="76" bestFit="1" customWidth="1"/>
    <col min="2070" max="2070" width="5.36328125" style="76" bestFit="1" customWidth="1"/>
    <col min="2071" max="2071" width="13.6328125" style="76" customWidth="1"/>
    <col min="2072" max="2074" width="4.453125" style="76" bestFit="1" customWidth="1"/>
    <col min="2075" max="2075" width="5.453125" style="76" bestFit="1" customWidth="1"/>
    <col min="2076" max="2076" width="7.6328125" style="76" bestFit="1" customWidth="1"/>
    <col min="2077" max="2077" width="8.1796875" style="76" bestFit="1" customWidth="1"/>
    <col min="2078" max="2078" width="6.7265625" style="76" customWidth="1"/>
    <col min="2079" max="2079" width="12.36328125" style="76" customWidth="1"/>
    <col min="2080" max="2080" width="33.90625" style="76" customWidth="1"/>
    <col min="2081" max="2304" width="8.26953125" style="76"/>
    <col min="2305" max="2305" width="11.54296875" style="76" customWidth="1"/>
    <col min="2306" max="2307" width="4.6328125" style="76" customWidth="1"/>
    <col min="2308" max="2309" width="6.453125" style="76" bestFit="1" customWidth="1"/>
    <col min="2310" max="2310" width="7.36328125" style="76" bestFit="1" customWidth="1"/>
    <col min="2311" max="2312" width="6.453125" style="76" bestFit="1" customWidth="1"/>
    <col min="2313" max="2313" width="7.36328125" style="76" bestFit="1" customWidth="1"/>
    <col min="2314" max="2315" width="6.453125" style="76" bestFit="1" customWidth="1"/>
    <col min="2316" max="2316" width="7.36328125" style="76" bestFit="1" customWidth="1"/>
    <col min="2317" max="2318" width="0" style="76" hidden="1" customWidth="1"/>
    <col min="2319" max="2319" width="10" style="76" customWidth="1"/>
    <col min="2320" max="2320" width="8.453125" style="76" bestFit="1" customWidth="1"/>
    <col min="2321" max="2321" width="6.7265625" style="76" bestFit="1" customWidth="1"/>
    <col min="2322" max="2322" width="0" style="76" hidden="1" customWidth="1"/>
    <col min="2323" max="2323" width="9.1796875" style="76" customWidth="1"/>
    <col min="2324" max="2324" width="0" style="76" hidden="1" customWidth="1"/>
    <col min="2325" max="2325" width="8.26953125" style="76" bestFit="1" customWidth="1"/>
    <col min="2326" max="2326" width="5.36328125" style="76" bestFit="1" customWidth="1"/>
    <col min="2327" max="2327" width="13.6328125" style="76" customWidth="1"/>
    <col min="2328" max="2330" width="4.453125" style="76" bestFit="1" customWidth="1"/>
    <col min="2331" max="2331" width="5.453125" style="76" bestFit="1" customWidth="1"/>
    <col min="2332" max="2332" width="7.6328125" style="76" bestFit="1" customWidth="1"/>
    <col min="2333" max="2333" width="8.1796875" style="76" bestFit="1" customWidth="1"/>
    <col min="2334" max="2334" width="6.7265625" style="76" customWidth="1"/>
    <col min="2335" max="2335" width="12.36328125" style="76" customWidth="1"/>
    <col min="2336" max="2336" width="33.90625" style="76" customWidth="1"/>
    <col min="2337" max="2560" width="8.26953125" style="76"/>
    <col min="2561" max="2561" width="11.54296875" style="76" customWidth="1"/>
    <col min="2562" max="2563" width="4.6328125" style="76" customWidth="1"/>
    <col min="2564" max="2565" width="6.453125" style="76" bestFit="1" customWidth="1"/>
    <col min="2566" max="2566" width="7.36328125" style="76" bestFit="1" customWidth="1"/>
    <col min="2567" max="2568" width="6.453125" style="76" bestFit="1" customWidth="1"/>
    <col min="2569" max="2569" width="7.36328125" style="76" bestFit="1" customWidth="1"/>
    <col min="2570" max="2571" width="6.453125" style="76" bestFit="1" customWidth="1"/>
    <col min="2572" max="2572" width="7.36328125" style="76" bestFit="1" customWidth="1"/>
    <col min="2573" max="2574" width="0" style="76" hidden="1" customWidth="1"/>
    <col min="2575" max="2575" width="10" style="76" customWidth="1"/>
    <col min="2576" max="2576" width="8.453125" style="76" bestFit="1" customWidth="1"/>
    <col min="2577" max="2577" width="6.7265625" style="76" bestFit="1" customWidth="1"/>
    <col min="2578" max="2578" width="0" style="76" hidden="1" customWidth="1"/>
    <col min="2579" max="2579" width="9.1796875" style="76" customWidth="1"/>
    <col min="2580" max="2580" width="0" style="76" hidden="1" customWidth="1"/>
    <col min="2581" max="2581" width="8.26953125" style="76" bestFit="1" customWidth="1"/>
    <col min="2582" max="2582" width="5.36328125" style="76" bestFit="1" customWidth="1"/>
    <col min="2583" max="2583" width="13.6328125" style="76" customWidth="1"/>
    <col min="2584" max="2586" width="4.453125" style="76" bestFit="1" customWidth="1"/>
    <col min="2587" max="2587" width="5.453125" style="76" bestFit="1" customWidth="1"/>
    <col min="2588" max="2588" width="7.6328125" style="76" bestFit="1" customWidth="1"/>
    <col min="2589" max="2589" width="8.1796875" style="76" bestFit="1" customWidth="1"/>
    <col min="2590" max="2590" width="6.7265625" style="76" customWidth="1"/>
    <col min="2591" max="2591" width="12.36328125" style="76" customWidth="1"/>
    <col min="2592" max="2592" width="33.90625" style="76" customWidth="1"/>
    <col min="2593" max="2816" width="8.26953125" style="76"/>
    <col min="2817" max="2817" width="11.54296875" style="76" customWidth="1"/>
    <col min="2818" max="2819" width="4.6328125" style="76" customWidth="1"/>
    <col min="2820" max="2821" width="6.453125" style="76" bestFit="1" customWidth="1"/>
    <col min="2822" max="2822" width="7.36328125" style="76" bestFit="1" customWidth="1"/>
    <col min="2823" max="2824" width="6.453125" style="76" bestFit="1" customWidth="1"/>
    <col min="2825" max="2825" width="7.36328125" style="76" bestFit="1" customWidth="1"/>
    <col min="2826" max="2827" width="6.453125" style="76" bestFit="1" customWidth="1"/>
    <col min="2828" max="2828" width="7.36328125" style="76" bestFit="1" customWidth="1"/>
    <col min="2829" max="2830" width="0" style="76" hidden="1" customWidth="1"/>
    <col min="2831" max="2831" width="10" style="76" customWidth="1"/>
    <col min="2832" max="2832" width="8.453125" style="76" bestFit="1" customWidth="1"/>
    <col min="2833" max="2833" width="6.7265625" style="76" bestFit="1" customWidth="1"/>
    <col min="2834" max="2834" width="0" style="76" hidden="1" customWidth="1"/>
    <col min="2835" max="2835" width="9.1796875" style="76" customWidth="1"/>
    <col min="2836" max="2836" width="0" style="76" hidden="1" customWidth="1"/>
    <col min="2837" max="2837" width="8.26953125" style="76" bestFit="1" customWidth="1"/>
    <col min="2838" max="2838" width="5.36328125" style="76" bestFit="1" customWidth="1"/>
    <col min="2839" max="2839" width="13.6328125" style="76" customWidth="1"/>
    <col min="2840" max="2842" width="4.453125" style="76" bestFit="1" customWidth="1"/>
    <col min="2843" max="2843" width="5.453125" style="76" bestFit="1" customWidth="1"/>
    <col min="2844" max="2844" width="7.6328125" style="76" bestFit="1" customWidth="1"/>
    <col min="2845" max="2845" width="8.1796875" style="76" bestFit="1" customWidth="1"/>
    <col min="2846" max="2846" width="6.7265625" style="76" customWidth="1"/>
    <col min="2847" max="2847" width="12.36328125" style="76" customWidth="1"/>
    <col min="2848" max="2848" width="33.90625" style="76" customWidth="1"/>
    <col min="2849" max="3072" width="8.26953125" style="76"/>
    <col min="3073" max="3073" width="11.54296875" style="76" customWidth="1"/>
    <col min="3074" max="3075" width="4.6328125" style="76" customWidth="1"/>
    <col min="3076" max="3077" width="6.453125" style="76" bestFit="1" customWidth="1"/>
    <col min="3078" max="3078" width="7.36328125" style="76" bestFit="1" customWidth="1"/>
    <col min="3079" max="3080" width="6.453125" style="76" bestFit="1" customWidth="1"/>
    <col min="3081" max="3081" width="7.36328125" style="76" bestFit="1" customWidth="1"/>
    <col min="3082" max="3083" width="6.453125" style="76" bestFit="1" customWidth="1"/>
    <col min="3084" max="3084" width="7.36328125" style="76" bestFit="1" customWidth="1"/>
    <col min="3085" max="3086" width="0" style="76" hidden="1" customWidth="1"/>
    <col min="3087" max="3087" width="10" style="76" customWidth="1"/>
    <col min="3088" max="3088" width="8.453125" style="76" bestFit="1" customWidth="1"/>
    <col min="3089" max="3089" width="6.7265625" style="76" bestFit="1" customWidth="1"/>
    <col min="3090" max="3090" width="0" style="76" hidden="1" customWidth="1"/>
    <col min="3091" max="3091" width="9.1796875" style="76" customWidth="1"/>
    <col min="3092" max="3092" width="0" style="76" hidden="1" customWidth="1"/>
    <col min="3093" max="3093" width="8.26953125" style="76" bestFit="1" customWidth="1"/>
    <col min="3094" max="3094" width="5.36328125" style="76" bestFit="1" customWidth="1"/>
    <col min="3095" max="3095" width="13.6328125" style="76" customWidth="1"/>
    <col min="3096" max="3098" width="4.453125" style="76" bestFit="1" customWidth="1"/>
    <col min="3099" max="3099" width="5.453125" style="76" bestFit="1" customWidth="1"/>
    <col min="3100" max="3100" width="7.6328125" style="76" bestFit="1" customWidth="1"/>
    <col min="3101" max="3101" width="8.1796875" style="76" bestFit="1" customWidth="1"/>
    <col min="3102" max="3102" width="6.7265625" style="76" customWidth="1"/>
    <col min="3103" max="3103" width="12.36328125" style="76" customWidth="1"/>
    <col min="3104" max="3104" width="33.90625" style="76" customWidth="1"/>
    <col min="3105" max="3328" width="8.26953125" style="76"/>
    <col min="3329" max="3329" width="11.54296875" style="76" customWidth="1"/>
    <col min="3330" max="3331" width="4.6328125" style="76" customWidth="1"/>
    <col min="3332" max="3333" width="6.453125" style="76" bestFit="1" customWidth="1"/>
    <col min="3334" max="3334" width="7.36328125" style="76" bestFit="1" customWidth="1"/>
    <col min="3335" max="3336" width="6.453125" style="76" bestFit="1" customWidth="1"/>
    <col min="3337" max="3337" width="7.36328125" style="76" bestFit="1" customWidth="1"/>
    <col min="3338" max="3339" width="6.453125" style="76" bestFit="1" customWidth="1"/>
    <col min="3340" max="3340" width="7.36328125" style="76" bestFit="1" customWidth="1"/>
    <col min="3341" max="3342" width="0" style="76" hidden="1" customWidth="1"/>
    <col min="3343" max="3343" width="10" style="76" customWidth="1"/>
    <col min="3344" max="3344" width="8.453125" style="76" bestFit="1" customWidth="1"/>
    <col min="3345" max="3345" width="6.7265625" style="76" bestFit="1" customWidth="1"/>
    <col min="3346" max="3346" width="0" style="76" hidden="1" customWidth="1"/>
    <col min="3347" max="3347" width="9.1796875" style="76" customWidth="1"/>
    <col min="3348" max="3348" width="0" style="76" hidden="1" customWidth="1"/>
    <col min="3349" max="3349" width="8.26953125" style="76" bestFit="1" customWidth="1"/>
    <col min="3350" max="3350" width="5.36328125" style="76" bestFit="1" customWidth="1"/>
    <col min="3351" max="3351" width="13.6328125" style="76" customWidth="1"/>
    <col min="3352" max="3354" width="4.453125" style="76" bestFit="1" customWidth="1"/>
    <col min="3355" max="3355" width="5.453125" style="76" bestFit="1" customWidth="1"/>
    <col min="3356" max="3356" width="7.6328125" style="76" bestFit="1" customWidth="1"/>
    <col min="3357" max="3357" width="8.1796875" style="76" bestFit="1" customWidth="1"/>
    <col min="3358" max="3358" width="6.7265625" style="76" customWidth="1"/>
    <col min="3359" max="3359" width="12.36328125" style="76" customWidth="1"/>
    <col min="3360" max="3360" width="33.90625" style="76" customWidth="1"/>
    <col min="3361" max="3584" width="8.26953125" style="76"/>
    <col min="3585" max="3585" width="11.54296875" style="76" customWidth="1"/>
    <col min="3586" max="3587" width="4.6328125" style="76" customWidth="1"/>
    <col min="3588" max="3589" width="6.453125" style="76" bestFit="1" customWidth="1"/>
    <col min="3590" max="3590" width="7.36328125" style="76" bestFit="1" customWidth="1"/>
    <col min="3591" max="3592" width="6.453125" style="76" bestFit="1" customWidth="1"/>
    <col min="3593" max="3593" width="7.36328125" style="76" bestFit="1" customWidth="1"/>
    <col min="3594" max="3595" width="6.453125" style="76" bestFit="1" customWidth="1"/>
    <col min="3596" max="3596" width="7.36328125" style="76" bestFit="1" customWidth="1"/>
    <col min="3597" max="3598" width="0" style="76" hidden="1" customWidth="1"/>
    <col min="3599" max="3599" width="10" style="76" customWidth="1"/>
    <col min="3600" max="3600" width="8.453125" style="76" bestFit="1" customWidth="1"/>
    <col min="3601" max="3601" width="6.7265625" style="76" bestFit="1" customWidth="1"/>
    <col min="3602" max="3602" width="0" style="76" hidden="1" customWidth="1"/>
    <col min="3603" max="3603" width="9.1796875" style="76" customWidth="1"/>
    <col min="3604" max="3604" width="0" style="76" hidden="1" customWidth="1"/>
    <col min="3605" max="3605" width="8.26953125" style="76" bestFit="1" customWidth="1"/>
    <col min="3606" max="3606" width="5.36328125" style="76" bestFit="1" customWidth="1"/>
    <col min="3607" max="3607" width="13.6328125" style="76" customWidth="1"/>
    <col min="3608" max="3610" width="4.453125" style="76" bestFit="1" customWidth="1"/>
    <col min="3611" max="3611" width="5.453125" style="76" bestFit="1" customWidth="1"/>
    <col min="3612" max="3612" width="7.6328125" style="76" bestFit="1" customWidth="1"/>
    <col min="3613" max="3613" width="8.1796875" style="76" bestFit="1" customWidth="1"/>
    <col min="3614" max="3614" width="6.7265625" style="76" customWidth="1"/>
    <col min="3615" max="3615" width="12.36328125" style="76" customWidth="1"/>
    <col min="3616" max="3616" width="33.90625" style="76" customWidth="1"/>
    <col min="3617" max="3840" width="8.26953125" style="76"/>
    <col min="3841" max="3841" width="11.54296875" style="76" customWidth="1"/>
    <col min="3842" max="3843" width="4.6328125" style="76" customWidth="1"/>
    <col min="3844" max="3845" width="6.453125" style="76" bestFit="1" customWidth="1"/>
    <col min="3846" max="3846" width="7.36328125" style="76" bestFit="1" customWidth="1"/>
    <col min="3847" max="3848" width="6.453125" style="76" bestFit="1" customWidth="1"/>
    <col min="3849" max="3849" width="7.36328125" style="76" bestFit="1" customWidth="1"/>
    <col min="3850" max="3851" width="6.453125" style="76" bestFit="1" customWidth="1"/>
    <col min="3852" max="3852" width="7.36328125" style="76" bestFit="1" customWidth="1"/>
    <col min="3853" max="3854" width="0" style="76" hidden="1" customWidth="1"/>
    <col min="3855" max="3855" width="10" style="76" customWidth="1"/>
    <col min="3856" max="3856" width="8.453125" style="76" bestFit="1" customWidth="1"/>
    <col min="3857" max="3857" width="6.7265625" style="76" bestFit="1" customWidth="1"/>
    <col min="3858" max="3858" width="0" style="76" hidden="1" customWidth="1"/>
    <col min="3859" max="3859" width="9.1796875" style="76" customWidth="1"/>
    <col min="3860" max="3860" width="0" style="76" hidden="1" customWidth="1"/>
    <col min="3861" max="3861" width="8.26953125" style="76" bestFit="1" customWidth="1"/>
    <col min="3862" max="3862" width="5.36328125" style="76" bestFit="1" customWidth="1"/>
    <col min="3863" max="3863" width="13.6328125" style="76" customWidth="1"/>
    <col min="3864" max="3866" width="4.453125" style="76" bestFit="1" customWidth="1"/>
    <col min="3867" max="3867" width="5.453125" style="76" bestFit="1" customWidth="1"/>
    <col min="3868" max="3868" width="7.6328125" style="76" bestFit="1" customWidth="1"/>
    <col min="3869" max="3869" width="8.1796875" style="76" bestFit="1" customWidth="1"/>
    <col min="3870" max="3870" width="6.7265625" style="76" customWidth="1"/>
    <col min="3871" max="3871" width="12.36328125" style="76" customWidth="1"/>
    <col min="3872" max="3872" width="33.90625" style="76" customWidth="1"/>
    <col min="3873" max="4096" width="8.26953125" style="76"/>
    <col min="4097" max="4097" width="11.54296875" style="76" customWidth="1"/>
    <col min="4098" max="4099" width="4.6328125" style="76" customWidth="1"/>
    <col min="4100" max="4101" width="6.453125" style="76" bestFit="1" customWidth="1"/>
    <col min="4102" max="4102" width="7.36328125" style="76" bestFit="1" customWidth="1"/>
    <col min="4103" max="4104" width="6.453125" style="76" bestFit="1" customWidth="1"/>
    <col min="4105" max="4105" width="7.36328125" style="76" bestFit="1" customWidth="1"/>
    <col min="4106" max="4107" width="6.453125" style="76" bestFit="1" customWidth="1"/>
    <col min="4108" max="4108" width="7.36328125" style="76" bestFit="1" customWidth="1"/>
    <col min="4109" max="4110" width="0" style="76" hidden="1" customWidth="1"/>
    <col min="4111" max="4111" width="10" style="76" customWidth="1"/>
    <col min="4112" max="4112" width="8.453125" style="76" bestFit="1" customWidth="1"/>
    <col min="4113" max="4113" width="6.7265625" style="76" bestFit="1" customWidth="1"/>
    <col min="4114" max="4114" width="0" style="76" hidden="1" customWidth="1"/>
    <col min="4115" max="4115" width="9.1796875" style="76" customWidth="1"/>
    <col min="4116" max="4116" width="0" style="76" hidden="1" customWidth="1"/>
    <col min="4117" max="4117" width="8.26953125" style="76" bestFit="1" customWidth="1"/>
    <col min="4118" max="4118" width="5.36328125" style="76" bestFit="1" customWidth="1"/>
    <col min="4119" max="4119" width="13.6328125" style="76" customWidth="1"/>
    <col min="4120" max="4122" width="4.453125" style="76" bestFit="1" customWidth="1"/>
    <col min="4123" max="4123" width="5.453125" style="76" bestFit="1" customWidth="1"/>
    <col min="4124" max="4124" width="7.6328125" style="76" bestFit="1" customWidth="1"/>
    <col min="4125" max="4125" width="8.1796875" style="76" bestFit="1" customWidth="1"/>
    <col min="4126" max="4126" width="6.7265625" style="76" customWidth="1"/>
    <col min="4127" max="4127" width="12.36328125" style="76" customWidth="1"/>
    <col min="4128" max="4128" width="33.90625" style="76" customWidth="1"/>
    <col min="4129" max="4352" width="8.26953125" style="76"/>
    <col min="4353" max="4353" width="11.54296875" style="76" customWidth="1"/>
    <col min="4354" max="4355" width="4.6328125" style="76" customWidth="1"/>
    <col min="4356" max="4357" width="6.453125" style="76" bestFit="1" customWidth="1"/>
    <col min="4358" max="4358" width="7.36328125" style="76" bestFit="1" customWidth="1"/>
    <col min="4359" max="4360" width="6.453125" style="76" bestFit="1" customWidth="1"/>
    <col min="4361" max="4361" width="7.36328125" style="76" bestFit="1" customWidth="1"/>
    <col min="4362" max="4363" width="6.453125" style="76" bestFit="1" customWidth="1"/>
    <col min="4364" max="4364" width="7.36328125" style="76" bestFit="1" customWidth="1"/>
    <col min="4365" max="4366" width="0" style="76" hidden="1" customWidth="1"/>
    <col min="4367" max="4367" width="10" style="76" customWidth="1"/>
    <col min="4368" max="4368" width="8.453125" style="76" bestFit="1" customWidth="1"/>
    <col min="4369" max="4369" width="6.7265625" style="76" bestFit="1" customWidth="1"/>
    <col min="4370" max="4370" width="0" style="76" hidden="1" customWidth="1"/>
    <col min="4371" max="4371" width="9.1796875" style="76" customWidth="1"/>
    <col min="4372" max="4372" width="0" style="76" hidden="1" customWidth="1"/>
    <col min="4373" max="4373" width="8.26953125" style="76" bestFit="1" customWidth="1"/>
    <col min="4374" max="4374" width="5.36328125" style="76" bestFit="1" customWidth="1"/>
    <col min="4375" max="4375" width="13.6328125" style="76" customWidth="1"/>
    <col min="4376" max="4378" width="4.453125" style="76" bestFit="1" customWidth="1"/>
    <col min="4379" max="4379" width="5.453125" style="76" bestFit="1" customWidth="1"/>
    <col min="4380" max="4380" width="7.6328125" style="76" bestFit="1" customWidth="1"/>
    <col min="4381" max="4381" width="8.1796875" style="76" bestFit="1" customWidth="1"/>
    <col min="4382" max="4382" width="6.7265625" style="76" customWidth="1"/>
    <col min="4383" max="4383" width="12.36328125" style="76" customWidth="1"/>
    <col min="4384" max="4384" width="33.90625" style="76" customWidth="1"/>
    <col min="4385" max="4608" width="8.26953125" style="76"/>
    <col min="4609" max="4609" width="11.54296875" style="76" customWidth="1"/>
    <col min="4610" max="4611" width="4.6328125" style="76" customWidth="1"/>
    <col min="4612" max="4613" width="6.453125" style="76" bestFit="1" customWidth="1"/>
    <col min="4614" max="4614" width="7.36328125" style="76" bestFit="1" customWidth="1"/>
    <col min="4615" max="4616" width="6.453125" style="76" bestFit="1" customWidth="1"/>
    <col min="4617" max="4617" width="7.36328125" style="76" bestFit="1" customWidth="1"/>
    <col min="4618" max="4619" width="6.453125" style="76" bestFit="1" customWidth="1"/>
    <col min="4620" max="4620" width="7.36328125" style="76" bestFit="1" customWidth="1"/>
    <col min="4621" max="4622" width="0" style="76" hidden="1" customWidth="1"/>
    <col min="4623" max="4623" width="10" style="76" customWidth="1"/>
    <col min="4624" max="4624" width="8.453125" style="76" bestFit="1" customWidth="1"/>
    <col min="4625" max="4625" width="6.7265625" style="76" bestFit="1" customWidth="1"/>
    <col min="4626" max="4626" width="0" style="76" hidden="1" customWidth="1"/>
    <col min="4627" max="4627" width="9.1796875" style="76" customWidth="1"/>
    <col min="4628" max="4628" width="0" style="76" hidden="1" customWidth="1"/>
    <col min="4629" max="4629" width="8.26953125" style="76" bestFit="1" customWidth="1"/>
    <col min="4630" max="4630" width="5.36328125" style="76" bestFit="1" customWidth="1"/>
    <col min="4631" max="4631" width="13.6328125" style="76" customWidth="1"/>
    <col min="4632" max="4634" width="4.453125" style="76" bestFit="1" customWidth="1"/>
    <col min="4635" max="4635" width="5.453125" style="76" bestFit="1" customWidth="1"/>
    <col min="4636" max="4636" width="7.6328125" style="76" bestFit="1" customWidth="1"/>
    <col min="4637" max="4637" width="8.1796875" style="76" bestFit="1" customWidth="1"/>
    <col min="4638" max="4638" width="6.7265625" style="76" customWidth="1"/>
    <col min="4639" max="4639" width="12.36328125" style="76" customWidth="1"/>
    <col min="4640" max="4640" width="33.90625" style="76" customWidth="1"/>
    <col min="4641" max="4864" width="8.26953125" style="76"/>
    <col min="4865" max="4865" width="11.54296875" style="76" customWidth="1"/>
    <col min="4866" max="4867" width="4.6328125" style="76" customWidth="1"/>
    <col min="4868" max="4869" width="6.453125" style="76" bestFit="1" customWidth="1"/>
    <col min="4870" max="4870" width="7.36328125" style="76" bestFit="1" customWidth="1"/>
    <col min="4871" max="4872" width="6.453125" style="76" bestFit="1" customWidth="1"/>
    <col min="4873" max="4873" width="7.36328125" style="76" bestFit="1" customWidth="1"/>
    <col min="4874" max="4875" width="6.453125" style="76" bestFit="1" customWidth="1"/>
    <col min="4876" max="4876" width="7.36328125" style="76" bestFit="1" customWidth="1"/>
    <col min="4877" max="4878" width="0" style="76" hidden="1" customWidth="1"/>
    <col min="4879" max="4879" width="10" style="76" customWidth="1"/>
    <col min="4880" max="4880" width="8.453125" style="76" bestFit="1" customWidth="1"/>
    <col min="4881" max="4881" width="6.7265625" style="76" bestFit="1" customWidth="1"/>
    <col min="4882" max="4882" width="0" style="76" hidden="1" customWidth="1"/>
    <col min="4883" max="4883" width="9.1796875" style="76" customWidth="1"/>
    <col min="4884" max="4884" width="0" style="76" hidden="1" customWidth="1"/>
    <col min="4885" max="4885" width="8.26953125" style="76" bestFit="1" customWidth="1"/>
    <col min="4886" max="4886" width="5.36328125" style="76" bestFit="1" customWidth="1"/>
    <col min="4887" max="4887" width="13.6328125" style="76" customWidth="1"/>
    <col min="4888" max="4890" width="4.453125" style="76" bestFit="1" customWidth="1"/>
    <col min="4891" max="4891" width="5.453125" style="76" bestFit="1" customWidth="1"/>
    <col min="4892" max="4892" width="7.6328125" style="76" bestFit="1" customWidth="1"/>
    <col min="4893" max="4893" width="8.1796875" style="76" bestFit="1" customWidth="1"/>
    <col min="4894" max="4894" width="6.7265625" style="76" customWidth="1"/>
    <col min="4895" max="4895" width="12.36328125" style="76" customWidth="1"/>
    <col min="4896" max="4896" width="33.90625" style="76" customWidth="1"/>
    <col min="4897" max="5120" width="8.26953125" style="76"/>
    <col min="5121" max="5121" width="11.54296875" style="76" customWidth="1"/>
    <col min="5122" max="5123" width="4.6328125" style="76" customWidth="1"/>
    <col min="5124" max="5125" width="6.453125" style="76" bestFit="1" customWidth="1"/>
    <col min="5126" max="5126" width="7.36328125" style="76" bestFit="1" customWidth="1"/>
    <col min="5127" max="5128" width="6.453125" style="76" bestFit="1" customWidth="1"/>
    <col min="5129" max="5129" width="7.36328125" style="76" bestFit="1" customWidth="1"/>
    <col min="5130" max="5131" width="6.453125" style="76" bestFit="1" customWidth="1"/>
    <col min="5132" max="5132" width="7.36328125" style="76" bestFit="1" customWidth="1"/>
    <col min="5133" max="5134" width="0" style="76" hidden="1" customWidth="1"/>
    <col min="5135" max="5135" width="10" style="76" customWidth="1"/>
    <col min="5136" max="5136" width="8.453125" style="76" bestFit="1" customWidth="1"/>
    <col min="5137" max="5137" width="6.7265625" style="76" bestFit="1" customWidth="1"/>
    <col min="5138" max="5138" width="0" style="76" hidden="1" customWidth="1"/>
    <col min="5139" max="5139" width="9.1796875" style="76" customWidth="1"/>
    <col min="5140" max="5140" width="0" style="76" hidden="1" customWidth="1"/>
    <col min="5141" max="5141" width="8.26953125" style="76" bestFit="1" customWidth="1"/>
    <col min="5142" max="5142" width="5.36328125" style="76" bestFit="1" customWidth="1"/>
    <col min="5143" max="5143" width="13.6328125" style="76" customWidth="1"/>
    <col min="5144" max="5146" width="4.453125" style="76" bestFit="1" customWidth="1"/>
    <col min="5147" max="5147" width="5.453125" style="76" bestFit="1" customWidth="1"/>
    <col min="5148" max="5148" width="7.6328125" style="76" bestFit="1" customWidth="1"/>
    <col min="5149" max="5149" width="8.1796875" style="76" bestFit="1" customWidth="1"/>
    <col min="5150" max="5150" width="6.7265625" style="76" customWidth="1"/>
    <col min="5151" max="5151" width="12.36328125" style="76" customWidth="1"/>
    <col min="5152" max="5152" width="33.90625" style="76" customWidth="1"/>
    <col min="5153" max="5376" width="8.26953125" style="76"/>
    <col min="5377" max="5377" width="11.54296875" style="76" customWidth="1"/>
    <col min="5378" max="5379" width="4.6328125" style="76" customWidth="1"/>
    <col min="5380" max="5381" width="6.453125" style="76" bestFit="1" customWidth="1"/>
    <col min="5382" max="5382" width="7.36328125" style="76" bestFit="1" customWidth="1"/>
    <col min="5383" max="5384" width="6.453125" style="76" bestFit="1" customWidth="1"/>
    <col min="5385" max="5385" width="7.36328125" style="76" bestFit="1" customWidth="1"/>
    <col min="5386" max="5387" width="6.453125" style="76" bestFit="1" customWidth="1"/>
    <col min="5388" max="5388" width="7.36328125" style="76" bestFit="1" customWidth="1"/>
    <col min="5389" max="5390" width="0" style="76" hidden="1" customWidth="1"/>
    <col min="5391" max="5391" width="10" style="76" customWidth="1"/>
    <col min="5392" max="5392" width="8.453125" style="76" bestFit="1" customWidth="1"/>
    <col min="5393" max="5393" width="6.7265625" style="76" bestFit="1" customWidth="1"/>
    <col min="5394" max="5394" width="0" style="76" hidden="1" customWidth="1"/>
    <col min="5395" max="5395" width="9.1796875" style="76" customWidth="1"/>
    <col min="5396" max="5396" width="0" style="76" hidden="1" customWidth="1"/>
    <col min="5397" max="5397" width="8.26953125" style="76" bestFit="1" customWidth="1"/>
    <col min="5398" max="5398" width="5.36328125" style="76" bestFit="1" customWidth="1"/>
    <col min="5399" max="5399" width="13.6328125" style="76" customWidth="1"/>
    <col min="5400" max="5402" width="4.453125" style="76" bestFit="1" customWidth="1"/>
    <col min="5403" max="5403" width="5.453125" style="76" bestFit="1" customWidth="1"/>
    <col min="5404" max="5404" width="7.6328125" style="76" bestFit="1" customWidth="1"/>
    <col min="5405" max="5405" width="8.1796875" style="76" bestFit="1" customWidth="1"/>
    <col min="5406" max="5406" width="6.7265625" style="76" customWidth="1"/>
    <col min="5407" max="5407" width="12.36328125" style="76" customWidth="1"/>
    <col min="5408" max="5408" width="33.90625" style="76" customWidth="1"/>
    <col min="5409" max="5632" width="8.26953125" style="76"/>
    <col min="5633" max="5633" width="11.54296875" style="76" customWidth="1"/>
    <col min="5634" max="5635" width="4.6328125" style="76" customWidth="1"/>
    <col min="5636" max="5637" width="6.453125" style="76" bestFit="1" customWidth="1"/>
    <col min="5638" max="5638" width="7.36328125" style="76" bestFit="1" customWidth="1"/>
    <col min="5639" max="5640" width="6.453125" style="76" bestFit="1" customWidth="1"/>
    <col min="5641" max="5641" width="7.36328125" style="76" bestFit="1" customWidth="1"/>
    <col min="5642" max="5643" width="6.453125" style="76" bestFit="1" customWidth="1"/>
    <col min="5644" max="5644" width="7.36328125" style="76" bestFit="1" customWidth="1"/>
    <col min="5645" max="5646" width="0" style="76" hidden="1" customWidth="1"/>
    <col min="5647" max="5647" width="10" style="76" customWidth="1"/>
    <col min="5648" max="5648" width="8.453125" style="76" bestFit="1" customWidth="1"/>
    <col min="5649" max="5649" width="6.7265625" style="76" bestFit="1" customWidth="1"/>
    <col min="5650" max="5650" width="0" style="76" hidden="1" customWidth="1"/>
    <col min="5651" max="5651" width="9.1796875" style="76" customWidth="1"/>
    <col min="5652" max="5652" width="0" style="76" hidden="1" customWidth="1"/>
    <col min="5653" max="5653" width="8.26953125" style="76" bestFit="1" customWidth="1"/>
    <col min="5654" max="5654" width="5.36328125" style="76" bestFit="1" customWidth="1"/>
    <col min="5655" max="5655" width="13.6328125" style="76" customWidth="1"/>
    <col min="5656" max="5658" width="4.453125" style="76" bestFit="1" customWidth="1"/>
    <col min="5659" max="5659" width="5.453125" style="76" bestFit="1" customWidth="1"/>
    <col min="5660" max="5660" width="7.6328125" style="76" bestFit="1" customWidth="1"/>
    <col min="5661" max="5661" width="8.1796875" style="76" bestFit="1" customWidth="1"/>
    <col min="5662" max="5662" width="6.7265625" style="76" customWidth="1"/>
    <col min="5663" max="5663" width="12.36328125" style="76" customWidth="1"/>
    <col min="5664" max="5664" width="33.90625" style="76" customWidth="1"/>
    <col min="5665" max="5888" width="8.26953125" style="76"/>
    <col min="5889" max="5889" width="11.54296875" style="76" customWidth="1"/>
    <col min="5890" max="5891" width="4.6328125" style="76" customWidth="1"/>
    <col min="5892" max="5893" width="6.453125" style="76" bestFit="1" customWidth="1"/>
    <col min="5894" max="5894" width="7.36328125" style="76" bestFit="1" customWidth="1"/>
    <col min="5895" max="5896" width="6.453125" style="76" bestFit="1" customWidth="1"/>
    <col min="5897" max="5897" width="7.36328125" style="76" bestFit="1" customWidth="1"/>
    <col min="5898" max="5899" width="6.453125" style="76" bestFit="1" customWidth="1"/>
    <col min="5900" max="5900" width="7.36328125" style="76" bestFit="1" customWidth="1"/>
    <col min="5901" max="5902" width="0" style="76" hidden="1" customWidth="1"/>
    <col min="5903" max="5903" width="10" style="76" customWidth="1"/>
    <col min="5904" max="5904" width="8.453125" style="76" bestFit="1" customWidth="1"/>
    <col min="5905" max="5905" width="6.7265625" style="76" bestFit="1" customWidth="1"/>
    <col min="5906" max="5906" width="0" style="76" hidden="1" customWidth="1"/>
    <col min="5907" max="5907" width="9.1796875" style="76" customWidth="1"/>
    <col min="5908" max="5908" width="0" style="76" hidden="1" customWidth="1"/>
    <col min="5909" max="5909" width="8.26953125" style="76" bestFit="1" customWidth="1"/>
    <col min="5910" max="5910" width="5.36328125" style="76" bestFit="1" customWidth="1"/>
    <col min="5911" max="5911" width="13.6328125" style="76" customWidth="1"/>
    <col min="5912" max="5914" width="4.453125" style="76" bestFit="1" customWidth="1"/>
    <col min="5915" max="5915" width="5.453125" style="76" bestFit="1" customWidth="1"/>
    <col min="5916" max="5916" width="7.6328125" style="76" bestFit="1" customWidth="1"/>
    <col min="5917" max="5917" width="8.1796875" style="76" bestFit="1" customWidth="1"/>
    <col min="5918" max="5918" width="6.7265625" style="76" customWidth="1"/>
    <col min="5919" max="5919" width="12.36328125" style="76" customWidth="1"/>
    <col min="5920" max="5920" width="33.90625" style="76" customWidth="1"/>
    <col min="5921" max="6144" width="8.26953125" style="76"/>
    <col min="6145" max="6145" width="11.54296875" style="76" customWidth="1"/>
    <col min="6146" max="6147" width="4.6328125" style="76" customWidth="1"/>
    <col min="6148" max="6149" width="6.453125" style="76" bestFit="1" customWidth="1"/>
    <col min="6150" max="6150" width="7.36328125" style="76" bestFit="1" customWidth="1"/>
    <col min="6151" max="6152" width="6.453125" style="76" bestFit="1" customWidth="1"/>
    <col min="6153" max="6153" width="7.36328125" style="76" bestFit="1" customWidth="1"/>
    <col min="6154" max="6155" width="6.453125" style="76" bestFit="1" customWidth="1"/>
    <col min="6156" max="6156" width="7.36328125" style="76" bestFit="1" customWidth="1"/>
    <col min="6157" max="6158" width="0" style="76" hidden="1" customWidth="1"/>
    <col min="6159" max="6159" width="10" style="76" customWidth="1"/>
    <col min="6160" max="6160" width="8.453125" style="76" bestFit="1" customWidth="1"/>
    <col min="6161" max="6161" width="6.7265625" style="76" bestFit="1" customWidth="1"/>
    <col min="6162" max="6162" width="0" style="76" hidden="1" customWidth="1"/>
    <col min="6163" max="6163" width="9.1796875" style="76" customWidth="1"/>
    <col min="6164" max="6164" width="0" style="76" hidden="1" customWidth="1"/>
    <col min="6165" max="6165" width="8.26953125" style="76" bestFit="1" customWidth="1"/>
    <col min="6166" max="6166" width="5.36328125" style="76" bestFit="1" customWidth="1"/>
    <col min="6167" max="6167" width="13.6328125" style="76" customWidth="1"/>
    <col min="6168" max="6170" width="4.453125" style="76" bestFit="1" customWidth="1"/>
    <col min="6171" max="6171" width="5.453125" style="76" bestFit="1" customWidth="1"/>
    <col min="6172" max="6172" width="7.6328125" style="76" bestFit="1" customWidth="1"/>
    <col min="6173" max="6173" width="8.1796875" style="76" bestFit="1" customWidth="1"/>
    <col min="6174" max="6174" width="6.7265625" style="76" customWidth="1"/>
    <col min="6175" max="6175" width="12.36328125" style="76" customWidth="1"/>
    <col min="6176" max="6176" width="33.90625" style="76" customWidth="1"/>
    <col min="6177" max="6400" width="8.26953125" style="76"/>
    <col min="6401" max="6401" width="11.54296875" style="76" customWidth="1"/>
    <col min="6402" max="6403" width="4.6328125" style="76" customWidth="1"/>
    <col min="6404" max="6405" width="6.453125" style="76" bestFit="1" customWidth="1"/>
    <col min="6406" max="6406" width="7.36328125" style="76" bestFit="1" customWidth="1"/>
    <col min="6407" max="6408" width="6.453125" style="76" bestFit="1" customWidth="1"/>
    <col min="6409" max="6409" width="7.36328125" style="76" bestFit="1" customWidth="1"/>
    <col min="6410" max="6411" width="6.453125" style="76" bestFit="1" customWidth="1"/>
    <col min="6412" max="6412" width="7.36328125" style="76" bestFit="1" customWidth="1"/>
    <col min="6413" max="6414" width="0" style="76" hidden="1" customWidth="1"/>
    <col min="6415" max="6415" width="10" style="76" customWidth="1"/>
    <col min="6416" max="6416" width="8.453125" style="76" bestFit="1" customWidth="1"/>
    <col min="6417" max="6417" width="6.7265625" style="76" bestFit="1" customWidth="1"/>
    <col min="6418" max="6418" width="0" style="76" hidden="1" customWidth="1"/>
    <col min="6419" max="6419" width="9.1796875" style="76" customWidth="1"/>
    <col min="6420" max="6420" width="0" style="76" hidden="1" customWidth="1"/>
    <col min="6421" max="6421" width="8.26953125" style="76" bestFit="1" customWidth="1"/>
    <col min="6422" max="6422" width="5.36328125" style="76" bestFit="1" customWidth="1"/>
    <col min="6423" max="6423" width="13.6328125" style="76" customWidth="1"/>
    <col min="6424" max="6426" width="4.453125" style="76" bestFit="1" customWidth="1"/>
    <col min="6427" max="6427" width="5.453125" style="76" bestFit="1" customWidth="1"/>
    <col min="6428" max="6428" width="7.6328125" style="76" bestFit="1" customWidth="1"/>
    <col min="6429" max="6429" width="8.1796875" style="76" bestFit="1" customWidth="1"/>
    <col min="6430" max="6430" width="6.7265625" style="76" customWidth="1"/>
    <col min="6431" max="6431" width="12.36328125" style="76" customWidth="1"/>
    <col min="6432" max="6432" width="33.90625" style="76" customWidth="1"/>
    <col min="6433" max="6656" width="8.26953125" style="76"/>
    <col min="6657" max="6657" width="11.54296875" style="76" customWidth="1"/>
    <col min="6658" max="6659" width="4.6328125" style="76" customWidth="1"/>
    <col min="6660" max="6661" width="6.453125" style="76" bestFit="1" customWidth="1"/>
    <col min="6662" max="6662" width="7.36328125" style="76" bestFit="1" customWidth="1"/>
    <col min="6663" max="6664" width="6.453125" style="76" bestFit="1" customWidth="1"/>
    <col min="6665" max="6665" width="7.36328125" style="76" bestFit="1" customWidth="1"/>
    <col min="6666" max="6667" width="6.453125" style="76" bestFit="1" customWidth="1"/>
    <col min="6668" max="6668" width="7.36328125" style="76" bestFit="1" customWidth="1"/>
    <col min="6669" max="6670" width="0" style="76" hidden="1" customWidth="1"/>
    <col min="6671" max="6671" width="10" style="76" customWidth="1"/>
    <col min="6672" max="6672" width="8.453125" style="76" bestFit="1" customWidth="1"/>
    <col min="6673" max="6673" width="6.7265625" style="76" bestFit="1" customWidth="1"/>
    <col min="6674" max="6674" width="0" style="76" hidden="1" customWidth="1"/>
    <col min="6675" max="6675" width="9.1796875" style="76" customWidth="1"/>
    <col min="6676" max="6676" width="0" style="76" hidden="1" customWidth="1"/>
    <col min="6677" max="6677" width="8.26953125" style="76" bestFit="1" customWidth="1"/>
    <col min="6678" max="6678" width="5.36328125" style="76" bestFit="1" customWidth="1"/>
    <col min="6679" max="6679" width="13.6328125" style="76" customWidth="1"/>
    <col min="6680" max="6682" width="4.453125" style="76" bestFit="1" customWidth="1"/>
    <col min="6683" max="6683" width="5.453125" style="76" bestFit="1" customWidth="1"/>
    <col min="6684" max="6684" width="7.6328125" style="76" bestFit="1" customWidth="1"/>
    <col min="6685" max="6685" width="8.1796875" style="76" bestFit="1" customWidth="1"/>
    <col min="6686" max="6686" width="6.7265625" style="76" customWidth="1"/>
    <col min="6687" max="6687" width="12.36328125" style="76" customWidth="1"/>
    <col min="6688" max="6688" width="33.90625" style="76" customWidth="1"/>
    <col min="6689" max="6912" width="8.26953125" style="76"/>
    <col min="6913" max="6913" width="11.54296875" style="76" customWidth="1"/>
    <col min="6914" max="6915" width="4.6328125" style="76" customWidth="1"/>
    <col min="6916" max="6917" width="6.453125" style="76" bestFit="1" customWidth="1"/>
    <col min="6918" max="6918" width="7.36328125" style="76" bestFit="1" customWidth="1"/>
    <col min="6919" max="6920" width="6.453125" style="76" bestFit="1" customWidth="1"/>
    <col min="6921" max="6921" width="7.36328125" style="76" bestFit="1" customWidth="1"/>
    <col min="6922" max="6923" width="6.453125" style="76" bestFit="1" customWidth="1"/>
    <col min="6924" max="6924" width="7.36328125" style="76" bestFit="1" customWidth="1"/>
    <col min="6925" max="6926" width="0" style="76" hidden="1" customWidth="1"/>
    <col min="6927" max="6927" width="10" style="76" customWidth="1"/>
    <col min="6928" max="6928" width="8.453125" style="76" bestFit="1" customWidth="1"/>
    <col min="6929" max="6929" width="6.7265625" style="76" bestFit="1" customWidth="1"/>
    <col min="6930" max="6930" width="0" style="76" hidden="1" customWidth="1"/>
    <col min="6931" max="6931" width="9.1796875" style="76" customWidth="1"/>
    <col min="6932" max="6932" width="0" style="76" hidden="1" customWidth="1"/>
    <col min="6933" max="6933" width="8.26953125" style="76" bestFit="1" customWidth="1"/>
    <col min="6934" max="6934" width="5.36328125" style="76" bestFit="1" customWidth="1"/>
    <col min="6935" max="6935" width="13.6328125" style="76" customWidth="1"/>
    <col min="6936" max="6938" width="4.453125" style="76" bestFit="1" customWidth="1"/>
    <col min="6939" max="6939" width="5.453125" style="76" bestFit="1" customWidth="1"/>
    <col min="6940" max="6940" width="7.6328125" style="76" bestFit="1" customWidth="1"/>
    <col min="6941" max="6941" width="8.1796875" style="76" bestFit="1" customWidth="1"/>
    <col min="6942" max="6942" width="6.7265625" style="76" customWidth="1"/>
    <col min="6943" max="6943" width="12.36328125" style="76" customWidth="1"/>
    <col min="6944" max="6944" width="33.90625" style="76" customWidth="1"/>
    <col min="6945" max="7168" width="8.26953125" style="76"/>
    <col min="7169" max="7169" width="11.54296875" style="76" customWidth="1"/>
    <col min="7170" max="7171" width="4.6328125" style="76" customWidth="1"/>
    <col min="7172" max="7173" width="6.453125" style="76" bestFit="1" customWidth="1"/>
    <col min="7174" max="7174" width="7.36328125" style="76" bestFit="1" customWidth="1"/>
    <col min="7175" max="7176" width="6.453125" style="76" bestFit="1" customWidth="1"/>
    <col min="7177" max="7177" width="7.36328125" style="76" bestFit="1" customWidth="1"/>
    <col min="7178" max="7179" width="6.453125" style="76" bestFit="1" customWidth="1"/>
    <col min="7180" max="7180" width="7.36328125" style="76" bestFit="1" customWidth="1"/>
    <col min="7181" max="7182" width="0" style="76" hidden="1" customWidth="1"/>
    <col min="7183" max="7183" width="10" style="76" customWidth="1"/>
    <col min="7184" max="7184" width="8.453125" style="76" bestFit="1" customWidth="1"/>
    <col min="7185" max="7185" width="6.7265625" style="76" bestFit="1" customWidth="1"/>
    <col min="7186" max="7186" width="0" style="76" hidden="1" customWidth="1"/>
    <col min="7187" max="7187" width="9.1796875" style="76" customWidth="1"/>
    <col min="7188" max="7188" width="0" style="76" hidden="1" customWidth="1"/>
    <col min="7189" max="7189" width="8.26953125" style="76" bestFit="1" customWidth="1"/>
    <col min="7190" max="7190" width="5.36328125" style="76" bestFit="1" customWidth="1"/>
    <col min="7191" max="7191" width="13.6328125" style="76" customWidth="1"/>
    <col min="7192" max="7194" width="4.453125" style="76" bestFit="1" customWidth="1"/>
    <col min="7195" max="7195" width="5.453125" style="76" bestFit="1" customWidth="1"/>
    <col min="7196" max="7196" width="7.6328125" style="76" bestFit="1" customWidth="1"/>
    <col min="7197" max="7197" width="8.1796875" style="76" bestFit="1" customWidth="1"/>
    <col min="7198" max="7198" width="6.7265625" style="76" customWidth="1"/>
    <col min="7199" max="7199" width="12.36328125" style="76" customWidth="1"/>
    <col min="7200" max="7200" width="33.90625" style="76" customWidth="1"/>
    <col min="7201" max="7424" width="8.26953125" style="76"/>
    <col min="7425" max="7425" width="11.54296875" style="76" customWidth="1"/>
    <col min="7426" max="7427" width="4.6328125" style="76" customWidth="1"/>
    <col min="7428" max="7429" width="6.453125" style="76" bestFit="1" customWidth="1"/>
    <col min="7430" max="7430" width="7.36328125" style="76" bestFit="1" customWidth="1"/>
    <col min="7431" max="7432" width="6.453125" style="76" bestFit="1" customWidth="1"/>
    <col min="7433" max="7433" width="7.36328125" style="76" bestFit="1" customWidth="1"/>
    <col min="7434" max="7435" width="6.453125" style="76" bestFit="1" customWidth="1"/>
    <col min="7436" max="7436" width="7.36328125" style="76" bestFit="1" customWidth="1"/>
    <col min="7437" max="7438" width="0" style="76" hidden="1" customWidth="1"/>
    <col min="7439" max="7439" width="10" style="76" customWidth="1"/>
    <col min="7440" max="7440" width="8.453125" style="76" bestFit="1" customWidth="1"/>
    <col min="7441" max="7441" width="6.7265625" style="76" bestFit="1" customWidth="1"/>
    <col min="7442" max="7442" width="0" style="76" hidden="1" customWidth="1"/>
    <col min="7443" max="7443" width="9.1796875" style="76" customWidth="1"/>
    <col min="7444" max="7444" width="0" style="76" hidden="1" customWidth="1"/>
    <col min="7445" max="7445" width="8.26953125" style="76" bestFit="1" customWidth="1"/>
    <col min="7446" max="7446" width="5.36328125" style="76" bestFit="1" customWidth="1"/>
    <col min="7447" max="7447" width="13.6328125" style="76" customWidth="1"/>
    <col min="7448" max="7450" width="4.453125" style="76" bestFit="1" customWidth="1"/>
    <col min="7451" max="7451" width="5.453125" style="76" bestFit="1" customWidth="1"/>
    <col min="7452" max="7452" width="7.6328125" style="76" bestFit="1" customWidth="1"/>
    <col min="7453" max="7453" width="8.1796875" style="76" bestFit="1" customWidth="1"/>
    <col min="7454" max="7454" width="6.7265625" style="76" customWidth="1"/>
    <col min="7455" max="7455" width="12.36328125" style="76" customWidth="1"/>
    <col min="7456" max="7456" width="33.90625" style="76" customWidth="1"/>
    <col min="7457" max="7680" width="8.26953125" style="76"/>
    <col min="7681" max="7681" width="11.54296875" style="76" customWidth="1"/>
    <col min="7682" max="7683" width="4.6328125" style="76" customWidth="1"/>
    <col min="7684" max="7685" width="6.453125" style="76" bestFit="1" customWidth="1"/>
    <col min="7686" max="7686" width="7.36328125" style="76" bestFit="1" customWidth="1"/>
    <col min="7687" max="7688" width="6.453125" style="76" bestFit="1" customWidth="1"/>
    <col min="7689" max="7689" width="7.36328125" style="76" bestFit="1" customWidth="1"/>
    <col min="7690" max="7691" width="6.453125" style="76" bestFit="1" customWidth="1"/>
    <col min="7692" max="7692" width="7.36328125" style="76" bestFit="1" customWidth="1"/>
    <col min="7693" max="7694" width="0" style="76" hidden="1" customWidth="1"/>
    <col min="7695" max="7695" width="10" style="76" customWidth="1"/>
    <col min="7696" max="7696" width="8.453125" style="76" bestFit="1" customWidth="1"/>
    <col min="7697" max="7697" width="6.7265625" style="76" bestFit="1" customWidth="1"/>
    <col min="7698" max="7698" width="0" style="76" hidden="1" customWidth="1"/>
    <col min="7699" max="7699" width="9.1796875" style="76" customWidth="1"/>
    <col min="7700" max="7700" width="0" style="76" hidden="1" customWidth="1"/>
    <col min="7701" max="7701" width="8.26953125" style="76" bestFit="1" customWidth="1"/>
    <col min="7702" max="7702" width="5.36328125" style="76" bestFit="1" customWidth="1"/>
    <col min="7703" max="7703" width="13.6328125" style="76" customWidth="1"/>
    <col min="7704" max="7706" width="4.453125" style="76" bestFit="1" customWidth="1"/>
    <col min="7707" max="7707" width="5.453125" style="76" bestFit="1" customWidth="1"/>
    <col min="7708" max="7708" width="7.6328125" style="76" bestFit="1" customWidth="1"/>
    <col min="7709" max="7709" width="8.1796875" style="76" bestFit="1" customWidth="1"/>
    <col min="7710" max="7710" width="6.7265625" style="76" customWidth="1"/>
    <col min="7711" max="7711" width="12.36328125" style="76" customWidth="1"/>
    <col min="7712" max="7712" width="33.90625" style="76" customWidth="1"/>
    <col min="7713" max="7936" width="8.26953125" style="76"/>
    <col min="7937" max="7937" width="11.54296875" style="76" customWidth="1"/>
    <col min="7938" max="7939" width="4.6328125" style="76" customWidth="1"/>
    <col min="7940" max="7941" width="6.453125" style="76" bestFit="1" customWidth="1"/>
    <col min="7942" max="7942" width="7.36328125" style="76" bestFit="1" customWidth="1"/>
    <col min="7943" max="7944" width="6.453125" style="76" bestFit="1" customWidth="1"/>
    <col min="7945" max="7945" width="7.36328125" style="76" bestFit="1" customWidth="1"/>
    <col min="7946" max="7947" width="6.453125" style="76" bestFit="1" customWidth="1"/>
    <col min="7948" max="7948" width="7.36328125" style="76" bestFit="1" customWidth="1"/>
    <col min="7949" max="7950" width="0" style="76" hidden="1" customWidth="1"/>
    <col min="7951" max="7951" width="10" style="76" customWidth="1"/>
    <col min="7952" max="7952" width="8.453125" style="76" bestFit="1" customWidth="1"/>
    <col min="7953" max="7953" width="6.7265625" style="76" bestFit="1" customWidth="1"/>
    <col min="7954" max="7954" width="0" style="76" hidden="1" customWidth="1"/>
    <col min="7955" max="7955" width="9.1796875" style="76" customWidth="1"/>
    <col min="7956" max="7956" width="0" style="76" hidden="1" customWidth="1"/>
    <col min="7957" max="7957" width="8.26953125" style="76" bestFit="1" customWidth="1"/>
    <col min="7958" max="7958" width="5.36328125" style="76" bestFit="1" customWidth="1"/>
    <col min="7959" max="7959" width="13.6328125" style="76" customWidth="1"/>
    <col min="7960" max="7962" width="4.453125" style="76" bestFit="1" customWidth="1"/>
    <col min="7963" max="7963" width="5.453125" style="76" bestFit="1" customWidth="1"/>
    <col min="7964" max="7964" width="7.6328125" style="76" bestFit="1" customWidth="1"/>
    <col min="7965" max="7965" width="8.1796875" style="76" bestFit="1" customWidth="1"/>
    <col min="7966" max="7966" width="6.7265625" style="76" customWidth="1"/>
    <col min="7967" max="7967" width="12.36328125" style="76" customWidth="1"/>
    <col min="7968" max="7968" width="33.90625" style="76" customWidth="1"/>
    <col min="7969" max="8192" width="8.26953125" style="76"/>
    <col min="8193" max="8193" width="11.54296875" style="76" customWidth="1"/>
    <col min="8194" max="8195" width="4.6328125" style="76" customWidth="1"/>
    <col min="8196" max="8197" width="6.453125" style="76" bestFit="1" customWidth="1"/>
    <col min="8198" max="8198" width="7.36328125" style="76" bestFit="1" customWidth="1"/>
    <col min="8199" max="8200" width="6.453125" style="76" bestFit="1" customWidth="1"/>
    <col min="8201" max="8201" width="7.36328125" style="76" bestFit="1" customWidth="1"/>
    <col min="8202" max="8203" width="6.453125" style="76" bestFit="1" customWidth="1"/>
    <col min="8204" max="8204" width="7.36328125" style="76" bestFit="1" customWidth="1"/>
    <col min="8205" max="8206" width="0" style="76" hidden="1" customWidth="1"/>
    <col min="8207" max="8207" width="10" style="76" customWidth="1"/>
    <col min="8208" max="8208" width="8.453125" style="76" bestFit="1" customWidth="1"/>
    <col min="8209" max="8209" width="6.7265625" style="76" bestFit="1" customWidth="1"/>
    <col min="8210" max="8210" width="0" style="76" hidden="1" customWidth="1"/>
    <col min="8211" max="8211" width="9.1796875" style="76" customWidth="1"/>
    <col min="8212" max="8212" width="0" style="76" hidden="1" customWidth="1"/>
    <col min="8213" max="8213" width="8.26953125" style="76" bestFit="1" customWidth="1"/>
    <col min="8214" max="8214" width="5.36328125" style="76" bestFit="1" customWidth="1"/>
    <col min="8215" max="8215" width="13.6328125" style="76" customWidth="1"/>
    <col min="8216" max="8218" width="4.453125" style="76" bestFit="1" customWidth="1"/>
    <col min="8219" max="8219" width="5.453125" style="76" bestFit="1" customWidth="1"/>
    <col min="8220" max="8220" width="7.6328125" style="76" bestFit="1" customWidth="1"/>
    <col min="8221" max="8221" width="8.1796875" style="76" bestFit="1" customWidth="1"/>
    <col min="8222" max="8222" width="6.7265625" style="76" customWidth="1"/>
    <col min="8223" max="8223" width="12.36328125" style="76" customWidth="1"/>
    <col min="8224" max="8224" width="33.90625" style="76" customWidth="1"/>
    <col min="8225" max="8448" width="8.26953125" style="76"/>
    <col min="8449" max="8449" width="11.54296875" style="76" customWidth="1"/>
    <col min="8450" max="8451" width="4.6328125" style="76" customWidth="1"/>
    <col min="8452" max="8453" width="6.453125" style="76" bestFit="1" customWidth="1"/>
    <col min="8454" max="8454" width="7.36328125" style="76" bestFit="1" customWidth="1"/>
    <col min="8455" max="8456" width="6.453125" style="76" bestFit="1" customWidth="1"/>
    <col min="8457" max="8457" width="7.36328125" style="76" bestFit="1" customWidth="1"/>
    <col min="8458" max="8459" width="6.453125" style="76" bestFit="1" customWidth="1"/>
    <col min="8460" max="8460" width="7.36328125" style="76" bestFit="1" customWidth="1"/>
    <col min="8461" max="8462" width="0" style="76" hidden="1" customWidth="1"/>
    <col min="8463" max="8463" width="10" style="76" customWidth="1"/>
    <col min="8464" max="8464" width="8.453125" style="76" bestFit="1" customWidth="1"/>
    <col min="8465" max="8465" width="6.7265625" style="76" bestFit="1" customWidth="1"/>
    <col min="8466" max="8466" width="0" style="76" hidden="1" customWidth="1"/>
    <col min="8467" max="8467" width="9.1796875" style="76" customWidth="1"/>
    <col min="8468" max="8468" width="0" style="76" hidden="1" customWidth="1"/>
    <col min="8469" max="8469" width="8.26953125" style="76" bestFit="1" customWidth="1"/>
    <col min="8470" max="8470" width="5.36328125" style="76" bestFit="1" customWidth="1"/>
    <col min="8471" max="8471" width="13.6328125" style="76" customWidth="1"/>
    <col min="8472" max="8474" width="4.453125" style="76" bestFit="1" customWidth="1"/>
    <col min="8475" max="8475" width="5.453125" style="76" bestFit="1" customWidth="1"/>
    <col min="8476" max="8476" width="7.6328125" style="76" bestFit="1" customWidth="1"/>
    <col min="8477" max="8477" width="8.1796875" style="76" bestFit="1" customWidth="1"/>
    <col min="8478" max="8478" width="6.7265625" style="76" customWidth="1"/>
    <col min="8479" max="8479" width="12.36328125" style="76" customWidth="1"/>
    <col min="8480" max="8480" width="33.90625" style="76" customWidth="1"/>
    <col min="8481" max="8704" width="8.26953125" style="76"/>
    <col min="8705" max="8705" width="11.54296875" style="76" customWidth="1"/>
    <col min="8706" max="8707" width="4.6328125" style="76" customWidth="1"/>
    <col min="8708" max="8709" width="6.453125" style="76" bestFit="1" customWidth="1"/>
    <col min="8710" max="8710" width="7.36328125" style="76" bestFit="1" customWidth="1"/>
    <col min="8711" max="8712" width="6.453125" style="76" bestFit="1" customWidth="1"/>
    <col min="8713" max="8713" width="7.36328125" style="76" bestFit="1" customWidth="1"/>
    <col min="8714" max="8715" width="6.453125" style="76" bestFit="1" customWidth="1"/>
    <col min="8716" max="8716" width="7.36328125" style="76" bestFit="1" customWidth="1"/>
    <col min="8717" max="8718" width="0" style="76" hidden="1" customWidth="1"/>
    <col min="8719" max="8719" width="10" style="76" customWidth="1"/>
    <col min="8720" max="8720" width="8.453125" style="76" bestFit="1" customWidth="1"/>
    <col min="8721" max="8721" width="6.7265625" style="76" bestFit="1" customWidth="1"/>
    <col min="8722" max="8722" width="0" style="76" hidden="1" customWidth="1"/>
    <col min="8723" max="8723" width="9.1796875" style="76" customWidth="1"/>
    <col min="8724" max="8724" width="0" style="76" hidden="1" customWidth="1"/>
    <col min="8725" max="8725" width="8.26953125" style="76" bestFit="1" customWidth="1"/>
    <col min="8726" max="8726" width="5.36328125" style="76" bestFit="1" customWidth="1"/>
    <col min="8727" max="8727" width="13.6328125" style="76" customWidth="1"/>
    <col min="8728" max="8730" width="4.453125" style="76" bestFit="1" customWidth="1"/>
    <col min="8731" max="8731" width="5.453125" style="76" bestFit="1" customWidth="1"/>
    <col min="8732" max="8732" width="7.6328125" style="76" bestFit="1" customWidth="1"/>
    <col min="8733" max="8733" width="8.1796875" style="76" bestFit="1" customWidth="1"/>
    <col min="8734" max="8734" width="6.7265625" style="76" customWidth="1"/>
    <col min="8735" max="8735" width="12.36328125" style="76" customWidth="1"/>
    <col min="8736" max="8736" width="33.90625" style="76" customWidth="1"/>
    <col min="8737" max="8960" width="8.26953125" style="76"/>
    <col min="8961" max="8961" width="11.54296875" style="76" customWidth="1"/>
    <col min="8962" max="8963" width="4.6328125" style="76" customWidth="1"/>
    <col min="8964" max="8965" width="6.453125" style="76" bestFit="1" customWidth="1"/>
    <col min="8966" max="8966" width="7.36328125" style="76" bestFit="1" customWidth="1"/>
    <col min="8967" max="8968" width="6.453125" style="76" bestFit="1" customWidth="1"/>
    <col min="8969" max="8969" width="7.36328125" style="76" bestFit="1" customWidth="1"/>
    <col min="8970" max="8971" width="6.453125" style="76" bestFit="1" customWidth="1"/>
    <col min="8972" max="8972" width="7.36328125" style="76" bestFit="1" customWidth="1"/>
    <col min="8973" max="8974" width="0" style="76" hidden="1" customWidth="1"/>
    <col min="8975" max="8975" width="10" style="76" customWidth="1"/>
    <col min="8976" max="8976" width="8.453125" style="76" bestFit="1" customWidth="1"/>
    <col min="8977" max="8977" width="6.7265625" style="76" bestFit="1" customWidth="1"/>
    <col min="8978" max="8978" width="0" style="76" hidden="1" customWidth="1"/>
    <col min="8979" max="8979" width="9.1796875" style="76" customWidth="1"/>
    <col min="8980" max="8980" width="0" style="76" hidden="1" customWidth="1"/>
    <col min="8981" max="8981" width="8.26953125" style="76" bestFit="1" customWidth="1"/>
    <col min="8982" max="8982" width="5.36328125" style="76" bestFit="1" customWidth="1"/>
    <col min="8983" max="8983" width="13.6328125" style="76" customWidth="1"/>
    <col min="8984" max="8986" width="4.453125" style="76" bestFit="1" customWidth="1"/>
    <col min="8987" max="8987" width="5.453125" style="76" bestFit="1" customWidth="1"/>
    <col min="8988" max="8988" width="7.6328125" style="76" bestFit="1" customWidth="1"/>
    <col min="8989" max="8989" width="8.1796875" style="76" bestFit="1" customWidth="1"/>
    <col min="8990" max="8990" width="6.7265625" style="76" customWidth="1"/>
    <col min="8991" max="8991" width="12.36328125" style="76" customWidth="1"/>
    <col min="8992" max="8992" width="33.90625" style="76" customWidth="1"/>
    <col min="8993" max="9216" width="8.26953125" style="76"/>
    <col min="9217" max="9217" width="11.54296875" style="76" customWidth="1"/>
    <col min="9218" max="9219" width="4.6328125" style="76" customWidth="1"/>
    <col min="9220" max="9221" width="6.453125" style="76" bestFit="1" customWidth="1"/>
    <col min="9222" max="9222" width="7.36328125" style="76" bestFit="1" customWidth="1"/>
    <col min="9223" max="9224" width="6.453125" style="76" bestFit="1" customWidth="1"/>
    <col min="9225" max="9225" width="7.36328125" style="76" bestFit="1" customWidth="1"/>
    <col min="9226" max="9227" width="6.453125" style="76" bestFit="1" customWidth="1"/>
    <col min="9228" max="9228" width="7.36328125" style="76" bestFit="1" customWidth="1"/>
    <col min="9229" max="9230" width="0" style="76" hidden="1" customWidth="1"/>
    <col min="9231" max="9231" width="10" style="76" customWidth="1"/>
    <col min="9232" max="9232" width="8.453125" style="76" bestFit="1" customWidth="1"/>
    <col min="9233" max="9233" width="6.7265625" style="76" bestFit="1" customWidth="1"/>
    <col min="9234" max="9234" width="0" style="76" hidden="1" customWidth="1"/>
    <col min="9235" max="9235" width="9.1796875" style="76" customWidth="1"/>
    <col min="9236" max="9236" width="0" style="76" hidden="1" customWidth="1"/>
    <col min="9237" max="9237" width="8.26953125" style="76" bestFit="1" customWidth="1"/>
    <col min="9238" max="9238" width="5.36328125" style="76" bestFit="1" customWidth="1"/>
    <col min="9239" max="9239" width="13.6328125" style="76" customWidth="1"/>
    <col min="9240" max="9242" width="4.453125" style="76" bestFit="1" customWidth="1"/>
    <col min="9243" max="9243" width="5.453125" style="76" bestFit="1" customWidth="1"/>
    <col min="9244" max="9244" width="7.6328125" style="76" bestFit="1" customWidth="1"/>
    <col min="9245" max="9245" width="8.1796875" style="76" bestFit="1" customWidth="1"/>
    <col min="9246" max="9246" width="6.7265625" style="76" customWidth="1"/>
    <col min="9247" max="9247" width="12.36328125" style="76" customWidth="1"/>
    <col min="9248" max="9248" width="33.90625" style="76" customWidth="1"/>
    <col min="9249" max="9472" width="8.26953125" style="76"/>
    <col min="9473" max="9473" width="11.54296875" style="76" customWidth="1"/>
    <col min="9474" max="9475" width="4.6328125" style="76" customWidth="1"/>
    <col min="9476" max="9477" width="6.453125" style="76" bestFit="1" customWidth="1"/>
    <col min="9478" max="9478" width="7.36328125" style="76" bestFit="1" customWidth="1"/>
    <col min="9479" max="9480" width="6.453125" style="76" bestFit="1" customWidth="1"/>
    <col min="9481" max="9481" width="7.36328125" style="76" bestFit="1" customWidth="1"/>
    <col min="9482" max="9483" width="6.453125" style="76" bestFit="1" customWidth="1"/>
    <col min="9484" max="9484" width="7.36328125" style="76" bestFit="1" customWidth="1"/>
    <col min="9485" max="9486" width="0" style="76" hidden="1" customWidth="1"/>
    <col min="9487" max="9487" width="10" style="76" customWidth="1"/>
    <col min="9488" max="9488" width="8.453125" style="76" bestFit="1" customWidth="1"/>
    <col min="9489" max="9489" width="6.7265625" style="76" bestFit="1" customWidth="1"/>
    <col min="9490" max="9490" width="0" style="76" hidden="1" customWidth="1"/>
    <col min="9491" max="9491" width="9.1796875" style="76" customWidth="1"/>
    <col min="9492" max="9492" width="0" style="76" hidden="1" customWidth="1"/>
    <col min="9493" max="9493" width="8.26953125" style="76" bestFit="1" customWidth="1"/>
    <col min="9494" max="9494" width="5.36328125" style="76" bestFit="1" customWidth="1"/>
    <col min="9495" max="9495" width="13.6328125" style="76" customWidth="1"/>
    <col min="9496" max="9498" width="4.453125" style="76" bestFit="1" customWidth="1"/>
    <col min="9499" max="9499" width="5.453125" style="76" bestFit="1" customWidth="1"/>
    <col min="9500" max="9500" width="7.6328125" style="76" bestFit="1" customWidth="1"/>
    <col min="9501" max="9501" width="8.1796875" style="76" bestFit="1" customWidth="1"/>
    <col min="9502" max="9502" width="6.7265625" style="76" customWidth="1"/>
    <col min="9503" max="9503" width="12.36328125" style="76" customWidth="1"/>
    <col min="9504" max="9504" width="33.90625" style="76" customWidth="1"/>
    <col min="9505" max="9728" width="8.26953125" style="76"/>
    <col min="9729" max="9729" width="11.54296875" style="76" customWidth="1"/>
    <col min="9730" max="9731" width="4.6328125" style="76" customWidth="1"/>
    <col min="9732" max="9733" width="6.453125" style="76" bestFit="1" customWidth="1"/>
    <col min="9734" max="9734" width="7.36328125" style="76" bestFit="1" customWidth="1"/>
    <col min="9735" max="9736" width="6.453125" style="76" bestFit="1" customWidth="1"/>
    <col min="9737" max="9737" width="7.36328125" style="76" bestFit="1" customWidth="1"/>
    <col min="9738" max="9739" width="6.453125" style="76" bestFit="1" customWidth="1"/>
    <col min="9740" max="9740" width="7.36328125" style="76" bestFit="1" customWidth="1"/>
    <col min="9741" max="9742" width="0" style="76" hidden="1" customWidth="1"/>
    <col min="9743" max="9743" width="10" style="76" customWidth="1"/>
    <col min="9744" max="9744" width="8.453125" style="76" bestFit="1" customWidth="1"/>
    <col min="9745" max="9745" width="6.7265625" style="76" bestFit="1" customWidth="1"/>
    <col min="9746" max="9746" width="0" style="76" hidden="1" customWidth="1"/>
    <col min="9747" max="9747" width="9.1796875" style="76" customWidth="1"/>
    <col min="9748" max="9748" width="0" style="76" hidden="1" customWidth="1"/>
    <col min="9749" max="9749" width="8.26953125" style="76" bestFit="1" customWidth="1"/>
    <col min="9750" max="9750" width="5.36328125" style="76" bestFit="1" customWidth="1"/>
    <col min="9751" max="9751" width="13.6328125" style="76" customWidth="1"/>
    <col min="9752" max="9754" width="4.453125" style="76" bestFit="1" customWidth="1"/>
    <col min="9755" max="9755" width="5.453125" style="76" bestFit="1" customWidth="1"/>
    <col min="9756" max="9756" width="7.6328125" style="76" bestFit="1" customWidth="1"/>
    <col min="9757" max="9757" width="8.1796875" style="76" bestFit="1" customWidth="1"/>
    <col min="9758" max="9758" width="6.7265625" style="76" customWidth="1"/>
    <col min="9759" max="9759" width="12.36328125" style="76" customWidth="1"/>
    <col min="9760" max="9760" width="33.90625" style="76" customWidth="1"/>
    <col min="9761" max="9984" width="8.26953125" style="76"/>
    <col min="9985" max="9985" width="11.54296875" style="76" customWidth="1"/>
    <col min="9986" max="9987" width="4.6328125" style="76" customWidth="1"/>
    <col min="9988" max="9989" width="6.453125" style="76" bestFit="1" customWidth="1"/>
    <col min="9990" max="9990" width="7.36328125" style="76" bestFit="1" customWidth="1"/>
    <col min="9991" max="9992" width="6.453125" style="76" bestFit="1" customWidth="1"/>
    <col min="9993" max="9993" width="7.36328125" style="76" bestFit="1" customWidth="1"/>
    <col min="9994" max="9995" width="6.453125" style="76" bestFit="1" customWidth="1"/>
    <col min="9996" max="9996" width="7.36328125" style="76" bestFit="1" customWidth="1"/>
    <col min="9997" max="9998" width="0" style="76" hidden="1" customWidth="1"/>
    <col min="9999" max="9999" width="10" style="76" customWidth="1"/>
    <col min="10000" max="10000" width="8.453125" style="76" bestFit="1" customWidth="1"/>
    <col min="10001" max="10001" width="6.7265625" style="76" bestFit="1" customWidth="1"/>
    <col min="10002" max="10002" width="0" style="76" hidden="1" customWidth="1"/>
    <col min="10003" max="10003" width="9.1796875" style="76" customWidth="1"/>
    <col min="10004" max="10004" width="0" style="76" hidden="1" customWidth="1"/>
    <col min="10005" max="10005" width="8.26953125" style="76" bestFit="1" customWidth="1"/>
    <col min="10006" max="10006" width="5.36328125" style="76" bestFit="1" customWidth="1"/>
    <col min="10007" max="10007" width="13.6328125" style="76" customWidth="1"/>
    <col min="10008" max="10010" width="4.453125" style="76" bestFit="1" customWidth="1"/>
    <col min="10011" max="10011" width="5.453125" style="76" bestFit="1" customWidth="1"/>
    <col min="10012" max="10012" width="7.6328125" style="76" bestFit="1" customWidth="1"/>
    <col min="10013" max="10013" width="8.1796875" style="76" bestFit="1" customWidth="1"/>
    <col min="10014" max="10014" width="6.7265625" style="76" customWidth="1"/>
    <col min="10015" max="10015" width="12.36328125" style="76" customWidth="1"/>
    <col min="10016" max="10016" width="33.90625" style="76" customWidth="1"/>
    <col min="10017" max="10240" width="8.26953125" style="76"/>
    <col min="10241" max="10241" width="11.54296875" style="76" customWidth="1"/>
    <col min="10242" max="10243" width="4.6328125" style="76" customWidth="1"/>
    <col min="10244" max="10245" width="6.453125" style="76" bestFit="1" customWidth="1"/>
    <col min="10246" max="10246" width="7.36328125" style="76" bestFit="1" customWidth="1"/>
    <col min="10247" max="10248" width="6.453125" style="76" bestFit="1" customWidth="1"/>
    <col min="10249" max="10249" width="7.36328125" style="76" bestFit="1" customWidth="1"/>
    <col min="10250" max="10251" width="6.453125" style="76" bestFit="1" customWidth="1"/>
    <col min="10252" max="10252" width="7.36328125" style="76" bestFit="1" customWidth="1"/>
    <col min="10253" max="10254" width="0" style="76" hidden="1" customWidth="1"/>
    <col min="10255" max="10255" width="10" style="76" customWidth="1"/>
    <col min="10256" max="10256" width="8.453125" style="76" bestFit="1" customWidth="1"/>
    <col min="10257" max="10257" width="6.7265625" style="76" bestFit="1" customWidth="1"/>
    <col min="10258" max="10258" width="0" style="76" hidden="1" customWidth="1"/>
    <col min="10259" max="10259" width="9.1796875" style="76" customWidth="1"/>
    <col min="10260" max="10260" width="0" style="76" hidden="1" customWidth="1"/>
    <col min="10261" max="10261" width="8.26953125" style="76" bestFit="1" customWidth="1"/>
    <col min="10262" max="10262" width="5.36328125" style="76" bestFit="1" customWidth="1"/>
    <col min="10263" max="10263" width="13.6328125" style="76" customWidth="1"/>
    <col min="10264" max="10266" width="4.453125" style="76" bestFit="1" customWidth="1"/>
    <col min="10267" max="10267" width="5.453125" style="76" bestFit="1" customWidth="1"/>
    <col min="10268" max="10268" width="7.6328125" style="76" bestFit="1" customWidth="1"/>
    <col min="10269" max="10269" width="8.1796875" style="76" bestFit="1" customWidth="1"/>
    <col min="10270" max="10270" width="6.7265625" style="76" customWidth="1"/>
    <col min="10271" max="10271" width="12.36328125" style="76" customWidth="1"/>
    <col min="10272" max="10272" width="33.90625" style="76" customWidth="1"/>
    <col min="10273" max="10496" width="8.26953125" style="76"/>
    <col min="10497" max="10497" width="11.54296875" style="76" customWidth="1"/>
    <col min="10498" max="10499" width="4.6328125" style="76" customWidth="1"/>
    <col min="10500" max="10501" width="6.453125" style="76" bestFit="1" customWidth="1"/>
    <col min="10502" max="10502" width="7.36328125" style="76" bestFit="1" customWidth="1"/>
    <col min="10503" max="10504" width="6.453125" style="76" bestFit="1" customWidth="1"/>
    <col min="10505" max="10505" width="7.36328125" style="76" bestFit="1" customWidth="1"/>
    <col min="10506" max="10507" width="6.453125" style="76" bestFit="1" customWidth="1"/>
    <col min="10508" max="10508" width="7.36328125" style="76" bestFit="1" customWidth="1"/>
    <col min="10509" max="10510" width="0" style="76" hidden="1" customWidth="1"/>
    <col min="10511" max="10511" width="10" style="76" customWidth="1"/>
    <col min="10512" max="10512" width="8.453125" style="76" bestFit="1" customWidth="1"/>
    <col min="10513" max="10513" width="6.7265625" style="76" bestFit="1" customWidth="1"/>
    <col min="10514" max="10514" width="0" style="76" hidden="1" customWidth="1"/>
    <col min="10515" max="10515" width="9.1796875" style="76" customWidth="1"/>
    <col min="10516" max="10516" width="0" style="76" hidden="1" customWidth="1"/>
    <col min="10517" max="10517" width="8.26953125" style="76" bestFit="1" customWidth="1"/>
    <col min="10518" max="10518" width="5.36328125" style="76" bestFit="1" customWidth="1"/>
    <col min="10519" max="10519" width="13.6328125" style="76" customWidth="1"/>
    <col min="10520" max="10522" width="4.453125" style="76" bestFit="1" customWidth="1"/>
    <col min="10523" max="10523" width="5.453125" style="76" bestFit="1" customWidth="1"/>
    <col min="10524" max="10524" width="7.6328125" style="76" bestFit="1" customWidth="1"/>
    <col min="10525" max="10525" width="8.1796875" style="76" bestFit="1" customWidth="1"/>
    <col min="10526" max="10526" width="6.7265625" style="76" customWidth="1"/>
    <col min="10527" max="10527" width="12.36328125" style="76" customWidth="1"/>
    <col min="10528" max="10528" width="33.90625" style="76" customWidth="1"/>
    <col min="10529" max="10752" width="8.26953125" style="76"/>
    <col min="10753" max="10753" width="11.54296875" style="76" customWidth="1"/>
    <col min="10754" max="10755" width="4.6328125" style="76" customWidth="1"/>
    <col min="10756" max="10757" width="6.453125" style="76" bestFit="1" customWidth="1"/>
    <col min="10758" max="10758" width="7.36328125" style="76" bestFit="1" customWidth="1"/>
    <col min="10759" max="10760" width="6.453125" style="76" bestFit="1" customWidth="1"/>
    <col min="10761" max="10761" width="7.36328125" style="76" bestFit="1" customWidth="1"/>
    <col min="10762" max="10763" width="6.453125" style="76" bestFit="1" customWidth="1"/>
    <col min="10764" max="10764" width="7.36328125" style="76" bestFit="1" customWidth="1"/>
    <col min="10765" max="10766" width="0" style="76" hidden="1" customWidth="1"/>
    <col min="10767" max="10767" width="10" style="76" customWidth="1"/>
    <col min="10768" max="10768" width="8.453125" style="76" bestFit="1" customWidth="1"/>
    <col min="10769" max="10769" width="6.7265625" style="76" bestFit="1" customWidth="1"/>
    <col min="10770" max="10770" width="0" style="76" hidden="1" customWidth="1"/>
    <col min="10771" max="10771" width="9.1796875" style="76" customWidth="1"/>
    <col min="10772" max="10772" width="0" style="76" hidden="1" customWidth="1"/>
    <col min="10773" max="10773" width="8.26953125" style="76" bestFit="1" customWidth="1"/>
    <col min="10774" max="10774" width="5.36328125" style="76" bestFit="1" customWidth="1"/>
    <col min="10775" max="10775" width="13.6328125" style="76" customWidth="1"/>
    <col min="10776" max="10778" width="4.453125" style="76" bestFit="1" customWidth="1"/>
    <col min="10779" max="10779" width="5.453125" style="76" bestFit="1" customWidth="1"/>
    <col min="10780" max="10780" width="7.6328125" style="76" bestFit="1" customWidth="1"/>
    <col min="10781" max="10781" width="8.1796875" style="76" bestFit="1" customWidth="1"/>
    <col min="10782" max="10782" width="6.7265625" style="76" customWidth="1"/>
    <col min="10783" max="10783" width="12.36328125" style="76" customWidth="1"/>
    <col min="10784" max="10784" width="33.90625" style="76" customWidth="1"/>
    <col min="10785" max="11008" width="8.26953125" style="76"/>
    <col min="11009" max="11009" width="11.54296875" style="76" customWidth="1"/>
    <col min="11010" max="11011" width="4.6328125" style="76" customWidth="1"/>
    <col min="11012" max="11013" width="6.453125" style="76" bestFit="1" customWidth="1"/>
    <col min="11014" max="11014" width="7.36328125" style="76" bestFit="1" customWidth="1"/>
    <col min="11015" max="11016" width="6.453125" style="76" bestFit="1" customWidth="1"/>
    <col min="11017" max="11017" width="7.36328125" style="76" bestFit="1" customWidth="1"/>
    <col min="11018" max="11019" width="6.453125" style="76" bestFit="1" customWidth="1"/>
    <col min="11020" max="11020" width="7.36328125" style="76" bestFit="1" customWidth="1"/>
    <col min="11021" max="11022" width="0" style="76" hidden="1" customWidth="1"/>
    <col min="11023" max="11023" width="10" style="76" customWidth="1"/>
    <col min="11024" max="11024" width="8.453125" style="76" bestFit="1" customWidth="1"/>
    <col min="11025" max="11025" width="6.7265625" style="76" bestFit="1" customWidth="1"/>
    <col min="11026" max="11026" width="0" style="76" hidden="1" customWidth="1"/>
    <col min="11027" max="11027" width="9.1796875" style="76" customWidth="1"/>
    <col min="11028" max="11028" width="0" style="76" hidden="1" customWidth="1"/>
    <col min="11029" max="11029" width="8.26953125" style="76" bestFit="1" customWidth="1"/>
    <col min="11030" max="11030" width="5.36328125" style="76" bestFit="1" customWidth="1"/>
    <col min="11031" max="11031" width="13.6328125" style="76" customWidth="1"/>
    <col min="11032" max="11034" width="4.453125" style="76" bestFit="1" customWidth="1"/>
    <col min="11035" max="11035" width="5.453125" style="76" bestFit="1" customWidth="1"/>
    <col min="11036" max="11036" width="7.6328125" style="76" bestFit="1" customWidth="1"/>
    <col min="11037" max="11037" width="8.1796875" style="76" bestFit="1" customWidth="1"/>
    <col min="11038" max="11038" width="6.7265625" style="76" customWidth="1"/>
    <col min="11039" max="11039" width="12.36328125" style="76" customWidth="1"/>
    <col min="11040" max="11040" width="33.90625" style="76" customWidth="1"/>
    <col min="11041" max="11264" width="8.26953125" style="76"/>
    <col min="11265" max="11265" width="11.54296875" style="76" customWidth="1"/>
    <col min="11266" max="11267" width="4.6328125" style="76" customWidth="1"/>
    <col min="11268" max="11269" width="6.453125" style="76" bestFit="1" customWidth="1"/>
    <col min="11270" max="11270" width="7.36328125" style="76" bestFit="1" customWidth="1"/>
    <col min="11271" max="11272" width="6.453125" style="76" bestFit="1" customWidth="1"/>
    <col min="11273" max="11273" width="7.36328125" style="76" bestFit="1" customWidth="1"/>
    <col min="11274" max="11275" width="6.453125" style="76" bestFit="1" customWidth="1"/>
    <col min="11276" max="11276" width="7.36328125" style="76" bestFit="1" customWidth="1"/>
    <col min="11277" max="11278" width="0" style="76" hidden="1" customWidth="1"/>
    <col min="11279" max="11279" width="10" style="76" customWidth="1"/>
    <col min="11280" max="11280" width="8.453125" style="76" bestFit="1" customWidth="1"/>
    <col min="11281" max="11281" width="6.7265625" style="76" bestFit="1" customWidth="1"/>
    <col min="11282" max="11282" width="0" style="76" hidden="1" customWidth="1"/>
    <col min="11283" max="11283" width="9.1796875" style="76" customWidth="1"/>
    <col min="11284" max="11284" width="0" style="76" hidden="1" customWidth="1"/>
    <col min="11285" max="11285" width="8.26953125" style="76" bestFit="1" customWidth="1"/>
    <col min="11286" max="11286" width="5.36328125" style="76" bestFit="1" customWidth="1"/>
    <col min="11287" max="11287" width="13.6328125" style="76" customWidth="1"/>
    <col min="11288" max="11290" width="4.453125" style="76" bestFit="1" customWidth="1"/>
    <col min="11291" max="11291" width="5.453125" style="76" bestFit="1" customWidth="1"/>
    <col min="11292" max="11292" width="7.6328125" style="76" bestFit="1" customWidth="1"/>
    <col min="11293" max="11293" width="8.1796875" style="76" bestFit="1" customWidth="1"/>
    <col min="11294" max="11294" width="6.7265625" style="76" customWidth="1"/>
    <col min="11295" max="11295" width="12.36328125" style="76" customWidth="1"/>
    <col min="11296" max="11296" width="33.90625" style="76" customWidth="1"/>
    <col min="11297" max="11520" width="8.26953125" style="76"/>
    <col min="11521" max="11521" width="11.54296875" style="76" customWidth="1"/>
    <col min="11522" max="11523" width="4.6328125" style="76" customWidth="1"/>
    <col min="11524" max="11525" width="6.453125" style="76" bestFit="1" customWidth="1"/>
    <col min="11526" max="11526" width="7.36328125" style="76" bestFit="1" customWidth="1"/>
    <col min="11527" max="11528" width="6.453125" style="76" bestFit="1" customWidth="1"/>
    <col min="11529" max="11529" width="7.36328125" style="76" bestFit="1" customWidth="1"/>
    <col min="11530" max="11531" width="6.453125" style="76" bestFit="1" customWidth="1"/>
    <col min="11532" max="11532" width="7.36328125" style="76" bestFit="1" customWidth="1"/>
    <col min="11533" max="11534" width="0" style="76" hidden="1" customWidth="1"/>
    <col min="11535" max="11535" width="10" style="76" customWidth="1"/>
    <col min="11536" max="11536" width="8.453125" style="76" bestFit="1" customWidth="1"/>
    <col min="11537" max="11537" width="6.7265625" style="76" bestFit="1" customWidth="1"/>
    <col min="11538" max="11538" width="0" style="76" hidden="1" customWidth="1"/>
    <col min="11539" max="11539" width="9.1796875" style="76" customWidth="1"/>
    <col min="11540" max="11540" width="0" style="76" hidden="1" customWidth="1"/>
    <col min="11541" max="11541" width="8.26953125" style="76" bestFit="1" customWidth="1"/>
    <col min="11542" max="11542" width="5.36328125" style="76" bestFit="1" customWidth="1"/>
    <col min="11543" max="11543" width="13.6328125" style="76" customWidth="1"/>
    <col min="11544" max="11546" width="4.453125" style="76" bestFit="1" customWidth="1"/>
    <col min="11547" max="11547" width="5.453125" style="76" bestFit="1" customWidth="1"/>
    <col min="11548" max="11548" width="7.6328125" style="76" bestFit="1" customWidth="1"/>
    <col min="11549" max="11549" width="8.1796875" style="76" bestFit="1" customWidth="1"/>
    <col min="11550" max="11550" width="6.7265625" style="76" customWidth="1"/>
    <col min="11551" max="11551" width="12.36328125" style="76" customWidth="1"/>
    <col min="11552" max="11552" width="33.90625" style="76" customWidth="1"/>
    <col min="11553" max="11776" width="8.26953125" style="76"/>
    <col min="11777" max="11777" width="11.54296875" style="76" customWidth="1"/>
    <col min="11778" max="11779" width="4.6328125" style="76" customWidth="1"/>
    <col min="11780" max="11781" width="6.453125" style="76" bestFit="1" customWidth="1"/>
    <col min="11782" max="11782" width="7.36328125" style="76" bestFit="1" customWidth="1"/>
    <col min="11783" max="11784" width="6.453125" style="76" bestFit="1" customWidth="1"/>
    <col min="11785" max="11785" width="7.36328125" style="76" bestFit="1" customWidth="1"/>
    <col min="11786" max="11787" width="6.453125" style="76" bestFit="1" customWidth="1"/>
    <col min="11788" max="11788" width="7.36328125" style="76" bestFit="1" customWidth="1"/>
    <col min="11789" max="11790" width="0" style="76" hidden="1" customWidth="1"/>
    <col min="11791" max="11791" width="10" style="76" customWidth="1"/>
    <col min="11792" max="11792" width="8.453125" style="76" bestFit="1" customWidth="1"/>
    <col min="11793" max="11793" width="6.7265625" style="76" bestFit="1" customWidth="1"/>
    <col min="11794" max="11794" width="0" style="76" hidden="1" customWidth="1"/>
    <col min="11795" max="11795" width="9.1796875" style="76" customWidth="1"/>
    <col min="11796" max="11796" width="0" style="76" hidden="1" customWidth="1"/>
    <col min="11797" max="11797" width="8.26953125" style="76" bestFit="1" customWidth="1"/>
    <col min="11798" max="11798" width="5.36328125" style="76" bestFit="1" customWidth="1"/>
    <col min="11799" max="11799" width="13.6328125" style="76" customWidth="1"/>
    <col min="11800" max="11802" width="4.453125" style="76" bestFit="1" customWidth="1"/>
    <col min="11803" max="11803" width="5.453125" style="76" bestFit="1" customWidth="1"/>
    <col min="11804" max="11804" width="7.6328125" style="76" bestFit="1" customWidth="1"/>
    <col min="11805" max="11805" width="8.1796875" style="76" bestFit="1" customWidth="1"/>
    <col min="11806" max="11806" width="6.7265625" style="76" customWidth="1"/>
    <col min="11807" max="11807" width="12.36328125" style="76" customWidth="1"/>
    <col min="11808" max="11808" width="33.90625" style="76" customWidth="1"/>
    <col min="11809" max="12032" width="8.26953125" style="76"/>
    <col min="12033" max="12033" width="11.54296875" style="76" customWidth="1"/>
    <col min="12034" max="12035" width="4.6328125" style="76" customWidth="1"/>
    <col min="12036" max="12037" width="6.453125" style="76" bestFit="1" customWidth="1"/>
    <col min="12038" max="12038" width="7.36328125" style="76" bestFit="1" customWidth="1"/>
    <col min="12039" max="12040" width="6.453125" style="76" bestFit="1" customWidth="1"/>
    <col min="12041" max="12041" width="7.36328125" style="76" bestFit="1" customWidth="1"/>
    <col min="12042" max="12043" width="6.453125" style="76" bestFit="1" customWidth="1"/>
    <col min="12044" max="12044" width="7.36328125" style="76" bestFit="1" customWidth="1"/>
    <col min="12045" max="12046" width="0" style="76" hidden="1" customWidth="1"/>
    <col min="12047" max="12047" width="10" style="76" customWidth="1"/>
    <col min="12048" max="12048" width="8.453125" style="76" bestFit="1" customWidth="1"/>
    <col min="12049" max="12049" width="6.7265625" style="76" bestFit="1" customWidth="1"/>
    <col min="12050" max="12050" width="0" style="76" hidden="1" customWidth="1"/>
    <col min="12051" max="12051" width="9.1796875" style="76" customWidth="1"/>
    <col min="12052" max="12052" width="0" style="76" hidden="1" customWidth="1"/>
    <col min="12053" max="12053" width="8.26953125" style="76" bestFit="1" customWidth="1"/>
    <col min="12054" max="12054" width="5.36328125" style="76" bestFit="1" customWidth="1"/>
    <col min="12055" max="12055" width="13.6328125" style="76" customWidth="1"/>
    <col min="12056" max="12058" width="4.453125" style="76" bestFit="1" customWidth="1"/>
    <col min="12059" max="12059" width="5.453125" style="76" bestFit="1" customWidth="1"/>
    <col min="12060" max="12060" width="7.6328125" style="76" bestFit="1" customWidth="1"/>
    <col min="12061" max="12061" width="8.1796875" style="76" bestFit="1" customWidth="1"/>
    <col min="12062" max="12062" width="6.7265625" style="76" customWidth="1"/>
    <col min="12063" max="12063" width="12.36328125" style="76" customWidth="1"/>
    <col min="12064" max="12064" width="33.90625" style="76" customWidth="1"/>
    <col min="12065" max="12288" width="8.26953125" style="76"/>
    <col min="12289" max="12289" width="11.54296875" style="76" customWidth="1"/>
    <col min="12290" max="12291" width="4.6328125" style="76" customWidth="1"/>
    <col min="12292" max="12293" width="6.453125" style="76" bestFit="1" customWidth="1"/>
    <col min="12294" max="12294" width="7.36328125" style="76" bestFit="1" customWidth="1"/>
    <col min="12295" max="12296" width="6.453125" style="76" bestFit="1" customWidth="1"/>
    <col min="12297" max="12297" width="7.36328125" style="76" bestFit="1" customWidth="1"/>
    <col min="12298" max="12299" width="6.453125" style="76" bestFit="1" customWidth="1"/>
    <col min="12300" max="12300" width="7.36328125" style="76" bestFit="1" customWidth="1"/>
    <col min="12301" max="12302" width="0" style="76" hidden="1" customWidth="1"/>
    <col min="12303" max="12303" width="10" style="76" customWidth="1"/>
    <col min="12304" max="12304" width="8.453125" style="76" bestFit="1" customWidth="1"/>
    <col min="12305" max="12305" width="6.7265625" style="76" bestFit="1" customWidth="1"/>
    <col min="12306" max="12306" width="0" style="76" hidden="1" customWidth="1"/>
    <col min="12307" max="12307" width="9.1796875" style="76" customWidth="1"/>
    <col min="12308" max="12308" width="0" style="76" hidden="1" customWidth="1"/>
    <col min="12309" max="12309" width="8.26953125" style="76" bestFit="1" customWidth="1"/>
    <col min="12310" max="12310" width="5.36328125" style="76" bestFit="1" customWidth="1"/>
    <col min="12311" max="12311" width="13.6328125" style="76" customWidth="1"/>
    <col min="12312" max="12314" width="4.453125" style="76" bestFit="1" customWidth="1"/>
    <col min="12315" max="12315" width="5.453125" style="76" bestFit="1" customWidth="1"/>
    <col min="12316" max="12316" width="7.6328125" style="76" bestFit="1" customWidth="1"/>
    <col min="12317" max="12317" width="8.1796875" style="76" bestFit="1" customWidth="1"/>
    <col min="12318" max="12318" width="6.7265625" style="76" customWidth="1"/>
    <col min="12319" max="12319" width="12.36328125" style="76" customWidth="1"/>
    <col min="12320" max="12320" width="33.90625" style="76" customWidth="1"/>
    <col min="12321" max="12544" width="8.26953125" style="76"/>
    <col min="12545" max="12545" width="11.54296875" style="76" customWidth="1"/>
    <col min="12546" max="12547" width="4.6328125" style="76" customWidth="1"/>
    <col min="12548" max="12549" width="6.453125" style="76" bestFit="1" customWidth="1"/>
    <col min="12550" max="12550" width="7.36328125" style="76" bestFit="1" customWidth="1"/>
    <col min="12551" max="12552" width="6.453125" style="76" bestFit="1" customWidth="1"/>
    <col min="12553" max="12553" width="7.36328125" style="76" bestFit="1" customWidth="1"/>
    <col min="12554" max="12555" width="6.453125" style="76" bestFit="1" customWidth="1"/>
    <col min="12556" max="12556" width="7.36328125" style="76" bestFit="1" customWidth="1"/>
    <col min="12557" max="12558" width="0" style="76" hidden="1" customWidth="1"/>
    <col min="12559" max="12559" width="10" style="76" customWidth="1"/>
    <col min="12560" max="12560" width="8.453125" style="76" bestFit="1" customWidth="1"/>
    <col min="12561" max="12561" width="6.7265625" style="76" bestFit="1" customWidth="1"/>
    <col min="12562" max="12562" width="0" style="76" hidden="1" customWidth="1"/>
    <col min="12563" max="12563" width="9.1796875" style="76" customWidth="1"/>
    <col min="12564" max="12564" width="0" style="76" hidden="1" customWidth="1"/>
    <col min="12565" max="12565" width="8.26953125" style="76" bestFit="1" customWidth="1"/>
    <col min="12566" max="12566" width="5.36328125" style="76" bestFit="1" customWidth="1"/>
    <col min="12567" max="12567" width="13.6328125" style="76" customWidth="1"/>
    <col min="12568" max="12570" width="4.453125" style="76" bestFit="1" customWidth="1"/>
    <col min="12571" max="12571" width="5.453125" style="76" bestFit="1" customWidth="1"/>
    <col min="12572" max="12572" width="7.6328125" style="76" bestFit="1" customWidth="1"/>
    <col min="12573" max="12573" width="8.1796875" style="76" bestFit="1" customWidth="1"/>
    <col min="12574" max="12574" width="6.7265625" style="76" customWidth="1"/>
    <col min="12575" max="12575" width="12.36328125" style="76" customWidth="1"/>
    <col min="12576" max="12576" width="33.90625" style="76" customWidth="1"/>
    <col min="12577" max="12800" width="8.26953125" style="76"/>
    <col min="12801" max="12801" width="11.54296875" style="76" customWidth="1"/>
    <col min="12802" max="12803" width="4.6328125" style="76" customWidth="1"/>
    <col min="12804" max="12805" width="6.453125" style="76" bestFit="1" customWidth="1"/>
    <col min="12806" max="12806" width="7.36328125" style="76" bestFit="1" customWidth="1"/>
    <col min="12807" max="12808" width="6.453125" style="76" bestFit="1" customWidth="1"/>
    <col min="12809" max="12809" width="7.36328125" style="76" bestFit="1" customWidth="1"/>
    <col min="12810" max="12811" width="6.453125" style="76" bestFit="1" customWidth="1"/>
    <col min="12812" max="12812" width="7.36328125" style="76" bestFit="1" customWidth="1"/>
    <col min="12813" max="12814" width="0" style="76" hidden="1" customWidth="1"/>
    <col min="12815" max="12815" width="10" style="76" customWidth="1"/>
    <col min="12816" max="12816" width="8.453125" style="76" bestFit="1" customWidth="1"/>
    <col min="12817" max="12817" width="6.7265625" style="76" bestFit="1" customWidth="1"/>
    <col min="12818" max="12818" width="0" style="76" hidden="1" customWidth="1"/>
    <col min="12819" max="12819" width="9.1796875" style="76" customWidth="1"/>
    <col min="12820" max="12820" width="0" style="76" hidden="1" customWidth="1"/>
    <col min="12821" max="12821" width="8.26953125" style="76" bestFit="1" customWidth="1"/>
    <col min="12822" max="12822" width="5.36328125" style="76" bestFit="1" customWidth="1"/>
    <col min="12823" max="12823" width="13.6328125" style="76" customWidth="1"/>
    <col min="12824" max="12826" width="4.453125" style="76" bestFit="1" customWidth="1"/>
    <col min="12827" max="12827" width="5.453125" style="76" bestFit="1" customWidth="1"/>
    <col min="12828" max="12828" width="7.6328125" style="76" bestFit="1" customWidth="1"/>
    <col min="12829" max="12829" width="8.1796875" style="76" bestFit="1" customWidth="1"/>
    <col min="12830" max="12830" width="6.7265625" style="76" customWidth="1"/>
    <col min="12831" max="12831" width="12.36328125" style="76" customWidth="1"/>
    <col min="12832" max="12832" width="33.90625" style="76" customWidth="1"/>
    <col min="12833" max="13056" width="8.26953125" style="76"/>
    <col min="13057" max="13057" width="11.54296875" style="76" customWidth="1"/>
    <col min="13058" max="13059" width="4.6328125" style="76" customWidth="1"/>
    <col min="13060" max="13061" width="6.453125" style="76" bestFit="1" customWidth="1"/>
    <col min="13062" max="13062" width="7.36328125" style="76" bestFit="1" customWidth="1"/>
    <col min="13063" max="13064" width="6.453125" style="76" bestFit="1" customWidth="1"/>
    <col min="13065" max="13065" width="7.36328125" style="76" bestFit="1" customWidth="1"/>
    <col min="13066" max="13067" width="6.453125" style="76" bestFit="1" customWidth="1"/>
    <col min="13068" max="13068" width="7.36328125" style="76" bestFit="1" customWidth="1"/>
    <col min="13069" max="13070" width="0" style="76" hidden="1" customWidth="1"/>
    <col min="13071" max="13071" width="10" style="76" customWidth="1"/>
    <col min="13072" max="13072" width="8.453125" style="76" bestFit="1" customWidth="1"/>
    <col min="13073" max="13073" width="6.7265625" style="76" bestFit="1" customWidth="1"/>
    <col min="13074" max="13074" width="0" style="76" hidden="1" customWidth="1"/>
    <col min="13075" max="13075" width="9.1796875" style="76" customWidth="1"/>
    <col min="13076" max="13076" width="0" style="76" hidden="1" customWidth="1"/>
    <col min="13077" max="13077" width="8.26953125" style="76" bestFit="1" customWidth="1"/>
    <col min="13078" max="13078" width="5.36328125" style="76" bestFit="1" customWidth="1"/>
    <col min="13079" max="13079" width="13.6328125" style="76" customWidth="1"/>
    <col min="13080" max="13082" width="4.453125" style="76" bestFit="1" customWidth="1"/>
    <col min="13083" max="13083" width="5.453125" style="76" bestFit="1" customWidth="1"/>
    <col min="13084" max="13084" width="7.6328125" style="76" bestFit="1" customWidth="1"/>
    <col min="13085" max="13085" width="8.1796875" style="76" bestFit="1" customWidth="1"/>
    <col min="13086" max="13086" width="6.7265625" style="76" customWidth="1"/>
    <col min="13087" max="13087" width="12.36328125" style="76" customWidth="1"/>
    <col min="13088" max="13088" width="33.90625" style="76" customWidth="1"/>
    <col min="13089" max="13312" width="8.26953125" style="76"/>
    <col min="13313" max="13313" width="11.54296875" style="76" customWidth="1"/>
    <col min="13314" max="13315" width="4.6328125" style="76" customWidth="1"/>
    <col min="13316" max="13317" width="6.453125" style="76" bestFit="1" customWidth="1"/>
    <col min="13318" max="13318" width="7.36328125" style="76" bestFit="1" customWidth="1"/>
    <col min="13319" max="13320" width="6.453125" style="76" bestFit="1" customWidth="1"/>
    <col min="13321" max="13321" width="7.36328125" style="76" bestFit="1" customWidth="1"/>
    <col min="13322" max="13323" width="6.453125" style="76" bestFit="1" customWidth="1"/>
    <col min="13324" max="13324" width="7.36328125" style="76" bestFit="1" customWidth="1"/>
    <col min="13325" max="13326" width="0" style="76" hidden="1" customWidth="1"/>
    <col min="13327" max="13327" width="10" style="76" customWidth="1"/>
    <col min="13328" max="13328" width="8.453125" style="76" bestFit="1" customWidth="1"/>
    <col min="13329" max="13329" width="6.7265625" style="76" bestFit="1" customWidth="1"/>
    <col min="13330" max="13330" width="0" style="76" hidden="1" customWidth="1"/>
    <col min="13331" max="13331" width="9.1796875" style="76" customWidth="1"/>
    <col min="13332" max="13332" width="0" style="76" hidden="1" customWidth="1"/>
    <col min="13333" max="13333" width="8.26953125" style="76" bestFit="1" customWidth="1"/>
    <col min="13334" max="13334" width="5.36328125" style="76" bestFit="1" customWidth="1"/>
    <col min="13335" max="13335" width="13.6328125" style="76" customWidth="1"/>
    <col min="13336" max="13338" width="4.453125" style="76" bestFit="1" customWidth="1"/>
    <col min="13339" max="13339" width="5.453125" style="76" bestFit="1" customWidth="1"/>
    <col min="13340" max="13340" width="7.6328125" style="76" bestFit="1" customWidth="1"/>
    <col min="13341" max="13341" width="8.1796875" style="76" bestFit="1" customWidth="1"/>
    <col min="13342" max="13342" width="6.7265625" style="76" customWidth="1"/>
    <col min="13343" max="13343" width="12.36328125" style="76" customWidth="1"/>
    <col min="13344" max="13344" width="33.90625" style="76" customWidth="1"/>
    <col min="13345" max="13568" width="8.26953125" style="76"/>
    <col min="13569" max="13569" width="11.54296875" style="76" customWidth="1"/>
    <col min="13570" max="13571" width="4.6328125" style="76" customWidth="1"/>
    <col min="13572" max="13573" width="6.453125" style="76" bestFit="1" customWidth="1"/>
    <col min="13574" max="13574" width="7.36328125" style="76" bestFit="1" customWidth="1"/>
    <col min="13575" max="13576" width="6.453125" style="76" bestFit="1" customWidth="1"/>
    <col min="13577" max="13577" width="7.36328125" style="76" bestFit="1" customWidth="1"/>
    <col min="13578" max="13579" width="6.453125" style="76" bestFit="1" customWidth="1"/>
    <col min="13580" max="13580" width="7.36328125" style="76" bestFit="1" customWidth="1"/>
    <col min="13581" max="13582" width="0" style="76" hidden="1" customWidth="1"/>
    <col min="13583" max="13583" width="10" style="76" customWidth="1"/>
    <col min="13584" max="13584" width="8.453125" style="76" bestFit="1" customWidth="1"/>
    <col min="13585" max="13585" width="6.7265625" style="76" bestFit="1" customWidth="1"/>
    <col min="13586" max="13586" width="0" style="76" hidden="1" customWidth="1"/>
    <col min="13587" max="13587" width="9.1796875" style="76" customWidth="1"/>
    <col min="13588" max="13588" width="0" style="76" hidden="1" customWidth="1"/>
    <col min="13589" max="13589" width="8.26953125" style="76" bestFit="1" customWidth="1"/>
    <col min="13590" max="13590" width="5.36328125" style="76" bestFit="1" customWidth="1"/>
    <col min="13591" max="13591" width="13.6328125" style="76" customWidth="1"/>
    <col min="13592" max="13594" width="4.453125" style="76" bestFit="1" customWidth="1"/>
    <col min="13595" max="13595" width="5.453125" style="76" bestFit="1" customWidth="1"/>
    <col min="13596" max="13596" width="7.6328125" style="76" bestFit="1" customWidth="1"/>
    <col min="13597" max="13597" width="8.1796875" style="76" bestFit="1" customWidth="1"/>
    <col min="13598" max="13598" width="6.7265625" style="76" customWidth="1"/>
    <col min="13599" max="13599" width="12.36328125" style="76" customWidth="1"/>
    <col min="13600" max="13600" width="33.90625" style="76" customWidth="1"/>
    <col min="13601" max="13824" width="8.26953125" style="76"/>
    <col min="13825" max="13825" width="11.54296875" style="76" customWidth="1"/>
    <col min="13826" max="13827" width="4.6328125" style="76" customWidth="1"/>
    <col min="13828" max="13829" width="6.453125" style="76" bestFit="1" customWidth="1"/>
    <col min="13830" max="13830" width="7.36328125" style="76" bestFit="1" customWidth="1"/>
    <col min="13831" max="13832" width="6.453125" style="76" bestFit="1" customWidth="1"/>
    <col min="13833" max="13833" width="7.36328125" style="76" bestFit="1" customWidth="1"/>
    <col min="13834" max="13835" width="6.453125" style="76" bestFit="1" customWidth="1"/>
    <col min="13836" max="13836" width="7.36328125" style="76" bestFit="1" customWidth="1"/>
    <col min="13837" max="13838" width="0" style="76" hidden="1" customWidth="1"/>
    <col min="13839" max="13839" width="10" style="76" customWidth="1"/>
    <col min="13840" max="13840" width="8.453125" style="76" bestFit="1" customWidth="1"/>
    <col min="13841" max="13841" width="6.7265625" style="76" bestFit="1" customWidth="1"/>
    <col min="13842" max="13842" width="0" style="76" hidden="1" customWidth="1"/>
    <col min="13843" max="13843" width="9.1796875" style="76" customWidth="1"/>
    <col min="13844" max="13844" width="0" style="76" hidden="1" customWidth="1"/>
    <col min="13845" max="13845" width="8.26953125" style="76" bestFit="1" customWidth="1"/>
    <col min="13846" max="13846" width="5.36328125" style="76" bestFit="1" customWidth="1"/>
    <col min="13847" max="13847" width="13.6328125" style="76" customWidth="1"/>
    <col min="13848" max="13850" width="4.453125" style="76" bestFit="1" customWidth="1"/>
    <col min="13851" max="13851" width="5.453125" style="76" bestFit="1" customWidth="1"/>
    <col min="13852" max="13852" width="7.6328125" style="76" bestFit="1" customWidth="1"/>
    <col min="13853" max="13853" width="8.1796875" style="76" bestFit="1" customWidth="1"/>
    <col min="13854" max="13854" width="6.7265625" style="76" customWidth="1"/>
    <col min="13855" max="13855" width="12.36328125" style="76" customWidth="1"/>
    <col min="13856" max="13856" width="33.90625" style="76" customWidth="1"/>
    <col min="13857" max="14080" width="8.26953125" style="76"/>
    <col min="14081" max="14081" width="11.54296875" style="76" customWidth="1"/>
    <col min="14082" max="14083" width="4.6328125" style="76" customWidth="1"/>
    <col min="14084" max="14085" width="6.453125" style="76" bestFit="1" customWidth="1"/>
    <col min="14086" max="14086" width="7.36328125" style="76" bestFit="1" customWidth="1"/>
    <col min="14087" max="14088" width="6.453125" style="76" bestFit="1" customWidth="1"/>
    <col min="14089" max="14089" width="7.36328125" style="76" bestFit="1" customWidth="1"/>
    <col min="14090" max="14091" width="6.453125" style="76" bestFit="1" customWidth="1"/>
    <col min="14092" max="14092" width="7.36328125" style="76" bestFit="1" customWidth="1"/>
    <col min="14093" max="14094" width="0" style="76" hidden="1" customWidth="1"/>
    <col min="14095" max="14095" width="10" style="76" customWidth="1"/>
    <col min="14096" max="14096" width="8.453125" style="76" bestFit="1" customWidth="1"/>
    <col min="14097" max="14097" width="6.7265625" style="76" bestFit="1" customWidth="1"/>
    <col min="14098" max="14098" width="0" style="76" hidden="1" customWidth="1"/>
    <col min="14099" max="14099" width="9.1796875" style="76" customWidth="1"/>
    <col min="14100" max="14100" width="0" style="76" hidden="1" customWidth="1"/>
    <col min="14101" max="14101" width="8.26953125" style="76" bestFit="1" customWidth="1"/>
    <col min="14102" max="14102" width="5.36328125" style="76" bestFit="1" customWidth="1"/>
    <col min="14103" max="14103" width="13.6328125" style="76" customWidth="1"/>
    <col min="14104" max="14106" width="4.453125" style="76" bestFit="1" customWidth="1"/>
    <col min="14107" max="14107" width="5.453125" style="76" bestFit="1" customWidth="1"/>
    <col min="14108" max="14108" width="7.6328125" style="76" bestFit="1" customWidth="1"/>
    <col min="14109" max="14109" width="8.1796875" style="76" bestFit="1" customWidth="1"/>
    <col min="14110" max="14110" width="6.7265625" style="76" customWidth="1"/>
    <col min="14111" max="14111" width="12.36328125" style="76" customWidth="1"/>
    <col min="14112" max="14112" width="33.90625" style="76" customWidth="1"/>
    <col min="14113" max="14336" width="8.26953125" style="76"/>
    <col min="14337" max="14337" width="11.54296875" style="76" customWidth="1"/>
    <col min="14338" max="14339" width="4.6328125" style="76" customWidth="1"/>
    <col min="14340" max="14341" width="6.453125" style="76" bestFit="1" customWidth="1"/>
    <col min="14342" max="14342" width="7.36328125" style="76" bestFit="1" customWidth="1"/>
    <col min="14343" max="14344" width="6.453125" style="76" bestFit="1" customWidth="1"/>
    <col min="14345" max="14345" width="7.36328125" style="76" bestFit="1" customWidth="1"/>
    <col min="14346" max="14347" width="6.453125" style="76" bestFit="1" customWidth="1"/>
    <col min="14348" max="14348" width="7.36328125" style="76" bestFit="1" customWidth="1"/>
    <col min="14349" max="14350" width="0" style="76" hidden="1" customWidth="1"/>
    <col min="14351" max="14351" width="10" style="76" customWidth="1"/>
    <col min="14352" max="14352" width="8.453125" style="76" bestFit="1" customWidth="1"/>
    <col min="14353" max="14353" width="6.7265625" style="76" bestFit="1" customWidth="1"/>
    <col min="14354" max="14354" width="0" style="76" hidden="1" customWidth="1"/>
    <col min="14355" max="14355" width="9.1796875" style="76" customWidth="1"/>
    <col min="14356" max="14356" width="0" style="76" hidden="1" customWidth="1"/>
    <col min="14357" max="14357" width="8.26953125" style="76" bestFit="1" customWidth="1"/>
    <col min="14358" max="14358" width="5.36328125" style="76" bestFit="1" customWidth="1"/>
    <col min="14359" max="14359" width="13.6328125" style="76" customWidth="1"/>
    <col min="14360" max="14362" width="4.453125" style="76" bestFit="1" customWidth="1"/>
    <col min="14363" max="14363" width="5.453125" style="76" bestFit="1" customWidth="1"/>
    <col min="14364" max="14364" width="7.6328125" style="76" bestFit="1" customWidth="1"/>
    <col min="14365" max="14365" width="8.1796875" style="76" bestFit="1" customWidth="1"/>
    <col min="14366" max="14366" width="6.7265625" style="76" customWidth="1"/>
    <col min="14367" max="14367" width="12.36328125" style="76" customWidth="1"/>
    <col min="14368" max="14368" width="33.90625" style="76" customWidth="1"/>
    <col min="14369" max="14592" width="8.26953125" style="76"/>
    <col min="14593" max="14593" width="11.54296875" style="76" customWidth="1"/>
    <col min="14594" max="14595" width="4.6328125" style="76" customWidth="1"/>
    <col min="14596" max="14597" width="6.453125" style="76" bestFit="1" customWidth="1"/>
    <col min="14598" max="14598" width="7.36328125" style="76" bestFit="1" customWidth="1"/>
    <col min="14599" max="14600" width="6.453125" style="76" bestFit="1" customWidth="1"/>
    <col min="14601" max="14601" width="7.36328125" style="76" bestFit="1" customWidth="1"/>
    <col min="14602" max="14603" width="6.453125" style="76" bestFit="1" customWidth="1"/>
    <col min="14604" max="14604" width="7.36328125" style="76" bestFit="1" customWidth="1"/>
    <col min="14605" max="14606" width="0" style="76" hidden="1" customWidth="1"/>
    <col min="14607" max="14607" width="10" style="76" customWidth="1"/>
    <col min="14608" max="14608" width="8.453125" style="76" bestFit="1" customWidth="1"/>
    <col min="14609" max="14609" width="6.7265625" style="76" bestFit="1" customWidth="1"/>
    <col min="14610" max="14610" width="0" style="76" hidden="1" customWidth="1"/>
    <col min="14611" max="14611" width="9.1796875" style="76" customWidth="1"/>
    <col min="14612" max="14612" width="0" style="76" hidden="1" customWidth="1"/>
    <col min="14613" max="14613" width="8.26953125" style="76" bestFit="1" customWidth="1"/>
    <col min="14614" max="14614" width="5.36328125" style="76" bestFit="1" customWidth="1"/>
    <col min="14615" max="14615" width="13.6328125" style="76" customWidth="1"/>
    <col min="14616" max="14618" width="4.453125" style="76" bestFit="1" customWidth="1"/>
    <col min="14619" max="14619" width="5.453125" style="76" bestFit="1" customWidth="1"/>
    <col min="14620" max="14620" width="7.6328125" style="76" bestFit="1" customWidth="1"/>
    <col min="14621" max="14621" width="8.1796875" style="76" bestFit="1" customWidth="1"/>
    <col min="14622" max="14622" width="6.7265625" style="76" customWidth="1"/>
    <col min="14623" max="14623" width="12.36328125" style="76" customWidth="1"/>
    <col min="14624" max="14624" width="33.90625" style="76" customWidth="1"/>
    <col min="14625" max="14848" width="8.26953125" style="76"/>
    <col min="14849" max="14849" width="11.54296875" style="76" customWidth="1"/>
    <col min="14850" max="14851" width="4.6328125" style="76" customWidth="1"/>
    <col min="14852" max="14853" width="6.453125" style="76" bestFit="1" customWidth="1"/>
    <col min="14854" max="14854" width="7.36328125" style="76" bestFit="1" customWidth="1"/>
    <col min="14855" max="14856" width="6.453125" style="76" bestFit="1" customWidth="1"/>
    <col min="14857" max="14857" width="7.36328125" style="76" bestFit="1" customWidth="1"/>
    <col min="14858" max="14859" width="6.453125" style="76" bestFit="1" customWidth="1"/>
    <col min="14860" max="14860" width="7.36328125" style="76" bestFit="1" customWidth="1"/>
    <col min="14861" max="14862" width="0" style="76" hidden="1" customWidth="1"/>
    <col min="14863" max="14863" width="10" style="76" customWidth="1"/>
    <col min="14864" max="14864" width="8.453125" style="76" bestFit="1" customWidth="1"/>
    <col min="14865" max="14865" width="6.7265625" style="76" bestFit="1" customWidth="1"/>
    <col min="14866" max="14866" width="0" style="76" hidden="1" customWidth="1"/>
    <col min="14867" max="14867" width="9.1796875" style="76" customWidth="1"/>
    <col min="14868" max="14868" width="0" style="76" hidden="1" customWidth="1"/>
    <col min="14869" max="14869" width="8.26953125" style="76" bestFit="1" customWidth="1"/>
    <col min="14870" max="14870" width="5.36328125" style="76" bestFit="1" customWidth="1"/>
    <col min="14871" max="14871" width="13.6328125" style="76" customWidth="1"/>
    <col min="14872" max="14874" width="4.453125" style="76" bestFit="1" customWidth="1"/>
    <col min="14875" max="14875" width="5.453125" style="76" bestFit="1" customWidth="1"/>
    <col min="14876" max="14876" width="7.6328125" style="76" bestFit="1" customWidth="1"/>
    <col min="14877" max="14877" width="8.1796875" style="76" bestFit="1" customWidth="1"/>
    <col min="14878" max="14878" width="6.7265625" style="76" customWidth="1"/>
    <col min="14879" max="14879" width="12.36328125" style="76" customWidth="1"/>
    <col min="14880" max="14880" width="33.90625" style="76" customWidth="1"/>
    <col min="14881" max="15104" width="8.26953125" style="76"/>
    <col min="15105" max="15105" width="11.54296875" style="76" customWidth="1"/>
    <col min="15106" max="15107" width="4.6328125" style="76" customWidth="1"/>
    <col min="15108" max="15109" width="6.453125" style="76" bestFit="1" customWidth="1"/>
    <col min="15110" max="15110" width="7.36328125" style="76" bestFit="1" customWidth="1"/>
    <col min="15111" max="15112" width="6.453125" style="76" bestFit="1" customWidth="1"/>
    <col min="15113" max="15113" width="7.36328125" style="76" bestFit="1" customWidth="1"/>
    <col min="15114" max="15115" width="6.453125" style="76" bestFit="1" customWidth="1"/>
    <col min="15116" max="15116" width="7.36328125" style="76" bestFit="1" customWidth="1"/>
    <col min="15117" max="15118" width="0" style="76" hidden="1" customWidth="1"/>
    <col min="15119" max="15119" width="10" style="76" customWidth="1"/>
    <col min="15120" max="15120" width="8.453125" style="76" bestFit="1" customWidth="1"/>
    <col min="15121" max="15121" width="6.7265625" style="76" bestFit="1" customWidth="1"/>
    <col min="15122" max="15122" width="0" style="76" hidden="1" customWidth="1"/>
    <col min="15123" max="15123" width="9.1796875" style="76" customWidth="1"/>
    <col min="15124" max="15124" width="0" style="76" hidden="1" customWidth="1"/>
    <col min="15125" max="15125" width="8.26953125" style="76" bestFit="1" customWidth="1"/>
    <col min="15126" max="15126" width="5.36328125" style="76" bestFit="1" customWidth="1"/>
    <col min="15127" max="15127" width="13.6328125" style="76" customWidth="1"/>
    <col min="15128" max="15130" width="4.453125" style="76" bestFit="1" customWidth="1"/>
    <col min="15131" max="15131" width="5.453125" style="76" bestFit="1" customWidth="1"/>
    <col min="15132" max="15132" width="7.6328125" style="76" bestFit="1" customWidth="1"/>
    <col min="15133" max="15133" width="8.1796875" style="76" bestFit="1" customWidth="1"/>
    <col min="15134" max="15134" width="6.7265625" style="76" customWidth="1"/>
    <col min="15135" max="15135" width="12.36328125" style="76" customWidth="1"/>
    <col min="15136" max="15136" width="33.90625" style="76" customWidth="1"/>
    <col min="15137" max="15360" width="8.26953125" style="76"/>
    <col min="15361" max="15361" width="11.54296875" style="76" customWidth="1"/>
    <col min="15362" max="15363" width="4.6328125" style="76" customWidth="1"/>
    <col min="15364" max="15365" width="6.453125" style="76" bestFit="1" customWidth="1"/>
    <col min="15366" max="15366" width="7.36328125" style="76" bestFit="1" customWidth="1"/>
    <col min="15367" max="15368" width="6.453125" style="76" bestFit="1" customWidth="1"/>
    <col min="15369" max="15369" width="7.36328125" style="76" bestFit="1" customWidth="1"/>
    <col min="15370" max="15371" width="6.453125" style="76" bestFit="1" customWidth="1"/>
    <col min="15372" max="15372" width="7.36328125" style="76" bestFit="1" customWidth="1"/>
    <col min="15373" max="15374" width="0" style="76" hidden="1" customWidth="1"/>
    <col min="15375" max="15375" width="10" style="76" customWidth="1"/>
    <col min="15376" max="15376" width="8.453125" style="76" bestFit="1" customWidth="1"/>
    <col min="15377" max="15377" width="6.7265625" style="76" bestFit="1" customWidth="1"/>
    <col min="15378" max="15378" width="0" style="76" hidden="1" customWidth="1"/>
    <col min="15379" max="15379" width="9.1796875" style="76" customWidth="1"/>
    <col min="15380" max="15380" width="0" style="76" hidden="1" customWidth="1"/>
    <col min="15381" max="15381" width="8.26953125" style="76" bestFit="1" customWidth="1"/>
    <col min="15382" max="15382" width="5.36328125" style="76" bestFit="1" customWidth="1"/>
    <col min="15383" max="15383" width="13.6328125" style="76" customWidth="1"/>
    <col min="15384" max="15386" width="4.453125" style="76" bestFit="1" customWidth="1"/>
    <col min="15387" max="15387" width="5.453125" style="76" bestFit="1" customWidth="1"/>
    <col min="15388" max="15388" width="7.6328125" style="76" bestFit="1" customWidth="1"/>
    <col min="15389" max="15389" width="8.1796875" style="76" bestFit="1" customWidth="1"/>
    <col min="15390" max="15390" width="6.7265625" style="76" customWidth="1"/>
    <col min="15391" max="15391" width="12.36328125" style="76" customWidth="1"/>
    <col min="15392" max="15392" width="33.90625" style="76" customWidth="1"/>
    <col min="15393" max="15616" width="8.26953125" style="76"/>
    <col min="15617" max="15617" width="11.54296875" style="76" customWidth="1"/>
    <col min="15618" max="15619" width="4.6328125" style="76" customWidth="1"/>
    <col min="15620" max="15621" width="6.453125" style="76" bestFit="1" customWidth="1"/>
    <col min="15622" max="15622" width="7.36328125" style="76" bestFit="1" customWidth="1"/>
    <col min="15623" max="15624" width="6.453125" style="76" bestFit="1" customWidth="1"/>
    <col min="15625" max="15625" width="7.36328125" style="76" bestFit="1" customWidth="1"/>
    <col min="15626" max="15627" width="6.453125" style="76" bestFit="1" customWidth="1"/>
    <col min="15628" max="15628" width="7.36328125" style="76" bestFit="1" customWidth="1"/>
    <col min="15629" max="15630" width="0" style="76" hidden="1" customWidth="1"/>
    <col min="15631" max="15631" width="10" style="76" customWidth="1"/>
    <col min="15632" max="15632" width="8.453125" style="76" bestFit="1" customWidth="1"/>
    <col min="15633" max="15633" width="6.7265625" style="76" bestFit="1" customWidth="1"/>
    <col min="15634" max="15634" width="0" style="76" hidden="1" customWidth="1"/>
    <col min="15635" max="15635" width="9.1796875" style="76" customWidth="1"/>
    <col min="15636" max="15636" width="0" style="76" hidden="1" customWidth="1"/>
    <col min="15637" max="15637" width="8.26953125" style="76" bestFit="1" customWidth="1"/>
    <col min="15638" max="15638" width="5.36328125" style="76" bestFit="1" customWidth="1"/>
    <col min="15639" max="15639" width="13.6328125" style="76" customWidth="1"/>
    <col min="15640" max="15642" width="4.453125" style="76" bestFit="1" customWidth="1"/>
    <col min="15643" max="15643" width="5.453125" style="76" bestFit="1" customWidth="1"/>
    <col min="15644" max="15644" width="7.6328125" style="76" bestFit="1" customWidth="1"/>
    <col min="15645" max="15645" width="8.1796875" style="76" bestFit="1" customWidth="1"/>
    <col min="15646" max="15646" width="6.7265625" style="76" customWidth="1"/>
    <col min="15647" max="15647" width="12.36328125" style="76" customWidth="1"/>
    <col min="15648" max="15648" width="33.90625" style="76" customWidth="1"/>
    <col min="15649" max="15872" width="8.26953125" style="76"/>
    <col min="15873" max="15873" width="11.54296875" style="76" customWidth="1"/>
    <col min="15874" max="15875" width="4.6328125" style="76" customWidth="1"/>
    <col min="15876" max="15877" width="6.453125" style="76" bestFit="1" customWidth="1"/>
    <col min="15878" max="15878" width="7.36328125" style="76" bestFit="1" customWidth="1"/>
    <col min="15879" max="15880" width="6.453125" style="76" bestFit="1" customWidth="1"/>
    <col min="15881" max="15881" width="7.36328125" style="76" bestFit="1" customWidth="1"/>
    <col min="15882" max="15883" width="6.453125" style="76" bestFit="1" customWidth="1"/>
    <col min="15884" max="15884" width="7.36328125" style="76" bestFit="1" customWidth="1"/>
    <col min="15885" max="15886" width="0" style="76" hidden="1" customWidth="1"/>
    <col min="15887" max="15887" width="10" style="76" customWidth="1"/>
    <col min="15888" max="15888" width="8.453125" style="76" bestFit="1" customWidth="1"/>
    <col min="15889" max="15889" width="6.7265625" style="76" bestFit="1" customWidth="1"/>
    <col min="15890" max="15890" width="0" style="76" hidden="1" customWidth="1"/>
    <col min="15891" max="15891" width="9.1796875" style="76" customWidth="1"/>
    <col min="15892" max="15892" width="0" style="76" hidden="1" customWidth="1"/>
    <col min="15893" max="15893" width="8.26953125" style="76" bestFit="1" customWidth="1"/>
    <col min="15894" max="15894" width="5.36328125" style="76" bestFit="1" customWidth="1"/>
    <col min="15895" max="15895" width="13.6328125" style="76" customWidth="1"/>
    <col min="15896" max="15898" width="4.453125" style="76" bestFit="1" customWidth="1"/>
    <col min="15899" max="15899" width="5.453125" style="76" bestFit="1" customWidth="1"/>
    <col min="15900" max="15900" width="7.6328125" style="76" bestFit="1" customWidth="1"/>
    <col min="15901" max="15901" width="8.1796875" style="76" bestFit="1" customWidth="1"/>
    <col min="15902" max="15902" width="6.7265625" style="76" customWidth="1"/>
    <col min="15903" max="15903" width="12.36328125" style="76" customWidth="1"/>
    <col min="15904" max="15904" width="33.90625" style="76" customWidth="1"/>
    <col min="15905" max="16128" width="8.26953125" style="76"/>
    <col min="16129" max="16129" width="11.54296875" style="76" customWidth="1"/>
    <col min="16130" max="16131" width="4.6328125" style="76" customWidth="1"/>
    <col min="16132" max="16133" width="6.453125" style="76" bestFit="1" customWidth="1"/>
    <col min="16134" max="16134" width="7.36328125" style="76" bestFit="1" customWidth="1"/>
    <col min="16135" max="16136" width="6.453125" style="76" bestFit="1" customWidth="1"/>
    <col min="16137" max="16137" width="7.36328125" style="76" bestFit="1" customWidth="1"/>
    <col min="16138" max="16139" width="6.453125" style="76" bestFit="1" customWidth="1"/>
    <col min="16140" max="16140" width="7.36328125" style="76" bestFit="1" customWidth="1"/>
    <col min="16141" max="16142" width="0" style="76" hidden="1" customWidth="1"/>
    <col min="16143" max="16143" width="10" style="76" customWidth="1"/>
    <col min="16144" max="16144" width="8.453125" style="76" bestFit="1" customWidth="1"/>
    <col min="16145" max="16145" width="6.7265625" style="76" bestFit="1" customWidth="1"/>
    <col min="16146" max="16146" width="0" style="76" hidden="1" customWidth="1"/>
    <col min="16147" max="16147" width="9.1796875" style="76" customWidth="1"/>
    <col min="16148" max="16148" width="0" style="76" hidden="1" customWidth="1"/>
    <col min="16149" max="16149" width="8.26953125" style="76" bestFit="1" customWidth="1"/>
    <col min="16150" max="16150" width="5.36328125" style="76" bestFit="1" customWidth="1"/>
    <col min="16151" max="16151" width="13.6328125" style="76" customWidth="1"/>
    <col min="16152" max="16154" width="4.453125" style="76" bestFit="1" customWidth="1"/>
    <col min="16155" max="16155" width="5.453125" style="76" bestFit="1" customWidth="1"/>
    <col min="16156" max="16156" width="7.6328125" style="76" bestFit="1" customWidth="1"/>
    <col min="16157" max="16157" width="8.1796875" style="76" bestFit="1" customWidth="1"/>
    <col min="16158" max="16158" width="6.7265625" style="76" customWidth="1"/>
    <col min="16159" max="16159" width="12.36328125" style="76" customWidth="1"/>
    <col min="16160" max="16160" width="33.90625" style="76" customWidth="1"/>
    <col min="16161" max="16384" width="8.26953125" style="76"/>
  </cols>
  <sheetData>
    <row r="1" spans="1:32" ht="15.55" x14ac:dyDescent="0.3">
      <c r="A1" s="354" t="s">
        <v>14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</row>
    <row r="2" spans="1:32" ht="16.100000000000001" x14ac:dyDescent="0.35">
      <c r="A2" s="77" t="s">
        <v>122</v>
      </c>
      <c r="B2" s="77"/>
      <c r="C2" s="77"/>
      <c r="D2" s="77"/>
      <c r="E2" s="77"/>
      <c r="F2" s="78"/>
      <c r="G2" s="79"/>
      <c r="H2" s="80" t="s">
        <v>123</v>
      </c>
      <c r="I2" s="77"/>
      <c r="J2" s="77"/>
      <c r="K2" s="77"/>
      <c r="L2" s="77"/>
      <c r="M2" s="77"/>
      <c r="N2" s="77"/>
      <c r="O2" s="77"/>
      <c r="P2" s="77"/>
      <c r="Q2" s="77"/>
      <c r="R2" s="81"/>
      <c r="S2" s="77"/>
      <c r="T2" s="77"/>
      <c r="U2" s="77"/>
      <c r="V2" s="77"/>
      <c r="W2" s="77"/>
      <c r="X2" s="78"/>
      <c r="Y2" s="79"/>
      <c r="Z2" s="80"/>
    </row>
    <row r="3" spans="1:32" ht="16.100000000000001" x14ac:dyDescent="0.35">
      <c r="A3" s="82"/>
      <c r="B3" s="82"/>
      <c r="C3" s="77"/>
      <c r="D3" s="77"/>
      <c r="E3" s="77"/>
      <c r="F3" s="78"/>
      <c r="G3" s="77"/>
      <c r="H3" s="78"/>
      <c r="I3" s="77"/>
      <c r="J3" s="77"/>
      <c r="K3" s="77"/>
      <c r="L3" s="77"/>
      <c r="M3" s="77"/>
      <c r="N3" s="77"/>
      <c r="O3" s="77"/>
      <c r="P3" s="77"/>
      <c r="Q3" s="77"/>
      <c r="R3" s="81"/>
      <c r="S3" s="82"/>
      <c r="T3" s="82"/>
      <c r="U3" s="77"/>
      <c r="V3" s="77"/>
      <c r="W3" s="77"/>
      <c r="X3" s="78"/>
      <c r="Y3" s="77"/>
      <c r="Z3" s="78"/>
    </row>
    <row r="4" spans="1:32" ht="16.100000000000001" x14ac:dyDescent="0.35">
      <c r="A4" s="83" t="s">
        <v>124</v>
      </c>
      <c r="B4" s="84" t="s">
        <v>125</v>
      </c>
      <c r="C4" s="78"/>
      <c r="D4" s="78" t="s">
        <v>126</v>
      </c>
      <c r="E4" s="78"/>
      <c r="F4" s="78" t="s">
        <v>127</v>
      </c>
      <c r="G4" s="79"/>
      <c r="H4" s="78"/>
      <c r="I4" s="77"/>
      <c r="J4" s="77"/>
      <c r="K4" s="77"/>
      <c r="L4" s="77"/>
      <c r="M4" s="77"/>
      <c r="N4" s="77"/>
      <c r="O4" s="77"/>
      <c r="P4" s="77"/>
      <c r="Q4" s="77"/>
      <c r="R4" s="81"/>
      <c r="S4" s="83"/>
      <c r="T4" s="84"/>
      <c r="U4" s="78"/>
      <c r="V4" s="78"/>
      <c r="W4" s="78"/>
      <c r="X4" s="78"/>
      <c r="Y4" s="79"/>
      <c r="Z4" s="78"/>
    </row>
    <row r="5" spans="1:32" ht="16.100000000000001" x14ac:dyDescent="0.35">
      <c r="A5" s="77" t="s">
        <v>128</v>
      </c>
      <c r="B5" s="77"/>
      <c r="C5" s="78"/>
      <c r="D5" s="78"/>
      <c r="E5" s="78"/>
      <c r="F5" s="78"/>
      <c r="G5" s="78" t="s">
        <v>129</v>
      </c>
      <c r="H5" s="78"/>
      <c r="I5" s="77"/>
      <c r="J5" s="77"/>
      <c r="K5" s="77"/>
      <c r="L5" s="77"/>
      <c r="M5" s="77"/>
      <c r="N5" s="77"/>
      <c r="O5" s="77"/>
      <c r="P5" s="77"/>
      <c r="Q5" s="77"/>
      <c r="R5" s="81"/>
      <c r="S5" s="77"/>
      <c r="T5" s="77"/>
      <c r="U5" s="78"/>
      <c r="V5" s="78"/>
      <c r="W5" s="78"/>
      <c r="X5" s="78"/>
      <c r="Y5" s="78"/>
      <c r="Z5" s="78"/>
    </row>
    <row r="6" spans="1:32" ht="16.100000000000001" x14ac:dyDescent="0.35">
      <c r="A6" s="77" t="s">
        <v>130</v>
      </c>
      <c r="B6" s="77"/>
      <c r="C6" s="78"/>
      <c r="D6" s="78"/>
      <c r="E6" s="78"/>
      <c r="F6" s="78"/>
      <c r="G6" s="78"/>
      <c r="H6" s="78"/>
      <c r="I6" s="77"/>
      <c r="J6" s="77"/>
      <c r="K6" s="77"/>
      <c r="L6" s="77"/>
      <c r="M6" s="77"/>
      <c r="N6" s="77"/>
      <c r="O6" s="77"/>
      <c r="P6" s="77"/>
      <c r="Q6" s="77"/>
      <c r="R6" s="81"/>
      <c r="S6" s="77"/>
      <c r="T6" s="77"/>
      <c r="U6" s="78"/>
      <c r="V6" s="78"/>
      <c r="W6" s="78"/>
      <c r="X6" s="78"/>
      <c r="Y6" s="78"/>
      <c r="Z6" s="78"/>
    </row>
    <row r="7" spans="1:32" x14ac:dyDescent="0.3">
      <c r="A7" s="7"/>
      <c r="B7" s="7"/>
      <c r="C7" s="7"/>
      <c r="D7" s="7"/>
      <c r="E7" s="7"/>
      <c r="F7" s="7"/>
      <c r="G7" s="7"/>
      <c r="H7" s="7"/>
      <c r="I7" s="5"/>
      <c r="J7" s="5"/>
      <c r="K7" s="5"/>
      <c r="L7" s="5"/>
      <c r="M7" s="5"/>
      <c r="N7" s="5"/>
      <c r="O7" s="5"/>
      <c r="P7" s="5"/>
      <c r="Q7" s="5"/>
      <c r="S7" s="355"/>
      <c r="T7" s="355"/>
      <c r="U7" s="355"/>
      <c r="V7" s="355"/>
      <c r="W7" s="355"/>
      <c r="X7" s="355"/>
      <c r="Y7" s="355"/>
      <c r="Z7" s="355"/>
    </row>
    <row r="8" spans="1:32" ht="13.85" thickBot="1" x14ac:dyDescent="0.3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S8" s="356"/>
      <c r="T8" s="356"/>
      <c r="U8" s="356"/>
      <c r="V8" s="356"/>
      <c r="W8" s="356"/>
      <c r="X8" s="356"/>
      <c r="Y8" s="356"/>
      <c r="Z8" s="356"/>
    </row>
    <row r="9" spans="1:32" ht="16.649999999999999" thickBot="1" x14ac:dyDescent="0.4">
      <c r="A9" s="357"/>
      <c r="B9" s="357"/>
      <c r="C9" s="357"/>
      <c r="D9" s="357"/>
      <c r="E9" s="357"/>
      <c r="F9" s="357"/>
      <c r="G9" s="357"/>
      <c r="H9" s="357"/>
      <c r="I9" s="357"/>
      <c r="J9" s="357"/>
      <c r="K9" s="357"/>
      <c r="L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F9" s="358" t="s">
        <v>25</v>
      </c>
    </row>
    <row r="10" spans="1:32" ht="15.8" customHeight="1" thickBot="1" x14ac:dyDescent="0.35">
      <c r="A10" s="361" t="s">
        <v>26</v>
      </c>
      <c r="B10" s="363" t="s">
        <v>131</v>
      </c>
      <c r="C10" s="363" t="s">
        <v>132</v>
      </c>
      <c r="D10" s="365" t="s">
        <v>133</v>
      </c>
      <c r="E10" s="365"/>
      <c r="F10" s="365"/>
      <c r="G10" s="365"/>
      <c r="H10" s="365"/>
      <c r="I10" s="365"/>
      <c r="J10" s="365"/>
      <c r="K10" s="365"/>
      <c r="L10" s="365"/>
      <c r="M10" s="365"/>
      <c r="N10" s="365"/>
      <c r="O10" s="365"/>
      <c r="P10" s="365"/>
      <c r="Q10" s="365" t="s">
        <v>134</v>
      </c>
      <c r="R10" s="365"/>
      <c r="S10" s="365"/>
      <c r="T10" s="365"/>
      <c r="U10" s="365"/>
      <c r="V10" s="365"/>
      <c r="W10" s="365"/>
      <c r="X10" s="366" t="s">
        <v>32</v>
      </c>
      <c r="Y10" s="366"/>
      <c r="Z10" s="366"/>
      <c r="AA10" s="365" t="s">
        <v>135</v>
      </c>
      <c r="AB10" s="365"/>
      <c r="AC10" s="365"/>
      <c r="AD10" s="365"/>
      <c r="AE10" s="365" t="s">
        <v>136</v>
      </c>
      <c r="AF10" s="359"/>
    </row>
    <row r="11" spans="1:32" ht="29.35" thickBot="1" x14ac:dyDescent="0.35">
      <c r="A11" s="362"/>
      <c r="B11" s="364"/>
      <c r="C11" s="364"/>
      <c r="D11" s="361" t="s">
        <v>29</v>
      </c>
      <c r="E11" s="361"/>
      <c r="F11" s="361"/>
      <c r="G11" s="361" t="s">
        <v>30</v>
      </c>
      <c r="H11" s="361"/>
      <c r="I11" s="361"/>
      <c r="J11" s="361" t="s">
        <v>31</v>
      </c>
      <c r="K11" s="361"/>
      <c r="L11" s="361"/>
      <c r="M11" s="86" t="s">
        <v>137</v>
      </c>
      <c r="N11" s="86" t="s">
        <v>138</v>
      </c>
      <c r="O11" s="361" t="s">
        <v>139</v>
      </c>
      <c r="P11" s="374" t="s">
        <v>140</v>
      </c>
      <c r="Q11" s="361" t="s">
        <v>29</v>
      </c>
      <c r="R11" s="86" t="s">
        <v>137</v>
      </c>
      <c r="S11" s="361" t="s">
        <v>30</v>
      </c>
      <c r="T11" s="86" t="s">
        <v>138</v>
      </c>
      <c r="U11" s="361" t="s">
        <v>141</v>
      </c>
      <c r="V11" s="361" t="s">
        <v>142</v>
      </c>
      <c r="W11" s="363" t="s">
        <v>143</v>
      </c>
      <c r="X11" s="87" t="s">
        <v>36</v>
      </c>
      <c r="Y11" s="87" t="s">
        <v>37</v>
      </c>
      <c r="Z11" s="87" t="s">
        <v>38</v>
      </c>
      <c r="AA11" s="86" t="s">
        <v>144</v>
      </c>
      <c r="AB11" s="86" t="s">
        <v>145</v>
      </c>
      <c r="AC11" s="86" t="s">
        <v>146</v>
      </c>
      <c r="AD11" s="86" t="s">
        <v>31</v>
      </c>
      <c r="AE11" s="365"/>
      <c r="AF11" s="359"/>
    </row>
    <row r="12" spans="1:32" ht="14.95" thickBot="1" x14ac:dyDescent="0.35">
      <c r="A12" s="362"/>
      <c r="B12" s="364"/>
      <c r="C12" s="364"/>
      <c r="D12" s="86" t="s">
        <v>147</v>
      </c>
      <c r="E12" s="86" t="s">
        <v>148</v>
      </c>
      <c r="F12" s="86" t="s">
        <v>149</v>
      </c>
      <c r="G12" s="86" t="s">
        <v>147</v>
      </c>
      <c r="H12" s="86" t="s">
        <v>148</v>
      </c>
      <c r="I12" s="86" t="s">
        <v>149</v>
      </c>
      <c r="J12" s="86" t="s">
        <v>147</v>
      </c>
      <c r="K12" s="86" t="s">
        <v>148</v>
      </c>
      <c r="L12" s="86" t="s">
        <v>149</v>
      </c>
      <c r="M12" s="88"/>
      <c r="N12" s="88"/>
      <c r="O12" s="361"/>
      <c r="P12" s="374"/>
      <c r="Q12" s="361"/>
      <c r="R12" s="89"/>
      <c r="S12" s="361"/>
      <c r="T12" s="90"/>
      <c r="U12" s="361"/>
      <c r="V12" s="361"/>
      <c r="W12" s="367"/>
      <c r="X12" s="87"/>
      <c r="Y12" s="87"/>
      <c r="Z12" s="87"/>
      <c r="AA12" s="86"/>
      <c r="AB12" s="86"/>
      <c r="AC12" s="86"/>
      <c r="AD12" s="86"/>
      <c r="AE12" s="91"/>
      <c r="AF12" s="360"/>
    </row>
    <row r="13" spans="1:32" ht="14.4" x14ac:dyDescent="0.3">
      <c r="A13" s="92">
        <v>41249</v>
      </c>
      <c r="B13" s="93"/>
      <c r="C13" s="93">
        <v>1</v>
      </c>
      <c r="D13" s="94"/>
      <c r="E13" s="94"/>
      <c r="F13" s="94"/>
      <c r="G13" s="94"/>
      <c r="H13" s="94"/>
      <c r="I13" s="94"/>
      <c r="J13" s="94"/>
      <c r="K13" s="94"/>
      <c r="L13" s="94"/>
      <c r="M13" s="95"/>
      <c r="N13" s="95"/>
      <c r="O13" s="96"/>
      <c r="P13" s="97"/>
      <c r="Q13" s="96"/>
      <c r="R13" s="96"/>
      <c r="S13" s="96"/>
      <c r="T13" s="96"/>
      <c r="U13" s="96"/>
      <c r="V13" s="98"/>
      <c r="W13" s="97"/>
      <c r="X13" s="57"/>
      <c r="Y13" s="57">
        <v>1</v>
      </c>
      <c r="Z13" s="57"/>
      <c r="AA13" s="99"/>
      <c r="AB13" s="99"/>
      <c r="AC13" s="99"/>
      <c r="AD13" s="99"/>
      <c r="AE13" s="100"/>
      <c r="AF13" s="101"/>
    </row>
    <row r="14" spans="1:32" ht="14.4" x14ac:dyDescent="0.3">
      <c r="A14" s="102">
        <v>41318</v>
      </c>
      <c r="B14" s="93"/>
      <c r="C14" s="93">
        <v>3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4"/>
      <c r="N14" s="104"/>
      <c r="O14" s="104"/>
      <c r="P14" s="105"/>
      <c r="Q14" s="104"/>
      <c r="R14" s="106"/>
      <c r="S14" s="104"/>
      <c r="T14" s="106"/>
      <c r="U14" s="104"/>
      <c r="V14" s="106"/>
      <c r="W14" s="105"/>
      <c r="X14" s="58"/>
      <c r="Y14" s="58"/>
      <c r="Z14" s="58"/>
      <c r="AA14" s="93"/>
      <c r="AB14" s="93"/>
      <c r="AC14" s="93"/>
      <c r="AD14" s="107"/>
      <c r="AE14" s="108"/>
      <c r="AF14" s="109"/>
    </row>
    <row r="15" spans="1:32" ht="14.4" x14ac:dyDescent="0.3">
      <c r="A15" s="102"/>
      <c r="B15" s="93"/>
      <c r="C15" s="93"/>
      <c r="D15" s="103"/>
      <c r="E15" s="103"/>
      <c r="F15" s="103"/>
      <c r="G15" s="103"/>
      <c r="H15" s="103"/>
      <c r="I15" s="103"/>
      <c r="J15" s="103"/>
      <c r="K15" s="103"/>
      <c r="L15" s="103"/>
      <c r="M15" s="104"/>
      <c r="N15" s="104"/>
      <c r="O15" s="104"/>
      <c r="P15" s="105"/>
      <c r="Q15" s="104"/>
      <c r="R15" s="106"/>
      <c r="S15" s="104"/>
      <c r="T15" s="106"/>
      <c r="U15" s="104"/>
      <c r="V15" s="106"/>
      <c r="W15" s="105"/>
      <c r="Y15" s="111"/>
      <c r="Z15" s="111"/>
      <c r="AA15" s="93"/>
      <c r="AB15" s="93"/>
      <c r="AC15" s="93"/>
      <c r="AD15" s="112"/>
      <c r="AE15" s="108"/>
      <c r="AF15" s="109"/>
    </row>
    <row r="16" spans="1:32" ht="14.4" x14ac:dyDescent="0.3">
      <c r="A16" s="102"/>
      <c r="B16" s="93"/>
      <c r="C16" s="93"/>
      <c r="D16" s="103"/>
      <c r="E16" s="103"/>
      <c r="F16" s="103"/>
      <c r="G16" s="103"/>
      <c r="H16" s="103"/>
      <c r="I16" s="103"/>
      <c r="J16" s="103"/>
      <c r="K16" s="103"/>
      <c r="L16" s="103"/>
      <c r="M16" s="104"/>
      <c r="N16" s="104"/>
      <c r="O16" s="104"/>
      <c r="P16" s="105"/>
      <c r="Q16" s="104"/>
      <c r="R16" s="106"/>
      <c r="S16" s="104"/>
      <c r="T16" s="106"/>
      <c r="U16" s="104"/>
      <c r="V16" s="106"/>
      <c r="W16" s="105"/>
      <c r="Y16" s="111"/>
      <c r="Z16" s="111"/>
      <c r="AA16" s="93"/>
      <c r="AB16" s="93"/>
      <c r="AC16" s="93"/>
      <c r="AD16" s="113"/>
      <c r="AE16" s="114"/>
      <c r="AF16" s="109"/>
    </row>
    <row r="17" spans="1:32" ht="14.4" x14ac:dyDescent="0.3">
      <c r="A17" s="102"/>
      <c r="B17" s="93"/>
      <c r="C17" s="93"/>
      <c r="D17" s="115"/>
      <c r="E17" s="115"/>
      <c r="F17" s="115"/>
      <c r="G17" s="115"/>
      <c r="H17" s="115"/>
      <c r="I17" s="115"/>
      <c r="J17" s="115"/>
      <c r="K17" s="115"/>
      <c r="L17" s="115"/>
      <c r="M17" s="104"/>
      <c r="N17" s="104"/>
      <c r="O17" s="104"/>
      <c r="P17" s="105"/>
      <c r="Q17" s="104"/>
      <c r="R17" s="106"/>
      <c r="S17" s="104"/>
      <c r="T17" s="106"/>
      <c r="U17" s="104"/>
      <c r="V17" s="106"/>
      <c r="W17" s="105"/>
      <c r="X17" s="111"/>
      <c r="Y17" s="111"/>
      <c r="Z17" s="111"/>
      <c r="AA17" s="93"/>
      <c r="AB17" s="93"/>
      <c r="AC17" s="93"/>
      <c r="AD17" s="113"/>
      <c r="AE17" s="114"/>
      <c r="AF17" s="109"/>
    </row>
    <row r="18" spans="1:32" ht="14.4" x14ac:dyDescent="0.3">
      <c r="A18" s="102"/>
      <c r="B18" s="93"/>
      <c r="C18" s="93"/>
      <c r="D18" s="103"/>
      <c r="E18" s="103"/>
      <c r="F18" s="103"/>
      <c r="G18" s="103"/>
      <c r="H18" s="103"/>
      <c r="I18" s="103"/>
      <c r="J18" s="103"/>
      <c r="K18" s="103"/>
      <c r="L18" s="103"/>
      <c r="M18" s="104"/>
      <c r="N18" s="104"/>
      <c r="O18" s="104"/>
      <c r="P18" s="105"/>
      <c r="Q18" s="104"/>
      <c r="R18" s="106"/>
      <c r="S18" s="104"/>
      <c r="T18" s="106"/>
      <c r="U18" s="104"/>
      <c r="V18" s="106"/>
      <c r="W18" s="105"/>
      <c r="X18" s="111"/>
      <c r="Y18" s="111"/>
      <c r="Z18" s="111"/>
      <c r="AA18" s="93"/>
      <c r="AB18" s="93"/>
      <c r="AC18" s="93"/>
      <c r="AD18" s="113"/>
      <c r="AE18" s="114"/>
      <c r="AF18" s="109"/>
    </row>
    <row r="19" spans="1:32" ht="14.4" x14ac:dyDescent="0.3">
      <c r="A19" s="116"/>
      <c r="B19" s="93"/>
      <c r="C19" s="93"/>
      <c r="D19" s="103"/>
      <c r="E19" s="103"/>
      <c r="F19" s="103"/>
      <c r="G19" s="103"/>
      <c r="H19" s="103"/>
      <c r="I19" s="103"/>
      <c r="J19" s="103"/>
      <c r="K19" s="103"/>
      <c r="L19" s="103"/>
      <c r="M19" s="104"/>
      <c r="N19" s="104"/>
      <c r="O19" s="104"/>
      <c r="P19" s="105"/>
      <c r="Q19" s="104"/>
      <c r="R19" s="104"/>
      <c r="S19" s="104"/>
      <c r="T19" s="104"/>
      <c r="U19" s="104"/>
      <c r="V19" s="106"/>
      <c r="W19" s="105"/>
      <c r="X19" s="111"/>
      <c r="Y19" s="111"/>
      <c r="Z19" s="111"/>
      <c r="AA19" s="93"/>
      <c r="AB19" s="93"/>
      <c r="AC19" s="93"/>
      <c r="AD19" s="113"/>
      <c r="AE19" s="114"/>
      <c r="AF19" s="117"/>
    </row>
    <row r="20" spans="1:32" ht="14.4" x14ac:dyDescent="0.3">
      <c r="A20" s="116"/>
      <c r="B20" s="93"/>
      <c r="C20" s="93"/>
      <c r="D20" s="103"/>
      <c r="E20" s="103"/>
      <c r="F20" s="103"/>
      <c r="G20" s="103"/>
      <c r="H20" s="103"/>
      <c r="I20" s="103"/>
      <c r="J20" s="103"/>
      <c r="K20" s="103"/>
      <c r="L20" s="103"/>
      <c r="M20" s="104"/>
      <c r="N20" s="104"/>
      <c r="O20" s="104"/>
      <c r="P20" s="105"/>
      <c r="Q20" s="104"/>
      <c r="R20" s="104"/>
      <c r="S20" s="104"/>
      <c r="T20" s="104"/>
      <c r="U20" s="104"/>
      <c r="V20" s="106"/>
      <c r="W20" s="105"/>
      <c r="X20" s="111"/>
      <c r="Y20" s="111"/>
      <c r="Z20" s="111"/>
      <c r="AA20" s="93"/>
      <c r="AB20" s="93"/>
      <c r="AC20" s="93"/>
      <c r="AD20" s="113"/>
      <c r="AE20" s="114"/>
      <c r="AF20" s="117"/>
    </row>
    <row r="21" spans="1:32" ht="14.4" x14ac:dyDescent="0.3">
      <c r="A21" s="116"/>
      <c r="B21" s="93"/>
      <c r="C21" s="93"/>
      <c r="D21" s="103"/>
      <c r="E21" s="103"/>
      <c r="F21" s="103"/>
      <c r="G21" s="103"/>
      <c r="H21" s="103"/>
      <c r="I21" s="103"/>
      <c r="J21" s="103"/>
      <c r="K21" s="103"/>
      <c r="L21" s="103"/>
      <c r="M21" s="104"/>
      <c r="N21" s="104"/>
      <c r="O21" s="104"/>
      <c r="P21" s="105"/>
      <c r="Q21" s="104"/>
      <c r="R21" s="104"/>
      <c r="S21" s="104"/>
      <c r="T21" s="104"/>
      <c r="U21" s="104"/>
      <c r="V21" s="106"/>
      <c r="W21" s="105"/>
      <c r="X21" s="111"/>
      <c r="Y21" s="111"/>
      <c r="Z21" s="111"/>
      <c r="AA21" s="93"/>
      <c r="AB21" s="93"/>
      <c r="AC21" s="93"/>
      <c r="AD21" s="113"/>
      <c r="AE21" s="114"/>
      <c r="AF21" s="117"/>
    </row>
    <row r="22" spans="1:32" ht="14.4" x14ac:dyDescent="0.3">
      <c r="A22" s="118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104"/>
      <c r="N22" s="104"/>
      <c r="O22" s="119"/>
      <c r="P22" s="104"/>
      <c r="Q22" s="104"/>
      <c r="R22" s="104"/>
      <c r="S22" s="104"/>
      <c r="T22" s="104"/>
      <c r="U22" s="104"/>
      <c r="V22" s="119"/>
      <c r="W22" s="93"/>
      <c r="X22" s="120"/>
      <c r="Y22" s="120"/>
      <c r="Z22" s="120"/>
      <c r="AA22" s="93"/>
      <c r="AB22" s="93"/>
      <c r="AC22" s="113"/>
      <c r="AD22" s="114"/>
      <c r="AE22" s="117"/>
      <c r="AF22" s="93"/>
    </row>
    <row r="23" spans="1:32" ht="14.4" x14ac:dyDescent="0.3">
      <c r="A23" s="118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104"/>
      <c r="N23" s="104"/>
      <c r="O23" s="119"/>
      <c r="P23" s="104"/>
      <c r="Q23" s="104"/>
      <c r="R23" s="104"/>
      <c r="S23" s="104"/>
      <c r="T23" s="104"/>
      <c r="U23" s="104"/>
      <c r="V23" s="119"/>
      <c r="W23" s="93"/>
      <c r="X23" s="120"/>
      <c r="Y23" s="120"/>
      <c r="Z23" s="120"/>
      <c r="AA23" s="93"/>
      <c r="AB23" s="93"/>
      <c r="AC23" s="113"/>
      <c r="AD23" s="114"/>
      <c r="AE23" s="117"/>
      <c r="AF23" s="93"/>
    </row>
    <row r="24" spans="1:32" ht="14.4" x14ac:dyDescent="0.3">
      <c r="A24" s="118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104"/>
      <c r="N24" s="104"/>
      <c r="O24" s="119"/>
      <c r="P24" s="104"/>
      <c r="Q24" s="104"/>
      <c r="R24" s="104"/>
      <c r="S24" s="104"/>
      <c r="T24" s="104"/>
      <c r="U24" s="104"/>
      <c r="V24" s="119"/>
      <c r="W24" s="93"/>
      <c r="X24" s="120"/>
      <c r="Y24" s="120"/>
      <c r="Z24" s="120"/>
      <c r="AA24" s="93"/>
      <c r="AB24" s="93"/>
      <c r="AC24" s="113"/>
      <c r="AD24" s="114"/>
      <c r="AE24" s="117"/>
      <c r="AF24" s="93"/>
    </row>
    <row r="25" spans="1:32" ht="14.4" x14ac:dyDescent="0.3">
      <c r="A25" s="118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104"/>
      <c r="N25" s="104"/>
      <c r="O25" s="119"/>
      <c r="P25" s="104"/>
      <c r="Q25" s="104"/>
      <c r="R25" s="104"/>
      <c r="S25" s="104"/>
      <c r="T25" s="104"/>
      <c r="U25" s="104"/>
      <c r="V25" s="119"/>
      <c r="W25" s="93"/>
      <c r="X25" s="120"/>
      <c r="Y25" s="120"/>
      <c r="Z25" s="120"/>
      <c r="AA25" s="93"/>
      <c r="AB25" s="93"/>
      <c r="AC25" s="113"/>
      <c r="AD25" s="114"/>
      <c r="AE25" s="117"/>
      <c r="AF25" s="93"/>
    </row>
    <row r="26" spans="1:32" ht="14.4" x14ac:dyDescent="0.3">
      <c r="A26" s="118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104"/>
      <c r="N26" s="104"/>
      <c r="O26" s="119"/>
      <c r="P26" s="104"/>
      <c r="Q26" s="104"/>
      <c r="R26" s="104"/>
      <c r="S26" s="104"/>
      <c r="T26" s="104"/>
      <c r="U26" s="104"/>
      <c r="V26" s="119"/>
      <c r="W26" s="93"/>
      <c r="X26" s="120"/>
      <c r="Y26" s="120"/>
      <c r="Z26" s="120"/>
      <c r="AA26" s="93"/>
      <c r="AB26" s="93"/>
      <c r="AC26" s="113"/>
      <c r="AD26" s="114"/>
      <c r="AE26" s="117"/>
      <c r="AF26" s="93"/>
    </row>
    <row r="27" spans="1:32" ht="14.4" x14ac:dyDescent="0.3">
      <c r="A27" s="118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104"/>
      <c r="N27" s="104"/>
      <c r="O27" s="119"/>
      <c r="P27" s="104"/>
      <c r="Q27" s="104"/>
      <c r="R27" s="104"/>
      <c r="S27" s="104"/>
      <c r="T27" s="104"/>
      <c r="U27" s="104"/>
      <c r="V27" s="119"/>
      <c r="W27" s="93"/>
      <c r="X27" s="120"/>
      <c r="Y27" s="120"/>
      <c r="Z27" s="120"/>
      <c r="AA27" s="93"/>
      <c r="AB27" s="93"/>
      <c r="AC27" s="113"/>
      <c r="AD27" s="114"/>
      <c r="AE27" s="117"/>
      <c r="AF27" s="93"/>
    </row>
    <row r="28" spans="1:32" ht="14.4" x14ac:dyDescent="0.3">
      <c r="A28" s="118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104"/>
      <c r="N28" s="104"/>
      <c r="O28" s="119"/>
      <c r="P28" s="104"/>
      <c r="Q28" s="104"/>
      <c r="R28" s="104"/>
      <c r="S28" s="104"/>
      <c r="T28" s="104"/>
      <c r="U28" s="104"/>
      <c r="V28" s="119"/>
      <c r="W28" s="93"/>
      <c r="X28" s="120"/>
      <c r="Y28" s="120"/>
      <c r="Z28" s="120"/>
      <c r="AA28" s="93"/>
      <c r="AB28" s="93"/>
      <c r="AC28" s="113"/>
      <c r="AD28" s="114"/>
      <c r="AE28" s="117"/>
      <c r="AF28" s="93"/>
    </row>
    <row r="29" spans="1:32" ht="14.4" x14ac:dyDescent="0.3">
      <c r="A29" s="118"/>
      <c r="B29" s="93"/>
      <c r="C29" s="93"/>
      <c r="D29" s="121"/>
      <c r="E29" s="121"/>
      <c r="F29" s="121"/>
      <c r="G29" s="121"/>
      <c r="H29" s="121"/>
      <c r="I29" s="121"/>
      <c r="J29" s="121"/>
      <c r="K29" s="121"/>
      <c r="L29" s="93"/>
      <c r="M29" s="104"/>
      <c r="N29" s="104"/>
      <c r="O29" s="119"/>
      <c r="P29" s="104"/>
      <c r="Q29" s="104"/>
      <c r="R29" s="104"/>
      <c r="S29" s="104"/>
      <c r="T29" s="104"/>
      <c r="U29" s="104"/>
      <c r="V29" s="119"/>
      <c r="W29" s="93"/>
      <c r="X29" s="120"/>
      <c r="Y29" s="120"/>
      <c r="Z29" s="120"/>
      <c r="AA29" s="93"/>
      <c r="AB29" s="93"/>
      <c r="AC29" s="113"/>
      <c r="AD29" s="114"/>
      <c r="AE29" s="117"/>
      <c r="AF29" s="93"/>
    </row>
    <row r="30" spans="1:32" ht="36.700000000000003" customHeight="1" thickBot="1" x14ac:dyDescent="0.35">
      <c r="A30" s="122"/>
      <c r="B30" s="368"/>
      <c r="C30" s="369"/>
      <c r="D30" s="368" t="s">
        <v>150</v>
      </c>
      <c r="E30" s="370"/>
      <c r="F30" s="370"/>
      <c r="G30" s="370"/>
      <c r="H30" s="370"/>
      <c r="I30" s="370"/>
      <c r="J30" s="370"/>
      <c r="K30" s="369"/>
      <c r="L30" s="123" t="s">
        <v>151</v>
      </c>
      <c r="M30" s="124" t="s">
        <v>152</v>
      </c>
      <c r="N30" s="125"/>
      <c r="O30" s="125"/>
      <c r="P30" s="125"/>
      <c r="Q30" s="122"/>
      <c r="R30" s="122"/>
      <c r="S30" s="122"/>
      <c r="T30" s="122"/>
      <c r="U30" s="122"/>
      <c r="V30" s="122" t="s">
        <v>152</v>
      </c>
      <c r="W30" s="122" t="s">
        <v>152</v>
      </c>
      <c r="X30" s="371" t="s">
        <v>41</v>
      </c>
      <c r="Y30" s="372"/>
      <c r="Z30" s="373"/>
      <c r="AA30" s="126"/>
      <c r="AB30" s="126"/>
      <c r="AC30" s="126"/>
      <c r="AD30" s="126"/>
      <c r="AE30" s="126"/>
      <c r="AF30" s="126"/>
    </row>
  </sheetData>
  <mergeCells count="25">
    <mergeCell ref="W11:W12"/>
    <mergeCell ref="B30:C30"/>
    <mergeCell ref="D30:K30"/>
    <mergeCell ref="X30:Z30"/>
    <mergeCell ref="P11:P12"/>
    <mergeCell ref="Q11:Q12"/>
    <mergeCell ref="S11:S12"/>
    <mergeCell ref="U11:U12"/>
    <mergeCell ref="V11:V12"/>
    <mergeCell ref="A1:Z1"/>
    <mergeCell ref="S7:Z8"/>
    <mergeCell ref="A9:AE9"/>
    <mergeCell ref="AF9:AF12"/>
    <mergeCell ref="A10:A12"/>
    <mergeCell ref="B10:B12"/>
    <mergeCell ref="C10:C12"/>
    <mergeCell ref="D10:P10"/>
    <mergeCell ref="Q10:W10"/>
    <mergeCell ref="X10:Z10"/>
    <mergeCell ref="AA10:AD10"/>
    <mergeCell ref="AE10:AE11"/>
    <mergeCell ref="D11:F11"/>
    <mergeCell ref="G11:I11"/>
    <mergeCell ref="J11:L11"/>
    <mergeCell ref="O11:O1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00"/>
  </sheetPr>
  <dimension ref="A1:IV319"/>
  <sheetViews>
    <sheetView tabSelected="1" zoomScaleNormal="100" workbookViewId="0">
      <pane xSplit="1" ySplit="3" topLeftCell="J13" activePane="bottomRight" state="frozen"/>
      <selection activeCell="K21" sqref="K21"/>
      <selection pane="topRight" activeCell="K21" sqref="K21"/>
      <selection pane="bottomLeft" activeCell="K21" sqref="K21"/>
      <selection pane="bottomRight" activeCell="X3" sqref="X3"/>
    </sheetView>
  </sheetViews>
  <sheetFormatPr defaultColWidth="8.26953125" defaultRowHeight="14.4" x14ac:dyDescent="0.3"/>
  <cols>
    <col min="1" max="1" width="9.1796875" style="222" bestFit="1" customWidth="1"/>
    <col min="2" max="2" width="5.453125" style="223" bestFit="1" customWidth="1"/>
    <col min="3" max="3" width="6" style="223" bestFit="1" customWidth="1"/>
    <col min="4" max="4" width="6.36328125" style="223" bestFit="1" customWidth="1"/>
    <col min="5" max="5" width="4.1796875" style="223" hidden="1" customWidth="1"/>
    <col min="6" max="6" width="4.453125" style="223" hidden="1" customWidth="1"/>
    <col min="7" max="7" width="6.36328125" style="223" hidden="1" customWidth="1"/>
    <col min="8" max="8" width="6.453125" style="223" customWidth="1"/>
    <col min="9" max="9" width="6.36328125" style="223" bestFit="1" customWidth="1"/>
    <col min="10" max="10" width="6.08984375" style="223" customWidth="1"/>
    <col min="11" max="11" width="7.54296875" style="223" hidden="1" customWidth="1"/>
    <col min="12" max="12" width="4.453125" style="223" hidden="1" customWidth="1"/>
    <col min="13" max="13" width="6.36328125" style="223" hidden="1" customWidth="1"/>
    <col min="14" max="15" width="6.26953125" style="223" customWidth="1"/>
    <col min="16" max="16" width="6.36328125" style="223" bestFit="1" customWidth="1"/>
    <col min="17" max="17" width="5.26953125" style="223" customWidth="1"/>
    <col min="18" max="18" width="5.08984375" style="223" customWidth="1"/>
    <col min="19" max="19" width="5.1796875" style="223" customWidth="1"/>
    <col min="20" max="20" width="5.7265625" style="223" customWidth="1"/>
    <col min="21" max="21" width="6" style="193" bestFit="1" customWidth="1"/>
    <col min="22" max="22" width="7" style="193" bestFit="1" customWidth="1"/>
    <col min="23" max="23" width="8.1796875" style="193" bestFit="1" customWidth="1"/>
    <col min="24" max="24" width="4.54296875" style="127" customWidth="1"/>
    <col min="25" max="25" width="5.81640625" style="127" hidden="1" customWidth="1"/>
    <col min="26" max="26" width="4.54296875" style="224" bestFit="1" customWidth="1"/>
    <col min="27" max="27" width="6.26953125" style="127" hidden="1" customWidth="1"/>
    <col min="28" max="28" width="4.54296875" style="127" bestFit="1" customWidth="1"/>
    <col min="29" max="29" width="4.54296875" style="127" customWidth="1"/>
    <col min="30" max="30" width="5.54296875" style="127" bestFit="1" customWidth="1"/>
    <col min="31" max="31" width="11.7265625" style="127" customWidth="1"/>
    <col min="32" max="32" width="4.1796875" style="127" bestFit="1" customWidth="1"/>
    <col min="33" max="33" width="5.81640625" style="127" hidden="1" customWidth="1"/>
    <col min="34" max="34" width="4.1796875" style="127" bestFit="1" customWidth="1"/>
    <col min="35" max="35" width="6.453125" style="127" hidden="1" customWidth="1"/>
    <col min="36" max="36" width="4.54296875" style="127" bestFit="1" customWidth="1"/>
    <col min="37" max="37" width="4.54296875" style="127" customWidth="1"/>
    <col min="38" max="38" width="4.54296875" style="193" bestFit="1" customWidth="1"/>
    <col min="39" max="39" width="5.81640625" style="193" bestFit="1" customWidth="1"/>
    <col min="40" max="40" width="4.54296875" style="193" bestFit="1" customWidth="1"/>
    <col min="41" max="41" width="6.26953125" style="193" bestFit="1" customWidth="1"/>
    <col min="42" max="42" width="4.54296875" style="193" bestFit="1" customWidth="1"/>
    <col min="43" max="43" width="11.453125" style="193" bestFit="1" customWidth="1"/>
    <col min="44" max="44" width="11.453125" style="225" bestFit="1" customWidth="1"/>
    <col min="45" max="45" width="69.7265625" style="226" customWidth="1"/>
    <col min="46" max="256" width="8.26953125" style="193"/>
    <col min="257" max="257" width="9.1796875" style="193" bestFit="1" customWidth="1"/>
    <col min="258" max="258" width="5.453125" style="193" bestFit="1" customWidth="1"/>
    <col min="259" max="259" width="6" style="193" bestFit="1" customWidth="1"/>
    <col min="260" max="260" width="6.36328125" style="193" bestFit="1" customWidth="1"/>
    <col min="261" max="263" width="0" style="193" hidden="1" customWidth="1"/>
    <col min="264" max="264" width="5.453125" style="193" bestFit="1" customWidth="1"/>
    <col min="265" max="265" width="6.36328125" style="193" bestFit="1" customWidth="1"/>
    <col min="266" max="266" width="6.08984375" style="193" customWidth="1"/>
    <col min="267" max="269" width="0" style="193" hidden="1" customWidth="1"/>
    <col min="270" max="271" width="6.26953125" style="193" customWidth="1"/>
    <col min="272" max="272" width="6.36328125" style="193" bestFit="1" customWidth="1"/>
    <col min="273" max="273" width="3.54296875" style="193" bestFit="1" customWidth="1"/>
    <col min="274" max="274" width="4" style="193" bestFit="1" customWidth="1"/>
    <col min="275" max="275" width="5.1796875" style="193" customWidth="1"/>
    <col min="276" max="276" width="5.7265625" style="193" customWidth="1"/>
    <col min="277" max="277" width="6" style="193" bestFit="1" customWidth="1"/>
    <col min="278" max="278" width="7" style="193" bestFit="1" customWidth="1"/>
    <col min="279" max="279" width="8.1796875" style="193" bestFit="1" customWidth="1"/>
    <col min="280" max="280" width="4.54296875" style="193" customWidth="1"/>
    <col min="281" max="281" width="0" style="193" hidden="1" customWidth="1"/>
    <col min="282" max="282" width="4.54296875" style="193" bestFit="1" customWidth="1"/>
    <col min="283" max="283" width="0" style="193" hidden="1" customWidth="1"/>
    <col min="284" max="284" width="4.54296875" style="193" bestFit="1" customWidth="1"/>
    <col min="285" max="285" width="4.54296875" style="193" customWidth="1"/>
    <col min="286" max="286" width="5.54296875" style="193" bestFit="1" customWidth="1"/>
    <col min="287" max="287" width="11.7265625" style="193" customWidth="1"/>
    <col min="288" max="288" width="4.1796875" style="193" bestFit="1" customWidth="1"/>
    <col min="289" max="289" width="0" style="193" hidden="1" customWidth="1"/>
    <col min="290" max="290" width="4.1796875" style="193" bestFit="1" customWidth="1"/>
    <col min="291" max="291" width="0" style="193" hidden="1" customWidth="1"/>
    <col min="292" max="292" width="4.54296875" style="193" bestFit="1" customWidth="1"/>
    <col min="293" max="293" width="4.54296875" style="193" customWidth="1"/>
    <col min="294" max="294" width="4.54296875" style="193" bestFit="1" customWidth="1"/>
    <col min="295" max="295" width="5.81640625" style="193" bestFit="1" customWidth="1"/>
    <col min="296" max="296" width="4.54296875" style="193" bestFit="1" customWidth="1"/>
    <col min="297" max="297" width="6.26953125" style="193" bestFit="1" customWidth="1"/>
    <col min="298" max="298" width="4.54296875" style="193" bestFit="1" customWidth="1"/>
    <col min="299" max="300" width="11.453125" style="193" bestFit="1" customWidth="1"/>
    <col min="301" max="301" width="69.7265625" style="193" customWidth="1"/>
    <col min="302" max="512" width="8.26953125" style="193"/>
    <col min="513" max="513" width="9.1796875" style="193" bestFit="1" customWidth="1"/>
    <col min="514" max="514" width="5.453125" style="193" bestFit="1" customWidth="1"/>
    <col min="515" max="515" width="6" style="193" bestFit="1" customWidth="1"/>
    <col min="516" max="516" width="6.36328125" style="193" bestFit="1" customWidth="1"/>
    <col min="517" max="519" width="0" style="193" hidden="1" customWidth="1"/>
    <col min="520" max="520" width="5.453125" style="193" bestFit="1" customWidth="1"/>
    <col min="521" max="521" width="6.36328125" style="193" bestFit="1" customWidth="1"/>
    <col min="522" max="522" width="6.08984375" style="193" customWidth="1"/>
    <col min="523" max="525" width="0" style="193" hidden="1" customWidth="1"/>
    <col min="526" max="527" width="6.26953125" style="193" customWidth="1"/>
    <col min="528" max="528" width="6.36328125" style="193" bestFit="1" customWidth="1"/>
    <col min="529" max="529" width="3.54296875" style="193" bestFit="1" customWidth="1"/>
    <col min="530" max="530" width="4" style="193" bestFit="1" customWidth="1"/>
    <col min="531" max="531" width="5.1796875" style="193" customWidth="1"/>
    <col min="532" max="532" width="5.7265625" style="193" customWidth="1"/>
    <col min="533" max="533" width="6" style="193" bestFit="1" customWidth="1"/>
    <col min="534" max="534" width="7" style="193" bestFit="1" customWidth="1"/>
    <col min="535" max="535" width="8.1796875" style="193" bestFit="1" customWidth="1"/>
    <col min="536" max="536" width="4.54296875" style="193" customWidth="1"/>
    <col min="537" max="537" width="0" style="193" hidden="1" customWidth="1"/>
    <col min="538" max="538" width="4.54296875" style="193" bestFit="1" customWidth="1"/>
    <col min="539" max="539" width="0" style="193" hidden="1" customWidth="1"/>
    <col min="540" max="540" width="4.54296875" style="193" bestFit="1" customWidth="1"/>
    <col min="541" max="541" width="4.54296875" style="193" customWidth="1"/>
    <col min="542" max="542" width="5.54296875" style="193" bestFit="1" customWidth="1"/>
    <col min="543" max="543" width="11.7265625" style="193" customWidth="1"/>
    <col min="544" max="544" width="4.1796875" style="193" bestFit="1" customWidth="1"/>
    <col min="545" max="545" width="0" style="193" hidden="1" customWidth="1"/>
    <col min="546" max="546" width="4.1796875" style="193" bestFit="1" customWidth="1"/>
    <col min="547" max="547" width="0" style="193" hidden="1" customWidth="1"/>
    <col min="548" max="548" width="4.54296875" style="193" bestFit="1" customWidth="1"/>
    <col min="549" max="549" width="4.54296875" style="193" customWidth="1"/>
    <col min="550" max="550" width="4.54296875" style="193" bestFit="1" customWidth="1"/>
    <col min="551" max="551" width="5.81640625" style="193" bestFit="1" customWidth="1"/>
    <col min="552" max="552" width="4.54296875" style="193" bestFit="1" customWidth="1"/>
    <col min="553" max="553" width="6.26953125" style="193" bestFit="1" customWidth="1"/>
    <col min="554" max="554" width="4.54296875" style="193" bestFit="1" customWidth="1"/>
    <col min="555" max="556" width="11.453125" style="193" bestFit="1" customWidth="1"/>
    <col min="557" max="557" width="69.7265625" style="193" customWidth="1"/>
    <col min="558" max="768" width="8.26953125" style="193"/>
    <col min="769" max="769" width="9.1796875" style="193" bestFit="1" customWidth="1"/>
    <col min="770" max="770" width="5.453125" style="193" bestFit="1" customWidth="1"/>
    <col min="771" max="771" width="6" style="193" bestFit="1" customWidth="1"/>
    <col min="772" max="772" width="6.36328125" style="193" bestFit="1" customWidth="1"/>
    <col min="773" max="775" width="0" style="193" hidden="1" customWidth="1"/>
    <col min="776" max="776" width="5.453125" style="193" bestFit="1" customWidth="1"/>
    <col min="777" max="777" width="6.36328125" style="193" bestFit="1" customWidth="1"/>
    <col min="778" max="778" width="6.08984375" style="193" customWidth="1"/>
    <col min="779" max="781" width="0" style="193" hidden="1" customWidth="1"/>
    <col min="782" max="783" width="6.26953125" style="193" customWidth="1"/>
    <col min="784" max="784" width="6.36328125" style="193" bestFit="1" customWidth="1"/>
    <col min="785" max="785" width="3.54296875" style="193" bestFit="1" customWidth="1"/>
    <col min="786" max="786" width="4" style="193" bestFit="1" customWidth="1"/>
    <col min="787" max="787" width="5.1796875" style="193" customWidth="1"/>
    <col min="788" max="788" width="5.7265625" style="193" customWidth="1"/>
    <col min="789" max="789" width="6" style="193" bestFit="1" customWidth="1"/>
    <col min="790" max="790" width="7" style="193" bestFit="1" customWidth="1"/>
    <col min="791" max="791" width="8.1796875" style="193" bestFit="1" customWidth="1"/>
    <col min="792" max="792" width="4.54296875" style="193" customWidth="1"/>
    <col min="793" max="793" width="0" style="193" hidden="1" customWidth="1"/>
    <col min="794" max="794" width="4.54296875" style="193" bestFit="1" customWidth="1"/>
    <col min="795" max="795" width="0" style="193" hidden="1" customWidth="1"/>
    <col min="796" max="796" width="4.54296875" style="193" bestFit="1" customWidth="1"/>
    <col min="797" max="797" width="4.54296875" style="193" customWidth="1"/>
    <col min="798" max="798" width="5.54296875" style="193" bestFit="1" customWidth="1"/>
    <col min="799" max="799" width="11.7265625" style="193" customWidth="1"/>
    <col min="800" max="800" width="4.1796875" style="193" bestFit="1" customWidth="1"/>
    <col min="801" max="801" width="0" style="193" hidden="1" customWidth="1"/>
    <col min="802" max="802" width="4.1796875" style="193" bestFit="1" customWidth="1"/>
    <col min="803" max="803" width="0" style="193" hidden="1" customWidth="1"/>
    <col min="804" max="804" width="4.54296875" style="193" bestFit="1" customWidth="1"/>
    <col min="805" max="805" width="4.54296875" style="193" customWidth="1"/>
    <col min="806" max="806" width="4.54296875" style="193" bestFit="1" customWidth="1"/>
    <col min="807" max="807" width="5.81640625" style="193" bestFit="1" customWidth="1"/>
    <col min="808" max="808" width="4.54296875" style="193" bestFit="1" customWidth="1"/>
    <col min="809" max="809" width="6.26953125" style="193" bestFit="1" customWidth="1"/>
    <col min="810" max="810" width="4.54296875" style="193" bestFit="1" customWidth="1"/>
    <col min="811" max="812" width="11.453125" style="193" bestFit="1" customWidth="1"/>
    <col min="813" max="813" width="69.7265625" style="193" customWidth="1"/>
    <col min="814" max="1024" width="8.26953125" style="193"/>
    <col min="1025" max="1025" width="9.1796875" style="193" bestFit="1" customWidth="1"/>
    <col min="1026" max="1026" width="5.453125" style="193" bestFit="1" customWidth="1"/>
    <col min="1027" max="1027" width="6" style="193" bestFit="1" customWidth="1"/>
    <col min="1028" max="1028" width="6.36328125" style="193" bestFit="1" customWidth="1"/>
    <col min="1029" max="1031" width="0" style="193" hidden="1" customWidth="1"/>
    <col min="1032" max="1032" width="5.453125" style="193" bestFit="1" customWidth="1"/>
    <col min="1033" max="1033" width="6.36328125" style="193" bestFit="1" customWidth="1"/>
    <col min="1034" max="1034" width="6.08984375" style="193" customWidth="1"/>
    <col min="1035" max="1037" width="0" style="193" hidden="1" customWidth="1"/>
    <col min="1038" max="1039" width="6.26953125" style="193" customWidth="1"/>
    <col min="1040" max="1040" width="6.36328125" style="193" bestFit="1" customWidth="1"/>
    <col min="1041" max="1041" width="3.54296875" style="193" bestFit="1" customWidth="1"/>
    <col min="1042" max="1042" width="4" style="193" bestFit="1" customWidth="1"/>
    <col min="1043" max="1043" width="5.1796875" style="193" customWidth="1"/>
    <col min="1044" max="1044" width="5.7265625" style="193" customWidth="1"/>
    <col min="1045" max="1045" width="6" style="193" bestFit="1" customWidth="1"/>
    <col min="1046" max="1046" width="7" style="193" bestFit="1" customWidth="1"/>
    <col min="1047" max="1047" width="8.1796875" style="193" bestFit="1" customWidth="1"/>
    <col min="1048" max="1048" width="4.54296875" style="193" customWidth="1"/>
    <col min="1049" max="1049" width="0" style="193" hidden="1" customWidth="1"/>
    <col min="1050" max="1050" width="4.54296875" style="193" bestFit="1" customWidth="1"/>
    <col min="1051" max="1051" width="0" style="193" hidden="1" customWidth="1"/>
    <col min="1052" max="1052" width="4.54296875" style="193" bestFit="1" customWidth="1"/>
    <col min="1053" max="1053" width="4.54296875" style="193" customWidth="1"/>
    <col min="1054" max="1054" width="5.54296875" style="193" bestFit="1" customWidth="1"/>
    <col min="1055" max="1055" width="11.7265625" style="193" customWidth="1"/>
    <col min="1056" max="1056" width="4.1796875" style="193" bestFit="1" customWidth="1"/>
    <col min="1057" max="1057" width="0" style="193" hidden="1" customWidth="1"/>
    <col min="1058" max="1058" width="4.1796875" style="193" bestFit="1" customWidth="1"/>
    <col min="1059" max="1059" width="0" style="193" hidden="1" customWidth="1"/>
    <col min="1060" max="1060" width="4.54296875" style="193" bestFit="1" customWidth="1"/>
    <col min="1061" max="1061" width="4.54296875" style="193" customWidth="1"/>
    <col min="1062" max="1062" width="4.54296875" style="193" bestFit="1" customWidth="1"/>
    <col min="1063" max="1063" width="5.81640625" style="193" bestFit="1" customWidth="1"/>
    <col min="1064" max="1064" width="4.54296875" style="193" bestFit="1" customWidth="1"/>
    <col min="1065" max="1065" width="6.26953125" style="193" bestFit="1" customWidth="1"/>
    <col min="1066" max="1066" width="4.54296875" style="193" bestFit="1" customWidth="1"/>
    <col min="1067" max="1068" width="11.453125" style="193" bestFit="1" customWidth="1"/>
    <col min="1069" max="1069" width="69.7265625" style="193" customWidth="1"/>
    <col min="1070" max="1280" width="8.26953125" style="193"/>
    <col min="1281" max="1281" width="9.1796875" style="193" bestFit="1" customWidth="1"/>
    <col min="1282" max="1282" width="5.453125" style="193" bestFit="1" customWidth="1"/>
    <col min="1283" max="1283" width="6" style="193" bestFit="1" customWidth="1"/>
    <col min="1284" max="1284" width="6.36328125" style="193" bestFit="1" customWidth="1"/>
    <col min="1285" max="1287" width="0" style="193" hidden="1" customWidth="1"/>
    <col min="1288" max="1288" width="5.453125" style="193" bestFit="1" customWidth="1"/>
    <col min="1289" max="1289" width="6.36328125" style="193" bestFit="1" customWidth="1"/>
    <col min="1290" max="1290" width="6.08984375" style="193" customWidth="1"/>
    <col min="1291" max="1293" width="0" style="193" hidden="1" customWidth="1"/>
    <col min="1294" max="1295" width="6.26953125" style="193" customWidth="1"/>
    <col min="1296" max="1296" width="6.36328125" style="193" bestFit="1" customWidth="1"/>
    <col min="1297" max="1297" width="3.54296875" style="193" bestFit="1" customWidth="1"/>
    <col min="1298" max="1298" width="4" style="193" bestFit="1" customWidth="1"/>
    <col min="1299" max="1299" width="5.1796875" style="193" customWidth="1"/>
    <col min="1300" max="1300" width="5.7265625" style="193" customWidth="1"/>
    <col min="1301" max="1301" width="6" style="193" bestFit="1" customWidth="1"/>
    <col min="1302" max="1302" width="7" style="193" bestFit="1" customWidth="1"/>
    <col min="1303" max="1303" width="8.1796875" style="193" bestFit="1" customWidth="1"/>
    <col min="1304" max="1304" width="4.54296875" style="193" customWidth="1"/>
    <col min="1305" max="1305" width="0" style="193" hidden="1" customWidth="1"/>
    <col min="1306" max="1306" width="4.54296875" style="193" bestFit="1" customWidth="1"/>
    <col min="1307" max="1307" width="0" style="193" hidden="1" customWidth="1"/>
    <col min="1308" max="1308" width="4.54296875" style="193" bestFit="1" customWidth="1"/>
    <col min="1309" max="1309" width="4.54296875" style="193" customWidth="1"/>
    <col min="1310" max="1310" width="5.54296875" style="193" bestFit="1" customWidth="1"/>
    <col min="1311" max="1311" width="11.7265625" style="193" customWidth="1"/>
    <col min="1312" max="1312" width="4.1796875" style="193" bestFit="1" customWidth="1"/>
    <col min="1313" max="1313" width="0" style="193" hidden="1" customWidth="1"/>
    <col min="1314" max="1314" width="4.1796875" style="193" bestFit="1" customWidth="1"/>
    <col min="1315" max="1315" width="0" style="193" hidden="1" customWidth="1"/>
    <col min="1316" max="1316" width="4.54296875" style="193" bestFit="1" customWidth="1"/>
    <col min="1317" max="1317" width="4.54296875" style="193" customWidth="1"/>
    <col min="1318" max="1318" width="4.54296875" style="193" bestFit="1" customWidth="1"/>
    <col min="1319" max="1319" width="5.81640625" style="193" bestFit="1" customWidth="1"/>
    <col min="1320" max="1320" width="4.54296875" style="193" bestFit="1" customWidth="1"/>
    <col min="1321" max="1321" width="6.26953125" style="193" bestFit="1" customWidth="1"/>
    <col min="1322" max="1322" width="4.54296875" style="193" bestFit="1" customWidth="1"/>
    <col min="1323" max="1324" width="11.453125" style="193" bestFit="1" customWidth="1"/>
    <col min="1325" max="1325" width="69.7265625" style="193" customWidth="1"/>
    <col min="1326" max="1536" width="8.26953125" style="193"/>
    <col min="1537" max="1537" width="9.1796875" style="193" bestFit="1" customWidth="1"/>
    <col min="1538" max="1538" width="5.453125" style="193" bestFit="1" customWidth="1"/>
    <col min="1539" max="1539" width="6" style="193" bestFit="1" customWidth="1"/>
    <col min="1540" max="1540" width="6.36328125" style="193" bestFit="1" customWidth="1"/>
    <col min="1541" max="1543" width="0" style="193" hidden="1" customWidth="1"/>
    <col min="1544" max="1544" width="5.453125" style="193" bestFit="1" customWidth="1"/>
    <col min="1545" max="1545" width="6.36328125" style="193" bestFit="1" customWidth="1"/>
    <col min="1546" max="1546" width="6.08984375" style="193" customWidth="1"/>
    <col min="1547" max="1549" width="0" style="193" hidden="1" customWidth="1"/>
    <col min="1550" max="1551" width="6.26953125" style="193" customWidth="1"/>
    <col min="1552" max="1552" width="6.36328125" style="193" bestFit="1" customWidth="1"/>
    <col min="1553" max="1553" width="3.54296875" style="193" bestFit="1" customWidth="1"/>
    <col min="1554" max="1554" width="4" style="193" bestFit="1" customWidth="1"/>
    <col min="1555" max="1555" width="5.1796875" style="193" customWidth="1"/>
    <col min="1556" max="1556" width="5.7265625" style="193" customWidth="1"/>
    <col min="1557" max="1557" width="6" style="193" bestFit="1" customWidth="1"/>
    <col min="1558" max="1558" width="7" style="193" bestFit="1" customWidth="1"/>
    <col min="1559" max="1559" width="8.1796875" style="193" bestFit="1" customWidth="1"/>
    <col min="1560" max="1560" width="4.54296875" style="193" customWidth="1"/>
    <col min="1561" max="1561" width="0" style="193" hidden="1" customWidth="1"/>
    <col min="1562" max="1562" width="4.54296875" style="193" bestFit="1" customWidth="1"/>
    <col min="1563" max="1563" width="0" style="193" hidden="1" customWidth="1"/>
    <col min="1564" max="1564" width="4.54296875" style="193" bestFit="1" customWidth="1"/>
    <col min="1565" max="1565" width="4.54296875" style="193" customWidth="1"/>
    <col min="1566" max="1566" width="5.54296875" style="193" bestFit="1" customWidth="1"/>
    <col min="1567" max="1567" width="11.7265625" style="193" customWidth="1"/>
    <col min="1568" max="1568" width="4.1796875" style="193" bestFit="1" customWidth="1"/>
    <col min="1569" max="1569" width="0" style="193" hidden="1" customWidth="1"/>
    <col min="1570" max="1570" width="4.1796875" style="193" bestFit="1" customWidth="1"/>
    <col min="1571" max="1571" width="0" style="193" hidden="1" customWidth="1"/>
    <col min="1572" max="1572" width="4.54296875" style="193" bestFit="1" customWidth="1"/>
    <col min="1573" max="1573" width="4.54296875" style="193" customWidth="1"/>
    <col min="1574" max="1574" width="4.54296875" style="193" bestFit="1" customWidth="1"/>
    <col min="1575" max="1575" width="5.81640625" style="193" bestFit="1" customWidth="1"/>
    <col min="1576" max="1576" width="4.54296875" style="193" bestFit="1" customWidth="1"/>
    <col min="1577" max="1577" width="6.26953125" style="193" bestFit="1" customWidth="1"/>
    <col min="1578" max="1578" width="4.54296875" style="193" bestFit="1" customWidth="1"/>
    <col min="1579" max="1580" width="11.453125" style="193" bestFit="1" customWidth="1"/>
    <col min="1581" max="1581" width="69.7265625" style="193" customWidth="1"/>
    <col min="1582" max="1792" width="8.26953125" style="193"/>
    <col min="1793" max="1793" width="9.1796875" style="193" bestFit="1" customWidth="1"/>
    <col min="1794" max="1794" width="5.453125" style="193" bestFit="1" customWidth="1"/>
    <col min="1795" max="1795" width="6" style="193" bestFit="1" customWidth="1"/>
    <col min="1796" max="1796" width="6.36328125" style="193" bestFit="1" customWidth="1"/>
    <col min="1797" max="1799" width="0" style="193" hidden="1" customWidth="1"/>
    <col min="1800" max="1800" width="5.453125" style="193" bestFit="1" customWidth="1"/>
    <col min="1801" max="1801" width="6.36328125" style="193" bestFit="1" customWidth="1"/>
    <col min="1802" max="1802" width="6.08984375" style="193" customWidth="1"/>
    <col min="1803" max="1805" width="0" style="193" hidden="1" customWidth="1"/>
    <col min="1806" max="1807" width="6.26953125" style="193" customWidth="1"/>
    <col min="1808" max="1808" width="6.36328125" style="193" bestFit="1" customWidth="1"/>
    <col min="1809" max="1809" width="3.54296875" style="193" bestFit="1" customWidth="1"/>
    <col min="1810" max="1810" width="4" style="193" bestFit="1" customWidth="1"/>
    <col min="1811" max="1811" width="5.1796875" style="193" customWidth="1"/>
    <col min="1812" max="1812" width="5.7265625" style="193" customWidth="1"/>
    <col min="1813" max="1813" width="6" style="193" bestFit="1" customWidth="1"/>
    <col min="1814" max="1814" width="7" style="193" bestFit="1" customWidth="1"/>
    <col min="1815" max="1815" width="8.1796875" style="193" bestFit="1" customWidth="1"/>
    <col min="1816" max="1816" width="4.54296875" style="193" customWidth="1"/>
    <col min="1817" max="1817" width="0" style="193" hidden="1" customWidth="1"/>
    <col min="1818" max="1818" width="4.54296875" style="193" bestFit="1" customWidth="1"/>
    <col min="1819" max="1819" width="0" style="193" hidden="1" customWidth="1"/>
    <col min="1820" max="1820" width="4.54296875" style="193" bestFit="1" customWidth="1"/>
    <col min="1821" max="1821" width="4.54296875" style="193" customWidth="1"/>
    <col min="1822" max="1822" width="5.54296875" style="193" bestFit="1" customWidth="1"/>
    <col min="1823" max="1823" width="11.7265625" style="193" customWidth="1"/>
    <col min="1824" max="1824" width="4.1796875" style="193" bestFit="1" customWidth="1"/>
    <col min="1825" max="1825" width="0" style="193" hidden="1" customWidth="1"/>
    <col min="1826" max="1826" width="4.1796875" style="193" bestFit="1" customWidth="1"/>
    <col min="1827" max="1827" width="0" style="193" hidden="1" customWidth="1"/>
    <col min="1828" max="1828" width="4.54296875" style="193" bestFit="1" customWidth="1"/>
    <col min="1829" max="1829" width="4.54296875" style="193" customWidth="1"/>
    <col min="1830" max="1830" width="4.54296875" style="193" bestFit="1" customWidth="1"/>
    <col min="1831" max="1831" width="5.81640625" style="193" bestFit="1" customWidth="1"/>
    <col min="1832" max="1832" width="4.54296875" style="193" bestFit="1" customWidth="1"/>
    <col min="1833" max="1833" width="6.26953125" style="193" bestFit="1" customWidth="1"/>
    <col min="1834" max="1834" width="4.54296875" style="193" bestFit="1" customWidth="1"/>
    <col min="1835" max="1836" width="11.453125" style="193" bestFit="1" customWidth="1"/>
    <col min="1837" max="1837" width="69.7265625" style="193" customWidth="1"/>
    <col min="1838" max="2048" width="8.26953125" style="193"/>
    <col min="2049" max="2049" width="9.1796875" style="193" bestFit="1" customWidth="1"/>
    <col min="2050" max="2050" width="5.453125" style="193" bestFit="1" customWidth="1"/>
    <col min="2051" max="2051" width="6" style="193" bestFit="1" customWidth="1"/>
    <col min="2052" max="2052" width="6.36328125" style="193" bestFit="1" customWidth="1"/>
    <col min="2053" max="2055" width="0" style="193" hidden="1" customWidth="1"/>
    <col min="2056" max="2056" width="5.453125" style="193" bestFit="1" customWidth="1"/>
    <col min="2057" max="2057" width="6.36328125" style="193" bestFit="1" customWidth="1"/>
    <col min="2058" max="2058" width="6.08984375" style="193" customWidth="1"/>
    <col min="2059" max="2061" width="0" style="193" hidden="1" customWidth="1"/>
    <col min="2062" max="2063" width="6.26953125" style="193" customWidth="1"/>
    <col min="2064" max="2064" width="6.36328125" style="193" bestFit="1" customWidth="1"/>
    <col min="2065" max="2065" width="3.54296875" style="193" bestFit="1" customWidth="1"/>
    <col min="2066" max="2066" width="4" style="193" bestFit="1" customWidth="1"/>
    <col min="2067" max="2067" width="5.1796875" style="193" customWidth="1"/>
    <col min="2068" max="2068" width="5.7265625" style="193" customWidth="1"/>
    <col min="2069" max="2069" width="6" style="193" bestFit="1" customWidth="1"/>
    <col min="2070" max="2070" width="7" style="193" bestFit="1" customWidth="1"/>
    <col min="2071" max="2071" width="8.1796875" style="193" bestFit="1" customWidth="1"/>
    <col min="2072" max="2072" width="4.54296875" style="193" customWidth="1"/>
    <col min="2073" max="2073" width="0" style="193" hidden="1" customWidth="1"/>
    <col min="2074" max="2074" width="4.54296875" style="193" bestFit="1" customWidth="1"/>
    <col min="2075" max="2075" width="0" style="193" hidden="1" customWidth="1"/>
    <col min="2076" max="2076" width="4.54296875" style="193" bestFit="1" customWidth="1"/>
    <col min="2077" max="2077" width="4.54296875" style="193" customWidth="1"/>
    <col min="2078" max="2078" width="5.54296875" style="193" bestFit="1" customWidth="1"/>
    <col min="2079" max="2079" width="11.7265625" style="193" customWidth="1"/>
    <col min="2080" max="2080" width="4.1796875" style="193" bestFit="1" customWidth="1"/>
    <col min="2081" max="2081" width="0" style="193" hidden="1" customWidth="1"/>
    <col min="2082" max="2082" width="4.1796875" style="193" bestFit="1" customWidth="1"/>
    <col min="2083" max="2083" width="0" style="193" hidden="1" customWidth="1"/>
    <col min="2084" max="2084" width="4.54296875" style="193" bestFit="1" customWidth="1"/>
    <col min="2085" max="2085" width="4.54296875" style="193" customWidth="1"/>
    <col min="2086" max="2086" width="4.54296875" style="193" bestFit="1" customWidth="1"/>
    <col min="2087" max="2087" width="5.81640625" style="193" bestFit="1" customWidth="1"/>
    <col min="2088" max="2088" width="4.54296875" style="193" bestFit="1" customWidth="1"/>
    <col min="2089" max="2089" width="6.26953125" style="193" bestFit="1" customWidth="1"/>
    <col min="2090" max="2090" width="4.54296875" style="193" bestFit="1" customWidth="1"/>
    <col min="2091" max="2092" width="11.453125" style="193" bestFit="1" customWidth="1"/>
    <col min="2093" max="2093" width="69.7265625" style="193" customWidth="1"/>
    <col min="2094" max="2304" width="8.26953125" style="193"/>
    <col min="2305" max="2305" width="9.1796875" style="193" bestFit="1" customWidth="1"/>
    <col min="2306" max="2306" width="5.453125" style="193" bestFit="1" customWidth="1"/>
    <col min="2307" max="2307" width="6" style="193" bestFit="1" customWidth="1"/>
    <col min="2308" max="2308" width="6.36328125" style="193" bestFit="1" customWidth="1"/>
    <col min="2309" max="2311" width="0" style="193" hidden="1" customWidth="1"/>
    <col min="2312" max="2312" width="5.453125" style="193" bestFit="1" customWidth="1"/>
    <col min="2313" max="2313" width="6.36328125" style="193" bestFit="1" customWidth="1"/>
    <col min="2314" max="2314" width="6.08984375" style="193" customWidth="1"/>
    <col min="2315" max="2317" width="0" style="193" hidden="1" customWidth="1"/>
    <col min="2318" max="2319" width="6.26953125" style="193" customWidth="1"/>
    <col min="2320" max="2320" width="6.36328125" style="193" bestFit="1" customWidth="1"/>
    <col min="2321" max="2321" width="3.54296875" style="193" bestFit="1" customWidth="1"/>
    <col min="2322" max="2322" width="4" style="193" bestFit="1" customWidth="1"/>
    <col min="2323" max="2323" width="5.1796875" style="193" customWidth="1"/>
    <col min="2324" max="2324" width="5.7265625" style="193" customWidth="1"/>
    <col min="2325" max="2325" width="6" style="193" bestFit="1" customWidth="1"/>
    <col min="2326" max="2326" width="7" style="193" bestFit="1" customWidth="1"/>
    <col min="2327" max="2327" width="8.1796875" style="193" bestFit="1" customWidth="1"/>
    <col min="2328" max="2328" width="4.54296875" style="193" customWidth="1"/>
    <col min="2329" max="2329" width="0" style="193" hidden="1" customWidth="1"/>
    <col min="2330" max="2330" width="4.54296875" style="193" bestFit="1" customWidth="1"/>
    <col min="2331" max="2331" width="0" style="193" hidden="1" customWidth="1"/>
    <col min="2332" max="2332" width="4.54296875" style="193" bestFit="1" customWidth="1"/>
    <col min="2333" max="2333" width="4.54296875" style="193" customWidth="1"/>
    <col min="2334" max="2334" width="5.54296875" style="193" bestFit="1" customWidth="1"/>
    <col min="2335" max="2335" width="11.7265625" style="193" customWidth="1"/>
    <col min="2336" max="2336" width="4.1796875" style="193" bestFit="1" customWidth="1"/>
    <col min="2337" max="2337" width="0" style="193" hidden="1" customWidth="1"/>
    <col min="2338" max="2338" width="4.1796875" style="193" bestFit="1" customWidth="1"/>
    <col min="2339" max="2339" width="0" style="193" hidden="1" customWidth="1"/>
    <col min="2340" max="2340" width="4.54296875" style="193" bestFit="1" customWidth="1"/>
    <col min="2341" max="2341" width="4.54296875" style="193" customWidth="1"/>
    <col min="2342" max="2342" width="4.54296875" style="193" bestFit="1" customWidth="1"/>
    <col min="2343" max="2343" width="5.81640625" style="193" bestFit="1" customWidth="1"/>
    <col min="2344" max="2344" width="4.54296875" style="193" bestFit="1" customWidth="1"/>
    <col min="2345" max="2345" width="6.26953125" style="193" bestFit="1" customWidth="1"/>
    <col min="2346" max="2346" width="4.54296875" style="193" bestFit="1" customWidth="1"/>
    <col min="2347" max="2348" width="11.453125" style="193" bestFit="1" customWidth="1"/>
    <col min="2349" max="2349" width="69.7265625" style="193" customWidth="1"/>
    <col min="2350" max="2560" width="8.26953125" style="193"/>
    <col min="2561" max="2561" width="9.1796875" style="193" bestFit="1" customWidth="1"/>
    <col min="2562" max="2562" width="5.453125" style="193" bestFit="1" customWidth="1"/>
    <col min="2563" max="2563" width="6" style="193" bestFit="1" customWidth="1"/>
    <col min="2564" max="2564" width="6.36328125" style="193" bestFit="1" customWidth="1"/>
    <col min="2565" max="2567" width="0" style="193" hidden="1" customWidth="1"/>
    <col min="2568" max="2568" width="5.453125" style="193" bestFit="1" customWidth="1"/>
    <col min="2569" max="2569" width="6.36328125" style="193" bestFit="1" customWidth="1"/>
    <col min="2570" max="2570" width="6.08984375" style="193" customWidth="1"/>
    <col min="2571" max="2573" width="0" style="193" hidden="1" customWidth="1"/>
    <col min="2574" max="2575" width="6.26953125" style="193" customWidth="1"/>
    <col min="2576" max="2576" width="6.36328125" style="193" bestFit="1" customWidth="1"/>
    <col min="2577" max="2577" width="3.54296875" style="193" bestFit="1" customWidth="1"/>
    <col min="2578" max="2578" width="4" style="193" bestFit="1" customWidth="1"/>
    <col min="2579" max="2579" width="5.1796875" style="193" customWidth="1"/>
    <col min="2580" max="2580" width="5.7265625" style="193" customWidth="1"/>
    <col min="2581" max="2581" width="6" style="193" bestFit="1" customWidth="1"/>
    <col min="2582" max="2582" width="7" style="193" bestFit="1" customWidth="1"/>
    <col min="2583" max="2583" width="8.1796875" style="193" bestFit="1" customWidth="1"/>
    <col min="2584" max="2584" width="4.54296875" style="193" customWidth="1"/>
    <col min="2585" max="2585" width="0" style="193" hidden="1" customWidth="1"/>
    <col min="2586" max="2586" width="4.54296875" style="193" bestFit="1" customWidth="1"/>
    <col min="2587" max="2587" width="0" style="193" hidden="1" customWidth="1"/>
    <col min="2588" max="2588" width="4.54296875" style="193" bestFit="1" customWidth="1"/>
    <col min="2589" max="2589" width="4.54296875" style="193" customWidth="1"/>
    <col min="2590" max="2590" width="5.54296875" style="193" bestFit="1" customWidth="1"/>
    <col min="2591" max="2591" width="11.7265625" style="193" customWidth="1"/>
    <col min="2592" max="2592" width="4.1796875" style="193" bestFit="1" customWidth="1"/>
    <col min="2593" max="2593" width="0" style="193" hidden="1" customWidth="1"/>
    <col min="2594" max="2594" width="4.1796875" style="193" bestFit="1" customWidth="1"/>
    <col min="2595" max="2595" width="0" style="193" hidden="1" customWidth="1"/>
    <col min="2596" max="2596" width="4.54296875" style="193" bestFit="1" customWidth="1"/>
    <col min="2597" max="2597" width="4.54296875" style="193" customWidth="1"/>
    <col min="2598" max="2598" width="4.54296875" style="193" bestFit="1" customWidth="1"/>
    <col min="2599" max="2599" width="5.81640625" style="193" bestFit="1" customWidth="1"/>
    <col min="2600" max="2600" width="4.54296875" style="193" bestFit="1" customWidth="1"/>
    <col min="2601" max="2601" width="6.26953125" style="193" bestFit="1" customWidth="1"/>
    <col min="2602" max="2602" width="4.54296875" style="193" bestFit="1" customWidth="1"/>
    <col min="2603" max="2604" width="11.453125" style="193" bestFit="1" customWidth="1"/>
    <col min="2605" max="2605" width="69.7265625" style="193" customWidth="1"/>
    <col min="2606" max="2816" width="8.26953125" style="193"/>
    <col min="2817" max="2817" width="9.1796875" style="193" bestFit="1" customWidth="1"/>
    <col min="2818" max="2818" width="5.453125" style="193" bestFit="1" customWidth="1"/>
    <col min="2819" max="2819" width="6" style="193" bestFit="1" customWidth="1"/>
    <col min="2820" max="2820" width="6.36328125" style="193" bestFit="1" customWidth="1"/>
    <col min="2821" max="2823" width="0" style="193" hidden="1" customWidth="1"/>
    <col min="2824" max="2824" width="5.453125" style="193" bestFit="1" customWidth="1"/>
    <col min="2825" max="2825" width="6.36328125" style="193" bestFit="1" customWidth="1"/>
    <col min="2826" max="2826" width="6.08984375" style="193" customWidth="1"/>
    <col min="2827" max="2829" width="0" style="193" hidden="1" customWidth="1"/>
    <col min="2830" max="2831" width="6.26953125" style="193" customWidth="1"/>
    <col min="2832" max="2832" width="6.36328125" style="193" bestFit="1" customWidth="1"/>
    <col min="2833" max="2833" width="3.54296875" style="193" bestFit="1" customWidth="1"/>
    <col min="2834" max="2834" width="4" style="193" bestFit="1" customWidth="1"/>
    <col min="2835" max="2835" width="5.1796875" style="193" customWidth="1"/>
    <col min="2836" max="2836" width="5.7265625" style="193" customWidth="1"/>
    <col min="2837" max="2837" width="6" style="193" bestFit="1" customWidth="1"/>
    <col min="2838" max="2838" width="7" style="193" bestFit="1" customWidth="1"/>
    <col min="2839" max="2839" width="8.1796875" style="193" bestFit="1" customWidth="1"/>
    <col min="2840" max="2840" width="4.54296875" style="193" customWidth="1"/>
    <col min="2841" max="2841" width="0" style="193" hidden="1" customWidth="1"/>
    <col min="2842" max="2842" width="4.54296875" style="193" bestFit="1" customWidth="1"/>
    <col min="2843" max="2843" width="0" style="193" hidden="1" customWidth="1"/>
    <col min="2844" max="2844" width="4.54296875" style="193" bestFit="1" customWidth="1"/>
    <col min="2845" max="2845" width="4.54296875" style="193" customWidth="1"/>
    <col min="2846" max="2846" width="5.54296875" style="193" bestFit="1" customWidth="1"/>
    <col min="2847" max="2847" width="11.7265625" style="193" customWidth="1"/>
    <col min="2848" max="2848" width="4.1796875" style="193" bestFit="1" customWidth="1"/>
    <col min="2849" max="2849" width="0" style="193" hidden="1" customWidth="1"/>
    <col min="2850" max="2850" width="4.1796875" style="193" bestFit="1" customWidth="1"/>
    <col min="2851" max="2851" width="0" style="193" hidden="1" customWidth="1"/>
    <col min="2852" max="2852" width="4.54296875" style="193" bestFit="1" customWidth="1"/>
    <col min="2853" max="2853" width="4.54296875" style="193" customWidth="1"/>
    <col min="2854" max="2854" width="4.54296875" style="193" bestFit="1" customWidth="1"/>
    <col min="2855" max="2855" width="5.81640625" style="193" bestFit="1" customWidth="1"/>
    <col min="2856" max="2856" width="4.54296875" style="193" bestFit="1" customWidth="1"/>
    <col min="2857" max="2857" width="6.26953125" style="193" bestFit="1" customWidth="1"/>
    <col min="2858" max="2858" width="4.54296875" style="193" bestFit="1" customWidth="1"/>
    <col min="2859" max="2860" width="11.453125" style="193" bestFit="1" customWidth="1"/>
    <col min="2861" max="2861" width="69.7265625" style="193" customWidth="1"/>
    <col min="2862" max="3072" width="8.26953125" style="193"/>
    <col min="3073" max="3073" width="9.1796875" style="193" bestFit="1" customWidth="1"/>
    <col min="3074" max="3074" width="5.453125" style="193" bestFit="1" customWidth="1"/>
    <col min="3075" max="3075" width="6" style="193" bestFit="1" customWidth="1"/>
    <col min="3076" max="3076" width="6.36328125" style="193" bestFit="1" customWidth="1"/>
    <col min="3077" max="3079" width="0" style="193" hidden="1" customWidth="1"/>
    <col min="3080" max="3080" width="5.453125" style="193" bestFit="1" customWidth="1"/>
    <col min="3081" max="3081" width="6.36328125" style="193" bestFit="1" customWidth="1"/>
    <col min="3082" max="3082" width="6.08984375" style="193" customWidth="1"/>
    <col min="3083" max="3085" width="0" style="193" hidden="1" customWidth="1"/>
    <col min="3086" max="3087" width="6.26953125" style="193" customWidth="1"/>
    <col min="3088" max="3088" width="6.36328125" style="193" bestFit="1" customWidth="1"/>
    <col min="3089" max="3089" width="3.54296875" style="193" bestFit="1" customWidth="1"/>
    <col min="3090" max="3090" width="4" style="193" bestFit="1" customWidth="1"/>
    <col min="3091" max="3091" width="5.1796875" style="193" customWidth="1"/>
    <col min="3092" max="3092" width="5.7265625" style="193" customWidth="1"/>
    <col min="3093" max="3093" width="6" style="193" bestFit="1" customWidth="1"/>
    <col min="3094" max="3094" width="7" style="193" bestFit="1" customWidth="1"/>
    <col min="3095" max="3095" width="8.1796875" style="193" bestFit="1" customWidth="1"/>
    <col min="3096" max="3096" width="4.54296875" style="193" customWidth="1"/>
    <col min="3097" max="3097" width="0" style="193" hidden="1" customWidth="1"/>
    <col min="3098" max="3098" width="4.54296875" style="193" bestFit="1" customWidth="1"/>
    <col min="3099" max="3099" width="0" style="193" hidden="1" customWidth="1"/>
    <col min="3100" max="3100" width="4.54296875" style="193" bestFit="1" customWidth="1"/>
    <col min="3101" max="3101" width="4.54296875" style="193" customWidth="1"/>
    <col min="3102" max="3102" width="5.54296875" style="193" bestFit="1" customWidth="1"/>
    <col min="3103" max="3103" width="11.7265625" style="193" customWidth="1"/>
    <col min="3104" max="3104" width="4.1796875" style="193" bestFit="1" customWidth="1"/>
    <col min="3105" max="3105" width="0" style="193" hidden="1" customWidth="1"/>
    <col min="3106" max="3106" width="4.1796875" style="193" bestFit="1" customWidth="1"/>
    <col min="3107" max="3107" width="0" style="193" hidden="1" customWidth="1"/>
    <col min="3108" max="3108" width="4.54296875" style="193" bestFit="1" customWidth="1"/>
    <col min="3109" max="3109" width="4.54296875" style="193" customWidth="1"/>
    <col min="3110" max="3110" width="4.54296875" style="193" bestFit="1" customWidth="1"/>
    <col min="3111" max="3111" width="5.81640625" style="193" bestFit="1" customWidth="1"/>
    <col min="3112" max="3112" width="4.54296875" style="193" bestFit="1" customWidth="1"/>
    <col min="3113" max="3113" width="6.26953125" style="193" bestFit="1" customWidth="1"/>
    <col min="3114" max="3114" width="4.54296875" style="193" bestFit="1" customWidth="1"/>
    <col min="3115" max="3116" width="11.453125" style="193" bestFit="1" customWidth="1"/>
    <col min="3117" max="3117" width="69.7265625" style="193" customWidth="1"/>
    <col min="3118" max="3328" width="8.26953125" style="193"/>
    <col min="3329" max="3329" width="9.1796875" style="193" bestFit="1" customWidth="1"/>
    <col min="3330" max="3330" width="5.453125" style="193" bestFit="1" customWidth="1"/>
    <col min="3331" max="3331" width="6" style="193" bestFit="1" customWidth="1"/>
    <col min="3332" max="3332" width="6.36328125" style="193" bestFit="1" customWidth="1"/>
    <col min="3333" max="3335" width="0" style="193" hidden="1" customWidth="1"/>
    <col min="3336" max="3336" width="5.453125" style="193" bestFit="1" customWidth="1"/>
    <col min="3337" max="3337" width="6.36328125" style="193" bestFit="1" customWidth="1"/>
    <col min="3338" max="3338" width="6.08984375" style="193" customWidth="1"/>
    <col min="3339" max="3341" width="0" style="193" hidden="1" customWidth="1"/>
    <col min="3342" max="3343" width="6.26953125" style="193" customWidth="1"/>
    <col min="3344" max="3344" width="6.36328125" style="193" bestFit="1" customWidth="1"/>
    <col min="3345" max="3345" width="3.54296875" style="193" bestFit="1" customWidth="1"/>
    <col min="3346" max="3346" width="4" style="193" bestFit="1" customWidth="1"/>
    <col min="3347" max="3347" width="5.1796875" style="193" customWidth="1"/>
    <col min="3348" max="3348" width="5.7265625" style="193" customWidth="1"/>
    <col min="3349" max="3349" width="6" style="193" bestFit="1" customWidth="1"/>
    <col min="3350" max="3350" width="7" style="193" bestFit="1" customWidth="1"/>
    <col min="3351" max="3351" width="8.1796875" style="193" bestFit="1" customWidth="1"/>
    <col min="3352" max="3352" width="4.54296875" style="193" customWidth="1"/>
    <col min="3353" max="3353" width="0" style="193" hidden="1" customWidth="1"/>
    <col min="3354" max="3354" width="4.54296875" style="193" bestFit="1" customWidth="1"/>
    <col min="3355" max="3355" width="0" style="193" hidden="1" customWidth="1"/>
    <col min="3356" max="3356" width="4.54296875" style="193" bestFit="1" customWidth="1"/>
    <col min="3357" max="3357" width="4.54296875" style="193" customWidth="1"/>
    <col min="3358" max="3358" width="5.54296875" style="193" bestFit="1" customWidth="1"/>
    <col min="3359" max="3359" width="11.7265625" style="193" customWidth="1"/>
    <col min="3360" max="3360" width="4.1796875" style="193" bestFit="1" customWidth="1"/>
    <col min="3361" max="3361" width="0" style="193" hidden="1" customWidth="1"/>
    <col min="3362" max="3362" width="4.1796875" style="193" bestFit="1" customWidth="1"/>
    <col min="3363" max="3363" width="0" style="193" hidden="1" customWidth="1"/>
    <col min="3364" max="3364" width="4.54296875" style="193" bestFit="1" customWidth="1"/>
    <col min="3365" max="3365" width="4.54296875" style="193" customWidth="1"/>
    <col min="3366" max="3366" width="4.54296875" style="193" bestFit="1" customWidth="1"/>
    <col min="3367" max="3367" width="5.81640625" style="193" bestFit="1" customWidth="1"/>
    <col min="3368" max="3368" width="4.54296875" style="193" bestFit="1" customWidth="1"/>
    <col min="3369" max="3369" width="6.26953125" style="193" bestFit="1" customWidth="1"/>
    <col min="3370" max="3370" width="4.54296875" style="193" bestFit="1" customWidth="1"/>
    <col min="3371" max="3372" width="11.453125" style="193" bestFit="1" customWidth="1"/>
    <col min="3373" max="3373" width="69.7265625" style="193" customWidth="1"/>
    <col min="3374" max="3584" width="8.26953125" style="193"/>
    <col min="3585" max="3585" width="9.1796875" style="193" bestFit="1" customWidth="1"/>
    <col min="3586" max="3586" width="5.453125" style="193" bestFit="1" customWidth="1"/>
    <col min="3587" max="3587" width="6" style="193" bestFit="1" customWidth="1"/>
    <col min="3588" max="3588" width="6.36328125" style="193" bestFit="1" customWidth="1"/>
    <col min="3589" max="3591" width="0" style="193" hidden="1" customWidth="1"/>
    <col min="3592" max="3592" width="5.453125" style="193" bestFit="1" customWidth="1"/>
    <col min="3593" max="3593" width="6.36328125" style="193" bestFit="1" customWidth="1"/>
    <col min="3594" max="3594" width="6.08984375" style="193" customWidth="1"/>
    <col min="3595" max="3597" width="0" style="193" hidden="1" customWidth="1"/>
    <col min="3598" max="3599" width="6.26953125" style="193" customWidth="1"/>
    <col min="3600" max="3600" width="6.36328125" style="193" bestFit="1" customWidth="1"/>
    <col min="3601" max="3601" width="3.54296875" style="193" bestFit="1" customWidth="1"/>
    <col min="3602" max="3602" width="4" style="193" bestFit="1" customWidth="1"/>
    <col min="3603" max="3603" width="5.1796875" style="193" customWidth="1"/>
    <col min="3604" max="3604" width="5.7265625" style="193" customWidth="1"/>
    <col min="3605" max="3605" width="6" style="193" bestFit="1" customWidth="1"/>
    <col min="3606" max="3606" width="7" style="193" bestFit="1" customWidth="1"/>
    <col min="3607" max="3607" width="8.1796875" style="193" bestFit="1" customWidth="1"/>
    <col min="3608" max="3608" width="4.54296875" style="193" customWidth="1"/>
    <col min="3609" max="3609" width="0" style="193" hidden="1" customWidth="1"/>
    <col min="3610" max="3610" width="4.54296875" style="193" bestFit="1" customWidth="1"/>
    <col min="3611" max="3611" width="0" style="193" hidden="1" customWidth="1"/>
    <col min="3612" max="3612" width="4.54296875" style="193" bestFit="1" customWidth="1"/>
    <col min="3613" max="3613" width="4.54296875" style="193" customWidth="1"/>
    <col min="3614" max="3614" width="5.54296875" style="193" bestFit="1" customWidth="1"/>
    <col min="3615" max="3615" width="11.7265625" style="193" customWidth="1"/>
    <col min="3616" max="3616" width="4.1796875" style="193" bestFit="1" customWidth="1"/>
    <col min="3617" max="3617" width="0" style="193" hidden="1" customWidth="1"/>
    <col min="3618" max="3618" width="4.1796875" style="193" bestFit="1" customWidth="1"/>
    <col min="3619" max="3619" width="0" style="193" hidden="1" customWidth="1"/>
    <col min="3620" max="3620" width="4.54296875" style="193" bestFit="1" customWidth="1"/>
    <col min="3621" max="3621" width="4.54296875" style="193" customWidth="1"/>
    <col min="3622" max="3622" width="4.54296875" style="193" bestFit="1" customWidth="1"/>
    <col min="3623" max="3623" width="5.81640625" style="193" bestFit="1" customWidth="1"/>
    <col min="3624" max="3624" width="4.54296875" style="193" bestFit="1" customWidth="1"/>
    <col min="3625" max="3625" width="6.26953125" style="193" bestFit="1" customWidth="1"/>
    <col min="3626" max="3626" width="4.54296875" style="193" bestFit="1" customWidth="1"/>
    <col min="3627" max="3628" width="11.453125" style="193" bestFit="1" customWidth="1"/>
    <col min="3629" max="3629" width="69.7265625" style="193" customWidth="1"/>
    <col min="3630" max="3840" width="8.26953125" style="193"/>
    <col min="3841" max="3841" width="9.1796875" style="193" bestFit="1" customWidth="1"/>
    <col min="3842" max="3842" width="5.453125" style="193" bestFit="1" customWidth="1"/>
    <col min="3843" max="3843" width="6" style="193" bestFit="1" customWidth="1"/>
    <col min="3844" max="3844" width="6.36328125" style="193" bestFit="1" customWidth="1"/>
    <col min="3845" max="3847" width="0" style="193" hidden="1" customWidth="1"/>
    <col min="3848" max="3848" width="5.453125" style="193" bestFit="1" customWidth="1"/>
    <col min="3849" max="3849" width="6.36328125" style="193" bestFit="1" customWidth="1"/>
    <col min="3850" max="3850" width="6.08984375" style="193" customWidth="1"/>
    <col min="3851" max="3853" width="0" style="193" hidden="1" customWidth="1"/>
    <col min="3854" max="3855" width="6.26953125" style="193" customWidth="1"/>
    <col min="3856" max="3856" width="6.36328125" style="193" bestFit="1" customWidth="1"/>
    <col min="3857" max="3857" width="3.54296875" style="193" bestFit="1" customWidth="1"/>
    <col min="3858" max="3858" width="4" style="193" bestFit="1" customWidth="1"/>
    <col min="3859" max="3859" width="5.1796875" style="193" customWidth="1"/>
    <col min="3860" max="3860" width="5.7265625" style="193" customWidth="1"/>
    <col min="3861" max="3861" width="6" style="193" bestFit="1" customWidth="1"/>
    <col min="3862" max="3862" width="7" style="193" bestFit="1" customWidth="1"/>
    <col min="3863" max="3863" width="8.1796875" style="193" bestFit="1" customWidth="1"/>
    <col min="3864" max="3864" width="4.54296875" style="193" customWidth="1"/>
    <col min="3865" max="3865" width="0" style="193" hidden="1" customWidth="1"/>
    <col min="3866" max="3866" width="4.54296875" style="193" bestFit="1" customWidth="1"/>
    <col min="3867" max="3867" width="0" style="193" hidden="1" customWidth="1"/>
    <col min="3868" max="3868" width="4.54296875" style="193" bestFit="1" customWidth="1"/>
    <col min="3869" max="3869" width="4.54296875" style="193" customWidth="1"/>
    <col min="3870" max="3870" width="5.54296875" style="193" bestFit="1" customWidth="1"/>
    <col min="3871" max="3871" width="11.7265625" style="193" customWidth="1"/>
    <col min="3872" max="3872" width="4.1796875" style="193" bestFit="1" customWidth="1"/>
    <col min="3873" max="3873" width="0" style="193" hidden="1" customWidth="1"/>
    <col min="3874" max="3874" width="4.1796875" style="193" bestFit="1" customWidth="1"/>
    <col min="3875" max="3875" width="0" style="193" hidden="1" customWidth="1"/>
    <col min="3876" max="3876" width="4.54296875" style="193" bestFit="1" customWidth="1"/>
    <col min="3877" max="3877" width="4.54296875" style="193" customWidth="1"/>
    <col min="3878" max="3878" width="4.54296875" style="193" bestFit="1" customWidth="1"/>
    <col min="3879" max="3879" width="5.81640625" style="193" bestFit="1" customWidth="1"/>
    <col min="3880" max="3880" width="4.54296875" style="193" bestFit="1" customWidth="1"/>
    <col min="3881" max="3881" width="6.26953125" style="193" bestFit="1" customWidth="1"/>
    <col min="3882" max="3882" width="4.54296875" style="193" bestFit="1" customWidth="1"/>
    <col min="3883" max="3884" width="11.453125" style="193" bestFit="1" customWidth="1"/>
    <col min="3885" max="3885" width="69.7265625" style="193" customWidth="1"/>
    <col min="3886" max="4096" width="8.26953125" style="193"/>
    <col min="4097" max="4097" width="9.1796875" style="193" bestFit="1" customWidth="1"/>
    <col min="4098" max="4098" width="5.453125" style="193" bestFit="1" customWidth="1"/>
    <col min="4099" max="4099" width="6" style="193" bestFit="1" customWidth="1"/>
    <col min="4100" max="4100" width="6.36328125" style="193" bestFit="1" customWidth="1"/>
    <col min="4101" max="4103" width="0" style="193" hidden="1" customWidth="1"/>
    <col min="4104" max="4104" width="5.453125" style="193" bestFit="1" customWidth="1"/>
    <col min="4105" max="4105" width="6.36328125" style="193" bestFit="1" customWidth="1"/>
    <col min="4106" max="4106" width="6.08984375" style="193" customWidth="1"/>
    <col min="4107" max="4109" width="0" style="193" hidden="1" customWidth="1"/>
    <col min="4110" max="4111" width="6.26953125" style="193" customWidth="1"/>
    <col min="4112" max="4112" width="6.36328125" style="193" bestFit="1" customWidth="1"/>
    <col min="4113" max="4113" width="3.54296875" style="193" bestFit="1" customWidth="1"/>
    <col min="4114" max="4114" width="4" style="193" bestFit="1" customWidth="1"/>
    <col min="4115" max="4115" width="5.1796875" style="193" customWidth="1"/>
    <col min="4116" max="4116" width="5.7265625" style="193" customWidth="1"/>
    <col min="4117" max="4117" width="6" style="193" bestFit="1" customWidth="1"/>
    <col min="4118" max="4118" width="7" style="193" bestFit="1" customWidth="1"/>
    <col min="4119" max="4119" width="8.1796875" style="193" bestFit="1" customWidth="1"/>
    <col min="4120" max="4120" width="4.54296875" style="193" customWidth="1"/>
    <col min="4121" max="4121" width="0" style="193" hidden="1" customWidth="1"/>
    <col min="4122" max="4122" width="4.54296875" style="193" bestFit="1" customWidth="1"/>
    <col min="4123" max="4123" width="0" style="193" hidden="1" customWidth="1"/>
    <col min="4124" max="4124" width="4.54296875" style="193" bestFit="1" customWidth="1"/>
    <col min="4125" max="4125" width="4.54296875" style="193" customWidth="1"/>
    <col min="4126" max="4126" width="5.54296875" style="193" bestFit="1" customWidth="1"/>
    <col min="4127" max="4127" width="11.7265625" style="193" customWidth="1"/>
    <col min="4128" max="4128" width="4.1796875" style="193" bestFit="1" customWidth="1"/>
    <col min="4129" max="4129" width="0" style="193" hidden="1" customWidth="1"/>
    <col min="4130" max="4130" width="4.1796875" style="193" bestFit="1" customWidth="1"/>
    <col min="4131" max="4131" width="0" style="193" hidden="1" customWidth="1"/>
    <col min="4132" max="4132" width="4.54296875" style="193" bestFit="1" customWidth="1"/>
    <col min="4133" max="4133" width="4.54296875" style="193" customWidth="1"/>
    <col min="4134" max="4134" width="4.54296875" style="193" bestFit="1" customWidth="1"/>
    <col min="4135" max="4135" width="5.81640625" style="193" bestFit="1" customWidth="1"/>
    <col min="4136" max="4136" width="4.54296875" style="193" bestFit="1" customWidth="1"/>
    <col min="4137" max="4137" width="6.26953125" style="193" bestFit="1" customWidth="1"/>
    <col min="4138" max="4138" width="4.54296875" style="193" bestFit="1" customWidth="1"/>
    <col min="4139" max="4140" width="11.453125" style="193" bestFit="1" customWidth="1"/>
    <col min="4141" max="4141" width="69.7265625" style="193" customWidth="1"/>
    <col min="4142" max="4352" width="8.26953125" style="193"/>
    <col min="4353" max="4353" width="9.1796875" style="193" bestFit="1" customWidth="1"/>
    <col min="4354" max="4354" width="5.453125" style="193" bestFit="1" customWidth="1"/>
    <col min="4355" max="4355" width="6" style="193" bestFit="1" customWidth="1"/>
    <col min="4356" max="4356" width="6.36328125" style="193" bestFit="1" customWidth="1"/>
    <col min="4357" max="4359" width="0" style="193" hidden="1" customWidth="1"/>
    <col min="4360" max="4360" width="5.453125" style="193" bestFit="1" customWidth="1"/>
    <col min="4361" max="4361" width="6.36328125" style="193" bestFit="1" customWidth="1"/>
    <col min="4362" max="4362" width="6.08984375" style="193" customWidth="1"/>
    <col min="4363" max="4365" width="0" style="193" hidden="1" customWidth="1"/>
    <col min="4366" max="4367" width="6.26953125" style="193" customWidth="1"/>
    <col min="4368" max="4368" width="6.36328125" style="193" bestFit="1" customWidth="1"/>
    <col min="4369" max="4369" width="3.54296875" style="193" bestFit="1" customWidth="1"/>
    <col min="4370" max="4370" width="4" style="193" bestFit="1" customWidth="1"/>
    <col min="4371" max="4371" width="5.1796875" style="193" customWidth="1"/>
    <col min="4372" max="4372" width="5.7265625" style="193" customWidth="1"/>
    <col min="4373" max="4373" width="6" style="193" bestFit="1" customWidth="1"/>
    <col min="4374" max="4374" width="7" style="193" bestFit="1" customWidth="1"/>
    <col min="4375" max="4375" width="8.1796875" style="193" bestFit="1" customWidth="1"/>
    <col min="4376" max="4376" width="4.54296875" style="193" customWidth="1"/>
    <col min="4377" max="4377" width="0" style="193" hidden="1" customWidth="1"/>
    <col min="4378" max="4378" width="4.54296875" style="193" bestFit="1" customWidth="1"/>
    <col min="4379" max="4379" width="0" style="193" hidden="1" customWidth="1"/>
    <col min="4380" max="4380" width="4.54296875" style="193" bestFit="1" customWidth="1"/>
    <col min="4381" max="4381" width="4.54296875" style="193" customWidth="1"/>
    <col min="4382" max="4382" width="5.54296875" style="193" bestFit="1" customWidth="1"/>
    <col min="4383" max="4383" width="11.7265625" style="193" customWidth="1"/>
    <col min="4384" max="4384" width="4.1796875" style="193" bestFit="1" customWidth="1"/>
    <col min="4385" max="4385" width="0" style="193" hidden="1" customWidth="1"/>
    <col min="4386" max="4386" width="4.1796875" style="193" bestFit="1" customWidth="1"/>
    <col min="4387" max="4387" width="0" style="193" hidden="1" customWidth="1"/>
    <col min="4388" max="4388" width="4.54296875" style="193" bestFit="1" customWidth="1"/>
    <col min="4389" max="4389" width="4.54296875" style="193" customWidth="1"/>
    <col min="4390" max="4390" width="4.54296875" style="193" bestFit="1" customWidth="1"/>
    <col min="4391" max="4391" width="5.81640625" style="193" bestFit="1" customWidth="1"/>
    <col min="4392" max="4392" width="4.54296875" style="193" bestFit="1" customWidth="1"/>
    <col min="4393" max="4393" width="6.26953125" style="193" bestFit="1" customWidth="1"/>
    <col min="4394" max="4394" width="4.54296875" style="193" bestFit="1" customWidth="1"/>
    <col min="4395" max="4396" width="11.453125" style="193" bestFit="1" customWidth="1"/>
    <col min="4397" max="4397" width="69.7265625" style="193" customWidth="1"/>
    <col min="4398" max="4608" width="8.26953125" style="193"/>
    <col min="4609" max="4609" width="9.1796875" style="193" bestFit="1" customWidth="1"/>
    <col min="4610" max="4610" width="5.453125" style="193" bestFit="1" customWidth="1"/>
    <col min="4611" max="4611" width="6" style="193" bestFit="1" customWidth="1"/>
    <col min="4612" max="4612" width="6.36328125" style="193" bestFit="1" customWidth="1"/>
    <col min="4613" max="4615" width="0" style="193" hidden="1" customWidth="1"/>
    <col min="4616" max="4616" width="5.453125" style="193" bestFit="1" customWidth="1"/>
    <col min="4617" max="4617" width="6.36328125" style="193" bestFit="1" customWidth="1"/>
    <col min="4618" max="4618" width="6.08984375" style="193" customWidth="1"/>
    <col min="4619" max="4621" width="0" style="193" hidden="1" customWidth="1"/>
    <col min="4622" max="4623" width="6.26953125" style="193" customWidth="1"/>
    <col min="4624" max="4624" width="6.36328125" style="193" bestFit="1" customWidth="1"/>
    <col min="4625" max="4625" width="3.54296875" style="193" bestFit="1" customWidth="1"/>
    <col min="4626" max="4626" width="4" style="193" bestFit="1" customWidth="1"/>
    <col min="4627" max="4627" width="5.1796875" style="193" customWidth="1"/>
    <col min="4628" max="4628" width="5.7265625" style="193" customWidth="1"/>
    <col min="4629" max="4629" width="6" style="193" bestFit="1" customWidth="1"/>
    <col min="4630" max="4630" width="7" style="193" bestFit="1" customWidth="1"/>
    <col min="4631" max="4631" width="8.1796875" style="193" bestFit="1" customWidth="1"/>
    <col min="4632" max="4632" width="4.54296875" style="193" customWidth="1"/>
    <col min="4633" max="4633" width="0" style="193" hidden="1" customWidth="1"/>
    <col min="4634" max="4634" width="4.54296875" style="193" bestFit="1" customWidth="1"/>
    <col min="4635" max="4635" width="0" style="193" hidden="1" customWidth="1"/>
    <col min="4636" max="4636" width="4.54296875" style="193" bestFit="1" customWidth="1"/>
    <col min="4637" max="4637" width="4.54296875" style="193" customWidth="1"/>
    <col min="4638" max="4638" width="5.54296875" style="193" bestFit="1" customWidth="1"/>
    <col min="4639" max="4639" width="11.7265625" style="193" customWidth="1"/>
    <col min="4640" max="4640" width="4.1796875" style="193" bestFit="1" customWidth="1"/>
    <col min="4641" max="4641" width="0" style="193" hidden="1" customWidth="1"/>
    <col min="4642" max="4642" width="4.1796875" style="193" bestFit="1" customWidth="1"/>
    <col min="4643" max="4643" width="0" style="193" hidden="1" customWidth="1"/>
    <col min="4644" max="4644" width="4.54296875" style="193" bestFit="1" customWidth="1"/>
    <col min="4645" max="4645" width="4.54296875" style="193" customWidth="1"/>
    <col min="4646" max="4646" width="4.54296875" style="193" bestFit="1" customWidth="1"/>
    <col min="4647" max="4647" width="5.81640625" style="193" bestFit="1" customWidth="1"/>
    <col min="4648" max="4648" width="4.54296875" style="193" bestFit="1" customWidth="1"/>
    <col min="4649" max="4649" width="6.26953125" style="193" bestFit="1" customWidth="1"/>
    <col min="4650" max="4650" width="4.54296875" style="193" bestFit="1" customWidth="1"/>
    <col min="4651" max="4652" width="11.453125" style="193" bestFit="1" customWidth="1"/>
    <col min="4653" max="4653" width="69.7265625" style="193" customWidth="1"/>
    <col min="4654" max="4864" width="8.26953125" style="193"/>
    <col min="4865" max="4865" width="9.1796875" style="193" bestFit="1" customWidth="1"/>
    <col min="4866" max="4866" width="5.453125" style="193" bestFit="1" customWidth="1"/>
    <col min="4867" max="4867" width="6" style="193" bestFit="1" customWidth="1"/>
    <col min="4868" max="4868" width="6.36328125" style="193" bestFit="1" customWidth="1"/>
    <col min="4869" max="4871" width="0" style="193" hidden="1" customWidth="1"/>
    <col min="4872" max="4872" width="5.453125" style="193" bestFit="1" customWidth="1"/>
    <col min="4873" max="4873" width="6.36328125" style="193" bestFit="1" customWidth="1"/>
    <col min="4874" max="4874" width="6.08984375" style="193" customWidth="1"/>
    <col min="4875" max="4877" width="0" style="193" hidden="1" customWidth="1"/>
    <col min="4878" max="4879" width="6.26953125" style="193" customWidth="1"/>
    <col min="4880" max="4880" width="6.36328125" style="193" bestFit="1" customWidth="1"/>
    <col min="4881" max="4881" width="3.54296875" style="193" bestFit="1" customWidth="1"/>
    <col min="4882" max="4882" width="4" style="193" bestFit="1" customWidth="1"/>
    <col min="4883" max="4883" width="5.1796875" style="193" customWidth="1"/>
    <col min="4884" max="4884" width="5.7265625" style="193" customWidth="1"/>
    <col min="4885" max="4885" width="6" style="193" bestFit="1" customWidth="1"/>
    <col min="4886" max="4886" width="7" style="193" bestFit="1" customWidth="1"/>
    <col min="4887" max="4887" width="8.1796875" style="193" bestFit="1" customWidth="1"/>
    <col min="4888" max="4888" width="4.54296875" style="193" customWidth="1"/>
    <col min="4889" max="4889" width="0" style="193" hidden="1" customWidth="1"/>
    <col min="4890" max="4890" width="4.54296875" style="193" bestFit="1" customWidth="1"/>
    <col min="4891" max="4891" width="0" style="193" hidden="1" customWidth="1"/>
    <col min="4892" max="4892" width="4.54296875" style="193" bestFit="1" customWidth="1"/>
    <col min="4893" max="4893" width="4.54296875" style="193" customWidth="1"/>
    <col min="4894" max="4894" width="5.54296875" style="193" bestFit="1" customWidth="1"/>
    <col min="4895" max="4895" width="11.7265625" style="193" customWidth="1"/>
    <col min="4896" max="4896" width="4.1796875" style="193" bestFit="1" customWidth="1"/>
    <col min="4897" max="4897" width="0" style="193" hidden="1" customWidth="1"/>
    <col min="4898" max="4898" width="4.1796875" style="193" bestFit="1" customWidth="1"/>
    <col min="4899" max="4899" width="0" style="193" hidden="1" customWidth="1"/>
    <col min="4900" max="4900" width="4.54296875" style="193" bestFit="1" customWidth="1"/>
    <col min="4901" max="4901" width="4.54296875" style="193" customWidth="1"/>
    <col min="4902" max="4902" width="4.54296875" style="193" bestFit="1" customWidth="1"/>
    <col min="4903" max="4903" width="5.81640625" style="193" bestFit="1" customWidth="1"/>
    <col min="4904" max="4904" width="4.54296875" style="193" bestFit="1" customWidth="1"/>
    <col min="4905" max="4905" width="6.26953125" style="193" bestFit="1" customWidth="1"/>
    <col min="4906" max="4906" width="4.54296875" style="193" bestFit="1" customWidth="1"/>
    <col min="4907" max="4908" width="11.453125" style="193" bestFit="1" customWidth="1"/>
    <col min="4909" max="4909" width="69.7265625" style="193" customWidth="1"/>
    <col min="4910" max="5120" width="8.26953125" style="193"/>
    <col min="5121" max="5121" width="9.1796875" style="193" bestFit="1" customWidth="1"/>
    <col min="5122" max="5122" width="5.453125" style="193" bestFit="1" customWidth="1"/>
    <col min="5123" max="5123" width="6" style="193" bestFit="1" customWidth="1"/>
    <col min="5124" max="5124" width="6.36328125" style="193" bestFit="1" customWidth="1"/>
    <col min="5125" max="5127" width="0" style="193" hidden="1" customWidth="1"/>
    <col min="5128" max="5128" width="5.453125" style="193" bestFit="1" customWidth="1"/>
    <col min="5129" max="5129" width="6.36328125" style="193" bestFit="1" customWidth="1"/>
    <col min="5130" max="5130" width="6.08984375" style="193" customWidth="1"/>
    <col min="5131" max="5133" width="0" style="193" hidden="1" customWidth="1"/>
    <col min="5134" max="5135" width="6.26953125" style="193" customWidth="1"/>
    <col min="5136" max="5136" width="6.36328125" style="193" bestFit="1" customWidth="1"/>
    <col min="5137" max="5137" width="3.54296875" style="193" bestFit="1" customWidth="1"/>
    <col min="5138" max="5138" width="4" style="193" bestFit="1" customWidth="1"/>
    <col min="5139" max="5139" width="5.1796875" style="193" customWidth="1"/>
    <col min="5140" max="5140" width="5.7265625" style="193" customWidth="1"/>
    <col min="5141" max="5141" width="6" style="193" bestFit="1" customWidth="1"/>
    <col min="5142" max="5142" width="7" style="193" bestFit="1" customWidth="1"/>
    <col min="5143" max="5143" width="8.1796875" style="193" bestFit="1" customWidth="1"/>
    <col min="5144" max="5144" width="4.54296875" style="193" customWidth="1"/>
    <col min="5145" max="5145" width="0" style="193" hidden="1" customWidth="1"/>
    <col min="5146" max="5146" width="4.54296875" style="193" bestFit="1" customWidth="1"/>
    <col min="5147" max="5147" width="0" style="193" hidden="1" customWidth="1"/>
    <col min="5148" max="5148" width="4.54296875" style="193" bestFit="1" customWidth="1"/>
    <col min="5149" max="5149" width="4.54296875" style="193" customWidth="1"/>
    <col min="5150" max="5150" width="5.54296875" style="193" bestFit="1" customWidth="1"/>
    <col min="5151" max="5151" width="11.7265625" style="193" customWidth="1"/>
    <col min="5152" max="5152" width="4.1796875" style="193" bestFit="1" customWidth="1"/>
    <col min="5153" max="5153" width="0" style="193" hidden="1" customWidth="1"/>
    <col min="5154" max="5154" width="4.1796875" style="193" bestFit="1" customWidth="1"/>
    <col min="5155" max="5155" width="0" style="193" hidden="1" customWidth="1"/>
    <col min="5156" max="5156" width="4.54296875" style="193" bestFit="1" customWidth="1"/>
    <col min="5157" max="5157" width="4.54296875" style="193" customWidth="1"/>
    <col min="5158" max="5158" width="4.54296875" style="193" bestFit="1" customWidth="1"/>
    <col min="5159" max="5159" width="5.81640625" style="193" bestFit="1" customWidth="1"/>
    <col min="5160" max="5160" width="4.54296875" style="193" bestFit="1" customWidth="1"/>
    <col min="5161" max="5161" width="6.26953125" style="193" bestFit="1" customWidth="1"/>
    <col min="5162" max="5162" width="4.54296875" style="193" bestFit="1" customWidth="1"/>
    <col min="5163" max="5164" width="11.453125" style="193" bestFit="1" customWidth="1"/>
    <col min="5165" max="5165" width="69.7265625" style="193" customWidth="1"/>
    <col min="5166" max="5376" width="8.26953125" style="193"/>
    <col min="5377" max="5377" width="9.1796875" style="193" bestFit="1" customWidth="1"/>
    <col min="5378" max="5378" width="5.453125" style="193" bestFit="1" customWidth="1"/>
    <col min="5379" max="5379" width="6" style="193" bestFit="1" customWidth="1"/>
    <col min="5380" max="5380" width="6.36328125" style="193" bestFit="1" customWidth="1"/>
    <col min="5381" max="5383" width="0" style="193" hidden="1" customWidth="1"/>
    <col min="5384" max="5384" width="5.453125" style="193" bestFit="1" customWidth="1"/>
    <col min="5385" max="5385" width="6.36328125" style="193" bestFit="1" customWidth="1"/>
    <col min="5386" max="5386" width="6.08984375" style="193" customWidth="1"/>
    <col min="5387" max="5389" width="0" style="193" hidden="1" customWidth="1"/>
    <col min="5390" max="5391" width="6.26953125" style="193" customWidth="1"/>
    <col min="5392" max="5392" width="6.36328125" style="193" bestFit="1" customWidth="1"/>
    <col min="5393" max="5393" width="3.54296875" style="193" bestFit="1" customWidth="1"/>
    <col min="5394" max="5394" width="4" style="193" bestFit="1" customWidth="1"/>
    <col min="5395" max="5395" width="5.1796875" style="193" customWidth="1"/>
    <col min="5396" max="5396" width="5.7265625" style="193" customWidth="1"/>
    <col min="5397" max="5397" width="6" style="193" bestFit="1" customWidth="1"/>
    <col min="5398" max="5398" width="7" style="193" bestFit="1" customWidth="1"/>
    <col min="5399" max="5399" width="8.1796875" style="193" bestFit="1" customWidth="1"/>
    <col min="5400" max="5400" width="4.54296875" style="193" customWidth="1"/>
    <col min="5401" max="5401" width="0" style="193" hidden="1" customWidth="1"/>
    <col min="5402" max="5402" width="4.54296875" style="193" bestFit="1" customWidth="1"/>
    <col min="5403" max="5403" width="0" style="193" hidden="1" customWidth="1"/>
    <col min="5404" max="5404" width="4.54296875" style="193" bestFit="1" customWidth="1"/>
    <col min="5405" max="5405" width="4.54296875" style="193" customWidth="1"/>
    <col min="5406" max="5406" width="5.54296875" style="193" bestFit="1" customWidth="1"/>
    <col min="5407" max="5407" width="11.7265625" style="193" customWidth="1"/>
    <col min="5408" max="5408" width="4.1796875" style="193" bestFit="1" customWidth="1"/>
    <col min="5409" max="5409" width="0" style="193" hidden="1" customWidth="1"/>
    <col min="5410" max="5410" width="4.1796875" style="193" bestFit="1" customWidth="1"/>
    <col min="5411" max="5411" width="0" style="193" hidden="1" customWidth="1"/>
    <col min="5412" max="5412" width="4.54296875" style="193" bestFit="1" customWidth="1"/>
    <col min="5413" max="5413" width="4.54296875" style="193" customWidth="1"/>
    <col min="5414" max="5414" width="4.54296875" style="193" bestFit="1" customWidth="1"/>
    <col min="5415" max="5415" width="5.81640625" style="193" bestFit="1" customWidth="1"/>
    <col min="5416" max="5416" width="4.54296875" style="193" bestFit="1" customWidth="1"/>
    <col min="5417" max="5417" width="6.26953125" style="193" bestFit="1" customWidth="1"/>
    <col min="5418" max="5418" width="4.54296875" style="193" bestFit="1" customWidth="1"/>
    <col min="5419" max="5420" width="11.453125" style="193" bestFit="1" customWidth="1"/>
    <col min="5421" max="5421" width="69.7265625" style="193" customWidth="1"/>
    <col min="5422" max="5632" width="8.26953125" style="193"/>
    <col min="5633" max="5633" width="9.1796875" style="193" bestFit="1" customWidth="1"/>
    <col min="5634" max="5634" width="5.453125" style="193" bestFit="1" customWidth="1"/>
    <col min="5635" max="5635" width="6" style="193" bestFit="1" customWidth="1"/>
    <col min="5636" max="5636" width="6.36328125" style="193" bestFit="1" customWidth="1"/>
    <col min="5637" max="5639" width="0" style="193" hidden="1" customWidth="1"/>
    <col min="5640" max="5640" width="5.453125" style="193" bestFit="1" customWidth="1"/>
    <col min="5641" max="5641" width="6.36328125" style="193" bestFit="1" customWidth="1"/>
    <col min="5642" max="5642" width="6.08984375" style="193" customWidth="1"/>
    <col min="5643" max="5645" width="0" style="193" hidden="1" customWidth="1"/>
    <col min="5646" max="5647" width="6.26953125" style="193" customWidth="1"/>
    <col min="5648" max="5648" width="6.36328125" style="193" bestFit="1" customWidth="1"/>
    <col min="5649" max="5649" width="3.54296875" style="193" bestFit="1" customWidth="1"/>
    <col min="5650" max="5650" width="4" style="193" bestFit="1" customWidth="1"/>
    <col min="5651" max="5651" width="5.1796875" style="193" customWidth="1"/>
    <col min="5652" max="5652" width="5.7265625" style="193" customWidth="1"/>
    <col min="5653" max="5653" width="6" style="193" bestFit="1" customWidth="1"/>
    <col min="5654" max="5654" width="7" style="193" bestFit="1" customWidth="1"/>
    <col min="5655" max="5655" width="8.1796875" style="193" bestFit="1" customWidth="1"/>
    <col min="5656" max="5656" width="4.54296875" style="193" customWidth="1"/>
    <col min="5657" max="5657" width="0" style="193" hidden="1" customWidth="1"/>
    <col min="5658" max="5658" width="4.54296875" style="193" bestFit="1" customWidth="1"/>
    <col min="5659" max="5659" width="0" style="193" hidden="1" customWidth="1"/>
    <col min="5660" max="5660" width="4.54296875" style="193" bestFit="1" customWidth="1"/>
    <col min="5661" max="5661" width="4.54296875" style="193" customWidth="1"/>
    <col min="5662" max="5662" width="5.54296875" style="193" bestFit="1" customWidth="1"/>
    <col min="5663" max="5663" width="11.7265625" style="193" customWidth="1"/>
    <col min="5664" max="5664" width="4.1796875" style="193" bestFit="1" customWidth="1"/>
    <col min="5665" max="5665" width="0" style="193" hidden="1" customWidth="1"/>
    <col min="5666" max="5666" width="4.1796875" style="193" bestFit="1" customWidth="1"/>
    <col min="5667" max="5667" width="0" style="193" hidden="1" customWidth="1"/>
    <col min="5668" max="5668" width="4.54296875" style="193" bestFit="1" customWidth="1"/>
    <col min="5669" max="5669" width="4.54296875" style="193" customWidth="1"/>
    <col min="5670" max="5670" width="4.54296875" style="193" bestFit="1" customWidth="1"/>
    <col min="5671" max="5671" width="5.81640625" style="193" bestFit="1" customWidth="1"/>
    <col min="5672" max="5672" width="4.54296875" style="193" bestFit="1" customWidth="1"/>
    <col min="5673" max="5673" width="6.26953125" style="193" bestFit="1" customWidth="1"/>
    <col min="5674" max="5674" width="4.54296875" style="193" bestFit="1" customWidth="1"/>
    <col min="5675" max="5676" width="11.453125" style="193" bestFit="1" customWidth="1"/>
    <col min="5677" max="5677" width="69.7265625" style="193" customWidth="1"/>
    <col min="5678" max="5888" width="8.26953125" style="193"/>
    <col min="5889" max="5889" width="9.1796875" style="193" bestFit="1" customWidth="1"/>
    <col min="5890" max="5890" width="5.453125" style="193" bestFit="1" customWidth="1"/>
    <col min="5891" max="5891" width="6" style="193" bestFit="1" customWidth="1"/>
    <col min="5892" max="5892" width="6.36328125" style="193" bestFit="1" customWidth="1"/>
    <col min="5893" max="5895" width="0" style="193" hidden="1" customWidth="1"/>
    <col min="5896" max="5896" width="5.453125" style="193" bestFit="1" customWidth="1"/>
    <col min="5897" max="5897" width="6.36328125" style="193" bestFit="1" customWidth="1"/>
    <col min="5898" max="5898" width="6.08984375" style="193" customWidth="1"/>
    <col min="5899" max="5901" width="0" style="193" hidden="1" customWidth="1"/>
    <col min="5902" max="5903" width="6.26953125" style="193" customWidth="1"/>
    <col min="5904" max="5904" width="6.36328125" style="193" bestFit="1" customWidth="1"/>
    <col min="5905" max="5905" width="3.54296875" style="193" bestFit="1" customWidth="1"/>
    <col min="5906" max="5906" width="4" style="193" bestFit="1" customWidth="1"/>
    <col min="5907" max="5907" width="5.1796875" style="193" customWidth="1"/>
    <col min="5908" max="5908" width="5.7265625" style="193" customWidth="1"/>
    <col min="5909" max="5909" width="6" style="193" bestFit="1" customWidth="1"/>
    <col min="5910" max="5910" width="7" style="193" bestFit="1" customWidth="1"/>
    <col min="5911" max="5911" width="8.1796875" style="193" bestFit="1" customWidth="1"/>
    <col min="5912" max="5912" width="4.54296875" style="193" customWidth="1"/>
    <col min="5913" max="5913" width="0" style="193" hidden="1" customWidth="1"/>
    <col min="5914" max="5914" width="4.54296875" style="193" bestFit="1" customWidth="1"/>
    <col min="5915" max="5915" width="0" style="193" hidden="1" customWidth="1"/>
    <col min="5916" max="5916" width="4.54296875" style="193" bestFit="1" customWidth="1"/>
    <col min="5917" max="5917" width="4.54296875" style="193" customWidth="1"/>
    <col min="5918" max="5918" width="5.54296875" style="193" bestFit="1" customWidth="1"/>
    <col min="5919" max="5919" width="11.7265625" style="193" customWidth="1"/>
    <col min="5920" max="5920" width="4.1796875" style="193" bestFit="1" customWidth="1"/>
    <col min="5921" max="5921" width="0" style="193" hidden="1" customWidth="1"/>
    <col min="5922" max="5922" width="4.1796875" style="193" bestFit="1" customWidth="1"/>
    <col min="5923" max="5923" width="0" style="193" hidden="1" customWidth="1"/>
    <col min="5924" max="5924" width="4.54296875" style="193" bestFit="1" customWidth="1"/>
    <col min="5925" max="5925" width="4.54296875" style="193" customWidth="1"/>
    <col min="5926" max="5926" width="4.54296875" style="193" bestFit="1" customWidth="1"/>
    <col min="5927" max="5927" width="5.81640625" style="193" bestFit="1" customWidth="1"/>
    <col min="5928" max="5928" width="4.54296875" style="193" bestFit="1" customWidth="1"/>
    <col min="5929" max="5929" width="6.26953125" style="193" bestFit="1" customWidth="1"/>
    <col min="5930" max="5930" width="4.54296875" style="193" bestFit="1" customWidth="1"/>
    <col min="5931" max="5932" width="11.453125" style="193" bestFit="1" customWidth="1"/>
    <col min="5933" max="5933" width="69.7265625" style="193" customWidth="1"/>
    <col min="5934" max="6144" width="8.26953125" style="193"/>
    <col min="6145" max="6145" width="9.1796875" style="193" bestFit="1" customWidth="1"/>
    <col min="6146" max="6146" width="5.453125" style="193" bestFit="1" customWidth="1"/>
    <col min="6147" max="6147" width="6" style="193" bestFit="1" customWidth="1"/>
    <col min="6148" max="6148" width="6.36328125" style="193" bestFit="1" customWidth="1"/>
    <col min="6149" max="6151" width="0" style="193" hidden="1" customWidth="1"/>
    <col min="6152" max="6152" width="5.453125" style="193" bestFit="1" customWidth="1"/>
    <col min="6153" max="6153" width="6.36328125" style="193" bestFit="1" customWidth="1"/>
    <col min="6154" max="6154" width="6.08984375" style="193" customWidth="1"/>
    <col min="6155" max="6157" width="0" style="193" hidden="1" customWidth="1"/>
    <col min="6158" max="6159" width="6.26953125" style="193" customWidth="1"/>
    <col min="6160" max="6160" width="6.36328125" style="193" bestFit="1" customWidth="1"/>
    <col min="6161" max="6161" width="3.54296875" style="193" bestFit="1" customWidth="1"/>
    <col min="6162" max="6162" width="4" style="193" bestFit="1" customWidth="1"/>
    <col min="6163" max="6163" width="5.1796875" style="193" customWidth="1"/>
    <col min="6164" max="6164" width="5.7265625" style="193" customWidth="1"/>
    <col min="6165" max="6165" width="6" style="193" bestFit="1" customWidth="1"/>
    <col min="6166" max="6166" width="7" style="193" bestFit="1" customWidth="1"/>
    <col min="6167" max="6167" width="8.1796875" style="193" bestFit="1" customWidth="1"/>
    <col min="6168" max="6168" width="4.54296875" style="193" customWidth="1"/>
    <col min="6169" max="6169" width="0" style="193" hidden="1" customWidth="1"/>
    <col min="6170" max="6170" width="4.54296875" style="193" bestFit="1" customWidth="1"/>
    <col min="6171" max="6171" width="0" style="193" hidden="1" customWidth="1"/>
    <col min="6172" max="6172" width="4.54296875" style="193" bestFit="1" customWidth="1"/>
    <col min="6173" max="6173" width="4.54296875" style="193" customWidth="1"/>
    <col min="6174" max="6174" width="5.54296875" style="193" bestFit="1" customWidth="1"/>
    <col min="6175" max="6175" width="11.7265625" style="193" customWidth="1"/>
    <col min="6176" max="6176" width="4.1796875" style="193" bestFit="1" customWidth="1"/>
    <col min="6177" max="6177" width="0" style="193" hidden="1" customWidth="1"/>
    <col min="6178" max="6178" width="4.1796875" style="193" bestFit="1" customWidth="1"/>
    <col min="6179" max="6179" width="0" style="193" hidden="1" customWidth="1"/>
    <col min="6180" max="6180" width="4.54296875" style="193" bestFit="1" customWidth="1"/>
    <col min="6181" max="6181" width="4.54296875" style="193" customWidth="1"/>
    <col min="6182" max="6182" width="4.54296875" style="193" bestFit="1" customWidth="1"/>
    <col min="6183" max="6183" width="5.81640625" style="193" bestFit="1" customWidth="1"/>
    <col min="6184" max="6184" width="4.54296875" style="193" bestFit="1" customWidth="1"/>
    <col min="6185" max="6185" width="6.26953125" style="193" bestFit="1" customWidth="1"/>
    <col min="6186" max="6186" width="4.54296875" style="193" bestFit="1" customWidth="1"/>
    <col min="6187" max="6188" width="11.453125" style="193" bestFit="1" customWidth="1"/>
    <col min="6189" max="6189" width="69.7265625" style="193" customWidth="1"/>
    <col min="6190" max="6400" width="8.26953125" style="193"/>
    <col min="6401" max="6401" width="9.1796875" style="193" bestFit="1" customWidth="1"/>
    <col min="6402" max="6402" width="5.453125" style="193" bestFit="1" customWidth="1"/>
    <col min="6403" max="6403" width="6" style="193" bestFit="1" customWidth="1"/>
    <col min="6404" max="6404" width="6.36328125" style="193" bestFit="1" customWidth="1"/>
    <col min="6405" max="6407" width="0" style="193" hidden="1" customWidth="1"/>
    <col min="6408" max="6408" width="5.453125" style="193" bestFit="1" customWidth="1"/>
    <col min="6409" max="6409" width="6.36328125" style="193" bestFit="1" customWidth="1"/>
    <col min="6410" max="6410" width="6.08984375" style="193" customWidth="1"/>
    <col min="6411" max="6413" width="0" style="193" hidden="1" customWidth="1"/>
    <col min="6414" max="6415" width="6.26953125" style="193" customWidth="1"/>
    <col min="6416" max="6416" width="6.36328125" style="193" bestFit="1" customWidth="1"/>
    <col min="6417" max="6417" width="3.54296875" style="193" bestFit="1" customWidth="1"/>
    <col min="6418" max="6418" width="4" style="193" bestFit="1" customWidth="1"/>
    <col min="6419" max="6419" width="5.1796875" style="193" customWidth="1"/>
    <col min="6420" max="6420" width="5.7265625" style="193" customWidth="1"/>
    <col min="6421" max="6421" width="6" style="193" bestFit="1" customWidth="1"/>
    <col min="6422" max="6422" width="7" style="193" bestFit="1" customWidth="1"/>
    <col min="6423" max="6423" width="8.1796875" style="193" bestFit="1" customWidth="1"/>
    <col min="6424" max="6424" width="4.54296875" style="193" customWidth="1"/>
    <col min="6425" max="6425" width="0" style="193" hidden="1" customWidth="1"/>
    <col min="6426" max="6426" width="4.54296875" style="193" bestFit="1" customWidth="1"/>
    <col min="6427" max="6427" width="0" style="193" hidden="1" customWidth="1"/>
    <col min="6428" max="6428" width="4.54296875" style="193" bestFit="1" customWidth="1"/>
    <col min="6429" max="6429" width="4.54296875" style="193" customWidth="1"/>
    <col min="6430" max="6430" width="5.54296875" style="193" bestFit="1" customWidth="1"/>
    <col min="6431" max="6431" width="11.7265625" style="193" customWidth="1"/>
    <col min="6432" max="6432" width="4.1796875" style="193" bestFit="1" customWidth="1"/>
    <col min="6433" max="6433" width="0" style="193" hidden="1" customWidth="1"/>
    <col min="6434" max="6434" width="4.1796875" style="193" bestFit="1" customWidth="1"/>
    <col min="6435" max="6435" width="0" style="193" hidden="1" customWidth="1"/>
    <col min="6436" max="6436" width="4.54296875" style="193" bestFit="1" customWidth="1"/>
    <col min="6437" max="6437" width="4.54296875" style="193" customWidth="1"/>
    <col min="6438" max="6438" width="4.54296875" style="193" bestFit="1" customWidth="1"/>
    <col min="6439" max="6439" width="5.81640625" style="193" bestFit="1" customWidth="1"/>
    <col min="6440" max="6440" width="4.54296875" style="193" bestFit="1" customWidth="1"/>
    <col min="6441" max="6441" width="6.26953125" style="193" bestFit="1" customWidth="1"/>
    <col min="6442" max="6442" width="4.54296875" style="193" bestFit="1" customWidth="1"/>
    <col min="6443" max="6444" width="11.453125" style="193" bestFit="1" customWidth="1"/>
    <col min="6445" max="6445" width="69.7265625" style="193" customWidth="1"/>
    <col min="6446" max="6656" width="8.26953125" style="193"/>
    <col min="6657" max="6657" width="9.1796875" style="193" bestFit="1" customWidth="1"/>
    <col min="6658" max="6658" width="5.453125" style="193" bestFit="1" customWidth="1"/>
    <col min="6659" max="6659" width="6" style="193" bestFit="1" customWidth="1"/>
    <col min="6660" max="6660" width="6.36328125" style="193" bestFit="1" customWidth="1"/>
    <col min="6661" max="6663" width="0" style="193" hidden="1" customWidth="1"/>
    <col min="6664" max="6664" width="5.453125" style="193" bestFit="1" customWidth="1"/>
    <col min="6665" max="6665" width="6.36328125" style="193" bestFit="1" customWidth="1"/>
    <col min="6666" max="6666" width="6.08984375" style="193" customWidth="1"/>
    <col min="6667" max="6669" width="0" style="193" hidden="1" customWidth="1"/>
    <col min="6670" max="6671" width="6.26953125" style="193" customWidth="1"/>
    <col min="6672" max="6672" width="6.36328125" style="193" bestFit="1" customWidth="1"/>
    <col min="6673" max="6673" width="3.54296875" style="193" bestFit="1" customWidth="1"/>
    <col min="6674" max="6674" width="4" style="193" bestFit="1" customWidth="1"/>
    <col min="6675" max="6675" width="5.1796875" style="193" customWidth="1"/>
    <col min="6676" max="6676" width="5.7265625" style="193" customWidth="1"/>
    <col min="6677" max="6677" width="6" style="193" bestFit="1" customWidth="1"/>
    <col min="6678" max="6678" width="7" style="193" bestFit="1" customWidth="1"/>
    <col min="6679" max="6679" width="8.1796875" style="193" bestFit="1" customWidth="1"/>
    <col min="6680" max="6680" width="4.54296875" style="193" customWidth="1"/>
    <col min="6681" max="6681" width="0" style="193" hidden="1" customWidth="1"/>
    <col min="6682" max="6682" width="4.54296875" style="193" bestFit="1" customWidth="1"/>
    <col min="6683" max="6683" width="0" style="193" hidden="1" customWidth="1"/>
    <col min="6684" max="6684" width="4.54296875" style="193" bestFit="1" customWidth="1"/>
    <col min="6685" max="6685" width="4.54296875" style="193" customWidth="1"/>
    <col min="6686" max="6686" width="5.54296875" style="193" bestFit="1" customWidth="1"/>
    <col min="6687" max="6687" width="11.7265625" style="193" customWidth="1"/>
    <col min="6688" max="6688" width="4.1796875" style="193" bestFit="1" customWidth="1"/>
    <col min="6689" max="6689" width="0" style="193" hidden="1" customWidth="1"/>
    <col min="6690" max="6690" width="4.1796875" style="193" bestFit="1" customWidth="1"/>
    <col min="6691" max="6691" width="0" style="193" hidden="1" customWidth="1"/>
    <col min="6692" max="6692" width="4.54296875" style="193" bestFit="1" customWidth="1"/>
    <col min="6693" max="6693" width="4.54296875" style="193" customWidth="1"/>
    <col min="6694" max="6694" width="4.54296875" style="193" bestFit="1" customWidth="1"/>
    <col min="6695" max="6695" width="5.81640625" style="193" bestFit="1" customWidth="1"/>
    <col min="6696" max="6696" width="4.54296875" style="193" bestFit="1" customWidth="1"/>
    <col min="6697" max="6697" width="6.26953125" style="193" bestFit="1" customWidth="1"/>
    <col min="6698" max="6698" width="4.54296875" style="193" bestFit="1" customWidth="1"/>
    <col min="6699" max="6700" width="11.453125" style="193" bestFit="1" customWidth="1"/>
    <col min="6701" max="6701" width="69.7265625" style="193" customWidth="1"/>
    <col min="6702" max="6912" width="8.26953125" style="193"/>
    <col min="6913" max="6913" width="9.1796875" style="193" bestFit="1" customWidth="1"/>
    <col min="6914" max="6914" width="5.453125" style="193" bestFit="1" customWidth="1"/>
    <col min="6915" max="6915" width="6" style="193" bestFit="1" customWidth="1"/>
    <col min="6916" max="6916" width="6.36328125" style="193" bestFit="1" customWidth="1"/>
    <col min="6917" max="6919" width="0" style="193" hidden="1" customWidth="1"/>
    <col min="6920" max="6920" width="5.453125" style="193" bestFit="1" customWidth="1"/>
    <col min="6921" max="6921" width="6.36328125" style="193" bestFit="1" customWidth="1"/>
    <col min="6922" max="6922" width="6.08984375" style="193" customWidth="1"/>
    <col min="6923" max="6925" width="0" style="193" hidden="1" customWidth="1"/>
    <col min="6926" max="6927" width="6.26953125" style="193" customWidth="1"/>
    <col min="6928" max="6928" width="6.36328125" style="193" bestFit="1" customWidth="1"/>
    <col min="6929" max="6929" width="3.54296875" style="193" bestFit="1" customWidth="1"/>
    <col min="6930" max="6930" width="4" style="193" bestFit="1" customWidth="1"/>
    <col min="6931" max="6931" width="5.1796875" style="193" customWidth="1"/>
    <col min="6932" max="6932" width="5.7265625" style="193" customWidth="1"/>
    <col min="6933" max="6933" width="6" style="193" bestFit="1" customWidth="1"/>
    <col min="6934" max="6934" width="7" style="193" bestFit="1" customWidth="1"/>
    <col min="6935" max="6935" width="8.1796875" style="193" bestFit="1" customWidth="1"/>
    <col min="6936" max="6936" width="4.54296875" style="193" customWidth="1"/>
    <col min="6937" max="6937" width="0" style="193" hidden="1" customWidth="1"/>
    <col min="6938" max="6938" width="4.54296875" style="193" bestFit="1" customWidth="1"/>
    <col min="6939" max="6939" width="0" style="193" hidden="1" customWidth="1"/>
    <col min="6940" max="6940" width="4.54296875" style="193" bestFit="1" customWidth="1"/>
    <col min="6941" max="6941" width="4.54296875" style="193" customWidth="1"/>
    <col min="6942" max="6942" width="5.54296875" style="193" bestFit="1" customWidth="1"/>
    <col min="6943" max="6943" width="11.7265625" style="193" customWidth="1"/>
    <col min="6944" max="6944" width="4.1796875" style="193" bestFit="1" customWidth="1"/>
    <col min="6945" max="6945" width="0" style="193" hidden="1" customWidth="1"/>
    <col min="6946" max="6946" width="4.1796875" style="193" bestFit="1" customWidth="1"/>
    <col min="6947" max="6947" width="0" style="193" hidden="1" customWidth="1"/>
    <col min="6948" max="6948" width="4.54296875" style="193" bestFit="1" customWidth="1"/>
    <col min="6949" max="6949" width="4.54296875" style="193" customWidth="1"/>
    <col min="6950" max="6950" width="4.54296875" style="193" bestFit="1" customWidth="1"/>
    <col min="6951" max="6951" width="5.81640625" style="193" bestFit="1" customWidth="1"/>
    <col min="6952" max="6952" width="4.54296875" style="193" bestFit="1" customWidth="1"/>
    <col min="6953" max="6953" width="6.26953125" style="193" bestFit="1" customWidth="1"/>
    <col min="6954" max="6954" width="4.54296875" style="193" bestFit="1" customWidth="1"/>
    <col min="6955" max="6956" width="11.453125" style="193" bestFit="1" customWidth="1"/>
    <col min="6957" max="6957" width="69.7265625" style="193" customWidth="1"/>
    <col min="6958" max="7168" width="8.26953125" style="193"/>
    <col min="7169" max="7169" width="9.1796875" style="193" bestFit="1" customWidth="1"/>
    <col min="7170" max="7170" width="5.453125" style="193" bestFit="1" customWidth="1"/>
    <col min="7171" max="7171" width="6" style="193" bestFit="1" customWidth="1"/>
    <col min="7172" max="7172" width="6.36328125" style="193" bestFit="1" customWidth="1"/>
    <col min="7173" max="7175" width="0" style="193" hidden="1" customWidth="1"/>
    <col min="7176" max="7176" width="5.453125" style="193" bestFit="1" customWidth="1"/>
    <col min="7177" max="7177" width="6.36328125" style="193" bestFit="1" customWidth="1"/>
    <col min="7178" max="7178" width="6.08984375" style="193" customWidth="1"/>
    <col min="7179" max="7181" width="0" style="193" hidden="1" customWidth="1"/>
    <col min="7182" max="7183" width="6.26953125" style="193" customWidth="1"/>
    <col min="7184" max="7184" width="6.36328125" style="193" bestFit="1" customWidth="1"/>
    <col min="7185" max="7185" width="3.54296875" style="193" bestFit="1" customWidth="1"/>
    <col min="7186" max="7186" width="4" style="193" bestFit="1" customWidth="1"/>
    <col min="7187" max="7187" width="5.1796875" style="193" customWidth="1"/>
    <col min="7188" max="7188" width="5.7265625" style="193" customWidth="1"/>
    <col min="7189" max="7189" width="6" style="193" bestFit="1" customWidth="1"/>
    <col min="7190" max="7190" width="7" style="193" bestFit="1" customWidth="1"/>
    <col min="7191" max="7191" width="8.1796875" style="193" bestFit="1" customWidth="1"/>
    <col min="7192" max="7192" width="4.54296875" style="193" customWidth="1"/>
    <col min="7193" max="7193" width="0" style="193" hidden="1" customWidth="1"/>
    <col min="7194" max="7194" width="4.54296875" style="193" bestFit="1" customWidth="1"/>
    <col min="7195" max="7195" width="0" style="193" hidden="1" customWidth="1"/>
    <col min="7196" max="7196" width="4.54296875" style="193" bestFit="1" customWidth="1"/>
    <col min="7197" max="7197" width="4.54296875" style="193" customWidth="1"/>
    <col min="7198" max="7198" width="5.54296875" style="193" bestFit="1" customWidth="1"/>
    <col min="7199" max="7199" width="11.7265625" style="193" customWidth="1"/>
    <col min="7200" max="7200" width="4.1796875" style="193" bestFit="1" customWidth="1"/>
    <col min="7201" max="7201" width="0" style="193" hidden="1" customWidth="1"/>
    <col min="7202" max="7202" width="4.1796875" style="193" bestFit="1" customWidth="1"/>
    <col min="7203" max="7203" width="0" style="193" hidden="1" customWidth="1"/>
    <col min="7204" max="7204" width="4.54296875" style="193" bestFit="1" customWidth="1"/>
    <col min="7205" max="7205" width="4.54296875" style="193" customWidth="1"/>
    <col min="7206" max="7206" width="4.54296875" style="193" bestFit="1" customWidth="1"/>
    <col min="7207" max="7207" width="5.81640625" style="193" bestFit="1" customWidth="1"/>
    <col min="7208" max="7208" width="4.54296875" style="193" bestFit="1" customWidth="1"/>
    <col min="7209" max="7209" width="6.26953125" style="193" bestFit="1" customWidth="1"/>
    <col min="7210" max="7210" width="4.54296875" style="193" bestFit="1" customWidth="1"/>
    <col min="7211" max="7212" width="11.453125" style="193" bestFit="1" customWidth="1"/>
    <col min="7213" max="7213" width="69.7265625" style="193" customWidth="1"/>
    <col min="7214" max="7424" width="8.26953125" style="193"/>
    <col min="7425" max="7425" width="9.1796875" style="193" bestFit="1" customWidth="1"/>
    <col min="7426" max="7426" width="5.453125" style="193" bestFit="1" customWidth="1"/>
    <col min="7427" max="7427" width="6" style="193" bestFit="1" customWidth="1"/>
    <col min="7428" max="7428" width="6.36328125" style="193" bestFit="1" customWidth="1"/>
    <col min="7429" max="7431" width="0" style="193" hidden="1" customWidth="1"/>
    <col min="7432" max="7432" width="5.453125" style="193" bestFit="1" customWidth="1"/>
    <col min="7433" max="7433" width="6.36328125" style="193" bestFit="1" customWidth="1"/>
    <col min="7434" max="7434" width="6.08984375" style="193" customWidth="1"/>
    <col min="7435" max="7437" width="0" style="193" hidden="1" customWidth="1"/>
    <col min="7438" max="7439" width="6.26953125" style="193" customWidth="1"/>
    <col min="7440" max="7440" width="6.36328125" style="193" bestFit="1" customWidth="1"/>
    <col min="7441" max="7441" width="3.54296875" style="193" bestFit="1" customWidth="1"/>
    <col min="7442" max="7442" width="4" style="193" bestFit="1" customWidth="1"/>
    <col min="7443" max="7443" width="5.1796875" style="193" customWidth="1"/>
    <col min="7444" max="7444" width="5.7265625" style="193" customWidth="1"/>
    <col min="7445" max="7445" width="6" style="193" bestFit="1" customWidth="1"/>
    <col min="7446" max="7446" width="7" style="193" bestFit="1" customWidth="1"/>
    <col min="7447" max="7447" width="8.1796875" style="193" bestFit="1" customWidth="1"/>
    <col min="7448" max="7448" width="4.54296875" style="193" customWidth="1"/>
    <col min="7449" max="7449" width="0" style="193" hidden="1" customWidth="1"/>
    <col min="7450" max="7450" width="4.54296875" style="193" bestFit="1" customWidth="1"/>
    <col min="7451" max="7451" width="0" style="193" hidden="1" customWidth="1"/>
    <col min="7452" max="7452" width="4.54296875" style="193" bestFit="1" customWidth="1"/>
    <col min="7453" max="7453" width="4.54296875" style="193" customWidth="1"/>
    <col min="7454" max="7454" width="5.54296875" style="193" bestFit="1" customWidth="1"/>
    <col min="7455" max="7455" width="11.7265625" style="193" customWidth="1"/>
    <col min="7456" max="7456" width="4.1796875" style="193" bestFit="1" customWidth="1"/>
    <col min="7457" max="7457" width="0" style="193" hidden="1" customWidth="1"/>
    <col min="7458" max="7458" width="4.1796875" style="193" bestFit="1" customWidth="1"/>
    <col min="7459" max="7459" width="0" style="193" hidden="1" customWidth="1"/>
    <col min="7460" max="7460" width="4.54296875" style="193" bestFit="1" customWidth="1"/>
    <col min="7461" max="7461" width="4.54296875" style="193" customWidth="1"/>
    <col min="7462" max="7462" width="4.54296875" style="193" bestFit="1" customWidth="1"/>
    <col min="7463" max="7463" width="5.81640625" style="193" bestFit="1" customWidth="1"/>
    <col min="7464" max="7464" width="4.54296875" style="193" bestFit="1" customWidth="1"/>
    <col min="7465" max="7465" width="6.26953125" style="193" bestFit="1" customWidth="1"/>
    <col min="7466" max="7466" width="4.54296875" style="193" bestFit="1" customWidth="1"/>
    <col min="7467" max="7468" width="11.453125" style="193" bestFit="1" customWidth="1"/>
    <col min="7469" max="7469" width="69.7265625" style="193" customWidth="1"/>
    <col min="7470" max="7680" width="8.26953125" style="193"/>
    <col min="7681" max="7681" width="9.1796875" style="193" bestFit="1" customWidth="1"/>
    <col min="7682" max="7682" width="5.453125" style="193" bestFit="1" customWidth="1"/>
    <col min="7683" max="7683" width="6" style="193" bestFit="1" customWidth="1"/>
    <col min="7684" max="7684" width="6.36328125" style="193" bestFit="1" customWidth="1"/>
    <col min="7685" max="7687" width="0" style="193" hidden="1" customWidth="1"/>
    <col min="7688" max="7688" width="5.453125" style="193" bestFit="1" customWidth="1"/>
    <col min="7689" max="7689" width="6.36328125" style="193" bestFit="1" customWidth="1"/>
    <col min="7690" max="7690" width="6.08984375" style="193" customWidth="1"/>
    <col min="7691" max="7693" width="0" style="193" hidden="1" customWidth="1"/>
    <col min="7694" max="7695" width="6.26953125" style="193" customWidth="1"/>
    <col min="7696" max="7696" width="6.36328125" style="193" bestFit="1" customWidth="1"/>
    <col min="7697" max="7697" width="3.54296875" style="193" bestFit="1" customWidth="1"/>
    <col min="7698" max="7698" width="4" style="193" bestFit="1" customWidth="1"/>
    <col min="7699" max="7699" width="5.1796875" style="193" customWidth="1"/>
    <col min="7700" max="7700" width="5.7265625" style="193" customWidth="1"/>
    <col min="7701" max="7701" width="6" style="193" bestFit="1" customWidth="1"/>
    <col min="7702" max="7702" width="7" style="193" bestFit="1" customWidth="1"/>
    <col min="7703" max="7703" width="8.1796875" style="193" bestFit="1" customWidth="1"/>
    <col min="7704" max="7704" width="4.54296875" style="193" customWidth="1"/>
    <col min="7705" max="7705" width="0" style="193" hidden="1" customWidth="1"/>
    <col min="7706" max="7706" width="4.54296875" style="193" bestFit="1" customWidth="1"/>
    <col min="7707" max="7707" width="0" style="193" hidden="1" customWidth="1"/>
    <col min="7708" max="7708" width="4.54296875" style="193" bestFit="1" customWidth="1"/>
    <col min="7709" max="7709" width="4.54296875" style="193" customWidth="1"/>
    <col min="7710" max="7710" width="5.54296875" style="193" bestFit="1" customWidth="1"/>
    <col min="7711" max="7711" width="11.7265625" style="193" customWidth="1"/>
    <col min="7712" max="7712" width="4.1796875" style="193" bestFit="1" customWidth="1"/>
    <col min="7713" max="7713" width="0" style="193" hidden="1" customWidth="1"/>
    <col min="7714" max="7714" width="4.1796875" style="193" bestFit="1" customWidth="1"/>
    <col min="7715" max="7715" width="0" style="193" hidden="1" customWidth="1"/>
    <col min="7716" max="7716" width="4.54296875" style="193" bestFit="1" customWidth="1"/>
    <col min="7717" max="7717" width="4.54296875" style="193" customWidth="1"/>
    <col min="7718" max="7718" width="4.54296875" style="193" bestFit="1" customWidth="1"/>
    <col min="7719" max="7719" width="5.81640625" style="193" bestFit="1" customWidth="1"/>
    <col min="7720" max="7720" width="4.54296875" style="193" bestFit="1" customWidth="1"/>
    <col min="7721" max="7721" width="6.26953125" style="193" bestFit="1" customWidth="1"/>
    <col min="7722" max="7722" width="4.54296875" style="193" bestFit="1" customWidth="1"/>
    <col min="7723" max="7724" width="11.453125" style="193" bestFit="1" customWidth="1"/>
    <col min="7725" max="7725" width="69.7265625" style="193" customWidth="1"/>
    <col min="7726" max="7936" width="8.26953125" style="193"/>
    <col min="7937" max="7937" width="9.1796875" style="193" bestFit="1" customWidth="1"/>
    <col min="7938" max="7938" width="5.453125" style="193" bestFit="1" customWidth="1"/>
    <col min="7939" max="7939" width="6" style="193" bestFit="1" customWidth="1"/>
    <col min="7940" max="7940" width="6.36328125" style="193" bestFit="1" customWidth="1"/>
    <col min="7941" max="7943" width="0" style="193" hidden="1" customWidth="1"/>
    <col min="7944" max="7944" width="5.453125" style="193" bestFit="1" customWidth="1"/>
    <col min="7945" max="7945" width="6.36328125" style="193" bestFit="1" customWidth="1"/>
    <col min="7946" max="7946" width="6.08984375" style="193" customWidth="1"/>
    <col min="7947" max="7949" width="0" style="193" hidden="1" customWidth="1"/>
    <col min="7950" max="7951" width="6.26953125" style="193" customWidth="1"/>
    <col min="7952" max="7952" width="6.36328125" style="193" bestFit="1" customWidth="1"/>
    <col min="7953" max="7953" width="3.54296875" style="193" bestFit="1" customWidth="1"/>
    <col min="7954" max="7954" width="4" style="193" bestFit="1" customWidth="1"/>
    <col min="7955" max="7955" width="5.1796875" style="193" customWidth="1"/>
    <col min="7956" max="7956" width="5.7265625" style="193" customWidth="1"/>
    <col min="7957" max="7957" width="6" style="193" bestFit="1" customWidth="1"/>
    <col min="7958" max="7958" width="7" style="193" bestFit="1" customWidth="1"/>
    <col min="7959" max="7959" width="8.1796875" style="193" bestFit="1" customWidth="1"/>
    <col min="7960" max="7960" width="4.54296875" style="193" customWidth="1"/>
    <col min="7961" max="7961" width="0" style="193" hidden="1" customWidth="1"/>
    <col min="7962" max="7962" width="4.54296875" style="193" bestFit="1" customWidth="1"/>
    <col min="7963" max="7963" width="0" style="193" hidden="1" customWidth="1"/>
    <col min="7964" max="7964" width="4.54296875" style="193" bestFit="1" customWidth="1"/>
    <col min="7965" max="7965" width="4.54296875" style="193" customWidth="1"/>
    <col min="7966" max="7966" width="5.54296875" style="193" bestFit="1" customWidth="1"/>
    <col min="7967" max="7967" width="11.7265625" style="193" customWidth="1"/>
    <col min="7968" max="7968" width="4.1796875" style="193" bestFit="1" customWidth="1"/>
    <col min="7969" max="7969" width="0" style="193" hidden="1" customWidth="1"/>
    <col min="7970" max="7970" width="4.1796875" style="193" bestFit="1" customWidth="1"/>
    <col min="7971" max="7971" width="0" style="193" hidden="1" customWidth="1"/>
    <col min="7972" max="7972" width="4.54296875" style="193" bestFit="1" customWidth="1"/>
    <col min="7973" max="7973" width="4.54296875" style="193" customWidth="1"/>
    <col min="7974" max="7974" width="4.54296875" style="193" bestFit="1" customWidth="1"/>
    <col min="7975" max="7975" width="5.81640625" style="193" bestFit="1" customWidth="1"/>
    <col min="7976" max="7976" width="4.54296875" style="193" bestFit="1" customWidth="1"/>
    <col min="7977" max="7977" width="6.26953125" style="193" bestFit="1" customWidth="1"/>
    <col min="7978" max="7978" width="4.54296875" style="193" bestFit="1" customWidth="1"/>
    <col min="7979" max="7980" width="11.453125" style="193" bestFit="1" customWidth="1"/>
    <col min="7981" max="7981" width="69.7265625" style="193" customWidth="1"/>
    <col min="7982" max="8192" width="8.26953125" style="193"/>
    <col min="8193" max="8193" width="9.1796875" style="193" bestFit="1" customWidth="1"/>
    <col min="8194" max="8194" width="5.453125" style="193" bestFit="1" customWidth="1"/>
    <col min="8195" max="8195" width="6" style="193" bestFit="1" customWidth="1"/>
    <col min="8196" max="8196" width="6.36328125" style="193" bestFit="1" customWidth="1"/>
    <col min="8197" max="8199" width="0" style="193" hidden="1" customWidth="1"/>
    <col min="8200" max="8200" width="5.453125" style="193" bestFit="1" customWidth="1"/>
    <col min="8201" max="8201" width="6.36328125" style="193" bestFit="1" customWidth="1"/>
    <col min="8202" max="8202" width="6.08984375" style="193" customWidth="1"/>
    <col min="8203" max="8205" width="0" style="193" hidden="1" customWidth="1"/>
    <col min="8206" max="8207" width="6.26953125" style="193" customWidth="1"/>
    <col min="8208" max="8208" width="6.36328125" style="193" bestFit="1" customWidth="1"/>
    <col min="8209" max="8209" width="3.54296875" style="193" bestFit="1" customWidth="1"/>
    <col min="8210" max="8210" width="4" style="193" bestFit="1" customWidth="1"/>
    <col min="8211" max="8211" width="5.1796875" style="193" customWidth="1"/>
    <col min="8212" max="8212" width="5.7265625" style="193" customWidth="1"/>
    <col min="8213" max="8213" width="6" style="193" bestFit="1" customWidth="1"/>
    <col min="8214" max="8214" width="7" style="193" bestFit="1" customWidth="1"/>
    <col min="8215" max="8215" width="8.1796875" style="193" bestFit="1" customWidth="1"/>
    <col min="8216" max="8216" width="4.54296875" style="193" customWidth="1"/>
    <col min="8217" max="8217" width="0" style="193" hidden="1" customWidth="1"/>
    <col min="8218" max="8218" width="4.54296875" style="193" bestFit="1" customWidth="1"/>
    <col min="8219" max="8219" width="0" style="193" hidden="1" customWidth="1"/>
    <col min="8220" max="8220" width="4.54296875" style="193" bestFit="1" customWidth="1"/>
    <col min="8221" max="8221" width="4.54296875" style="193" customWidth="1"/>
    <col min="8222" max="8222" width="5.54296875" style="193" bestFit="1" customWidth="1"/>
    <col min="8223" max="8223" width="11.7265625" style="193" customWidth="1"/>
    <col min="8224" max="8224" width="4.1796875" style="193" bestFit="1" customWidth="1"/>
    <col min="8225" max="8225" width="0" style="193" hidden="1" customWidth="1"/>
    <col min="8226" max="8226" width="4.1796875" style="193" bestFit="1" customWidth="1"/>
    <col min="8227" max="8227" width="0" style="193" hidden="1" customWidth="1"/>
    <col min="8228" max="8228" width="4.54296875" style="193" bestFit="1" customWidth="1"/>
    <col min="8229" max="8229" width="4.54296875" style="193" customWidth="1"/>
    <col min="8230" max="8230" width="4.54296875" style="193" bestFit="1" customWidth="1"/>
    <col min="8231" max="8231" width="5.81640625" style="193" bestFit="1" customWidth="1"/>
    <col min="8232" max="8232" width="4.54296875" style="193" bestFit="1" customWidth="1"/>
    <col min="8233" max="8233" width="6.26953125" style="193" bestFit="1" customWidth="1"/>
    <col min="8234" max="8234" width="4.54296875" style="193" bestFit="1" customWidth="1"/>
    <col min="8235" max="8236" width="11.453125" style="193" bestFit="1" customWidth="1"/>
    <col min="8237" max="8237" width="69.7265625" style="193" customWidth="1"/>
    <col min="8238" max="8448" width="8.26953125" style="193"/>
    <col min="8449" max="8449" width="9.1796875" style="193" bestFit="1" customWidth="1"/>
    <col min="8450" max="8450" width="5.453125" style="193" bestFit="1" customWidth="1"/>
    <col min="8451" max="8451" width="6" style="193" bestFit="1" customWidth="1"/>
    <col min="8452" max="8452" width="6.36328125" style="193" bestFit="1" customWidth="1"/>
    <col min="8453" max="8455" width="0" style="193" hidden="1" customWidth="1"/>
    <col min="8456" max="8456" width="5.453125" style="193" bestFit="1" customWidth="1"/>
    <col min="8457" max="8457" width="6.36328125" style="193" bestFit="1" customWidth="1"/>
    <col min="8458" max="8458" width="6.08984375" style="193" customWidth="1"/>
    <col min="8459" max="8461" width="0" style="193" hidden="1" customWidth="1"/>
    <col min="8462" max="8463" width="6.26953125" style="193" customWidth="1"/>
    <col min="8464" max="8464" width="6.36328125" style="193" bestFit="1" customWidth="1"/>
    <col min="8465" max="8465" width="3.54296875" style="193" bestFit="1" customWidth="1"/>
    <col min="8466" max="8466" width="4" style="193" bestFit="1" customWidth="1"/>
    <col min="8467" max="8467" width="5.1796875" style="193" customWidth="1"/>
    <col min="8468" max="8468" width="5.7265625" style="193" customWidth="1"/>
    <col min="8469" max="8469" width="6" style="193" bestFit="1" customWidth="1"/>
    <col min="8470" max="8470" width="7" style="193" bestFit="1" customWidth="1"/>
    <col min="8471" max="8471" width="8.1796875" style="193" bestFit="1" customWidth="1"/>
    <col min="8472" max="8472" width="4.54296875" style="193" customWidth="1"/>
    <col min="8473" max="8473" width="0" style="193" hidden="1" customWidth="1"/>
    <col min="8474" max="8474" width="4.54296875" style="193" bestFit="1" customWidth="1"/>
    <col min="8475" max="8475" width="0" style="193" hidden="1" customWidth="1"/>
    <col min="8476" max="8476" width="4.54296875" style="193" bestFit="1" customWidth="1"/>
    <col min="8477" max="8477" width="4.54296875" style="193" customWidth="1"/>
    <col min="8478" max="8478" width="5.54296875" style="193" bestFit="1" customWidth="1"/>
    <col min="8479" max="8479" width="11.7265625" style="193" customWidth="1"/>
    <col min="8480" max="8480" width="4.1796875" style="193" bestFit="1" customWidth="1"/>
    <col min="8481" max="8481" width="0" style="193" hidden="1" customWidth="1"/>
    <col min="8482" max="8482" width="4.1796875" style="193" bestFit="1" customWidth="1"/>
    <col min="8483" max="8483" width="0" style="193" hidden="1" customWidth="1"/>
    <col min="8484" max="8484" width="4.54296875" style="193" bestFit="1" customWidth="1"/>
    <col min="8485" max="8485" width="4.54296875" style="193" customWidth="1"/>
    <col min="8486" max="8486" width="4.54296875" style="193" bestFit="1" customWidth="1"/>
    <col min="8487" max="8487" width="5.81640625" style="193" bestFit="1" customWidth="1"/>
    <col min="8488" max="8488" width="4.54296875" style="193" bestFit="1" customWidth="1"/>
    <col min="8489" max="8489" width="6.26953125" style="193" bestFit="1" customWidth="1"/>
    <col min="8490" max="8490" width="4.54296875" style="193" bestFit="1" customWidth="1"/>
    <col min="8491" max="8492" width="11.453125" style="193" bestFit="1" customWidth="1"/>
    <col min="8493" max="8493" width="69.7265625" style="193" customWidth="1"/>
    <col min="8494" max="8704" width="8.26953125" style="193"/>
    <col min="8705" max="8705" width="9.1796875" style="193" bestFit="1" customWidth="1"/>
    <col min="8706" max="8706" width="5.453125" style="193" bestFit="1" customWidth="1"/>
    <col min="8707" max="8707" width="6" style="193" bestFit="1" customWidth="1"/>
    <col min="8708" max="8708" width="6.36328125" style="193" bestFit="1" customWidth="1"/>
    <col min="8709" max="8711" width="0" style="193" hidden="1" customWidth="1"/>
    <col min="8712" max="8712" width="5.453125" style="193" bestFit="1" customWidth="1"/>
    <col min="8713" max="8713" width="6.36328125" style="193" bestFit="1" customWidth="1"/>
    <col min="8714" max="8714" width="6.08984375" style="193" customWidth="1"/>
    <col min="8715" max="8717" width="0" style="193" hidden="1" customWidth="1"/>
    <col min="8718" max="8719" width="6.26953125" style="193" customWidth="1"/>
    <col min="8720" max="8720" width="6.36328125" style="193" bestFit="1" customWidth="1"/>
    <col min="8721" max="8721" width="3.54296875" style="193" bestFit="1" customWidth="1"/>
    <col min="8722" max="8722" width="4" style="193" bestFit="1" customWidth="1"/>
    <col min="8723" max="8723" width="5.1796875" style="193" customWidth="1"/>
    <col min="8724" max="8724" width="5.7265625" style="193" customWidth="1"/>
    <col min="8725" max="8725" width="6" style="193" bestFit="1" customWidth="1"/>
    <col min="8726" max="8726" width="7" style="193" bestFit="1" customWidth="1"/>
    <col min="8727" max="8727" width="8.1796875" style="193" bestFit="1" customWidth="1"/>
    <col min="8728" max="8728" width="4.54296875" style="193" customWidth="1"/>
    <col min="8729" max="8729" width="0" style="193" hidden="1" customWidth="1"/>
    <col min="8730" max="8730" width="4.54296875" style="193" bestFit="1" customWidth="1"/>
    <col min="8731" max="8731" width="0" style="193" hidden="1" customWidth="1"/>
    <col min="8732" max="8732" width="4.54296875" style="193" bestFit="1" customWidth="1"/>
    <col min="8733" max="8733" width="4.54296875" style="193" customWidth="1"/>
    <col min="8734" max="8734" width="5.54296875" style="193" bestFit="1" customWidth="1"/>
    <col min="8735" max="8735" width="11.7265625" style="193" customWidth="1"/>
    <col min="8736" max="8736" width="4.1796875" style="193" bestFit="1" customWidth="1"/>
    <col min="8737" max="8737" width="0" style="193" hidden="1" customWidth="1"/>
    <col min="8738" max="8738" width="4.1796875" style="193" bestFit="1" customWidth="1"/>
    <col min="8739" max="8739" width="0" style="193" hidden="1" customWidth="1"/>
    <col min="8740" max="8740" width="4.54296875" style="193" bestFit="1" customWidth="1"/>
    <col min="8741" max="8741" width="4.54296875" style="193" customWidth="1"/>
    <col min="8742" max="8742" width="4.54296875" style="193" bestFit="1" customWidth="1"/>
    <col min="8743" max="8743" width="5.81640625" style="193" bestFit="1" customWidth="1"/>
    <col min="8744" max="8744" width="4.54296875" style="193" bestFit="1" customWidth="1"/>
    <col min="8745" max="8745" width="6.26953125" style="193" bestFit="1" customWidth="1"/>
    <col min="8746" max="8746" width="4.54296875" style="193" bestFit="1" customWidth="1"/>
    <col min="8747" max="8748" width="11.453125" style="193" bestFit="1" customWidth="1"/>
    <col min="8749" max="8749" width="69.7265625" style="193" customWidth="1"/>
    <col min="8750" max="8960" width="8.26953125" style="193"/>
    <col min="8961" max="8961" width="9.1796875" style="193" bestFit="1" customWidth="1"/>
    <col min="8962" max="8962" width="5.453125" style="193" bestFit="1" customWidth="1"/>
    <col min="8963" max="8963" width="6" style="193" bestFit="1" customWidth="1"/>
    <col min="8964" max="8964" width="6.36328125" style="193" bestFit="1" customWidth="1"/>
    <col min="8965" max="8967" width="0" style="193" hidden="1" customWidth="1"/>
    <col min="8968" max="8968" width="5.453125" style="193" bestFit="1" customWidth="1"/>
    <col min="8969" max="8969" width="6.36328125" style="193" bestFit="1" customWidth="1"/>
    <col min="8970" max="8970" width="6.08984375" style="193" customWidth="1"/>
    <col min="8971" max="8973" width="0" style="193" hidden="1" customWidth="1"/>
    <col min="8974" max="8975" width="6.26953125" style="193" customWidth="1"/>
    <col min="8976" max="8976" width="6.36328125" style="193" bestFit="1" customWidth="1"/>
    <col min="8977" max="8977" width="3.54296875" style="193" bestFit="1" customWidth="1"/>
    <col min="8978" max="8978" width="4" style="193" bestFit="1" customWidth="1"/>
    <col min="8979" max="8979" width="5.1796875" style="193" customWidth="1"/>
    <col min="8980" max="8980" width="5.7265625" style="193" customWidth="1"/>
    <col min="8981" max="8981" width="6" style="193" bestFit="1" customWidth="1"/>
    <col min="8982" max="8982" width="7" style="193" bestFit="1" customWidth="1"/>
    <col min="8983" max="8983" width="8.1796875" style="193" bestFit="1" customWidth="1"/>
    <col min="8984" max="8984" width="4.54296875" style="193" customWidth="1"/>
    <col min="8985" max="8985" width="0" style="193" hidden="1" customWidth="1"/>
    <col min="8986" max="8986" width="4.54296875" style="193" bestFit="1" customWidth="1"/>
    <col min="8987" max="8987" width="0" style="193" hidden="1" customWidth="1"/>
    <col min="8988" max="8988" width="4.54296875" style="193" bestFit="1" customWidth="1"/>
    <col min="8989" max="8989" width="4.54296875" style="193" customWidth="1"/>
    <col min="8990" max="8990" width="5.54296875" style="193" bestFit="1" customWidth="1"/>
    <col min="8991" max="8991" width="11.7265625" style="193" customWidth="1"/>
    <col min="8992" max="8992" width="4.1796875" style="193" bestFit="1" customWidth="1"/>
    <col min="8993" max="8993" width="0" style="193" hidden="1" customWidth="1"/>
    <col min="8994" max="8994" width="4.1796875" style="193" bestFit="1" customWidth="1"/>
    <col min="8995" max="8995" width="0" style="193" hidden="1" customWidth="1"/>
    <col min="8996" max="8996" width="4.54296875" style="193" bestFit="1" customWidth="1"/>
    <col min="8997" max="8997" width="4.54296875" style="193" customWidth="1"/>
    <col min="8998" max="8998" width="4.54296875" style="193" bestFit="1" customWidth="1"/>
    <col min="8999" max="8999" width="5.81640625" style="193" bestFit="1" customWidth="1"/>
    <col min="9000" max="9000" width="4.54296875" style="193" bestFit="1" customWidth="1"/>
    <col min="9001" max="9001" width="6.26953125" style="193" bestFit="1" customWidth="1"/>
    <col min="9002" max="9002" width="4.54296875" style="193" bestFit="1" customWidth="1"/>
    <col min="9003" max="9004" width="11.453125" style="193" bestFit="1" customWidth="1"/>
    <col min="9005" max="9005" width="69.7265625" style="193" customWidth="1"/>
    <col min="9006" max="9216" width="8.26953125" style="193"/>
    <col min="9217" max="9217" width="9.1796875" style="193" bestFit="1" customWidth="1"/>
    <col min="9218" max="9218" width="5.453125" style="193" bestFit="1" customWidth="1"/>
    <col min="9219" max="9219" width="6" style="193" bestFit="1" customWidth="1"/>
    <col min="9220" max="9220" width="6.36328125" style="193" bestFit="1" customWidth="1"/>
    <col min="9221" max="9223" width="0" style="193" hidden="1" customWidth="1"/>
    <col min="9224" max="9224" width="5.453125" style="193" bestFit="1" customWidth="1"/>
    <col min="9225" max="9225" width="6.36328125" style="193" bestFit="1" customWidth="1"/>
    <col min="9226" max="9226" width="6.08984375" style="193" customWidth="1"/>
    <col min="9227" max="9229" width="0" style="193" hidden="1" customWidth="1"/>
    <col min="9230" max="9231" width="6.26953125" style="193" customWidth="1"/>
    <col min="9232" max="9232" width="6.36328125" style="193" bestFit="1" customWidth="1"/>
    <col min="9233" max="9233" width="3.54296875" style="193" bestFit="1" customWidth="1"/>
    <col min="9234" max="9234" width="4" style="193" bestFit="1" customWidth="1"/>
    <col min="9235" max="9235" width="5.1796875" style="193" customWidth="1"/>
    <col min="9236" max="9236" width="5.7265625" style="193" customWidth="1"/>
    <col min="9237" max="9237" width="6" style="193" bestFit="1" customWidth="1"/>
    <col min="9238" max="9238" width="7" style="193" bestFit="1" customWidth="1"/>
    <col min="9239" max="9239" width="8.1796875" style="193" bestFit="1" customWidth="1"/>
    <col min="9240" max="9240" width="4.54296875" style="193" customWidth="1"/>
    <col min="9241" max="9241" width="0" style="193" hidden="1" customWidth="1"/>
    <col min="9242" max="9242" width="4.54296875" style="193" bestFit="1" customWidth="1"/>
    <col min="9243" max="9243" width="0" style="193" hidden="1" customWidth="1"/>
    <col min="9244" max="9244" width="4.54296875" style="193" bestFit="1" customWidth="1"/>
    <col min="9245" max="9245" width="4.54296875" style="193" customWidth="1"/>
    <col min="9246" max="9246" width="5.54296875" style="193" bestFit="1" customWidth="1"/>
    <col min="9247" max="9247" width="11.7265625" style="193" customWidth="1"/>
    <col min="9248" max="9248" width="4.1796875" style="193" bestFit="1" customWidth="1"/>
    <col min="9249" max="9249" width="0" style="193" hidden="1" customWidth="1"/>
    <col min="9250" max="9250" width="4.1796875" style="193" bestFit="1" customWidth="1"/>
    <col min="9251" max="9251" width="0" style="193" hidden="1" customWidth="1"/>
    <col min="9252" max="9252" width="4.54296875" style="193" bestFit="1" customWidth="1"/>
    <col min="9253" max="9253" width="4.54296875" style="193" customWidth="1"/>
    <col min="9254" max="9254" width="4.54296875" style="193" bestFit="1" customWidth="1"/>
    <col min="9255" max="9255" width="5.81640625" style="193" bestFit="1" customWidth="1"/>
    <col min="9256" max="9256" width="4.54296875" style="193" bestFit="1" customWidth="1"/>
    <col min="9257" max="9257" width="6.26953125" style="193" bestFit="1" customWidth="1"/>
    <col min="9258" max="9258" width="4.54296875" style="193" bestFit="1" customWidth="1"/>
    <col min="9259" max="9260" width="11.453125" style="193" bestFit="1" customWidth="1"/>
    <col min="9261" max="9261" width="69.7265625" style="193" customWidth="1"/>
    <col min="9262" max="9472" width="8.26953125" style="193"/>
    <col min="9473" max="9473" width="9.1796875" style="193" bestFit="1" customWidth="1"/>
    <col min="9474" max="9474" width="5.453125" style="193" bestFit="1" customWidth="1"/>
    <col min="9475" max="9475" width="6" style="193" bestFit="1" customWidth="1"/>
    <col min="9476" max="9476" width="6.36328125" style="193" bestFit="1" customWidth="1"/>
    <col min="9477" max="9479" width="0" style="193" hidden="1" customWidth="1"/>
    <col min="9480" max="9480" width="5.453125" style="193" bestFit="1" customWidth="1"/>
    <col min="9481" max="9481" width="6.36328125" style="193" bestFit="1" customWidth="1"/>
    <col min="9482" max="9482" width="6.08984375" style="193" customWidth="1"/>
    <col min="9483" max="9485" width="0" style="193" hidden="1" customWidth="1"/>
    <col min="9486" max="9487" width="6.26953125" style="193" customWidth="1"/>
    <col min="9488" max="9488" width="6.36328125" style="193" bestFit="1" customWidth="1"/>
    <col min="9489" max="9489" width="3.54296875" style="193" bestFit="1" customWidth="1"/>
    <col min="9490" max="9490" width="4" style="193" bestFit="1" customWidth="1"/>
    <col min="9491" max="9491" width="5.1796875" style="193" customWidth="1"/>
    <col min="9492" max="9492" width="5.7265625" style="193" customWidth="1"/>
    <col min="9493" max="9493" width="6" style="193" bestFit="1" customWidth="1"/>
    <col min="9494" max="9494" width="7" style="193" bestFit="1" customWidth="1"/>
    <col min="9495" max="9495" width="8.1796875" style="193" bestFit="1" customWidth="1"/>
    <col min="9496" max="9496" width="4.54296875" style="193" customWidth="1"/>
    <col min="9497" max="9497" width="0" style="193" hidden="1" customWidth="1"/>
    <col min="9498" max="9498" width="4.54296875" style="193" bestFit="1" customWidth="1"/>
    <col min="9499" max="9499" width="0" style="193" hidden="1" customWidth="1"/>
    <col min="9500" max="9500" width="4.54296875" style="193" bestFit="1" customWidth="1"/>
    <col min="9501" max="9501" width="4.54296875" style="193" customWidth="1"/>
    <col min="9502" max="9502" width="5.54296875" style="193" bestFit="1" customWidth="1"/>
    <col min="9503" max="9503" width="11.7265625" style="193" customWidth="1"/>
    <col min="9504" max="9504" width="4.1796875" style="193" bestFit="1" customWidth="1"/>
    <col min="9505" max="9505" width="0" style="193" hidden="1" customWidth="1"/>
    <col min="9506" max="9506" width="4.1796875" style="193" bestFit="1" customWidth="1"/>
    <col min="9507" max="9507" width="0" style="193" hidden="1" customWidth="1"/>
    <col min="9508" max="9508" width="4.54296875" style="193" bestFit="1" customWidth="1"/>
    <col min="9509" max="9509" width="4.54296875" style="193" customWidth="1"/>
    <col min="9510" max="9510" width="4.54296875" style="193" bestFit="1" customWidth="1"/>
    <col min="9511" max="9511" width="5.81640625" style="193" bestFit="1" customWidth="1"/>
    <col min="9512" max="9512" width="4.54296875" style="193" bestFit="1" customWidth="1"/>
    <col min="9513" max="9513" width="6.26953125" style="193" bestFit="1" customWidth="1"/>
    <col min="9514" max="9514" width="4.54296875" style="193" bestFit="1" customWidth="1"/>
    <col min="9515" max="9516" width="11.453125" style="193" bestFit="1" customWidth="1"/>
    <col min="9517" max="9517" width="69.7265625" style="193" customWidth="1"/>
    <col min="9518" max="9728" width="8.26953125" style="193"/>
    <col min="9729" max="9729" width="9.1796875" style="193" bestFit="1" customWidth="1"/>
    <col min="9730" max="9730" width="5.453125" style="193" bestFit="1" customWidth="1"/>
    <col min="9731" max="9731" width="6" style="193" bestFit="1" customWidth="1"/>
    <col min="9732" max="9732" width="6.36328125" style="193" bestFit="1" customWidth="1"/>
    <col min="9733" max="9735" width="0" style="193" hidden="1" customWidth="1"/>
    <col min="9736" max="9736" width="5.453125" style="193" bestFit="1" customWidth="1"/>
    <col min="9737" max="9737" width="6.36328125" style="193" bestFit="1" customWidth="1"/>
    <col min="9738" max="9738" width="6.08984375" style="193" customWidth="1"/>
    <col min="9739" max="9741" width="0" style="193" hidden="1" customWidth="1"/>
    <col min="9742" max="9743" width="6.26953125" style="193" customWidth="1"/>
    <col min="9744" max="9744" width="6.36328125" style="193" bestFit="1" customWidth="1"/>
    <col min="9745" max="9745" width="3.54296875" style="193" bestFit="1" customWidth="1"/>
    <col min="9746" max="9746" width="4" style="193" bestFit="1" customWidth="1"/>
    <col min="9747" max="9747" width="5.1796875" style="193" customWidth="1"/>
    <col min="9748" max="9748" width="5.7265625" style="193" customWidth="1"/>
    <col min="9749" max="9749" width="6" style="193" bestFit="1" customWidth="1"/>
    <col min="9750" max="9750" width="7" style="193" bestFit="1" customWidth="1"/>
    <col min="9751" max="9751" width="8.1796875" style="193" bestFit="1" customWidth="1"/>
    <col min="9752" max="9752" width="4.54296875" style="193" customWidth="1"/>
    <col min="9753" max="9753" width="0" style="193" hidden="1" customWidth="1"/>
    <col min="9754" max="9754" width="4.54296875" style="193" bestFit="1" customWidth="1"/>
    <col min="9755" max="9755" width="0" style="193" hidden="1" customWidth="1"/>
    <col min="9756" max="9756" width="4.54296875" style="193" bestFit="1" customWidth="1"/>
    <col min="9757" max="9757" width="4.54296875" style="193" customWidth="1"/>
    <col min="9758" max="9758" width="5.54296875" style="193" bestFit="1" customWidth="1"/>
    <col min="9759" max="9759" width="11.7265625" style="193" customWidth="1"/>
    <col min="9760" max="9760" width="4.1796875" style="193" bestFit="1" customWidth="1"/>
    <col min="9761" max="9761" width="0" style="193" hidden="1" customWidth="1"/>
    <col min="9762" max="9762" width="4.1796875" style="193" bestFit="1" customWidth="1"/>
    <col min="9763" max="9763" width="0" style="193" hidden="1" customWidth="1"/>
    <col min="9764" max="9764" width="4.54296875" style="193" bestFit="1" customWidth="1"/>
    <col min="9765" max="9765" width="4.54296875" style="193" customWidth="1"/>
    <col min="9766" max="9766" width="4.54296875" style="193" bestFit="1" customWidth="1"/>
    <col min="9767" max="9767" width="5.81640625" style="193" bestFit="1" customWidth="1"/>
    <col min="9768" max="9768" width="4.54296875" style="193" bestFit="1" customWidth="1"/>
    <col min="9769" max="9769" width="6.26953125" style="193" bestFit="1" customWidth="1"/>
    <col min="9770" max="9770" width="4.54296875" style="193" bestFit="1" customWidth="1"/>
    <col min="9771" max="9772" width="11.453125" style="193" bestFit="1" customWidth="1"/>
    <col min="9773" max="9773" width="69.7265625" style="193" customWidth="1"/>
    <col min="9774" max="9984" width="8.26953125" style="193"/>
    <col min="9985" max="9985" width="9.1796875" style="193" bestFit="1" customWidth="1"/>
    <col min="9986" max="9986" width="5.453125" style="193" bestFit="1" customWidth="1"/>
    <col min="9987" max="9987" width="6" style="193" bestFit="1" customWidth="1"/>
    <col min="9988" max="9988" width="6.36328125" style="193" bestFit="1" customWidth="1"/>
    <col min="9989" max="9991" width="0" style="193" hidden="1" customWidth="1"/>
    <col min="9992" max="9992" width="5.453125" style="193" bestFit="1" customWidth="1"/>
    <col min="9993" max="9993" width="6.36328125" style="193" bestFit="1" customWidth="1"/>
    <col min="9994" max="9994" width="6.08984375" style="193" customWidth="1"/>
    <col min="9995" max="9997" width="0" style="193" hidden="1" customWidth="1"/>
    <col min="9998" max="9999" width="6.26953125" style="193" customWidth="1"/>
    <col min="10000" max="10000" width="6.36328125" style="193" bestFit="1" customWidth="1"/>
    <col min="10001" max="10001" width="3.54296875" style="193" bestFit="1" customWidth="1"/>
    <col min="10002" max="10002" width="4" style="193" bestFit="1" customWidth="1"/>
    <col min="10003" max="10003" width="5.1796875" style="193" customWidth="1"/>
    <col min="10004" max="10004" width="5.7265625" style="193" customWidth="1"/>
    <col min="10005" max="10005" width="6" style="193" bestFit="1" customWidth="1"/>
    <col min="10006" max="10006" width="7" style="193" bestFit="1" customWidth="1"/>
    <col min="10007" max="10007" width="8.1796875" style="193" bestFit="1" customWidth="1"/>
    <col min="10008" max="10008" width="4.54296875" style="193" customWidth="1"/>
    <col min="10009" max="10009" width="0" style="193" hidden="1" customWidth="1"/>
    <col min="10010" max="10010" width="4.54296875" style="193" bestFit="1" customWidth="1"/>
    <col min="10011" max="10011" width="0" style="193" hidden="1" customWidth="1"/>
    <col min="10012" max="10012" width="4.54296875" style="193" bestFit="1" customWidth="1"/>
    <col min="10013" max="10013" width="4.54296875" style="193" customWidth="1"/>
    <col min="10014" max="10014" width="5.54296875" style="193" bestFit="1" customWidth="1"/>
    <col min="10015" max="10015" width="11.7265625" style="193" customWidth="1"/>
    <col min="10016" max="10016" width="4.1796875" style="193" bestFit="1" customWidth="1"/>
    <col min="10017" max="10017" width="0" style="193" hidden="1" customWidth="1"/>
    <col min="10018" max="10018" width="4.1796875" style="193" bestFit="1" customWidth="1"/>
    <col min="10019" max="10019" width="0" style="193" hidden="1" customWidth="1"/>
    <col min="10020" max="10020" width="4.54296875" style="193" bestFit="1" customWidth="1"/>
    <col min="10021" max="10021" width="4.54296875" style="193" customWidth="1"/>
    <col min="10022" max="10022" width="4.54296875" style="193" bestFit="1" customWidth="1"/>
    <col min="10023" max="10023" width="5.81640625" style="193" bestFit="1" customWidth="1"/>
    <col min="10024" max="10024" width="4.54296875" style="193" bestFit="1" customWidth="1"/>
    <col min="10025" max="10025" width="6.26953125" style="193" bestFit="1" customWidth="1"/>
    <col min="10026" max="10026" width="4.54296875" style="193" bestFit="1" customWidth="1"/>
    <col min="10027" max="10028" width="11.453125" style="193" bestFit="1" customWidth="1"/>
    <col min="10029" max="10029" width="69.7265625" style="193" customWidth="1"/>
    <col min="10030" max="10240" width="8.26953125" style="193"/>
    <col min="10241" max="10241" width="9.1796875" style="193" bestFit="1" customWidth="1"/>
    <col min="10242" max="10242" width="5.453125" style="193" bestFit="1" customWidth="1"/>
    <col min="10243" max="10243" width="6" style="193" bestFit="1" customWidth="1"/>
    <col min="10244" max="10244" width="6.36328125" style="193" bestFit="1" customWidth="1"/>
    <col min="10245" max="10247" width="0" style="193" hidden="1" customWidth="1"/>
    <col min="10248" max="10248" width="5.453125" style="193" bestFit="1" customWidth="1"/>
    <col min="10249" max="10249" width="6.36328125" style="193" bestFit="1" customWidth="1"/>
    <col min="10250" max="10250" width="6.08984375" style="193" customWidth="1"/>
    <col min="10251" max="10253" width="0" style="193" hidden="1" customWidth="1"/>
    <col min="10254" max="10255" width="6.26953125" style="193" customWidth="1"/>
    <col min="10256" max="10256" width="6.36328125" style="193" bestFit="1" customWidth="1"/>
    <col min="10257" max="10257" width="3.54296875" style="193" bestFit="1" customWidth="1"/>
    <col min="10258" max="10258" width="4" style="193" bestFit="1" customWidth="1"/>
    <col min="10259" max="10259" width="5.1796875" style="193" customWidth="1"/>
    <col min="10260" max="10260" width="5.7265625" style="193" customWidth="1"/>
    <col min="10261" max="10261" width="6" style="193" bestFit="1" customWidth="1"/>
    <col min="10262" max="10262" width="7" style="193" bestFit="1" customWidth="1"/>
    <col min="10263" max="10263" width="8.1796875" style="193" bestFit="1" customWidth="1"/>
    <col min="10264" max="10264" width="4.54296875" style="193" customWidth="1"/>
    <col min="10265" max="10265" width="0" style="193" hidden="1" customWidth="1"/>
    <col min="10266" max="10266" width="4.54296875" style="193" bestFit="1" customWidth="1"/>
    <col min="10267" max="10267" width="0" style="193" hidden="1" customWidth="1"/>
    <col min="10268" max="10268" width="4.54296875" style="193" bestFit="1" customWidth="1"/>
    <col min="10269" max="10269" width="4.54296875" style="193" customWidth="1"/>
    <col min="10270" max="10270" width="5.54296875" style="193" bestFit="1" customWidth="1"/>
    <col min="10271" max="10271" width="11.7265625" style="193" customWidth="1"/>
    <col min="10272" max="10272" width="4.1796875" style="193" bestFit="1" customWidth="1"/>
    <col min="10273" max="10273" width="0" style="193" hidden="1" customWidth="1"/>
    <col min="10274" max="10274" width="4.1796875" style="193" bestFit="1" customWidth="1"/>
    <col min="10275" max="10275" width="0" style="193" hidden="1" customWidth="1"/>
    <col min="10276" max="10276" width="4.54296875" style="193" bestFit="1" customWidth="1"/>
    <col min="10277" max="10277" width="4.54296875" style="193" customWidth="1"/>
    <col min="10278" max="10278" width="4.54296875" style="193" bestFit="1" customWidth="1"/>
    <col min="10279" max="10279" width="5.81640625" style="193" bestFit="1" customWidth="1"/>
    <col min="10280" max="10280" width="4.54296875" style="193" bestFit="1" customWidth="1"/>
    <col min="10281" max="10281" width="6.26953125" style="193" bestFit="1" customWidth="1"/>
    <col min="10282" max="10282" width="4.54296875" style="193" bestFit="1" customWidth="1"/>
    <col min="10283" max="10284" width="11.453125" style="193" bestFit="1" customWidth="1"/>
    <col min="10285" max="10285" width="69.7265625" style="193" customWidth="1"/>
    <col min="10286" max="10496" width="8.26953125" style="193"/>
    <col min="10497" max="10497" width="9.1796875" style="193" bestFit="1" customWidth="1"/>
    <col min="10498" max="10498" width="5.453125" style="193" bestFit="1" customWidth="1"/>
    <col min="10499" max="10499" width="6" style="193" bestFit="1" customWidth="1"/>
    <col min="10500" max="10500" width="6.36328125" style="193" bestFit="1" customWidth="1"/>
    <col min="10501" max="10503" width="0" style="193" hidden="1" customWidth="1"/>
    <col min="10504" max="10504" width="5.453125" style="193" bestFit="1" customWidth="1"/>
    <col min="10505" max="10505" width="6.36328125" style="193" bestFit="1" customWidth="1"/>
    <col min="10506" max="10506" width="6.08984375" style="193" customWidth="1"/>
    <col min="10507" max="10509" width="0" style="193" hidden="1" customWidth="1"/>
    <col min="10510" max="10511" width="6.26953125" style="193" customWidth="1"/>
    <col min="10512" max="10512" width="6.36328125" style="193" bestFit="1" customWidth="1"/>
    <col min="10513" max="10513" width="3.54296875" style="193" bestFit="1" customWidth="1"/>
    <col min="10514" max="10514" width="4" style="193" bestFit="1" customWidth="1"/>
    <col min="10515" max="10515" width="5.1796875" style="193" customWidth="1"/>
    <col min="10516" max="10516" width="5.7265625" style="193" customWidth="1"/>
    <col min="10517" max="10517" width="6" style="193" bestFit="1" customWidth="1"/>
    <col min="10518" max="10518" width="7" style="193" bestFit="1" customWidth="1"/>
    <col min="10519" max="10519" width="8.1796875" style="193" bestFit="1" customWidth="1"/>
    <col min="10520" max="10520" width="4.54296875" style="193" customWidth="1"/>
    <col min="10521" max="10521" width="0" style="193" hidden="1" customWidth="1"/>
    <col min="10522" max="10522" width="4.54296875" style="193" bestFit="1" customWidth="1"/>
    <col min="10523" max="10523" width="0" style="193" hidden="1" customWidth="1"/>
    <col min="10524" max="10524" width="4.54296875" style="193" bestFit="1" customWidth="1"/>
    <col min="10525" max="10525" width="4.54296875" style="193" customWidth="1"/>
    <col min="10526" max="10526" width="5.54296875" style="193" bestFit="1" customWidth="1"/>
    <col min="10527" max="10527" width="11.7265625" style="193" customWidth="1"/>
    <col min="10528" max="10528" width="4.1796875" style="193" bestFit="1" customWidth="1"/>
    <col min="10529" max="10529" width="0" style="193" hidden="1" customWidth="1"/>
    <col min="10530" max="10530" width="4.1796875" style="193" bestFit="1" customWidth="1"/>
    <col min="10531" max="10531" width="0" style="193" hidden="1" customWidth="1"/>
    <col min="10532" max="10532" width="4.54296875" style="193" bestFit="1" customWidth="1"/>
    <col min="10533" max="10533" width="4.54296875" style="193" customWidth="1"/>
    <col min="10534" max="10534" width="4.54296875" style="193" bestFit="1" customWidth="1"/>
    <col min="10535" max="10535" width="5.81640625" style="193" bestFit="1" customWidth="1"/>
    <col min="10536" max="10536" width="4.54296875" style="193" bestFit="1" customWidth="1"/>
    <col min="10537" max="10537" width="6.26953125" style="193" bestFit="1" customWidth="1"/>
    <col min="10538" max="10538" width="4.54296875" style="193" bestFit="1" customWidth="1"/>
    <col min="10539" max="10540" width="11.453125" style="193" bestFit="1" customWidth="1"/>
    <col min="10541" max="10541" width="69.7265625" style="193" customWidth="1"/>
    <col min="10542" max="10752" width="8.26953125" style="193"/>
    <col min="10753" max="10753" width="9.1796875" style="193" bestFit="1" customWidth="1"/>
    <col min="10754" max="10754" width="5.453125" style="193" bestFit="1" customWidth="1"/>
    <col min="10755" max="10755" width="6" style="193" bestFit="1" customWidth="1"/>
    <col min="10756" max="10756" width="6.36328125" style="193" bestFit="1" customWidth="1"/>
    <col min="10757" max="10759" width="0" style="193" hidden="1" customWidth="1"/>
    <col min="10760" max="10760" width="5.453125" style="193" bestFit="1" customWidth="1"/>
    <col min="10761" max="10761" width="6.36328125" style="193" bestFit="1" customWidth="1"/>
    <col min="10762" max="10762" width="6.08984375" style="193" customWidth="1"/>
    <col min="10763" max="10765" width="0" style="193" hidden="1" customWidth="1"/>
    <col min="10766" max="10767" width="6.26953125" style="193" customWidth="1"/>
    <col min="10768" max="10768" width="6.36328125" style="193" bestFit="1" customWidth="1"/>
    <col min="10769" max="10769" width="3.54296875" style="193" bestFit="1" customWidth="1"/>
    <col min="10770" max="10770" width="4" style="193" bestFit="1" customWidth="1"/>
    <col min="10771" max="10771" width="5.1796875" style="193" customWidth="1"/>
    <col min="10772" max="10772" width="5.7265625" style="193" customWidth="1"/>
    <col min="10773" max="10773" width="6" style="193" bestFit="1" customWidth="1"/>
    <col min="10774" max="10774" width="7" style="193" bestFit="1" customWidth="1"/>
    <col min="10775" max="10775" width="8.1796875" style="193" bestFit="1" customWidth="1"/>
    <col min="10776" max="10776" width="4.54296875" style="193" customWidth="1"/>
    <col min="10777" max="10777" width="0" style="193" hidden="1" customWidth="1"/>
    <col min="10778" max="10778" width="4.54296875" style="193" bestFit="1" customWidth="1"/>
    <col min="10779" max="10779" width="0" style="193" hidden="1" customWidth="1"/>
    <col min="10780" max="10780" width="4.54296875" style="193" bestFit="1" customWidth="1"/>
    <col min="10781" max="10781" width="4.54296875" style="193" customWidth="1"/>
    <col min="10782" max="10782" width="5.54296875" style="193" bestFit="1" customWidth="1"/>
    <col min="10783" max="10783" width="11.7265625" style="193" customWidth="1"/>
    <col min="10784" max="10784" width="4.1796875" style="193" bestFit="1" customWidth="1"/>
    <col min="10785" max="10785" width="0" style="193" hidden="1" customWidth="1"/>
    <col min="10786" max="10786" width="4.1796875" style="193" bestFit="1" customWidth="1"/>
    <col min="10787" max="10787" width="0" style="193" hidden="1" customWidth="1"/>
    <col min="10788" max="10788" width="4.54296875" style="193" bestFit="1" customWidth="1"/>
    <col min="10789" max="10789" width="4.54296875" style="193" customWidth="1"/>
    <col min="10790" max="10790" width="4.54296875" style="193" bestFit="1" customWidth="1"/>
    <col min="10791" max="10791" width="5.81640625" style="193" bestFit="1" customWidth="1"/>
    <col min="10792" max="10792" width="4.54296875" style="193" bestFit="1" customWidth="1"/>
    <col min="10793" max="10793" width="6.26953125" style="193" bestFit="1" customWidth="1"/>
    <col min="10794" max="10794" width="4.54296875" style="193" bestFit="1" customWidth="1"/>
    <col min="10795" max="10796" width="11.453125" style="193" bestFit="1" customWidth="1"/>
    <col min="10797" max="10797" width="69.7265625" style="193" customWidth="1"/>
    <col min="10798" max="11008" width="8.26953125" style="193"/>
    <col min="11009" max="11009" width="9.1796875" style="193" bestFit="1" customWidth="1"/>
    <col min="11010" max="11010" width="5.453125" style="193" bestFit="1" customWidth="1"/>
    <col min="11011" max="11011" width="6" style="193" bestFit="1" customWidth="1"/>
    <col min="11012" max="11012" width="6.36328125" style="193" bestFit="1" customWidth="1"/>
    <col min="11013" max="11015" width="0" style="193" hidden="1" customWidth="1"/>
    <col min="11016" max="11016" width="5.453125" style="193" bestFit="1" customWidth="1"/>
    <col min="11017" max="11017" width="6.36328125" style="193" bestFit="1" customWidth="1"/>
    <col min="11018" max="11018" width="6.08984375" style="193" customWidth="1"/>
    <col min="11019" max="11021" width="0" style="193" hidden="1" customWidth="1"/>
    <col min="11022" max="11023" width="6.26953125" style="193" customWidth="1"/>
    <col min="11024" max="11024" width="6.36328125" style="193" bestFit="1" customWidth="1"/>
    <col min="11025" max="11025" width="3.54296875" style="193" bestFit="1" customWidth="1"/>
    <col min="11026" max="11026" width="4" style="193" bestFit="1" customWidth="1"/>
    <col min="11027" max="11027" width="5.1796875" style="193" customWidth="1"/>
    <col min="11028" max="11028" width="5.7265625" style="193" customWidth="1"/>
    <col min="11029" max="11029" width="6" style="193" bestFit="1" customWidth="1"/>
    <col min="11030" max="11030" width="7" style="193" bestFit="1" customWidth="1"/>
    <col min="11031" max="11031" width="8.1796875" style="193" bestFit="1" customWidth="1"/>
    <col min="11032" max="11032" width="4.54296875" style="193" customWidth="1"/>
    <col min="11033" max="11033" width="0" style="193" hidden="1" customWidth="1"/>
    <col min="11034" max="11034" width="4.54296875" style="193" bestFit="1" customWidth="1"/>
    <col min="11035" max="11035" width="0" style="193" hidden="1" customWidth="1"/>
    <col min="11036" max="11036" width="4.54296875" style="193" bestFit="1" customWidth="1"/>
    <col min="11037" max="11037" width="4.54296875" style="193" customWidth="1"/>
    <col min="11038" max="11038" width="5.54296875" style="193" bestFit="1" customWidth="1"/>
    <col min="11039" max="11039" width="11.7265625" style="193" customWidth="1"/>
    <col min="11040" max="11040" width="4.1796875" style="193" bestFit="1" customWidth="1"/>
    <col min="11041" max="11041" width="0" style="193" hidden="1" customWidth="1"/>
    <col min="11042" max="11042" width="4.1796875" style="193" bestFit="1" customWidth="1"/>
    <col min="11043" max="11043" width="0" style="193" hidden="1" customWidth="1"/>
    <col min="11044" max="11044" width="4.54296875" style="193" bestFit="1" customWidth="1"/>
    <col min="11045" max="11045" width="4.54296875" style="193" customWidth="1"/>
    <col min="11046" max="11046" width="4.54296875" style="193" bestFit="1" customWidth="1"/>
    <col min="11047" max="11047" width="5.81640625" style="193" bestFit="1" customWidth="1"/>
    <col min="11048" max="11048" width="4.54296875" style="193" bestFit="1" customWidth="1"/>
    <col min="11049" max="11049" width="6.26953125" style="193" bestFit="1" customWidth="1"/>
    <col min="11050" max="11050" width="4.54296875" style="193" bestFit="1" customWidth="1"/>
    <col min="11051" max="11052" width="11.453125" style="193" bestFit="1" customWidth="1"/>
    <col min="11053" max="11053" width="69.7265625" style="193" customWidth="1"/>
    <col min="11054" max="11264" width="8.26953125" style="193"/>
    <col min="11265" max="11265" width="9.1796875" style="193" bestFit="1" customWidth="1"/>
    <col min="11266" max="11266" width="5.453125" style="193" bestFit="1" customWidth="1"/>
    <col min="11267" max="11267" width="6" style="193" bestFit="1" customWidth="1"/>
    <col min="11268" max="11268" width="6.36328125" style="193" bestFit="1" customWidth="1"/>
    <col min="11269" max="11271" width="0" style="193" hidden="1" customWidth="1"/>
    <col min="11272" max="11272" width="5.453125" style="193" bestFit="1" customWidth="1"/>
    <col min="11273" max="11273" width="6.36328125" style="193" bestFit="1" customWidth="1"/>
    <col min="11274" max="11274" width="6.08984375" style="193" customWidth="1"/>
    <col min="11275" max="11277" width="0" style="193" hidden="1" customWidth="1"/>
    <col min="11278" max="11279" width="6.26953125" style="193" customWidth="1"/>
    <col min="11280" max="11280" width="6.36328125" style="193" bestFit="1" customWidth="1"/>
    <col min="11281" max="11281" width="3.54296875" style="193" bestFit="1" customWidth="1"/>
    <col min="11282" max="11282" width="4" style="193" bestFit="1" customWidth="1"/>
    <col min="11283" max="11283" width="5.1796875" style="193" customWidth="1"/>
    <col min="11284" max="11284" width="5.7265625" style="193" customWidth="1"/>
    <col min="11285" max="11285" width="6" style="193" bestFit="1" customWidth="1"/>
    <col min="11286" max="11286" width="7" style="193" bestFit="1" customWidth="1"/>
    <col min="11287" max="11287" width="8.1796875" style="193" bestFit="1" customWidth="1"/>
    <col min="11288" max="11288" width="4.54296875" style="193" customWidth="1"/>
    <col min="11289" max="11289" width="0" style="193" hidden="1" customWidth="1"/>
    <col min="11290" max="11290" width="4.54296875" style="193" bestFit="1" customWidth="1"/>
    <col min="11291" max="11291" width="0" style="193" hidden="1" customWidth="1"/>
    <col min="11292" max="11292" width="4.54296875" style="193" bestFit="1" customWidth="1"/>
    <col min="11293" max="11293" width="4.54296875" style="193" customWidth="1"/>
    <col min="11294" max="11294" width="5.54296875" style="193" bestFit="1" customWidth="1"/>
    <col min="11295" max="11295" width="11.7265625" style="193" customWidth="1"/>
    <col min="11296" max="11296" width="4.1796875" style="193" bestFit="1" customWidth="1"/>
    <col min="11297" max="11297" width="0" style="193" hidden="1" customWidth="1"/>
    <col min="11298" max="11298" width="4.1796875" style="193" bestFit="1" customWidth="1"/>
    <col min="11299" max="11299" width="0" style="193" hidden="1" customWidth="1"/>
    <col min="11300" max="11300" width="4.54296875" style="193" bestFit="1" customWidth="1"/>
    <col min="11301" max="11301" width="4.54296875" style="193" customWidth="1"/>
    <col min="11302" max="11302" width="4.54296875" style="193" bestFit="1" customWidth="1"/>
    <col min="11303" max="11303" width="5.81640625" style="193" bestFit="1" customWidth="1"/>
    <col min="11304" max="11304" width="4.54296875" style="193" bestFit="1" customWidth="1"/>
    <col min="11305" max="11305" width="6.26953125" style="193" bestFit="1" customWidth="1"/>
    <col min="11306" max="11306" width="4.54296875" style="193" bestFit="1" customWidth="1"/>
    <col min="11307" max="11308" width="11.453125" style="193" bestFit="1" customWidth="1"/>
    <col min="11309" max="11309" width="69.7265625" style="193" customWidth="1"/>
    <col min="11310" max="11520" width="8.26953125" style="193"/>
    <col min="11521" max="11521" width="9.1796875" style="193" bestFit="1" customWidth="1"/>
    <col min="11522" max="11522" width="5.453125" style="193" bestFit="1" customWidth="1"/>
    <col min="11523" max="11523" width="6" style="193" bestFit="1" customWidth="1"/>
    <col min="11524" max="11524" width="6.36328125" style="193" bestFit="1" customWidth="1"/>
    <col min="11525" max="11527" width="0" style="193" hidden="1" customWidth="1"/>
    <col min="11528" max="11528" width="5.453125" style="193" bestFit="1" customWidth="1"/>
    <col min="11529" max="11529" width="6.36328125" style="193" bestFit="1" customWidth="1"/>
    <col min="11530" max="11530" width="6.08984375" style="193" customWidth="1"/>
    <col min="11531" max="11533" width="0" style="193" hidden="1" customWidth="1"/>
    <col min="11534" max="11535" width="6.26953125" style="193" customWidth="1"/>
    <col min="11536" max="11536" width="6.36328125" style="193" bestFit="1" customWidth="1"/>
    <col min="11537" max="11537" width="3.54296875" style="193" bestFit="1" customWidth="1"/>
    <col min="11538" max="11538" width="4" style="193" bestFit="1" customWidth="1"/>
    <col min="11539" max="11539" width="5.1796875" style="193" customWidth="1"/>
    <col min="11540" max="11540" width="5.7265625" style="193" customWidth="1"/>
    <col min="11541" max="11541" width="6" style="193" bestFit="1" customWidth="1"/>
    <col min="11542" max="11542" width="7" style="193" bestFit="1" customWidth="1"/>
    <col min="11543" max="11543" width="8.1796875" style="193" bestFit="1" customWidth="1"/>
    <col min="11544" max="11544" width="4.54296875" style="193" customWidth="1"/>
    <col min="11545" max="11545" width="0" style="193" hidden="1" customWidth="1"/>
    <col min="11546" max="11546" width="4.54296875" style="193" bestFit="1" customWidth="1"/>
    <col min="11547" max="11547" width="0" style="193" hidden="1" customWidth="1"/>
    <col min="11548" max="11548" width="4.54296875" style="193" bestFit="1" customWidth="1"/>
    <col min="11549" max="11549" width="4.54296875" style="193" customWidth="1"/>
    <col min="11550" max="11550" width="5.54296875" style="193" bestFit="1" customWidth="1"/>
    <col min="11551" max="11551" width="11.7265625" style="193" customWidth="1"/>
    <col min="11552" max="11552" width="4.1796875" style="193" bestFit="1" customWidth="1"/>
    <col min="11553" max="11553" width="0" style="193" hidden="1" customWidth="1"/>
    <col min="11554" max="11554" width="4.1796875" style="193" bestFit="1" customWidth="1"/>
    <col min="11555" max="11555" width="0" style="193" hidden="1" customWidth="1"/>
    <col min="11556" max="11556" width="4.54296875" style="193" bestFit="1" customWidth="1"/>
    <col min="11557" max="11557" width="4.54296875" style="193" customWidth="1"/>
    <col min="11558" max="11558" width="4.54296875" style="193" bestFit="1" customWidth="1"/>
    <col min="11559" max="11559" width="5.81640625" style="193" bestFit="1" customWidth="1"/>
    <col min="11560" max="11560" width="4.54296875" style="193" bestFit="1" customWidth="1"/>
    <col min="11561" max="11561" width="6.26953125" style="193" bestFit="1" customWidth="1"/>
    <col min="11562" max="11562" width="4.54296875" style="193" bestFit="1" customWidth="1"/>
    <col min="11563" max="11564" width="11.453125" style="193" bestFit="1" customWidth="1"/>
    <col min="11565" max="11565" width="69.7265625" style="193" customWidth="1"/>
    <col min="11566" max="11776" width="8.26953125" style="193"/>
    <col min="11777" max="11777" width="9.1796875" style="193" bestFit="1" customWidth="1"/>
    <col min="11778" max="11778" width="5.453125" style="193" bestFit="1" customWidth="1"/>
    <col min="11779" max="11779" width="6" style="193" bestFit="1" customWidth="1"/>
    <col min="11780" max="11780" width="6.36328125" style="193" bestFit="1" customWidth="1"/>
    <col min="11781" max="11783" width="0" style="193" hidden="1" customWidth="1"/>
    <col min="11784" max="11784" width="5.453125" style="193" bestFit="1" customWidth="1"/>
    <col min="11785" max="11785" width="6.36328125" style="193" bestFit="1" customWidth="1"/>
    <col min="11786" max="11786" width="6.08984375" style="193" customWidth="1"/>
    <col min="11787" max="11789" width="0" style="193" hidden="1" customWidth="1"/>
    <col min="11790" max="11791" width="6.26953125" style="193" customWidth="1"/>
    <col min="11792" max="11792" width="6.36328125" style="193" bestFit="1" customWidth="1"/>
    <col min="11793" max="11793" width="3.54296875" style="193" bestFit="1" customWidth="1"/>
    <col min="11794" max="11794" width="4" style="193" bestFit="1" customWidth="1"/>
    <col min="11795" max="11795" width="5.1796875" style="193" customWidth="1"/>
    <col min="11796" max="11796" width="5.7265625" style="193" customWidth="1"/>
    <col min="11797" max="11797" width="6" style="193" bestFit="1" customWidth="1"/>
    <col min="11798" max="11798" width="7" style="193" bestFit="1" customWidth="1"/>
    <col min="11799" max="11799" width="8.1796875" style="193" bestFit="1" customWidth="1"/>
    <col min="11800" max="11800" width="4.54296875" style="193" customWidth="1"/>
    <col min="11801" max="11801" width="0" style="193" hidden="1" customWidth="1"/>
    <col min="11802" max="11802" width="4.54296875" style="193" bestFit="1" customWidth="1"/>
    <col min="11803" max="11803" width="0" style="193" hidden="1" customWidth="1"/>
    <col min="11804" max="11804" width="4.54296875" style="193" bestFit="1" customWidth="1"/>
    <col min="11805" max="11805" width="4.54296875" style="193" customWidth="1"/>
    <col min="11806" max="11806" width="5.54296875" style="193" bestFit="1" customWidth="1"/>
    <col min="11807" max="11807" width="11.7265625" style="193" customWidth="1"/>
    <col min="11808" max="11808" width="4.1796875" style="193" bestFit="1" customWidth="1"/>
    <col min="11809" max="11809" width="0" style="193" hidden="1" customWidth="1"/>
    <col min="11810" max="11810" width="4.1796875" style="193" bestFit="1" customWidth="1"/>
    <col min="11811" max="11811" width="0" style="193" hidden="1" customWidth="1"/>
    <col min="11812" max="11812" width="4.54296875" style="193" bestFit="1" customWidth="1"/>
    <col min="11813" max="11813" width="4.54296875" style="193" customWidth="1"/>
    <col min="11814" max="11814" width="4.54296875" style="193" bestFit="1" customWidth="1"/>
    <col min="11815" max="11815" width="5.81640625" style="193" bestFit="1" customWidth="1"/>
    <col min="11816" max="11816" width="4.54296875" style="193" bestFit="1" customWidth="1"/>
    <col min="11817" max="11817" width="6.26953125" style="193" bestFit="1" customWidth="1"/>
    <col min="11818" max="11818" width="4.54296875" style="193" bestFit="1" customWidth="1"/>
    <col min="11819" max="11820" width="11.453125" style="193" bestFit="1" customWidth="1"/>
    <col min="11821" max="11821" width="69.7265625" style="193" customWidth="1"/>
    <col min="11822" max="12032" width="8.26953125" style="193"/>
    <col min="12033" max="12033" width="9.1796875" style="193" bestFit="1" customWidth="1"/>
    <col min="12034" max="12034" width="5.453125" style="193" bestFit="1" customWidth="1"/>
    <col min="12035" max="12035" width="6" style="193" bestFit="1" customWidth="1"/>
    <col min="12036" max="12036" width="6.36328125" style="193" bestFit="1" customWidth="1"/>
    <col min="12037" max="12039" width="0" style="193" hidden="1" customWidth="1"/>
    <col min="12040" max="12040" width="5.453125" style="193" bestFit="1" customWidth="1"/>
    <col min="12041" max="12041" width="6.36328125" style="193" bestFit="1" customWidth="1"/>
    <col min="12042" max="12042" width="6.08984375" style="193" customWidth="1"/>
    <col min="12043" max="12045" width="0" style="193" hidden="1" customWidth="1"/>
    <col min="12046" max="12047" width="6.26953125" style="193" customWidth="1"/>
    <col min="12048" max="12048" width="6.36328125" style="193" bestFit="1" customWidth="1"/>
    <col min="12049" max="12049" width="3.54296875" style="193" bestFit="1" customWidth="1"/>
    <col min="12050" max="12050" width="4" style="193" bestFit="1" customWidth="1"/>
    <col min="12051" max="12051" width="5.1796875" style="193" customWidth="1"/>
    <col min="12052" max="12052" width="5.7265625" style="193" customWidth="1"/>
    <col min="12053" max="12053" width="6" style="193" bestFit="1" customWidth="1"/>
    <col min="12054" max="12054" width="7" style="193" bestFit="1" customWidth="1"/>
    <col min="12055" max="12055" width="8.1796875" style="193" bestFit="1" customWidth="1"/>
    <col min="12056" max="12056" width="4.54296875" style="193" customWidth="1"/>
    <col min="12057" max="12057" width="0" style="193" hidden="1" customWidth="1"/>
    <col min="12058" max="12058" width="4.54296875" style="193" bestFit="1" customWidth="1"/>
    <col min="12059" max="12059" width="0" style="193" hidden="1" customWidth="1"/>
    <col min="12060" max="12060" width="4.54296875" style="193" bestFit="1" customWidth="1"/>
    <col min="12061" max="12061" width="4.54296875" style="193" customWidth="1"/>
    <col min="12062" max="12062" width="5.54296875" style="193" bestFit="1" customWidth="1"/>
    <col min="12063" max="12063" width="11.7265625" style="193" customWidth="1"/>
    <col min="12064" max="12064" width="4.1796875" style="193" bestFit="1" customWidth="1"/>
    <col min="12065" max="12065" width="0" style="193" hidden="1" customWidth="1"/>
    <col min="12066" max="12066" width="4.1796875" style="193" bestFit="1" customWidth="1"/>
    <col min="12067" max="12067" width="0" style="193" hidden="1" customWidth="1"/>
    <col min="12068" max="12068" width="4.54296875" style="193" bestFit="1" customWidth="1"/>
    <col min="12069" max="12069" width="4.54296875" style="193" customWidth="1"/>
    <col min="12070" max="12070" width="4.54296875" style="193" bestFit="1" customWidth="1"/>
    <col min="12071" max="12071" width="5.81640625" style="193" bestFit="1" customWidth="1"/>
    <col min="12072" max="12072" width="4.54296875" style="193" bestFit="1" customWidth="1"/>
    <col min="12073" max="12073" width="6.26953125" style="193" bestFit="1" customWidth="1"/>
    <col min="12074" max="12074" width="4.54296875" style="193" bestFit="1" customWidth="1"/>
    <col min="12075" max="12076" width="11.453125" style="193" bestFit="1" customWidth="1"/>
    <col min="12077" max="12077" width="69.7265625" style="193" customWidth="1"/>
    <col min="12078" max="12288" width="8.26953125" style="193"/>
    <col min="12289" max="12289" width="9.1796875" style="193" bestFit="1" customWidth="1"/>
    <col min="12290" max="12290" width="5.453125" style="193" bestFit="1" customWidth="1"/>
    <col min="12291" max="12291" width="6" style="193" bestFit="1" customWidth="1"/>
    <col min="12292" max="12292" width="6.36328125" style="193" bestFit="1" customWidth="1"/>
    <col min="12293" max="12295" width="0" style="193" hidden="1" customWidth="1"/>
    <col min="12296" max="12296" width="5.453125" style="193" bestFit="1" customWidth="1"/>
    <col min="12297" max="12297" width="6.36328125" style="193" bestFit="1" customWidth="1"/>
    <col min="12298" max="12298" width="6.08984375" style="193" customWidth="1"/>
    <col min="12299" max="12301" width="0" style="193" hidden="1" customWidth="1"/>
    <col min="12302" max="12303" width="6.26953125" style="193" customWidth="1"/>
    <col min="12304" max="12304" width="6.36328125" style="193" bestFit="1" customWidth="1"/>
    <col min="12305" max="12305" width="3.54296875" style="193" bestFit="1" customWidth="1"/>
    <col min="12306" max="12306" width="4" style="193" bestFit="1" customWidth="1"/>
    <col min="12307" max="12307" width="5.1796875" style="193" customWidth="1"/>
    <col min="12308" max="12308" width="5.7265625" style="193" customWidth="1"/>
    <col min="12309" max="12309" width="6" style="193" bestFit="1" customWidth="1"/>
    <col min="12310" max="12310" width="7" style="193" bestFit="1" customWidth="1"/>
    <col min="12311" max="12311" width="8.1796875" style="193" bestFit="1" customWidth="1"/>
    <col min="12312" max="12312" width="4.54296875" style="193" customWidth="1"/>
    <col min="12313" max="12313" width="0" style="193" hidden="1" customWidth="1"/>
    <col min="12314" max="12314" width="4.54296875" style="193" bestFit="1" customWidth="1"/>
    <col min="12315" max="12315" width="0" style="193" hidden="1" customWidth="1"/>
    <col min="12316" max="12316" width="4.54296875" style="193" bestFit="1" customWidth="1"/>
    <col min="12317" max="12317" width="4.54296875" style="193" customWidth="1"/>
    <col min="12318" max="12318" width="5.54296875" style="193" bestFit="1" customWidth="1"/>
    <col min="12319" max="12319" width="11.7265625" style="193" customWidth="1"/>
    <col min="12320" max="12320" width="4.1796875" style="193" bestFit="1" customWidth="1"/>
    <col min="12321" max="12321" width="0" style="193" hidden="1" customWidth="1"/>
    <col min="12322" max="12322" width="4.1796875" style="193" bestFit="1" customWidth="1"/>
    <col min="12323" max="12323" width="0" style="193" hidden="1" customWidth="1"/>
    <col min="12324" max="12324" width="4.54296875" style="193" bestFit="1" customWidth="1"/>
    <col min="12325" max="12325" width="4.54296875" style="193" customWidth="1"/>
    <col min="12326" max="12326" width="4.54296875" style="193" bestFit="1" customWidth="1"/>
    <col min="12327" max="12327" width="5.81640625" style="193" bestFit="1" customWidth="1"/>
    <col min="12328" max="12328" width="4.54296875" style="193" bestFit="1" customWidth="1"/>
    <col min="12329" max="12329" width="6.26953125" style="193" bestFit="1" customWidth="1"/>
    <col min="12330" max="12330" width="4.54296875" style="193" bestFit="1" customWidth="1"/>
    <col min="12331" max="12332" width="11.453125" style="193" bestFit="1" customWidth="1"/>
    <col min="12333" max="12333" width="69.7265625" style="193" customWidth="1"/>
    <col min="12334" max="12544" width="8.26953125" style="193"/>
    <col min="12545" max="12545" width="9.1796875" style="193" bestFit="1" customWidth="1"/>
    <col min="12546" max="12546" width="5.453125" style="193" bestFit="1" customWidth="1"/>
    <col min="12547" max="12547" width="6" style="193" bestFit="1" customWidth="1"/>
    <col min="12548" max="12548" width="6.36328125" style="193" bestFit="1" customWidth="1"/>
    <col min="12549" max="12551" width="0" style="193" hidden="1" customWidth="1"/>
    <col min="12552" max="12552" width="5.453125" style="193" bestFit="1" customWidth="1"/>
    <col min="12553" max="12553" width="6.36328125" style="193" bestFit="1" customWidth="1"/>
    <col min="12554" max="12554" width="6.08984375" style="193" customWidth="1"/>
    <col min="12555" max="12557" width="0" style="193" hidden="1" customWidth="1"/>
    <col min="12558" max="12559" width="6.26953125" style="193" customWidth="1"/>
    <col min="12560" max="12560" width="6.36328125" style="193" bestFit="1" customWidth="1"/>
    <col min="12561" max="12561" width="3.54296875" style="193" bestFit="1" customWidth="1"/>
    <col min="12562" max="12562" width="4" style="193" bestFit="1" customWidth="1"/>
    <col min="12563" max="12563" width="5.1796875" style="193" customWidth="1"/>
    <col min="12564" max="12564" width="5.7265625" style="193" customWidth="1"/>
    <col min="12565" max="12565" width="6" style="193" bestFit="1" customWidth="1"/>
    <col min="12566" max="12566" width="7" style="193" bestFit="1" customWidth="1"/>
    <col min="12567" max="12567" width="8.1796875" style="193" bestFit="1" customWidth="1"/>
    <col min="12568" max="12568" width="4.54296875" style="193" customWidth="1"/>
    <col min="12569" max="12569" width="0" style="193" hidden="1" customWidth="1"/>
    <col min="12570" max="12570" width="4.54296875" style="193" bestFit="1" customWidth="1"/>
    <col min="12571" max="12571" width="0" style="193" hidden="1" customWidth="1"/>
    <col min="12572" max="12572" width="4.54296875" style="193" bestFit="1" customWidth="1"/>
    <col min="12573" max="12573" width="4.54296875" style="193" customWidth="1"/>
    <col min="12574" max="12574" width="5.54296875" style="193" bestFit="1" customWidth="1"/>
    <col min="12575" max="12575" width="11.7265625" style="193" customWidth="1"/>
    <col min="12576" max="12576" width="4.1796875" style="193" bestFit="1" customWidth="1"/>
    <col min="12577" max="12577" width="0" style="193" hidden="1" customWidth="1"/>
    <col min="12578" max="12578" width="4.1796875" style="193" bestFit="1" customWidth="1"/>
    <col min="12579" max="12579" width="0" style="193" hidden="1" customWidth="1"/>
    <col min="12580" max="12580" width="4.54296875" style="193" bestFit="1" customWidth="1"/>
    <col min="12581" max="12581" width="4.54296875" style="193" customWidth="1"/>
    <col min="12582" max="12582" width="4.54296875" style="193" bestFit="1" customWidth="1"/>
    <col min="12583" max="12583" width="5.81640625" style="193" bestFit="1" customWidth="1"/>
    <col min="12584" max="12584" width="4.54296875" style="193" bestFit="1" customWidth="1"/>
    <col min="12585" max="12585" width="6.26953125" style="193" bestFit="1" customWidth="1"/>
    <col min="12586" max="12586" width="4.54296875" style="193" bestFit="1" customWidth="1"/>
    <col min="12587" max="12588" width="11.453125" style="193" bestFit="1" customWidth="1"/>
    <col min="12589" max="12589" width="69.7265625" style="193" customWidth="1"/>
    <col min="12590" max="12800" width="8.26953125" style="193"/>
    <col min="12801" max="12801" width="9.1796875" style="193" bestFit="1" customWidth="1"/>
    <col min="12802" max="12802" width="5.453125" style="193" bestFit="1" customWidth="1"/>
    <col min="12803" max="12803" width="6" style="193" bestFit="1" customWidth="1"/>
    <col min="12804" max="12804" width="6.36328125" style="193" bestFit="1" customWidth="1"/>
    <col min="12805" max="12807" width="0" style="193" hidden="1" customWidth="1"/>
    <col min="12808" max="12808" width="5.453125" style="193" bestFit="1" customWidth="1"/>
    <col min="12809" max="12809" width="6.36328125" style="193" bestFit="1" customWidth="1"/>
    <col min="12810" max="12810" width="6.08984375" style="193" customWidth="1"/>
    <col min="12811" max="12813" width="0" style="193" hidden="1" customWidth="1"/>
    <col min="12814" max="12815" width="6.26953125" style="193" customWidth="1"/>
    <col min="12816" max="12816" width="6.36328125" style="193" bestFit="1" customWidth="1"/>
    <col min="12817" max="12817" width="3.54296875" style="193" bestFit="1" customWidth="1"/>
    <col min="12818" max="12818" width="4" style="193" bestFit="1" customWidth="1"/>
    <col min="12819" max="12819" width="5.1796875" style="193" customWidth="1"/>
    <col min="12820" max="12820" width="5.7265625" style="193" customWidth="1"/>
    <col min="12821" max="12821" width="6" style="193" bestFit="1" customWidth="1"/>
    <col min="12822" max="12822" width="7" style="193" bestFit="1" customWidth="1"/>
    <col min="12823" max="12823" width="8.1796875" style="193" bestFit="1" customWidth="1"/>
    <col min="12824" max="12824" width="4.54296875" style="193" customWidth="1"/>
    <col min="12825" max="12825" width="0" style="193" hidden="1" customWidth="1"/>
    <col min="12826" max="12826" width="4.54296875" style="193" bestFit="1" customWidth="1"/>
    <col min="12827" max="12827" width="0" style="193" hidden="1" customWidth="1"/>
    <col min="12828" max="12828" width="4.54296875" style="193" bestFit="1" customWidth="1"/>
    <col min="12829" max="12829" width="4.54296875" style="193" customWidth="1"/>
    <col min="12830" max="12830" width="5.54296875" style="193" bestFit="1" customWidth="1"/>
    <col min="12831" max="12831" width="11.7265625" style="193" customWidth="1"/>
    <col min="12832" max="12832" width="4.1796875" style="193" bestFit="1" customWidth="1"/>
    <col min="12833" max="12833" width="0" style="193" hidden="1" customWidth="1"/>
    <col min="12834" max="12834" width="4.1796875" style="193" bestFit="1" customWidth="1"/>
    <col min="12835" max="12835" width="0" style="193" hidden="1" customWidth="1"/>
    <col min="12836" max="12836" width="4.54296875" style="193" bestFit="1" customWidth="1"/>
    <col min="12837" max="12837" width="4.54296875" style="193" customWidth="1"/>
    <col min="12838" max="12838" width="4.54296875" style="193" bestFit="1" customWidth="1"/>
    <col min="12839" max="12839" width="5.81640625" style="193" bestFit="1" customWidth="1"/>
    <col min="12840" max="12840" width="4.54296875" style="193" bestFit="1" customWidth="1"/>
    <col min="12841" max="12841" width="6.26953125" style="193" bestFit="1" customWidth="1"/>
    <col min="12842" max="12842" width="4.54296875" style="193" bestFit="1" customWidth="1"/>
    <col min="12843" max="12844" width="11.453125" style="193" bestFit="1" customWidth="1"/>
    <col min="12845" max="12845" width="69.7265625" style="193" customWidth="1"/>
    <col min="12846" max="13056" width="8.26953125" style="193"/>
    <col min="13057" max="13057" width="9.1796875" style="193" bestFit="1" customWidth="1"/>
    <col min="13058" max="13058" width="5.453125" style="193" bestFit="1" customWidth="1"/>
    <col min="13059" max="13059" width="6" style="193" bestFit="1" customWidth="1"/>
    <col min="13060" max="13060" width="6.36328125" style="193" bestFit="1" customWidth="1"/>
    <col min="13061" max="13063" width="0" style="193" hidden="1" customWidth="1"/>
    <col min="13064" max="13064" width="5.453125" style="193" bestFit="1" customWidth="1"/>
    <col min="13065" max="13065" width="6.36328125" style="193" bestFit="1" customWidth="1"/>
    <col min="13066" max="13066" width="6.08984375" style="193" customWidth="1"/>
    <col min="13067" max="13069" width="0" style="193" hidden="1" customWidth="1"/>
    <col min="13070" max="13071" width="6.26953125" style="193" customWidth="1"/>
    <col min="13072" max="13072" width="6.36328125" style="193" bestFit="1" customWidth="1"/>
    <col min="13073" max="13073" width="3.54296875" style="193" bestFit="1" customWidth="1"/>
    <col min="13074" max="13074" width="4" style="193" bestFit="1" customWidth="1"/>
    <col min="13075" max="13075" width="5.1796875" style="193" customWidth="1"/>
    <col min="13076" max="13076" width="5.7265625" style="193" customWidth="1"/>
    <col min="13077" max="13077" width="6" style="193" bestFit="1" customWidth="1"/>
    <col min="13078" max="13078" width="7" style="193" bestFit="1" customWidth="1"/>
    <col min="13079" max="13079" width="8.1796875" style="193" bestFit="1" customWidth="1"/>
    <col min="13080" max="13080" width="4.54296875" style="193" customWidth="1"/>
    <col min="13081" max="13081" width="0" style="193" hidden="1" customWidth="1"/>
    <col min="13082" max="13082" width="4.54296875" style="193" bestFit="1" customWidth="1"/>
    <col min="13083" max="13083" width="0" style="193" hidden="1" customWidth="1"/>
    <col min="13084" max="13084" width="4.54296875" style="193" bestFit="1" customWidth="1"/>
    <col min="13085" max="13085" width="4.54296875" style="193" customWidth="1"/>
    <col min="13086" max="13086" width="5.54296875" style="193" bestFit="1" customWidth="1"/>
    <col min="13087" max="13087" width="11.7265625" style="193" customWidth="1"/>
    <col min="13088" max="13088" width="4.1796875" style="193" bestFit="1" customWidth="1"/>
    <col min="13089" max="13089" width="0" style="193" hidden="1" customWidth="1"/>
    <col min="13090" max="13090" width="4.1796875" style="193" bestFit="1" customWidth="1"/>
    <col min="13091" max="13091" width="0" style="193" hidden="1" customWidth="1"/>
    <col min="13092" max="13092" width="4.54296875" style="193" bestFit="1" customWidth="1"/>
    <col min="13093" max="13093" width="4.54296875" style="193" customWidth="1"/>
    <col min="13094" max="13094" width="4.54296875" style="193" bestFit="1" customWidth="1"/>
    <col min="13095" max="13095" width="5.81640625" style="193" bestFit="1" customWidth="1"/>
    <col min="13096" max="13096" width="4.54296875" style="193" bestFit="1" customWidth="1"/>
    <col min="13097" max="13097" width="6.26953125" style="193" bestFit="1" customWidth="1"/>
    <col min="13098" max="13098" width="4.54296875" style="193" bestFit="1" customWidth="1"/>
    <col min="13099" max="13100" width="11.453125" style="193" bestFit="1" customWidth="1"/>
    <col min="13101" max="13101" width="69.7265625" style="193" customWidth="1"/>
    <col min="13102" max="13312" width="8.26953125" style="193"/>
    <col min="13313" max="13313" width="9.1796875" style="193" bestFit="1" customWidth="1"/>
    <col min="13314" max="13314" width="5.453125" style="193" bestFit="1" customWidth="1"/>
    <col min="13315" max="13315" width="6" style="193" bestFit="1" customWidth="1"/>
    <col min="13316" max="13316" width="6.36328125" style="193" bestFit="1" customWidth="1"/>
    <col min="13317" max="13319" width="0" style="193" hidden="1" customWidth="1"/>
    <col min="13320" max="13320" width="5.453125" style="193" bestFit="1" customWidth="1"/>
    <col min="13321" max="13321" width="6.36328125" style="193" bestFit="1" customWidth="1"/>
    <col min="13322" max="13322" width="6.08984375" style="193" customWidth="1"/>
    <col min="13323" max="13325" width="0" style="193" hidden="1" customWidth="1"/>
    <col min="13326" max="13327" width="6.26953125" style="193" customWidth="1"/>
    <col min="13328" max="13328" width="6.36328125" style="193" bestFit="1" customWidth="1"/>
    <col min="13329" max="13329" width="3.54296875" style="193" bestFit="1" customWidth="1"/>
    <col min="13330" max="13330" width="4" style="193" bestFit="1" customWidth="1"/>
    <col min="13331" max="13331" width="5.1796875" style="193" customWidth="1"/>
    <col min="13332" max="13332" width="5.7265625" style="193" customWidth="1"/>
    <col min="13333" max="13333" width="6" style="193" bestFit="1" customWidth="1"/>
    <col min="13334" max="13334" width="7" style="193" bestFit="1" customWidth="1"/>
    <col min="13335" max="13335" width="8.1796875" style="193" bestFit="1" customWidth="1"/>
    <col min="13336" max="13336" width="4.54296875" style="193" customWidth="1"/>
    <col min="13337" max="13337" width="0" style="193" hidden="1" customWidth="1"/>
    <col min="13338" max="13338" width="4.54296875" style="193" bestFit="1" customWidth="1"/>
    <col min="13339" max="13339" width="0" style="193" hidden="1" customWidth="1"/>
    <col min="13340" max="13340" width="4.54296875" style="193" bestFit="1" customWidth="1"/>
    <col min="13341" max="13341" width="4.54296875" style="193" customWidth="1"/>
    <col min="13342" max="13342" width="5.54296875" style="193" bestFit="1" customWidth="1"/>
    <col min="13343" max="13343" width="11.7265625" style="193" customWidth="1"/>
    <col min="13344" max="13344" width="4.1796875" style="193" bestFit="1" customWidth="1"/>
    <col min="13345" max="13345" width="0" style="193" hidden="1" customWidth="1"/>
    <col min="13346" max="13346" width="4.1796875" style="193" bestFit="1" customWidth="1"/>
    <col min="13347" max="13347" width="0" style="193" hidden="1" customWidth="1"/>
    <col min="13348" max="13348" width="4.54296875" style="193" bestFit="1" customWidth="1"/>
    <col min="13349" max="13349" width="4.54296875" style="193" customWidth="1"/>
    <col min="13350" max="13350" width="4.54296875" style="193" bestFit="1" customWidth="1"/>
    <col min="13351" max="13351" width="5.81640625" style="193" bestFit="1" customWidth="1"/>
    <col min="13352" max="13352" width="4.54296875" style="193" bestFit="1" customWidth="1"/>
    <col min="13353" max="13353" width="6.26953125" style="193" bestFit="1" customWidth="1"/>
    <col min="13354" max="13354" width="4.54296875" style="193" bestFit="1" customWidth="1"/>
    <col min="13355" max="13356" width="11.453125" style="193" bestFit="1" customWidth="1"/>
    <col min="13357" max="13357" width="69.7265625" style="193" customWidth="1"/>
    <col min="13358" max="13568" width="8.26953125" style="193"/>
    <col min="13569" max="13569" width="9.1796875" style="193" bestFit="1" customWidth="1"/>
    <col min="13570" max="13570" width="5.453125" style="193" bestFit="1" customWidth="1"/>
    <col min="13571" max="13571" width="6" style="193" bestFit="1" customWidth="1"/>
    <col min="13572" max="13572" width="6.36328125" style="193" bestFit="1" customWidth="1"/>
    <col min="13573" max="13575" width="0" style="193" hidden="1" customWidth="1"/>
    <col min="13576" max="13576" width="5.453125" style="193" bestFit="1" customWidth="1"/>
    <col min="13577" max="13577" width="6.36328125" style="193" bestFit="1" customWidth="1"/>
    <col min="13578" max="13578" width="6.08984375" style="193" customWidth="1"/>
    <col min="13579" max="13581" width="0" style="193" hidden="1" customWidth="1"/>
    <col min="13582" max="13583" width="6.26953125" style="193" customWidth="1"/>
    <col min="13584" max="13584" width="6.36328125" style="193" bestFit="1" customWidth="1"/>
    <col min="13585" max="13585" width="3.54296875" style="193" bestFit="1" customWidth="1"/>
    <col min="13586" max="13586" width="4" style="193" bestFit="1" customWidth="1"/>
    <col min="13587" max="13587" width="5.1796875" style="193" customWidth="1"/>
    <col min="13588" max="13588" width="5.7265625" style="193" customWidth="1"/>
    <col min="13589" max="13589" width="6" style="193" bestFit="1" customWidth="1"/>
    <col min="13590" max="13590" width="7" style="193" bestFit="1" customWidth="1"/>
    <col min="13591" max="13591" width="8.1796875" style="193" bestFit="1" customWidth="1"/>
    <col min="13592" max="13592" width="4.54296875" style="193" customWidth="1"/>
    <col min="13593" max="13593" width="0" style="193" hidden="1" customWidth="1"/>
    <col min="13594" max="13594" width="4.54296875" style="193" bestFit="1" customWidth="1"/>
    <col min="13595" max="13595" width="0" style="193" hidden="1" customWidth="1"/>
    <col min="13596" max="13596" width="4.54296875" style="193" bestFit="1" customWidth="1"/>
    <col min="13597" max="13597" width="4.54296875" style="193" customWidth="1"/>
    <col min="13598" max="13598" width="5.54296875" style="193" bestFit="1" customWidth="1"/>
    <col min="13599" max="13599" width="11.7265625" style="193" customWidth="1"/>
    <col min="13600" max="13600" width="4.1796875" style="193" bestFit="1" customWidth="1"/>
    <col min="13601" max="13601" width="0" style="193" hidden="1" customWidth="1"/>
    <col min="13602" max="13602" width="4.1796875" style="193" bestFit="1" customWidth="1"/>
    <col min="13603" max="13603" width="0" style="193" hidden="1" customWidth="1"/>
    <col min="13604" max="13604" width="4.54296875" style="193" bestFit="1" customWidth="1"/>
    <col min="13605" max="13605" width="4.54296875" style="193" customWidth="1"/>
    <col min="13606" max="13606" width="4.54296875" style="193" bestFit="1" customWidth="1"/>
    <col min="13607" max="13607" width="5.81640625" style="193" bestFit="1" customWidth="1"/>
    <col min="13608" max="13608" width="4.54296875" style="193" bestFit="1" customWidth="1"/>
    <col min="13609" max="13609" width="6.26953125" style="193" bestFit="1" customWidth="1"/>
    <col min="13610" max="13610" width="4.54296875" style="193" bestFit="1" customWidth="1"/>
    <col min="13611" max="13612" width="11.453125" style="193" bestFit="1" customWidth="1"/>
    <col min="13613" max="13613" width="69.7265625" style="193" customWidth="1"/>
    <col min="13614" max="13824" width="8.26953125" style="193"/>
    <col min="13825" max="13825" width="9.1796875" style="193" bestFit="1" customWidth="1"/>
    <col min="13826" max="13826" width="5.453125" style="193" bestFit="1" customWidth="1"/>
    <col min="13827" max="13827" width="6" style="193" bestFit="1" customWidth="1"/>
    <col min="13828" max="13828" width="6.36328125" style="193" bestFit="1" customWidth="1"/>
    <col min="13829" max="13831" width="0" style="193" hidden="1" customWidth="1"/>
    <col min="13832" max="13832" width="5.453125" style="193" bestFit="1" customWidth="1"/>
    <col min="13833" max="13833" width="6.36328125" style="193" bestFit="1" customWidth="1"/>
    <col min="13834" max="13834" width="6.08984375" style="193" customWidth="1"/>
    <col min="13835" max="13837" width="0" style="193" hidden="1" customWidth="1"/>
    <col min="13838" max="13839" width="6.26953125" style="193" customWidth="1"/>
    <col min="13840" max="13840" width="6.36328125" style="193" bestFit="1" customWidth="1"/>
    <col min="13841" max="13841" width="3.54296875" style="193" bestFit="1" customWidth="1"/>
    <col min="13842" max="13842" width="4" style="193" bestFit="1" customWidth="1"/>
    <col min="13843" max="13843" width="5.1796875" style="193" customWidth="1"/>
    <col min="13844" max="13844" width="5.7265625" style="193" customWidth="1"/>
    <col min="13845" max="13845" width="6" style="193" bestFit="1" customWidth="1"/>
    <col min="13846" max="13846" width="7" style="193" bestFit="1" customWidth="1"/>
    <col min="13847" max="13847" width="8.1796875" style="193" bestFit="1" customWidth="1"/>
    <col min="13848" max="13848" width="4.54296875" style="193" customWidth="1"/>
    <col min="13849" max="13849" width="0" style="193" hidden="1" customWidth="1"/>
    <col min="13850" max="13850" width="4.54296875" style="193" bestFit="1" customWidth="1"/>
    <col min="13851" max="13851" width="0" style="193" hidden="1" customWidth="1"/>
    <col min="13852" max="13852" width="4.54296875" style="193" bestFit="1" customWidth="1"/>
    <col min="13853" max="13853" width="4.54296875" style="193" customWidth="1"/>
    <col min="13854" max="13854" width="5.54296875" style="193" bestFit="1" customWidth="1"/>
    <col min="13855" max="13855" width="11.7265625" style="193" customWidth="1"/>
    <col min="13856" max="13856" width="4.1796875" style="193" bestFit="1" customWidth="1"/>
    <col min="13857" max="13857" width="0" style="193" hidden="1" customWidth="1"/>
    <col min="13858" max="13858" width="4.1796875" style="193" bestFit="1" customWidth="1"/>
    <col min="13859" max="13859" width="0" style="193" hidden="1" customWidth="1"/>
    <col min="13860" max="13860" width="4.54296875" style="193" bestFit="1" customWidth="1"/>
    <col min="13861" max="13861" width="4.54296875" style="193" customWidth="1"/>
    <col min="13862" max="13862" width="4.54296875" style="193" bestFit="1" customWidth="1"/>
    <col min="13863" max="13863" width="5.81640625" style="193" bestFit="1" customWidth="1"/>
    <col min="13864" max="13864" width="4.54296875" style="193" bestFit="1" customWidth="1"/>
    <col min="13865" max="13865" width="6.26953125" style="193" bestFit="1" customWidth="1"/>
    <col min="13866" max="13866" width="4.54296875" style="193" bestFit="1" customWidth="1"/>
    <col min="13867" max="13868" width="11.453125" style="193" bestFit="1" customWidth="1"/>
    <col min="13869" max="13869" width="69.7265625" style="193" customWidth="1"/>
    <col min="13870" max="14080" width="8.26953125" style="193"/>
    <col min="14081" max="14081" width="9.1796875" style="193" bestFit="1" customWidth="1"/>
    <col min="14082" max="14082" width="5.453125" style="193" bestFit="1" customWidth="1"/>
    <col min="14083" max="14083" width="6" style="193" bestFit="1" customWidth="1"/>
    <col min="14084" max="14084" width="6.36328125" style="193" bestFit="1" customWidth="1"/>
    <col min="14085" max="14087" width="0" style="193" hidden="1" customWidth="1"/>
    <col min="14088" max="14088" width="5.453125" style="193" bestFit="1" customWidth="1"/>
    <col min="14089" max="14089" width="6.36328125" style="193" bestFit="1" customWidth="1"/>
    <col min="14090" max="14090" width="6.08984375" style="193" customWidth="1"/>
    <col min="14091" max="14093" width="0" style="193" hidden="1" customWidth="1"/>
    <col min="14094" max="14095" width="6.26953125" style="193" customWidth="1"/>
    <col min="14096" max="14096" width="6.36328125" style="193" bestFit="1" customWidth="1"/>
    <col min="14097" max="14097" width="3.54296875" style="193" bestFit="1" customWidth="1"/>
    <col min="14098" max="14098" width="4" style="193" bestFit="1" customWidth="1"/>
    <col min="14099" max="14099" width="5.1796875" style="193" customWidth="1"/>
    <col min="14100" max="14100" width="5.7265625" style="193" customWidth="1"/>
    <col min="14101" max="14101" width="6" style="193" bestFit="1" customWidth="1"/>
    <col min="14102" max="14102" width="7" style="193" bestFit="1" customWidth="1"/>
    <col min="14103" max="14103" width="8.1796875" style="193" bestFit="1" customWidth="1"/>
    <col min="14104" max="14104" width="4.54296875" style="193" customWidth="1"/>
    <col min="14105" max="14105" width="0" style="193" hidden="1" customWidth="1"/>
    <col min="14106" max="14106" width="4.54296875" style="193" bestFit="1" customWidth="1"/>
    <col min="14107" max="14107" width="0" style="193" hidden="1" customWidth="1"/>
    <col min="14108" max="14108" width="4.54296875" style="193" bestFit="1" customWidth="1"/>
    <col min="14109" max="14109" width="4.54296875" style="193" customWidth="1"/>
    <col min="14110" max="14110" width="5.54296875" style="193" bestFit="1" customWidth="1"/>
    <col min="14111" max="14111" width="11.7265625" style="193" customWidth="1"/>
    <col min="14112" max="14112" width="4.1796875" style="193" bestFit="1" customWidth="1"/>
    <col min="14113" max="14113" width="0" style="193" hidden="1" customWidth="1"/>
    <col min="14114" max="14114" width="4.1796875" style="193" bestFit="1" customWidth="1"/>
    <col min="14115" max="14115" width="0" style="193" hidden="1" customWidth="1"/>
    <col min="14116" max="14116" width="4.54296875" style="193" bestFit="1" customWidth="1"/>
    <col min="14117" max="14117" width="4.54296875" style="193" customWidth="1"/>
    <col min="14118" max="14118" width="4.54296875" style="193" bestFit="1" customWidth="1"/>
    <col min="14119" max="14119" width="5.81640625" style="193" bestFit="1" customWidth="1"/>
    <col min="14120" max="14120" width="4.54296875" style="193" bestFit="1" customWidth="1"/>
    <col min="14121" max="14121" width="6.26953125" style="193" bestFit="1" customWidth="1"/>
    <col min="14122" max="14122" width="4.54296875" style="193" bestFit="1" customWidth="1"/>
    <col min="14123" max="14124" width="11.453125" style="193" bestFit="1" customWidth="1"/>
    <col min="14125" max="14125" width="69.7265625" style="193" customWidth="1"/>
    <col min="14126" max="14336" width="8.26953125" style="193"/>
    <col min="14337" max="14337" width="9.1796875" style="193" bestFit="1" customWidth="1"/>
    <col min="14338" max="14338" width="5.453125" style="193" bestFit="1" customWidth="1"/>
    <col min="14339" max="14339" width="6" style="193" bestFit="1" customWidth="1"/>
    <col min="14340" max="14340" width="6.36328125" style="193" bestFit="1" customWidth="1"/>
    <col min="14341" max="14343" width="0" style="193" hidden="1" customWidth="1"/>
    <col min="14344" max="14344" width="5.453125" style="193" bestFit="1" customWidth="1"/>
    <col min="14345" max="14345" width="6.36328125" style="193" bestFit="1" customWidth="1"/>
    <col min="14346" max="14346" width="6.08984375" style="193" customWidth="1"/>
    <col min="14347" max="14349" width="0" style="193" hidden="1" customWidth="1"/>
    <col min="14350" max="14351" width="6.26953125" style="193" customWidth="1"/>
    <col min="14352" max="14352" width="6.36328125" style="193" bestFit="1" customWidth="1"/>
    <col min="14353" max="14353" width="3.54296875" style="193" bestFit="1" customWidth="1"/>
    <col min="14354" max="14354" width="4" style="193" bestFit="1" customWidth="1"/>
    <col min="14355" max="14355" width="5.1796875" style="193" customWidth="1"/>
    <col min="14356" max="14356" width="5.7265625" style="193" customWidth="1"/>
    <col min="14357" max="14357" width="6" style="193" bestFit="1" customWidth="1"/>
    <col min="14358" max="14358" width="7" style="193" bestFit="1" customWidth="1"/>
    <col min="14359" max="14359" width="8.1796875" style="193" bestFit="1" customWidth="1"/>
    <col min="14360" max="14360" width="4.54296875" style="193" customWidth="1"/>
    <col min="14361" max="14361" width="0" style="193" hidden="1" customWidth="1"/>
    <col min="14362" max="14362" width="4.54296875" style="193" bestFit="1" customWidth="1"/>
    <col min="14363" max="14363" width="0" style="193" hidden="1" customWidth="1"/>
    <col min="14364" max="14364" width="4.54296875" style="193" bestFit="1" customWidth="1"/>
    <col min="14365" max="14365" width="4.54296875" style="193" customWidth="1"/>
    <col min="14366" max="14366" width="5.54296875" style="193" bestFit="1" customWidth="1"/>
    <col min="14367" max="14367" width="11.7265625" style="193" customWidth="1"/>
    <col min="14368" max="14368" width="4.1796875" style="193" bestFit="1" customWidth="1"/>
    <col min="14369" max="14369" width="0" style="193" hidden="1" customWidth="1"/>
    <col min="14370" max="14370" width="4.1796875" style="193" bestFit="1" customWidth="1"/>
    <col min="14371" max="14371" width="0" style="193" hidden="1" customWidth="1"/>
    <col min="14372" max="14372" width="4.54296875" style="193" bestFit="1" customWidth="1"/>
    <col min="14373" max="14373" width="4.54296875" style="193" customWidth="1"/>
    <col min="14374" max="14374" width="4.54296875" style="193" bestFit="1" customWidth="1"/>
    <col min="14375" max="14375" width="5.81640625" style="193" bestFit="1" customWidth="1"/>
    <col min="14376" max="14376" width="4.54296875" style="193" bestFit="1" customWidth="1"/>
    <col min="14377" max="14377" width="6.26953125" style="193" bestFit="1" customWidth="1"/>
    <col min="14378" max="14378" width="4.54296875" style="193" bestFit="1" customWidth="1"/>
    <col min="14379" max="14380" width="11.453125" style="193" bestFit="1" customWidth="1"/>
    <col min="14381" max="14381" width="69.7265625" style="193" customWidth="1"/>
    <col min="14382" max="14592" width="8.26953125" style="193"/>
    <col min="14593" max="14593" width="9.1796875" style="193" bestFit="1" customWidth="1"/>
    <col min="14594" max="14594" width="5.453125" style="193" bestFit="1" customWidth="1"/>
    <col min="14595" max="14595" width="6" style="193" bestFit="1" customWidth="1"/>
    <col min="14596" max="14596" width="6.36328125" style="193" bestFit="1" customWidth="1"/>
    <col min="14597" max="14599" width="0" style="193" hidden="1" customWidth="1"/>
    <col min="14600" max="14600" width="5.453125" style="193" bestFit="1" customWidth="1"/>
    <col min="14601" max="14601" width="6.36328125" style="193" bestFit="1" customWidth="1"/>
    <col min="14602" max="14602" width="6.08984375" style="193" customWidth="1"/>
    <col min="14603" max="14605" width="0" style="193" hidden="1" customWidth="1"/>
    <col min="14606" max="14607" width="6.26953125" style="193" customWidth="1"/>
    <col min="14608" max="14608" width="6.36328125" style="193" bestFit="1" customWidth="1"/>
    <col min="14609" max="14609" width="3.54296875" style="193" bestFit="1" customWidth="1"/>
    <col min="14610" max="14610" width="4" style="193" bestFit="1" customWidth="1"/>
    <col min="14611" max="14611" width="5.1796875" style="193" customWidth="1"/>
    <col min="14612" max="14612" width="5.7265625" style="193" customWidth="1"/>
    <col min="14613" max="14613" width="6" style="193" bestFit="1" customWidth="1"/>
    <col min="14614" max="14614" width="7" style="193" bestFit="1" customWidth="1"/>
    <col min="14615" max="14615" width="8.1796875" style="193" bestFit="1" customWidth="1"/>
    <col min="14616" max="14616" width="4.54296875" style="193" customWidth="1"/>
    <col min="14617" max="14617" width="0" style="193" hidden="1" customWidth="1"/>
    <col min="14618" max="14618" width="4.54296875" style="193" bestFit="1" customWidth="1"/>
    <col min="14619" max="14619" width="0" style="193" hidden="1" customWidth="1"/>
    <col min="14620" max="14620" width="4.54296875" style="193" bestFit="1" customWidth="1"/>
    <col min="14621" max="14621" width="4.54296875" style="193" customWidth="1"/>
    <col min="14622" max="14622" width="5.54296875" style="193" bestFit="1" customWidth="1"/>
    <col min="14623" max="14623" width="11.7265625" style="193" customWidth="1"/>
    <col min="14624" max="14624" width="4.1796875" style="193" bestFit="1" customWidth="1"/>
    <col min="14625" max="14625" width="0" style="193" hidden="1" customWidth="1"/>
    <col min="14626" max="14626" width="4.1796875" style="193" bestFit="1" customWidth="1"/>
    <col min="14627" max="14627" width="0" style="193" hidden="1" customWidth="1"/>
    <col min="14628" max="14628" width="4.54296875" style="193" bestFit="1" customWidth="1"/>
    <col min="14629" max="14629" width="4.54296875" style="193" customWidth="1"/>
    <col min="14630" max="14630" width="4.54296875" style="193" bestFit="1" customWidth="1"/>
    <col min="14631" max="14631" width="5.81640625" style="193" bestFit="1" customWidth="1"/>
    <col min="14632" max="14632" width="4.54296875" style="193" bestFit="1" customWidth="1"/>
    <col min="14633" max="14633" width="6.26953125" style="193" bestFit="1" customWidth="1"/>
    <col min="14634" max="14634" width="4.54296875" style="193" bestFit="1" customWidth="1"/>
    <col min="14635" max="14636" width="11.453125" style="193" bestFit="1" customWidth="1"/>
    <col min="14637" max="14637" width="69.7265625" style="193" customWidth="1"/>
    <col min="14638" max="14848" width="8.26953125" style="193"/>
    <col min="14849" max="14849" width="9.1796875" style="193" bestFit="1" customWidth="1"/>
    <col min="14850" max="14850" width="5.453125" style="193" bestFit="1" customWidth="1"/>
    <col min="14851" max="14851" width="6" style="193" bestFit="1" customWidth="1"/>
    <col min="14852" max="14852" width="6.36328125" style="193" bestFit="1" customWidth="1"/>
    <col min="14853" max="14855" width="0" style="193" hidden="1" customWidth="1"/>
    <col min="14856" max="14856" width="5.453125" style="193" bestFit="1" customWidth="1"/>
    <col min="14857" max="14857" width="6.36328125" style="193" bestFit="1" customWidth="1"/>
    <col min="14858" max="14858" width="6.08984375" style="193" customWidth="1"/>
    <col min="14859" max="14861" width="0" style="193" hidden="1" customWidth="1"/>
    <col min="14862" max="14863" width="6.26953125" style="193" customWidth="1"/>
    <col min="14864" max="14864" width="6.36328125" style="193" bestFit="1" customWidth="1"/>
    <col min="14865" max="14865" width="3.54296875" style="193" bestFit="1" customWidth="1"/>
    <col min="14866" max="14866" width="4" style="193" bestFit="1" customWidth="1"/>
    <col min="14867" max="14867" width="5.1796875" style="193" customWidth="1"/>
    <col min="14868" max="14868" width="5.7265625" style="193" customWidth="1"/>
    <col min="14869" max="14869" width="6" style="193" bestFit="1" customWidth="1"/>
    <col min="14870" max="14870" width="7" style="193" bestFit="1" customWidth="1"/>
    <col min="14871" max="14871" width="8.1796875" style="193" bestFit="1" customWidth="1"/>
    <col min="14872" max="14872" width="4.54296875" style="193" customWidth="1"/>
    <col min="14873" max="14873" width="0" style="193" hidden="1" customWidth="1"/>
    <col min="14874" max="14874" width="4.54296875" style="193" bestFit="1" customWidth="1"/>
    <col min="14875" max="14875" width="0" style="193" hidden="1" customWidth="1"/>
    <col min="14876" max="14876" width="4.54296875" style="193" bestFit="1" customWidth="1"/>
    <col min="14877" max="14877" width="4.54296875" style="193" customWidth="1"/>
    <col min="14878" max="14878" width="5.54296875" style="193" bestFit="1" customWidth="1"/>
    <col min="14879" max="14879" width="11.7265625" style="193" customWidth="1"/>
    <col min="14880" max="14880" width="4.1796875" style="193" bestFit="1" customWidth="1"/>
    <col min="14881" max="14881" width="0" style="193" hidden="1" customWidth="1"/>
    <col min="14882" max="14882" width="4.1796875" style="193" bestFit="1" customWidth="1"/>
    <col min="14883" max="14883" width="0" style="193" hidden="1" customWidth="1"/>
    <col min="14884" max="14884" width="4.54296875" style="193" bestFit="1" customWidth="1"/>
    <col min="14885" max="14885" width="4.54296875" style="193" customWidth="1"/>
    <col min="14886" max="14886" width="4.54296875" style="193" bestFit="1" customWidth="1"/>
    <col min="14887" max="14887" width="5.81640625" style="193" bestFit="1" customWidth="1"/>
    <col min="14888" max="14888" width="4.54296875" style="193" bestFit="1" customWidth="1"/>
    <col min="14889" max="14889" width="6.26953125" style="193" bestFit="1" customWidth="1"/>
    <col min="14890" max="14890" width="4.54296875" style="193" bestFit="1" customWidth="1"/>
    <col min="14891" max="14892" width="11.453125" style="193" bestFit="1" customWidth="1"/>
    <col min="14893" max="14893" width="69.7265625" style="193" customWidth="1"/>
    <col min="14894" max="15104" width="8.26953125" style="193"/>
    <col min="15105" max="15105" width="9.1796875" style="193" bestFit="1" customWidth="1"/>
    <col min="15106" max="15106" width="5.453125" style="193" bestFit="1" customWidth="1"/>
    <col min="15107" max="15107" width="6" style="193" bestFit="1" customWidth="1"/>
    <col min="15108" max="15108" width="6.36328125" style="193" bestFit="1" customWidth="1"/>
    <col min="15109" max="15111" width="0" style="193" hidden="1" customWidth="1"/>
    <col min="15112" max="15112" width="5.453125" style="193" bestFit="1" customWidth="1"/>
    <col min="15113" max="15113" width="6.36328125" style="193" bestFit="1" customWidth="1"/>
    <col min="15114" max="15114" width="6.08984375" style="193" customWidth="1"/>
    <col min="15115" max="15117" width="0" style="193" hidden="1" customWidth="1"/>
    <col min="15118" max="15119" width="6.26953125" style="193" customWidth="1"/>
    <col min="15120" max="15120" width="6.36328125" style="193" bestFit="1" customWidth="1"/>
    <col min="15121" max="15121" width="3.54296875" style="193" bestFit="1" customWidth="1"/>
    <col min="15122" max="15122" width="4" style="193" bestFit="1" customWidth="1"/>
    <col min="15123" max="15123" width="5.1796875" style="193" customWidth="1"/>
    <col min="15124" max="15124" width="5.7265625" style="193" customWidth="1"/>
    <col min="15125" max="15125" width="6" style="193" bestFit="1" customWidth="1"/>
    <col min="15126" max="15126" width="7" style="193" bestFit="1" customWidth="1"/>
    <col min="15127" max="15127" width="8.1796875" style="193" bestFit="1" customWidth="1"/>
    <col min="15128" max="15128" width="4.54296875" style="193" customWidth="1"/>
    <col min="15129" max="15129" width="0" style="193" hidden="1" customWidth="1"/>
    <col min="15130" max="15130" width="4.54296875" style="193" bestFit="1" customWidth="1"/>
    <col min="15131" max="15131" width="0" style="193" hidden="1" customWidth="1"/>
    <col min="15132" max="15132" width="4.54296875" style="193" bestFit="1" customWidth="1"/>
    <col min="15133" max="15133" width="4.54296875" style="193" customWidth="1"/>
    <col min="15134" max="15134" width="5.54296875" style="193" bestFit="1" customWidth="1"/>
    <col min="15135" max="15135" width="11.7265625" style="193" customWidth="1"/>
    <col min="15136" max="15136" width="4.1796875" style="193" bestFit="1" customWidth="1"/>
    <col min="15137" max="15137" width="0" style="193" hidden="1" customWidth="1"/>
    <col min="15138" max="15138" width="4.1796875" style="193" bestFit="1" customWidth="1"/>
    <col min="15139" max="15139" width="0" style="193" hidden="1" customWidth="1"/>
    <col min="15140" max="15140" width="4.54296875" style="193" bestFit="1" customWidth="1"/>
    <col min="15141" max="15141" width="4.54296875" style="193" customWidth="1"/>
    <col min="15142" max="15142" width="4.54296875" style="193" bestFit="1" customWidth="1"/>
    <col min="15143" max="15143" width="5.81640625" style="193" bestFit="1" customWidth="1"/>
    <col min="15144" max="15144" width="4.54296875" style="193" bestFit="1" customWidth="1"/>
    <col min="15145" max="15145" width="6.26953125" style="193" bestFit="1" customWidth="1"/>
    <col min="15146" max="15146" width="4.54296875" style="193" bestFit="1" customWidth="1"/>
    <col min="15147" max="15148" width="11.453125" style="193" bestFit="1" customWidth="1"/>
    <col min="15149" max="15149" width="69.7265625" style="193" customWidth="1"/>
    <col min="15150" max="15360" width="8.26953125" style="193"/>
    <col min="15361" max="15361" width="9.1796875" style="193" bestFit="1" customWidth="1"/>
    <col min="15362" max="15362" width="5.453125" style="193" bestFit="1" customWidth="1"/>
    <col min="15363" max="15363" width="6" style="193" bestFit="1" customWidth="1"/>
    <col min="15364" max="15364" width="6.36328125" style="193" bestFit="1" customWidth="1"/>
    <col min="15365" max="15367" width="0" style="193" hidden="1" customWidth="1"/>
    <col min="15368" max="15368" width="5.453125" style="193" bestFit="1" customWidth="1"/>
    <col min="15369" max="15369" width="6.36328125" style="193" bestFit="1" customWidth="1"/>
    <col min="15370" max="15370" width="6.08984375" style="193" customWidth="1"/>
    <col min="15371" max="15373" width="0" style="193" hidden="1" customWidth="1"/>
    <col min="15374" max="15375" width="6.26953125" style="193" customWidth="1"/>
    <col min="15376" max="15376" width="6.36328125" style="193" bestFit="1" customWidth="1"/>
    <col min="15377" max="15377" width="3.54296875" style="193" bestFit="1" customWidth="1"/>
    <col min="15378" max="15378" width="4" style="193" bestFit="1" customWidth="1"/>
    <col min="15379" max="15379" width="5.1796875" style="193" customWidth="1"/>
    <col min="15380" max="15380" width="5.7265625" style="193" customWidth="1"/>
    <col min="15381" max="15381" width="6" style="193" bestFit="1" customWidth="1"/>
    <col min="15382" max="15382" width="7" style="193" bestFit="1" customWidth="1"/>
    <col min="15383" max="15383" width="8.1796875" style="193" bestFit="1" customWidth="1"/>
    <col min="15384" max="15384" width="4.54296875" style="193" customWidth="1"/>
    <col min="15385" max="15385" width="0" style="193" hidden="1" customWidth="1"/>
    <col min="15386" max="15386" width="4.54296875" style="193" bestFit="1" customWidth="1"/>
    <col min="15387" max="15387" width="0" style="193" hidden="1" customWidth="1"/>
    <col min="15388" max="15388" width="4.54296875" style="193" bestFit="1" customWidth="1"/>
    <col min="15389" max="15389" width="4.54296875" style="193" customWidth="1"/>
    <col min="15390" max="15390" width="5.54296875" style="193" bestFit="1" customWidth="1"/>
    <col min="15391" max="15391" width="11.7265625" style="193" customWidth="1"/>
    <col min="15392" max="15392" width="4.1796875" style="193" bestFit="1" customWidth="1"/>
    <col min="15393" max="15393" width="0" style="193" hidden="1" customWidth="1"/>
    <col min="15394" max="15394" width="4.1796875" style="193" bestFit="1" customWidth="1"/>
    <col min="15395" max="15395" width="0" style="193" hidden="1" customWidth="1"/>
    <col min="15396" max="15396" width="4.54296875" style="193" bestFit="1" customWidth="1"/>
    <col min="15397" max="15397" width="4.54296875" style="193" customWidth="1"/>
    <col min="15398" max="15398" width="4.54296875" style="193" bestFit="1" customWidth="1"/>
    <col min="15399" max="15399" width="5.81640625" style="193" bestFit="1" customWidth="1"/>
    <col min="15400" max="15400" width="4.54296875" style="193" bestFit="1" customWidth="1"/>
    <col min="15401" max="15401" width="6.26953125" style="193" bestFit="1" customWidth="1"/>
    <col min="15402" max="15402" width="4.54296875" style="193" bestFit="1" customWidth="1"/>
    <col min="15403" max="15404" width="11.453125" style="193" bestFit="1" customWidth="1"/>
    <col min="15405" max="15405" width="69.7265625" style="193" customWidth="1"/>
    <col min="15406" max="15616" width="8.26953125" style="193"/>
    <col min="15617" max="15617" width="9.1796875" style="193" bestFit="1" customWidth="1"/>
    <col min="15618" max="15618" width="5.453125" style="193" bestFit="1" customWidth="1"/>
    <col min="15619" max="15619" width="6" style="193" bestFit="1" customWidth="1"/>
    <col min="15620" max="15620" width="6.36328125" style="193" bestFit="1" customWidth="1"/>
    <col min="15621" max="15623" width="0" style="193" hidden="1" customWidth="1"/>
    <col min="15624" max="15624" width="5.453125" style="193" bestFit="1" customWidth="1"/>
    <col min="15625" max="15625" width="6.36328125" style="193" bestFit="1" customWidth="1"/>
    <col min="15626" max="15626" width="6.08984375" style="193" customWidth="1"/>
    <col min="15627" max="15629" width="0" style="193" hidden="1" customWidth="1"/>
    <col min="15630" max="15631" width="6.26953125" style="193" customWidth="1"/>
    <col min="15632" max="15632" width="6.36328125" style="193" bestFit="1" customWidth="1"/>
    <col min="15633" max="15633" width="3.54296875" style="193" bestFit="1" customWidth="1"/>
    <col min="15634" max="15634" width="4" style="193" bestFit="1" customWidth="1"/>
    <col min="15635" max="15635" width="5.1796875" style="193" customWidth="1"/>
    <col min="15636" max="15636" width="5.7265625" style="193" customWidth="1"/>
    <col min="15637" max="15637" width="6" style="193" bestFit="1" customWidth="1"/>
    <col min="15638" max="15638" width="7" style="193" bestFit="1" customWidth="1"/>
    <col min="15639" max="15639" width="8.1796875" style="193" bestFit="1" customWidth="1"/>
    <col min="15640" max="15640" width="4.54296875" style="193" customWidth="1"/>
    <col min="15641" max="15641" width="0" style="193" hidden="1" customWidth="1"/>
    <col min="15642" max="15642" width="4.54296875" style="193" bestFit="1" customWidth="1"/>
    <col min="15643" max="15643" width="0" style="193" hidden="1" customWidth="1"/>
    <col min="15644" max="15644" width="4.54296875" style="193" bestFit="1" customWidth="1"/>
    <col min="15645" max="15645" width="4.54296875" style="193" customWidth="1"/>
    <col min="15646" max="15646" width="5.54296875" style="193" bestFit="1" customWidth="1"/>
    <col min="15647" max="15647" width="11.7265625" style="193" customWidth="1"/>
    <col min="15648" max="15648" width="4.1796875" style="193" bestFit="1" customWidth="1"/>
    <col min="15649" max="15649" width="0" style="193" hidden="1" customWidth="1"/>
    <col min="15650" max="15650" width="4.1796875" style="193" bestFit="1" customWidth="1"/>
    <col min="15651" max="15651" width="0" style="193" hidden="1" customWidth="1"/>
    <col min="15652" max="15652" width="4.54296875" style="193" bestFit="1" customWidth="1"/>
    <col min="15653" max="15653" width="4.54296875" style="193" customWidth="1"/>
    <col min="15654" max="15654" width="4.54296875" style="193" bestFit="1" customWidth="1"/>
    <col min="15655" max="15655" width="5.81640625" style="193" bestFit="1" customWidth="1"/>
    <col min="15656" max="15656" width="4.54296875" style="193" bestFit="1" customWidth="1"/>
    <col min="15657" max="15657" width="6.26953125" style="193" bestFit="1" customWidth="1"/>
    <col min="15658" max="15658" width="4.54296875" style="193" bestFit="1" customWidth="1"/>
    <col min="15659" max="15660" width="11.453125" style="193" bestFit="1" customWidth="1"/>
    <col min="15661" max="15661" width="69.7265625" style="193" customWidth="1"/>
    <col min="15662" max="15872" width="8.26953125" style="193"/>
    <col min="15873" max="15873" width="9.1796875" style="193" bestFit="1" customWidth="1"/>
    <col min="15874" max="15874" width="5.453125" style="193" bestFit="1" customWidth="1"/>
    <col min="15875" max="15875" width="6" style="193" bestFit="1" customWidth="1"/>
    <col min="15876" max="15876" width="6.36328125" style="193" bestFit="1" customWidth="1"/>
    <col min="15877" max="15879" width="0" style="193" hidden="1" customWidth="1"/>
    <col min="15880" max="15880" width="5.453125" style="193" bestFit="1" customWidth="1"/>
    <col min="15881" max="15881" width="6.36328125" style="193" bestFit="1" customWidth="1"/>
    <col min="15882" max="15882" width="6.08984375" style="193" customWidth="1"/>
    <col min="15883" max="15885" width="0" style="193" hidden="1" customWidth="1"/>
    <col min="15886" max="15887" width="6.26953125" style="193" customWidth="1"/>
    <col min="15888" max="15888" width="6.36328125" style="193" bestFit="1" customWidth="1"/>
    <col min="15889" max="15889" width="3.54296875" style="193" bestFit="1" customWidth="1"/>
    <col min="15890" max="15890" width="4" style="193" bestFit="1" customWidth="1"/>
    <col min="15891" max="15891" width="5.1796875" style="193" customWidth="1"/>
    <col min="15892" max="15892" width="5.7265625" style="193" customWidth="1"/>
    <col min="15893" max="15893" width="6" style="193" bestFit="1" customWidth="1"/>
    <col min="15894" max="15894" width="7" style="193" bestFit="1" customWidth="1"/>
    <col min="15895" max="15895" width="8.1796875" style="193" bestFit="1" customWidth="1"/>
    <col min="15896" max="15896" width="4.54296875" style="193" customWidth="1"/>
    <col min="15897" max="15897" width="0" style="193" hidden="1" customWidth="1"/>
    <col min="15898" max="15898" width="4.54296875" style="193" bestFit="1" customWidth="1"/>
    <col min="15899" max="15899" width="0" style="193" hidden="1" customWidth="1"/>
    <col min="15900" max="15900" width="4.54296875" style="193" bestFit="1" customWidth="1"/>
    <col min="15901" max="15901" width="4.54296875" style="193" customWidth="1"/>
    <col min="15902" max="15902" width="5.54296875" style="193" bestFit="1" customWidth="1"/>
    <col min="15903" max="15903" width="11.7265625" style="193" customWidth="1"/>
    <col min="15904" max="15904" width="4.1796875" style="193" bestFit="1" customWidth="1"/>
    <col min="15905" max="15905" width="0" style="193" hidden="1" customWidth="1"/>
    <col min="15906" max="15906" width="4.1796875" style="193" bestFit="1" customWidth="1"/>
    <col min="15907" max="15907" width="0" style="193" hidden="1" customWidth="1"/>
    <col min="15908" max="15908" width="4.54296875" style="193" bestFit="1" customWidth="1"/>
    <col min="15909" max="15909" width="4.54296875" style="193" customWidth="1"/>
    <col min="15910" max="15910" width="4.54296875" style="193" bestFit="1" customWidth="1"/>
    <col min="15911" max="15911" width="5.81640625" style="193" bestFit="1" customWidth="1"/>
    <col min="15912" max="15912" width="4.54296875" style="193" bestFit="1" customWidth="1"/>
    <col min="15913" max="15913" width="6.26953125" style="193" bestFit="1" customWidth="1"/>
    <col min="15914" max="15914" width="4.54296875" style="193" bestFit="1" customWidth="1"/>
    <col min="15915" max="15916" width="11.453125" style="193" bestFit="1" customWidth="1"/>
    <col min="15917" max="15917" width="69.7265625" style="193" customWidth="1"/>
    <col min="15918" max="16128" width="8.26953125" style="193"/>
    <col min="16129" max="16129" width="9.1796875" style="193" bestFit="1" customWidth="1"/>
    <col min="16130" max="16130" width="5.453125" style="193" bestFit="1" customWidth="1"/>
    <col min="16131" max="16131" width="6" style="193" bestFit="1" customWidth="1"/>
    <col min="16132" max="16132" width="6.36328125" style="193" bestFit="1" customWidth="1"/>
    <col min="16133" max="16135" width="0" style="193" hidden="1" customWidth="1"/>
    <col min="16136" max="16136" width="5.453125" style="193" bestFit="1" customWidth="1"/>
    <col min="16137" max="16137" width="6.36328125" style="193" bestFit="1" customWidth="1"/>
    <col min="16138" max="16138" width="6.08984375" style="193" customWidth="1"/>
    <col min="16139" max="16141" width="0" style="193" hidden="1" customWidth="1"/>
    <col min="16142" max="16143" width="6.26953125" style="193" customWidth="1"/>
    <col min="16144" max="16144" width="6.36328125" style="193" bestFit="1" customWidth="1"/>
    <col min="16145" max="16145" width="3.54296875" style="193" bestFit="1" customWidth="1"/>
    <col min="16146" max="16146" width="4" style="193" bestFit="1" customWidth="1"/>
    <col min="16147" max="16147" width="5.1796875" style="193" customWidth="1"/>
    <col min="16148" max="16148" width="5.7265625" style="193" customWidth="1"/>
    <col min="16149" max="16149" width="6" style="193" bestFit="1" customWidth="1"/>
    <col min="16150" max="16150" width="7" style="193" bestFit="1" customWidth="1"/>
    <col min="16151" max="16151" width="8.1796875" style="193" bestFit="1" customWidth="1"/>
    <col min="16152" max="16152" width="4.54296875" style="193" customWidth="1"/>
    <col min="16153" max="16153" width="0" style="193" hidden="1" customWidth="1"/>
    <col min="16154" max="16154" width="4.54296875" style="193" bestFit="1" customWidth="1"/>
    <col min="16155" max="16155" width="0" style="193" hidden="1" customWidth="1"/>
    <col min="16156" max="16156" width="4.54296875" style="193" bestFit="1" customWidth="1"/>
    <col min="16157" max="16157" width="4.54296875" style="193" customWidth="1"/>
    <col min="16158" max="16158" width="5.54296875" style="193" bestFit="1" customWidth="1"/>
    <col min="16159" max="16159" width="11.7265625" style="193" customWidth="1"/>
    <col min="16160" max="16160" width="4.1796875" style="193" bestFit="1" customWidth="1"/>
    <col min="16161" max="16161" width="0" style="193" hidden="1" customWidth="1"/>
    <col min="16162" max="16162" width="4.1796875" style="193" bestFit="1" customWidth="1"/>
    <col min="16163" max="16163" width="0" style="193" hidden="1" customWidth="1"/>
    <col min="16164" max="16164" width="4.54296875" style="193" bestFit="1" customWidth="1"/>
    <col min="16165" max="16165" width="4.54296875" style="193" customWidth="1"/>
    <col min="16166" max="16166" width="4.54296875" style="193" bestFit="1" customWidth="1"/>
    <col min="16167" max="16167" width="5.81640625" style="193" bestFit="1" customWidth="1"/>
    <col min="16168" max="16168" width="4.54296875" style="193" bestFit="1" customWidth="1"/>
    <col min="16169" max="16169" width="6.26953125" style="193" bestFit="1" customWidth="1"/>
    <col min="16170" max="16170" width="4.54296875" style="193" bestFit="1" customWidth="1"/>
    <col min="16171" max="16172" width="11.453125" style="193" bestFit="1" customWidth="1"/>
    <col min="16173" max="16173" width="69.7265625" style="193" customWidth="1"/>
    <col min="16174" max="16384" width="8.26953125" style="193"/>
  </cols>
  <sheetData>
    <row r="1" spans="1:256" s="127" customFormat="1" ht="14.95" customHeight="1" thickBot="1" x14ac:dyDescent="0.35">
      <c r="A1" s="323"/>
      <c r="B1" s="398" t="s">
        <v>133</v>
      </c>
      <c r="C1" s="399"/>
      <c r="D1" s="399"/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399"/>
      <c r="P1" s="399"/>
      <c r="Q1" s="399"/>
      <c r="R1" s="399"/>
      <c r="S1" s="399"/>
      <c r="T1" s="399"/>
      <c r="U1" s="399"/>
      <c r="V1" s="399"/>
      <c r="W1" s="400"/>
      <c r="X1" s="375" t="s">
        <v>134</v>
      </c>
      <c r="Y1" s="376"/>
      <c r="Z1" s="376"/>
      <c r="AA1" s="376"/>
      <c r="AB1" s="376"/>
      <c r="AC1" s="376"/>
      <c r="AD1" s="376"/>
      <c r="AE1" s="377"/>
      <c r="AF1" s="378" t="s">
        <v>153</v>
      </c>
      <c r="AG1" s="379"/>
      <c r="AH1" s="379"/>
      <c r="AI1" s="379"/>
      <c r="AJ1" s="379"/>
      <c r="AK1" s="380"/>
      <c r="AL1" s="381" t="s">
        <v>135</v>
      </c>
      <c r="AM1" s="382"/>
      <c r="AN1" s="382"/>
      <c r="AO1" s="382"/>
      <c r="AP1" s="383"/>
      <c r="AQ1" s="384" t="s">
        <v>154</v>
      </c>
      <c r="AR1" s="406" t="s">
        <v>155</v>
      </c>
    </row>
    <row r="2" spans="1:256" s="127" customFormat="1" ht="14.95" customHeight="1" thickBot="1" x14ac:dyDescent="0.35">
      <c r="A2" s="323"/>
      <c r="B2" s="401" t="s">
        <v>156</v>
      </c>
      <c r="C2" s="396"/>
      <c r="D2" s="397"/>
      <c r="E2" s="392" t="s">
        <v>157</v>
      </c>
      <c r="F2" s="393"/>
      <c r="G2" s="394"/>
      <c r="H2" s="395" t="s">
        <v>158</v>
      </c>
      <c r="I2" s="396"/>
      <c r="J2" s="397"/>
      <c r="K2" s="392" t="s">
        <v>159</v>
      </c>
      <c r="L2" s="393"/>
      <c r="M2" s="394"/>
      <c r="N2" s="395" t="s">
        <v>31</v>
      </c>
      <c r="O2" s="396"/>
      <c r="P2" s="397"/>
      <c r="Q2" s="326"/>
      <c r="R2" s="327"/>
      <c r="S2" s="328"/>
      <c r="T2" s="328"/>
      <c r="U2" s="387" t="s">
        <v>139</v>
      </c>
      <c r="V2" s="387" t="s">
        <v>162</v>
      </c>
      <c r="W2" s="389" t="s">
        <v>140</v>
      </c>
      <c r="X2" s="460"/>
      <c r="Y2" s="324"/>
      <c r="Z2" s="324"/>
      <c r="AA2" s="324"/>
      <c r="AB2" s="324"/>
      <c r="AC2" s="324"/>
      <c r="AD2" s="324"/>
      <c r="AE2" s="389" t="s">
        <v>165</v>
      </c>
      <c r="AF2" s="460"/>
      <c r="AG2" s="324"/>
      <c r="AH2" s="324"/>
      <c r="AI2" s="324"/>
      <c r="AJ2" s="324"/>
      <c r="AK2" s="461"/>
      <c r="AL2" s="411" t="s">
        <v>29</v>
      </c>
      <c r="AM2" s="405" t="s">
        <v>163</v>
      </c>
      <c r="AN2" s="405" t="s">
        <v>164</v>
      </c>
      <c r="AO2" s="405" t="s">
        <v>159</v>
      </c>
      <c r="AP2" s="391" t="s">
        <v>31</v>
      </c>
      <c r="AQ2" s="385"/>
      <c r="AR2" s="407"/>
      <c r="AS2" s="330"/>
    </row>
    <row r="3" spans="1:256" s="127" customFormat="1" ht="29.35" thickBot="1" x14ac:dyDescent="0.35">
      <c r="A3" s="322" t="s">
        <v>26</v>
      </c>
      <c r="B3" s="128" t="s">
        <v>213</v>
      </c>
      <c r="C3" s="129" t="s">
        <v>218</v>
      </c>
      <c r="D3" s="129" t="s">
        <v>217</v>
      </c>
      <c r="E3" s="130" t="s">
        <v>147</v>
      </c>
      <c r="F3" s="130" t="s">
        <v>148</v>
      </c>
      <c r="G3" s="130" t="s">
        <v>149</v>
      </c>
      <c r="H3" s="129" t="s">
        <v>216</v>
      </c>
      <c r="I3" s="129" t="s">
        <v>215</v>
      </c>
      <c r="J3" s="129" t="s">
        <v>214</v>
      </c>
      <c r="K3" s="130" t="s">
        <v>147</v>
      </c>
      <c r="L3" s="130" t="s">
        <v>148</v>
      </c>
      <c r="M3" s="130" t="s">
        <v>149</v>
      </c>
      <c r="N3" s="129" t="s">
        <v>219</v>
      </c>
      <c r="O3" s="129" t="s">
        <v>220</v>
      </c>
      <c r="P3" s="129" t="s">
        <v>221</v>
      </c>
      <c r="Q3" s="324" t="s">
        <v>222</v>
      </c>
      <c r="R3" s="324" t="s">
        <v>223</v>
      </c>
      <c r="S3" s="325" t="s">
        <v>224</v>
      </c>
      <c r="T3" s="325" t="s">
        <v>225</v>
      </c>
      <c r="U3" s="388"/>
      <c r="V3" s="388"/>
      <c r="W3" s="442"/>
      <c r="X3" s="462" t="s">
        <v>226</v>
      </c>
      <c r="Y3" s="462" t="s">
        <v>163</v>
      </c>
      <c r="Z3" s="462" t="s">
        <v>227</v>
      </c>
      <c r="AA3" s="462" t="s">
        <v>159</v>
      </c>
      <c r="AB3" s="462" t="s">
        <v>228</v>
      </c>
      <c r="AC3" s="462" t="s">
        <v>229</v>
      </c>
      <c r="AD3" s="462" t="s">
        <v>230</v>
      </c>
      <c r="AE3" s="442"/>
      <c r="AF3" s="462" t="s">
        <v>231</v>
      </c>
      <c r="AG3" s="462" t="s">
        <v>163</v>
      </c>
      <c r="AH3" s="462" t="s">
        <v>232</v>
      </c>
      <c r="AI3" s="462" t="s">
        <v>159</v>
      </c>
      <c r="AJ3" s="462" t="s">
        <v>233</v>
      </c>
      <c r="AK3" s="462" t="s">
        <v>234</v>
      </c>
      <c r="AL3" s="463"/>
      <c r="AM3" s="388"/>
      <c r="AN3" s="388"/>
      <c r="AO3" s="388"/>
      <c r="AP3" s="390"/>
      <c r="AQ3" s="386"/>
      <c r="AR3" s="408"/>
      <c r="AS3" s="329" t="s">
        <v>25</v>
      </c>
    </row>
    <row r="4" spans="1:256" s="127" customFormat="1" x14ac:dyDescent="0.3">
      <c r="A4" s="131">
        <v>41236</v>
      </c>
      <c r="B4" s="132">
        <v>95.56</v>
      </c>
      <c r="C4" s="133">
        <v>97.48</v>
      </c>
      <c r="D4" s="133">
        <v>97.474000000000004</v>
      </c>
      <c r="E4" s="133"/>
      <c r="F4" s="133"/>
      <c r="G4" s="133"/>
      <c r="H4" s="133">
        <v>95.51</v>
      </c>
      <c r="I4" s="133">
        <v>96.89</v>
      </c>
      <c r="J4" s="133">
        <v>96.373999999999995</v>
      </c>
      <c r="K4" s="133"/>
      <c r="L4" s="133"/>
      <c r="M4" s="133"/>
      <c r="N4" s="133">
        <v>94.98</v>
      </c>
      <c r="O4" s="133">
        <v>97.48</v>
      </c>
      <c r="P4" s="133">
        <v>96.546999999999997</v>
      </c>
      <c r="Q4" s="133">
        <v>94</v>
      </c>
      <c r="R4" s="133">
        <v>99</v>
      </c>
      <c r="S4" s="134">
        <v>81.5</v>
      </c>
      <c r="T4" s="134">
        <v>111.5</v>
      </c>
      <c r="U4" s="135">
        <f>AVERAGE(D4:P4)</f>
        <v>96.465000000000018</v>
      </c>
      <c r="V4" s="135">
        <f>U4/AR4</f>
        <v>6.2925636007827803</v>
      </c>
      <c r="W4" s="136">
        <f>STDEVP(D4,J4,P4)</f>
        <v>0.48296054589261472</v>
      </c>
      <c r="X4" s="137">
        <f>((97.83-96.72)/(97.83+96.72))*100</f>
        <v>0.57054741711642221</v>
      </c>
      <c r="Y4" s="138"/>
      <c r="Z4" s="138"/>
      <c r="AA4" s="138"/>
      <c r="AB4" s="138"/>
      <c r="AC4" s="138">
        <v>1.8</v>
      </c>
      <c r="AD4" s="135">
        <f t="shared" ref="AD4:AD14" si="0">AVERAGE(X4:AB4)</f>
        <v>0.57054741711642221</v>
      </c>
      <c r="AE4" s="139"/>
      <c r="AF4" s="140">
        <v>0</v>
      </c>
      <c r="AG4" s="141"/>
      <c r="AH4" s="141">
        <v>0</v>
      </c>
      <c r="AI4" s="141"/>
      <c r="AJ4" s="141">
        <v>-1</v>
      </c>
      <c r="AK4" s="142">
        <v>20</v>
      </c>
      <c r="AL4" s="140"/>
      <c r="AM4" s="141"/>
      <c r="AN4" s="141"/>
      <c r="AO4" s="141"/>
      <c r="AP4" s="142"/>
      <c r="AQ4" s="143">
        <v>0.968981481481481</v>
      </c>
      <c r="AR4" s="144">
        <v>15.33</v>
      </c>
      <c r="AS4" s="145"/>
    </row>
    <row r="5" spans="1:256" s="127" customFormat="1" x14ac:dyDescent="0.3">
      <c r="A5" s="146">
        <v>41247</v>
      </c>
      <c r="B5" s="147">
        <v>96.72</v>
      </c>
      <c r="C5" s="148">
        <v>97.83</v>
      </c>
      <c r="D5" s="149">
        <v>97.128</v>
      </c>
      <c r="E5" s="149"/>
      <c r="F5" s="149"/>
      <c r="G5" s="150"/>
      <c r="H5" s="150">
        <v>95.63</v>
      </c>
      <c r="I5" s="150">
        <v>97.87</v>
      </c>
      <c r="J5" s="149">
        <v>96.546999999999997</v>
      </c>
      <c r="K5" s="149"/>
      <c r="L5" s="149"/>
      <c r="M5" s="150"/>
      <c r="N5" s="150">
        <v>96.24</v>
      </c>
      <c r="O5" s="150">
        <v>100.51</v>
      </c>
      <c r="P5" s="149">
        <v>98.120999999999995</v>
      </c>
      <c r="Q5" s="148">
        <v>94</v>
      </c>
      <c r="R5" s="148">
        <v>99</v>
      </c>
      <c r="S5" s="151">
        <v>81.5</v>
      </c>
      <c r="T5" s="151">
        <v>111.5</v>
      </c>
      <c r="U5" s="152">
        <f>AVERAGE(D5:P5)</f>
        <v>97.43514285714285</v>
      </c>
      <c r="V5" s="152">
        <f t="shared" ref="V5:V68" si="1">U5/AR5</f>
        <v>6.3558475444972506</v>
      </c>
      <c r="W5" s="153">
        <f>STDEVP(D5,J5,P5)</f>
        <v>0.64987913406177888</v>
      </c>
      <c r="X5" s="154">
        <f>((97.83-96.72)/(97.83+96.72))*100</f>
        <v>0.57054741711642221</v>
      </c>
      <c r="Y5" s="155"/>
      <c r="Z5" s="152">
        <f>((97.87-95.63)/(97.87+95.63))*100</f>
        <v>1.1576227390180927</v>
      </c>
      <c r="AA5" s="155"/>
      <c r="AB5" s="152">
        <f>((100.51-96.24)/(100.51+96.24))*100</f>
        <v>2.1702668360864092</v>
      </c>
      <c r="AC5" s="156">
        <v>1.8</v>
      </c>
      <c r="AD5" s="152">
        <f t="shared" si="0"/>
        <v>1.2994789974069747</v>
      </c>
      <c r="AE5" s="157">
        <f t="shared" ref="AE5:AE14" si="2">STDEVP(X5:AB5)</f>
        <v>0.6607409746592523</v>
      </c>
      <c r="AF5" s="158">
        <v>-1</v>
      </c>
      <c r="AG5" s="159"/>
      <c r="AH5" s="159">
        <v>0</v>
      </c>
      <c r="AI5" s="159"/>
      <c r="AJ5" s="159">
        <v>-2</v>
      </c>
      <c r="AK5" s="160">
        <v>20</v>
      </c>
      <c r="AL5" s="161">
        <v>1002</v>
      </c>
      <c r="AM5" s="162">
        <v>1002</v>
      </c>
      <c r="AN5" s="162">
        <v>1000</v>
      </c>
      <c r="AO5" s="162">
        <v>1000</v>
      </c>
      <c r="AP5" s="163">
        <v>1001</v>
      </c>
      <c r="AQ5" s="164">
        <v>1.064814814814815E-2</v>
      </c>
      <c r="AR5" s="165">
        <v>15.33</v>
      </c>
      <c r="AS5" s="402" t="s">
        <v>167</v>
      </c>
    </row>
    <row r="6" spans="1:256" s="127" customFormat="1" x14ac:dyDescent="0.3">
      <c r="A6" s="146">
        <v>41248</v>
      </c>
      <c r="B6" s="147">
        <v>94.6</v>
      </c>
      <c r="C6" s="148">
        <v>97.21</v>
      </c>
      <c r="D6" s="149">
        <v>94.442999999999998</v>
      </c>
      <c r="E6" s="149"/>
      <c r="F6" s="149"/>
      <c r="G6" s="150"/>
      <c r="H6" s="150">
        <v>94.84</v>
      </c>
      <c r="I6" s="150">
        <v>96.03</v>
      </c>
      <c r="J6" s="149">
        <v>95.744</v>
      </c>
      <c r="K6" s="149"/>
      <c r="L6" s="149"/>
      <c r="M6" s="150"/>
      <c r="N6" s="150">
        <v>94.22</v>
      </c>
      <c r="O6" s="150">
        <v>97.17</v>
      </c>
      <c r="P6" s="149">
        <v>97.763999999999996</v>
      </c>
      <c r="Q6" s="148">
        <v>94</v>
      </c>
      <c r="R6" s="148">
        <v>99</v>
      </c>
      <c r="S6" s="151">
        <v>81.5</v>
      </c>
      <c r="T6" s="151">
        <v>111.5</v>
      </c>
      <c r="U6" s="152">
        <f>AVERAGE(D6:P6)</f>
        <v>95.744428571428571</v>
      </c>
      <c r="V6" s="152">
        <f t="shared" si="1"/>
        <v>6.2455595937004942</v>
      </c>
      <c r="W6" s="153">
        <f>STDEVP(D6,J6,P6)</f>
        <v>1.3663431324361948</v>
      </c>
      <c r="X6" s="154">
        <f>((97.21-95.6)/(97.21+95.6))*100</f>
        <v>0.83501893055339427</v>
      </c>
      <c r="Y6" s="155"/>
      <c r="Z6" s="152">
        <f>((96.03-94.87)/(96.03+94.87))*100</f>
        <v>0.60764798323729519</v>
      </c>
      <c r="AA6" s="155"/>
      <c r="AB6" s="152">
        <f>((97.17-94.22)/(97.17+94.22))*100</f>
        <v>1.5413553477193183</v>
      </c>
      <c r="AC6" s="156">
        <v>1.8</v>
      </c>
      <c r="AD6" s="152">
        <f t="shared" si="0"/>
        <v>0.99467408717000261</v>
      </c>
      <c r="AE6" s="157">
        <f t="shared" si="2"/>
        <v>0.39755057321695703</v>
      </c>
      <c r="AF6" s="158">
        <v>0</v>
      </c>
      <c r="AG6" s="159"/>
      <c r="AH6" s="159">
        <v>0</v>
      </c>
      <c r="AI6" s="159"/>
      <c r="AJ6" s="159">
        <v>0</v>
      </c>
      <c r="AK6" s="160">
        <v>20</v>
      </c>
      <c r="AL6" s="161">
        <v>1002</v>
      </c>
      <c r="AM6" s="162">
        <v>1002</v>
      </c>
      <c r="AN6" s="162">
        <v>1000</v>
      </c>
      <c r="AO6" s="162">
        <v>1000</v>
      </c>
      <c r="AP6" s="163">
        <v>1001</v>
      </c>
      <c r="AQ6" s="164">
        <v>1.064814814814815E-2</v>
      </c>
      <c r="AR6" s="165">
        <v>15.33</v>
      </c>
      <c r="AS6" s="403"/>
    </row>
    <row r="7" spans="1:256" s="127" customFormat="1" x14ac:dyDescent="0.3">
      <c r="A7" s="146">
        <v>41253</v>
      </c>
      <c r="B7" s="147">
        <v>94.78</v>
      </c>
      <c r="C7" s="148">
        <v>97.28</v>
      </c>
      <c r="D7" s="149">
        <v>96.212999999999994</v>
      </c>
      <c r="E7" s="149"/>
      <c r="F7" s="149"/>
      <c r="G7" s="150">
        <v>95.902000000000001</v>
      </c>
      <c r="H7" s="150">
        <v>93.99</v>
      </c>
      <c r="I7" s="150">
        <v>96.4</v>
      </c>
      <c r="J7" s="149">
        <v>95.555999999999997</v>
      </c>
      <c r="K7" s="149"/>
      <c r="L7" s="149"/>
      <c r="M7" s="150">
        <v>95.394000000000005</v>
      </c>
      <c r="N7" s="150">
        <v>94.98</v>
      </c>
      <c r="O7" s="150">
        <v>97.2</v>
      </c>
      <c r="P7" s="149">
        <v>95.311999999999998</v>
      </c>
      <c r="Q7" s="148">
        <v>94</v>
      </c>
      <c r="R7" s="148">
        <v>99</v>
      </c>
      <c r="S7" s="151">
        <v>81.5</v>
      </c>
      <c r="T7" s="151">
        <v>111.5</v>
      </c>
      <c r="U7" s="152">
        <f>AVERAGE(D7,G7,J7,M7,P7)</f>
        <v>95.675399999999996</v>
      </c>
      <c r="V7" s="152">
        <f t="shared" si="1"/>
        <v>6.2410567514677098</v>
      </c>
      <c r="W7" s="153">
        <f>STDEVP(D7,G7,J7,M7,P7)</f>
        <v>0.33641141478849768</v>
      </c>
      <c r="X7" s="154">
        <v>1.3</v>
      </c>
      <c r="Y7" s="155">
        <v>0.4</v>
      </c>
      <c r="Z7" s="152">
        <v>0.62</v>
      </c>
      <c r="AA7" s="155">
        <v>1.27</v>
      </c>
      <c r="AB7" s="152">
        <v>1.21</v>
      </c>
      <c r="AC7" s="156">
        <v>1.8</v>
      </c>
      <c r="AD7" s="152">
        <f t="shared" si="0"/>
        <v>0.96000000000000019</v>
      </c>
      <c r="AE7" s="157">
        <f t="shared" si="2"/>
        <v>0.3750733261643644</v>
      </c>
      <c r="AF7" s="158">
        <v>-8</v>
      </c>
      <c r="AG7" s="159">
        <v>-4</v>
      </c>
      <c r="AH7" s="159">
        <v>-3</v>
      </c>
      <c r="AI7" s="159">
        <v>-1</v>
      </c>
      <c r="AJ7" s="159">
        <v>1</v>
      </c>
      <c r="AK7" s="160">
        <v>20</v>
      </c>
      <c r="AL7" s="161">
        <v>1002</v>
      </c>
      <c r="AM7" s="162">
        <v>1002</v>
      </c>
      <c r="AN7" s="162">
        <v>1000</v>
      </c>
      <c r="AO7" s="162">
        <v>1000</v>
      </c>
      <c r="AP7" s="163">
        <v>1001</v>
      </c>
      <c r="AQ7" s="164">
        <v>1.064814814814815E-2</v>
      </c>
      <c r="AR7" s="165">
        <v>15.33</v>
      </c>
      <c r="AS7" s="403"/>
    </row>
    <row r="8" spans="1:256" s="127" customFormat="1" x14ac:dyDescent="0.3">
      <c r="A8" s="146">
        <v>41254</v>
      </c>
      <c r="B8" s="147">
        <v>94.98</v>
      </c>
      <c r="C8" s="148">
        <v>97.2</v>
      </c>
      <c r="D8" s="149">
        <v>96.19</v>
      </c>
      <c r="E8" s="149"/>
      <c r="F8" s="149"/>
      <c r="G8" s="150"/>
      <c r="H8" s="150">
        <v>95.1</v>
      </c>
      <c r="I8" s="150">
        <v>96.26</v>
      </c>
      <c r="J8" s="149">
        <v>95.918000000000006</v>
      </c>
      <c r="K8" s="149"/>
      <c r="L8" s="149"/>
      <c r="M8" s="150"/>
      <c r="N8" s="150">
        <v>94.28</v>
      </c>
      <c r="O8" s="150">
        <v>96.84</v>
      </c>
      <c r="P8" s="149">
        <v>95.686000000000007</v>
      </c>
      <c r="Q8" s="148">
        <v>94</v>
      </c>
      <c r="R8" s="148">
        <v>99</v>
      </c>
      <c r="S8" s="151">
        <v>81.5</v>
      </c>
      <c r="T8" s="151">
        <v>111.5</v>
      </c>
      <c r="U8" s="152">
        <f>AVERAGE(D8:P8)</f>
        <v>95.753428571428586</v>
      </c>
      <c r="V8" s="152">
        <f t="shared" si="1"/>
        <v>6.2461466778492225</v>
      </c>
      <c r="W8" s="153">
        <f>STDEVP(D8:P8)</f>
        <v>0.77987523858313657</v>
      </c>
      <c r="X8" s="154">
        <v>1.1599999999999999</v>
      </c>
      <c r="Y8" s="155"/>
      <c r="Z8" s="152">
        <v>0.61</v>
      </c>
      <c r="AA8" s="155"/>
      <c r="AB8" s="152">
        <v>1.34</v>
      </c>
      <c r="AC8" s="156">
        <v>1.8</v>
      </c>
      <c r="AD8" s="152">
        <f t="shared" si="0"/>
        <v>1.0366666666666668</v>
      </c>
      <c r="AE8" s="157">
        <f t="shared" si="2"/>
        <v>0.31051927834229859</v>
      </c>
      <c r="AF8" s="158">
        <v>-4</v>
      </c>
      <c r="AG8" s="159"/>
      <c r="AH8" s="159">
        <v>-1</v>
      </c>
      <c r="AI8" s="159"/>
      <c r="AJ8" s="159">
        <v>-4</v>
      </c>
      <c r="AK8" s="160">
        <v>20</v>
      </c>
      <c r="AL8" s="161">
        <v>1002</v>
      </c>
      <c r="AM8" s="162">
        <v>1002</v>
      </c>
      <c r="AN8" s="162">
        <v>1000</v>
      </c>
      <c r="AO8" s="162">
        <v>1000</v>
      </c>
      <c r="AP8" s="163">
        <v>1001</v>
      </c>
      <c r="AQ8" s="164">
        <v>1.064814814814815E-2</v>
      </c>
      <c r="AR8" s="165">
        <v>15.33</v>
      </c>
      <c r="AS8" s="404"/>
    </row>
    <row r="9" spans="1:256" s="127" customFormat="1" x14ac:dyDescent="0.3">
      <c r="A9" s="146">
        <v>41282</v>
      </c>
      <c r="B9" s="147">
        <v>95.05</v>
      </c>
      <c r="C9" s="148">
        <v>97.05</v>
      </c>
      <c r="D9" s="149">
        <v>96.03</v>
      </c>
      <c r="E9" s="148"/>
      <c r="F9" s="148"/>
      <c r="G9" s="148"/>
      <c r="H9" s="148">
        <v>94.79</v>
      </c>
      <c r="I9" s="148">
        <v>96.22</v>
      </c>
      <c r="J9" s="149">
        <v>95.84</v>
      </c>
      <c r="K9" s="148"/>
      <c r="L9" s="148"/>
      <c r="M9" s="148"/>
      <c r="N9" s="148">
        <v>93.99</v>
      </c>
      <c r="O9" s="148">
        <v>96.4</v>
      </c>
      <c r="P9" s="149">
        <v>95.441000000000003</v>
      </c>
      <c r="Q9" s="148">
        <v>94</v>
      </c>
      <c r="R9" s="148">
        <v>99</v>
      </c>
      <c r="S9" s="151">
        <v>81.5</v>
      </c>
      <c r="T9" s="151">
        <v>111.5</v>
      </c>
      <c r="U9" s="152">
        <f t="shared" ref="U9:U14" si="3">AVERAGE(D9:P9)</f>
        <v>95.530142857142863</v>
      </c>
      <c r="V9" s="152">
        <f t="shared" si="1"/>
        <v>6.2315813996831615</v>
      </c>
      <c r="W9" s="153">
        <f t="shared" ref="W9:W72" si="4">STDEVP(D9:P9)</f>
        <v>0.80233773233888006</v>
      </c>
      <c r="X9" s="154">
        <f>(97.05-95.05)/(97.05+95.05)*100</f>
        <v>1.0411244143675169</v>
      </c>
      <c r="Y9" s="155"/>
      <c r="Z9" s="152">
        <f>(96.22-94.79)/(96.22+94.79)*100</f>
        <v>0.74865190304172169</v>
      </c>
      <c r="AA9" s="155"/>
      <c r="AB9" s="152">
        <f>(96.4-93.99)/(96.4+93.99)*100</f>
        <v>1.2658227848101322</v>
      </c>
      <c r="AC9" s="156">
        <v>1.8</v>
      </c>
      <c r="AD9" s="152">
        <f t="shared" si="0"/>
        <v>1.0185330340731236</v>
      </c>
      <c r="AE9" s="157">
        <f t="shared" si="2"/>
        <v>0.21173758615321209</v>
      </c>
      <c r="AF9" s="158">
        <v>0</v>
      </c>
      <c r="AG9" s="159"/>
      <c r="AH9" s="159">
        <v>0</v>
      </c>
      <c r="AI9" s="159"/>
      <c r="AJ9" s="159">
        <v>0</v>
      </c>
      <c r="AK9" s="160">
        <v>20</v>
      </c>
      <c r="AL9" s="161">
        <v>1002</v>
      </c>
      <c r="AM9" s="162">
        <v>1002</v>
      </c>
      <c r="AN9" s="162">
        <v>1000</v>
      </c>
      <c r="AO9" s="162">
        <v>1000</v>
      </c>
      <c r="AP9" s="163">
        <v>1001</v>
      </c>
      <c r="AQ9" s="164">
        <v>1.064814814814815E-2</v>
      </c>
      <c r="AR9" s="165">
        <v>15.33</v>
      </c>
      <c r="AS9" s="166"/>
    </row>
    <row r="10" spans="1:256" s="127" customFormat="1" x14ac:dyDescent="0.3">
      <c r="A10" s="146">
        <v>41306</v>
      </c>
      <c r="B10" s="147">
        <v>95.5</v>
      </c>
      <c r="C10" s="148">
        <v>97.72</v>
      </c>
      <c r="D10" s="149">
        <v>96.58</v>
      </c>
      <c r="E10" s="148"/>
      <c r="F10" s="148"/>
      <c r="G10" s="148"/>
      <c r="H10" s="148">
        <v>95.08</v>
      </c>
      <c r="I10" s="148">
        <v>96.97</v>
      </c>
      <c r="J10" s="149">
        <v>96.21</v>
      </c>
      <c r="K10" s="148"/>
      <c r="L10" s="148"/>
      <c r="M10" s="148"/>
      <c r="N10" s="148">
        <v>94.26</v>
      </c>
      <c r="O10" s="148">
        <v>96.76</v>
      </c>
      <c r="P10" s="149">
        <v>95.608000000000004</v>
      </c>
      <c r="Q10" s="148">
        <v>94</v>
      </c>
      <c r="R10" s="148">
        <v>99</v>
      </c>
      <c r="S10" s="151">
        <v>81.5</v>
      </c>
      <c r="T10" s="151">
        <v>111.5</v>
      </c>
      <c r="U10" s="152">
        <f t="shared" si="3"/>
        <v>95.924000000000007</v>
      </c>
      <c r="V10" s="152">
        <f t="shared" si="1"/>
        <v>6.2572733202870197</v>
      </c>
      <c r="W10" s="153">
        <f t="shared" si="4"/>
        <v>0.91700070104350706</v>
      </c>
      <c r="X10" s="154">
        <f>(97.72-95.5)/(97.72+95.5)*100</f>
        <v>1.148949384121726</v>
      </c>
      <c r="Y10" s="155"/>
      <c r="Z10" s="152">
        <f>(96.97-95.08)/(96.97+95.08)*100</f>
        <v>0.98411871908357218</v>
      </c>
      <c r="AA10" s="155"/>
      <c r="AB10" s="152">
        <f>(96.76-94.26)/(96.76+94.26)*100</f>
        <v>1.3087634802638466</v>
      </c>
      <c r="AC10" s="156">
        <v>1.8</v>
      </c>
      <c r="AD10" s="152">
        <f t="shared" si="0"/>
        <v>1.1472771944897149</v>
      </c>
      <c r="AE10" s="157">
        <f t="shared" si="2"/>
        <v>0.13254094311840262</v>
      </c>
      <c r="AF10" s="158">
        <v>0</v>
      </c>
      <c r="AG10" s="159"/>
      <c r="AH10" s="159">
        <v>-1</v>
      </c>
      <c r="AI10" s="159"/>
      <c r="AJ10" s="159">
        <v>-3</v>
      </c>
      <c r="AK10" s="160">
        <v>20</v>
      </c>
      <c r="AL10" s="161">
        <v>1002</v>
      </c>
      <c r="AM10" s="162">
        <v>1002</v>
      </c>
      <c r="AN10" s="162">
        <v>1000</v>
      </c>
      <c r="AO10" s="162">
        <v>1000</v>
      </c>
      <c r="AP10" s="163">
        <v>1001</v>
      </c>
      <c r="AQ10" s="164">
        <v>1.064814814814815E-2</v>
      </c>
      <c r="AR10" s="165">
        <v>15.33</v>
      </c>
      <c r="AS10" s="166"/>
    </row>
    <row r="11" spans="1:256" s="127" customFormat="1" x14ac:dyDescent="0.3">
      <c r="A11" s="146">
        <v>41326</v>
      </c>
      <c r="B11" s="147">
        <v>98.87</v>
      </c>
      <c r="C11" s="148">
        <v>100.89</v>
      </c>
      <c r="D11" s="167">
        <v>100.13</v>
      </c>
      <c r="E11" s="148"/>
      <c r="F11" s="148"/>
      <c r="G11" s="148"/>
      <c r="H11" s="148">
        <v>97.75</v>
      </c>
      <c r="I11" s="148">
        <v>99.66</v>
      </c>
      <c r="J11" s="149">
        <v>99</v>
      </c>
      <c r="K11" s="148"/>
      <c r="L11" s="148"/>
      <c r="M11" s="148"/>
      <c r="N11" s="148">
        <v>96.91</v>
      </c>
      <c r="O11" s="148">
        <v>99.74</v>
      </c>
      <c r="P11" s="149">
        <v>98.12</v>
      </c>
      <c r="Q11" s="148">
        <v>94</v>
      </c>
      <c r="R11" s="148">
        <v>99</v>
      </c>
      <c r="S11" s="151">
        <v>81.5</v>
      </c>
      <c r="T11" s="151">
        <v>111.5</v>
      </c>
      <c r="U11" s="152">
        <f t="shared" si="3"/>
        <v>98.758571428571415</v>
      </c>
      <c r="V11" s="152">
        <f t="shared" si="1"/>
        <v>6.4421768707482983</v>
      </c>
      <c r="W11" s="153">
        <f t="shared" si="4"/>
        <v>1.1056404552685866</v>
      </c>
      <c r="X11" s="154">
        <f>(100.89-98.87)/(100.89+98.87)*100</f>
        <v>1.0112134561473749</v>
      </c>
      <c r="Y11" s="155"/>
      <c r="Z11" s="152">
        <f>(99.66-97.75)/(99.66+97.75)*100</f>
        <v>0.96752950711716557</v>
      </c>
      <c r="AA11" s="155"/>
      <c r="AB11" s="152">
        <f>(99.74-96.91)/(99.74+96.91)*100</f>
        <v>1.4391050088990585</v>
      </c>
      <c r="AC11" s="156">
        <v>1.8</v>
      </c>
      <c r="AD11" s="152">
        <f t="shared" si="0"/>
        <v>1.1392826573878663</v>
      </c>
      <c r="AE11" s="157">
        <f t="shared" si="2"/>
        <v>0.21275518591406695</v>
      </c>
      <c r="AF11" s="158">
        <v>-3</v>
      </c>
      <c r="AG11" s="159"/>
      <c r="AH11" s="159">
        <v>1</v>
      </c>
      <c r="AI11" s="159"/>
      <c r="AJ11" s="159">
        <v>1</v>
      </c>
      <c r="AK11" s="160">
        <v>20</v>
      </c>
      <c r="AL11" s="161">
        <v>1002</v>
      </c>
      <c r="AM11" s="162">
        <v>1002</v>
      </c>
      <c r="AN11" s="162">
        <v>1000</v>
      </c>
      <c r="AO11" s="162">
        <v>1000</v>
      </c>
      <c r="AP11" s="163">
        <v>1001</v>
      </c>
      <c r="AQ11" s="164">
        <v>1.064814814814815E-2</v>
      </c>
      <c r="AR11" s="165">
        <v>15.33</v>
      </c>
      <c r="AS11" s="166"/>
    </row>
    <row r="12" spans="1:256" s="127" customFormat="1" x14ac:dyDescent="0.3">
      <c r="A12" s="146">
        <v>41354</v>
      </c>
      <c r="B12" s="147">
        <v>98.76</v>
      </c>
      <c r="C12" s="148">
        <v>100.73</v>
      </c>
      <c r="D12" s="167">
        <v>99.97</v>
      </c>
      <c r="E12" s="148"/>
      <c r="F12" s="148"/>
      <c r="G12" s="148"/>
      <c r="H12" s="148">
        <v>97.58</v>
      </c>
      <c r="I12" s="148">
        <v>99.43</v>
      </c>
      <c r="J12" s="149">
        <v>98.88</v>
      </c>
      <c r="K12" s="148"/>
      <c r="L12" s="148"/>
      <c r="M12" s="148"/>
      <c r="N12" s="148">
        <v>96.77</v>
      </c>
      <c r="O12" s="148">
        <v>99.65</v>
      </c>
      <c r="P12" s="149">
        <v>98.24</v>
      </c>
      <c r="Q12" s="148">
        <v>94</v>
      </c>
      <c r="R12" s="148">
        <v>99</v>
      </c>
      <c r="S12" s="151">
        <v>81.5</v>
      </c>
      <c r="T12" s="151">
        <v>111.5</v>
      </c>
      <c r="U12" s="152">
        <f t="shared" si="3"/>
        <v>98.645714285714277</v>
      </c>
      <c r="V12" s="152">
        <f t="shared" si="1"/>
        <v>6.43481502189917</v>
      </c>
      <c r="W12" s="153">
        <f t="shared" si="4"/>
        <v>1.085684210109753</v>
      </c>
      <c r="X12" s="154">
        <f>(100.73-98.76)/(100.73+98.76)*100</f>
        <v>0.98751817133690845</v>
      </c>
      <c r="Y12" s="155"/>
      <c r="Z12" s="152">
        <f>(99.43-97.58)/(99.43+97.58)*100</f>
        <v>0.93903862748084288</v>
      </c>
      <c r="AA12" s="155"/>
      <c r="AB12" s="152">
        <f>(99.65-96.77)/(99.65+96.77)*100</f>
        <v>1.466245799816724</v>
      </c>
      <c r="AC12" s="156">
        <v>1.8</v>
      </c>
      <c r="AD12" s="152">
        <f t="shared" si="0"/>
        <v>1.130934199544825</v>
      </c>
      <c r="AE12" s="157">
        <f t="shared" si="2"/>
        <v>0.23792571459848466</v>
      </c>
      <c r="AF12" s="158">
        <v>-2</v>
      </c>
      <c r="AG12" s="159"/>
      <c r="AH12" s="159">
        <v>1</v>
      </c>
      <c r="AI12" s="159"/>
      <c r="AJ12" s="159">
        <v>1</v>
      </c>
      <c r="AK12" s="160">
        <v>20</v>
      </c>
      <c r="AL12" s="161">
        <v>1002</v>
      </c>
      <c r="AM12" s="162">
        <v>1002</v>
      </c>
      <c r="AN12" s="162">
        <v>1000</v>
      </c>
      <c r="AO12" s="162">
        <v>1000</v>
      </c>
      <c r="AP12" s="163">
        <v>1001</v>
      </c>
      <c r="AQ12" s="164">
        <v>1.064814814814815E-2</v>
      </c>
      <c r="AR12" s="165">
        <v>15.33</v>
      </c>
      <c r="AS12" s="166"/>
    </row>
    <row r="13" spans="1:256" s="127" customFormat="1" x14ac:dyDescent="0.3">
      <c r="A13" s="146">
        <v>41374</v>
      </c>
      <c r="B13" s="147">
        <v>94.62</v>
      </c>
      <c r="C13" s="148">
        <v>97.02</v>
      </c>
      <c r="D13" s="149">
        <v>95.99</v>
      </c>
      <c r="E13" s="148"/>
      <c r="F13" s="148"/>
      <c r="G13" s="148"/>
      <c r="H13" s="148">
        <v>94.93</v>
      </c>
      <c r="I13" s="148">
        <v>95.91</v>
      </c>
      <c r="J13" s="149">
        <v>95.3</v>
      </c>
      <c r="K13" s="148"/>
      <c r="L13" s="148"/>
      <c r="M13" s="148"/>
      <c r="N13" s="148">
        <v>92.7</v>
      </c>
      <c r="O13" s="148">
        <v>95.86</v>
      </c>
      <c r="P13" s="149">
        <v>94.39</v>
      </c>
      <c r="Q13" s="148">
        <v>94</v>
      </c>
      <c r="R13" s="148">
        <v>99</v>
      </c>
      <c r="S13" s="151">
        <v>81.5</v>
      </c>
      <c r="T13" s="151">
        <v>111.5</v>
      </c>
      <c r="U13" s="152">
        <f t="shared" si="3"/>
        <v>95.011428571428581</v>
      </c>
      <c r="V13" s="152">
        <f t="shared" si="1"/>
        <v>6.1977448513652043</v>
      </c>
      <c r="W13" s="153">
        <f t="shared" si="4"/>
        <v>1.0891599459010128</v>
      </c>
      <c r="X13" s="154">
        <f>(97.02-94.62)/(97.02+94.62)*100</f>
        <v>1.2523481527864704</v>
      </c>
      <c r="Y13" s="155"/>
      <c r="Z13" s="152">
        <f>(95.91-94.93)/(95.91+94.93)*100</f>
        <v>0.51351917836930916</v>
      </c>
      <c r="AA13" s="155"/>
      <c r="AB13" s="152">
        <f>(95.86-92.7)/(95.86+92.7)*100</f>
        <v>1.6758591429783605</v>
      </c>
      <c r="AC13" s="156">
        <v>1.8</v>
      </c>
      <c r="AD13" s="152">
        <f t="shared" si="0"/>
        <v>1.1472421580447134</v>
      </c>
      <c r="AE13" s="157">
        <f t="shared" si="2"/>
        <v>0.48030823501152753</v>
      </c>
      <c r="AF13" s="158">
        <v>-4</v>
      </c>
      <c r="AG13" s="159"/>
      <c r="AH13" s="159">
        <v>-1</v>
      </c>
      <c r="AI13" s="159"/>
      <c r="AJ13" s="159">
        <v>0</v>
      </c>
      <c r="AK13" s="160">
        <v>20</v>
      </c>
      <c r="AL13" s="161">
        <v>1002</v>
      </c>
      <c r="AM13" s="162">
        <v>1002</v>
      </c>
      <c r="AN13" s="162">
        <v>1000</v>
      </c>
      <c r="AO13" s="162">
        <v>1000</v>
      </c>
      <c r="AP13" s="163">
        <v>1001</v>
      </c>
      <c r="AQ13" s="164">
        <v>1.064814814814815E-2</v>
      </c>
      <c r="AR13" s="165">
        <v>15.33</v>
      </c>
      <c r="AS13" s="166" t="s">
        <v>168</v>
      </c>
    </row>
    <row r="14" spans="1:256" s="168" customFormat="1" x14ac:dyDescent="0.3">
      <c r="A14" s="146">
        <v>41395</v>
      </c>
      <c r="B14" s="147">
        <v>93.51</v>
      </c>
      <c r="C14" s="148">
        <v>96.64</v>
      </c>
      <c r="D14" s="149">
        <v>95.56</v>
      </c>
      <c r="E14" s="148"/>
      <c r="F14" s="148"/>
      <c r="G14" s="148"/>
      <c r="H14" s="148">
        <v>94.55</v>
      </c>
      <c r="I14" s="148">
        <v>96.05</v>
      </c>
      <c r="J14" s="149">
        <v>95.49</v>
      </c>
      <c r="K14" s="148"/>
      <c r="L14" s="148"/>
      <c r="M14" s="148"/>
      <c r="N14" s="148">
        <v>93.32</v>
      </c>
      <c r="O14" s="148">
        <v>96.39</v>
      </c>
      <c r="P14" s="149">
        <v>95.02</v>
      </c>
      <c r="Q14" s="148">
        <v>94</v>
      </c>
      <c r="R14" s="148">
        <v>99</v>
      </c>
      <c r="S14" s="151">
        <v>81.5</v>
      </c>
      <c r="T14" s="151">
        <v>111.5</v>
      </c>
      <c r="U14" s="152">
        <f t="shared" si="3"/>
        <v>95.19714285714285</v>
      </c>
      <c r="V14" s="152">
        <f t="shared" si="1"/>
        <v>6.2098592861802251</v>
      </c>
      <c r="W14" s="153">
        <f t="shared" si="4"/>
        <v>0.95180601693704103</v>
      </c>
      <c r="X14" s="154">
        <f>(96.64-93.51)/(96.64+93.51)*100</f>
        <v>1.6460688929792244</v>
      </c>
      <c r="Y14" s="155"/>
      <c r="Z14" s="152">
        <f>(96.05-94.55)/(96.05+94.55)*100</f>
        <v>0.78698845750262336</v>
      </c>
      <c r="AA14" s="155"/>
      <c r="AB14" s="152">
        <f>(96.39-93.32)/(96.39+93.32)*100</f>
        <v>1.6182594486321269</v>
      </c>
      <c r="AC14" s="156">
        <v>1.8</v>
      </c>
      <c r="AD14" s="152">
        <f t="shared" si="0"/>
        <v>1.3504389330379916</v>
      </c>
      <c r="AE14" s="157">
        <f t="shared" si="2"/>
        <v>0.39858137611994043</v>
      </c>
      <c r="AF14" s="158">
        <v>8</v>
      </c>
      <c r="AG14" s="159"/>
      <c r="AH14" s="159">
        <v>0</v>
      </c>
      <c r="AI14" s="159"/>
      <c r="AJ14" s="159">
        <v>0</v>
      </c>
      <c r="AK14" s="160">
        <v>20</v>
      </c>
      <c r="AL14" s="161">
        <v>1002</v>
      </c>
      <c r="AM14" s="162">
        <v>1002</v>
      </c>
      <c r="AN14" s="162">
        <v>1000</v>
      </c>
      <c r="AO14" s="162">
        <v>1000</v>
      </c>
      <c r="AP14" s="163">
        <v>1001</v>
      </c>
      <c r="AQ14" s="164">
        <v>1.064814814814815E-2</v>
      </c>
      <c r="AR14" s="165">
        <v>15.33</v>
      </c>
      <c r="AS14" s="166" t="s">
        <v>168</v>
      </c>
    </row>
    <row r="15" spans="1:256" s="168" customFormat="1" x14ac:dyDescent="0.3">
      <c r="A15" s="146">
        <v>41412</v>
      </c>
      <c r="B15" s="147"/>
      <c r="C15" s="148"/>
      <c r="D15" s="149"/>
      <c r="E15" s="148"/>
      <c r="F15" s="148"/>
      <c r="G15" s="148"/>
      <c r="H15" s="148"/>
      <c r="I15" s="148"/>
      <c r="J15" s="149"/>
      <c r="K15" s="148"/>
      <c r="L15" s="148"/>
      <c r="M15" s="148"/>
      <c r="N15" s="148"/>
      <c r="O15" s="148"/>
      <c r="P15" s="149"/>
      <c r="Q15" s="148">
        <v>94</v>
      </c>
      <c r="R15" s="148">
        <v>99</v>
      </c>
      <c r="S15" s="151">
        <v>81.5</v>
      </c>
      <c r="T15" s="151">
        <v>111.5</v>
      </c>
      <c r="U15" s="152"/>
      <c r="V15" s="152">
        <f t="shared" si="1"/>
        <v>0</v>
      </c>
      <c r="W15" s="153" t="e">
        <f t="shared" si="4"/>
        <v>#DIV/0!</v>
      </c>
      <c r="X15" s="154"/>
      <c r="Y15" s="155"/>
      <c r="Z15" s="152"/>
      <c r="AA15" s="155"/>
      <c r="AB15" s="152"/>
      <c r="AC15" s="156">
        <v>1.8</v>
      </c>
      <c r="AD15" s="152"/>
      <c r="AE15" s="157"/>
      <c r="AF15" s="158"/>
      <c r="AG15" s="159"/>
      <c r="AH15" s="159"/>
      <c r="AI15" s="159"/>
      <c r="AJ15" s="159"/>
      <c r="AK15" s="160">
        <v>20</v>
      </c>
      <c r="AL15" s="161">
        <v>1002</v>
      </c>
      <c r="AM15" s="162">
        <v>1002</v>
      </c>
      <c r="AN15" s="162">
        <v>1000</v>
      </c>
      <c r="AO15" s="162">
        <v>1000</v>
      </c>
      <c r="AP15" s="163">
        <v>1001</v>
      </c>
      <c r="AQ15" s="164">
        <v>5.23148148148148E-2</v>
      </c>
      <c r="AR15" s="165">
        <v>15.33</v>
      </c>
      <c r="AS15" s="166" t="s">
        <v>169</v>
      </c>
      <c r="AT15" s="169"/>
      <c r="AU15" s="170"/>
      <c r="AV15" s="170"/>
      <c r="AW15" s="171"/>
      <c r="AX15" s="170"/>
      <c r="AY15" s="170"/>
      <c r="AZ15" s="170"/>
      <c r="BA15" s="170"/>
      <c r="BB15" s="170"/>
      <c r="BC15" s="171"/>
      <c r="BD15" s="170"/>
      <c r="BE15" s="170"/>
      <c r="BF15" s="170"/>
      <c r="BG15" s="170"/>
      <c r="BH15" s="170"/>
      <c r="BI15" s="171"/>
      <c r="BJ15" s="170"/>
      <c r="BK15" s="170"/>
      <c r="BL15" s="172"/>
      <c r="BM15" s="172"/>
      <c r="BN15" s="172"/>
      <c r="BO15" s="173"/>
      <c r="BQ15" s="173"/>
      <c r="BS15" s="173"/>
      <c r="BT15" s="174"/>
      <c r="BU15" s="172"/>
      <c r="BV15" s="175"/>
      <c r="BW15" s="176"/>
      <c r="BX15" s="176"/>
      <c r="BY15" s="176"/>
      <c r="BZ15" s="176"/>
      <c r="CA15" s="176"/>
      <c r="CB15" s="177"/>
      <c r="CC15" s="177"/>
      <c r="CD15" s="177"/>
      <c r="CE15" s="177"/>
      <c r="CF15" s="177"/>
      <c r="CG15" s="178"/>
      <c r="CH15" s="179"/>
      <c r="CI15" s="180"/>
      <c r="CJ15" s="169"/>
      <c r="CK15" s="170"/>
      <c r="CL15" s="170"/>
      <c r="CM15" s="171"/>
      <c r="CN15" s="170"/>
      <c r="CO15" s="170"/>
      <c r="CP15" s="170"/>
      <c r="CQ15" s="170"/>
      <c r="CR15" s="170"/>
      <c r="CS15" s="171"/>
      <c r="CT15" s="170"/>
      <c r="CU15" s="170"/>
      <c r="CV15" s="170"/>
      <c r="CW15" s="170"/>
      <c r="CX15" s="170"/>
      <c r="CY15" s="171"/>
      <c r="CZ15" s="170"/>
      <c r="DA15" s="170"/>
      <c r="DB15" s="172"/>
      <c r="DC15" s="172"/>
      <c r="DD15" s="172"/>
      <c r="DE15" s="173"/>
      <c r="DG15" s="173"/>
      <c r="DI15" s="173"/>
      <c r="DJ15" s="174"/>
      <c r="DK15" s="172"/>
      <c r="DL15" s="175"/>
      <c r="DM15" s="176"/>
      <c r="DN15" s="176"/>
      <c r="DO15" s="176"/>
      <c r="DP15" s="176"/>
      <c r="DQ15" s="176"/>
      <c r="DR15" s="177"/>
      <c r="DS15" s="177"/>
      <c r="DT15" s="177"/>
      <c r="DU15" s="177"/>
      <c r="DV15" s="177"/>
      <c r="DW15" s="178"/>
      <c r="DX15" s="179"/>
      <c r="DY15" s="180"/>
      <c r="DZ15" s="169"/>
      <c r="EA15" s="170"/>
      <c r="EB15" s="170"/>
      <c r="EC15" s="171"/>
      <c r="ED15" s="170"/>
      <c r="EE15" s="170"/>
      <c r="EF15" s="170"/>
      <c r="EG15" s="170"/>
      <c r="EH15" s="170"/>
      <c r="EI15" s="171"/>
      <c r="EJ15" s="170"/>
      <c r="EK15" s="170"/>
      <c r="EL15" s="170"/>
      <c r="EM15" s="170"/>
      <c r="EN15" s="170"/>
      <c r="EO15" s="171"/>
      <c r="EP15" s="170"/>
      <c r="EQ15" s="170"/>
      <c r="ER15" s="172"/>
      <c r="ES15" s="172"/>
      <c r="ET15" s="172"/>
      <c r="EU15" s="173"/>
      <c r="EW15" s="173"/>
      <c r="EY15" s="173"/>
      <c r="EZ15" s="174"/>
      <c r="FA15" s="172"/>
      <c r="FB15" s="175"/>
      <c r="FC15" s="176"/>
      <c r="FD15" s="176"/>
      <c r="FE15" s="176"/>
      <c r="FF15" s="176"/>
      <c r="FG15" s="176"/>
      <c r="FH15" s="177"/>
      <c r="FI15" s="177"/>
      <c r="FJ15" s="177"/>
      <c r="FK15" s="177"/>
      <c r="FL15" s="177"/>
      <c r="FM15" s="178"/>
      <c r="FN15" s="179"/>
      <c r="FO15" s="180"/>
      <c r="FP15" s="169"/>
      <c r="FQ15" s="170"/>
      <c r="FR15" s="170"/>
      <c r="FS15" s="171"/>
      <c r="FT15" s="170"/>
      <c r="FU15" s="170"/>
      <c r="FV15" s="170"/>
      <c r="FW15" s="170"/>
      <c r="FX15" s="170"/>
      <c r="FY15" s="171"/>
      <c r="FZ15" s="170"/>
      <c r="GA15" s="170"/>
      <c r="GB15" s="170"/>
      <c r="GC15" s="170"/>
      <c r="GD15" s="170"/>
      <c r="GE15" s="171"/>
      <c r="GF15" s="170"/>
      <c r="GG15" s="170"/>
      <c r="GH15" s="172"/>
      <c r="GI15" s="172"/>
      <c r="GJ15" s="172"/>
      <c r="GK15" s="173"/>
      <c r="GM15" s="173"/>
      <c r="GO15" s="173"/>
      <c r="GP15" s="174"/>
      <c r="GQ15" s="172"/>
      <c r="GR15" s="175"/>
      <c r="GS15" s="176"/>
      <c r="GT15" s="176"/>
      <c r="GU15" s="176"/>
      <c r="GV15" s="176"/>
      <c r="GW15" s="176"/>
      <c r="GX15" s="177"/>
      <c r="GY15" s="177"/>
      <c r="GZ15" s="177"/>
      <c r="HA15" s="177"/>
      <c r="HB15" s="177"/>
      <c r="HC15" s="178"/>
      <c r="HD15" s="179"/>
      <c r="HE15" s="180"/>
      <c r="HF15" s="169"/>
      <c r="HG15" s="170"/>
      <c r="HH15" s="170"/>
      <c r="HI15" s="171"/>
      <c r="HJ15" s="170"/>
      <c r="HK15" s="170"/>
      <c r="HL15" s="170"/>
      <c r="HM15" s="170"/>
      <c r="HN15" s="170"/>
      <c r="HO15" s="171"/>
      <c r="HP15" s="170"/>
      <c r="HQ15" s="170"/>
      <c r="HR15" s="170"/>
      <c r="HS15" s="170"/>
      <c r="HT15" s="170"/>
      <c r="HU15" s="171"/>
      <c r="HV15" s="170"/>
      <c r="HW15" s="170"/>
      <c r="HX15" s="172"/>
      <c r="HY15" s="172"/>
      <c r="HZ15" s="172"/>
      <c r="IA15" s="173"/>
      <c r="IC15" s="173"/>
      <c r="IE15" s="173"/>
      <c r="IF15" s="174"/>
      <c r="IG15" s="172"/>
      <c r="IH15" s="175"/>
      <c r="II15" s="176"/>
      <c r="IJ15" s="176"/>
      <c r="IK15" s="176"/>
      <c r="IL15" s="176"/>
      <c r="IM15" s="176"/>
      <c r="IN15" s="177"/>
      <c r="IO15" s="177"/>
      <c r="IP15" s="177"/>
      <c r="IQ15" s="177"/>
      <c r="IR15" s="177"/>
      <c r="IS15" s="178"/>
      <c r="IT15" s="179"/>
      <c r="IU15" s="180"/>
      <c r="IV15" s="169"/>
    </row>
    <row r="16" spans="1:256" s="168" customFormat="1" x14ac:dyDescent="0.3">
      <c r="A16" s="146">
        <v>41417</v>
      </c>
      <c r="B16" s="147">
        <v>93.95</v>
      </c>
      <c r="C16" s="148">
        <v>96.56</v>
      </c>
      <c r="D16" s="149">
        <v>95.37</v>
      </c>
      <c r="E16" s="148"/>
      <c r="F16" s="148"/>
      <c r="G16" s="148"/>
      <c r="H16" s="148">
        <v>94.08</v>
      </c>
      <c r="I16" s="148">
        <v>95.61</v>
      </c>
      <c r="J16" s="149">
        <v>95.1</v>
      </c>
      <c r="K16" s="148"/>
      <c r="L16" s="148"/>
      <c r="M16" s="148"/>
      <c r="N16" s="148">
        <v>93.05</v>
      </c>
      <c r="O16" s="148">
        <v>95.49</v>
      </c>
      <c r="P16" s="149">
        <v>94.49</v>
      </c>
      <c r="Q16" s="148">
        <v>94</v>
      </c>
      <c r="R16" s="148">
        <v>99</v>
      </c>
      <c r="S16" s="151">
        <v>81.5</v>
      </c>
      <c r="T16" s="151">
        <v>111.5</v>
      </c>
      <c r="U16" s="152">
        <f>AVERAGE(D16:P16)</f>
        <v>94.741428571428557</v>
      </c>
      <c r="V16" s="152">
        <f t="shared" si="1"/>
        <v>6.1801323269033634</v>
      </c>
      <c r="W16" s="153">
        <f t="shared" si="4"/>
        <v>0.86189871084432135</v>
      </c>
      <c r="X16" s="154">
        <f>(96.56-93.95)/(96.56+93.95)*100</f>
        <v>1.3700068237887773</v>
      </c>
      <c r="Y16" s="155"/>
      <c r="Z16" s="152">
        <f>(95.61-94.08)/(95.61+94.08)*100</f>
        <v>0.80657915546417902</v>
      </c>
      <c r="AA16" s="155"/>
      <c r="AB16" s="152">
        <f>(95.49-93.05)/(95.49+93.05)*100</f>
        <v>1.2941550864538016</v>
      </c>
      <c r="AC16" s="156">
        <v>1.8</v>
      </c>
      <c r="AD16" s="152">
        <f>AVERAGE(X16:AB16)</f>
        <v>1.1569136885689193</v>
      </c>
      <c r="AE16" s="157">
        <f>STDEVP(X16:AB16)</f>
        <v>0.24965187138422806</v>
      </c>
      <c r="AF16" s="158">
        <v>0</v>
      </c>
      <c r="AG16" s="159"/>
      <c r="AH16" s="159">
        <v>-6</v>
      </c>
      <c r="AI16" s="159"/>
      <c r="AJ16" s="159">
        <v>0</v>
      </c>
      <c r="AK16" s="160">
        <v>20</v>
      </c>
      <c r="AL16" s="161">
        <v>1002</v>
      </c>
      <c r="AM16" s="162">
        <v>1002</v>
      </c>
      <c r="AN16" s="162">
        <v>1000</v>
      </c>
      <c r="AO16" s="162">
        <v>1000</v>
      </c>
      <c r="AP16" s="163">
        <v>1001</v>
      </c>
      <c r="AQ16" s="164">
        <v>9.3981481481481499E-2</v>
      </c>
      <c r="AR16" s="165">
        <v>15.33</v>
      </c>
      <c r="AS16" s="166"/>
    </row>
    <row r="17" spans="1:256" s="168" customFormat="1" x14ac:dyDescent="0.3">
      <c r="A17" s="146">
        <v>41422</v>
      </c>
      <c r="B17" s="147"/>
      <c r="C17" s="148"/>
      <c r="D17" s="149"/>
      <c r="E17" s="148"/>
      <c r="F17" s="148"/>
      <c r="G17" s="148"/>
      <c r="H17" s="148"/>
      <c r="I17" s="148"/>
      <c r="J17" s="149"/>
      <c r="K17" s="148"/>
      <c r="L17" s="148"/>
      <c r="M17" s="148"/>
      <c r="N17" s="148"/>
      <c r="O17" s="148"/>
      <c r="P17" s="149"/>
      <c r="Q17" s="148">
        <v>94</v>
      </c>
      <c r="R17" s="148">
        <v>99</v>
      </c>
      <c r="S17" s="151">
        <v>81.5</v>
      </c>
      <c r="T17" s="151">
        <v>111.5</v>
      </c>
      <c r="U17" s="152"/>
      <c r="V17" s="152">
        <f t="shared" si="1"/>
        <v>0</v>
      </c>
      <c r="W17" s="153" t="e">
        <f t="shared" si="4"/>
        <v>#DIV/0!</v>
      </c>
      <c r="X17" s="154"/>
      <c r="Y17" s="155"/>
      <c r="Z17" s="152"/>
      <c r="AA17" s="155"/>
      <c r="AB17" s="152"/>
      <c r="AC17" s="156">
        <v>1.8</v>
      </c>
      <c r="AD17" s="152"/>
      <c r="AE17" s="157"/>
      <c r="AF17" s="158"/>
      <c r="AG17" s="159"/>
      <c r="AH17" s="159"/>
      <c r="AI17" s="159"/>
      <c r="AJ17" s="159"/>
      <c r="AK17" s="160">
        <v>20</v>
      </c>
      <c r="AL17" s="161">
        <v>1002</v>
      </c>
      <c r="AM17" s="162">
        <v>1002</v>
      </c>
      <c r="AN17" s="162">
        <v>1000</v>
      </c>
      <c r="AO17" s="162">
        <v>1000</v>
      </c>
      <c r="AP17" s="163">
        <v>1001</v>
      </c>
      <c r="AQ17" s="164">
        <v>0.13564814814814799</v>
      </c>
      <c r="AR17" s="165">
        <v>15.33</v>
      </c>
      <c r="AS17" s="166" t="s">
        <v>170</v>
      </c>
      <c r="AT17" s="169"/>
      <c r="AU17" s="170"/>
      <c r="AV17" s="170"/>
      <c r="AW17" s="171"/>
      <c r="AX17" s="170"/>
      <c r="AY17" s="170"/>
      <c r="AZ17" s="170"/>
      <c r="BA17" s="170"/>
      <c r="BB17" s="170"/>
      <c r="BC17" s="171"/>
      <c r="BD17" s="170"/>
      <c r="BE17" s="170"/>
      <c r="BF17" s="170"/>
      <c r="BG17" s="170"/>
      <c r="BH17" s="170"/>
      <c r="BI17" s="171"/>
      <c r="BJ17" s="170"/>
      <c r="BK17" s="170"/>
      <c r="BL17" s="172"/>
      <c r="BM17" s="172"/>
      <c r="BN17" s="172"/>
      <c r="BO17" s="173"/>
      <c r="BQ17" s="173"/>
      <c r="BS17" s="173"/>
      <c r="BT17" s="174"/>
      <c r="BU17" s="172"/>
      <c r="BV17" s="175"/>
      <c r="BW17" s="176"/>
      <c r="BX17" s="176"/>
      <c r="BY17" s="176"/>
      <c r="BZ17" s="176"/>
      <c r="CA17" s="176"/>
      <c r="CB17" s="177"/>
      <c r="CC17" s="177"/>
      <c r="CD17" s="177"/>
      <c r="CE17" s="177"/>
      <c r="CF17" s="177"/>
      <c r="CG17" s="178"/>
      <c r="CH17" s="179"/>
      <c r="CI17" s="180"/>
      <c r="CJ17" s="169"/>
      <c r="CK17" s="170"/>
      <c r="CL17" s="170"/>
      <c r="CM17" s="171"/>
      <c r="CN17" s="170"/>
      <c r="CO17" s="170"/>
      <c r="CP17" s="170"/>
      <c r="CQ17" s="170"/>
      <c r="CR17" s="170"/>
      <c r="CS17" s="171"/>
      <c r="CT17" s="170"/>
      <c r="CU17" s="170"/>
      <c r="CV17" s="170"/>
      <c r="CW17" s="170"/>
      <c r="CX17" s="170"/>
      <c r="CY17" s="171"/>
      <c r="CZ17" s="170"/>
      <c r="DA17" s="170"/>
      <c r="DB17" s="172"/>
      <c r="DC17" s="172"/>
      <c r="DD17" s="172"/>
      <c r="DE17" s="173"/>
      <c r="DG17" s="173"/>
      <c r="DI17" s="173"/>
      <c r="DJ17" s="174"/>
      <c r="DK17" s="172"/>
      <c r="DL17" s="175"/>
      <c r="DM17" s="176"/>
      <c r="DN17" s="176"/>
      <c r="DO17" s="176"/>
      <c r="DP17" s="176"/>
      <c r="DQ17" s="176"/>
      <c r="DR17" s="177"/>
      <c r="DS17" s="177"/>
      <c r="DT17" s="177"/>
      <c r="DU17" s="177"/>
      <c r="DV17" s="177"/>
      <c r="DW17" s="178"/>
      <c r="DX17" s="179"/>
      <c r="DY17" s="180"/>
      <c r="DZ17" s="169"/>
      <c r="EA17" s="170"/>
      <c r="EB17" s="170"/>
      <c r="EC17" s="171"/>
      <c r="ED17" s="170"/>
      <c r="EE17" s="170"/>
      <c r="EF17" s="170"/>
      <c r="EG17" s="170"/>
      <c r="EH17" s="170"/>
      <c r="EI17" s="171"/>
      <c r="EJ17" s="170"/>
      <c r="EK17" s="170"/>
      <c r="EL17" s="170"/>
      <c r="EM17" s="170"/>
      <c r="EN17" s="170"/>
      <c r="EO17" s="171"/>
      <c r="EP17" s="170"/>
      <c r="EQ17" s="170"/>
      <c r="ER17" s="172"/>
      <c r="ES17" s="172"/>
      <c r="ET17" s="172"/>
      <c r="EU17" s="173"/>
      <c r="EW17" s="173"/>
      <c r="EY17" s="173"/>
      <c r="EZ17" s="174"/>
      <c r="FA17" s="172"/>
      <c r="FB17" s="175"/>
      <c r="FC17" s="176"/>
      <c r="FD17" s="176"/>
      <c r="FE17" s="176"/>
      <c r="FF17" s="176"/>
      <c r="FG17" s="176"/>
      <c r="FH17" s="177"/>
      <c r="FI17" s="177"/>
      <c r="FJ17" s="177"/>
      <c r="FK17" s="177"/>
      <c r="FL17" s="177"/>
      <c r="FM17" s="178"/>
      <c r="FN17" s="179"/>
      <c r="FO17" s="180"/>
      <c r="FP17" s="169"/>
      <c r="FQ17" s="170"/>
      <c r="FR17" s="170"/>
      <c r="FS17" s="171"/>
      <c r="FT17" s="170"/>
      <c r="FU17" s="170"/>
      <c r="FV17" s="170"/>
      <c r="FW17" s="170"/>
      <c r="FX17" s="170"/>
      <c r="FY17" s="171"/>
      <c r="FZ17" s="170"/>
      <c r="GA17" s="170"/>
      <c r="GB17" s="170"/>
      <c r="GC17" s="170"/>
      <c r="GD17" s="170"/>
      <c r="GE17" s="171"/>
      <c r="GF17" s="170"/>
      <c r="GG17" s="170"/>
      <c r="GH17" s="172"/>
      <c r="GI17" s="172"/>
      <c r="GJ17" s="172"/>
      <c r="GK17" s="173"/>
      <c r="GM17" s="173"/>
      <c r="GO17" s="173"/>
      <c r="GP17" s="174"/>
      <c r="GQ17" s="172"/>
      <c r="GR17" s="175"/>
      <c r="GS17" s="176"/>
      <c r="GT17" s="176"/>
      <c r="GU17" s="176"/>
      <c r="GV17" s="176"/>
      <c r="GW17" s="176"/>
      <c r="GX17" s="177"/>
      <c r="GY17" s="177"/>
      <c r="GZ17" s="177"/>
      <c r="HA17" s="177"/>
      <c r="HB17" s="177"/>
      <c r="HC17" s="178"/>
      <c r="HD17" s="179"/>
      <c r="HE17" s="180"/>
      <c r="HF17" s="169"/>
      <c r="HG17" s="170"/>
      <c r="HH17" s="170"/>
      <c r="HI17" s="171"/>
      <c r="HJ17" s="170"/>
      <c r="HK17" s="170"/>
      <c r="HL17" s="170"/>
      <c r="HM17" s="170"/>
      <c r="HN17" s="170"/>
      <c r="HO17" s="171"/>
      <c r="HP17" s="170"/>
      <c r="HQ17" s="170"/>
      <c r="HR17" s="170"/>
      <c r="HS17" s="170"/>
      <c r="HT17" s="170"/>
      <c r="HU17" s="171"/>
      <c r="HV17" s="170"/>
      <c r="HW17" s="170"/>
      <c r="HX17" s="172"/>
      <c r="HY17" s="172"/>
      <c r="HZ17" s="172"/>
      <c r="IA17" s="173"/>
      <c r="IC17" s="173"/>
      <c r="IE17" s="173"/>
      <c r="IF17" s="174"/>
      <c r="IG17" s="172"/>
      <c r="IH17" s="175"/>
      <c r="II17" s="176"/>
      <c r="IJ17" s="176"/>
      <c r="IK17" s="176"/>
      <c r="IL17" s="176"/>
      <c r="IM17" s="176"/>
      <c r="IN17" s="177"/>
      <c r="IO17" s="177"/>
      <c r="IP17" s="177"/>
      <c r="IQ17" s="177"/>
      <c r="IR17" s="177"/>
      <c r="IS17" s="178"/>
      <c r="IT17" s="179"/>
      <c r="IU17" s="180"/>
      <c r="IV17" s="169"/>
    </row>
    <row r="18" spans="1:256" s="168" customFormat="1" x14ac:dyDescent="0.3">
      <c r="A18" s="146">
        <v>41444</v>
      </c>
      <c r="B18" s="147">
        <v>93.71</v>
      </c>
      <c r="C18" s="148">
        <v>96.7</v>
      </c>
      <c r="D18" s="149">
        <v>95.369</v>
      </c>
      <c r="E18" s="148"/>
      <c r="F18" s="148"/>
      <c r="G18" s="148"/>
      <c r="H18" s="148">
        <v>94.32</v>
      </c>
      <c r="I18" s="148">
        <v>95.62</v>
      </c>
      <c r="J18" s="149">
        <v>95.161000000000001</v>
      </c>
      <c r="K18" s="148"/>
      <c r="L18" s="148"/>
      <c r="M18" s="148"/>
      <c r="N18" s="148">
        <v>93.24</v>
      </c>
      <c r="O18" s="148">
        <v>95.5</v>
      </c>
      <c r="P18" s="149">
        <v>94.625</v>
      </c>
      <c r="Q18" s="148">
        <v>94</v>
      </c>
      <c r="R18" s="148">
        <v>99</v>
      </c>
      <c r="S18" s="151">
        <v>81.5</v>
      </c>
      <c r="T18" s="151">
        <v>111.5</v>
      </c>
      <c r="U18" s="152">
        <f t="shared" ref="U18:U81" si="5">AVERAGE(D18:P18)</f>
        <v>94.833571428571432</v>
      </c>
      <c r="V18" s="152">
        <f t="shared" si="1"/>
        <v>6.1861429503308178</v>
      </c>
      <c r="W18" s="153">
        <f t="shared" si="4"/>
        <v>0.78405700542441847</v>
      </c>
      <c r="X18" s="154">
        <f>(96.7-93.71)/(96.7+93.71)*100</f>
        <v>1.5702956777480224</v>
      </c>
      <c r="Y18" s="155"/>
      <c r="Z18" s="152">
        <f>(95.62-94.32)/(95.62+94.32)*100</f>
        <v>0.68442666105086414</v>
      </c>
      <c r="AA18" s="155"/>
      <c r="AB18" s="152">
        <f>(95.5-93.24)/(95.5+93.24)*100</f>
        <v>1.1974144325527207</v>
      </c>
      <c r="AC18" s="156">
        <v>1.8</v>
      </c>
      <c r="AD18" s="152">
        <f t="shared" ref="AD18:AD81" si="6">AVERAGE(X18:AB18)</f>
        <v>1.1507122571172024</v>
      </c>
      <c r="AE18" s="157">
        <f t="shared" ref="AE18:AE81" si="7">STDEVP(X18:AB18)</f>
        <v>0.36315910065131279</v>
      </c>
      <c r="AF18" s="158">
        <v>-2</v>
      </c>
      <c r="AG18" s="159"/>
      <c r="AH18" s="159">
        <v>-1</v>
      </c>
      <c r="AI18" s="159"/>
      <c r="AJ18" s="159">
        <v>1</v>
      </c>
      <c r="AK18" s="160">
        <v>20</v>
      </c>
      <c r="AL18" s="161">
        <v>1002</v>
      </c>
      <c r="AM18" s="162">
        <v>1002</v>
      </c>
      <c r="AN18" s="162">
        <v>1000</v>
      </c>
      <c r="AO18" s="162">
        <v>1000</v>
      </c>
      <c r="AP18" s="163">
        <v>1001</v>
      </c>
      <c r="AQ18" s="164">
        <v>0.17731481481481501</v>
      </c>
      <c r="AR18" s="165">
        <v>15.33</v>
      </c>
      <c r="AS18" s="166"/>
    </row>
    <row r="19" spans="1:256" s="168" customFormat="1" x14ac:dyDescent="0.3">
      <c r="A19" s="146">
        <v>41464</v>
      </c>
      <c r="B19" s="147">
        <v>93.64</v>
      </c>
      <c r="C19" s="148">
        <v>96.47</v>
      </c>
      <c r="D19" s="149">
        <v>95.23</v>
      </c>
      <c r="E19" s="148"/>
      <c r="F19" s="148"/>
      <c r="G19" s="148"/>
      <c r="H19" s="148">
        <v>93.94</v>
      </c>
      <c r="I19" s="148">
        <v>95.64</v>
      </c>
      <c r="J19" s="149">
        <v>95.05</v>
      </c>
      <c r="K19" s="148"/>
      <c r="L19" s="148"/>
      <c r="M19" s="148"/>
      <c r="N19" s="148">
        <v>93.09</v>
      </c>
      <c r="O19" s="148">
        <v>95.67</v>
      </c>
      <c r="P19" s="149">
        <v>94.58</v>
      </c>
      <c r="Q19" s="148">
        <v>94</v>
      </c>
      <c r="R19" s="148">
        <v>99</v>
      </c>
      <c r="S19" s="151">
        <v>81.5</v>
      </c>
      <c r="T19" s="151">
        <v>111.5</v>
      </c>
      <c r="U19" s="152">
        <f t="shared" si="5"/>
        <v>94.742857142857147</v>
      </c>
      <c r="V19" s="152">
        <f t="shared" si="1"/>
        <v>6.1802255148634799</v>
      </c>
      <c r="W19" s="153">
        <f t="shared" si="4"/>
        <v>0.87824035573923587</v>
      </c>
      <c r="X19" s="154">
        <f>(96.47-93.64)/(96.47+93.64)*100</f>
        <v>1.4886118562937236</v>
      </c>
      <c r="Y19" s="155"/>
      <c r="Z19" s="152">
        <f>(95.64-93.94)/(95.64+93.94)*100</f>
        <v>0.89671906319232153</v>
      </c>
      <c r="AA19" s="155"/>
      <c r="AB19" s="152">
        <f>(95.67-93.09)/(95.67+93.09)*100</f>
        <v>1.3668150031786386</v>
      </c>
      <c r="AC19" s="156">
        <v>1.8</v>
      </c>
      <c r="AD19" s="152">
        <f t="shared" si="6"/>
        <v>1.2507153075548947</v>
      </c>
      <c r="AE19" s="157">
        <f t="shared" si="7"/>
        <v>0.25520400222082373</v>
      </c>
      <c r="AF19" s="158"/>
      <c r="AG19" s="159"/>
      <c r="AH19" s="159"/>
      <c r="AI19" s="159"/>
      <c r="AJ19" s="159"/>
      <c r="AK19" s="160">
        <v>20</v>
      </c>
      <c r="AL19" s="161">
        <v>1002</v>
      </c>
      <c r="AM19" s="162">
        <v>1002</v>
      </c>
      <c r="AN19" s="162">
        <v>1000</v>
      </c>
      <c r="AO19" s="162">
        <v>1000</v>
      </c>
      <c r="AP19" s="163">
        <v>1001</v>
      </c>
      <c r="AQ19" s="164">
        <v>0.218981481481481</v>
      </c>
      <c r="AR19" s="165">
        <v>15.33</v>
      </c>
      <c r="AS19" s="166" t="s">
        <v>171</v>
      </c>
    </row>
    <row r="20" spans="1:256" s="168" customFormat="1" x14ac:dyDescent="0.3">
      <c r="A20" s="146">
        <v>41481</v>
      </c>
      <c r="B20" s="147">
        <v>93.05</v>
      </c>
      <c r="C20" s="148">
        <v>96.42</v>
      </c>
      <c r="D20" s="149">
        <v>95.01</v>
      </c>
      <c r="E20" s="148"/>
      <c r="F20" s="148"/>
      <c r="G20" s="148"/>
      <c r="H20" s="148">
        <v>93.27</v>
      </c>
      <c r="I20" s="148">
        <v>95.93</v>
      </c>
      <c r="J20" s="149">
        <v>94.66</v>
      </c>
      <c r="K20" s="148"/>
      <c r="L20" s="148"/>
      <c r="M20" s="148"/>
      <c r="N20" s="148">
        <v>92.9</v>
      </c>
      <c r="O20" s="148">
        <v>95.11</v>
      </c>
      <c r="P20" s="150">
        <v>94.35</v>
      </c>
      <c r="Q20" s="148">
        <v>94</v>
      </c>
      <c r="R20" s="148">
        <v>99</v>
      </c>
      <c r="S20" s="151">
        <v>81.5</v>
      </c>
      <c r="T20" s="151">
        <v>111.5</v>
      </c>
      <c r="U20" s="152">
        <f t="shared" si="5"/>
        <v>94.46142857142857</v>
      </c>
      <c r="V20" s="152">
        <f t="shared" si="1"/>
        <v>6.1618674867207153</v>
      </c>
      <c r="W20" s="153">
        <f t="shared" si="4"/>
        <v>0.98471792293788596</v>
      </c>
      <c r="X20" s="154">
        <f>(96.42-93.05)/(96.42+93.05)*100</f>
        <v>1.7786456958885335</v>
      </c>
      <c r="Y20" s="155"/>
      <c r="Z20" s="152">
        <f>(95.93-93.27)/(95.93+93.27)*100</f>
        <v>1.4059196617336209</v>
      </c>
      <c r="AA20" s="155"/>
      <c r="AB20" s="152">
        <f>(95.11-92.9)/(95.11+92.9)*100</f>
        <v>1.1754693899260644</v>
      </c>
      <c r="AC20" s="156">
        <v>1.8</v>
      </c>
      <c r="AD20" s="152">
        <f t="shared" si="6"/>
        <v>1.4533449158494063</v>
      </c>
      <c r="AE20" s="157">
        <f t="shared" si="7"/>
        <v>0.24851865129817094</v>
      </c>
      <c r="AF20" s="158">
        <v>3</v>
      </c>
      <c r="AG20" s="159"/>
      <c r="AH20" s="159">
        <v>7</v>
      </c>
      <c r="AI20" s="159"/>
      <c r="AJ20" s="159">
        <v>6</v>
      </c>
      <c r="AK20" s="160">
        <v>20</v>
      </c>
      <c r="AL20" s="161">
        <v>1002</v>
      </c>
      <c r="AM20" s="162">
        <v>1002</v>
      </c>
      <c r="AN20" s="162">
        <v>1000</v>
      </c>
      <c r="AO20" s="162">
        <v>1000</v>
      </c>
      <c r="AP20" s="163">
        <v>1001</v>
      </c>
      <c r="AQ20" s="164">
        <v>1.064814814814815E-2</v>
      </c>
      <c r="AR20" s="165">
        <v>15.33</v>
      </c>
      <c r="AS20" s="166" t="s">
        <v>172</v>
      </c>
    </row>
    <row r="21" spans="1:256" s="127" customFormat="1" x14ac:dyDescent="0.3">
      <c r="A21" s="409">
        <v>41487</v>
      </c>
      <c r="B21" s="147">
        <v>94.4</v>
      </c>
      <c r="C21" s="148">
        <v>97.04</v>
      </c>
      <c r="D21" s="149">
        <v>95.76</v>
      </c>
      <c r="E21" s="148"/>
      <c r="F21" s="148"/>
      <c r="G21" s="148"/>
      <c r="H21" s="148">
        <v>94.39</v>
      </c>
      <c r="I21" s="148">
        <v>96.02</v>
      </c>
      <c r="J21" s="149">
        <v>95.47</v>
      </c>
      <c r="K21" s="148"/>
      <c r="L21" s="148"/>
      <c r="M21" s="148"/>
      <c r="N21" s="148">
        <v>93.77</v>
      </c>
      <c r="O21" s="148">
        <v>96.28</v>
      </c>
      <c r="P21" s="149">
        <v>95.24</v>
      </c>
      <c r="Q21" s="148">
        <v>94</v>
      </c>
      <c r="R21" s="148">
        <v>99</v>
      </c>
      <c r="S21" s="151">
        <v>81.5</v>
      </c>
      <c r="T21" s="151">
        <v>111.5</v>
      </c>
      <c r="U21" s="152">
        <f t="shared" si="5"/>
        <v>95.275714285714272</v>
      </c>
      <c r="V21" s="152">
        <f t="shared" si="1"/>
        <v>6.21498462398658</v>
      </c>
      <c r="W21" s="153">
        <f t="shared" si="4"/>
        <v>0.83561537876255698</v>
      </c>
      <c r="X21" s="154">
        <v>1.37</v>
      </c>
      <c r="Y21" s="155"/>
      <c r="Z21" s="152">
        <v>0.85</v>
      </c>
      <c r="AA21" s="155"/>
      <c r="AB21" s="152">
        <v>1.31</v>
      </c>
      <c r="AC21" s="156">
        <v>1.8</v>
      </c>
      <c r="AD21" s="152">
        <f t="shared" si="6"/>
        <v>1.1766666666666667</v>
      </c>
      <c r="AE21" s="157">
        <f t="shared" si="7"/>
        <v>0.23228335186912413</v>
      </c>
      <c r="AF21" s="158">
        <v>2</v>
      </c>
      <c r="AG21" s="159"/>
      <c r="AH21" s="159">
        <v>3</v>
      </c>
      <c r="AI21" s="159"/>
      <c r="AJ21" s="159">
        <v>4</v>
      </c>
      <c r="AK21" s="160">
        <v>20</v>
      </c>
      <c r="AL21" s="161">
        <v>1002</v>
      </c>
      <c r="AM21" s="162">
        <v>1002</v>
      </c>
      <c r="AN21" s="162">
        <v>1000</v>
      </c>
      <c r="AO21" s="162">
        <v>1000</v>
      </c>
      <c r="AP21" s="163">
        <v>1001</v>
      </c>
      <c r="AQ21" s="164">
        <v>5.23148148148148E-2</v>
      </c>
      <c r="AR21" s="165">
        <v>15.33</v>
      </c>
      <c r="AS21" s="166" t="s">
        <v>173</v>
      </c>
    </row>
    <row r="22" spans="1:256" s="127" customFormat="1" x14ac:dyDescent="0.3">
      <c r="A22" s="410"/>
      <c r="B22" s="181">
        <v>94</v>
      </c>
      <c r="C22" s="182">
        <v>97.28</v>
      </c>
      <c r="D22" s="183">
        <v>95.91</v>
      </c>
      <c r="E22" s="182"/>
      <c r="F22" s="182"/>
      <c r="G22" s="182"/>
      <c r="H22" s="182">
        <v>94.53</v>
      </c>
      <c r="I22" s="182">
        <v>96.11</v>
      </c>
      <c r="J22" s="183">
        <v>95.45</v>
      </c>
      <c r="K22" s="182"/>
      <c r="L22" s="182"/>
      <c r="M22" s="182"/>
      <c r="N22" s="182">
        <v>93.69</v>
      </c>
      <c r="O22" s="182">
        <v>96.25</v>
      </c>
      <c r="P22" s="184">
        <v>95.22</v>
      </c>
      <c r="Q22" s="148">
        <v>94</v>
      </c>
      <c r="R22" s="148">
        <v>99</v>
      </c>
      <c r="S22" s="151">
        <v>81.5</v>
      </c>
      <c r="T22" s="151">
        <v>111.5</v>
      </c>
      <c r="U22" s="185">
        <f t="shared" si="5"/>
        <v>95.30857142857144</v>
      </c>
      <c r="V22" s="152">
        <f t="shared" si="1"/>
        <v>6.2171279470692395</v>
      </c>
      <c r="W22" s="153">
        <f t="shared" si="4"/>
        <v>0.85724523198155045</v>
      </c>
      <c r="X22" s="186">
        <v>1.7</v>
      </c>
      <c r="Y22" s="168"/>
      <c r="Z22" s="187">
        <v>0.83</v>
      </c>
      <c r="AA22" s="188"/>
      <c r="AB22" s="185">
        <v>1.34</v>
      </c>
      <c r="AC22" s="156">
        <v>1.8</v>
      </c>
      <c r="AD22" s="152">
        <f t="shared" si="6"/>
        <v>1.29</v>
      </c>
      <c r="AE22" s="157">
        <f t="shared" si="7"/>
        <v>0.35693136595149483</v>
      </c>
      <c r="AF22" s="158">
        <v>2</v>
      </c>
      <c r="AG22" s="159"/>
      <c r="AH22" s="159">
        <v>3</v>
      </c>
      <c r="AI22" s="159"/>
      <c r="AJ22" s="159">
        <v>4</v>
      </c>
      <c r="AK22" s="160">
        <v>20</v>
      </c>
      <c r="AL22" s="161">
        <v>1002</v>
      </c>
      <c r="AM22" s="162">
        <v>1002</v>
      </c>
      <c r="AN22" s="162">
        <v>1000</v>
      </c>
      <c r="AO22" s="162">
        <v>1000</v>
      </c>
      <c r="AP22" s="163">
        <v>1001</v>
      </c>
      <c r="AQ22" s="164">
        <v>9.3981481481481485E-2</v>
      </c>
      <c r="AR22" s="165">
        <v>15.33</v>
      </c>
      <c r="AS22" s="166" t="s">
        <v>174</v>
      </c>
    </row>
    <row r="23" spans="1:256" x14ac:dyDescent="0.3">
      <c r="A23" s="146">
        <v>41488</v>
      </c>
      <c r="B23" s="147">
        <v>96</v>
      </c>
      <c r="C23" s="148">
        <v>98.67</v>
      </c>
      <c r="D23" s="149">
        <v>97.406000000000006</v>
      </c>
      <c r="E23" s="148"/>
      <c r="F23" s="148"/>
      <c r="G23" s="148"/>
      <c r="H23" s="148">
        <v>95.89</v>
      </c>
      <c r="I23" s="148">
        <v>97.64</v>
      </c>
      <c r="J23" s="149">
        <v>97.033000000000001</v>
      </c>
      <c r="K23" s="148"/>
      <c r="L23" s="148"/>
      <c r="M23" s="148"/>
      <c r="N23" s="148">
        <v>95.05</v>
      </c>
      <c r="O23" s="148">
        <v>97.52</v>
      </c>
      <c r="P23" s="149">
        <v>96.668000000000006</v>
      </c>
      <c r="Q23" s="148">
        <v>94</v>
      </c>
      <c r="R23" s="148">
        <v>99</v>
      </c>
      <c r="S23" s="151">
        <v>81.5</v>
      </c>
      <c r="T23" s="151">
        <v>111.5</v>
      </c>
      <c r="U23" s="152">
        <f t="shared" si="5"/>
        <v>96.743857142857138</v>
      </c>
      <c r="V23" s="152">
        <f t="shared" si="1"/>
        <v>6.1777686553548623</v>
      </c>
      <c r="W23" s="153">
        <f t="shared" si="4"/>
        <v>0.88893876192287913</v>
      </c>
      <c r="X23" s="154">
        <v>1.37</v>
      </c>
      <c r="Y23" s="155"/>
      <c r="Z23" s="189">
        <v>0.90400000000000003</v>
      </c>
      <c r="AA23" s="155"/>
      <c r="AB23" s="152">
        <v>1.28</v>
      </c>
      <c r="AC23" s="156">
        <v>1.8</v>
      </c>
      <c r="AD23" s="152">
        <f t="shared" si="6"/>
        <v>1.1846666666666668</v>
      </c>
      <c r="AE23" s="157">
        <f t="shared" si="7"/>
        <v>0.2018338150283262</v>
      </c>
      <c r="AF23" s="158">
        <v>6</v>
      </c>
      <c r="AG23" s="159"/>
      <c r="AH23" s="159">
        <v>1</v>
      </c>
      <c r="AI23" s="159"/>
      <c r="AJ23" s="159">
        <v>1</v>
      </c>
      <c r="AK23" s="160">
        <v>20</v>
      </c>
      <c r="AL23" s="161">
        <v>1002</v>
      </c>
      <c r="AM23" s="162">
        <v>1002</v>
      </c>
      <c r="AN23" s="162">
        <v>1000</v>
      </c>
      <c r="AO23" s="162">
        <v>1000</v>
      </c>
      <c r="AP23" s="163">
        <v>1001</v>
      </c>
      <c r="AQ23" s="190">
        <v>0.13587962962962999</v>
      </c>
      <c r="AR23" s="191">
        <v>15.66</v>
      </c>
      <c r="AS23" s="192" t="s">
        <v>175</v>
      </c>
    </row>
    <row r="24" spans="1:256" x14ac:dyDescent="0.3">
      <c r="A24" s="146">
        <v>41491</v>
      </c>
      <c r="B24" s="147">
        <v>95.22</v>
      </c>
      <c r="C24" s="148">
        <v>97.83</v>
      </c>
      <c r="D24" s="149">
        <v>96.63</v>
      </c>
      <c r="E24" s="148"/>
      <c r="F24" s="148"/>
      <c r="G24" s="148"/>
      <c r="H24" s="148">
        <v>95.2</v>
      </c>
      <c r="I24" s="148">
        <v>96.88</v>
      </c>
      <c r="J24" s="149">
        <v>96.27</v>
      </c>
      <c r="K24" s="148"/>
      <c r="L24" s="148"/>
      <c r="M24" s="148"/>
      <c r="N24" s="148">
        <v>94.38</v>
      </c>
      <c r="O24" s="148">
        <v>96.85</v>
      </c>
      <c r="P24" s="149">
        <v>95.92</v>
      </c>
      <c r="Q24" s="148">
        <v>94</v>
      </c>
      <c r="R24" s="148">
        <v>99</v>
      </c>
      <c r="S24" s="151">
        <v>81.5</v>
      </c>
      <c r="T24" s="151">
        <v>111.5</v>
      </c>
      <c r="U24" s="152">
        <f t="shared" si="5"/>
        <v>96.018571428571406</v>
      </c>
      <c r="V24" s="152">
        <f t="shared" si="1"/>
        <v>6.1314541142127332</v>
      </c>
      <c r="W24" s="153">
        <f t="shared" si="4"/>
        <v>0.86479441935936419</v>
      </c>
      <c r="X24" s="154">
        <v>1.36</v>
      </c>
      <c r="Y24" s="155"/>
      <c r="Z24" s="189">
        <v>0.88</v>
      </c>
      <c r="AA24" s="155"/>
      <c r="AB24" s="152">
        <v>1.29</v>
      </c>
      <c r="AC24" s="156">
        <v>1.8</v>
      </c>
      <c r="AD24" s="152">
        <f t="shared" si="6"/>
        <v>1.1766666666666667</v>
      </c>
      <c r="AE24" s="157">
        <f t="shared" si="7"/>
        <v>0.21171259344267257</v>
      </c>
      <c r="AF24" s="158">
        <v>11</v>
      </c>
      <c r="AG24" s="159"/>
      <c r="AH24" s="159">
        <v>5</v>
      </c>
      <c r="AI24" s="159"/>
      <c r="AJ24" s="159">
        <v>8</v>
      </c>
      <c r="AK24" s="160">
        <v>20</v>
      </c>
      <c r="AL24" s="161">
        <v>1002</v>
      </c>
      <c r="AM24" s="162">
        <v>1002</v>
      </c>
      <c r="AN24" s="162">
        <v>1000</v>
      </c>
      <c r="AO24" s="162">
        <v>1000</v>
      </c>
      <c r="AP24" s="163">
        <v>1001</v>
      </c>
      <c r="AQ24" s="194">
        <v>0.17754629629629701</v>
      </c>
      <c r="AR24" s="195">
        <v>15.66</v>
      </c>
      <c r="AS24" s="192"/>
    </row>
    <row r="25" spans="1:256" x14ac:dyDescent="0.3">
      <c r="A25" s="146">
        <v>41507</v>
      </c>
      <c r="B25" s="147">
        <v>94.06</v>
      </c>
      <c r="C25" s="148">
        <v>102.6</v>
      </c>
      <c r="D25" s="149">
        <v>97.28</v>
      </c>
      <c r="E25" s="148"/>
      <c r="F25" s="148"/>
      <c r="G25" s="148"/>
      <c r="H25" s="148">
        <v>94.56</v>
      </c>
      <c r="I25" s="148">
        <v>95.92</v>
      </c>
      <c r="J25" s="149">
        <v>95.29</v>
      </c>
      <c r="K25" s="148"/>
      <c r="L25" s="148"/>
      <c r="M25" s="148"/>
      <c r="N25" s="148">
        <v>92.91</v>
      </c>
      <c r="O25" s="148">
        <v>95.53</v>
      </c>
      <c r="P25" s="149">
        <v>94.51</v>
      </c>
      <c r="Q25" s="148">
        <v>94</v>
      </c>
      <c r="R25" s="148">
        <v>99</v>
      </c>
      <c r="S25" s="151">
        <v>81.5</v>
      </c>
      <c r="T25" s="151">
        <v>111.5</v>
      </c>
      <c r="U25" s="152">
        <f t="shared" si="5"/>
        <v>95.142857142857139</v>
      </c>
      <c r="V25" s="152">
        <f t="shared" si="1"/>
        <v>6.0755336617405575</v>
      </c>
      <c r="W25" s="153">
        <f t="shared" si="4"/>
        <v>1.2574772282597562</v>
      </c>
      <c r="X25" s="154">
        <f>(C25-B25)/(C25+B25)*100</f>
        <v>4.3425200854266199</v>
      </c>
      <c r="Y25" s="155"/>
      <c r="Z25" s="152">
        <f t="shared" ref="Z25:Z47" si="8">(I25-H25)/(I25+H25)*100</f>
        <v>0.71398572028559393</v>
      </c>
      <c r="AA25" s="155"/>
      <c r="AB25" s="152">
        <f>(O25-N25)/(O25+N25)*100</f>
        <v>1.3903629802589708</v>
      </c>
      <c r="AC25" s="156">
        <v>1.8</v>
      </c>
      <c r="AD25" s="196">
        <f t="shared" si="6"/>
        <v>2.1489562619903948</v>
      </c>
      <c r="AE25" s="197">
        <f t="shared" si="7"/>
        <v>1.5754709846198132</v>
      </c>
      <c r="AF25" s="158">
        <v>1</v>
      </c>
      <c r="AG25" s="159"/>
      <c r="AH25" s="159">
        <v>5</v>
      </c>
      <c r="AI25" s="159"/>
      <c r="AJ25" s="159">
        <v>14</v>
      </c>
      <c r="AK25" s="160">
        <v>20</v>
      </c>
      <c r="AL25" s="161">
        <v>1002</v>
      </c>
      <c r="AM25" s="162">
        <v>1002</v>
      </c>
      <c r="AN25" s="162">
        <v>1000</v>
      </c>
      <c r="AO25" s="162">
        <v>1000</v>
      </c>
      <c r="AP25" s="163">
        <v>1001</v>
      </c>
      <c r="AQ25" s="194">
        <v>0.219212962962964</v>
      </c>
      <c r="AR25" s="195">
        <v>15.66</v>
      </c>
      <c r="AS25" s="192"/>
    </row>
    <row r="26" spans="1:256" x14ac:dyDescent="0.3">
      <c r="A26" s="146">
        <v>41524</v>
      </c>
      <c r="B26" s="147">
        <v>95.73</v>
      </c>
      <c r="C26" s="148">
        <v>100.05</v>
      </c>
      <c r="D26" s="149">
        <v>97.322999999999993</v>
      </c>
      <c r="E26" s="148"/>
      <c r="F26" s="148"/>
      <c r="G26" s="148"/>
      <c r="H26" s="148">
        <v>94.96</v>
      </c>
      <c r="I26" s="148">
        <v>96.71</v>
      </c>
      <c r="J26" s="149">
        <v>96.149000000000001</v>
      </c>
      <c r="K26" s="148"/>
      <c r="L26" s="148"/>
      <c r="M26" s="148"/>
      <c r="N26" s="148">
        <v>94.19</v>
      </c>
      <c r="O26" s="148">
        <v>96.82</v>
      </c>
      <c r="P26" s="149">
        <v>95.915000000000006</v>
      </c>
      <c r="Q26" s="148">
        <v>94</v>
      </c>
      <c r="R26" s="148">
        <v>99</v>
      </c>
      <c r="S26" s="151">
        <v>81.5</v>
      </c>
      <c r="T26" s="151">
        <v>111.5</v>
      </c>
      <c r="U26" s="152">
        <f t="shared" si="5"/>
        <v>96.009571428571434</v>
      </c>
      <c r="V26" s="152">
        <f t="shared" si="1"/>
        <v>6.1308794015690573</v>
      </c>
      <c r="W26" s="153">
        <f t="shared" si="4"/>
        <v>1.0221345811784346</v>
      </c>
      <c r="X26" s="154">
        <f>(C26-B26)/(C26+B26)*100</f>
        <v>2.206558381857183</v>
      </c>
      <c r="Y26" s="155"/>
      <c r="Z26" s="152">
        <f t="shared" si="8"/>
        <v>0.91302759952000845</v>
      </c>
      <c r="AA26" s="155"/>
      <c r="AB26" s="152">
        <f>(O26-N26)/(O26+N26)*100</f>
        <v>1.3768912622375769</v>
      </c>
      <c r="AC26" s="156">
        <v>1.8</v>
      </c>
      <c r="AD26" s="152">
        <f t="shared" si="6"/>
        <v>1.4988257478715894</v>
      </c>
      <c r="AE26" s="157">
        <f t="shared" si="7"/>
        <v>0.53507412900991536</v>
      </c>
      <c r="AF26" s="158"/>
      <c r="AG26" s="159"/>
      <c r="AH26" s="159"/>
      <c r="AI26" s="159"/>
      <c r="AJ26" s="159"/>
      <c r="AK26" s="160">
        <v>20</v>
      </c>
      <c r="AL26" s="161">
        <v>1002</v>
      </c>
      <c r="AM26" s="162">
        <v>1002</v>
      </c>
      <c r="AN26" s="162">
        <v>1000</v>
      </c>
      <c r="AO26" s="162">
        <v>1000</v>
      </c>
      <c r="AP26" s="163">
        <v>1001</v>
      </c>
      <c r="AQ26" s="164">
        <v>0.13587962962962999</v>
      </c>
      <c r="AR26" s="195">
        <v>15.66</v>
      </c>
      <c r="AS26" s="192" t="s">
        <v>176</v>
      </c>
    </row>
    <row r="27" spans="1:256" x14ac:dyDescent="0.3">
      <c r="A27" s="146">
        <v>41533</v>
      </c>
      <c r="B27" s="147">
        <v>95.58</v>
      </c>
      <c r="C27" s="148">
        <v>97.93</v>
      </c>
      <c r="D27" s="149">
        <v>96.89</v>
      </c>
      <c r="E27" s="148"/>
      <c r="F27" s="148"/>
      <c r="G27" s="148"/>
      <c r="H27" s="148">
        <v>95.41</v>
      </c>
      <c r="I27" s="148">
        <v>97.14</v>
      </c>
      <c r="J27" s="149">
        <v>96.56</v>
      </c>
      <c r="K27" s="148"/>
      <c r="L27" s="148"/>
      <c r="M27" s="148"/>
      <c r="N27" s="148">
        <v>94.34</v>
      </c>
      <c r="O27" s="148">
        <v>97.01</v>
      </c>
      <c r="P27" s="149">
        <v>96.06</v>
      </c>
      <c r="Q27" s="148">
        <v>94</v>
      </c>
      <c r="R27" s="148">
        <v>99</v>
      </c>
      <c r="S27" s="151">
        <v>81.5</v>
      </c>
      <c r="T27" s="151">
        <v>111.5</v>
      </c>
      <c r="U27" s="152">
        <f t="shared" si="5"/>
        <v>96.201428571428579</v>
      </c>
      <c r="V27" s="152">
        <f t="shared" si="1"/>
        <v>6.1431308155446089</v>
      </c>
      <c r="W27" s="153">
        <f t="shared" si="4"/>
        <v>0.9448118266380362</v>
      </c>
      <c r="X27" s="154">
        <f>(C27-B27)/(C27+B27)*100</f>
        <v>1.2144075241589625</v>
      </c>
      <c r="Y27" s="155"/>
      <c r="Z27" s="152">
        <f t="shared" si="8"/>
        <v>0.89846793040768835</v>
      </c>
      <c r="AA27" s="155"/>
      <c r="AB27" s="152">
        <f>(O27-N27)/(O27+N27)*100</f>
        <v>1.395348837209303</v>
      </c>
      <c r="AC27" s="156">
        <v>1.8</v>
      </c>
      <c r="AD27" s="152">
        <f t="shared" si="6"/>
        <v>1.1694080972586514</v>
      </c>
      <c r="AE27" s="157">
        <f t="shared" si="7"/>
        <v>0.20533122867213999</v>
      </c>
      <c r="AF27" s="158"/>
      <c r="AG27" s="159"/>
      <c r="AH27" s="159"/>
      <c r="AI27" s="159"/>
      <c r="AJ27" s="159"/>
      <c r="AK27" s="160">
        <v>20</v>
      </c>
      <c r="AL27" s="161">
        <v>1002</v>
      </c>
      <c r="AM27" s="162">
        <v>1002</v>
      </c>
      <c r="AN27" s="162">
        <v>1000</v>
      </c>
      <c r="AO27" s="162">
        <v>1000</v>
      </c>
      <c r="AP27" s="163">
        <v>1001</v>
      </c>
      <c r="AQ27" s="164">
        <v>0.17754629629629701</v>
      </c>
      <c r="AR27" s="195">
        <v>15.66</v>
      </c>
      <c r="AS27" s="192" t="s">
        <v>177</v>
      </c>
    </row>
    <row r="28" spans="1:256" x14ac:dyDescent="0.3">
      <c r="A28" s="146">
        <v>41543</v>
      </c>
      <c r="B28" s="147">
        <v>95.34</v>
      </c>
      <c r="C28" s="148">
        <v>98.19</v>
      </c>
      <c r="D28" s="149">
        <v>96.65</v>
      </c>
      <c r="E28" s="148"/>
      <c r="F28" s="148"/>
      <c r="G28" s="148"/>
      <c r="H28" s="148">
        <v>95.04</v>
      </c>
      <c r="I28" s="148">
        <v>96.75</v>
      </c>
      <c r="J28" s="149">
        <v>96.14</v>
      </c>
      <c r="K28" s="148"/>
      <c r="L28" s="148"/>
      <c r="M28" s="148"/>
      <c r="N28" s="148">
        <v>94.2</v>
      </c>
      <c r="O28" s="148">
        <v>96.76</v>
      </c>
      <c r="P28" s="149">
        <v>95.74</v>
      </c>
      <c r="Q28" s="148">
        <v>94</v>
      </c>
      <c r="R28" s="148">
        <v>99</v>
      </c>
      <c r="S28" s="151">
        <v>81.5</v>
      </c>
      <c r="T28" s="151">
        <v>111.5</v>
      </c>
      <c r="U28" s="152">
        <f t="shared" si="5"/>
        <v>95.897142857142853</v>
      </c>
      <c r="V28" s="152">
        <f t="shared" si="1"/>
        <v>6.1237000547345373</v>
      </c>
      <c r="W28" s="153">
        <f t="shared" si="4"/>
        <v>0.90532889502283376</v>
      </c>
      <c r="X28" s="154">
        <f>(C28-B28)/(C28+B28)*100</f>
        <v>1.4726399007905722</v>
      </c>
      <c r="Y28" s="155"/>
      <c r="Z28" s="152">
        <f t="shared" si="8"/>
        <v>0.89160018770529925</v>
      </c>
      <c r="AA28" s="155"/>
      <c r="AB28" s="152">
        <f>(O28-N28)/(O28+N28)*100</f>
        <v>1.340594888981987</v>
      </c>
      <c r="AC28" s="156">
        <v>1.8</v>
      </c>
      <c r="AD28" s="152">
        <f t="shared" si="6"/>
        <v>1.2349449924926195</v>
      </c>
      <c r="AE28" s="157">
        <f t="shared" si="7"/>
        <v>0.24869420649559984</v>
      </c>
      <c r="AF28" s="158"/>
      <c r="AG28" s="159"/>
      <c r="AH28" s="159"/>
      <c r="AI28" s="159"/>
      <c r="AJ28" s="159"/>
      <c r="AK28" s="160">
        <v>20</v>
      </c>
      <c r="AL28" s="161">
        <v>1002</v>
      </c>
      <c r="AM28" s="162">
        <v>1002</v>
      </c>
      <c r="AN28" s="162">
        <v>1000</v>
      </c>
      <c r="AO28" s="162">
        <v>1000</v>
      </c>
      <c r="AP28" s="163">
        <v>1001</v>
      </c>
      <c r="AQ28" s="164">
        <v>0.219212962962963</v>
      </c>
      <c r="AR28" s="195">
        <v>15.66</v>
      </c>
      <c r="AS28" s="192" t="s">
        <v>177</v>
      </c>
    </row>
    <row r="29" spans="1:256" x14ac:dyDescent="0.3">
      <c r="A29" s="146">
        <v>41569</v>
      </c>
      <c r="B29" s="198"/>
      <c r="C29" s="199"/>
      <c r="D29" s="199"/>
      <c r="E29" s="148"/>
      <c r="F29" s="148"/>
      <c r="G29" s="148"/>
      <c r="H29" s="148">
        <v>94.79</v>
      </c>
      <c r="I29" s="148">
        <v>96.92</v>
      </c>
      <c r="J29" s="149">
        <v>96.03</v>
      </c>
      <c r="K29" s="148"/>
      <c r="L29" s="148"/>
      <c r="M29" s="148"/>
      <c r="N29" s="148"/>
      <c r="O29" s="148"/>
      <c r="P29" s="149"/>
      <c r="Q29" s="148">
        <v>94</v>
      </c>
      <c r="R29" s="148">
        <v>99</v>
      </c>
      <c r="S29" s="151">
        <v>81.5</v>
      </c>
      <c r="T29" s="151">
        <v>111.5</v>
      </c>
      <c r="U29" s="152">
        <f t="shared" si="5"/>
        <v>95.913333333333341</v>
      </c>
      <c r="V29" s="152">
        <f t="shared" si="1"/>
        <v>6.1247339293316312</v>
      </c>
      <c r="W29" s="153">
        <f t="shared" si="4"/>
        <v>0.87347327123132523</v>
      </c>
      <c r="X29" s="154"/>
      <c r="Y29" s="155"/>
      <c r="Z29" s="152">
        <f t="shared" si="8"/>
        <v>1.1110531532001435</v>
      </c>
      <c r="AA29" s="155"/>
      <c r="AB29" s="152"/>
      <c r="AC29" s="156">
        <v>1.8</v>
      </c>
      <c r="AD29" s="152">
        <f t="shared" si="6"/>
        <v>1.1110531532001435</v>
      </c>
      <c r="AE29" s="157">
        <f t="shared" si="7"/>
        <v>0</v>
      </c>
      <c r="AF29" s="158">
        <v>29</v>
      </c>
      <c r="AG29" s="159"/>
      <c r="AH29" s="159">
        <v>8</v>
      </c>
      <c r="AI29" s="159"/>
      <c r="AJ29" s="159">
        <v>8</v>
      </c>
      <c r="AK29" s="160">
        <v>20</v>
      </c>
      <c r="AL29" s="161">
        <v>1002</v>
      </c>
      <c r="AM29" s="162">
        <v>1002</v>
      </c>
      <c r="AN29" s="162">
        <v>1000</v>
      </c>
      <c r="AO29" s="162">
        <v>1000</v>
      </c>
      <c r="AP29" s="163">
        <v>1001</v>
      </c>
      <c r="AQ29" s="164">
        <v>0.26087962962963002</v>
      </c>
      <c r="AR29" s="195">
        <v>15.66</v>
      </c>
      <c r="AS29" s="192" t="s">
        <v>178</v>
      </c>
    </row>
    <row r="30" spans="1:256" x14ac:dyDescent="0.3">
      <c r="A30" s="146">
        <v>41585</v>
      </c>
      <c r="B30" s="147"/>
      <c r="C30" s="148"/>
      <c r="D30" s="149"/>
      <c r="E30" s="148"/>
      <c r="F30" s="148"/>
      <c r="G30" s="148"/>
      <c r="H30" s="148">
        <v>95.92</v>
      </c>
      <c r="I30" s="148">
        <v>97.62</v>
      </c>
      <c r="J30" s="149">
        <v>96.89</v>
      </c>
      <c r="K30" s="148"/>
      <c r="L30" s="148"/>
      <c r="M30" s="148"/>
      <c r="N30" s="148"/>
      <c r="O30" s="148"/>
      <c r="P30" s="149"/>
      <c r="Q30" s="148">
        <v>94</v>
      </c>
      <c r="R30" s="148">
        <v>99</v>
      </c>
      <c r="S30" s="151">
        <v>81.5</v>
      </c>
      <c r="T30" s="151">
        <v>111.5</v>
      </c>
      <c r="U30" s="152">
        <f t="shared" si="5"/>
        <v>96.81</v>
      </c>
      <c r="V30" s="152">
        <f t="shared" si="1"/>
        <v>6.1819923371647514</v>
      </c>
      <c r="W30" s="153">
        <f t="shared" si="4"/>
        <v>0.69632367952459306</v>
      </c>
      <c r="X30" s="154"/>
      <c r="Y30" s="155"/>
      <c r="Z30" s="152">
        <f t="shared" si="8"/>
        <v>0.87837139609383208</v>
      </c>
      <c r="AA30" s="155"/>
      <c r="AB30" s="152"/>
      <c r="AC30" s="156">
        <v>1.8</v>
      </c>
      <c r="AD30" s="152">
        <f t="shared" si="6"/>
        <v>0.87837139609383208</v>
      </c>
      <c r="AE30" s="157">
        <f t="shared" si="7"/>
        <v>0</v>
      </c>
      <c r="AF30" s="158">
        <v>6</v>
      </c>
      <c r="AG30" s="159"/>
      <c r="AH30" s="159">
        <v>-14</v>
      </c>
      <c r="AI30" s="159"/>
      <c r="AJ30" s="159">
        <v>9</v>
      </c>
      <c r="AK30" s="160">
        <v>20</v>
      </c>
      <c r="AL30" s="161">
        <v>1002</v>
      </c>
      <c r="AM30" s="162">
        <v>1002</v>
      </c>
      <c r="AN30" s="162">
        <v>1000</v>
      </c>
      <c r="AO30" s="162">
        <v>1000</v>
      </c>
      <c r="AP30" s="163">
        <v>1001</v>
      </c>
      <c r="AQ30" s="164">
        <v>0.30254629629629698</v>
      </c>
      <c r="AR30" s="195">
        <v>15.66</v>
      </c>
      <c r="AS30" s="192" t="s">
        <v>178</v>
      </c>
    </row>
    <row r="31" spans="1:256" x14ac:dyDescent="0.3">
      <c r="A31" s="146">
        <v>41606</v>
      </c>
      <c r="B31" s="147">
        <v>95.77</v>
      </c>
      <c r="C31" s="148">
        <v>99.35</v>
      </c>
      <c r="D31" s="149">
        <v>97.47</v>
      </c>
      <c r="E31" s="148"/>
      <c r="F31" s="148"/>
      <c r="G31" s="148"/>
      <c r="H31" s="148">
        <v>95.86</v>
      </c>
      <c r="I31" s="148">
        <v>97.6</v>
      </c>
      <c r="J31" s="149">
        <v>96.96</v>
      </c>
      <c r="K31" s="148"/>
      <c r="L31" s="148"/>
      <c r="M31" s="148"/>
      <c r="N31" s="148">
        <v>94.69</v>
      </c>
      <c r="O31" s="148">
        <v>97.24</v>
      </c>
      <c r="P31" s="149">
        <v>96.28</v>
      </c>
      <c r="Q31" s="148">
        <v>94</v>
      </c>
      <c r="R31" s="148">
        <v>99</v>
      </c>
      <c r="S31" s="151">
        <v>81.5</v>
      </c>
      <c r="T31" s="151">
        <v>111.5</v>
      </c>
      <c r="U31" s="152">
        <f t="shared" si="5"/>
        <v>96.585714285714275</v>
      </c>
      <c r="V31" s="152">
        <f t="shared" si="1"/>
        <v>6.1676701331873742</v>
      </c>
      <c r="W31" s="153">
        <f t="shared" si="4"/>
        <v>0.97047642413193946</v>
      </c>
      <c r="X31" s="154"/>
      <c r="Y31" s="155"/>
      <c r="Z31" s="152">
        <f t="shared" si="8"/>
        <v>0.89941073090044199</v>
      </c>
      <c r="AA31" s="155"/>
      <c r="AB31" s="152"/>
      <c r="AC31" s="156">
        <v>1.8</v>
      </c>
      <c r="AD31" s="152">
        <f t="shared" si="6"/>
        <v>0.89941073090044199</v>
      </c>
      <c r="AE31" s="157">
        <f t="shared" si="7"/>
        <v>0</v>
      </c>
      <c r="AF31" s="158"/>
      <c r="AG31" s="159"/>
      <c r="AH31" s="159"/>
      <c r="AI31" s="159"/>
      <c r="AJ31" s="159"/>
      <c r="AK31" s="160">
        <v>20</v>
      </c>
      <c r="AL31" s="161">
        <v>1002</v>
      </c>
      <c r="AM31" s="162">
        <v>1002</v>
      </c>
      <c r="AN31" s="162">
        <v>1000</v>
      </c>
      <c r="AO31" s="162">
        <v>1000</v>
      </c>
      <c r="AP31" s="163">
        <v>1001</v>
      </c>
      <c r="AQ31" s="164">
        <v>0.344212962962964</v>
      </c>
      <c r="AR31" s="195">
        <v>15.66</v>
      </c>
      <c r="AS31" s="192" t="s">
        <v>178</v>
      </c>
    </row>
    <row r="32" spans="1:256" x14ac:dyDescent="0.3">
      <c r="A32" s="146">
        <v>41628</v>
      </c>
      <c r="B32" s="147"/>
      <c r="C32" s="148"/>
      <c r="D32" s="149"/>
      <c r="E32" s="148"/>
      <c r="F32" s="148"/>
      <c r="G32" s="148"/>
      <c r="H32" s="148">
        <v>95.58</v>
      </c>
      <c r="I32" s="148">
        <v>97.66</v>
      </c>
      <c r="J32" s="149">
        <v>96.79</v>
      </c>
      <c r="K32" s="148"/>
      <c r="L32" s="148"/>
      <c r="M32" s="148"/>
      <c r="N32" s="148"/>
      <c r="O32" s="148"/>
      <c r="P32" s="149"/>
      <c r="Q32" s="148">
        <v>94</v>
      </c>
      <c r="R32" s="148">
        <v>99</v>
      </c>
      <c r="S32" s="151">
        <v>81.5</v>
      </c>
      <c r="T32" s="151">
        <v>111.5</v>
      </c>
      <c r="U32" s="152">
        <f t="shared" si="5"/>
        <v>96.676666666666677</v>
      </c>
      <c r="V32" s="152">
        <f t="shared" si="1"/>
        <v>6.1734780757769272</v>
      </c>
      <c r="W32" s="153">
        <f t="shared" si="4"/>
        <v>0.8529295919880423</v>
      </c>
      <c r="X32" s="154"/>
      <c r="Y32" s="155"/>
      <c r="Z32" s="152">
        <f t="shared" si="8"/>
        <v>1.0763817015110735</v>
      </c>
      <c r="AA32" s="155"/>
      <c r="AB32" s="152"/>
      <c r="AC32" s="156">
        <v>1.8</v>
      </c>
      <c r="AD32" s="152">
        <f t="shared" si="6"/>
        <v>1.0763817015110735</v>
      </c>
      <c r="AE32" s="157">
        <f t="shared" si="7"/>
        <v>0</v>
      </c>
      <c r="AF32" s="158"/>
      <c r="AG32" s="159"/>
      <c r="AH32" s="159"/>
      <c r="AI32" s="159"/>
      <c r="AJ32" s="159"/>
      <c r="AK32" s="160">
        <v>20</v>
      </c>
      <c r="AL32" s="161">
        <v>1002</v>
      </c>
      <c r="AM32" s="162">
        <v>1002</v>
      </c>
      <c r="AN32" s="162">
        <v>1000</v>
      </c>
      <c r="AO32" s="162">
        <v>1000</v>
      </c>
      <c r="AP32" s="163">
        <v>1001</v>
      </c>
      <c r="AQ32" s="164">
        <v>0.38587962962963102</v>
      </c>
      <c r="AR32" s="195">
        <v>15.66</v>
      </c>
      <c r="AS32" s="192" t="s">
        <v>178</v>
      </c>
    </row>
    <row r="33" spans="1:45" x14ac:dyDescent="0.3">
      <c r="A33" s="146">
        <v>41656</v>
      </c>
      <c r="B33" s="147">
        <v>96.07</v>
      </c>
      <c r="C33" s="148">
        <v>98.6</v>
      </c>
      <c r="D33" s="149">
        <v>97.36</v>
      </c>
      <c r="E33" s="148"/>
      <c r="F33" s="148"/>
      <c r="G33" s="148"/>
      <c r="H33" s="148">
        <v>95.78</v>
      </c>
      <c r="I33" s="148">
        <v>98.03</v>
      </c>
      <c r="J33" s="149">
        <v>97.01</v>
      </c>
      <c r="K33" s="148"/>
      <c r="L33" s="148"/>
      <c r="M33" s="148"/>
      <c r="N33" s="148">
        <v>94.61</v>
      </c>
      <c r="O33" s="148">
        <v>97.26</v>
      </c>
      <c r="P33" s="149">
        <v>96.2</v>
      </c>
      <c r="Q33" s="148">
        <v>94</v>
      </c>
      <c r="R33" s="148">
        <v>99</v>
      </c>
      <c r="S33" s="151">
        <v>81.5</v>
      </c>
      <c r="T33" s="151">
        <v>111.5</v>
      </c>
      <c r="U33" s="152">
        <f t="shared" si="5"/>
        <v>96.607142857142861</v>
      </c>
      <c r="V33" s="152">
        <f t="shared" si="1"/>
        <v>6.1690384966247036</v>
      </c>
      <c r="W33" s="153">
        <f t="shared" si="4"/>
        <v>1.0702698496269105</v>
      </c>
      <c r="X33" s="154"/>
      <c r="Y33" s="155"/>
      <c r="Z33" s="152">
        <f t="shared" si="8"/>
        <v>1.1609308085238119</v>
      </c>
      <c r="AA33" s="155"/>
      <c r="AB33" s="152"/>
      <c r="AC33" s="156">
        <v>1.8</v>
      </c>
      <c r="AD33" s="152">
        <f t="shared" si="6"/>
        <v>1.1609308085238119</v>
      </c>
      <c r="AE33" s="157">
        <f t="shared" si="7"/>
        <v>0</v>
      </c>
      <c r="AF33" s="158">
        <v>1</v>
      </c>
      <c r="AG33" s="159"/>
      <c r="AH33" s="159">
        <v>-1</v>
      </c>
      <c r="AI33" s="159"/>
      <c r="AJ33" s="159">
        <v>-4</v>
      </c>
      <c r="AK33" s="160">
        <v>20</v>
      </c>
      <c r="AL33" s="161">
        <v>1002</v>
      </c>
      <c r="AM33" s="162">
        <v>1002</v>
      </c>
      <c r="AN33" s="162">
        <v>1000</v>
      </c>
      <c r="AO33" s="162">
        <v>1000</v>
      </c>
      <c r="AP33" s="163">
        <v>1001</v>
      </c>
      <c r="AQ33" s="164">
        <v>0.42754629629629698</v>
      </c>
      <c r="AR33" s="195">
        <v>15.66</v>
      </c>
      <c r="AS33" s="192" t="s">
        <v>178</v>
      </c>
    </row>
    <row r="34" spans="1:45" x14ac:dyDescent="0.3">
      <c r="A34" s="146">
        <v>41698</v>
      </c>
      <c r="B34" s="147"/>
      <c r="C34" s="148"/>
      <c r="D34" s="149"/>
      <c r="E34" s="148"/>
      <c r="F34" s="148"/>
      <c r="G34" s="148"/>
      <c r="H34" s="148">
        <v>95.63</v>
      </c>
      <c r="I34" s="148">
        <v>97.7</v>
      </c>
      <c r="J34" s="149">
        <v>96.94</v>
      </c>
      <c r="K34" s="148"/>
      <c r="L34" s="148"/>
      <c r="M34" s="148"/>
      <c r="N34" s="148"/>
      <c r="O34" s="148"/>
      <c r="P34" s="149"/>
      <c r="Q34" s="148">
        <v>94</v>
      </c>
      <c r="R34" s="148">
        <v>99</v>
      </c>
      <c r="S34" s="151">
        <v>81.5</v>
      </c>
      <c r="T34" s="151">
        <v>111.5</v>
      </c>
      <c r="U34" s="152">
        <f t="shared" si="5"/>
        <v>96.756666666666661</v>
      </c>
      <c r="V34" s="152">
        <f t="shared" si="1"/>
        <v>6.1785866326096208</v>
      </c>
      <c r="W34" s="153">
        <f t="shared" si="4"/>
        <v>0.85495938824926676</v>
      </c>
      <c r="X34" s="154"/>
      <c r="Y34" s="155"/>
      <c r="Z34" s="152">
        <f t="shared" si="8"/>
        <v>1.0707081156571703</v>
      </c>
      <c r="AA34" s="155"/>
      <c r="AB34" s="152"/>
      <c r="AC34" s="156">
        <v>1.8</v>
      </c>
      <c r="AD34" s="152">
        <f t="shared" si="6"/>
        <v>1.0707081156571703</v>
      </c>
      <c r="AE34" s="157">
        <f t="shared" si="7"/>
        <v>0</v>
      </c>
      <c r="AF34" s="158"/>
      <c r="AG34" s="159"/>
      <c r="AH34" s="159"/>
      <c r="AI34" s="159"/>
      <c r="AJ34" s="159"/>
      <c r="AK34" s="160">
        <v>20</v>
      </c>
      <c r="AL34" s="161">
        <v>1002</v>
      </c>
      <c r="AM34" s="162">
        <v>1002</v>
      </c>
      <c r="AN34" s="162">
        <v>1000</v>
      </c>
      <c r="AO34" s="162">
        <v>1000</v>
      </c>
      <c r="AP34" s="163">
        <v>1001</v>
      </c>
      <c r="AQ34" s="164">
        <v>0.469212962962964</v>
      </c>
      <c r="AR34" s="195">
        <v>15.66</v>
      </c>
      <c r="AS34" s="192" t="s">
        <v>178</v>
      </c>
    </row>
    <row r="35" spans="1:45" x14ac:dyDescent="0.3">
      <c r="A35" s="146">
        <v>41809</v>
      </c>
      <c r="B35" s="147"/>
      <c r="C35" s="148"/>
      <c r="D35" s="149"/>
      <c r="E35" s="148"/>
      <c r="F35" s="148"/>
      <c r="G35" s="148"/>
      <c r="H35" s="148">
        <v>94.82</v>
      </c>
      <c r="I35" s="148">
        <v>96.59</v>
      </c>
      <c r="J35" s="149">
        <v>95.93</v>
      </c>
      <c r="K35" s="148"/>
      <c r="L35" s="148"/>
      <c r="M35" s="148"/>
      <c r="N35" s="148"/>
      <c r="O35" s="148"/>
      <c r="P35" s="149"/>
      <c r="Q35" s="148">
        <v>94</v>
      </c>
      <c r="R35" s="148">
        <v>99</v>
      </c>
      <c r="S35" s="151">
        <v>81.5</v>
      </c>
      <c r="T35" s="151">
        <v>111.5</v>
      </c>
      <c r="U35" s="152">
        <f t="shared" si="5"/>
        <v>95.780000000000015</v>
      </c>
      <c r="V35" s="152">
        <f t="shared" si="1"/>
        <v>6.116219667943807</v>
      </c>
      <c r="W35" s="153">
        <f t="shared" si="4"/>
        <v>0.7303423854604133</v>
      </c>
      <c r="X35" s="154"/>
      <c r="Y35" s="155"/>
      <c r="Z35" s="152">
        <f t="shared" si="8"/>
        <v>0.92471657698135423</v>
      </c>
      <c r="AA35" s="155"/>
      <c r="AB35" s="152"/>
      <c r="AC35" s="156">
        <v>1.8</v>
      </c>
      <c r="AD35" s="152">
        <f t="shared" si="6"/>
        <v>0.92471657698135423</v>
      </c>
      <c r="AE35" s="157">
        <f t="shared" si="7"/>
        <v>0</v>
      </c>
      <c r="AF35" s="158"/>
      <c r="AG35" s="159"/>
      <c r="AH35" s="159">
        <v>1</v>
      </c>
      <c r="AI35" s="159"/>
      <c r="AJ35" s="159"/>
      <c r="AK35" s="160">
        <v>20</v>
      </c>
      <c r="AL35" s="161">
        <v>1002</v>
      </c>
      <c r="AM35" s="162">
        <v>1002</v>
      </c>
      <c r="AN35" s="162">
        <v>1000</v>
      </c>
      <c r="AO35" s="162">
        <v>1000</v>
      </c>
      <c r="AP35" s="163">
        <v>1001</v>
      </c>
      <c r="AQ35" s="164">
        <v>0.51087962962963096</v>
      </c>
      <c r="AR35" s="195">
        <v>15.66</v>
      </c>
      <c r="AS35" s="192" t="s">
        <v>179</v>
      </c>
    </row>
    <row r="36" spans="1:45" x14ac:dyDescent="0.3">
      <c r="A36" s="146">
        <v>41810</v>
      </c>
      <c r="B36" s="147"/>
      <c r="C36" s="148"/>
      <c r="D36" s="149"/>
      <c r="E36" s="148"/>
      <c r="F36" s="148"/>
      <c r="G36" s="148"/>
      <c r="H36" s="148">
        <v>95.21</v>
      </c>
      <c r="I36" s="148">
        <v>96.86</v>
      </c>
      <c r="J36" s="149">
        <v>96.3</v>
      </c>
      <c r="K36" s="148"/>
      <c r="L36" s="148"/>
      <c r="M36" s="148"/>
      <c r="N36" s="148"/>
      <c r="O36" s="148"/>
      <c r="P36" s="149"/>
      <c r="Q36" s="148">
        <v>94</v>
      </c>
      <c r="R36" s="148">
        <v>99</v>
      </c>
      <c r="S36" s="151">
        <v>81.5</v>
      </c>
      <c r="T36" s="151">
        <v>111.5</v>
      </c>
      <c r="U36" s="152">
        <f t="shared" si="5"/>
        <v>96.123333333333335</v>
      </c>
      <c r="V36" s="152">
        <f t="shared" si="1"/>
        <v>6.1381438910174539</v>
      </c>
      <c r="W36" s="153">
        <f t="shared" si="4"/>
        <v>0.68509528939816744</v>
      </c>
      <c r="X36" s="154"/>
      <c r="Y36" s="155"/>
      <c r="Z36" s="152">
        <f t="shared" si="8"/>
        <v>0.85906180038527924</v>
      </c>
      <c r="AA36" s="155"/>
      <c r="AB36" s="152"/>
      <c r="AC36" s="156">
        <v>1.8</v>
      </c>
      <c r="AD36" s="152">
        <f t="shared" si="6"/>
        <v>0.85906180038527924</v>
      </c>
      <c r="AE36" s="157">
        <f t="shared" si="7"/>
        <v>0</v>
      </c>
      <c r="AF36" s="158"/>
      <c r="AG36" s="159"/>
      <c r="AH36" s="159">
        <v>4</v>
      </c>
      <c r="AI36" s="159"/>
      <c r="AJ36" s="159"/>
      <c r="AK36" s="160">
        <v>20</v>
      </c>
      <c r="AL36" s="161">
        <v>1002</v>
      </c>
      <c r="AM36" s="162">
        <v>1002</v>
      </c>
      <c r="AN36" s="162">
        <v>1000</v>
      </c>
      <c r="AO36" s="162">
        <v>1000</v>
      </c>
      <c r="AP36" s="163">
        <v>1001</v>
      </c>
      <c r="AQ36" s="164">
        <v>0.55254629629629803</v>
      </c>
      <c r="AR36" s="195">
        <v>15.66</v>
      </c>
      <c r="AS36" s="192" t="s">
        <v>180</v>
      </c>
    </row>
    <row r="37" spans="1:45" x14ac:dyDescent="0.3">
      <c r="A37" s="146">
        <v>41817</v>
      </c>
      <c r="B37" s="147">
        <v>94.85</v>
      </c>
      <c r="C37" s="148">
        <v>97.63</v>
      </c>
      <c r="D37" s="149">
        <v>96.45</v>
      </c>
      <c r="E37" s="148"/>
      <c r="F37" s="148"/>
      <c r="G37" s="148"/>
      <c r="H37" s="148">
        <v>95.06</v>
      </c>
      <c r="I37" s="148">
        <v>97.58</v>
      </c>
      <c r="J37" s="149">
        <v>96.46</v>
      </c>
      <c r="K37" s="148"/>
      <c r="L37" s="148"/>
      <c r="M37" s="148"/>
      <c r="N37" s="148">
        <v>93.93</v>
      </c>
      <c r="O37" s="148">
        <v>96.65</v>
      </c>
      <c r="P37" s="149">
        <v>95.53</v>
      </c>
      <c r="Q37" s="148">
        <v>94</v>
      </c>
      <c r="R37" s="148">
        <v>99</v>
      </c>
      <c r="S37" s="151">
        <v>81.5</v>
      </c>
      <c r="T37" s="151">
        <v>111.5</v>
      </c>
      <c r="U37" s="152">
        <f t="shared" si="5"/>
        <v>95.951428571428565</v>
      </c>
      <c r="V37" s="152">
        <f t="shared" si="1"/>
        <v>6.1271665754424367</v>
      </c>
      <c r="W37" s="153">
        <f t="shared" si="4"/>
        <v>1.1152120691526202</v>
      </c>
      <c r="X37" s="154"/>
      <c r="Y37" s="155"/>
      <c r="Z37" s="152">
        <f t="shared" si="8"/>
        <v>1.3081395348837188</v>
      </c>
      <c r="AA37" s="155"/>
      <c r="AB37" s="152"/>
      <c r="AC37" s="156">
        <v>1.8</v>
      </c>
      <c r="AD37" s="152">
        <f t="shared" si="6"/>
        <v>1.3081395348837188</v>
      </c>
      <c r="AE37" s="157">
        <f t="shared" si="7"/>
        <v>0</v>
      </c>
      <c r="AF37" s="158">
        <v>0</v>
      </c>
      <c r="AG37" s="159"/>
      <c r="AH37" s="159">
        <v>1</v>
      </c>
      <c r="AI37" s="159"/>
      <c r="AJ37" s="159">
        <v>0</v>
      </c>
      <c r="AK37" s="160">
        <v>20</v>
      </c>
      <c r="AL37" s="161">
        <v>1002</v>
      </c>
      <c r="AM37" s="162">
        <v>1002</v>
      </c>
      <c r="AN37" s="162">
        <v>1000</v>
      </c>
      <c r="AO37" s="162">
        <v>1000</v>
      </c>
      <c r="AP37" s="163">
        <v>1001</v>
      </c>
      <c r="AQ37" s="164">
        <v>0.594212962962965</v>
      </c>
      <c r="AR37" s="195">
        <v>15.66</v>
      </c>
      <c r="AS37" s="192" t="s">
        <v>180</v>
      </c>
    </row>
    <row r="38" spans="1:45" x14ac:dyDescent="0.3">
      <c r="A38" s="146">
        <v>41835</v>
      </c>
      <c r="B38" s="147"/>
      <c r="C38" s="148"/>
      <c r="D38" s="149"/>
      <c r="E38" s="148"/>
      <c r="F38" s="148"/>
      <c r="G38" s="148"/>
      <c r="H38" s="148">
        <v>94.91</v>
      </c>
      <c r="I38" s="148">
        <v>96.66</v>
      </c>
      <c r="J38" s="149">
        <v>96.02</v>
      </c>
      <c r="K38" s="148"/>
      <c r="L38" s="148"/>
      <c r="M38" s="148"/>
      <c r="N38" s="148"/>
      <c r="O38" s="148"/>
      <c r="P38" s="149"/>
      <c r="Q38" s="148">
        <v>94</v>
      </c>
      <c r="R38" s="148">
        <v>99</v>
      </c>
      <c r="S38" s="151">
        <v>81.5</v>
      </c>
      <c r="T38" s="151">
        <v>111.5</v>
      </c>
      <c r="U38" s="152">
        <f t="shared" si="5"/>
        <v>95.86333333333333</v>
      </c>
      <c r="V38" s="152">
        <f t="shared" si="1"/>
        <v>6.1215410813111957</v>
      </c>
      <c r="W38" s="153">
        <f t="shared" si="4"/>
        <v>0.72297226011022642</v>
      </c>
      <c r="X38" s="154"/>
      <c r="Y38" s="155"/>
      <c r="Z38" s="152">
        <f t="shared" si="8"/>
        <v>0.91350420211932981</v>
      </c>
      <c r="AA38" s="155"/>
      <c r="AB38" s="152"/>
      <c r="AC38" s="156">
        <v>1.8</v>
      </c>
      <c r="AD38" s="152">
        <f t="shared" si="6"/>
        <v>0.91350420211932981</v>
      </c>
      <c r="AE38" s="157">
        <f t="shared" si="7"/>
        <v>0</v>
      </c>
      <c r="AF38" s="158"/>
      <c r="AG38" s="159"/>
      <c r="AH38" s="159">
        <v>-3</v>
      </c>
      <c r="AI38" s="159"/>
      <c r="AJ38" s="159"/>
      <c r="AK38" s="160">
        <v>20</v>
      </c>
      <c r="AL38" s="161">
        <v>1002</v>
      </c>
      <c r="AM38" s="162">
        <v>1002</v>
      </c>
      <c r="AN38" s="162">
        <v>1000</v>
      </c>
      <c r="AO38" s="162">
        <v>1000</v>
      </c>
      <c r="AP38" s="163">
        <v>1001</v>
      </c>
      <c r="AQ38" s="164">
        <v>0.63587962962963196</v>
      </c>
      <c r="AR38" s="195">
        <v>15.66</v>
      </c>
      <c r="AS38" s="192"/>
    </row>
    <row r="39" spans="1:45" x14ac:dyDescent="0.3">
      <c r="A39" s="146">
        <v>41857</v>
      </c>
      <c r="B39" s="147"/>
      <c r="C39" s="148"/>
      <c r="D39" s="149"/>
      <c r="E39" s="148"/>
      <c r="F39" s="148"/>
      <c r="G39" s="148"/>
      <c r="H39" s="148">
        <v>94.97</v>
      </c>
      <c r="I39" s="148">
        <v>96.74</v>
      </c>
      <c r="J39" s="149">
        <v>96.12</v>
      </c>
      <c r="K39" s="148"/>
      <c r="L39" s="148"/>
      <c r="M39" s="148"/>
      <c r="N39" s="148"/>
      <c r="O39" s="148"/>
      <c r="P39" s="149"/>
      <c r="Q39" s="148">
        <v>94</v>
      </c>
      <c r="R39" s="148">
        <v>99</v>
      </c>
      <c r="S39" s="151">
        <v>81.5</v>
      </c>
      <c r="T39" s="151">
        <v>111.5</v>
      </c>
      <c r="U39" s="152">
        <f t="shared" si="5"/>
        <v>95.943333333333328</v>
      </c>
      <c r="V39" s="152">
        <f t="shared" si="1"/>
        <v>6.1266496381438902</v>
      </c>
      <c r="W39" s="153">
        <f t="shared" si="4"/>
        <v>0.73331818166165363</v>
      </c>
      <c r="X39" s="154"/>
      <c r="Y39" s="155"/>
      <c r="Z39" s="152">
        <f t="shared" si="8"/>
        <v>0.92326952167335885</v>
      </c>
      <c r="AA39" s="155"/>
      <c r="AB39" s="152"/>
      <c r="AC39" s="156">
        <v>1.8</v>
      </c>
      <c r="AD39" s="152">
        <f t="shared" si="6"/>
        <v>0.92326952167335885</v>
      </c>
      <c r="AE39" s="157">
        <f t="shared" si="7"/>
        <v>0</v>
      </c>
      <c r="AF39" s="158"/>
      <c r="AG39" s="159"/>
      <c r="AH39" s="159"/>
      <c r="AI39" s="159"/>
      <c r="AJ39" s="159"/>
      <c r="AK39" s="160">
        <v>20</v>
      </c>
      <c r="AL39" s="161">
        <v>1002</v>
      </c>
      <c r="AM39" s="162">
        <v>1002</v>
      </c>
      <c r="AN39" s="162">
        <v>1000</v>
      </c>
      <c r="AO39" s="162">
        <v>1000</v>
      </c>
      <c r="AP39" s="163">
        <v>1001</v>
      </c>
      <c r="AQ39" s="164">
        <v>0.67754629629629803</v>
      </c>
      <c r="AR39" s="195">
        <v>15.66</v>
      </c>
      <c r="AS39" s="192" t="s">
        <v>181</v>
      </c>
    </row>
    <row r="40" spans="1:45" x14ac:dyDescent="0.3">
      <c r="A40" s="146">
        <v>41885</v>
      </c>
      <c r="B40" s="147"/>
      <c r="C40" s="148"/>
      <c r="D40" s="149"/>
      <c r="E40" s="148"/>
      <c r="F40" s="148"/>
      <c r="G40" s="148"/>
      <c r="H40" s="148">
        <v>95.19</v>
      </c>
      <c r="I40" s="148">
        <v>96.8</v>
      </c>
      <c r="J40" s="149">
        <v>96.28</v>
      </c>
      <c r="K40" s="148"/>
      <c r="L40" s="148"/>
      <c r="M40" s="148"/>
      <c r="N40" s="148"/>
      <c r="O40" s="148"/>
      <c r="P40" s="149"/>
      <c r="Q40" s="148">
        <v>94</v>
      </c>
      <c r="R40" s="148">
        <v>99</v>
      </c>
      <c r="S40" s="151">
        <v>81.5</v>
      </c>
      <c r="T40" s="151">
        <v>111.5</v>
      </c>
      <c r="U40" s="152">
        <f t="shared" si="5"/>
        <v>96.089999999999989</v>
      </c>
      <c r="V40" s="152">
        <f t="shared" si="1"/>
        <v>6.1360153256704972</v>
      </c>
      <c r="W40" s="153">
        <f t="shared" si="4"/>
        <v>0.67087008180918817</v>
      </c>
      <c r="X40" s="154"/>
      <c r="Y40" s="155"/>
      <c r="Z40" s="152">
        <f t="shared" si="8"/>
        <v>0.83858534298661358</v>
      </c>
      <c r="AA40" s="155"/>
      <c r="AB40" s="152"/>
      <c r="AC40" s="156">
        <v>1.8</v>
      </c>
      <c r="AD40" s="152">
        <f t="shared" si="6"/>
        <v>0.83858534298661358</v>
      </c>
      <c r="AE40" s="157">
        <f t="shared" si="7"/>
        <v>0</v>
      </c>
      <c r="AF40" s="158"/>
      <c r="AG40" s="159"/>
      <c r="AH40" s="159">
        <v>0</v>
      </c>
      <c r="AI40" s="159"/>
      <c r="AJ40" s="159"/>
      <c r="AK40" s="160">
        <v>20</v>
      </c>
      <c r="AL40" s="161">
        <v>1002</v>
      </c>
      <c r="AM40" s="162">
        <v>1002</v>
      </c>
      <c r="AN40" s="162">
        <v>1000</v>
      </c>
      <c r="AO40" s="162">
        <v>1000</v>
      </c>
      <c r="AP40" s="163">
        <v>1001</v>
      </c>
      <c r="AQ40" s="164">
        <v>0.719212962962965</v>
      </c>
      <c r="AR40" s="195">
        <v>15.66</v>
      </c>
      <c r="AS40" s="192"/>
    </row>
    <row r="41" spans="1:45" x14ac:dyDescent="0.3">
      <c r="A41" s="146">
        <v>41925</v>
      </c>
      <c r="B41" s="147">
        <v>95.34</v>
      </c>
      <c r="C41" s="148">
        <v>98.49</v>
      </c>
      <c r="D41" s="149">
        <v>97.08</v>
      </c>
      <c r="E41" s="148"/>
      <c r="F41" s="148"/>
      <c r="G41" s="148"/>
      <c r="H41" s="148">
        <v>95.4</v>
      </c>
      <c r="I41" s="148">
        <v>97.39</v>
      </c>
      <c r="J41" s="149">
        <v>96.69</v>
      </c>
      <c r="K41" s="148"/>
      <c r="L41" s="148"/>
      <c r="M41" s="148"/>
      <c r="N41" s="148">
        <v>94.22</v>
      </c>
      <c r="O41" s="148">
        <v>96.95</v>
      </c>
      <c r="P41" s="149">
        <v>95.82</v>
      </c>
      <c r="Q41" s="148">
        <v>94</v>
      </c>
      <c r="R41" s="148">
        <v>99</v>
      </c>
      <c r="S41" s="151">
        <v>81.5</v>
      </c>
      <c r="T41" s="151">
        <v>111.5</v>
      </c>
      <c r="U41" s="152">
        <f t="shared" si="5"/>
        <v>96.221428571428561</v>
      </c>
      <c r="V41" s="152">
        <f t="shared" si="1"/>
        <v>6.1444079547527819</v>
      </c>
      <c r="W41" s="153">
        <f t="shared" si="4"/>
        <v>1.048446859085634</v>
      </c>
      <c r="X41" s="154"/>
      <c r="Y41" s="155"/>
      <c r="Z41" s="152">
        <f t="shared" si="8"/>
        <v>1.0322112142745965</v>
      </c>
      <c r="AA41" s="155"/>
      <c r="AB41" s="152"/>
      <c r="AC41" s="156">
        <v>1.8</v>
      </c>
      <c r="AD41" s="152">
        <f t="shared" si="6"/>
        <v>1.0322112142745965</v>
      </c>
      <c r="AE41" s="157">
        <f t="shared" si="7"/>
        <v>0</v>
      </c>
      <c r="AF41" s="158"/>
      <c r="AG41" s="159"/>
      <c r="AH41" s="159"/>
      <c r="AI41" s="159"/>
      <c r="AJ41" s="159"/>
      <c r="AK41" s="160">
        <v>20</v>
      </c>
      <c r="AL41" s="161">
        <v>1002</v>
      </c>
      <c r="AM41" s="162">
        <v>1002</v>
      </c>
      <c r="AN41" s="162">
        <v>1000</v>
      </c>
      <c r="AO41" s="162">
        <v>1000</v>
      </c>
      <c r="AP41" s="163">
        <v>1001</v>
      </c>
      <c r="AQ41" s="164">
        <v>0.76087962962963196</v>
      </c>
      <c r="AR41" s="195">
        <v>15.66</v>
      </c>
      <c r="AS41" s="192" t="s">
        <v>182</v>
      </c>
    </row>
    <row r="42" spans="1:45" x14ac:dyDescent="0.3">
      <c r="A42" s="146">
        <v>42027</v>
      </c>
      <c r="B42" s="147"/>
      <c r="C42" s="148"/>
      <c r="D42" s="149"/>
      <c r="E42" s="148"/>
      <c r="F42" s="148"/>
      <c r="G42" s="148"/>
      <c r="H42" s="148">
        <v>96.17</v>
      </c>
      <c r="I42" s="148">
        <v>98.13</v>
      </c>
      <c r="J42" s="149">
        <v>97.4</v>
      </c>
      <c r="K42" s="148"/>
      <c r="L42" s="148"/>
      <c r="M42" s="148"/>
      <c r="N42" s="148"/>
      <c r="O42" s="148"/>
      <c r="P42" s="149"/>
      <c r="Q42" s="148">
        <v>94</v>
      </c>
      <c r="R42" s="148">
        <v>99</v>
      </c>
      <c r="S42" s="151">
        <v>81.5</v>
      </c>
      <c r="T42" s="151">
        <v>111.5</v>
      </c>
      <c r="U42" s="152">
        <f t="shared" si="5"/>
        <v>97.233333333333348</v>
      </c>
      <c r="V42" s="152">
        <f t="shared" si="1"/>
        <v>6.2090251170710946</v>
      </c>
      <c r="W42" s="153">
        <f t="shared" si="4"/>
        <v>0.80879883503597616</v>
      </c>
      <c r="X42" s="154"/>
      <c r="Y42" s="155"/>
      <c r="Z42" s="152">
        <f t="shared" si="8"/>
        <v>1.0087493566649479</v>
      </c>
      <c r="AA42" s="155"/>
      <c r="AB42" s="152"/>
      <c r="AC42" s="156">
        <v>1.8</v>
      </c>
      <c r="AD42" s="152">
        <f t="shared" si="6"/>
        <v>1.0087493566649479</v>
      </c>
      <c r="AE42" s="157">
        <f t="shared" si="7"/>
        <v>0</v>
      </c>
      <c r="AF42" s="158"/>
      <c r="AG42" s="159"/>
      <c r="AH42" s="159">
        <v>0</v>
      </c>
      <c r="AI42" s="159"/>
      <c r="AJ42" s="159"/>
      <c r="AK42" s="160">
        <v>20</v>
      </c>
      <c r="AL42" s="161">
        <v>1002</v>
      </c>
      <c r="AM42" s="162">
        <v>1002</v>
      </c>
      <c r="AN42" s="162">
        <v>1000</v>
      </c>
      <c r="AO42" s="162">
        <v>1000</v>
      </c>
      <c r="AP42" s="163">
        <v>1001</v>
      </c>
      <c r="AQ42" s="164">
        <v>0.80254629629629803</v>
      </c>
      <c r="AR42" s="195">
        <v>15.66</v>
      </c>
      <c r="AS42" s="192"/>
    </row>
    <row r="43" spans="1:45" x14ac:dyDescent="0.3">
      <c r="A43" s="146">
        <v>42048</v>
      </c>
      <c r="B43" s="147"/>
      <c r="C43" s="148"/>
      <c r="D43" s="149"/>
      <c r="E43" s="148"/>
      <c r="F43" s="148"/>
      <c r="G43" s="148"/>
      <c r="H43" s="148">
        <v>95.26</v>
      </c>
      <c r="I43" s="148">
        <v>97.59</v>
      </c>
      <c r="J43" s="149">
        <v>96.52</v>
      </c>
      <c r="K43" s="148"/>
      <c r="L43" s="148"/>
      <c r="M43" s="148"/>
      <c r="N43" s="148"/>
      <c r="O43" s="148"/>
      <c r="P43" s="149"/>
      <c r="Q43" s="148">
        <v>94</v>
      </c>
      <c r="R43" s="148">
        <v>99</v>
      </c>
      <c r="S43" s="151">
        <v>81.5</v>
      </c>
      <c r="T43" s="151">
        <v>111.5</v>
      </c>
      <c r="U43" s="152">
        <f t="shared" si="5"/>
        <v>96.456666666666663</v>
      </c>
      <c r="V43" s="152">
        <f t="shared" si="1"/>
        <v>6.1594295444870157</v>
      </c>
      <c r="W43" s="153">
        <f t="shared" si="4"/>
        <v>0.95227213664068777</v>
      </c>
      <c r="X43" s="154"/>
      <c r="Y43" s="155"/>
      <c r="Z43" s="152">
        <f t="shared" si="8"/>
        <v>1.2081928960331854</v>
      </c>
      <c r="AA43" s="155"/>
      <c r="AB43" s="152"/>
      <c r="AC43" s="156">
        <v>1.8</v>
      </c>
      <c r="AD43" s="152">
        <f t="shared" si="6"/>
        <v>1.2081928960331854</v>
      </c>
      <c r="AE43" s="157">
        <f t="shared" si="7"/>
        <v>0</v>
      </c>
      <c r="AF43" s="158"/>
      <c r="AG43" s="159"/>
      <c r="AH43" s="159">
        <v>-2</v>
      </c>
      <c r="AI43" s="159"/>
      <c r="AJ43" s="159"/>
      <c r="AK43" s="160">
        <v>20</v>
      </c>
      <c r="AL43" s="161">
        <v>1002</v>
      </c>
      <c r="AM43" s="162">
        <v>1002</v>
      </c>
      <c r="AN43" s="162">
        <v>1000</v>
      </c>
      <c r="AO43" s="162">
        <v>1000</v>
      </c>
      <c r="AP43" s="163">
        <v>1001</v>
      </c>
      <c r="AQ43" s="164">
        <v>0.844212962962965</v>
      </c>
      <c r="AR43" s="195">
        <v>15.66</v>
      </c>
      <c r="AS43" s="192"/>
    </row>
    <row r="44" spans="1:45" x14ac:dyDescent="0.3">
      <c r="A44" s="146">
        <v>42056</v>
      </c>
      <c r="B44" s="147"/>
      <c r="C44" s="148"/>
      <c r="D44" s="149"/>
      <c r="E44" s="148"/>
      <c r="F44" s="148"/>
      <c r="G44" s="148"/>
      <c r="H44" s="148">
        <v>94.83</v>
      </c>
      <c r="I44" s="148">
        <v>96.02</v>
      </c>
      <c r="J44" s="149">
        <v>95.41</v>
      </c>
      <c r="K44" s="148"/>
      <c r="L44" s="148"/>
      <c r="M44" s="148"/>
      <c r="N44" s="148"/>
      <c r="O44" s="148"/>
      <c r="P44" s="149"/>
      <c r="Q44" s="148">
        <v>94</v>
      </c>
      <c r="R44" s="148">
        <v>99</v>
      </c>
      <c r="S44" s="151">
        <v>81.5</v>
      </c>
      <c r="T44" s="151">
        <v>111.5</v>
      </c>
      <c r="U44" s="152">
        <f t="shared" si="5"/>
        <v>95.42</v>
      </c>
      <c r="V44" s="152">
        <f t="shared" si="1"/>
        <v>6.0932311621966795</v>
      </c>
      <c r="W44" s="153">
        <f t="shared" si="4"/>
        <v>0.4858669227953944</v>
      </c>
      <c r="X44" s="154"/>
      <c r="Y44" s="155"/>
      <c r="Z44" s="152">
        <f t="shared" si="8"/>
        <v>0.62352632957820153</v>
      </c>
      <c r="AA44" s="155"/>
      <c r="AB44" s="152"/>
      <c r="AC44" s="156">
        <v>1.8</v>
      </c>
      <c r="AD44" s="152">
        <f t="shared" si="6"/>
        <v>0.62352632957820153</v>
      </c>
      <c r="AE44" s="157">
        <f t="shared" si="7"/>
        <v>0</v>
      </c>
      <c r="AF44" s="158"/>
      <c r="AG44" s="159"/>
      <c r="AH44" s="159">
        <v>-7</v>
      </c>
      <c r="AI44" s="159"/>
      <c r="AJ44" s="159"/>
      <c r="AK44" s="160">
        <v>20</v>
      </c>
      <c r="AL44" s="161">
        <v>1002</v>
      </c>
      <c r="AM44" s="162">
        <v>1002</v>
      </c>
      <c r="AN44" s="162">
        <v>1000</v>
      </c>
      <c r="AO44" s="162">
        <v>1000</v>
      </c>
      <c r="AP44" s="163">
        <v>1001</v>
      </c>
      <c r="AQ44" s="164">
        <v>0.88587962962963196</v>
      </c>
      <c r="AR44" s="195">
        <v>15.66</v>
      </c>
      <c r="AS44" s="192"/>
    </row>
    <row r="45" spans="1:45" x14ac:dyDescent="0.3">
      <c r="A45" s="146">
        <v>42089</v>
      </c>
      <c r="B45" s="147"/>
      <c r="C45" s="148"/>
      <c r="D45" s="149"/>
      <c r="E45" s="148"/>
      <c r="F45" s="148"/>
      <c r="G45" s="148"/>
      <c r="H45" s="148">
        <v>95.48</v>
      </c>
      <c r="I45" s="148">
        <v>97.83</v>
      </c>
      <c r="J45" s="149">
        <v>96.69</v>
      </c>
      <c r="K45" s="148"/>
      <c r="L45" s="148"/>
      <c r="M45" s="148"/>
      <c r="N45" s="148"/>
      <c r="O45" s="148"/>
      <c r="P45" s="149"/>
      <c r="Q45" s="148">
        <v>94</v>
      </c>
      <c r="R45" s="148">
        <v>99</v>
      </c>
      <c r="S45" s="151">
        <v>81.5</v>
      </c>
      <c r="T45" s="151">
        <v>111.5</v>
      </c>
      <c r="U45" s="152">
        <f t="shared" si="5"/>
        <v>96.666666666666671</v>
      </c>
      <c r="V45" s="152">
        <f t="shared" si="1"/>
        <v>6.1728395061728394</v>
      </c>
      <c r="W45" s="153">
        <f t="shared" si="4"/>
        <v>0.95952534562088787</v>
      </c>
      <c r="X45" s="154"/>
      <c r="Y45" s="155"/>
      <c r="Z45" s="152">
        <f t="shared" si="8"/>
        <v>1.2156639594433782</v>
      </c>
      <c r="AA45" s="155"/>
      <c r="AB45" s="152"/>
      <c r="AC45" s="156">
        <v>1.8</v>
      </c>
      <c r="AD45" s="152">
        <f t="shared" si="6"/>
        <v>1.2156639594433782</v>
      </c>
      <c r="AE45" s="157">
        <f t="shared" si="7"/>
        <v>0</v>
      </c>
      <c r="AF45" s="158"/>
      <c r="AG45" s="159"/>
      <c r="AH45" s="159">
        <v>-1</v>
      </c>
      <c r="AI45" s="159"/>
      <c r="AJ45" s="159"/>
      <c r="AK45" s="160">
        <v>20</v>
      </c>
      <c r="AL45" s="161">
        <v>1002</v>
      </c>
      <c r="AM45" s="162">
        <v>1002</v>
      </c>
      <c r="AN45" s="162">
        <v>1000</v>
      </c>
      <c r="AO45" s="162">
        <v>1000</v>
      </c>
      <c r="AP45" s="163">
        <v>1001</v>
      </c>
      <c r="AQ45" s="164">
        <v>0.92754629629629803</v>
      </c>
      <c r="AR45" s="195">
        <v>15.66</v>
      </c>
      <c r="AS45" s="192"/>
    </row>
    <row r="46" spans="1:45" x14ac:dyDescent="0.3">
      <c r="A46" s="146">
        <v>42163</v>
      </c>
      <c r="B46" s="147"/>
      <c r="C46" s="148"/>
      <c r="D46" s="149"/>
      <c r="E46" s="148"/>
      <c r="F46" s="148"/>
      <c r="G46" s="148"/>
      <c r="H46" s="148">
        <v>95.3</v>
      </c>
      <c r="I46" s="148">
        <v>97.09</v>
      </c>
      <c r="J46" s="149">
        <v>96.45</v>
      </c>
      <c r="K46" s="148"/>
      <c r="L46" s="148"/>
      <c r="M46" s="148"/>
      <c r="N46" s="148"/>
      <c r="O46" s="148"/>
      <c r="P46" s="149"/>
      <c r="Q46" s="148">
        <v>94</v>
      </c>
      <c r="R46" s="148">
        <v>99</v>
      </c>
      <c r="S46" s="151">
        <v>81.5</v>
      </c>
      <c r="T46" s="151">
        <v>111.5</v>
      </c>
      <c r="U46" s="152">
        <f t="shared" si="5"/>
        <v>96.279999999999987</v>
      </c>
      <c r="V46" s="152">
        <f t="shared" si="1"/>
        <v>6.148148148148147</v>
      </c>
      <c r="W46" s="153">
        <f t="shared" si="4"/>
        <v>0.74058535407248682</v>
      </c>
      <c r="X46" s="154"/>
      <c r="Y46" s="155"/>
      <c r="Z46" s="152">
        <f t="shared" si="8"/>
        <v>0.9304017880347244</v>
      </c>
      <c r="AA46" s="155"/>
      <c r="AB46" s="152"/>
      <c r="AC46" s="156">
        <v>1.8</v>
      </c>
      <c r="AD46" s="152">
        <f t="shared" si="6"/>
        <v>0.9304017880347244</v>
      </c>
      <c r="AE46" s="157">
        <f t="shared" si="7"/>
        <v>0</v>
      </c>
      <c r="AF46" s="158"/>
      <c r="AG46" s="159"/>
      <c r="AH46" s="159">
        <v>1</v>
      </c>
      <c r="AI46" s="159"/>
      <c r="AJ46" s="159"/>
      <c r="AK46" s="160">
        <v>20</v>
      </c>
      <c r="AL46" s="161">
        <v>1002</v>
      </c>
      <c r="AM46" s="162">
        <v>1002</v>
      </c>
      <c r="AN46" s="162">
        <v>1000</v>
      </c>
      <c r="AO46" s="162">
        <v>1000</v>
      </c>
      <c r="AP46" s="163">
        <v>1001</v>
      </c>
      <c r="AQ46" s="164">
        <v>0.969212962962965</v>
      </c>
      <c r="AR46" s="195">
        <v>15.66</v>
      </c>
      <c r="AS46" s="192"/>
    </row>
    <row r="47" spans="1:45" x14ac:dyDescent="0.3">
      <c r="A47" s="146">
        <v>42193</v>
      </c>
      <c r="B47" s="147"/>
      <c r="C47" s="148"/>
      <c r="D47" s="149"/>
      <c r="E47" s="148"/>
      <c r="F47" s="148"/>
      <c r="G47" s="148"/>
      <c r="H47" s="148">
        <v>94.89</v>
      </c>
      <c r="I47" s="148">
        <v>97.27</v>
      </c>
      <c r="J47" s="149">
        <v>96.14</v>
      </c>
      <c r="K47" s="148"/>
      <c r="L47" s="148"/>
      <c r="M47" s="148"/>
      <c r="N47" s="148"/>
      <c r="O47" s="148"/>
      <c r="P47" s="149"/>
      <c r="Q47" s="148">
        <v>94</v>
      </c>
      <c r="R47" s="148">
        <v>99</v>
      </c>
      <c r="S47" s="151">
        <v>81.5</v>
      </c>
      <c r="T47" s="151">
        <v>111.5</v>
      </c>
      <c r="U47" s="152">
        <f t="shared" si="5"/>
        <v>96.100000000000009</v>
      </c>
      <c r="V47" s="152">
        <f t="shared" si="1"/>
        <v>6.136653895274585</v>
      </c>
      <c r="W47" s="153">
        <f t="shared" si="4"/>
        <v>0.9720425230753349</v>
      </c>
      <c r="X47" s="200"/>
      <c r="Y47" s="155"/>
      <c r="Z47" s="189">
        <f t="shared" si="8"/>
        <v>1.2385512073272249</v>
      </c>
      <c r="AA47" s="155"/>
      <c r="AB47" s="155"/>
      <c r="AC47" s="156">
        <v>1.8</v>
      </c>
      <c r="AD47" s="152">
        <f t="shared" si="6"/>
        <v>1.2385512073272249</v>
      </c>
      <c r="AE47" s="157">
        <f t="shared" si="7"/>
        <v>0</v>
      </c>
      <c r="AF47" s="158"/>
      <c r="AG47" s="159"/>
      <c r="AH47" s="159">
        <v>-3</v>
      </c>
      <c r="AI47" s="159"/>
      <c r="AJ47" s="159"/>
      <c r="AK47" s="160">
        <v>20</v>
      </c>
      <c r="AL47" s="161">
        <v>1002</v>
      </c>
      <c r="AM47" s="162">
        <v>1002</v>
      </c>
      <c r="AN47" s="162">
        <v>1000</v>
      </c>
      <c r="AO47" s="162">
        <v>1000</v>
      </c>
      <c r="AP47" s="163">
        <v>1001</v>
      </c>
      <c r="AQ47" s="164">
        <v>1.0108796296296301</v>
      </c>
      <c r="AR47" s="195">
        <v>15.66</v>
      </c>
      <c r="AS47" s="192"/>
    </row>
    <row r="48" spans="1:45" x14ac:dyDescent="0.3">
      <c r="A48" s="201">
        <v>42200</v>
      </c>
      <c r="B48" s="161"/>
      <c r="C48" s="162"/>
      <c r="D48" s="162"/>
      <c r="E48" s="202"/>
      <c r="F48" s="202"/>
      <c r="G48" s="202"/>
      <c r="H48" s="170">
        <v>94.84</v>
      </c>
      <c r="I48" s="170">
        <v>97.35</v>
      </c>
      <c r="J48" s="171">
        <v>96.1</v>
      </c>
      <c r="K48" s="162"/>
      <c r="L48" s="162"/>
      <c r="M48" s="162"/>
      <c r="N48" s="162"/>
      <c r="O48" s="162"/>
      <c r="P48" s="162"/>
      <c r="Q48" s="148">
        <v>94</v>
      </c>
      <c r="R48" s="148">
        <v>99</v>
      </c>
      <c r="S48" s="151">
        <v>81.5</v>
      </c>
      <c r="T48" s="151">
        <v>111.5</v>
      </c>
      <c r="U48" s="152">
        <f t="shared" si="5"/>
        <v>96.09666666666665</v>
      </c>
      <c r="V48" s="152">
        <f t="shared" si="1"/>
        <v>6.1364410387398882</v>
      </c>
      <c r="W48" s="153">
        <f t="shared" si="4"/>
        <v>1.0247059198727284</v>
      </c>
      <c r="X48" s="186"/>
      <c r="Y48" s="188"/>
      <c r="Z48" s="188">
        <v>1.35</v>
      </c>
      <c r="AA48" s="188"/>
      <c r="AB48" s="185"/>
      <c r="AC48" s="156">
        <v>1.8</v>
      </c>
      <c r="AD48" s="152">
        <f t="shared" si="6"/>
        <v>1.35</v>
      </c>
      <c r="AE48" s="157">
        <f t="shared" si="7"/>
        <v>0</v>
      </c>
      <c r="AF48" s="203"/>
      <c r="AG48" s="204"/>
      <c r="AH48" s="204">
        <v>-1</v>
      </c>
      <c r="AI48" s="204"/>
      <c r="AJ48" s="204"/>
      <c r="AK48" s="160">
        <v>20</v>
      </c>
      <c r="AL48" s="161">
        <v>1002</v>
      </c>
      <c r="AM48" s="162">
        <v>1002</v>
      </c>
      <c r="AN48" s="162">
        <v>1000</v>
      </c>
      <c r="AO48" s="162">
        <v>1000</v>
      </c>
      <c r="AP48" s="163">
        <v>1001</v>
      </c>
      <c r="AQ48" s="164">
        <v>1.0525462962962999</v>
      </c>
      <c r="AR48" s="195">
        <v>15.66</v>
      </c>
      <c r="AS48" s="205"/>
    </row>
    <row r="49" spans="1:45" x14ac:dyDescent="0.3">
      <c r="A49" s="206">
        <v>42233</v>
      </c>
      <c r="B49" s="198"/>
      <c r="C49" s="199"/>
      <c r="D49" s="199"/>
      <c r="E49" s="199"/>
      <c r="F49" s="199"/>
      <c r="G49" s="199"/>
      <c r="H49" s="199">
        <v>95.1</v>
      </c>
      <c r="I49" s="199">
        <v>97.52</v>
      </c>
      <c r="J49" s="199">
        <v>96.23</v>
      </c>
      <c r="K49" s="199"/>
      <c r="L49" s="199"/>
      <c r="M49" s="199"/>
      <c r="N49" s="199"/>
      <c r="O49" s="199"/>
      <c r="P49" s="199"/>
      <c r="Q49" s="148">
        <v>94</v>
      </c>
      <c r="R49" s="148">
        <v>99</v>
      </c>
      <c r="S49" s="151">
        <v>81.5</v>
      </c>
      <c r="T49" s="151">
        <v>111.5</v>
      </c>
      <c r="U49" s="152">
        <f t="shared" si="5"/>
        <v>96.283333333333346</v>
      </c>
      <c r="V49" s="152">
        <f t="shared" si="1"/>
        <v>6.1483610046828447</v>
      </c>
      <c r="W49" s="153">
        <f t="shared" si="4"/>
        <v>0.98868037751787619</v>
      </c>
      <c r="X49" s="154"/>
      <c r="Y49" s="155"/>
      <c r="Z49" s="155">
        <v>1.3</v>
      </c>
      <c r="AA49" s="155"/>
      <c r="AB49" s="152"/>
      <c r="AC49" s="156">
        <v>1.8</v>
      </c>
      <c r="AD49" s="152">
        <f t="shared" si="6"/>
        <v>1.3</v>
      </c>
      <c r="AE49" s="157">
        <f t="shared" si="7"/>
        <v>0</v>
      </c>
      <c r="AF49" s="158"/>
      <c r="AG49" s="159"/>
      <c r="AH49" s="159">
        <v>-4</v>
      </c>
      <c r="AI49" s="159"/>
      <c r="AJ49" s="159"/>
      <c r="AK49" s="160">
        <v>20</v>
      </c>
      <c r="AL49" s="161">
        <v>1002</v>
      </c>
      <c r="AM49" s="162">
        <v>1002</v>
      </c>
      <c r="AN49" s="162">
        <v>1000</v>
      </c>
      <c r="AO49" s="162">
        <v>1000</v>
      </c>
      <c r="AP49" s="163">
        <v>1001</v>
      </c>
      <c r="AQ49" s="164">
        <v>1.09421296296297</v>
      </c>
      <c r="AR49" s="195">
        <v>15.66</v>
      </c>
      <c r="AS49" s="192"/>
    </row>
    <row r="50" spans="1:45" x14ac:dyDescent="0.3">
      <c r="A50" s="206">
        <v>42268</v>
      </c>
      <c r="B50" s="198"/>
      <c r="C50" s="199"/>
      <c r="D50" s="199"/>
      <c r="E50" s="199"/>
      <c r="F50" s="199"/>
      <c r="G50" s="199"/>
      <c r="H50" s="199">
        <v>95.2</v>
      </c>
      <c r="I50" s="199">
        <v>97.5</v>
      </c>
      <c r="J50" s="199">
        <v>96.4</v>
      </c>
      <c r="K50" s="199"/>
      <c r="L50" s="199"/>
      <c r="M50" s="199"/>
      <c r="N50" s="199"/>
      <c r="O50" s="199"/>
      <c r="P50" s="199"/>
      <c r="Q50" s="148">
        <v>94</v>
      </c>
      <c r="R50" s="148">
        <v>99</v>
      </c>
      <c r="S50" s="151">
        <v>81.5</v>
      </c>
      <c r="T50" s="151">
        <v>111.5</v>
      </c>
      <c r="U50" s="152">
        <f t="shared" si="5"/>
        <v>96.366666666666674</v>
      </c>
      <c r="V50" s="152">
        <f t="shared" si="1"/>
        <v>6.1536824180502343</v>
      </c>
      <c r="W50" s="153">
        <f t="shared" si="4"/>
        <v>0.93926685357369033</v>
      </c>
      <c r="X50" s="154"/>
      <c r="Y50" s="155"/>
      <c r="Z50" s="155">
        <v>1.23</v>
      </c>
      <c r="AA50" s="155"/>
      <c r="AB50" s="152"/>
      <c r="AC50" s="156">
        <v>1.8</v>
      </c>
      <c r="AD50" s="152">
        <f t="shared" si="6"/>
        <v>1.23</v>
      </c>
      <c r="AE50" s="157">
        <f t="shared" si="7"/>
        <v>0</v>
      </c>
      <c r="AF50" s="158"/>
      <c r="AG50" s="159"/>
      <c r="AH50" s="159">
        <v>-5</v>
      </c>
      <c r="AI50" s="159"/>
      <c r="AJ50" s="159"/>
      <c r="AK50" s="160">
        <v>20</v>
      </c>
      <c r="AL50" s="161">
        <v>1002</v>
      </c>
      <c r="AM50" s="162">
        <v>1002</v>
      </c>
      <c r="AN50" s="162">
        <v>1000</v>
      </c>
      <c r="AO50" s="162">
        <v>1000</v>
      </c>
      <c r="AP50" s="163">
        <v>1001</v>
      </c>
      <c r="AQ50" s="164">
        <v>1.1358796296296301</v>
      </c>
      <c r="AR50" s="195">
        <v>15.66</v>
      </c>
      <c r="AS50" s="192"/>
    </row>
    <row r="51" spans="1:45" x14ac:dyDescent="0.3">
      <c r="A51" s="146">
        <v>42283</v>
      </c>
      <c r="B51" s="198"/>
      <c r="C51" s="199"/>
      <c r="D51" s="199"/>
      <c r="E51" s="199"/>
      <c r="F51" s="199"/>
      <c r="G51" s="199"/>
      <c r="H51" s="199">
        <v>95.68</v>
      </c>
      <c r="I51" s="199">
        <v>97.87</v>
      </c>
      <c r="J51" s="199">
        <v>96.9</v>
      </c>
      <c r="K51" s="199"/>
      <c r="L51" s="199"/>
      <c r="M51" s="199"/>
      <c r="N51" s="199"/>
      <c r="O51" s="199"/>
      <c r="P51" s="199"/>
      <c r="Q51" s="148">
        <v>94</v>
      </c>
      <c r="R51" s="148">
        <v>99</v>
      </c>
      <c r="S51" s="151">
        <v>81.5</v>
      </c>
      <c r="T51" s="151">
        <v>111.5</v>
      </c>
      <c r="U51" s="152">
        <f t="shared" si="5"/>
        <v>96.816666666666677</v>
      </c>
      <c r="V51" s="152">
        <f t="shared" si="1"/>
        <v>6.1824180502341424</v>
      </c>
      <c r="W51" s="153">
        <f t="shared" si="4"/>
        <v>0.89600347221549348</v>
      </c>
      <c r="X51" s="154"/>
      <c r="Y51" s="155"/>
      <c r="Z51" s="155">
        <v>1.17</v>
      </c>
      <c r="AA51" s="155"/>
      <c r="AB51" s="152"/>
      <c r="AC51" s="156">
        <v>1.8</v>
      </c>
      <c r="AD51" s="152">
        <f t="shared" si="6"/>
        <v>1.17</v>
      </c>
      <c r="AE51" s="157">
        <f t="shared" si="7"/>
        <v>0</v>
      </c>
      <c r="AF51" s="158"/>
      <c r="AG51" s="159"/>
      <c r="AH51" s="159">
        <v>-3</v>
      </c>
      <c r="AI51" s="159"/>
      <c r="AJ51" s="159"/>
      <c r="AK51" s="160">
        <v>20</v>
      </c>
      <c r="AL51" s="161">
        <v>1002</v>
      </c>
      <c r="AM51" s="162">
        <v>1002</v>
      </c>
      <c r="AN51" s="162">
        <v>1000</v>
      </c>
      <c r="AO51" s="162">
        <v>1000</v>
      </c>
      <c r="AP51" s="163">
        <v>1001</v>
      </c>
      <c r="AQ51" s="164">
        <v>1.1775462962962999</v>
      </c>
      <c r="AR51" s="195">
        <v>15.66</v>
      </c>
      <c r="AS51" s="192"/>
    </row>
    <row r="52" spans="1:45" x14ac:dyDescent="0.3">
      <c r="A52" s="206">
        <v>42297</v>
      </c>
      <c r="B52" s="198"/>
      <c r="C52" s="199"/>
      <c r="D52" s="199"/>
      <c r="E52" s="199"/>
      <c r="F52" s="199"/>
      <c r="G52" s="199"/>
      <c r="H52" s="199">
        <v>95.76</v>
      </c>
      <c r="I52" s="199">
        <v>97.37</v>
      </c>
      <c r="J52" s="199">
        <v>96.76</v>
      </c>
      <c r="K52" s="199"/>
      <c r="L52" s="199"/>
      <c r="M52" s="199"/>
      <c r="N52" s="199"/>
      <c r="O52" s="199"/>
      <c r="P52" s="199"/>
      <c r="Q52" s="148">
        <v>94</v>
      </c>
      <c r="R52" s="148">
        <v>99</v>
      </c>
      <c r="S52" s="151">
        <v>81.5</v>
      </c>
      <c r="T52" s="151">
        <v>111.5</v>
      </c>
      <c r="U52" s="152">
        <f t="shared" si="5"/>
        <v>96.63</v>
      </c>
      <c r="V52" s="152">
        <f t="shared" si="1"/>
        <v>6.1704980842911876</v>
      </c>
      <c r="W52" s="153">
        <f t="shared" si="4"/>
        <v>0.66367662808529448</v>
      </c>
      <c r="X52" s="200"/>
      <c r="Y52" s="155"/>
      <c r="Z52" s="155">
        <v>0.84</v>
      </c>
      <c r="AA52" s="155"/>
      <c r="AB52" s="155"/>
      <c r="AC52" s="156">
        <v>1.8</v>
      </c>
      <c r="AD52" s="152">
        <f t="shared" si="6"/>
        <v>0.84</v>
      </c>
      <c r="AE52" s="157">
        <f t="shared" si="7"/>
        <v>0</v>
      </c>
      <c r="AF52" s="158"/>
      <c r="AG52" s="159"/>
      <c r="AH52" s="159">
        <v>-2</v>
      </c>
      <c r="AI52" s="159"/>
      <c r="AJ52" s="159"/>
      <c r="AK52" s="160">
        <v>20</v>
      </c>
      <c r="AL52" s="161">
        <v>1002</v>
      </c>
      <c r="AM52" s="162">
        <v>1002</v>
      </c>
      <c r="AN52" s="162">
        <v>1000</v>
      </c>
      <c r="AO52" s="162">
        <v>1000</v>
      </c>
      <c r="AP52" s="163">
        <v>1001</v>
      </c>
      <c r="AQ52" s="164">
        <v>1.21921296296297</v>
      </c>
      <c r="AR52" s="195">
        <v>15.66</v>
      </c>
      <c r="AS52" s="192"/>
    </row>
    <row r="53" spans="1:45" x14ac:dyDescent="0.3">
      <c r="A53" s="207">
        <v>42313</v>
      </c>
      <c r="B53" s="198">
        <v>99.21</v>
      </c>
      <c r="C53" s="199">
        <v>102.2</v>
      </c>
      <c r="D53" s="199">
        <v>100.8</v>
      </c>
      <c r="E53" s="199"/>
      <c r="F53" s="199"/>
      <c r="G53" s="199"/>
      <c r="H53" s="199">
        <v>96.94</v>
      </c>
      <c r="I53" s="199">
        <v>103.03</v>
      </c>
      <c r="J53" s="199">
        <v>99.6</v>
      </c>
      <c r="K53" s="199"/>
      <c r="L53" s="199"/>
      <c r="M53" s="199"/>
      <c r="N53" s="199">
        <v>98.63</v>
      </c>
      <c r="O53" s="199">
        <v>110.42</v>
      </c>
      <c r="P53" s="199">
        <v>101.62</v>
      </c>
      <c r="Q53" s="148">
        <v>94</v>
      </c>
      <c r="R53" s="148">
        <v>99</v>
      </c>
      <c r="S53" s="151">
        <v>81.5</v>
      </c>
      <c r="T53" s="151">
        <v>111.5</v>
      </c>
      <c r="U53" s="152">
        <f t="shared" si="5"/>
        <v>101.57714285714285</v>
      </c>
      <c r="V53" s="152">
        <f t="shared" si="1"/>
        <v>6.4864075898558653</v>
      </c>
      <c r="W53" s="153">
        <f t="shared" si="4"/>
        <v>4.0534032060751644</v>
      </c>
      <c r="X53" s="200">
        <v>1.48</v>
      </c>
      <c r="Y53" s="155"/>
      <c r="Z53" s="189">
        <v>3.04</v>
      </c>
      <c r="AA53" s="155"/>
      <c r="AB53" s="155">
        <v>5.63</v>
      </c>
      <c r="AC53" s="156">
        <v>1.8</v>
      </c>
      <c r="AD53" s="152">
        <f t="shared" si="6"/>
        <v>3.3833333333333329</v>
      </c>
      <c r="AE53" s="157">
        <f t="shared" si="7"/>
        <v>1.7115360222781062</v>
      </c>
      <c r="AF53" s="200">
        <v>3</v>
      </c>
      <c r="AG53" s="155"/>
      <c r="AH53" s="155">
        <v>2</v>
      </c>
      <c r="AI53" s="155"/>
      <c r="AJ53" s="155">
        <v>2</v>
      </c>
      <c r="AK53" s="160">
        <v>20</v>
      </c>
      <c r="AL53" s="161">
        <v>1002</v>
      </c>
      <c r="AM53" s="162">
        <v>1002</v>
      </c>
      <c r="AN53" s="162">
        <v>1000</v>
      </c>
      <c r="AO53" s="162">
        <v>1000</v>
      </c>
      <c r="AP53" s="163">
        <v>1001</v>
      </c>
      <c r="AQ53" s="164">
        <v>1.2608796296296301</v>
      </c>
      <c r="AR53" s="195">
        <v>15.66</v>
      </c>
      <c r="AS53" s="192" t="s">
        <v>183</v>
      </c>
    </row>
    <row r="54" spans="1:45" x14ac:dyDescent="0.3">
      <c r="A54" s="207">
        <v>42314</v>
      </c>
      <c r="B54" s="198">
        <v>95.6</v>
      </c>
      <c r="C54" s="199">
        <v>98.72</v>
      </c>
      <c r="D54" s="199">
        <v>97.44</v>
      </c>
      <c r="E54" s="199"/>
      <c r="F54" s="199"/>
      <c r="G54" s="199"/>
      <c r="H54" s="199">
        <v>96.22</v>
      </c>
      <c r="I54" s="199">
        <v>98.15</v>
      </c>
      <c r="J54" s="199">
        <v>97.21</v>
      </c>
      <c r="K54" s="199"/>
      <c r="L54" s="199"/>
      <c r="M54" s="199"/>
      <c r="N54" s="199">
        <v>95.8</v>
      </c>
      <c r="O54" s="199">
        <v>97.4</v>
      </c>
      <c r="P54" s="199">
        <v>96.7</v>
      </c>
      <c r="Q54" s="148">
        <v>94</v>
      </c>
      <c r="R54" s="148">
        <v>99</v>
      </c>
      <c r="S54" s="151">
        <v>81.5</v>
      </c>
      <c r="T54" s="151">
        <v>111.5</v>
      </c>
      <c r="U54" s="152">
        <f t="shared" si="5"/>
        <v>96.988571428571433</v>
      </c>
      <c r="V54" s="152">
        <f t="shared" si="1"/>
        <v>6.1933953658091587</v>
      </c>
      <c r="W54" s="153">
        <f t="shared" si="4"/>
        <v>0.7423597235731989</v>
      </c>
      <c r="X54" s="200">
        <v>1.53</v>
      </c>
      <c r="Y54" s="155"/>
      <c r="Z54" s="189">
        <v>0.98</v>
      </c>
      <c r="AA54" s="155"/>
      <c r="AB54" s="155">
        <v>1.51</v>
      </c>
      <c r="AC54" s="156">
        <v>1.8</v>
      </c>
      <c r="AD54" s="152">
        <f t="shared" si="6"/>
        <v>1.3399999999999999</v>
      </c>
      <c r="AE54" s="157">
        <f t="shared" si="7"/>
        <v>0.25468935326524167</v>
      </c>
      <c r="AF54" s="200">
        <v>0</v>
      </c>
      <c r="AG54" s="155"/>
      <c r="AH54" s="155">
        <v>-1</v>
      </c>
      <c r="AI54" s="155"/>
      <c r="AJ54" s="155">
        <v>-2</v>
      </c>
      <c r="AK54" s="160">
        <v>20</v>
      </c>
      <c r="AL54" s="161">
        <v>1002</v>
      </c>
      <c r="AM54" s="162">
        <v>1002</v>
      </c>
      <c r="AN54" s="162">
        <v>1000</v>
      </c>
      <c r="AO54" s="162">
        <v>1000</v>
      </c>
      <c r="AP54" s="163">
        <v>1001</v>
      </c>
      <c r="AQ54" s="164">
        <v>1.3025462962962999</v>
      </c>
      <c r="AR54" s="195">
        <v>15.66</v>
      </c>
      <c r="AS54" s="192"/>
    </row>
    <row r="55" spans="1:45" x14ac:dyDescent="0.3">
      <c r="A55" s="207">
        <v>42325</v>
      </c>
      <c r="B55" s="198"/>
      <c r="C55" s="199"/>
      <c r="D55" s="199"/>
      <c r="E55" s="199"/>
      <c r="F55" s="199"/>
      <c r="G55" s="199"/>
      <c r="H55" s="199">
        <v>98.18</v>
      </c>
      <c r="I55" s="199">
        <v>99.69</v>
      </c>
      <c r="J55" s="199">
        <v>98.96</v>
      </c>
      <c r="K55" s="199"/>
      <c r="L55" s="199"/>
      <c r="M55" s="199"/>
      <c r="N55" s="199"/>
      <c r="O55" s="199"/>
      <c r="P55" s="199"/>
      <c r="Q55" s="148">
        <v>94</v>
      </c>
      <c r="R55" s="148">
        <v>99</v>
      </c>
      <c r="S55" s="151">
        <v>81.5</v>
      </c>
      <c r="T55" s="151">
        <v>111.5</v>
      </c>
      <c r="U55" s="152">
        <f t="shared" si="5"/>
        <v>98.943333333333328</v>
      </c>
      <c r="V55" s="152">
        <f t="shared" si="1"/>
        <v>6.3182205193699446</v>
      </c>
      <c r="W55" s="153">
        <f t="shared" si="4"/>
        <v>0.61656755960360976</v>
      </c>
      <c r="X55" s="200"/>
      <c r="Y55" s="155"/>
      <c r="Z55" s="189">
        <v>0.78</v>
      </c>
      <c r="AA55" s="155"/>
      <c r="AB55" s="155"/>
      <c r="AC55" s="156">
        <v>1.8</v>
      </c>
      <c r="AD55" s="152">
        <f t="shared" si="6"/>
        <v>0.78</v>
      </c>
      <c r="AE55" s="157">
        <f t="shared" si="7"/>
        <v>0</v>
      </c>
      <c r="AF55" s="200"/>
      <c r="AG55" s="155"/>
      <c r="AH55" s="155">
        <v>-1</v>
      </c>
      <c r="AI55" s="155"/>
      <c r="AJ55" s="155"/>
      <c r="AK55" s="160">
        <v>20</v>
      </c>
      <c r="AL55" s="161">
        <v>1002</v>
      </c>
      <c r="AM55" s="162">
        <v>1002</v>
      </c>
      <c r="AN55" s="162">
        <v>1000</v>
      </c>
      <c r="AO55" s="162">
        <v>1000</v>
      </c>
      <c r="AP55" s="163">
        <v>1001</v>
      </c>
      <c r="AQ55" s="164">
        <v>1.34421296296297</v>
      </c>
      <c r="AR55" s="195">
        <v>15.66</v>
      </c>
      <c r="AS55" s="192"/>
    </row>
    <row r="56" spans="1:45" x14ac:dyDescent="0.3">
      <c r="A56" s="207">
        <v>42341</v>
      </c>
      <c r="B56" s="198"/>
      <c r="C56" s="199"/>
      <c r="D56" s="199"/>
      <c r="E56" s="199"/>
      <c r="F56" s="199"/>
      <c r="G56" s="199"/>
      <c r="H56" s="199">
        <v>98.39</v>
      </c>
      <c r="I56" s="199">
        <v>99.98</v>
      </c>
      <c r="J56" s="199">
        <v>99.06</v>
      </c>
      <c r="K56" s="199"/>
      <c r="L56" s="199"/>
      <c r="M56" s="199"/>
      <c r="N56" s="199"/>
      <c r="O56" s="199"/>
      <c r="P56" s="199"/>
      <c r="Q56" s="148">
        <v>94</v>
      </c>
      <c r="R56" s="148">
        <v>99</v>
      </c>
      <c r="S56" s="151">
        <v>81.5</v>
      </c>
      <c r="T56" s="151">
        <v>111.5</v>
      </c>
      <c r="U56" s="152">
        <f t="shared" si="5"/>
        <v>99.143333333333331</v>
      </c>
      <c r="V56" s="152">
        <f t="shared" si="1"/>
        <v>6.3309919114516813</v>
      </c>
      <c r="W56" s="153">
        <f t="shared" si="4"/>
        <v>0.65178387692717898</v>
      </c>
      <c r="X56" s="200"/>
      <c r="Y56" s="155"/>
      <c r="Z56" s="189">
        <v>0.83</v>
      </c>
      <c r="AA56" s="155"/>
      <c r="AB56" s="155"/>
      <c r="AC56" s="156">
        <v>1.8</v>
      </c>
      <c r="AD56" s="152">
        <f t="shared" si="6"/>
        <v>0.83</v>
      </c>
      <c r="AE56" s="157">
        <f t="shared" si="7"/>
        <v>0</v>
      </c>
      <c r="AF56" s="200"/>
      <c r="AG56" s="155"/>
      <c r="AH56" s="155">
        <v>-1</v>
      </c>
      <c r="AI56" s="155"/>
      <c r="AJ56" s="155"/>
      <c r="AK56" s="160">
        <v>20</v>
      </c>
      <c r="AL56" s="161">
        <v>1002</v>
      </c>
      <c r="AM56" s="162">
        <v>1002</v>
      </c>
      <c r="AN56" s="162">
        <v>1000</v>
      </c>
      <c r="AO56" s="162">
        <v>1000</v>
      </c>
      <c r="AP56" s="163">
        <v>1001</v>
      </c>
      <c r="AQ56" s="164">
        <v>1.3858796296296301</v>
      </c>
      <c r="AR56" s="195">
        <v>15.66</v>
      </c>
      <c r="AS56" s="192"/>
    </row>
    <row r="57" spans="1:45" x14ac:dyDescent="0.3">
      <c r="A57" s="207">
        <v>42353</v>
      </c>
      <c r="B57" s="198"/>
      <c r="C57" s="199"/>
      <c r="D57" s="199"/>
      <c r="E57" s="199"/>
      <c r="F57" s="199"/>
      <c r="G57" s="199"/>
      <c r="H57" s="199">
        <v>98.51</v>
      </c>
      <c r="I57" s="199">
        <v>101.36</v>
      </c>
      <c r="J57" s="199">
        <v>99.92</v>
      </c>
      <c r="K57" s="199"/>
      <c r="L57" s="199"/>
      <c r="M57" s="199"/>
      <c r="N57" s="199"/>
      <c r="O57" s="199"/>
      <c r="P57" s="199"/>
      <c r="Q57" s="148">
        <v>94</v>
      </c>
      <c r="R57" s="148">
        <v>99</v>
      </c>
      <c r="S57" s="151">
        <v>81.5</v>
      </c>
      <c r="T57" s="151">
        <v>111.5</v>
      </c>
      <c r="U57" s="152">
        <f t="shared" si="5"/>
        <v>99.93</v>
      </c>
      <c r="V57" s="152">
        <f t="shared" si="1"/>
        <v>6.3812260536398471</v>
      </c>
      <c r="W57" s="153">
        <f t="shared" si="4"/>
        <v>1.1635291143757402</v>
      </c>
      <c r="X57" s="200"/>
      <c r="Y57" s="155"/>
      <c r="Z57" s="189">
        <v>1.47</v>
      </c>
      <c r="AA57" s="155"/>
      <c r="AB57" s="155"/>
      <c r="AC57" s="156">
        <v>1.8</v>
      </c>
      <c r="AD57" s="152">
        <f t="shared" si="6"/>
        <v>1.47</v>
      </c>
      <c r="AE57" s="157">
        <f t="shared" si="7"/>
        <v>0</v>
      </c>
      <c r="AF57" s="200"/>
      <c r="AG57" s="155"/>
      <c r="AH57" s="155">
        <v>4</v>
      </c>
      <c r="AI57" s="155"/>
      <c r="AJ57" s="155"/>
      <c r="AK57" s="160">
        <v>20</v>
      </c>
      <c r="AL57" s="161">
        <v>1002</v>
      </c>
      <c r="AM57" s="162">
        <v>1002</v>
      </c>
      <c r="AN57" s="162">
        <v>1000</v>
      </c>
      <c r="AO57" s="162">
        <v>1000</v>
      </c>
      <c r="AP57" s="163">
        <v>1001</v>
      </c>
      <c r="AQ57" s="164">
        <v>1.4275462962962999</v>
      </c>
      <c r="AR57" s="195">
        <v>15.66</v>
      </c>
      <c r="AS57" s="192"/>
    </row>
    <row r="58" spans="1:45" x14ac:dyDescent="0.3">
      <c r="A58" s="207">
        <v>42391</v>
      </c>
      <c r="B58" s="198"/>
      <c r="C58" s="199"/>
      <c r="D58" s="199"/>
      <c r="E58" s="199"/>
      <c r="F58" s="199"/>
      <c r="G58" s="199"/>
      <c r="H58" s="199">
        <v>97.54</v>
      </c>
      <c r="I58" s="189">
        <v>100.07</v>
      </c>
      <c r="J58" s="199">
        <v>98.42</v>
      </c>
      <c r="K58" s="199"/>
      <c r="L58" s="199"/>
      <c r="M58" s="199"/>
      <c r="N58" s="199"/>
      <c r="O58" s="199"/>
      <c r="P58" s="199"/>
      <c r="Q58" s="148">
        <v>94</v>
      </c>
      <c r="R58" s="148">
        <v>99</v>
      </c>
      <c r="S58" s="151">
        <v>81.5</v>
      </c>
      <c r="T58" s="151">
        <v>111.5</v>
      </c>
      <c r="U58" s="152">
        <f t="shared" si="5"/>
        <v>98.676666666666677</v>
      </c>
      <c r="V58" s="152">
        <f t="shared" si="1"/>
        <v>6.3011919965942962</v>
      </c>
      <c r="W58" s="153">
        <f t="shared" si="4"/>
        <v>1.0486923073788346</v>
      </c>
      <c r="X58" s="200"/>
      <c r="Y58" s="155"/>
      <c r="Z58" s="189">
        <v>1.33</v>
      </c>
      <c r="AA58" s="155"/>
      <c r="AB58" s="155"/>
      <c r="AC58" s="156">
        <v>1.8</v>
      </c>
      <c r="AD58" s="152">
        <f t="shared" si="6"/>
        <v>1.33</v>
      </c>
      <c r="AE58" s="157">
        <f t="shared" si="7"/>
        <v>0</v>
      </c>
      <c r="AF58" s="200"/>
      <c r="AG58" s="155"/>
      <c r="AH58" s="155">
        <v>-4</v>
      </c>
      <c r="AI58" s="155"/>
      <c r="AJ58" s="155"/>
      <c r="AK58" s="160">
        <v>20</v>
      </c>
      <c r="AL58" s="161">
        <v>1002</v>
      </c>
      <c r="AM58" s="162">
        <v>1002</v>
      </c>
      <c r="AN58" s="162">
        <v>1000</v>
      </c>
      <c r="AO58" s="162">
        <v>1000</v>
      </c>
      <c r="AP58" s="163">
        <v>1001</v>
      </c>
      <c r="AQ58" s="164">
        <v>1.46921296296297</v>
      </c>
      <c r="AR58" s="195">
        <v>15.66</v>
      </c>
      <c r="AS58" s="192"/>
    </row>
    <row r="59" spans="1:45" x14ac:dyDescent="0.3">
      <c r="A59" s="207">
        <v>42444</v>
      </c>
      <c r="B59" s="198"/>
      <c r="C59" s="199"/>
      <c r="D59" s="199"/>
      <c r="E59" s="199"/>
      <c r="F59" s="199"/>
      <c r="G59" s="199"/>
      <c r="H59" s="199">
        <v>98.3</v>
      </c>
      <c r="I59" s="199">
        <v>101.41</v>
      </c>
      <c r="J59" s="199">
        <v>99.31</v>
      </c>
      <c r="K59" s="199"/>
      <c r="L59" s="199"/>
      <c r="M59" s="199"/>
      <c r="N59" s="199"/>
      <c r="O59" s="199"/>
      <c r="P59" s="199"/>
      <c r="Q59" s="148">
        <v>94</v>
      </c>
      <c r="R59" s="148">
        <v>99</v>
      </c>
      <c r="S59" s="151">
        <v>81.5</v>
      </c>
      <c r="T59" s="151">
        <v>111.5</v>
      </c>
      <c r="U59" s="152">
        <f t="shared" si="5"/>
        <v>99.673333333333332</v>
      </c>
      <c r="V59" s="152">
        <f t="shared" si="1"/>
        <v>6.3648361004682839</v>
      </c>
      <c r="W59" s="153">
        <f t="shared" si="4"/>
        <v>1.2953849706640186</v>
      </c>
      <c r="X59" s="200"/>
      <c r="Y59" s="155"/>
      <c r="Z59" s="189">
        <v>1.62</v>
      </c>
      <c r="AA59" s="155"/>
      <c r="AB59" s="155"/>
      <c r="AC59" s="156">
        <v>1.8</v>
      </c>
      <c r="AD59" s="152">
        <f t="shared" si="6"/>
        <v>1.62</v>
      </c>
      <c r="AE59" s="157">
        <f t="shared" si="7"/>
        <v>0</v>
      </c>
      <c r="AF59" s="200"/>
      <c r="AG59" s="155"/>
      <c r="AH59" s="155">
        <v>0</v>
      </c>
      <c r="AI59" s="155"/>
      <c r="AJ59" s="155"/>
      <c r="AK59" s="160">
        <v>20</v>
      </c>
      <c r="AL59" s="161">
        <v>1002</v>
      </c>
      <c r="AM59" s="162">
        <v>1002</v>
      </c>
      <c r="AN59" s="162">
        <v>1000</v>
      </c>
      <c r="AO59" s="162">
        <v>1000</v>
      </c>
      <c r="AP59" s="163">
        <v>1001</v>
      </c>
      <c r="AQ59" s="164">
        <v>1.5108796296296301</v>
      </c>
      <c r="AR59" s="195">
        <v>15.66</v>
      </c>
      <c r="AS59" s="192"/>
    </row>
    <row r="60" spans="1:45" x14ac:dyDescent="0.3">
      <c r="A60" s="207">
        <v>42467</v>
      </c>
      <c r="B60" s="198"/>
      <c r="C60" s="199"/>
      <c r="D60" s="199"/>
      <c r="E60" s="199"/>
      <c r="F60" s="199"/>
      <c r="G60" s="199"/>
      <c r="H60" s="199">
        <v>95.42</v>
      </c>
      <c r="I60" s="199">
        <v>98.33</v>
      </c>
      <c r="J60" s="199">
        <v>96.81</v>
      </c>
      <c r="K60" s="199"/>
      <c r="L60" s="199"/>
      <c r="M60" s="199"/>
      <c r="N60" s="199"/>
      <c r="O60" s="199"/>
      <c r="P60" s="199"/>
      <c r="Q60" s="148">
        <v>94</v>
      </c>
      <c r="R60" s="148">
        <v>99</v>
      </c>
      <c r="S60" s="151">
        <v>81.5</v>
      </c>
      <c r="T60" s="151">
        <v>111.5</v>
      </c>
      <c r="U60" s="152">
        <f t="shared" si="5"/>
        <v>96.853333333333339</v>
      </c>
      <c r="V60" s="152">
        <f t="shared" si="1"/>
        <v>6.1847594721157941</v>
      </c>
      <c r="W60" s="153">
        <f t="shared" si="4"/>
        <v>1.1883976139697039</v>
      </c>
      <c r="X60" s="200"/>
      <c r="Y60" s="155"/>
      <c r="Z60" s="189">
        <v>1.5</v>
      </c>
      <c r="AA60" s="155"/>
      <c r="AB60" s="155"/>
      <c r="AC60" s="156">
        <v>1.8</v>
      </c>
      <c r="AD60" s="152">
        <f t="shared" si="6"/>
        <v>1.5</v>
      </c>
      <c r="AE60" s="157">
        <f t="shared" si="7"/>
        <v>0</v>
      </c>
      <c r="AF60" s="200"/>
      <c r="AG60" s="155"/>
      <c r="AH60" s="155">
        <v>-1</v>
      </c>
      <c r="AI60" s="155"/>
      <c r="AJ60" s="155"/>
      <c r="AK60" s="160">
        <v>20</v>
      </c>
      <c r="AL60" s="161">
        <v>1002</v>
      </c>
      <c r="AM60" s="162">
        <v>1002</v>
      </c>
      <c r="AN60" s="162">
        <v>1000</v>
      </c>
      <c r="AO60" s="162">
        <v>1000</v>
      </c>
      <c r="AP60" s="163">
        <v>1001</v>
      </c>
      <c r="AQ60" s="164">
        <v>1.5525462962962999</v>
      </c>
      <c r="AR60" s="195">
        <v>15.66</v>
      </c>
      <c r="AS60" s="192"/>
    </row>
    <row r="61" spans="1:45" x14ac:dyDescent="0.3">
      <c r="A61" s="207">
        <v>42502</v>
      </c>
      <c r="B61" s="198"/>
      <c r="C61" s="199"/>
      <c r="D61" s="199"/>
      <c r="E61" s="199"/>
      <c r="F61" s="199"/>
      <c r="G61" s="199"/>
      <c r="H61" s="199">
        <v>92.91</v>
      </c>
      <c r="I61" s="199">
        <v>96.64</v>
      </c>
      <c r="J61" s="199">
        <v>94.01</v>
      </c>
      <c r="K61" s="199"/>
      <c r="L61" s="199"/>
      <c r="M61" s="199"/>
      <c r="N61" s="199"/>
      <c r="O61" s="199"/>
      <c r="P61" s="199"/>
      <c r="Q61" s="148">
        <v>94</v>
      </c>
      <c r="R61" s="148">
        <v>99</v>
      </c>
      <c r="S61" s="151">
        <v>81.5</v>
      </c>
      <c r="T61" s="151">
        <v>111.5</v>
      </c>
      <c r="U61" s="152">
        <f t="shared" si="5"/>
        <v>94.52</v>
      </c>
      <c r="V61" s="152">
        <f t="shared" si="1"/>
        <v>6.0357598978288634</v>
      </c>
      <c r="W61" s="153">
        <f t="shared" si="4"/>
        <v>1.564885512319246</v>
      </c>
      <c r="X61" s="200"/>
      <c r="Y61" s="155"/>
      <c r="Z61" s="189">
        <v>1.96</v>
      </c>
      <c r="AA61" s="155"/>
      <c r="AB61" s="155"/>
      <c r="AC61" s="156">
        <v>1.8</v>
      </c>
      <c r="AD61" s="152">
        <f t="shared" si="6"/>
        <v>1.96</v>
      </c>
      <c r="AE61" s="157">
        <f t="shared" si="7"/>
        <v>0</v>
      </c>
      <c r="AF61" s="200"/>
      <c r="AG61" s="155"/>
      <c r="AH61" s="155">
        <v>-4</v>
      </c>
      <c r="AI61" s="155"/>
      <c r="AJ61" s="155"/>
      <c r="AK61" s="160">
        <v>20</v>
      </c>
      <c r="AL61" s="161">
        <v>1002</v>
      </c>
      <c r="AM61" s="162">
        <v>1002</v>
      </c>
      <c r="AN61" s="162">
        <v>1000</v>
      </c>
      <c r="AO61" s="162">
        <v>1000</v>
      </c>
      <c r="AP61" s="163">
        <v>1001</v>
      </c>
      <c r="AQ61" s="164">
        <v>1.59421296296297</v>
      </c>
      <c r="AR61" s="195">
        <v>15.66</v>
      </c>
      <c r="AS61" s="192"/>
    </row>
    <row r="62" spans="1:45" x14ac:dyDescent="0.3">
      <c r="A62" s="207">
        <v>42515</v>
      </c>
      <c r="B62" s="198"/>
      <c r="C62" s="199"/>
      <c r="D62" s="199"/>
      <c r="E62" s="199"/>
      <c r="F62" s="199"/>
      <c r="G62" s="199"/>
      <c r="H62" s="199">
        <v>92.46</v>
      </c>
      <c r="I62" s="199">
        <v>95.71</v>
      </c>
      <c r="J62" s="199">
        <v>93.78</v>
      </c>
      <c r="K62" s="199"/>
      <c r="L62" s="199"/>
      <c r="M62" s="199"/>
      <c r="N62" s="199"/>
      <c r="O62" s="199"/>
      <c r="P62" s="199"/>
      <c r="Q62" s="148">
        <v>94</v>
      </c>
      <c r="R62" s="148">
        <v>99</v>
      </c>
      <c r="S62" s="151">
        <v>81.5</v>
      </c>
      <c r="T62" s="151">
        <v>111.5</v>
      </c>
      <c r="U62" s="152">
        <f t="shared" si="5"/>
        <v>93.983333333333334</v>
      </c>
      <c r="V62" s="152">
        <f t="shared" si="1"/>
        <v>6.0014899957428689</v>
      </c>
      <c r="W62" s="153">
        <f t="shared" si="4"/>
        <v>1.3345744223867353</v>
      </c>
      <c r="X62" s="200"/>
      <c r="Y62" s="155"/>
      <c r="Z62" s="189">
        <v>1.72</v>
      </c>
      <c r="AA62" s="155"/>
      <c r="AB62" s="155"/>
      <c r="AC62" s="156">
        <v>1.8</v>
      </c>
      <c r="AD62" s="152">
        <f t="shared" si="6"/>
        <v>1.72</v>
      </c>
      <c r="AE62" s="157">
        <f t="shared" si="7"/>
        <v>0</v>
      </c>
      <c r="AF62" s="200"/>
      <c r="AG62" s="155"/>
      <c r="AH62" s="155">
        <v>-5</v>
      </c>
      <c r="AI62" s="155"/>
      <c r="AJ62" s="155"/>
      <c r="AK62" s="160">
        <v>20</v>
      </c>
      <c r="AL62" s="161">
        <v>1002</v>
      </c>
      <c r="AM62" s="162">
        <v>1002</v>
      </c>
      <c r="AN62" s="162">
        <v>1000</v>
      </c>
      <c r="AO62" s="162">
        <v>1000</v>
      </c>
      <c r="AP62" s="163">
        <v>1001</v>
      </c>
      <c r="AQ62" s="164">
        <v>1.6358796296296301</v>
      </c>
      <c r="AR62" s="195">
        <v>15.66</v>
      </c>
      <c r="AS62" s="192"/>
    </row>
    <row r="63" spans="1:45" x14ac:dyDescent="0.3">
      <c r="A63" s="207">
        <v>42535</v>
      </c>
      <c r="B63" s="198"/>
      <c r="C63" s="199"/>
      <c r="D63" s="199"/>
      <c r="E63" s="199"/>
      <c r="F63" s="199"/>
      <c r="G63" s="199"/>
      <c r="H63" s="199">
        <v>92.9</v>
      </c>
      <c r="I63" s="199">
        <v>96.42</v>
      </c>
      <c r="J63" s="199">
        <v>94.02</v>
      </c>
      <c r="K63" s="199"/>
      <c r="L63" s="199"/>
      <c r="M63" s="199"/>
      <c r="N63" s="199"/>
      <c r="O63" s="199"/>
      <c r="P63" s="199"/>
      <c r="Q63" s="148">
        <v>94</v>
      </c>
      <c r="R63" s="148">
        <v>99</v>
      </c>
      <c r="S63" s="151">
        <v>81.5</v>
      </c>
      <c r="T63" s="151">
        <v>111.5</v>
      </c>
      <c r="U63" s="152">
        <f t="shared" si="5"/>
        <v>94.446666666666658</v>
      </c>
      <c r="V63" s="152">
        <f t="shared" si="1"/>
        <v>6.0310770540655589</v>
      </c>
      <c r="W63" s="153">
        <f t="shared" si="4"/>
        <v>1.4683626557798608</v>
      </c>
      <c r="X63" s="200"/>
      <c r="Y63" s="155"/>
      <c r="Z63" s="189">
        <v>1.86</v>
      </c>
      <c r="AA63" s="155"/>
      <c r="AB63" s="155"/>
      <c r="AC63" s="156">
        <v>1.8</v>
      </c>
      <c r="AD63" s="152">
        <f t="shared" si="6"/>
        <v>1.86</v>
      </c>
      <c r="AE63" s="157">
        <f t="shared" si="7"/>
        <v>0</v>
      </c>
      <c r="AF63" s="200"/>
      <c r="AG63" s="155"/>
      <c r="AH63" s="155">
        <v>-8</v>
      </c>
      <c r="AI63" s="155"/>
      <c r="AJ63" s="155"/>
      <c r="AK63" s="160">
        <v>20</v>
      </c>
      <c r="AL63" s="161">
        <v>1002</v>
      </c>
      <c r="AM63" s="162">
        <v>1002</v>
      </c>
      <c r="AN63" s="162">
        <v>1000</v>
      </c>
      <c r="AO63" s="162">
        <v>1000</v>
      </c>
      <c r="AP63" s="163">
        <v>1001</v>
      </c>
      <c r="AQ63" s="164">
        <v>1.6775462962962999</v>
      </c>
      <c r="AR63" s="195">
        <v>15.66</v>
      </c>
      <c r="AS63" s="192"/>
    </row>
    <row r="64" spans="1:45" x14ac:dyDescent="0.3">
      <c r="A64" s="207">
        <v>42577</v>
      </c>
      <c r="B64" s="198">
        <v>92.85</v>
      </c>
      <c r="C64" s="199">
        <v>95.87</v>
      </c>
      <c r="D64" s="199">
        <v>94.31</v>
      </c>
      <c r="E64" s="199"/>
      <c r="F64" s="199"/>
      <c r="G64" s="199"/>
      <c r="H64" s="199">
        <v>92.85</v>
      </c>
      <c r="I64" s="199">
        <v>95.23</v>
      </c>
      <c r="J64" s="199">
        <v>93.91</v>
      </c>
      <c r="K64" s="199"/>
      <c r="L64" s="199"/>
      <c r="M64" s="199"/>
      <c r="N64" s="199">
        <v>92.08</v>
      </c>
      <c r="O64" s="199">
        <v>94.28</v>
      </c>
      <c r="P64" s="199">
        <v>93.42</v>
      </c>
      <c r="Q64" s="148">
        <v>94</v>
      </c>
      <c r="R64" s="148">
        <v>99</v>
      </c>
      <c r="S64" s="151">
        <v>81.5</v>
      </c>
      <c r="T64" s="151">
        <v>111.5</v>
      </c>
      <c r="U64" s="152">
        <f t="shared" si="5"/>
        <v>93.725714285714275</v>
      </c>
      <c r="V64" s="152">
        <f t="shared" si="1"/>
        <v>5.9850392264185359</v>
      </c>
      <c r="W64" s="153">
        <f t="shared" si="4"/>
        <v>0.96467399590086966</v>
      </c>
      <c r="X64" s="200">
        <v>1.6</v>
      </c>
      <c r="Y64" s="155">
        <v>1.26</v>
      </c>
      <c r="Z64" s="189">
        <v>1.26</v>
      </c>
      <c r="AA64" s="155"/>
      <c r="AB64" s="155">
        <v>1.17</v>
      </c>
      <c r="AC64" s="156">
        <v>1.8</v>
      </c>
      <c r="AD64" s="152">
        <f t="shared" si="6"/>
        <v>1.3225</v>
      </c>
      <c r="AE64" s="157">
        <f t="shared" si="7"/>
        <v>0.16437381178277788</v>
      </c>
      <c r="AF64" s="200">
        <v>-21</v>
      </c>
      <c r="AG64" s="155"/>
      <c r="AH64" s="155">
        <v>-19</v>
      </c>
      <c r="AI64" s="155"/>
      <c r="AJ64" s="155">
        <v>-37</v>
      </c>
      <c r="AK64" s="160">
        <v>20</v>
      </c>
      <c r="AL64" s="161">
        <v>1002</v>
      </c>
      <c r="AM64" s="162">
        <v>1002</v>
      </c>
      <c r="AN64" s="162">
        <v>1000</v>
      </c>
      <c r="AO64" s="162">
        <v>1000</v>
      </c>
      <c r="AP64" s="163">
        <v>1001</v>
      </c>
      <c r="AQ64" s="164">
        <v>1.71921296296298</v>
      </c>
      <c r="AR64" s="195">
        <v>15.66</v>
      </c>
      <c r="AS64" s="192"/>
    </row>
    <row r="65" spans="1:45" x14ac:dyDescent="0.3">
      <c r="A65" s="207">
        <v>42578</v>
      </c>
      <c r="B65" s="198">
        <v>92.28</v>
      </c>
      <c r="C65" s="199">
        <v>95.19</v>
      </c>
      <c r="D65" s="199">
        <v>93.8</v>
      </c>
      <c r="E65" s="199"/>
      <c r="F65" s="199"/>
      <c r="G65" s="199"/>
      <c r="H65" s="199">
        <v>92.6</v>
      </c>
      <c r="I65" s="199">
        <v>94.68</v>
      </c>
      <c r="J65" s="199">
        <v>93.71</v>
      </c>
      <c r="K65" s="199"/>
      <c r="L65" s="199"/>
      <c r="M65" s="199"/>
      <c r="N65" s="199">
        <v>91.95</v>
      </c>
      <c r="O65" s="199">
        <v>95.06</v>
      </c>
      <c r="P65" s="199">
        <v>93.43</v>
      </c>
      <c r="Q65" s="148">
        <v>94</v>
      </c>
      <c r="R65" s="148">
        <v>99</v>
      </c>
      <c r="S65" s="151">
        <v>81.5</v>
      </c>
      <c r="T65" s="151">
        <v>111.5</v>
      </c>
      <c r="U65" s="152">
        <f t="shared" si="5"/>
        <v>93.604285714285723</v>
      </c>
      <c r="V65" s="152">
        <f t="shared" si="1"/>
        <v>5.97728516694034</v>
      </c>
      <c r="W65" s="153">
        <f t="shared" si="4"/>
        <v>1.0072147897310999</v>
      </c>
      <c r="X65" s="200">
        <v>1.54</v>
      </c>
      <c r="Y65" s="155">
        <v>1.1100000000000001</v>
      </c>
      <c r="Z65" s="189">
        <v>1.1100000000000001</v>
      </c>
      <c r="AA65" s="155"/>
      <c r="AB65" s="155">
        <v>1.66</v>
      </c>
      <c r="AC65" s="156">
        <v>1.8</v>
      </c>
      <c r="AD65" s="152">
        <f t="shared" si="6"/>
        <v>1.3550000000000002</v>
      </c>
      <c r="AE65" s="157">
        <f t="shared" si="7"/>
        <v>0.24864633518312626</v>
      </c>
      <c r="AF65" s="200">
        <v>-2</v>
      </c>
      <c r="AG65" s="155"/>
      <c r="AH65" s="155">
        <v>-7</v>
      </c>
      <c r="AI65" s="155"/>
      <c r="AJ65" s="155">
        <v>-3</v>
      </c>
      <c r="AK65" s="160">
        <v>20</v>
      </c>
      <c r="AL65" s="161">
        <v>1002</v>
      </c>
      <c r="AM65" s="162">
        <v>1002</v>
      </c>
      <c r="AN65" s="162">
        <v>1000</v>
      </c>
      <c r="AO65" s="162">
        <v>1000</v>
      </c>
      <c r="AP65" s="163">
        <v>1001</v>
      </c>
      <c r="AQ65" s="164">
        <v>1.7608796296296501</v>
      </c>
      <c r="AR65" s="195">
        <v>15.66</v>
      </c>
      <c r="AS65" s="192"/>
    </row>
    <row r="66" spans="1:45" x14ac:dyDescent="0.3">
      <c r="A66" s="207">
        <v>42591</v>
      </c>
      <c r="B66" s="198">
        <v>94.17</v>
      </c>
      <c r="C66" s="199">
        <v>98.3</v>
      </c>
      <c r="D66" s="199">
        <v>95.63</v>
      </c>
      <c r="E66" s="199"/>
      <c r="F66" s="199"/>
      <c r="G66" s="199"/>
      <c r="H66" s="199">
        <v>93.75</v>
      </c>
      <c r="I66" s="199">
        <v>96.65</v>
      </c>
      <c r="J66" s="199">
        <v>95.2</v>
      </c>
      <c r="K66" s="199"/>
      <c r="L66" s="199"/>
      <c r="M66" s="199"/>
      <c r="N66" s="199">
        <v>92.87</v>
      </c>
      <c r="O66" s="199">
        <v>95.73</v>
      </c>
      <c r="P66" s="199">
        <v>94.64</v>
      </c>
      <c r="Q66" s="148">
        <v>94</v>
      </c>
      <c r="R66" s="148">
        <v>99</v>
      </c>
      <c r="S66" s="151">
        <v>81.5</v>
      </c>
      <c r="T66" s="151">
        <v>111.5</v>
      </c>
      <c r="U66" s="152">
        <f t="shared" si="5"/>
        <v>94.924285714285702</v>
      </c>
      <c r="V66" s="152">
        <f t="shared" si="1"/>
        <v>6.0615763546798025</v>
      </c>
      <c r="W66" s="153">
        <f t="shared" si="4"/>
        <v>1.1881060215180073</v>
      </c>
      <c r="X66" s="200">
        <v>2.14</v>
      </c>
      <c r="Y66" s="155"/>
      <c r="Z66" s="189">
        <v>1.51</v>
      </c>
      <c r="AA66" s="155"/>
      <c r="AB66" s="155">
        <v>1.51</v>
      </c>
      <c r="AC66" s="156">
        <v>1.8</v>
      </c>
      <c r="AD66" s="152">
        <f t="shared" si="6"/>
        <v>1.72</v>
      </c>
      <c r="AE66" s="157">
        <f t="shared" si="7"/>
        <v>0.29698484809835013</v>
      </c>
      <c r="AF66" s="200">
        <v>-11</v>
      </c>
      <c r="AG66" s="155"/>
      <c r="AH66" s="155">
        <v>-4</v>
      </c>
      <c r="AI66" s="155"/>
      <c r="AJ66" s="155">
        <v>-2</v>
      </c>
      <c r="AK66" s="160">
        <v>20</v>
      </c>
      <c r="AL66" s="161">
        <v>1002</v>
      </c>
      <c r="AM66" s="162">
        <v>1002</v>
      </c>
      <c r="AN66" s="162">
        <v>1000</v>
      </c>
      <c r="AO66" s="162">
        <v>1000</v>
      </c>
      <c r="AP66" s="163">
        <v>1001</v>
      </c>
      <c r="AQ66" s="164">
        <v>1.8025462962963199</v>
      </c>
      <c r="AR66" s="195">
        <v>15.66</v>
      </c>
      <c r="AS66" s="192"/>
    </row>
    <row r="67" spans="1:45" x14ac:dyDescent="0.3">
      <c r="A67" s="207">
        <v>42600</v>
      </c>
      <c r="B67" s="198">
        <v>94.05</v>
      </c>
      <c r="C67" s="199">
        <v>97.17</v>
      </c>
      <c r="D67" s="199">
        <v>95.56</v>
      </c>
      <c r="E67" s="199"/>
      <c r="F67" s="199"/>
      <c r="G67" s="199"/>
      <c r="H67" s="199">
        <v>94.22</v>
      </c>
      <c r="I67" s="199">
        <v>97.03</v>
      </c>
      <c r="J67" s="199">
        <v>95.28</v>
      </c>
      <c r="K67" s="199"/>
      <c r="L67" s="199"/>
      <c r="M67" s="199"/>
      <c r="N67" s="199">
        <v>93.44</v>
      </c>
      <c r="O67" s="199">
        <v>95.96</v>
      </c>
      <c r="P67" s="199">
        <v>94.8</v>
      </c>
      <c r="Q67" s="148">
        <v>94</v>
      </c>
      <c r="R67" s="148">
        <v>99</v>
      </c>
      <c r="S67" s="151">
        <v>81.5</v>
      </c>
      <c r="T67" s="151">
        <v>111.5</v>
      </c>
      <c r="U67" s="152">
        <f t="shared" si="5"/>
        <v>95.184285714285707</v>
      </c>
      <c r="V67" s="152">
        <f t="shared" si="1"/>
        <v>6.0781791643860608</v>
      </c>
      <c r="W67" s="153">
        <f t="shared" si="4"/>
        <v>1.0875116701226992</v>
      </c>
      <c r="X67" s="200">
        <v>1.63</v>
      </c>
      <c r="Y67" s="155"/>
      <c r="Z67" s="189">
        <v>1.47</v>
      </c>
      <c r="AA67" s="155"/>
      <c r="AB67" s="155">
        <v>1.33</v>
      </c>
      <c r="AC67" s="156">
        <v>1.8</v>
      </c>
      <c r="AD67" s="152">
        <f t="shared" si="6"/>
        <v>1.4766666666666666</v>
      </c>
      <c r="AE67" s="157">
        <f t="shared" si="7"/>
        <v>0.12256517540566816</v>
      </c>
      <c r="AF67" s="200">
        <v>-14</v>
      </c>
      <c r="AG67" s="155"/>
      <c r="AH67" s="155">
        <v>-5</v>
      </c>
      <c r="AI67" s="155"/>
      <c r="AJ67" s="155">
        <v>-9</v>
      </c>
      <c r="AK67" s="160">
        <v>20</v>
      </c>
      <c r="AL67" s="161">
        <v>1002</v>
      </c>
      <c r="AM67" s="162">
        <v>1002</v>
      </c>
      <c r="AN67" s="162">
        <v>1000</v>
      </c>
      <c r="AO67" s="162">
        <v>1000</v>
      </c>
      <c r="AP67" s="163">
        <v>1001</v>
      </c>
      <c r="AQ67" s="164">
        <v>1.84421296296299</v>
      </c>
      <c r="AR67" s="195">
        <v>15.66</v>
      </c>
      <c r="AS67" s="192"/>
    </row>
    <row r="68" spans="1:45" x14ac:dyDescent="0.3">
      <c r="A68" s="207">
        <v>42608</v>
      </c>
      <c r="B68" s="198">
        <v>94.2</v>
      </c>
      <c r="C68" s="199">
        <v>97.38</v>
      </c>
      <c r="D68" s="199">
        <v>95.83</v>
      </c>
      <c r="E68" s="199"/>
      <c r="F68" s="199"/>
      <c r="G68" s="199"/>
      <c r="H68" s="199">
        <v>94.16</v>
      </c>
      <c r="I68" s="199">
        <v>96.53</v>
      </c>
      <c r="J68" s="199">
        <v>95.65</v>
      </c>
      <c r="K68" s="199"/>
      <c r="L68" s="199"/>
      <c r="M68" s="199"/>
      <c r="N68" s="199">
        <v>93.04</v>
      </c>
      <c r="O68" s="199">
        <v>96.36</v>
      </c>
      <c r="P68" s="199">
        <v>95.03</v>
      </c>
      <c r="Q68" s="148">
        <v>94</v>
      </c>
      <c r="R68" s="148">
        <v>99</v>
      </c>
      <c r="S68" s="151">
        <v>81.5</v>
      </c>
      <c r="T68" s="151">
        <v>111.5</v>
      </c>
      <c r="U68" s="152">
        <f t="shared" si="5"/>
        <v>95.228571428571414</v>
      </c>
      <c r="V68" s="152">
        <f t="shared" si="1"/>
        <v>6.0810071154898733</v>
      </c>
      <c r="W68" s="153">
        <f t="shared" si="4"/>
        <v>1.1640008415734378</v>
      </c>
      <c r="X68" s="200">
        <v>1.66</v>
      </c>
      <c r="Y68" s="155"/>
      <c r="Z68" s="189">
        <v>1.24</v>
      </c>
      <c r="AA68" s="155"/>
      <c r="AB68" s="155">
        <v>1.75</v>
      </c>
      <c r="AC68" s="156">
        <v>1.8</v>
      </c>
      <c r="AD68" s="152">
        <f t="shared" si="6"/>
        <v>1.55</v>
      </c>
      <c r="AE68" s="157">
        <f t="shared" si="7"/>
        <v>0.22226110770892812</v>
      </c>
      <c r="AF68" s="200">
        <v>-8</v>
      </c>
      <c r="AG68" s="155"/>
      <c r="AH68" s="155">
        <v>-7</v>
      </c>
      <c r="AI68" s="155"/>
      <c r="AJ68" s="155">
        <v>-4</v>
      </c>
      <c r="AK68" s="160">
        <v>20</v>
      </c>
      <c r="AL68" s="161">
        <v>1002</v>
      </c>
      <c r="AM68" s="162">
        <v>1002</v>
      </c>
      <c r="AN68" s="162">
        <v>1000</v>
      </c>
      <c r="AO68" s="162">
        <v>1000</v>
      </c>
      <c r="AP68" s="163">
        <v>1001</v>
      </c>
      <c r="AQ68" s="164">
        <v>1.88587962962966</v>
      </c>
      <c r="AR68" s="195">
        <v>15.66</v>
      </c>
      <c r="AS68" s="192"/>
    </row>
    <row r="69" spans="1:45" x14ac:dyDescent="0.3">
      <c r="A69" s="207">
        <v>42618</v>
      </c>
      <c r="B69" s="198">
        <v>94.34</v>
      </c>
      <c r="C69" s="199">
        <v>97.91</v>
      </c>
      <c r="D69" s="199">
        <v>96</v>
      </c>
      <c r="E69" s="199"/>
      <c r="F69" s="199"/>
      <c r="G69" s="199"/>
      <c r="H69" s="199">
        <v>94.65</v>
      </c>
      <c r="I69" s="199">
        <v>96.42</v>
      </c>
      <c r="J69" s="199">
        <v>95.5</v>
      </c>
      <c r="K69" s="199"/>
      <c r="L69" s="199"/>
      <c r="M69" s="199"/>
      <c r="N69" s="199">
        <v>93.94</v>
      </c>
      <c r="O69" s="199">
        <v>95.82</v>
      </c>
      <c r="P69" s="199">
        <v>93.95</v>
      </c>
      <c r="Q69" s="148">
        <v>94</v>
      </c>
      <c r="R69" s="148">
        <v>99</v>
      </c>
      <c r="S69" s="151">
        <v>81.5</v>
      </c>
      <c r="T69" s="151">
        <v>111.5</v>
      </c>
      <c r="U69" s="152">
        <f t="shared" si="5"/>
        <v>95.182857142857145</v>
      </c>
      <c r="V69" s="152">
        <f t="shared" ref="V69:V86" si="9">U69/AR69</f>
        <v>6.0780879401569061</v>
      </c>
      <c r="W69" s="153">
        <f t="shared" si="4"/>
        <v>0.92992648381800624</v>
      </c>
      <c r="X69" s="200">
        <v>1.83</v>
      </c>
      <c r="Y69" s="155"/>
      <c r="Z69" s="189">
        <v>0.9</v>
      </c>
      <c r="AA69" s="155"/>
      <c r="AB69" s="155">
        <v>0.99</v>
      </c>
      <c r="AC69" s="156">
        <v>1.8</v>
      </c>
      <c r="AD69" s="152">
        <f t="shared" si="6"/>
        <v>1.24</v>
      </c>
      <c r="AE69" s="157">
        <f t="shared" si="7"/>
        <v>0.41880783182743914</v>
      </c>
      <c r="AF69" s="200">
        <v>-12</v>
      </c>
      <c r="AG69" s="155"/>
      <c r="AH69" s="155">
        <v>-16</v>
      </c>
      <c r="AI69" s="155"/>
      <c r="AJ69" s="155">
        <v>-5</v>
      </c>
      <c r="AK69" s="160">
        <v>20</v>
      </c>
      <c r="AL69" s="161">
        <v>1002</v>
      </c>
      <c r="AM69" s="162">
        <v>1002</v>
      </c>
      <c r="AN69" s="162">
        <v>1000</v>
      </c>
      <c r="AO69" s="162">
        <v>1000</v>
      </c>
      <c r="AP69" s="163">
        <v>1001</v>
      </c>
      <c r="AQ69" s="164">
        <v>1.9275462962963299</v>
      </c>
      <c r="AR69" s="195">
        <v>15.66</v>
      </c>
      <c r="AS69" s="192"/>
    </row>
    <row r="70" spans="1:45" x14ac:dyDescent="0.3">
      <c r="A70" s="207">
        <v>42625</v>
      </c>
      <c r="B70" s="198"/>
      <c r="C70" s="199"/>
      <c r="D70" s="199"/>
      <c r="E70" s="199"/>
      <c r="F70" s="199"/>
      <c r="G70" s="199"/>
      <c r="H70" s="199">
        <v>93.11</v>
      </c>
      <c r="I70" s="199">
        <v>95.36</v>
      </c>
      <c r="J70" s="199">
        <v>94.79</v>
      </c>
      <c r="K70" s="199"/>
      <c r="L70" s="199"/>
      <c r="M70" s="199"/>
      <c r="N70" s="199"/>
      <c r="O70" s="199"/>
      <c r="P70" s="199"/>
      <c r="Q70" s="148">
        <v>94</v>
      </c>
      <c r="R70" s="148">
        <v>99</v>
      </c>
      <c r="S70" s="151">
        <v>81.5</v>
      </c>
      <c r="T70" s="151">
        <v>111.5</v>
      </c>
      <c r="U70" s="152">
        <f t="shared" si="5"/>
        <v>94.42</v>
      </c>
      <c r="V70" s="152">
        <f t="shared" si="9"/>
        <v>6.029374201787995</v>
      </c>
      <c r="W70" s="153">
        <f t="shared" si="4"/>
        <v>0.95509161864189851</v>
      </c>
      <c r="X70" s="200"/>
      <c r="Y70" s="155"/>
      <c r="Z70" s="189">
        <v>0.76</v>
      </c>
      <c r="AA70" s="155"/>
      <c r="AB70" s="155"/>
      <c r="AC70" s="156">
        <v>1.8</v>
      </c>
      <c r="AD70" s="152">
        <f t="shared" si="6"/>
        <v>0.76</v>
      </c>
      <c r="AE70" s="157">
        <f t="shared" si="7"/>
        <v>0</v>
      </c>
      <c r="AF70" s="200"/>
      <c r="AG70" s="155"/>
      <c r="AH70" s="155">
        <v>-11</v>
      </c>
      <c r="AI70" s="155"/>
      <c r="AJ70" s="155"/>
      <c r="AK70" s="160">
        <v>20</v>
      </c>
      <c r="AL70" s="161">
        <v>1002</v>
      </c>
      <c r="AM70" s="162">
        <v>1002</v>
      </c>
      <c r="AN70" s="162">
        <v>1000</v>
      </c>
      <c r="AO70" s="162">
        <v>1000</v>
      </c>
      <c r="AP70" s="163">
        <v>1001</v>
      </c>
      <c r="AQ70" s="164">
        <v>1.969212962963</v>
      </c>
      <c r="AR70" s="195">
        <v>15.66</v>
      </c>
      <c r="AS70" s="192"/>
    </row>
    <row r="71" spans="1:45" x14ac:dyDescent="0.3">
      <c r="A71" s="207">
        <v>42627</v>
      </c>
      <c r="B71" s="198"/>
      <c r="C71" s="199"/>
      <c r="D71" s="199"/>
      <c r="E71" s="199"/>
      <c r="F71" s="199"/>
      <c r="G71" s="199"/>
      <c r="H71" s="199">
        <v>92.31</v>
      </c>
      <c r="I71" s="199">
        <v>94.3</v>
      </c>
      <c r="J71" s="199">
        <v>93.47</v>
      </c>
      <c r="K71" s="199"/>
      <c r="L71" s="199"/>
      <c r="M71" s="199"/>
      <c r="N71" s="199"/>
      <c r="O71" s="199"/>
      <c r="P71" s="199"/>
      <c r="Q71" s="148">
        <v>94</v>
      </c>
      <c r="R71" s="148">
        <v>99</v>
      </c>
      <c r="S71" s="151">
        <v>81.5</v>
      </c>
      <c r="T71" s="151">
        <v>111.5</v>
      </c>
      <c r="U71" s="152">
        <f t="shared" si="5"/>
        <v>93.360000000000014</v>
      </c>
      <c r="V71" s="152">
        <f t="shared" si="9"/>
        <v>5.9616858237547898</v>
      </c>
      <c r="W71" s="153">
        <f t="shared" si="4"/>
        <v>0.81612907475880503</v>
      </c>
      <c r="X71" s="200"/>
      <c r="Y71" s="155"/>
      <c r="Z71" s="189">
        <v>1.06</v>
      </c>
      <c r="AA71" s="155"/>
      <c r="AB71" s="155"/>
      <c r="AC71" s="156">
        <v>1.8</v>
      </c>
      <c r="AD71" s="152">
        <f t="shared" si="6"/>
        <v>1.06</v>
      </c>
      <c r="AE71" s="157">
        <f t="shared" si="7"/>
        <v>0</v>
      </c>
      <c r="AF71" s="200"/>
      <c r="AG71" s="155"/>
      <c r="AH71" s="155">
        <v>-2</v>
      </c>
      <c r="AI71" s="155"/>
      <c r="AJ71" s="155"/>
      <c r="AK71" s="160">
        <v>20</v>
      </c>
      <c r="AL71" s="161">
        <v>1002</v>
      </c>
      <c r="AM71" s="162">
        <v>1002</v>
      </c>
      <c r="AN71" s="162">
        <v>1000</v>
      </c>
      <c r="AO71" s="162">
        <v>1000</v>
      </c>
      <c r="AP71" s="163">
        <v>1001</v>
      </c>
      <c r="AQ71" s="164">
        <v>2.0108796296296698</v>
      </c>
      <c r="AR71" s="195">
        <v>15.66</v>
      </c>
      <c r="AS71" s="192"/>
    </row>
    <row r="72" spans="1:45" x14ac:dyDescent="0.3">
      <c r="A72" s="207">
        <v>42629</v>
      </c>
      <c r="B72" s="198"/>
      <c r="C72" s="199"/>
      <c r="D72" s="199"/>
      <c r="E72" s="199"/>
      <c r="F72" s="199"/>
      <c r="G72" s="199"/>
      <c r="H72" s="199">
        <v>91.57</v>
      </c>
      <c r="I72" s="199">
        <v>92.96</v>
      </c>
      <c r="J72" s="199">
        <v>92.37</v>
      </c>
      <c r="K72" s="199"/>
      <c r="L72" s="199"/>
      <c r="M72" s="199"/>
      <c r="N72" s="199"/>
      <c r="O72" s="199"/>
      <c r="P72" s="199"/>
      <c r="Q72" s="148">
        <v>94</v>
      </c>
      <c r="R72" s="148">
        <v>99</v>
      </c>
      <c r="S72" s="151">
        <v>81.5</v>
      </c>
      <c r="T72" s="151">
        <v>111.5</v>
      </c>
      <c r="U72" s="152">
        <f t="shared" si="5"/>
        <v>92.3</v>
      </c>
      <c r="V72" s="152">
        <f t="shared" si="9"/>
        <v>5.8939974457215838</v>
      </c>
      <c r="W72" s="153">
        <f t="shared" si="4"/>
        <v>0.56961975621169203</v>
      </c>
      <c r="X72" s="200"/>
      <c r="Y72" s="155">
        <v>0.75</v>
      </c>
      <c r="Z72" s="189"/>
      <c r="AA72" s="155"/>
      <c r="AB72" s="155"/>
      <c r="AC72" s="156">
        <v>1.8</v>
      </c>
      <c r="AD72" s="152">
        <f t="shared" si="6"/>
        <v>0.75</v>
      </c>
      <c r="AE72" s="157">
        <f t="shared" si="7"/>
        <v>0</v>
      </c>
      <c r="AF72" s="200"/>
      <c r="AG72" s="155"/>
      <c r="AH72" s="155">
        <v>-19</v>
      </c>
      <c r="AI72" s="155"/>
      <c r="AJ72" s="155"/>
      <c r="AK72" s="160">
        <v>20</v>
      </c>
      <c r="AL72" s="161">
        <v>1002</v>
      </c>
      <c r="AM72" s="162">
        <v>1002</v>
      </c>
      <c r="AN72" s="162">
        <v>1000</v>
      </c>
      <c r="AO72" s="162">
        <v>1000</v>
      </c>
      <c r="AP72" s="163">
        <v>1001</v>
      </c>
      <c r="AQ72" s="164">
        <v>2.0525462962963399</v>
      </c>
      <c r="AR72" s="195">
        <v>15.66</v>
      </c>
      <c r="AS72" s="192"/>
    </row>
    <row r="73" spans="1:45" x14ac:dyDescent="0.3">
      <c r="A73" s="207">
        <v>42640</v>
      </c>
      <c r="B73" s="208"/>
      <c r="C73" s="202"/>
      <c r="D73" s="199"/>
      <c r="E73" s="199"/>
      <c r="F73" s="199"/>
      <c r="G73" s="199"/>
      <c r="H73" s="199">
        <v>95.67</v>
      </c>
      <c r="I73" s="199">
        <v>99.19</v>
      </c>
      <c r="J73" s="199">
        <v>97.1</v>
      </c>
      <c r="K73" s="199"/>
      <c r="L73" s="199"/>
      <c r="M73" s="199"/>
      <c r="N73" s="199">
        <v>93.88</v>
      </c>
      <c r="O73" s="199">
        <v>96.64</v>
      </c>
      <c r="P73" s="199">
        <v>95.56</v>
      </c>
      <c r="Q73" s="148">
        <v>94</v>
      </c>
      <c r="R73" s="148">
        <v>99</v>
      </c>
      <c r="S73" s="151">
        <v>81.5</v>
      </c>
      <c r="T73" s="151">
        <v>111.5</v>
      </c>
      <c r="U73" s="152">
        <f t="shared" si="5"/>
        <v>96.339999999999989</v>
      </c>
      <c r="V73" s="152">
        <f t="shared" si="9"/>
        <v>6.1519795657726686</v>
      </c>
      <c r="W73" s="153">
        <f t="shared" ref="W73:W105" si="10">STDEVP(D73:P73)</f>
        <v>1.6278308675453148</v>
      </c>
      <c r="X73" s="200"/>
      <c r="Y73" s="155"/>
      <c r="Z73" s="189">
        <v>1.8</v>
      </c>
      <c r="AA73" s="155">
        <v>1.44</v>
      </c>
      <c r="AB73" s="155"/>
      <c r="AC73" s="156">
        <v>1.8</v>
      </c>
      <c r="AD73" s="152">
        <f t="shared" si="6"/>
        <v>1.62</v>
      </c>
      <c r="AE73" s="157">
        <f t="shared" si="7"/>
        <v>0.17999999999999872</v>
      </c>
      <c r="AF73" s="200"/>
      <c r="AG73" s="155"/>
      <c r="AH73" s="155">
        <v>-3</v>
      </c>
      <c r="AI73" s="155"/>
      <c r="AJ73" s="155">
        <v>4</v>
      </c>
      <c r="AK73" s="160">
        <v>20</v>
      </c>
      <c r="AL73" s="161">
        <v>1002</v>
      </c>
      <c r="AM73" s="162">
        <v>1002</v>
      </c>
      <c r="AN73" s="162">
        <v>1000</v>
      </c>
      <c r="AO73" s="162">
        <v>1000</v>
      </c>
      <c r="AP73" s="163">
        <v>1001</v>
      </c>
      <c r="AQ73" s="164">
        <v>2.09421296296301</v>
      </c>
      <c r="AR73" s="195">
        <v>15.66</v>
      </c>
      <c r="AS73" s="192"/>
    </row>
    <row r="74" spans="1:45" x14ac:dyDescent="0.3">
      <c r="A74" s="207">
        <v>42661</v>
      </c>
      <c r="B74" s="198"/>
      <c r="C74" s="199"/>
      <c r="D74" s="199"/>
      <c r="E74" s="199"/>
      <c r="F74" s="199"/>
      <c r="G74" s="199"/>
      <c r="H74" s="199">
        <v>94.3</v>
      </c>
      <c r="I74" s="199">
        <v>95.74</v>
      </c>
      <c r="J74" s="199">
        <v>95.12</v>
      </c>
      <c r="K74" s="199"/>
      <c r="L74" s="199"/>
      <c r="M74" s="199"/>
      <c r="N74" s="199"/>
      <c r="O74" s="199"/>
      <c r="P74" s="199"/>
      <c r="Q74" s="148">
        <v>94</v>
      </c>
      <c r="R74" s="148">
        <v>99</v>
      </c>
      <c r="S74" s="151">
        <v>81.5</v>
      </c>
      <c r="T74" s="151">
        <v>111.5</v>
      </c>
      <c r="U74" s="152">
        <f t="shared" si="5"/>
        <v>95.053333333333327</v>
      </c>
      <c r="V74" s="152">
        <f t="shared" si="9"/>
        <v>6.069816943380161</v>
      </c>
      <c r="W74" s="153">
        <f t="shared" si="10"/>
        <v>0.58976454812257195</v>
      </c>
      <c r="X74" s="200"/>
      <c r="Y74" s="155"/>
      <c r="Z74" s="189">
        <v>0.75</v>
      </c>
      <c r="AA74" s="155"/>
      <c r="AB74" s="155"/>
      <c r="AC74" s="156">
        <v>1.8</v>
      </c>
      <c r="AD74" s="152">
        <f t="shared" si="6"/>
        <v>0.75</v>
      </c>
      <c r="AE74" s="157">
        <f t="shared" si="7"/>
        <v>0</v>
      </c>
      <c r="AF74" s="200"/>
      <c r="AG74" s="155"/>
      <c r="AH74" s="155">
        <v>1</v>
      </c>
      <c r="AI74" s="155"/>
      <c r="AJ74" s="155"/>
      <c r="AK74" s="160">
        <v>20</v>
      </c>
      <c r="AL74" s="161">
        <v>1002</v>
      </c>
      <c r="AM74" s="162">
        <v>1002</v>
      </c>
      <c r="AN74" s="162">
        <v>1000</v>
      </c>
      <c r="AO74" s="162">
        <v>1000</v>
      </c>
      <c r="AP74" s="163">
        <v>1001</v>
      </c>
      <c r="AQ74" s="164">
        <v>2.13587962962968</v>
      </c>
      <c r="AR74" s="195">
        <v>15.66</v>
      </c>
      <c r="AS74" s="192"/>
    </row>
    <row r="75" spans="1:45" x14ac:dyDescent="0.3">
      <c r="A75" s="207">
        <v>42668</v>
      </c>
      <c r="B75" s="198"/>
      <c r="C75" s="199"/>
      <c r="D75" s="199"/>
      <c r="E75" s="199"/>
      <c r="F75" s="199"/>
      <c r="G75" s="199"/>
      <c r="H75" s="199">
        <v>96.91</v>
      </c>
      <c r="I75" s="199">
        <v>99.74</v>
      </c>
      <c r="J75" s="199">
        <v>98.63</v>
      </c>
      <c r="K75" s="199"/>
      <c r="L75" s="199"/>
      <c r="M75" s="199"/>
      <c r="N75" s="199"/>
      <c r="O75" s="199"/>
      <c r="P75" s="199"/>
      <c r="Q75" s="148">
        <v>94</v>
      </c>
      <c r="R75" s="148">
        <v>99</v>
      </c>
      <c r="S75" s="151">
        <v>81.5</v>
      </c>
      <c r="T75" s="151">
        <v>111.5</v>
      </c>
      <c r="U75" s="152">
        <f t="shared" si="5"/>
        <v>98.426666666666662</v>
      </c>
      <c r="V75" s="152">
        <f t="shared" si="9"/>
        <v>6.285227756492124</v>
      </c>
      <c r="W75" s="153">
        <f t="shared" si="10"/>
        <v>1.1642546495027999</v>
      </c>
      <c r="X75" s="200"/>
      <c r="Y75" s="155">
        <v>1.44</v>
      </c>
      <c r="Z75" s="189">
        <v>1.44</v>
      </c>
      <c r="AA75" s="155"/>
      <c r="AB75" s="155"/>
      <c r="AC75" s="156">
        <v>1.8</v>
      </c>
      <c r="AD75" s="152">
        <f t="shared" si="6"/>
        <v>1.44</v>
      </c>
      <c r="AE75" s="157">
        <f t="shared" si="7"/>
        <v>0</v>
      </c>
      <c r="AF75" s="200"/>
      <c r="AG75" s="155"/>
      <c r="AH75" s="155">
        <v>-2</v>
      </c>
      <c r="AI75" s="155"/>
      <c r="AJ75" s="155"/>
      <c r="AK75" s="160">
        <v>20</v>
      </c>
      <c r="AL75" s="161">
        <v>1002</v>
      </c>
      <c r="AM75" s="162">
        <v>1002</v>
      </c>
      <c r="AN75" s="162">
        <v>1000</v>
      </c>
      <c r="AO75" s="162">
        <v>1000</v>
      </c>
      <c r="AP75" s="163">
        <v>1001</v>
      </c>
      <c r="AQ75" s="164">
        <v>2.1775462962963501</v>
      </c>
      <c r="AR75" s="195">
        <v>15.66</v>
      </c>
      <c r="AS75" s="192"/>
    </row>
    <row r="76" spans="1:45" x14ac:dyDescent="0.3">
      <c r="A76" s="207">
        <v>42668</v>
      </c>
      <c r="B76" s="198"/>
      <c r="C76" s="199"/>
      <c r="D76" s="199"/>
      <c r="E76" s="199"/>
      <c r="F76" s="199"/>
      <c r="G76" s="199"/>
      <c r="H76" s="199">
        <v>96.57</v>
      </c>
      <c r="I76" s="199">
        <v>97.77</v>
      </c>
      <c r="J76" s="199">
        <v>97.17</v>
      </c>
      <c r="K76" s="199"/>
      <c r="L76" s="199"/>
      <c r="M76" s="199"/>
      <c r="N76" s="199"/>
      <c r="O76" s="199"/>
      <c r="P76" s="199"/>
      <c r="Q76" s="148">
        <v>94</v>
      </c>
      <c r="R76" s="148">
        <v>99</v>
      </c>
      <c r="S76" s="151">
        <v>81.5</v>
      </c>
      <c r="T76" s="151">
        <v>111.5</v>
      </c>
      <c r="U76" s="152">
        <f t="shared" si="5"/>
        <v>97.17</v>
      </c>
      <c r="V76" s="152">
        <f t="shared" si="9"/>
        <v>6.2049808429118771</v>
      </c>
      <c r="W76" s="153">
        <f t="shared" si="10"/>
        <v>0.48989794855663676</v>
      </c>
      <c r="X76" s="200"/>
      <c r="Y76" s="155">
        <v>0.61</v>
      </c>
      <c r="Z76" s="189">
        <v>0.61</v>
      </c>
      <c r="AA76" s="155"/>
      <c r="AB76" s="155"/>
      <c r="AC76" s="156">
        <v>1.8</v>
      </c>
      <c r="AD76" s="152">
        <f t="shared" si="6"/>
        <v>0.61</v>
      </c>
      <c r="AE76" s="157">
        <f t="shared" si="7"/>
        <v>0</v>
      </c>
      <c r="AF76" s="200"/>
      <c r="AG76" s="155"/>
      <c r="AH76" s="155">
        <v>-5</v>
      </c>
      <c r="AI76" s="155"/>
      <c r="AJ76" s="155"/>
      <c r="AK76" s="160">
        <v>20</v>
      </c>
      <c r="AL76" s="161">
        <v>1002</v>
      </c>
      <c r="AM76" s="162">
        <v>1002</v>
      </c>
      <c r="AN76" s="162">
        <v>1000</v>
      </c>
      <c r="AO76" s="162">
        <v>1000</v>
      </c>
      <c r="AP76" s="163">
        <v>1001</v>
      </c>
      <c r="AQ76" s="164">
        <v>2.2192129629630202</v>
      </c>
      <c r="AR76" s="195">
        <v>15.66</v>
      </c>
      <c r="AS76" s="192"/>
    </row>
    <row r="77" spans="1:45" x14ac:dyDescent="0.3">
      <c r="A77" s="207">
        <v>42675</v>
      </c>
      <c r="B77" s="198"/>
      <c r="C77" s="199"/>
      <c r="D77" s="199"/>
      <c r="E77" s="199"/>
      <c r="F77" s="199"/>
      <c r="G77" s="199"/>
      <c r="H77" s="199">
        <v>97.32</v>
      </c>
      <c r="I77" s="199">
        <v>99.26</v>
      </c>
      <c r="J77" s="199">
        <v>98.53</v>
      </c>
      <c r="K77" s="199"/>
      <c r="L77" s="199"/>
      <c r="M77" s="199"/>
      <c r="N77" s="199"/>
      <c r="O77" s="199"/>
      <c r="P77" s="199"/>
      <c r="Q77" s="148">
        <v>94</v>
      </c>
      <c r="R77" s="148">
        <v>99</v>
      </c>
      <c r="S77" s="151">
        <v>81.5</v>
      </c>
      <c r="T77" s="151">
        <v>111.5</v>
      </c>
      <c r="U77" s="152">
        <f t="shared" si="5"/>
        <v>98.37</v>
      </c>
      <c r="V77" s="152">
        <f t="shared" si="9"/>
        <v>6.2816091954022992</v>
      </c>
      <c r="W77" s="153">
        <f t="shared" si="10"/>
        <v>0.80004166558165868</v>
      </c>
      <c r="X77" s="200"/>
      <c r="Y77" s="155">
        <v>0.98</v>
      </c>
      <c r="Z77" s="189">
        <v>0.98</v>
      </c>
      <c r="AA77" s="155"/>
      <c r="AB77" s="155"/>
      <c r="AC77" s="156">
        <v>1.8</v>
      </c>
      <c r="AD77" s="152">
        <f t="shared" si="6"/>
        <v>0.98</v>
      </c>
      <c r="AE77" s="157">
        <f t="shared" si="7"/>
        <v>0</v>
      </c>
      <c r="AF77" s="200"/>
      <c r="AG77" s="155"/>
      <c r="AH77" s="155">
        <v>-2</v>
      </c>
      <c r="AI77" s="155"/>
      <c r="AJ77" s="155"/>
      <c r="AK77" s="160">
        <v>20</v>
      </c>
      <c r="AL77" s="161">
        <v>1002</v>
      </c>
      <c r="AM77" s="162">
        <v>1002</v>
      </c>
      <c r="AN77" s="162">
        <v>1000</v>
      </c>
      <c r="AO77" s="162">
        <v>1000</v>
      </c>
      <c r="AP77" s="163">
        <v>1001</v>
      </c>
      <c r="AQ77" s="164">
        <v>2.2608796296296898</v>
      </c>
      <c r="AR77" s="195">
        <v>15.66</v>
      </c>
      <c r="AS77" s="192"/>
    </row>
    <row r="78" spans="1:45" x14ac:dyDescent="0.3">
      <c r="A78" s="207">
        <v>42695</v>
      </c>
      <c r="B78" s="198"/>
      <c r="C78" s="199"/>
      <c r="D78" s="199"/>
      <c r="E78" s="199"/>
      <c r="F78" s="199"/>
      <c r="G78" s="199"/>
      <c r="H78" s="199">
        <v>98.92</v>
      </c>
      <c r="I78" s="199">
        <v>101.31</v>
      </c>
      <c r="J78" s="199">
        <v>99.75</v>
      </c>
      <c r="K78" s="199"/>
      <c r="L78" s="199"/>
      <c r="M78" s="199"/>
      <c r="N78" s="199"/>
      <c r="O78" s="199"/>
      <c r="P78" s="199"/>
      <c r="Q78" s="148">
        <v>94</v>
      </c>
      <c r="R78" s="148">
        <v>99</v>
      </c>
      <c r="S78" s="151">
        <v>81.5</v>
      </c>
      <c r="T78" s="151">
        <v>111.5</v>
      </c>
      <c r="U78" s="152">
        <f t="shared" si="5"/>
        <v>99.993333333333339</v>
      </c>
      <c r="V78" s="152">
        <f t="shared" si="9"/>
        <v>6.3852703277990637</v>
      </c>
      <c r="W78" s="153">
        <f t="shared" si="10"/>
        <v>0.99076850082258017</v>
      </c>
      <c r="X78" s="200"/>
      <c r="Y78" s="155">
        <v>1</v>
      </c>
      <c r="Z78" s="189">
        <v>1.19</v>
      </c>
      <c r="AA78" s="155"/>
      <c r="AB78" s="155"/>
      <c r="AC78" s="156">
        <v>1.8</v>
      </c>
      <c r="AD78" s="152">
        <f t="shared" si="6"/>
        <v>1.095</v>
      </c>
      <c r="AE78" s="157">
        <f t="shared" si="7"/>
        <v>9.4999999999999973E-2</v>
      </c>
      <c r="AF78" s="200"/>
      <c r="AG78" s="155"/>
      <c r="AH78" s="155">
        <v>-7</v>
      </c>
      <c r="AI78" s="155"/>
      <c r="AJ78" s="155"/>
      <c r="AK78" s="160">
        <v>20</v>
      </c>
      <c r="AL78" s="161">
        <v>1002</v>
      </c>
      <c r="AM78" s="162">
        <v>1002</v>
      </c>
      <c r="AN78" s="162">
        <v>1000</v>
      </c>
      <c r="AO78" s="162">
        <v>1000</v>
      </c>
      <c r="AP78" s="163">
        <v>1001</v>
      </c>
      <c r="AQ78" s="164">
        <v>2.3025462962963599</v>
      </c>
      <c r="AR78" s="195">
        <v>15.66</v>
      </c>
      <c r="AS78" s="192"/>
    </row>
    <row r="79" spans="1:45" x14ac:dyDescent="0.3">
      <c r="A79" s="207">
        <v>42696</v>
      </c>
      <c r="B79" s="198"/>
      <c r="C79" s="199"/>
      <c r="D79" s="199"/>
      <c r="E79" s="199"/>
      <c r="F79" s="199"/>
      <c r="G79" s="199"/>
      <c r="H79" s="199">
        <v>99.08</v>
      </c>
      <c r="I79" s="199">
        <v>100.53</v>
      </c>
      <c r="J79" s="199">
        <v>99.7</v>
      </c>
      <c r="K79" s="199"/>
      <c r="L79" s="199"/>
      <c r="M79" s="199"/>
      <c r="N79" s="199"/>
      <c r="O79" s="199"/>
      <c r="P79" s="199"/>
      <c r="Q79" s="148">
        <v>94</v>
      </c>
      <c r="R79" s="148">
        <v>99</v>
      </c>
      <c r="S79" s="151">
        <v>81.5</v>
      </c>
      <c r="T79" s="151">
        <v>111.5</v>
      </c>
      <c r="U79" s="152">
        <f t="shared" si="5"/>
        <v>99.77</v>
      </c>
      <c r="V79" s="152">
        <f t="shared" si="9"/>
        <v>6.3710089399744572</v>
      </c>
      <c r="W79" s="153">
        <f t="shared" si="10"/>
        <v>0.59402581313160785</v>
      </c>
      <c r="X79" s="200"/>
      <c r="Y79" s="155"/>
      <c r="Z79" s="189">
        <v>0.73</v>
      </c>
      <c r="AA79" s="155"/>
      <c r="AB79" s="155"/>
      <c r="AC79" s="156">
        <v>1.8</v>
      </c>
      <c r="AD79" s="152">
        <f t="shared" si="6"/>
        <v>0.73</v>
      </c>
      <c r="AE79" s="157">
        <f t="shared" si="7"/>
        <v>0</v>
      </c>
      <c r="AF79" s="200"/>
      <c r="AG79" s="155"/>
      <c r="AH79" s="155">
        <v>-1</v>
      </c>
      <c r="AI79" s="155"/>
      <c r="AJ79" s="155"/>
      <c r="AK79" s="160">
        <v>20</v>
      </c>
      <c r="AL79" s="161">
        <v>1002</v>
      </c>
      <c r="AM79" s="162">
        <v>1002</v>
      </c>
      <c r="AN79" s="162">
        <v>1000</v>
      </c>
      <c r="AO79" s="162">
        <v>1000</v>
      </c>
      <c r="AP79" s="163">
        <v>1001</v>
      </c>
      <c r="AQ79" s="164">
        <v>2.3442129629630299</v>
      </c>
      <c r="AR79" s="195">
        <v>15.66</v>
      </c>
      <c r="AS79" s="192"/>
    </row>
    <row r="80" spans="1:45" x14ac:dyDescent="0.3">
      <c r="A80" s="207">
        <v>42717</v>
      </c>
      <c r="B80" s="198"/>
      <c r="C80" s="199"/>
      <c r="D80" s="199"/>
      <c r="E80" s="199"/>
      <c r="F80" s="199"/>
      <c r="G80" s="199"/>
      <c r="H80" s="199">
        <v>95.55</v>
      </c>
      <c r="I80" s="199">
        <v>98.39</v>
      </c>
      <c r="J80" s="199">
        <v>96.28</v>
      </c>
      <c r="K80" s="199"/>
      <c r="L80" s="199"/>
      <c r="M80" s="199"/>
      <c r="N80" s="199"/>
      <c r="O80" s="199"/>
      <c r="P80" s="199"/>
      <c r="Q80" s="148">
        <v>94</v>
      </c>
      <c r="R80" s="148">
        <v>99</v>
      </c>
      <c r="S80" s="151">
        <v>81.5</v>
      </c>
      <c r="T80" s="151">
        <v>111.5</v>
      </c>
      <c r="U80" s="152">
        <f t="shared" si="5"/>
        <v>96.740000000000009</v>
      </c>
      <c r="V80" s="152">
        <f t="shared" si="9"/>
        <v>6.1775223499361438</v>
      </c>
      <c r="W80" s="153">
        <f t="shared" si="10"/>
        <v>1.2041871393876737</v>
      </c>
      <c r="X80" s="200"/>
      <c r="Y80" s="155"/>
      <c r="Z80" s="189">
        <v>1.46</v>
      </c>
      <c r="AA80" s="155"/>
      <c r="AB80" s="155"/>
      <c r="AC80" s="156">
        <v>1.8</v>
      </c>
      <c r="AD80" s="152">
        <f t="shared" si="6"/>
        <v>1.46</v>
      </c>
      <c r="AE80" s="157">
        <f t="shared" si="7"/>
        <v>0</v>
      </c>
      <c r="AF80" s="200"/>
      <c r="AG80" s="155"/>
      <c r="AH80" s="155">
        <v>-20</v>
      </c>
      <c r="AI80" s="155"/>
      <c r="AJ80" s="155"/>
      <c r="AK80" s="160">
        <v>20</v>
      </c>
      <c r="AL80" s="161">
        <v>1002</v>
      </c>
      <c r="AM80" s="162">
        <v>1002</v>
      </c>
      <c r="AN80" s="162">
        <v>1000</v>
      </c>
      <c r="AO80" s="162">
        <v>1000</v>
      </c>
      <c r="AP80" s="163">
        <v>1001</v>
      </c>
      <c r="AQ80" s="164">
        <v>2.3858796296297</v>
      </c>
      <c r="AR80" s="195">
        <v>15.66</v>
      </c>
      <c r="AS80" s="192"/>
    </row>
    <row r="81" spans="1:45" x14ac:dyDescent="0.3">
      <c r="A81" s="207">
        <v>42719</v>
      </c>
      <c r="B81" s="198"/>
      <c r="C81" s="199"/>
      <c r="D81" s="199"/>
      <c r="E81" s="199"/>
      <c r="F81" s="199"/>
      <c r="G81" s="199"/>
      <c r="H81" s="199">
        <v>95.39</v>
      </c>
      <c r="I81" s="199">
        <v>96.69</v>
      </c>
      <c r="J81" s="199">
        <v>96.01</v>
      </c>
      <c r="K81" s="199"/>
      <c r="L81" s="199"/>
      <c r="M81" s="199"/>
      <c r="N81" s="199"/>
      <c r="O81" s="199"/>
      <c r="P81" s="199"/>
      <c r="Q81" s="148">
        <v>94</v>
      </c>
      <c r="R81" s="148">
        <v>99</v>
      </c>
      <c r="S81" s="151">
        <v>81.5</v>
      </c>
      <c r="T81" s="151">
        <v>111.5</v>
      </c>
      <c r="U81" s="152">
        <f t="shared" si="5"/>
        <v>96.029999999999987</v>
      </c>
      <c r="V81" s="152">
        <f t="shared" si="9"/>
        <v>6.1321839080459757</v>
      </c>
      <c r="W81" s="153">
        <f t="shared" si="10"/>
        <v>0.53091116645505332</v>
      </c>
      <c r="X81" s="200"/>
      <c r="Y81" s="155"/>
      <c r="Z81" s="189">
        <v>0.67</v>
      </c>
      <c r="AA81" s="155"/>
      <c r="AB81" s="155"/>
      <c r="AC81" s="156">
        <v>1.8</v>
      </c>
      <c r="AD81" s="152">
        <f t="shared" si="6"/>
        <v>0.67</v>
      </c>
      <c r="AE81" s="157">
        <f t="shared" si="7"/>
        <v>0</v>
      </c>
      <c r="AF81" s="200"/>
      <c r="AG81" s="155"/>
      <c r="AH81" s="155">
        <v>1</v>
      </c>
      <c r="AI81" s="155"/>
      <c r="AJ81" s="155"/>
      <c r="AK81" s="160">
        <v>20</v>
      </c>
      <c r="AL81" s="161">
        <v>1002</v>
      </c>
      <c r="AM81" s="162">
        <v>1002</v>
      </c>
      <c r="AN81" s="162">
        <v>1000</v>
      </c>
      <c r="AO81" s="162">
        <v>1000</v>
      </c>
      <c r="AP81" s="163">
        <v>1001</v>
      </c>
      <c r="AQ81" s="164">
        <v>2.4275462962963701</v>
      </c>
      <c r="AR81" s="195">
        <v>15.66</v>
      </c>
      <c r="AS81" s="192"/>
    </row>
    <row r="82" spans="1:45" x14ac:dyDescent="0.3">
      <c r="A82" s="207">
        <v>42732</v>
      </c>
      <c r="B82" s="198"/>
      <c r="C82" s="199"/>
      <c r="D82" s="199"/>
      <c r="E82" s="199"/>
      <c r="F82" s="199"/>
      <c r="G82" s="199"/>
      <c r="H82" s="199">
        <v>96.28</v>
      </c>
      <c r="I82" s="199">
        <v>98.2</v>
      </c>
      <c r="J82" s="199">
        <v>97.52</v>
      </c>
      <c r="K82" s="199"/>
      <c r="L82" s="199"/>
      <c r="M82" s="199"/>
      <c r="N82" s="199"/>
      <c r="O82" s="199"/>
      <c r="P82" s="199"/>
      <c r="Q82" s="148">
        <v>94</v>
      </c>
      <c r="R82" s="148">
        <v>99</v>
      </c>
      <c r="S82" s="151">
        <v>81.5</v>
      </c>
      <c r="T82" s="151">
        <v>111.5</v>
      </c>
      <c r="U82" s="155">
        <f t="shared" ref="U82:U105" si="11">AVERAGE(D82:P82)</f>
        <v>97.333333333333329</v>
      </c>
      <c r="V82" s="152">
        <f t="shared" si="9"/>
        <v>6.2154108131119621</v>
      </c>
      <c r="W82" s="153">
        <f t="shared" si="10"/>
        <v>0.79487245657540717</v>
      </c>
      <c r="X82" s="200"/>
      <c r="Y82" s="155"/>
      <c r="Z82" s="189">
        <v>0.99</v>
      </c>
      <c r="AA82" s="155"/>
      <c r="AB82" s="155"/>
      <c r="AC82" s="156">
        <v>1.8</v>
      </c>
      <c r="AD82" s="155">
        <f t="shared" ref="AD82:AD89" si="12">AVERAGE(X82:AB82)</f>
        <v>0.99</v>
      </c>
      <c r="AE82" s="209">
        <f t="shared" ref="AE82:AE89" si="13">STDEVP(X82:AB82)</f>
        <v>0</v>
      </c>
      <c r="AF82" s="200"/>
      <c r="AG82" s="155"/>
      <c r="AH82" s="155">
        <v>-4</v>
      </c>
      <c r="AI82" s="155"/>
      <c r="AJ82" s="155"/>
      <c r="AK82" s="160">
        <v>20</v>
      </c>
      <c r="AL82" s="161">
        <v>1002</v>
      </c>
      <c r="AM82" s="162">
        <v>1002</v>
      </c>
      <c r="AN82" s="162">
        <v>1000</v>
      </c>
      <c r="AO82" s="162">
        <v>1000</v>
      </c>
      <c r="AP82" s="163">
        <v>1001</v>
      </c>
      <c r="AQ82" s="164">
        <v>2.4692129629630402</v>
      </c>
      <c r="AR82" s="195">
        <v>15.66</v>
      </c>
      <c r="AS82" s="192"/>
    </row>
    <row r="83" spans="1:45" x14ac:dyDescent="0.3">
      <c r="A83" s="207">
        <v>42766</v>
      </c>
      <c r="B83" s="198"/>
      <c r="C83" s="199"/>
      <c r="D83" s="199"/>
      <c r="E83" s="199"/>
      <c r="F83" s="199"/>
      <c r="G83" s="199"/>
      <c r="H83" s="199">
        <v>96.56</v>
      </c>
      <c r="I83" s="199">
        <v>100.02</v>
      </c>
      <c r="J83" s="199">
        <v>97.53</v>
      </c>
      <c r="K83" s="199"/>
      <c r="L83" s="199"/>
      <c r="M83" s="199"/>
      <c r="N83" s="199"/>
      <c r="O83" s="199"/>
      <c r="P83" s="199"/>
      <c r="Q83" s="148">
        <v>94</v>
      </c>
      <c r="R83" s="148">
        <v>99</v>
      </c>
      <c r="S83" s="151">
        <v>81.5</v>
      </c>
      <c r="T83" s="151">
        <v>111.5</v>
      </c>
      <c r="U83" s="155">
        <f t="shared" si="11"/>
        <v>98.036666666666676</v>
      </c>
      <c r="V83" s="152">
        <f t="shared" si="9"/>
        <v>6.2603235419327374</v>
      </c>
      <c r="W83" s="153">
        <f t="shared" si="10"/>
        <v>1.4572653232072101</v>
      </c>
      <c r="X83" s="200"/>
      <c r="Y83" s="155"/>
      <c r="Z83" s="189">
        <v>1.76</v>
      </c>
      <c r="AA83" s="155"/>
      <c r="AB83" s="155"/>
      <c r="AC83" s="156">
        <v>1.8</v>
      </c>
      <c r="AD83" s="155">
        <f t="shared" si="12"/>
        <v>1.76</v>
      </c>
      <c r="AE83" s="209">
        <f t="shared" si="13"/>
        <v>0</v>
      </c>
      <c r="AF83" s="200"/>
      <c r="AG83" s="155"/>
      <c r="AH83" s="155">
        <v>-4</v>
      </c>
      <c r="AI83" s="155"/>
      <c r="AJ83" s="155"/>
      <c r="AK83" s="160">
        <v>20</v>
      </c>
      <c r="AL83" s="161">
        <v>1002</v>
      </c>
      <c r="AM83" s="162">
        <v>1002</v>
      </c>
      <c r="AN83" s="162">
        <v>1000</v>
      </c>
      <c r="AO83" s="162">
        <v>1000</v>
      </c>
      <c r="AP83" s="163">
        <v>1001</v>
      </c>
      <c r="AQ83" s="164">
        <v>2.5108796296297098</v>
      </c>
      <c r="AR83" s="195">
        <v>15.66</v>
      </c>
      <c r="AS83" s="192"/>
    </row>
    <row r="84" spans="1:45" x14ac:dyDescent="0.3">
      <c r="A84" s="207">
        <v>42794</v>
      </c>
      <c r="B84" s="198"/>
      <c r="C84" s="199"/>
      <c r="D84" s="199"/>
      <c r="E84" s="199"/>
      <c r="F84" s="199"/>
      <c r="G84" s="199"/>
      <c r="H84" s="199">
        <v>96.49</v>
      </c>
      <c r="I84" s="199">
        <v>99.08</v>
      </c>
      <c r="J84" s="199">
        <v>97.83</v>
      </c>
      <c r="K84" s="199"/>
      <c r="L84" s="199"/>
      <c r="M84" s="199"/>
      <c r="N84" s="199"/>
      <c r="O84" s="199"/>
      <c r="P84" s="199"/>
      <c r="Q84" s="148">
        <v>94</v>
      </c>
      <c r="R84" s="148">
        <v>99</v>
      </c>
      <c r="S84" s="151">
        <v>81.5</v>
      </c>
      <c r="T84" s="151">
        <v>111.5</v>
      </c>
      <c r="U84" s="155">
        <f t="shared" si="11"/>
        <v>97.8</v>
      </c>
      <c r="V84" s="152">
        <f t="shared" si="9"/>
        <v>6.2452107279693481</v>
      </c>
      <c r="W84" s="153">
        <f t="shared" si="10"/>
        <v>1.0575758444039225</v>
      </c>
      <c r="X84" s="200"/>
      <c r="Y84" s="155"/>
      <c r="Z84" s="189">
        <v>1.62</v>
      </c>
      <c r="AA84" s="155"/>
      <c r="AB84" s="155"/>
      <c r="AC84" s="156">
        <v>1.8</v>
      </c>
      <c r="AD84" s="155">
        <f t="shared" si="12"/>
        <v>1.62</v>
      </c>
      <c r="AE84" s="209">
        <f t="shared" si="13"/>
        <v>0</v>
      </c>
      <c r="AF84" s="200"/>
      <c r="AG84" s="155"/>
      <c r="AH84" s="155">
        <v>-7</v>
      </c>
      <c r="AI84" s="155"/>
      <c r="AJ84" s="155"/>
      <c r="AK84" s="160">
        <v>20</v>
      </c>
      <c r="AL84" s="161">
        <v>1002</v>
      </c>
      <c r="AM84" s="162">
        <v>1002</v>
      </c>
      <c r="AN84" s="162">
        <v>1000</v>
      </c>
      <c r="AO84" s="162">
        <v>1000</v>
      </c>
      <c r="AP84" s="163">
        <v>1001</v>
      </c>
      <c r="AQ84" s="164">
        <v>2.5525462962963799</v>
      </c>
      <c r="AR84" s="195">
        <v>15.66</v>
      </c>
      <c r="AS84" s="192"/>
    </row>
    <row r="85" spans="1:45" x14ac:dyDescent="0.3">
      <c r="A85" s="207">
        <v>42815</v>
      </c>
      <c r="B85" s="198"/>
      <c r="C85" s="199"/>
      <c r="D85" s="199"/>
      <c r="E85" s="199"/>
      <c r="F85" s="199"/>
      <c r="G85" s="199"/>
      <c r="H85" s="199">
        <v>96.46</v>
      </c>
      <c r="I85" s="199">
        <v>99.06</v>
      </c>
      <c r="J85" s="199">
        <v>97.53</v>
      </c>
      <c r="K85" s="199"/>
      <c r="L85" s="199"/>
      <c r="M85" s="199"/>
      <c r="N85" s="199"/>
      <c r="O85" s="199"/>
      <c r="P85" s="199"/>
      <c r="Q85" s="148">
        <v>94</v>
      </c>
      <c r="R85" s="148">
        <v>99</v>
      </c>
      <c r="S85" s="151">
        <v>81.5</v>
      </c>
      <c r="T85" s="151">
        <v>111.5</v>
      </c>
      <c r="U85" s="155">
        <f t="shared" si="11"/>
        <v>97.683333333333323</v>
      </c>
      <c r="V85" s="152">
        <f t="shared" si="9"/>
        <v>6.2377607492550018</v>
      </c>
      <c r="W85" s="153">
        <f t="shared" si="10"/>
        <v>1.0669687072366412</v>
      </c>
      <c r="X85" s="200"/>
      <c r="Y85" s="155"/>
      <c r="Z85" s="189">
        <v>1.3</v>
      </c>
      <c r="AA85" s="155"/>
      <c r="AB85" s="155"/>
      <c r="AC85" s="156">
        <v>1.8</v>
      </c>
      <c r="AD85" s="155">
        <f t="shared" si="12"/>
        <v>1.3</v>
      </c>
      <c r="AE85" s="209">
        <f t="shared" si="13"/>
        <v>0</v>
      </c>
      <c r="AF85" s="200"/>
      <c r="AG85" s="155"/>
      <c r="AH85" s="155">
        <v>-11</v>
      </c>
      <c r="AI85" s="155"/>
      <c r="AJ85" s="155"/>
      <c r="AK85" s="160">
        <v>20</v>
      </c>
      <c r="AL85" s="161">
        <v>1002</v>
      </c>
      <c r="AM85" s="162">
        <v>1002</v>
      </c>
      <c r="AN85" s="162">
        <v>1000</v>
      </c>
      <c r="AO85" s="162">
        <v>1000</v>
      </c>
      <c r="AP85" s="163">
        <v>1001</v>
      </c>
      <c r="AQ85" s="164">
        <v>2.5942129629630499</v>
      </c>
      <c r="AR85" s="195">
        <v>15.66</v>
      </c>
      <c r="AS85" s="192"/>
    </row>
    <row r="86" spans="1:45" x14ac:dyDescent="0.3">
      <c r="A86" s="207">
        <v>42823</v>
      </c>
      <c r="B86" s="198"/>
      <c r="C86" s="199"/>
      <c r="D86" s="199"/>
      <c r="E86" s="199"/>
      <c r="F86" s="199"/>
      <c r="G86" s="199"/>
      <c r="H86" s="199">
        <v>96.34</v>
      </c>
      <c r="I86" s="199">
        <v>98.79</v>
      </c>
      <c r="J86" s="199">
        <v>97.42</v>
      </c>
      <c r="K86" s="199"/>
      <c r="L86" s="199"/>
      <c r="M86" s="199"/>
      <c r="N86" s="199"/>
      <c r="O86" s="199"/>
      <c r="P86" s="199"/>
      <c r="Q86" s="148">
        <v>94</v>
      </c>
      <c r="R86" s="148">
        <v>99</v>
      </c>
      <c r="S86" s="151">
        <v>81.5</v>
      </c>
      <c r="T86" s="151">
        <v>111.5</v>
      </c>
      <c r="U86" s="155">
        <f t="shared" si="11"/>
        <v>97.516666666666666</v>
      </c>
      <c r="V86" s="152">
        <f t="shared" si="9"/>
        <v>6.2271179225202209</v>
      </c>
      <c r="W86" s="153">
        <f t="shared" si="10"/>
        <v>1.0025412155561941</v>
      </c>
      <c r="X86" s="200"/>
      <c r="Y86" s="155"/>
      <c r="Z86" s="189">
        <v>1.25</v>
      </c>
      <c r="AA86" s="155"/>
      <c r="AB86" s="155"/>
      <c r="AC86" s="156">
        <v>1.8</v>
      </c>
      <c r="AD86" s="155">
        <f t="shared" si="12"/>
        <v>1.25</v>
      </c>
      <c r="AE86" s="209">
        <f t="shared" si="13"/>
        <v>0</v>
      </c>
      <c r="AF86" s="200"/>
      <c r="AG86" s="155"/>
      <c r="AH86" s="155">
        <v>-5</v>
      </c>
      <c r="AI86" s="155"/>
      <c r="AJ86" s="155"/>
      <c r="AK86" s="160">
        <v>20</v>
      </c>
      <c r="AL86" s="161">
        <v>1002</v>
      </c>
      <c r="AM86" s="162">
        <v>1002</v>
      </c>
      <c r="AN86" s="162">
        <v>1000</v>
      </c>
      <c r="AO86" s="162">
        <v>1000</v>
      </c>
      <c r="AP86" s="163">
        <v>1001</v>
      </c>
      <c r="AQ86" s="164">
        <v>2.63587962962972</v>
      </c>
      <c r="AR86" s="195">
        <v>15.66</v>
      </c>
      <c r="AS86" s="192"/>
    </row>
    <row r="87" spans="1:45" s="212" customFormat="1" x14ac:dyDescent="0.3">
      <c r="A87" s="207">
        <v>42832</v>
      </c>
      <c r="B87" s="198"/>
      <c r="C87" s="199"/>
      <c r="D87" s="199"/>
      <c r="E87" s="199"/>
      <c r="F87" s="199"/>
      <c r="G87" s="199"/>
      <c r="H87" s="199">
        <v>96.03</v>
      </c>
      <c r="I87" s="199">
        <v>97.02</v>
      </c>
      <c r="J87" s="199">
        <v>96.39</v>
      </c>
      <c r="K87" s="199"/>
      <c r="L87" s="199"/>
      <c r="M87" s="199"/>
      <c r="N87" s="199"/>
      <c r="O87" s="199"/>
      <c r="P87" s="199"/>
      <c r="Q87" s="148">
        <v>94</v>
      </c>
      <c r="R87" s="148">
        <v>99</v>
      </c>
      <c r="S87" s="151">
        <v>81.5</v>
      </c>
      <c r="T87" s="151">
        <v>111.5</v>
      </c>
      <c r="U87" s="155">
        <f t="shared" si="11"/>
        <v>96.48</v>
      </c>
      <c r="V87" s="155"/>
      <c r="W87" s="209">
        <f t="shared" si="10"/>
        <v>0.40914545090957349</v>
      </c>
      <c r="X87" s="200"/>
      <c r="Y87" s="155"/>
      <c r="Z87" s="189">
        <v>0.51</v>
      </c>
      <c r="AA87" s="155"/>
      <c r="AB87" s="155"/>
      <c r="AC87" s="156">
        <v>1.8</v>
      </c>
      <c r="AD87" s="155">
        <f t="shared" si="12"/>
        <v>0.51</v>
      </c>
      <c r="AE87" s="209">
        <f t="shared" si="13"/>
        <v>0</v>
      </c>
      <c r="AF87" s="200"/>
      <c r="AG87" s="155"/>
      <c r="AH87" s="155">
        <v>-9</v>
      </c>
      <c r="AI87" s="155"/>
      <c r="AJ87" s="155"/>
      <c r="AK87" s="160">
        <v>20</v>
      </c>
      <c r="AL87" s="161">
        <v>1002</v>
      </c>
      <c r="AM87" s="162">
        <v>1002</v>
      </c>
      <c r="AN87" s="162">
        <v>1000</v>
      </c>
      <c r="AO87" s="162">
        <v>1000</v>
      </c>
      <c r="AP87" s="163">
        <v>1001</v>
      </c>
      <c r="AQ87" s="210"/>
      <c r="AR87" s="211"/>
      <c r="AS87" s="192"/>
    </row>
    <row r="88" spans="1:45" s="212" customFormat="1" x14ac:dyDescent="0.3">
      <c r="A88" s="207">
        <v>42844</v>
      </c>
      <c r="B88" s="198"/>
      <c r="C88" s="199"/>
      <c r="D88" s="199"/>
      <c r="E88" s="199"/>
      <c r="F88" s="199"/>
      <c r="G88" s="199"/>
      <c r="H88" s="199">
        <v>96.31</v>
      </c>
      <c r="I88" s="199">
        <v>99.89</v>
      </c>
      <c r="J88" s="199">
        <v>97.36</v>
      </c>
      <c r="K88" s="199"/>
      <c r="L88" s="199"/>
      <c r="M88" s="199"/>
      <c r="N88" s="199"/>
      <c r="O88" s="199"/>
      <c r="P88" s="199"/>
      <c r="Q88" s="148">
        <v>94</v>
      </c>
      <c r="R88" s="148">
        <v>99</v>
      </c>
      <c r="S88" s="151">
        <v>81.5</v>
      </c>
      <c r="T88" s="151">
        <v>111.5</v>
      </c>
      <c r="U88" s="155">
        <f t="shared" si="11"/>
        <v>97.853333333333339</v>
      </c>
      <c r="V88" s="155"/>
      <c r="W88" s="209">
        <f t="shared" si="10"/>
        <v>1.5025829612888448</v>
      </c>
      <c r="X88" s="200"/>
      <c r="Y88" s="155"/>
      <c r="Z88" s="189">
        <v>1.82</v>
      </c>
      <c r="AA88" s="155"/>
      <c r="AB88" s="155"/>
      <c r="AC88" s="156">
        <v>1.8</v>
      </c>
      <c r="AD88" s="155">
        <f t="shared" si="12"/>
        <v>1.82</v>
      </c>
      <c r="AE88" s="209">
        <f t="shared" si="13"/>
        <v>0</v>
      </c>
      <c r="AF88" s="200"/>
      <c r="AG88" s="155"/>
      <c r="AH88" s="155">
        <v>-7</v>
      </c>
      <c r="AI88" s="155"/>
      <c r="AJ88" s="155"/>
      <c r="AK88" s="160">
        <v>20</v>
      </c>
      <c r="AL88" s="161">
        <v>1002</v>
      </c>
      <c r="AM88" s="162">
        <v>1002</v>
      </c>
      <c r="AN88" s="162">
        <v>1000</v>
      </c>
      <c r="AO88" s="162">
        <v>1000</v>
      </c>
      <c r="AP88" s="163">
        <v>1001</v>
      </c>
      <c r="AQ88" s="210"/>
      <c r="AR88" s="211"/>
      <c r="AS88" s="192"/>
    </row>
    <row r="89" spans="1:45" s="212" customFormat="1" x14ac:dyDescent="0.3">
      <c r="A89" s="207">
        <v>42847</v>
      </c>
      <c r="B89" s="198"/>
      <c r="C89" s="199"/>
      <c r="D89" s="199"/>
      <c r="E89" s="199"/>
      <c r="F89" s="199"/>
      <c r="G89" s="199"/>
      <c r="H89" s="199">
        <v>95.77</v>
      </c>
      <c r="I89" s="199">
        <v>96.73</v>
      </c>
      <c r="J89" s="199">
        <v>96.13</v>
      </c>
      <c r="K89" s="199"/>
      <c r="L89" s="199"/>
      <c r="M89" s="199"/>
      <c r="N89" s="199"/>
      <c r="O89" s="199"/>
      <c r="P89" s="199"/>
      <c r="Q89" s="148">
        <v>94</v>
      </c>
      <c r="R89" s="148">
        <v>99</v>
      </c>
      <c r="S89" s="151">
        <v>81.5</v>
      </c>
      <c r="T89" s="151">
        <v>111.5</v>
      </c>
      <c r="U89" s="155">
        <f t="shared" si="11"/>
        <v>96.21</v>
      </c>
      <c r="V89" s="155"/>
      <c r="W89" s="209">
        <f t="shared" si="10"/>
        <v>0.39597979746447015</v>
      </c>
      <c r="X89" s="200"/>
      <c r="Y89" s="155"/>
      <c r="Z89" s="189">
        <v>0.49</v>
      </c>
      <c r="AA89" s="155"/>
      <c r="AB89" s="155">
        <v>-10</v>
      </c>
      <c r="AC89" s="156">
        <v>1.8</v>
      </c>
      <c r="AD89" s="155">
        <f t="shared" si="12"/>
        <v>-4.7549999999999999</v>
      </c>
      <c r="AE89" s="209">
        <f t="shared" si="13"/>
        <v>5.2450000000000001</v>
      </c>
      <c r="AF89" s="200"/>
      <c r="AG89" s="155"/>
      <c r="AH89" s="155">
        <v>-4</v>
      </c>
      <c r="AI89" s="155"/>
      <c r="AJ89" s="155"/>
      <c r="AK89" s="160">
        <v>20</v>
      </c>
      <c r="AL89" s="161">
        <v>1002</v>
      </c>
      <c r="AM89" s="162">
        <v>1002</v>
      </c>
      <c r="AN89" s="162">
        <v>1000</v>
      </c>
      <c r="AO89" s="162">
        <v>1000</v>
      </c>
      <c r="AP89" s="163">
        <v>1001</v>
      </c>
      <c r="AQ89" s="210"/>
      <c r="AR89" s="211"/>
      <c r="AS89" s="192"/>
    </row>
    <row r="90" spans="1:45" s="212" customFormat="1" x14ac:dyDescent="0.3">
      <c r="A90" s="207">
        <v>42870</v>
      </c>
      <c r="B90" s="198"/>
      <c r="C90" s="199"/>
      <c r="D90" s="199"/>
      <c r="E90" s="199"/>
      <c r="F90" s="199"/>
      <c r="G90" s="199"/>
      <c r="H90" s="199">
        <v>96.16</v>
      </c>
      <c r="I90" s="199">
        <v>97.72</v>
      </c>
      <c r="J90" s="199">
        <v>97.16</v>
      </c>
      <c r="K90" s="199"/>
      <c r="L90" s="199"/>
      <c r="M90" s="199"/>
      <c r="N90" s="199"/>
      <c r="O90" s="199"/>
      <c r="P90" s="199"/>
      <c r="Q90" s="148">
        <v>94</v>
      </c>
      <c r="R90" s="148">
        <v>99</v>
      </c>
      <c r="S90" s="151">
        <v>81.5</v>
      </c>
      <c r="T90" s="151">
        <v>111.5</v>
      </c>
      <c r="U90" s="155">
        <f t="shared" si="11"/>
        <v>97.013333333333321</v>
      </c>
      <c r="V90" s="155"/>
      <c r="W90" s="209">
        <f t="shared" si="10"/>
        <v>0.64525619373668675</v>
      </c>
      <c r="X90" s="200"/>
      <c r="Y90" s="155"/>
      <c r="Z90" s="189">
        <v>0.8</v>
      </c>
      <c r="AA90" s="155"/>
      <c r="AB90" s="155"/>
      <c r="AC90" s="156">
        <v>1.8</v>
      </c>
      <c r="AD90" s="155"/>
      <c r="AE90" s="209"/>
      <c r="AF90" s="200"/>
      <c r="AG90" s="155"/>
      <c r="AH90" s="155">
        <v>-3</v>
      </c>
      <c r="AI90" s="155"/>
      <c r="AJ90" s="155"/>
      <c r="AK90" s="160">
        <v>20</v>
      </c>
      <c r="AL90" s="161">
        <v>1002</v>
      </c>
      <c r="AM90" s="162">
        <v>1002</v>
      </c>
      <c r="AN90" s="162">
        <v>1000</v>
      </c>
      <c r="AO90" s="162">
        <v>1000</v>
      </c>
      <c r="AP90" s="163">
        <v>1001</v>
      </c>
      <c r="AQ90" s="210"/>
      <c r="AR90" s="211"/>
      <c r="AS90" s="192"/>
    </row>
    <row r="91" spans="1:45" s="212" customFormat="1" x14ac:dyDescent="0.3">
      <c r="A91" s="207">
        <v>42891</v>
      </c>
      <c r="B91" s="198"/>
      <c r="C91" s="199"/>
      <c r="D91" s="199"/>
      <c r="E91" s="199"/>
      <c r="F91" s="199"/>
      <c r="G91" s="199"/>
      <c r="H91" s="199">
        <v>96.27</v>
      </c>
      <c r="I91" s="199">
        <v>98.17</v>
      </c>
      <c r="J91" s="199">
        <v>97.16</v>
      </c>
      <c r="K91" s="199"/>
      <c r="L91" s="199"/>
      <c r="M91" s="199"/>
      <c r="N91" s="199"/>
      <c r="O91" s="199"/>
      <c r="P91" s="199"/>
      <c r="Q91" s="148">
        <v>94</v>
      </c>
      <c r="R91" s="148">
        <v>99</v>
      </c>
      <c r="S91" s="151">
        <v>81.5</v>
      </c>
      <c r="T91" s="151">
        <v>111.5</v>
      </c>
      <c r="U91" s="155">
        <f t="shared" si="11"/>
        <v>97.2</v>
      </c>
      <c r="V91" s="155"/>
      <c r="W91" s="209">
        <f t="shared" si="10"/>
        <v>0.77618726262846538</v>
      </c>
      <c r="X91" s="200"/>
      <c r="Y91" s="155"/>
      <c r="Z91" s="189">
        <v>0.97</v>
      </c>
      <c r="AA91" s="155"/>
      <c r="AB91" s="155"/>
      <c r="AC91" s="156">
        <v>1.8</v>
      </c>
      <c r="AD91" s="155"/>
      <c r="AE91" s="209"/>
      <c r="AF91" s="200"/>
      <c r="AG91" s="155"/>
      <c r="AH91" s="155">
        <v>-3</v>
      </c>
      <c r="AI91" s="155"/>
      <c r="AJ91" s="155"/>
      <c r="AK91" s="160">
        <v>20</v>
      </c>
      <c r="AL91" s="161">
        <v>1002</v>
      </c>
      <c r="AM91" s="162">
        <v>1002</v>
      </c>
      <c r="AN91" s="162">
        <v>1000</v>
      </c>
      <c r="AO91" s="162">
        <v>1000</v>
      </c>
      <c r="AP91" s="163">
        <v>1001</v>
      </c>
      <c r="AQ91" s="210"/>
      <c r="AR91" s="211"/>
      <c r="AS91" s="192"/>
    </row>
    <row r="92" spans="1:45" s="212" customFormat="1" x14ac:dyDescent="0.3">
      <c r="A92" s="207">
        <v>42905</v>
      </c>
      <c r="B92" s="198"/>
      <c r="C92" s="199"/>
      <c r="D92" s="199"/>
      <c r="E92" s="199"/>
      <c r="F92" s="199"/>
      <c r="G92" s="199"/>
      <c r="H92" s="199">
        <v>96.23</v>
      </c>
      <c r="I92" s="199">
        <v>98.43</v>
      </c>
      <c r="J92" s="199">
        <v>97.1</v>
      </c>
      <c r="K92" s="199"/>
      <c r="L92" s="199"/>
      <c r="M92" s="199"/>
      <c r="N92" s="199"/>
      <c r="O92" s="199"/>
      <c r="P92" s="199"/>
      <c r="Q92" s="148">
        <v>94</v>
      </c>
      <c r="R92" s="148">
        <v>99</v>
      </c>
      <c r="S92" s="151">
        <v>81.5</v>
      </c>
      <c r="T92" s="151">
        <v>111.5</v>
      </c>
      <c r="U92" s="155">
        <f t="shared" si="11"/>
        <v>97.25333333333333</v>
      </c>
      <c r="V92" s="155"/>
      <c r="W92" s="209">
        <f t="shared" si="10"/>
        <v>0.90466691230652696</v>
      </c>
      <c r="X92" s="200"/>
      <c r="Y92" s="155"/>
      <c r="Z92" s="189">
        <v>1.32</v>
      </c>
      <c r="AA92" s="155"/>
      <c r="AB92" s="155"/>
      <c r="AC92" s="156">
        <v>1.8</v>
      </c>
      <c r="AD92" s="155"/>
      <c r="AE92" s="209"/>
      <c r="AF92" s="200"/>
      <c r="AG92" s="155"/>
      <c r="AH92" s="155">
        <v>-8</v>
      </c>
      <c r="AI92" s="155"/>
      <c r="AJ92" s="155"/>
      <c r="AK92" s="160">
        <v>20</v>
      </c>
      <c r="AL92" s="161">
        <v>1002</v>
      </c>
      <c r="AM92" s="162">
        <v>1002</v>
      </c>
      <c r="AN92" s="162">
        <v>1000</v>
      </c>
      <c r="AO92" s="162">
        <v>1000</v>
      </c>
      <c r="AP92" s="163">
        <v>1001</v>
      </c>
      <c r="AQ92" s="210"/>
      <c r="AR92" s="211"/>
      <c r="AS92" s="192"/>
    </row>
    <row r="93" spans="1:45" s="212" customFormat="1" x14ac:dyDescent="0.3">
      <c r="A93" s="207">
        <v>42916</v>
      </c>
      <c r="B93" s="198"/>
      <c r="C93" s="199"/>
      <c r="D93" s="199"/>
      <c r="E93" s="199"/>
      <c r="F93" s="199"/>
      <c r="G93" s="199"/>
      <c r="H93" s="199">
        <v>95.35</v>
      </c>
      <c r="I93" s="199">
        <v>96.36</v>
      </c>
      <c r="J93" s="199">
        <v>95.79</v>
      </c>
      <c r="K93" s="199"/>
      <c r="L93" s="199"/>
      <c r="M93" s="199"/>
      <c r="N93" s="199"/>
      <c r="O93" s="199"/>
      <c r="P93" s="199"/>
      <c r="Q93" s="148">
        <v>94</v>
      </c>
      <c r="R93" s="148">
        <v>99</v>
      </c>
      <c r="S93" s="151">
        <v>81.5</v>
      </c>
      <c r="T93" s="151">
        <v>111.5</v>
      </c>
      <c r="U93" s="155">
        <f t="shared" si="11"/>
        <v>95.833333333333329</v>
      </c>
      <c r="V93" s="155"/>
      <c r="W93" s="209">
        <f t="shared" si="10"/>
        <v>0.41346772008895327</v>
      </c>
      <c r="X93" s="200"/>
      <c r="Y93" s="155"/>
      <c r="Z93" s="189">
        <v>0.52</v>
      </c>
      <c r="AA93" s="155"/>
      <c r="AB93" s="155"/>
      <c r="AC93" s="156">
        <v>1.8</v>
      </c>
      <c r="AD93" s="155"/>
      <c r="AE93" s="209"/>
      <c r="AF93" s="200"/>
      <c r="AG93" s="155"/>
      <c r="AH93" s="155">
        <v>-6</v>
      </c>
      <c r="AI93" s="155"/>
      <c r="AJ93" s="155"/>
      <c r="AK93" s="160">
        <v>20</v>
      </c>
      <c r="AL93" s="161">
        <v>1002</v>
      </c>
      <c r="AM93" s="162">
        <v>1002</v>
      </c>
      <c r="AN93" s="162">
        <v>1000</v>
      </c>
      <c r="AO93" s="162">
        <v>1000</v>
      </c>
      <c r="AP93" s="163">
        <v>1001</v>
      </c>
      <c r="AQ93" s="210"/>
      <c r="AR93" s="211"/>
      <c r="AS93" s="192"/>
    </row>
    <row r="94" spans="1:45" s="212" customFormat="1" x14ac:dyDescent="0.3">
      <c r="A94" s="207">
        <v>42933</v>
      </c>
      <c r="B94" s="198"/>
      <c r="C94" s="199"/>
      <c r="D94" s="199"/>
      <c r="E94" s="199"/>
      <c r="F94" s="199"/>
      <c r="G94" s="199"/>
      <c r="H94" s="199">
        <v>95.95</v>
      </c>
      <c r="I94" s="199">
        <v>97.21</v>
      </c>
      <c r="J94" s="199">
        <v>96.74</v>
      </c>
      <c r="K94" s="199"/>
      <c r="L94" s="199"/>
      <c r="M94" s="199"/>
      <c r="N94" s="199"/>
      <c r="O94" s="199"/>
      <c r="P94" s="199"/>
      <c r="Q94" s="148">
        <v>94</v>
      </c>
      <c r="R94" s="148">
        <v>99</v>
      </c>
      <c r="S94" s="151">
        <v>81.5</v>
      </c>
      <c r="T94" s="151">
        <v>111.5</v>
      </c>
      <c r="U94" s="155">
        <f t="shared" si="11"/>
        <v>96.633333333333326</v>
      </c>
      <c r="V94" s="155"/>
      <c r="W94" s="209">
        <f t="shared" si="10"/>
        <v>0.5198931514156393</v>
      </c>
      <c r="X94" s="200"/>
      <c r="Y94" s="155"/>
      <c r="Z94" s="189">
        <v>0.65</v>
      </c>
      <c r="AA94" s="155"/>
      <c r="AB94" s="155"/>
      <c r="AC94" s="156">
        <v>1.8</v>
      </c>
      <c r="AD94" s="155"/>
      <c r="AE94" s="209"/>
      <c r="AF94" s="200"/>
      <c r="AG94" s="155"/>
      <c r="AH94" s="155">
        <v>-12</v>
      </c>
      <c r="AI94" s="155"/>
      <c r="AJ94" s="155"/>
      <c r="AK94" s="160">
        <v>20</v>
      </c>
      <c r="AL94" s="161">
        <v>1002</v>
      </c>
      <c r="AM94" s="162">
        <v>1002</v>
      </c>
      <c r="AN94" s="162">
        <v>1000</v>
      </c>
      <c r="AO94" s="162">
        <v>1000</v>
      </c>
      <c r="AP94" s="163">
        <v>1001</v>
      </c>
      <c r="AQ94" s="210"/>
      <c r="AR94" s="211"/>
      <c r="AS94" s="192"/>
    </row>
    <row r="95" spans="1:45" s="212" customFormat="1" x14ac:dyDescent="0.3">
      <c r="A95" s="207">
        <v>42943</v>
      </c>
      <c r="B95" s="198"/>
      <c r="C95" s="199"/>
      <c r="D95" s="199"/>
      <c r="E95" s="199"/>
      <c r="F95" s="199"/>
      <c r="G95" s="199"/>
      <c r="H95" s="199">
        <v>96.13</v>
      </c>
      <c r="I95" s="199">
        <v>97.6</v>
      </c>
      <c r="J95" s="199">
        <v>96.85</v>
      </c>
      <c r="K95" s="199"/>
      <c r="L95" s="199"/>
      <c r="M95" s="199"/>
      <c r="N95" s="199"/>
      <c r="O95" s="199"/>
      <c r="P95" s="199"/>
      <c r="Q95" s="148">
        <v>94</v>
      </c>
      <c r="R95" s="148">
        <v>99</v>
      </c>
      <c r="S95" s="151">
        <v>81.5</v>
      </c>
      <c r="T95" s="151">
        <v>111.5</v>
      </c>
      <c r="U95" s="155">
        <f t="shared" si="11"/>
        <v>96.86</v>
      </c>
      <c r="V95" s="155"/>
      <c r="W95" s="209">
        <f t="shared" si="10"/>
        <v>0.60016664352494586</v>
      </c>
      <c r="X95" s="200"/>
      <c r="Y95" s="155"/>
      <c r="Z95" s="189">
        <v>0.76</v>
      </c>
      <c r="AA95" s="155"/>
      <c r="AB95" s="155"/>
      <c r="AC95" s="156">
        <v>1.8</v>
      </c>
      <c r="AD95" s="155"/>
      <c r="AE95" s="209"/>
      <c r="AF95" s="200"/>
      <c r="AG95" s="155"/>
      <c r="AH95" s="155">
        <v>0</v>
      </c>
      <c r="AI95" s="155"/>
      <c r="AJ95" s="155"/>
      <c r="AK95" s="160">
        <v>20</v>
      </c>
      <c r="AL95" s="161">
        <v>1002</v>
      </c>
      <c r="AM95" s="162">
        <v>1002</v>
      </c>
      <c r="AN95" s="162">
        <v>1000</v>
      </c>
      <c r="AO95" s="162">
        <v>1000</v>
      </c>
      <c r="AP95" s="163">
        <v>1001</v>
      </c>
      <c r="AQ95" s="210"/>
      <c r="AR95" s="211"/>
      <c r="AS95" s="192"/>
    </row>
    <row r="96" spans="1:45" s="212" customFormat="1" x14ac:dyDescent="0.3">
      <c r="A96" s="207">
        <v>42954</v>
      </c>
      <c r="B96" s="198"/>
      <c r="C96" s="199"/>
      <c r="D96" s="199"/>
      <c r="E96" s="199"/>
      <c r="F96" s="199"/>
      <c r="G96" s="199"/>
      <c r="H96" s="199">
        <v>95.85</v>
      </c>
      <c r="I96" s="199">
        <v>98</v>
      </c>
      <c r="J96" s="199">
        <v>96.74</v>
      </c>
      <c r="K96" s="199"/>
      <c r="L96" s="199"/>
      <c r="M96" s="199"/>
      <c r="N96" s="199"/>
      <c r="O96" s="199"/>
      <c r="P96" s="199"/>
      <c r="Q96" s="148">
        <v>94</v>
      </c>
      <c r="R96" s="148">
        <v>99</v>
      </c>
      <c r="S96" s="151">
        <v>81.5</v>
      </c>
      <c r="T96" s="151">
        <v>111.5</v>
      </c>
      <c r="U96" s="155">
        <f t="shared" si="11"/>
        <v>96.86333333333333</v>
      </c>
      <c r="V96" s="155"/>
      <c r="W96" s="209">
        <f t="shared" si="10"/>
        <v>0.88205567977437027</v>
      </c>
      <c r="X96" s="200"/>
      <c r="Y96" s="155"/>
      <c r="Z96" s="189">
        <v>1.1100000000000001</v>
      </c>
      <c r="AA96" s="155"/>
      <c r="AB96" s="155"/>
      <c r="AC96" s="156">
        <v>1.8</v>
      </c>
      <c r="AD96" s="155"/>
      <c r="AE96" s="209"/>
      <c r="AF96" s="200"/>
      <c r="AG96" s="155"/>
      <c r="AH96" s="155">
        <v>-20</v>
      </c>
      <c r="AI96" s="155"/>
      <c r="AJ96" s="155"/>
      <c r="AK96" s="160">
        <v>20</v>
      </c>
      <c r="AL96" s="161">
        <v>1002</v>
      </c>
      <c r="AM96" s="162">
        <v>1002</v>
      </c>
      <c r="AN96" s="162">
        <v>1000</v>
      </c>
      <c r="AO96" s="162">
        <v>1000</v>
      </c>
      <c r="AP96" s="163">
        <v>1001</v>
      </c>
      <c r="AQ96" s="210"/>
      <c r="AR96" s="211"/>
      <c r="AS96" s="192"/>
    </row>
    <row r="97" spans="1:45" s="212" customFormat="1" x14ac:dyDescent="0.3">
      <c r="A97" s="207">
        <v>42961</v>
      </c>
      <c r="B97" s="198"/>
      <c r="C97" s="199"/>
      <c r="D97" s="199"/>
      <c r="E97" s="199"/>
      <c r="F97" s="199"/>
      <c r="G97" s="199"/>
      <c r="H97" s="199">
        <v>96.17</v>
      </c>
      <c r="I97" s="199">
        <v>99.06</v>
      </c>
      <c r="J97" s="199">
        <v>97.04</v>
      </c>
      <c r="K97" s="199"/>
      <c r="L97" s="199"/>
      <c r="M97" s="199"/>
      <c r="N97" s="199"/>
      <c r="O97" s="199"/>
      <c r="P97" s="199"/>
      <c r="Q97" s="148">
        <v>94</v>
      </c>
      <c r="R97" s="148">
        <v>99</v>
      </c>
      <c r="S97" s="151">
        <v>81.5</v>
      </c>
      <c r="T97" s="151">
        <v>111.5</v>
      </c>
      <c r="U97" s="155">
        <f t="shared" si="11"/>
        <v>97.423333333333346</v>
      </c>
      <c r="V97" s="155"/>
      <c r="W97" s="209">
        <f t="shared" si="10"/>
        <v>1.2105737849833393</v>
      </c>
      <c r="X97" s="200"/>
      <c r="Y97" s="155"/>
      <c r="Z97" s="189">
        <v>1.47</v>
      </c>
      <c r="AA97" s="155"/>
      <c r="AB97" s="155"/>
      <c r="AC97" s="156">
        <v>1.8</v>
      </c>
      <c r="AD97" s="155"/>
      <c r="AE97" s="209"/>
      <c r="AF97" s="200"/>
      <c r="AG97" s="155"/>
      <c r="AH97" s="155">
        <v>-11</v>
      </c>
      <c r="AI97" s="155"/>
      <c r="AJ97" s="155"/>
      <c r="AK97" s="160">
        <v>20</v>
      </c>
      <c r="AL97" s="161">
        <v>1002</v>
      </c>
      <c r="AM97" s="162">
        <v>1002</v>
      </c>
      <c r="AN97" s="162">
        <v>1000</v>
      </c>
      <c r="AO97" s="162">
        <v>1000</v>
      </c>
      <c r="AP97" s="163">
        <v>1001</v>
      </c>
      <c r="AQ97" s="210"/>
      <c r="AR97" s="211"/>
      <c r="AS97" s="192"/>
    </row>
    <row r="98" spans="1:45" s="212" customFormat="1" x14ac:dyDescent="0.3">
      <c r="A98" s="207">
        <v>42975</v>
      </c>
      <c r="B98" s="198"/>
      <c r="C98" s="199"/>
      <c r="D98" s="199"/>
      <c r="E98" s="199"/>
      <c r="F98" s="199"/>
      <c r="G98" s="199"/>
      <c r="H98" s="199">
        <v>96.24</v>
      </c>
      <c r="I98" s="199">
        <v>97.61</v>
      </c>
      <c r="J98" s="199">
        <v>96.89</v>
      </c>
      <c r="K98" s="199"/>
      <c r="L98" s="199"/>
      <c r="M98" s="199"/>
      <c r="N98" s="199"/>
      <c r="O98" s="199"/>
      <c r="P98" s="199"/>
      <c r="Q98" s="148">
        <v>94</v>
      </c>
      <c r="R98" s="148">
        <v>99</v>
      </c>
      <c r="S98" s="151">
        <v>81.5</v>
      </c>
      <c r="T98" s="151">
        <v>111.5</v>
      </c>
      <c r="U98" s="155">
        <f t="shared" si="11"/>
        <v>96.913333333333341</v>
      </c>
      <c r="V98" s="155"/>
      <c r="W98" s="209">
        <f t="shared" si="10"/>
        <v>0.55954346470036709</v>
      </c>
      <c r="X98" s="200"/>
      <c r="Y98" s="155"/>
      <c r="Z98" s="189">
        <v>0.7</v>
      </c>
      <c r="AA98" s="155"/>
      <c r="AB98" s="155"/>
      <c r="AC98" s="156">
        <v>1.8</v>
      </c>
      <c r="AD98" s="155"/>
      <c r="AE98" s="209"/>
      <c r="AF98" s="200"/>
      <c r="AG98" s="155"/>
      <c r="AH98" s="155">
        <v>5</v>
      </c>
      <c r="AI98" s="155"/>
      <c r="AJ98" s="155"/>
      <c r="AK98" s="160">
        <v>20</v>
      </c>
      <c r="AL98" s="161">
        <v>1002</v>
      </c>
      <c r="AM98" s="162">
        <v>1002</v>
      </c>
      <c r="AN98" s="162">
        <v>1000</v>
      </c>
      <c r="AO98" s="162">
        <v>1000</v>
      </c>
      <c r="AP98" s="163">
        <v>1001</v>
      </c>
      <c r="AQ98" s="210"/>
      <c r="AR98" s="211"/>
      <c r="AS98" s="192"/>
    </row>
    <row r="99" spans="1:45" s="212" customFormat="1" x14ac:dyDescent="0.3">
      <c r="A99" s="207">
        <v>42995</v>
      </c>
      <c r="B99" s="198"/>
      <c r="C99" s="199"/>
      <c r="D99" s="199"/>
      <c r="E99" s="199"/>
      <c r="F99" s="199"/>
      <c r="G99" s="199"/>
      <c r="H99" s="199">
        <v>95.65</v>
      </c>
      <c r="I99" s="199">
        <v>96.52</v>
      </c>
      <c r="J99" s="199">
        <v>96.06</v>
      </c>
      <c r="K99" s="199"/>
      <c r="L99" s="199"/>
      <c r="M99" s="199"/>
      <c r="N99" s="199"/>
      <c r="O99" s="199"/>
      <c r="P99" s="199"/>
      <c r="Q99" s="148">
        <v>94</v>
      </c>
      <c r="R99" s="148">
        <v>99</v>
      </c>
      <c r="S99" s="151">
        <v>81.5</v>
      </c>
      <c r="T99" s="151">
        <v>111.5</v>
      </c>
      <c r="U99" s="155">
        <f t="shared" si="11"/>
        <v>96.076666666666668</v>
      </c>
      <c r="V99" s="155"/>
      <c r="W99" s="209">
        <f t="shared" si="10"/>
        <v>0.35537148012873249</v>
      </c>
      <c r="X99" s="200"/>
      <c r="Y99" s="155"/>
      <c r="Z99" s="189">
        <v>0.45</v>
      </c>
      <c r="AA99" s="155"/>
      <c r="AB99" s="155"/>
      <c r="AC99" s="156">
        <v>1.8</v>
      </c>
      <c r="AD99" s="155"/>
      <c r="AE99" s="209"/>
      <c r="AF99" s="200"/>
      <c r="AG99" s="155"/>
      <c r="AH99" s="155">
        <v>-7</v>
      </c>
      <c r="AI99" s="155"/>
      <c r="AJ99" s="155"/>
      <c r="AK99" s="160">
        <v>20</v>
      </c>
      <c r="AL99" s="161">
        <v>1002</v>
      </c>
      <c r="AM99" s="162">
        <v>1002</v>
      </c>
      <c r="AN99" s="162">
        <v>1000</v>
      </c>
      <c r="AO99" s="162">
        <v>1000</v>
      </c>
      <c r="AP99" s="163">
        <v>1001</v>
      </c>
      <c r="AQ99" s="210"/>
      <c r="AR99" s="211"/>
      <c r="AS99" s="192"/>
    </row>
    <row r="100" spans="1:45" s="212" customFormat="1" x14ac:dyDescent="0.3">
      <c r="A100" s="207">
        <v>43002</v>
      </c>
      <c r="B100" s="198"/>
      <c r="C100" s="199"/>
      <c r="D100" s="199"/>
      <c r="E100" s="199"/>
      <c r="F100" s="199"/>
      <c r="G100" s="199"/>
      <c r="H100" s="199">
        <v>95.75</v>
      </c>
      <c r="I100" s="199">
        <v>96.81</v>
      </c>
      <c r="J100" s="199">
        <v>96.08</v>
      </c>
      <c r="K100" s="199"/>
      <c r="L100" s="199"/>
      <c r="M100" s="199"/>
      <c r="N100" s="199"/>
      <c r="O100" s="199"/>
      <c r="P100" s="199"/>
      <c r="Q100" s="148">
        <v>94</v>
      </c>
      <c r="R100" s="148">
        <v>99</v>
      </c>
      <c r="S100" s="151">
        <v>81.5</v>
      </c>
      <c r="T100" s="151">
        <v>111.5</v>
      </c>
      <c r="U100" s="155">
        <f t="shared" si="11"/>
        <v>96.213333333333324</v>
      </c>
      <c r="V100" s="155"/>
      <c r="W100" s="209">
        <f t="shared" si="10"/>
        <v>0.44289451967207338</v>
      </c>
      <c r="X100" s="200"/>
      <c r="Y100" s="155"/>
      <c r="Z100" s="189">
        <v>0.55000000000000004</v>
      </c>
      <c r="AA100" s="155"/>
      <c r="AB100" s="155"/>
      <c r="AC100" s="156">
        <v>1.8</v>
      </c>
      <c r="AD100" s="155"/>
      <c r="AE100" s="209"/>
      <c r="AF100" s="200"/>
      <c r="AG100" s="155"/>
      <c r="AH100" s="155">
        <v>-20</v>
      </c>
      <c r="AI100" s="155"/>
      <c r="AJ100" s="155"/>
      <c r="AK100" s="160">
        <v>20</v>
      </c>
      <c r="AL100" s="161">
        <v>1002</v>
      </c>
      <c r="AM100" s="162">
        <v>1002</v>
      </c>
      <c r="AN100" s="162">
        <v>1000</v>
      </c>
      <c r="AO100" s="162">
        <v>1000</v>
      </c>
      <c r="AP100" s="163">
        <v>1001</v>
      </c>
      <c r="AQ100" s="210"/>
      <c r="AR100" s="211"/>
      <c r="AS100" s="192"/>
    </row>
    <row r="101" spans="1:45" s="212" customFormat="1" x14ac:dyDescent="0.3">
      <c r="A101" s="207">
        <v>43018</v>
      </c>
      <c r="B101" s="198"/>
      <c r="C101" s="199"/>
      <c r="D101" s="199"/>
      <c r="E101" s="199"/>
      <c r="F101" s="199"/>
      <c r="G101" s="199"/>
      <c r="H101" s="199">
        <v>96.28</v>
      </c>
      <c r="I101" s="199">
        <v>98.56</v>
      </c>
      <c r="J101" s="199">
        <v>97.09</v>
      </c>
      <c r="K101" s="199"/>
      <c r="L101" s="199"/>
      <c r="M101" s="199"/>
      <c r="N101" s="199"/>
      <c r="O101" s="199"/>
      <c r="P101" s="199"/>
      <c r="Q101" s="148">
        <v>94</v>
      </c>
      <c r="R101" s="148">
        <v>99</v>
      </c>
      <c r="S101" s="151">
        <v>81.5</v>
      </c>
      <c r="T101" s="151">
        <v>111.5</v>
      </c>
      <c r="U101" s="155">
        <f t="shared" si="11"/>
        <v>97.31</v>
      </c>
      <c r="V101" s="155"/>
      <c r="W101" s="209">
        <f t="shared" si="10"/>
        <v>0.94371605899232247</v>
      </c>
      <c r="X101" s="200"/>
      <c r="Y101" s="155"/>
      <c r="Z101" s="189">
        <v>1.17</v>
      </c>
      <c r="AA101" s="155"/>
      <c r="AB101" s="155"/>
      <c r="AC101" s="156">
        <v>1.8</v>
      </c>
      <c r="AD101" s="155"/>
      <c r="AE101" s="209"/>
      <c r="AF101" s="200"/>
      <c r="AG101" s="155"/>
      <c r="AH101" s="155">
        <v>-16</v>
      </c>
      <c r="AI101" s="155"/>
      <c r="AJ101" s="155"/>
      <c r="AK101" s="160">
        <v>20</v>
      </c>
      <c r="AL101" s="161">
        <v>1002</v>
      </c>
      <c r="AM101" s="162">
        <v>1002</v>
      </c>
      <c r="AN101" s="162">
        <v>1000</v>
      </c>
      <c r="AO101" s="162">
        <v>1000</v>
      </c>
      <c r="AP101" s="163">
        <v>1001</v>
      </c>
      <c r="AQ101" s="210"/>
      <c r="AR101" s="211"/>
      <c r="AS101" s="192"/>
    </row>
    <row r="102" spans="1:45" s="212" customFormat="1" x14ac:dyDescent="0.3">
      <c r="A102" s="207">
        <v>43027</v>
      </c>
      <c r="B102" s="198"/>
      <c r="C102" s="199"/>
      <c r="D102" s="199"/>
      <c r="E102" s="199"/>
      <c r="F102" s="199"/>
      <c r="G102" s="199"/>
      <c r="H102" s="199">
        <v>95.86</v>
      </c>
      <c r="I102" s="199">
        <v>96.78</v>
      </c>
      <c r="J102" s="199">
        <v>96.22</v>
      </c>
      <c r="K102" s="199"/>
      <c r="L102" s="199"/>
      <c r="M102" s="199"/>
      <c r="N102" s="199"/>
      <c r="O102" s="199"/>
      <c r="P102" s="199"/>
      <c r="Q102" s="148">
        <v>94</v>
      </c>
      <c r="R102" s="148">
        <v>99</v>
      </c>
      <c r="S102" s="151">
        <v>81.5</v>
      </c>
      <c r="T102" s="151">
        <v>111.5</v>
      </c>
      <c r="U102" s="155">
        <f t="shared" si="11"/>
        <v>96.286666666666676</v>
      </c>
      <c r="V102" s="155"/>
      <c r="W102" s="209">
        <f t="shared" si="10"/>
        <v>0.37853518844209122</v>
      </c>
      <c r="X102" s="200"/>
      <c r="Y102" s="155"/>
      <c r="Z102" s="189">
        <v>0.47</v>
      </c>
      <c r="AA102" s="155"/>
      <c r="AB102" s="155"/>
      <c r="AC102" s="156">
        <v>1.8</v>
      </c>
      <c r="AD102" s="155"/>
      <c r="AE102" s="209"/>
      <c r="AF102" s="200"/>
      <c r="AG102" s="155"/>
      <c r="AH102" s="155">
        <v>-10</v>
      </c>
      <c r="AI102" s="155"/>
      <c r="AJ102" s="155"/>
      <c r="AK102" s="160">
        <v>20</v>
      </c>
      <c r="AL102" s="161">
        <v>1002</v>
      </c>
      <c r="AM102" s="162">
        <v>1002</v>
      </c>
      <c r="AN102" s="162">
        <v>1000</v>
      </c>
      <c r="AO102" s="162">
        <v>1000</v>
      </c>
      <c r="AP102" s="163">
        <v>1001</v>
      </c>
      <c r="AQ102" s="210"/>
      <c r="AR102" s="211"/>
      <c r="AS102" s="192"/>
    </row>
    <row r="103" spans="1:45" s="212" customFormat="1" x14ac:dyDescent="0.3">
      <c r="A103" s="207">
        <v>43032</v>
      </c>
      <c r="B103" s="198"/>
      <c r="C103" s="199"/>
      <c r="D103" s="199"/>
      <c r="E103" s="199"/>
      <c r="F103" s="199"/>
      <c r="G103" s="199"/>
      <c r="H103" s="199">
        <v>95.72</v>
      </c>
      <c r="I103" s="199">
        <v>96.93</v>
      </c>
      <c r="J103" s="199">
        <v>96.11</v>
      </c>
      <c r="K103" s="199"/>
      <c r="L103" s="199"/>
      <c r="M103" s="199"/>
      <c r="N103" s="199"/>
      <c r="O103" s="199"/>
      <c r="P103" s="199"/>
      <c r="Q103" s="148">
        <v>94</v>
      </c>
      <c r="R103" s="148">
        <v>99</v>
      </c>
      <c r="S103" s="151">
        <v>81.5</v>
      </c>
      <c r="T103" s="151">
        <v>111.5</v>
      </c>
      <c r="U103" s="155">
        <f t="shared" si="11"/>
        <v>96.25333333333333</v>
      </c>
      <c r="V103" s="155"/>
      <c r="W103" s="209">
        <f t="shared" si="10"/>
        <v>0.50427065043376496</v>
      </c>
      <c r="X103" s="200"/>
      <c r="Y103" s="155"/>
      <c r="Z103" s="189">
        <v>0.62</v>
      </c>
      <c r="AA103" s="155"/>
      <c r="AB103" s="155"/>
      <c r="AC103" s="156">
        <v>1.8</v>
      </c>
      <c r="AD103" s="155"/>
      <c r="AE103" s="209"/>
      <c r="AF103" s="200"/>
      <c r="AG103" s="155"/>
      <c r="AH103" s="155">
        <v>-12</v>
      </c>
      <c r="AI103" s="155"/>
      <c r="AJ103" s="155"/>
      <c r="AK103" s="160">
        <v>20</v>
      </c>
      <c r="AL103" s="161">
        <v>1002</v>
      </c>
      <c r="AM103" s="162">
        <v>1002</v>
      </c>
      <c r="AN103" s="162">
        <v>1000</v>
      </c>
      <c r="AO103" s="162">
        <v>1000</v>
      </c>
      <c r="AP103" s="163">
        <v>1001</v>
      </c>
      <c r="AQ103" s="210"/>
      <c r="AR103" s="211"/>
      <c r="AS103" s="192"/>
    </row>
    <row r="104" spans="1:45" s="212" customFormat="1" x14ac:dyDescent="0.3">
      <c r="A104" s="207">
        <v>43068</v>
      </c>
      <c r="B104" s="198"/>
      <c r="C104" s="199"/>
      <c r="D104" s="199"/>
      <c r="E104" s="199"/>
      <c r="F104" s="199"/>
      <c r="G104" s="199"/>
      <c r="H104" s="199">
        <v>95.27</v>
      </c>
      <c r="I104" s="199">
        <v>96.38</v>
      </c>
      <c r="J104" s="199">
        <v>95.59</v>
      </c>
      <c r="K104" s="199"/>
      <c r="L104" s="199"/>
      <c r="M104" s="199"/>
      <c r="N104" s="199"/>
      <c r="O104" s="199"/>
      <c r="P104" s="199"/>
      <c r="Q104" s="148">
        <v>94</v>
      </c>
      <c r="R104" s="148">
        <v>99</v>
      </c>
      <c r="S104" s="151">
        <v>81.5</v>
      </c>
      <c r="T104" s="151">
        <v>111.5</v>
      </c>
      <c r="U104" s="155">
        <f t="shared" si="11"/>
        <v>95.74666666666667</v>
      </c>
      <c r="V104" s="155"/>
      <c r="W104" s="209">
        <f t="shared" si="10"/>
        <v>0.4664999702274602</v>
      </c>
      <c r="X104" s="200"/>
      <c r="Y104" s="155"/>
      <c r="Z104" s="189">
        <v>0.57999999999999996</v>
      </c>
      <c r="AA104" s="155"/>
      <c r="AB104" s="155"/>
      <c r="AC104" s="156">
        <v>1.8</v>
      </c>
      <c r="AD104" s="155"/>
      <c r="AE104" s="209"/>
      <c r="AF104" s="200"/>
      <c r="AG104" s="155"/>
      <c r="AH104" s="155">
        <v>-4</v>
      </c>
      <c r="AI104" s="155"/>
      <c r="AJ104" s="155"/>
      <c r="AK104" s="160">
        <v>20</v>
      </c>
      <c r="AL104" s="161">
        <v>1002</v>
      </c>
      <c r="AM104" s="162">
        <v>1002</v>
      </c>
      <c r="AN104" s="162">
        <v>1000</v>
      </c>
      <c r="AO104" s="162">
        <v>1000</v>
      </c>
      <c r="AP104" s="163">
        <v>1001</v>
      </c>
      <c r="AQ104" s="210"/>
      <c r="AR104" s="211"/>
      <c r="AS104" s="192"/>
    </row>
    <row r="105" spans="1:45" s="212" customFormat="1" x14ac:dyDescent="0.3">
      <c r="A105" s="207">
        <v>43074</v>
      </c>
      <c r="B105" s="198"/>
      <c r="C105" s="199"/>
      <c r="D105" s="199"/>
      <c r="E105" s="199"/>
      <c r="F105" s="199"/>
      <c r="G105" s="199"/>
      <c r="H105" s="199">
        <v>95.1</v>
      </c>
      <c r="I105" s="199">
        <v>95.93</v>
      </c>
      <c r="J105" s="199">
        <v>95.43</v>
      </c>
      <c r="K105" s="199"/>
      <c r="L105" s="199"/>
      <c r="M105" s="199"/>
      <c r="N105" s="199"/>
      <c r="O105" s="199"/>
      <c r="P105" s="199"/>
      <c r="Q105" s="148">
        <v>94</v>
      </c>
      <c r="R105" s="148">
        <v>99</v>
      </c>
      <c r="S105" s="151">
        <v>81.5</v>
      </c>
      <c r="T105" s="151">
        <v>111.5</v>
      </c>
      <c r="U105" s="155">
        <f t="shared" si="11"/>
        <v>95.486666666666679</v>
      </c>
      <c r="V105" s="155"/>
      <c r="W105" s="209">
        <f t="shared" si="10"/>
        <v>0.34120700787384989</v>
      </c>
      <c r="X105" s="200"/>
      <c r="Y105" s="155"/>
      <c r="Z105" s="189">
        <v>0.43</v>
      </c>
      <c r="AA105" s="155"/>
      <c r="AB105" s="155"/>
      <c r="AC105" s="156">
        <v>1.8</v>
      </c>
      <c r="AD105" s="155"/>
      <c r="AE105" s="209"/>
      <c r="AF105" s="200"/>
      <c r="AG105" s="155"/>
      <c r="AH105" s="155">
        <v>-7</v>
      </c>
      <c r="AI105" s="155"/>
      <c r="AJ105" s="155"/>
      <c r="AK105" s="160">
        <v>20</v>
      </c>
      <c r="AL105" s="161">
        <v>1002</v>
      </c>
      <c r="AM105" s="162">
        <v>1002</v>
      </c>
      <c r="AN105" s="162">
        <v>1000</v>
      </c>
      <c r="AO105" s="162">
        <v>1000</v>
      </c>
      <c r="AP105" s="163">
        <v>1001</v>
      </c>
      <c r="AQ105" s="210"/>
      <c r="AR105" s="211"/>
      <c r="AS105" s="192"/>
    </row>
    <row r="106" spans="1:45" s="212" customFormat="1" x14ac:dyDescent="0.3">
      <c r="A106" s="207">
        <v>43087</v>
      </c>
      <c r="B106" s="198"/>
      <c r="C106" s="199"/>
      <c r="D106" s="199"/>
      <c r="E106" s="199"/>
      <c r="F106" s="199"/>
      <c r="G106" s="199"/>
      <c r="H106" s="199">
        <v>96.56</v>
      </c>
      <c r="I106" s="199">
        <v>98.01</v>
      </c>
      <c r="J106" s="199">
        <v>97.2</v>
      </c>
      <c r="K106" s="199"/>
      <c r="L106" s="199"/>
      <c r="M106" s="199"/>
      <c r="N106" s="199"/>
      <c r="O106" s="199"/>
      <c r="P106" s="199"/>
      <c r="Q106" s="148">
        <v>94</v>
      </c>
      <c r="R106" s="148">
        <v>99</v>
      </c>
      <c r="S106" s="151">
        <v>81.5</v>
      </c>
      <c r="T106" s="151">
        <v>111.5</v>
      </c>
      <c r="U106" s="155"/>
      <c r="V106" s="155"/>
      <c r="W106" s="209"/>
      <c r="X106" s="200"/>
      <c r="Y106" s="155"/>
      <c r="Z106" s="189">
        <v>0.74</v>
      </c>
      <c r="AA106" s="155"/>
      <c r="AB106" s="155"/>
      <c r="AC106" s="156">
        <v>1.8</v>
      </c>
      <c r="AD106" s="155"/>
      <c r="AE106" s="209"/>
      <c r="AF106" s="200"/>
      <c r="AG106" s="155"/>
      <c r="AH106" s="155"/>
      <c r="AI106" s="155"/>
      <c r="AJ106" s="155"/>
      <c r="AK106" s="160">
        <v>20</v>
      </c>
      <c r="AL106" s="161">
        <v>1002</v>
      </c>
      <c r="AM106" s="162">
        <v>1002</v>
      </c>
      <c r="AN106" s="162">
        <v>1000</v>
      </c>
      <c r="AO106" s="162">
        <v>1000</v>
      </c>
      <c r="AP106" s="163">
        <v>1001</v>
      </c>
      <c r="AQ106" s="210"/>
      <c r="AR106" s="211"/>
      <c r="AS106" s="192"/>
    </row>
    <row r="107" spans="1:45" s="212" customFormat="1" x14ac:dyDescent="0.3">
      <c r="A107" s="207">
        <v>43133</v>
      </c>
      <c r="B107" s="198"/>
      <c r="C107" s="199"/>
      <c r="D107" s="199"/>
      <c r="E107" s="199"/>
      <c r="F107" s="199"/>
      <c r="G107" s="199"/>
      <c r="H107" s="199">
        <v>97.02</v>
      </c>
      <c r="I107" s="199">
        <v>97.98</v>
      </c>
      <c r="J107" s="199">
        <v>97.55</v>
      </c>
      <c r="K107" s="199"/>
      <c r="L107" s="199"/>
      <c r="M107" s="199"/>
      <c r="N107" s="199"/>
      <c r="O107" s="199"/>
      <c r="P107" s="199"/>
      <c r="Q107" s="148">
        <v>94</v>
      </c>
      <c r="R107" s="148">
        <v>99</v>
      </c>
      <c r="S107" s="151">
        <v>81.5</v>
      </c>
      <c r="T107" s="151">
        <v>111.5</v>
      </c>
      <c r="U107" s="155"/>
      <c r="V107" s="155"/>
      <c r="W107" s="209"/>
      <c r="X107" s="200"/>
      <c r="Y107" s="155"/>
      <c r="Z107" s="189">
        <v>0.32</v>
      </c>
      <c r="AA107" s="155"/>
      <c r="AB107" s="155"/>
      <c r="AC107" s="156">
        <v>1.8</v>
      </c>
      <c r="AD107" s="155"/>
      <c r="AE107" s="209"/>
      <c r="AF107" s="200"/>
      <c r="AG107" s="155"/>
      <c r="AH107" s="155">
        <v>1</v>
      </c>
      <c r="AI107" s="155"/>
      <c r="AJ107" s="155"/>
      <c r="AK107" s="160">
        <v>20</v>
      </c>
      <c r="AL107" s="161">
        <v>1002</v>
      </c>
      <c r="AM107" s="162">
        <v>1002</v>
      </c>
      <c r="AN107" s="162">
        <v>1000</v>
      </c>
      <c r="AO107" s="162">
        <v>1000</v>
      </c>
      <c r="AP107" s="163">
        <v>1001</v>
      </c>
      <c r="AQ107" s="210"/>
      <c r="AR107" s="211"/>
      <c r="AS107" s="192"/>
    </row>
    <row r="108" spans="1:45" s="212" customFormat="1" x14ac:dyDescent="0.3">
      <c r="A108" s="207">
        <v>43157</v>
      </c>
      <c r="B108" s="198"/>
      <c r="C108" s="199"/>
      <c r="D108" s="199"/>
      <c r="E108" s="199"/>
      <c r="F108" s="199"/>
      <c r="G108" s="199"/>
      <c r="H108" s="199">
        <v>97.05</v>
      </c>
      <c r="I108" s="199">
        <v>98.54</v>
      </c>
      <c r="J108" s="199">
        <v>97.71</v>
      </c>
      <c r="K108" s="199"/>
      <c r="L108" s="199"/>
      <c r="M108" s="199"/>
      <c r="N108" s="199"/>
      <c r="O108" s="199"/>
      <c r="P108" s="199"/>
      <c r="Q108" s="148">
        <v>94</v>
      </c>
      <c r="R108" s="148">
        <v>99</v>
      </c>
      <c r="S108" s="151">
        <v>81.5</v>
      </c>
      <c r="T108" s="151">
        <v>111.5</v>
      </c>
      <c r="U108" s="155"/>
      <c r="V108" s="155"/>
      <c r="W108" s="209"/>
      <c r="X108" s="200"/>
      <c r="Y108" s="155"/>
      <c r="Z108" s="189">
        <v>0.75</v>
      </c>
      <c r="AA108" s="155"/>
      <c r="AB108" s="155"/>
      <c r="AC108" s="156">
        <v>1.8</v>
      </c>
      <c r="AD108" s="155"/>
      <c r="AE108" s="209"/>
      <c r="AF108" s="200"/>
      <c r="AG108" s="155"/>
      <c r="AH108" s="155">
        <v>-11</v>
      </c>
      <c r="AI108" s="155"/>
      <c r="AJ108" s="155"/>
      <c r="AK108" s="160">
        <v>20</v>
      </c>
      <c r="AL108" s="161">
        <v>1002</v>
      </c>
      <c r="AM108" s="162">
        <v>1002</v>
      </c>
      <c r="AN108" s="162">
        <v>1000</v>
      </c>
      <c r="AO108" s="162">
        <v>1000</v>
      </c>
      <c r="AP108" s="163">
        <v>1001</v>
      </c>
      <c r="AQ108" s="210"/>
      <c r="AR108" s="211"/>
      <c r="AS108" s="192"/>
    </row>
    <row r="109" spans="1:45" s="212" customFormat="1" x14ac:dyDescent="0.3">
      <c r="A109" s="207">
        <v>43158</v>
      </c>
      <c r="B109" s="198"/>
      <c r="C109" s="199"/>
      <c r="D109" s="199"/>
      <c r="E109" s="199"/>
      <c r="F109" s="199"/>
      <c r="G109" s="199"/>
      <c r="H109" s="199">
        <v>96.75</v>
      </c>
      <c r="I109" s="199">
        <v>97.58</v>
      </c>
      <c r="J109" s="199">
        <v>97.04</v>
      </c>
      <c r="K109" s="199"/>
      <c r="L109" s="199"/>
      <c r="M109" s="199"/>
      <c r="N109" s="199"/>
      <c r="O109" s="199"/>
      <c r="P109" s="199"/>
      <c r="Q109" s="148">
        <v>94</v>
      </c>
      <c r="R109" s="148">
        <v>99</v>
      </c>
      <c r="S109" s="151">
        <v>81.5</v>
      </c>
      <c r="T109" s="151">
        <v>111.5</v>
      </c>
      <c r="U109" s="155"/>
      <c r="V109" s="155"/>
      <c r="W109" s="209"/>
      <c r="X109" s="200"/>
      <c r="Y109" s="155"/>
      <c r="Z109" s="189">
        <v>0.42</v>
      </c>
      <c r="AA109" s="155"/>
      <c r="AB109" s="155"/>
      <c r="AC109" s="156">
        <v>1.8</v>
      </c>
      <c r="AD109" s="155"/>
      <c r="AE109" s="209"/>
      <c r="AF109" s="200"/>
      <c r="AG109" s="155"/>
      <c r="AH109" s="155">
        <v>-12</v>
      </c>
      <c r="AI109" s="155"/>
      <c r="AJ109" s="155"/>
      <c r="AK109" s="160">
        <v>20</v>
      </c>
      <c r="AL109" s="161">
        <v>1002</v>
      </c>
      <c r="AM109" s="162">
        <v>1002</v>
      </c>
      <c r="AN109" s="162">
        <v>1000</v>
      </c>
      <c r="AO109" s="162">
        <v>1000</v>
      </c>
      <c r="AP109" s="163">
        <v>1001</v>
      </c>
      <c r="AQ109" s="210"/>
      <c r="AR109" s="211"/>
      <c r="AS109" s="192"/>
    </row>
    <row r="110" spans="1:45" s="212" customFormat="1" x14ac:dyDescent="0.3">
      <c r="A110" s="207">
        <v>43163</v>
      </c>
      <c r="B110" s="198"/>
      <c r="C110" s="199"/>
      <c r="D110" s="199"/>
      <c r="E110" s="199"/>
      <c r="F110" s="199"/>
      <c r="G110" s="199"/>
      <c r="H110" s="199">
        <v>96.87</v>
      </c>
      <c r="I110" s="199">
        <v>98.46</v>
      </c>
      <c r="J110" s="199">
        <v>97.67</v>
      </c>
      <c r="K110" s="199"/>
      <c r="L110" s="199"/>
      <c r="M110" s="199"/>
      <c r="N110" s="199"/>
      <c r="O110" s="199"/>
      <c r="P110" s="199"/>
      <c r="Q110" s="148">
        <v>94</v>
      </c>
      <c r="R110" s="148">
        <v>99</v>
      </c>
      <c r="S110" s="151">
        <v>81.5</v>
      </c>
      <c r="T110" s="151">
        <v>111.5</v>
      </c>
      <c r="U110" s="155"/>
      <c r="V110" s="155"/>
      <c r="W110" s="209"/>
      <c r="X110" s="200"/>
      <c r="Y110" s="155"/>
      <c r="Z110" s="189">
        <v>0.81</v>
      </c>
      <c r="AA110" s="155"/>
      <c r="AB110" s="155"/>
      <c r="AC110" s="156">
        <v>1.8</v>
      </c>
      <c r="AD110" s="155"/>
      <c r="AE110" s="209"/>
      <c r="AF110" s="200"/>
      <c r="AG110" s="155"/>
      <c r="AH110" s="155">
        <v>0</v>
      </c>
      <c r="AI110" s="155"/>
      <c r="AJ110" s="155"/>
      <c r="AK110" s="160">
        <v>20</v>
      </c>
      <c r="AL110" s="161">
        <v>1002</v>
      </c>
      <c r="AM110" s="162">
        <v>1002</v>
      </c>
      <c r="AN110" s="162">
        <v>1000</v>
      </c>
      <c r="AO110" s="162">
        <v>1000</v>
      </c>
      <c r="AP110" s="163">
        <v>1001</v>
      </c>
      <c r="AQ110" s="210"/>
      <c r="AR110" s="211"/>
      <c r="AS110" s="192"/>
    </row>
    <row r="111" spans="1:45" s="212" customFormat="1" x14ac:dyDescent="0.3">
      <c r="A111" s="207">
        <v>43178</v>
      </c>
      <c r="B111" s="198"/>
      <c r="C111" s="199"/>
      <c r="D111" s="199"/>
      <c r="E111" s="199"/>
      <c r="F111" s="199"/>
      <c r="G111" s="199"/>
      <c r="H111" s="199">
        <v>97.41</v>
      </c>
      <c r="I111" s="199">
        <v>98.82</v>
      </c>
      <c r="J111" s="199">
        <v>98.23</v>
      </c>
      <c r="K111" s="199"/>
      <c r="L111" s="199"/>
      <c r="M111" s="199"/>
      <c r="N111" s="199"/>
      <c r="O111" s="199"/>
      <c r="P111" s="199"/>
      <c r="Q111" s="148">
        <v>94</v>
      </c>
      <c r="R111" s="148">
        <v>99</v>
      </c>
      <c r="S111" s="151">
        <v>81.5</v>
      </c>
      <c r="T111" s="151">
        <v>111.5</v>
      </c>
      <c r="U111" s="155"/>
      <c r="V111" s="155"/>
      <c r="W111" s="209"/>
      <c r="X111" s="200"/>
      <c r="Y111" s="155"/>
      <c r="Z111" s="189">
        <v>0.72</v>
      </c>
      <c r="AA111" s="155"/>
      <c r="AB111" s="155"/>
      <c r="AC111" s="156">
        <v>1.8</v>
      </c>
      <c r="AD111" s="155"/>
      <c r="AE111" s="209"/>
      <c r="AF111" s="200"/>
      <c r="AG111" s="155"/>
      <c r="AH111" s="155">
        <v>-11</v>
      </c>
      <c r="AI111" s="155"/>
      <c r="AJ111" s="155"/>
      <c r="AK111" s="160">
        <v>20</v>
      </c>
      <c r="AL111" s="161">
        <v>1002</v>
      </c>
      <c r="AM111" s="162">
        <v>1002</v>
      </c>
      <c r="AN111" s="162">
        <v>1000</v>
      </c>
      <c r="AO111" s="162">
        <v>1000</v>
      </c>
      <c r="AP111" s="163">
        <v>1001</v>
      </c>
      <c r="AQ111" s="210"/>
      <c r="AR111" s="211"/>
      <c r="AS111" s="192"/>
    </row>
    <row r="112" spans="1:45" s="212" customFormat="1" x14ac:dyDescent="0.3">
      <c r="A112" s="207">
        <v>43179</v>
      </c>
      <c r="B112" s="198"/>
      <c r="C112" s="199"/>
      <c r="D112" s="199"/>
      <c r="E112" s="199"/>
      <c r="F112" s="199"/>
      <c r="G112" s="199"/>
      <c r="H112" s="199">
        <v>96.63</v>
      </c>
      <c r="I112" s="199">
        <v>97.45</v>
      </c>
      <c r="J112" s="199">
        <v>97.01</v>
      </c>
      <c r="K112" s="199"/>
      <c r="L112" s="199"/>
      <c r="M112" s="199"/>
      <c r="N112" s="199"/>
      <c r="O112" s="199"/>
      <c r="P112" s="199"/>
      <c r="Q112" s="148">
        <v>94</v>
      </c>
      <c r="R112" s="148">
        <v>99</v>
      </c>
      <c r="S112" s="151">
        <v>81.5</v>
      </c>
      <c r="T112" s="151">
        <v>111.5</v>
      </c>
      <c r="U112" s="155"/>
      <c r="V112" s="155"/>
      <c r="W112" s="209"/>
      <c r="X112" s="200"/>
      <c r="Y112" s="155"/>
      <c r="Z112" s="189">
        <v>0.42</v>
      </c>
      <c r="AA112" s="155"/>
      <c r="AB112" s="155"/>
      <c r="AC112" s="156">
        <v>1.8</v>
      </c>
      <c r="AD112" s="155"/>
      <c r="AE112" s="209"/>
      <c r="AF112" s="200"/>
      <c r="AG112" s="155"/>
      <c r="AH112" s="155">
        <v>-13</v>
      </c>
      <c r="AI112" s="155"/>
      <c r="AJ112" s="155"/>
      <c r="AK112" s="160">
        <v>20</v>
      </c>
      <c r="AL112" s="161">
        <v>1002</v>
      </c>
      <c r="AM112" s="162">
        <v>1002</v>
      </c>
      <c r="AN112" s="162">
        <v>1000</v>
      </c>
      <c r="AO112" s="162">
        <v>1000</v>
      </c>
      <c r="AP112" s="163">
        <v>1001</v>
      </c>
      <c r="AQ112" s="210"/>
      <c r="AR112" s="211"/>
      <c r="AS112" s="192"/>
    </row>
    <row r="113" spans="1:45" s="212" customFormat="1" x14ac:dyDescent="0.3">
      <c r="A113" s="207">
        <v>43181</v>
      </c>
      <c r="B113" s="198"/>
      <c r="C113" s="199"/>
      <c r="D113" s="199"/>
      <c r="E113" s="199"/>
      <c r="F113" s="199"/>
      <c r="G113" s="199"/>
      <c r="H113" s="199">
        <v>96.55</v>
      </c>
      <c r="I113" s="199">
        <v>97.52</v>
      </c>
      <c r="J113" s="199">
        <v>96.99</v>
      </c>
      <c r="K113" s="199"/>
      <c r="L113" s="199"/>
      <c r="M113" s="199"/>
      <c r="N113" s="199"/>
      <c r="O113" s="199"/>
      <c r="P113" s="199"/>
      <c r="Q113" s="148">
        <v>94</v>
      </c>
      <c r="R113" s="148">
        <v>99</v>
      </c>
      <c r="S113" s="151">
        <v>81.5</v>
      </c>
      <c r="T113" s="151">
        <v>111.5</v>
      </c>
      <c r="U113" s="155"/>
      <c r="V113" s="155"/>
      <c r="W113" s="209"/>
      <c r="X113" s="200"/>
      <c r="Y113" s="155"/>
      <c r="Z113" s="189">
        <v>0.5</v>
      </c>
      <c r="AA113" s="155"/>
      <c r="AB113" s="155"/>
      <c r="AC113" s="156">
        <v>1.8</v>
      </c>
      <c r="AD113" s="155"/>
      <c r="AE113" s="209"/>
      <c r="AF113" s="200"/>
      <c r="AG113" s="155"/>
      <c r="AH113" s="155">
        <v>-10</v>
      </c>
      <c r="AI113" s="155"/>
      <c r="AJ113" s="155"/>
      <c r="AK113" s="160">
        <v>20</v>
      </c>
      <c r="AL113" s="161">
        <v>1002</v>
      </c>
      <c r="AM113" s="162">
        <v>1002</v>
      </c>
      <c r="AN113" s="162">
        <v>1000</v>
      </c>
      <c r="AO113" s="162">
        <v>1000</v>
      </c>
      <c r="AP113" s="163">
        <v>1001</v>
      </c>
      <c r="AQ113" s="210"/>
      <c r="AR113" s="211"/>
      <c r="AS113" s="192"/>
    </row>
    <row r="114" spans="1:45" s="212" customFormat="1" x14ac:dyDescent="0.3">
      <c r="A114" s="207">
        <v>43186</v>
      </c>
      <c r="B114" s="198"/>
      <c r="C114" s="199"/>
      <c r="D114" s="199"/>
      <c r="E114" s="199"/>
      <c r="F114" s="199"/>
      <c r="G114" s="199"/>
      <c r="H114" s="199">
        <v>96.55</v>
      </c>
      <c r="I114" s="199">
        <v>97.54</v>
      </c>
      <c r="J114" s="199">
        <v>96.99</v>
      </c>
      <c r="K114" s="199"/>
      <c r="L114" s="199"/>
      <c r="M114" s="199"/>
      <c r="N114" s="199"/>
      <c r="O114" s="199"/>
      <c r="P114" s="199"/>
      <c r="Q114" s="148">
        <v>94</v>
      </c>
      <c r="R114" s="148">
        <v>99</v>
      </c>
      <c r="S114" s="151">
        <v>81.5</v>
      </c>
      <c r="T114" s="151">
        <v>111.5</v>
      </c>
      <c r="U114" s="155"/>
      <c r="V114" s="155"/>
      <c r="W114" s="209"/>
      <c r="X114" s="200"/>
      <c r="Y114" s="155"/>
      <c r="Z114" s="189">
        <v>0.5</v>
      </c>
      <c r="AA114" s="155"/>
      <c r="AB114" s="155"/>
      <c r="AC114" s="156">
        <v>1.8</v>
      </c>
      <c r="AD114" s="155"/>
      <c r="AE114" s="209"/>
      <c r="AF114" s="200"/>
      <c r="AG114" s="155"/>
      <c r="AH114" s="155">
        <v>-10</v>
      </c>
      <c r="AI114" s="155"/>
      <c r="AJ114" s="155"/>
      <c r="AK114" s="160">
        <v>20</v>
      </c>
      <c r="AL114" s="161">
        <v>1002</v>
      </c>
      <c r="AM114" s="162">
        <v>1002</v>
      </c>
      <c r="AN114" s="162">
        <v>1000</v>
      </c>
      <c r="AO114" s="162">
        <v>1000</v>
      </c>
      <c r="AP114" s="163">
        <v>1001</v>
      </c>
      <c r="AQ114" s="210"/>
      <c r="AR114" s="211"/>
      <c r="AS114" s="192"/>
    </row>
    <row r="115" spans="1:45" s="212" customFormat="1" x14ac:dyDescent="0.3">
      <c r="A115" s="207">
        <v>43202</v>
      </c>
      <c r="B115" s="198"/>
      <c r="C115" s="199"/>
      <c r="D115" s="199"/>
      <c r="E115" s="199"/>
      <c r="F115" s="199"/>
      <c r="G115" s="199"/>
      <c r="H115" s="199">
        <v>97.24</v>
      </c>
      <c r="I115" s="199">
        <v>98.21</v>
      </c>
      <c r="J115" s="199">
        <v>97.9</v>
      </c>
      <c r="K115" s="199"/>
      <c r="L115" s="199"/>
      <c r="M115" s="199"/>
      <c r="N115" s="199"/>
      <c r="O115" s="199"/>
      <c r="P115" s="199"/>
      <c r="Q115" s="148">
        <v>94</v>
      </c>
      <c r="R115" s="148">
        <v>99</v>
      </c>
      <c r="S115" s="151">
        <v>81.5</v>
      </c>
      <c r="T115" s="151">
        <v>111.5</v>
      </c>
      <c r="U115" s="155"/>
      <c r="V115" s="155"/>
      <c r="W115" s="209"/>
      <c r="X115" s="200"/>
      <c r="Y115" s="155"/>
      <c r="Z115" s="189">
        <v>0.65</v>
      </c>
      <c r="AA115" s="155"/>
      <c r="AB115" s="155"/>
      <c r="AC115" s="156">
        <v>1.8</v>
      </c>
      <c r="AD115" s="155"/>
      <c r="AE115" s="209"/>
      <c r="AF115" s="200"/>
      <c r="AG115" s="155"/>
      <c r="AH115" s="155">
        <v>-10</v>
      </c>
      <c r="AI115" s="155"/>
      <c r="AJ115" s="155"/>
      <c r="AK115" s="160">
        <v>20</v>
      </c>
      <c r="AL115" s="161">
        <v>1002</v>
      </c>
      <c r="AM115" s="162">
        <v>1002</v>
      </c>
      <c r="AN115" s="162">
        <v>1000</v>
      </c>
      <c r="AO115" s="162">
        <v>1000</v>
      </c>
      <c r="AP115" s="163">
        <v>1001</v>
      </c>
      <c r="AQ115" s="210"/>
      <c r="AR115" s="211"/>
      <c r="AS115" s="192"/>
    </row>
    <row r="116" spans="1:45" s="212" customFormat="1" x14ac:dyDescent="0.3">
      <c r="A116" s="207">
        <v>43213</v>
      </c>
      <c r="B116" s="198"/>
      <c r="C116" s="199"/>
      <c r="D116" s="199"/>
      <c r="E116" s="199"/>
      <c r="F116" s="199"/>
      <c r="G116" s="199"/>
      <c r="H116" s="199">
        <v>98.26</v>
      </c>
      <c r="I116" s="199">
        <v>100.08</v>
      </c>
      <c r="J116" s="199">
        <v>99.52</v>
      </c>
      <c r="K116" s="199"/>
      <c r="L116" s="199"/>
      <c r="M116" s="199"/>
      <c r="N116" s="199"/>
      <c r="O116" s="199"/>
      <c r="P116" s="199"/>
      <c r="Q116" s="148">
        <v>94</v>
      </c>
      <c r="R116" s="148">
        <v>99</v>
      </c>
      <c r="S116" s="151">
        <v>81.5</v>
      </c>
      <c r="T116" s="151">
        <v>111.5</v>
      </c>
      <c r="U116" s="155"/>
      <c r="V116" s="155"/>
      <c r="W116" s="209"/>
      <c r="X116" s="200"/>
      <c r="Y116" s="155"/>
      <c r="Z116" s="189">
        <v>0.91</v>
      </c>
      <c r="AA116" s="155"/>
      <c r="AB116" s="155"/>
      <c r="AC116" s="156">
        <v>1.8</v>
      </c>
      <c r="AD116" s="155"/>
      <c r="AE116" s="209"/>
      <c r="AF116" s="200"/>
      <c r="AG116" s="155"/>
      <c r="AH116" s="155">
        <v>-2</v>
      </c>
      <c r="AI116" s="155"/>
      <c r="AJ116" s="155"/>
      <c r="AK116" s="160">
        <v>20</v>
      </c>
      <c r="AL116" s="161">
        <v>1002</v>
      </c>
      <c r="AM116" s="162">
        <v>1002</v>
      </c>
      <c r="AN116" s="162">
        <v>1000</v>
      </c>
      <c r="AO116" s="162">
        <v>1000</v>
      </c>
      <c r="AP116" s="163">
        <v>1001</v>
      </c>
      <c r="AQ116" s="210"/>
      <c r="AR116" s="211"/>
      <c r="AS116" s="192"/>
    </row>
    <row r="117" spans="1:45" s="212" customFormat="1" x14ac:dyDescent="0.3">
      <c r="A117" s="207">
        <v>43228</v>
      </c>
      <c r="B117" s="198"/>
      <c r="C117" s="199"/>
      <c r="D117" s="199"/>
      <c r="E117" s="199"/>
      <c r="F117" s="199"/>
      <c r="G117" s="199"/>
      <c r="H117" s="199">
        <v>96.81</v>
      </c>
      <c r="I117" s="199">
        <v>98.55</v>
      </c>
      <c r="J117" s="199">
        <v>97.61</v>
      </c>
      <c r="K117" s="199"/>
      <c r="L117" s="199"/>
      <c r="M117" s="199"/>
      <c r="N117" s="199"/>
      <c r="O117" s="199"/>
      <c r="P117" s="199"/>
      <c r="Q117" s="148">
        <v>94</v>
      </c>
      <c r="R117" s="148">
        <v>99</v>
      </c>
      <c r="S117" s="151">
        <v>81.5</v>
      </c>
      <c r="T117" s="151">
        <v>111.5</v>
      </c>
      <c r="U117" s="155"/>
      <c r="V117" s="155"/>
      <c r="W117" s="209"/>
      <c r="X117" s="200"/>
      <c r="Y117" s="155"/>
      <c r="Z117" s="189">
        <v>0.89</v>
      </c>
      <c r="AA117" s="155"/>
      <c r="AB117" s="155"/>
      <c r="AC117" s="156">
        <v>1.8</v>
      </c>
      <c r="AD117" s="155"/>
      <c r="AE117" s="209"/>
      <c r="AF117" s="200"/>
      <c r="AG117" s="155"/>
      <c r="AH117" s="155">
        <v>-4</v>
      </c>
      <c r="AI117" s="155"/>
      <c r="AJ117" s="155"/>
      <c r="AK117" s="160">
        <v>20</v>
      </c>
      <c r="AL117" s="161">
        <v>1002</v>
      </c>
      <c r="AM117" s="162">
        <v>1002</v>
      </c>
      <c r="AN117" s="162">
        <v>1000</v>
      </c>
      <c r="AO117" s="162">
        <v>1000</v>
      </c>
      <c r="AP117" s="163">
        <v>1001</v>
      </c>
      <c r="AQ117" s="210"/>
      <c r="AR117" s="211"/>
      <c r="AS117" s="192"/>
    </row>
    <row r="118" spans="1:45" s="212" customFormat="1" x14ac:dyDescent="0.3">
      <c r="A118" s="207">
        <v>43234</v>
      </c>
      <c r="B118" s="198"/>
      <c r="C118" s="199"/>
      <c r="D118" s="199"/>
      <c r="E118" s="199"/>
      <c r="F118" s="199"/>
      <c r="G118" s="199"/>
      <c r="H118" s="199">
        <v>96.4</v>
      </c>
      <c r="I118" s="199">
        <v>98.07</v>
      </c>
      <c r="J118" s="199">
        <v>97.18</v>
      </c>
      <c r="K118" s="199"/>
      <c r="L118" s="199"/>
      <c r="M118" s="199"/>
      <c r="N118" s="199"/>
      <c r="O118" s="199"/>
      <c r="P118" s="199"/>
      <c r="Q118" s="148">
        <v>94</v>
      </c>
      <c r="R118" s="148">
        <v>99</v>
      </c>
      <c r="S118" s="151">
        <v>81.5</v>
      </c>
      <c r="T118" s="151">
        <v>111.5</v>
      </c>
      <c r="U118" s="155"/>
      <c r="V118" s="155"/>
      <c r="W118" s="209"/>
      <c r="X118" s="200"/>
      <c r="Y118" s="155"/>
      <c r="Z118" s="189">
        <v>0.85</v>
      </c>
      <c r="AA118" s="155"/>
      <c r="AB118" s="155"/>
      <c r="AC118" s="156">
        <v>1.8</v>
      </c>
      <c r="AD118" s="155"/>
      <c r="AE118" s="209"/>
      <c r="AF118" s="200"/>
      <c r="AG118" s="155"/>
      <c r="AH118" s="155">
        <v>-6</v>
      </c>
      <c r="AI118" s="155"/>
      <c r="AJ118" s="155"/>
      <c r="AK118" s="160">
        <v>20</v>
      </c>
      <c r="AL118" s="161">
        <v>1002</v>
      </c>
      <c r="AM118" s="162">
        <v>1002</v>
      </c>
      <c r="AN118" s="162">
        <v>1000</v>
      </c>
      <c r="AO118" s="162">
        <v>1000</v>
      </c>
      <c r="AP118" s="163">
        <v>1001</v>
      </c>
      <c r="AQ118" s="210"/>
      <c r="AR118" s="211"/>
      <c r="AS118" s="192"/>
    </row>
    <row r="119" spans="1:45" s="212" customFormat="1" x14ac:dyDescent="0.3">
      <c r="A119" s="207">
        <v>43235</v>
      </c>
      <c r="B119" s="198"/>
      <c r="C119" s="199"/>
      <c r="D119" s="199"/>
      <c r="E119" s="199"/>
      <c r="F119" s="199"/>
      <c r="G119" s="199"/>
      <c r="H119" s="199">
        <v>95.75</v>
      </c>
      <c r="I119" s="199">
        <v>98.87</v>
      </c>
      <c r="J119" s="199">
        <v>97.08</v>
      </c>
      <c r="K119" s="199"/>
      <c r="L119" s="199"/>
      <c r="M119" s="199"/>
      <c r="N119" s="199"/>
      <c r="O119" s="199"/>
      <c r="P119" s="199"/>
      <c r="Q119" s="148">
        <v>94</v>
      </c>
      <c r="R119" s="148">
        <v>99</v>
      </c>
      <c r="S119" s="151">
        <v>81.5</v>
      </c>
      <c r="T119" s="151">
        <v>111.5</v>
      </c>
      <c r="U119" s="155"/>
      <c r="V119" s="155"/>
      <c r="W119" s="209"/>
      <c r="X119" s="200"/>
      <c r="Y119" s="155"/>
      <c r="Z119" s="189">
        <v>1.6</v>
      </c>
      <c r="AA119" s="155"/>
      <c r="AB119" s="155"/>
      <c r="AC119" s="156">
        <v>1.8</v>
      </c>
      <c r="AD119" s="155"/>
      <c r="AE119" s="209"/>
      <c r="AF119" s="200"/>
      <c r="AG119" s="155"/>
      <c r="AH119" s="155">
        <v>-8</v>
      </c>
      <c r="AI119" s="155"/>
      <c r="AJ119" s="155"/>
      <c r="AK119" s="160">
        <v>20</v>
      </c>
      <c r="AL119" s="161">
        <v>1002</v>
      </c>
      <c r="AM119" s="162">
        <v>1002</v>
      </c>
      <c r="AN119" s="162">
        <v>1000</v>
      </c>
      <c r="AO119" s="162">
        <v>1000</v>
      </c>
      <c r="AP119" s="163">
        <v>1001</v>
      </c>
      <c r="AQ119" s="210"/>
      <c r="AR119" s="211"/>
      <c r="AS119" s="192"/>
    </row>
    <row r="120" spans="1:45" s="212" customFormat="1" x14ac:dyDescent="0.3">
      <c r="A120" s="207">
        <v>43236</v>
      </c>
      <c r="B120" s="198"/>
      <c r="C120" s="199"/>
      <c r="D120" s="199"/>
      <c r="E120" s="199"/>
      <c r="F120" s="199"/>
      <c r="G120" s="199"/>
      <c r="H120" s="199">
        <v>96.94</v>
      </c>
      <c r="I120" s="199">
        <v>98.32</v>
      </c>
      <c r="J120" s="199">
        <v>97.59</v>
      </c>
      <c r="K120" s="199"/>
      <c r="L120" s="199"/>
      <c r="M120" s="199"/>
      <c r="N120" s="199"/>
      <c r="O120" s="199"/>
      <c r="P120" s="199"/>
      <c r="Q120" s="148">
        <v>94</v>
      </c>
      <c r="R120" s="148">
        <v>99</v>
      </c>
      <c r="S120" s="151">
        <v>81.5</v>
      </c>
      <c r="T120" s="151">
        <v>111.5</v>
      </c>
      <c r="U120" s="155"/>
      <c r="V120" s="155"/>
      <c r="W120" s="209"/>
      <c r="X120" s="200"/>
      <c r="Y120" s="155"/>
      <c r="Z120" s="189">
        <v>0.7</v>
      </c>
      <c r="AA120" s="155"/>
      <c r="AB120" s="155"/>
      <c r="AC120" s="156">
        <v>1.8</v>
      </c>
      <c r="AD120" s="155"/>
      <c r="AE120" s="209"/>
      <c r="AF120" s="200"/>
      <c r="AG120" s="155"/>
      <c r="AH120" s="155">
        <v>2</v>
      </c>
      <c r="AI120" s="155"/>
      <c r="AJ120" s="155"/>
      <c r="AK120" s="160">
        <v>20</v>
      </c>
      <c r="AL120" s="161">
        <v>1002</v>
      </c>
      <c r="AM120" s="162">
        <v>1002</v>
      </c>
      <c r="AN120" s="162">
        <v>1000</v>
      </c>
      <c r="AO120" s="162">
        <v>1000</v>
      </c>
      <c r="AP120" s="163">
        <v>1001</v>
      </c>
      <c r="AQ120" s="210"/>
      <c r="AR120" s="211"/>
      <c r="AS120" s="192"/>
    </row>
    <row r="121" spans="1:45" s="212" customFormat="1" x14ac:dyDescent="0.3">
      <c r="A121" s="207">
        <v>43245</v>
      </c>
      <c r="B121" s="198"/>
      <c r="C121" s="199"/>
      <c r="D121" s="199"/>
      <c r="E121" s="199"/>
      <c r="F121" s="199"/>
      <c r="G121" s="199"/>
      <c r="H121" s="199">
        <v>96.93</v>
      </c>
      <c r="I121" s="199">
        <v>97.92</v>
      </c>
      <c r="J121" s="199">
        <v>97.38</v>
      </c>
      <c r="K121" s="199"/>
      <c r="L121" s="199"/>
      <c r="M121" s="199"/>
      <c r="N121" s="199"/>
      <c r="O121" s="199"/>
      <c r="P121" s="199"/>
      <c r="Q121" s="148">
        <v>94</v>
      </c>
      <c r="R121" s="148">
        <v>99</v>
      </c>
      <c r="S121" s="151">
        <v>81.5</v>
      </c>
      <c r="T121" s="151">
        <v>111.5</v>
      </c>
      <c r="U121" s="155"/>
      <c r="V121" s="155"/>
      <c r="W121" s="209"/>
      <c r="X121" s="200"/>
      <c r="Y121" s="155"/>
      <c r="Z121" s="189">
        <v>0.5</v>
      </c>
      <c r="AA121" s="155"/>
      <c r="AB121" s="155"/>
      <c r="AC121" s="156">
        <v>1.8</v>
      </c>
      <c r="AD121" s="155"/>
      <c r="AE121" s="209"/>
      <c r="AF121" s="200"/>
      <c r="AG121" s="155"/>
      <c r="AH121" s="155">
        <v>-8</v>
      </c>
      <c r="AI121" s="155"/>
      <c r="AJ121" s="155"/>
      <c r="AK121" s="160">
        <v>20</v>
      </c>
      <c r="AL121" s="161">
        <v>1002</v>
      </c>
      <c r="AM121" s="162">
        <v>1002</v>
      </c>
      <c r="AN121" s="162">
        <v>1000</v>
      </c>
      <c r="AO121" s="162">
        <v>1000</v>
      </c>
      <c r="AP121" s="163">
        <v>1001</v>
      </c>
      <c r="AQ121" s="210"/>
      <c r="AR121" s="211"/>
      <c r="AS121" s="192"/>
    </row>
    <row r="122" spans="1:45" s="212" customFormat="1" x14ac:dyDescent="0.3">
      <c r="A122" s="207">
        <v>43255</v>
      </c>
      <c r="B122" s="198"/>
      <c r="C122" s="199"/>
      <c r="D122" s="199"/>
      <c r="E122" s="199"/>
      <c r="F122" s="199"/>
      <c r="G122" s="199"/>
      <c r="H122" s="199">
        <v>97.17</v>
      </c>
      <c r="I122" s="199">
        <v>97.93</v>
      </c>
      <c r="J122" s="199">
        <v>97.59</v>
      </c>
      <c r="K122" s="199"/>
      <c r="L122" s="199"/>
      <c r="M122" s="199"/>
      <c r="N122" s="199"/>
      <c r="O122" s="199"/>
      <c r="P122" s="199"/>
      <c r="Q122" s="148">
        <v>94</v>
      </c>
      <c r="R122" s="148">
        <v>99</v>
      </c>
      <c r="S122" s="151">
        <v>81.5</v>
      </c>
      <c r="T122" s="151">
        <v>111.5</v>
      </c>
      <c r="U122" s="155"/>
      <c r="V122" s="155"/>
      <c r="W122" s="209"/>
      <c r="X122" s="200"/>
      <c r="Y122" s="155"/>
      <c r="Z122" s="189">
        <v>0.38</v>
      </c>
      <c r="AA122" s="155"/>
      <c r="AB122" s="155"/>
      <c r="AC122" s="156">
        <v>1.8</v>
      </c>
      <c r="AD122" s="155"/>
      <c r="AE122" s="209"/>
      <c r="AF122" s="200"/>
      <c r="AG122" s="155"/>
      <c r="AH122" s="155">
        <v>-18</v>
      </c>
      <c r="AI122" s="155"/>
      <c r="AJ122" s="155"/>
      <c r="AK122" s="160">
        <v>20</v>
      </c>
      <c r="AL122" s="161">
        <v>1002</v>
      </c>
      <c r="AM122" s="162">
        <v>1002</v>
      </c>
      <c r="AN122" s="162">
        <v>1000</v>
      </c>
      <c r="AO122" s="162">
        <v>1000</v>
      </c>
      <c r="AP122" s="163">
        <v>1001</v>
      </c>
      <c r="AQ122" s="210"/>
      <c r="AR122" s="211"/>
      <c r="AS122" s="192"/>
    </row>
    <row r="123" spans="1:45" s="212" customFormat="1" x14ac:dyDescent="0.3">
      <c r="A123" s="207">
        <v>43257</v>
      </c>
      <c r="B123" s="198"/>
      <c r="C123" s="199"/>
      <c r="D123" s="199"/>
      <c r="E123" s="199"/>
      <c r="F123" s="199"/>
      <c r="G123" s="199"/>
      <c r="H123" s="199">
        <v>97.85</v>
      </c>
      <c r="I123" s="199">
        <v>98.59</v>
      </c>
      <c r="J123" s="199">
        <v>98.23</v>
      </c>
      <c r="K123" s="199"/>
      <c r="L123" s="199"/>
      <c r="M123" s="199"/>
      <c r="N123" s="199"/>
      <c r="O123" s="199"/>
      <c r="P123" s="199"/>
      <c r="Q123" s="148">
        <v>94</v>
      </c>
      <c r="R123" s="148">
        <v>99</v>
      </c>
      <c r="S123" s="151">
        <v>81.5</v>
      </c>
      <c r="T123" s="151">
        <v>111.5</v>
      </c>
      <c r="U123" s="155"/>
      <c r="V123" s="155"/>
      <c r="W123" s="209"/>
      <c r="X123" s="200"/>
      <c r="Y123" s="155"/>
      <c r="Z123" s="189">
        <v>0.37</v>
      </c>
      <c r="AA123" s="155"/>
      <c r="AB123" s="155"/>
      <c r="AC123" s="156">
        <v>1.8</v>
      </c>
      <c r="AD123" s="155"/>
      <c r="AE123" s="209"/>
      <c r="AF123" s="200"/>
      <c r="AG123" s="155"/>
      <c r="AH123" s="155">
        <v>-20</v>
      </c>
      <c r="AI123" s="155"/>
      <c r="AJ123" s="155"/>
      <c r="AK123" s="160">
        <v>20</v>
      </c>
      <c r="AL123" s="161">
        <v>1002</v>
      </c>
      <c r="AM123" s="162">
        <v>1002</v>
      </c>
      <c r="AN123" s="162">
        <v>1000</v>
      </c>
      <c r="AO123" s="162">
        <v>1000</v>
      </c>
      <c r="AP123" s="163">
        <v>1001</v>
      </c>
      <c r="AQ123" s="210"/>
      <c r="AR123" s="211"/>
      <c r="AS123" s="192"/>
    </row>
    <row r="124" spans="1:45" s="212" customFormat="1" x14ac:dyDescent="0.3">
      <c r="A124" s="207">
        <v>43269</v>
      </c>
      <c r="B124" s="198"/>
      <c r="C124" s="199"/>
      <c r="D124" s="199"/>
      <c r="E124" s="199"/>
      <c r="F124" s="199"/>
      <c r="G124" s="199"/>
      <c r="H124" s="199">
        <v>96.7</v>
      </c>
      <c r="I124" s="199">
        <v>97.84</v>
      </c>
      <c r="J124" s="199">
        <v>97.41</v>
      </c>
      <c r="K124" s="199"/>
      <c r="L124" s="199"/>
      <c r="M124" s="199"/>
      <c r="N124" s="199"/>
      <c r="O124" s="199"/>
      <c r="P124" s="199"/>
      <c r="Q124" s="148">
        <v>94</v>
      </c>
      <c r="R124" s="148">
        <v>99</v>
      </c>
      <c r="S124" s="151">
        <v>81.5</v>
      </c>
      <c r="T124" s="151">
        <v>111.5</v>
      </c>
      <c r="U124" s="155"/>
      <c r="V124" s="155"/>
      <c r="W124" s="209"/>
      <c r="X124" s="200"/>
      <c r="Y124" s="155"/>
      <c r="Z124" s="189">
        <v>0.57999999999999996</v>
      </c>
      <c r="AA124" s="155"/>
      <c r="AB124" s="155"/>
      <c r="AC124" s="156">
        <v>1.8</v>
      </c>
      <c r="AD124" s="155"/>
      <c r="AE124" s="209"/>
      <c r="AF124" s="200"/>
      <c r="AG124" s="155"/>
      <c r="AH124" s="155">
        <v>-4</v>
      </c>
      <c r="AI124" s="155"/>
      <c r="AJ124" s="155"/>
      <c r="AK124" s="160">
        <v>20</v>
      </c>
      <c r="AL124" s="161">
        <v>1002</v>
      </c>
      <c r="AM124" s="162">
        <v>1002</v>
      </c>
      <c r="AN124" s="162">
        <v>1000</v>
      </c>
      <c r="AO124" s="162">
        <v>1000</v>
      </c>
      <c r="AP124" s="163">
        <v>1001</v>
      </c>
      <c r="AQ124" s="210"/>
      <c r="AR124" s="211"/>
      <c r="AS124" s="192"/>
    </row>
    <row r="125" spans="1:45" s="212" customFormat="1" x14ac:dyDescent="0.3">
      <c r="A125" s="207">
        <v>43271</v>
      </c>
      <c r="B125" s="198"/>
      <c r="C125" s="199"/>
      <c r="D125" s="199"/>
      <c r="E125" s="199"/>
      <c r="F125" s="199"/>
      <c r="G125" s="199"/>
      <c r="H125" s="199">
        <v>96.47</v>
      </c>
      <c r="I125" s="199">
        <v>97.33</v>
      </c>
      <c r="J125" s="199">
        <v>96.89</v>
      </c>
      <c r="K125" s="199"/>
      <c r="L125" s="199"/>
      <c r="M125" s="199"/>
      <c r="N125" s="199"/>
      <c r="O125" s="199"/>
      <c r="P125" s="199"/>
      <c r="Q125" s="148">
        <v>94</v>
      </c>
      <c r="R125" s="148">
        <v>99</v>
      </c>
      <c r="S125" s="151">
        <v>81.5</v>
      </c>
      <c r="T125" s="151">
        <v>111.5</v>
      </c>
      <c r="U125" s="155"/>
      <c r="V125" s="155"/>
      <c r="W125" s="209"/>
      <c r="X125" s="200"/>
      <c r="Y125" s="155"/>
      <c r="Z125" s="189">
        <v>0.44</v>
      </c>
      <c r="AA125" s="155"/>
      <c r="AB125" s="155"/>
      <c r="AC125" s="156">
        <v>1.8</v>
      </c>
      <c r="AD125" s="155"/>
      <c r="AE125" s="209"/>
      <c r="AF125" s="200"/>
      <c r="AG125" s="155"/>
      <c r="AH125" s="155">
        <v>-1</v>
      </c>
      <c r="AI125" s="155"/>
      <c r="AJ125" s="155"/>
      <c r="AK125" s="160">
        <v>20</v>
      </c>
      <c r="AL125" s="161">
        <v>1002</v>
      </c>
      <c r="AM125" s="162">
        <v>1002</v>
      </c>
      <c r="AN125" s="162">
        <v>1000</v>
      </c>
      <c r="AO125" s="162">
        <v>1000</v>
      </c>
      <c r="AP125" s="163">
        <v>1001</v>
      </c>
      <c r="AQ125" s="210"/>
      <c r="AR125" s="211"/>
      <c r="AS125" s="192"/>
    </row>
    <row r="126" spans="1:45" s="212" customFormat="1" x14ac:dyDescent="0.3">
      <c r="A126" s="207">
        <v>43276</v>
      </c>
      <c r="B126" s="198"/>
      <c r="C126" s="199"/>
      <c r="D126" s="199"/>
      <c r="E126" s="199"/>
      <c r="F126" s="199"/>
      <c r="G126" s="199"/>
      <c r="H126" s="199">
        <v>96.94</v>
      </c>
      <c r="I126" s="199">
        <v>97.58</v>
      </c>
      <c r="J126" s="199">
        <v>97.28</v>
      </c>
      <c r="K126" s="199"/>
      <c r="L126" s="199"/>
      <c r="M126" s="199"/>
      <c r="N126" s="199"/>
      <c r="O126" s="199"/>
      <c r="P126" s="199"/>
      <c r="Q126" s="148">
        <v>94</v>
      </c>
      <c r="R126" s="148">
        <v>99</v>
      </c>
      <c r="S126" s="151">
        <v>81.5</v>
      </c>
      <c r="T126" s="151">
        <v>111.5</v>
      </c>
      <c r="U126" s="155"/>
      <c r="V126" s="155"/>
      <c r="W126" s="209"/>
      <c r="X126" s="200"/>
      <c r="Y126" s="155"/>
      <c r="Z126" s="189">
        <v>0.33</v>
      </c>
      <c r="AA126" s="155"/>
      <c r="AB126" s="155"/>
      <c r="AC126" s="156">
        <v>1.8</v>
      </c>
      <c r="AD126" s="155"/>
      <c r="AE126" s="209"/>
      <c r="AF126" s="200"/>
      <c r="AG126" s="155"/>
      <c r="AH126" s="155">
        <v>0</v>
      </c>
      <c r="AI126" s="155"/>
      <c r="AJ126" s="155"/>
      <c r="AK126" s="160">
        <v>20</v>
      </c>
      <c r="AL126" s="161">
        <v>1002</v>
      </c>
      <c r="AM126" s="162">
        <v>1002</v>
      </c>
      <c r="AN126" s="162">
        <v>1000</v>
      </c>
      <c r="AO126" s="162">
        <v>1000</v>
      </c>
      <c r="AP126" s="163">
        <v>1001</v>
      </c>
      <c r="AQ126" s="210"/>
      <c r="AR126" s="211"/>
      <c r="AS126" s="192"/>
    </row>
    <row r="127" spans="1:45" s="212" customFormat="1" x14ac:dyDescent="0.3">
      <c r="A127" s="207">
        <v>43277</v>
      </c>
      <c r="B127" s="198"/>
      <c r="C127" s="199"/>
      <c r="D127" s="199"/>
      <c r="E127" s="199"/>
      <c r="F127" s="199"/>
      <c r="G127" s="199"/>
      <c r="H127" s="199">
        <v>96.86</v>
      </c>
      <c r="I127" s="199">
        <v>98.3</v>
      </c>
      <c r="J127" s="199">
        <v>97.54</v>
      </c>
      <c r="K127" s="199"/>
      <c r="L127" s="199"/>
      <c r="M127" s="199"/>
      <c r="N127" s="199"/>
      <c r="O127" s="199"/>
      <c r="P127" s="199"/>
      <c r="Q127" s="148">
        <v>94</v>
      </c>
      <c r="R127" s="148">
        <v>99</v>
      </c>
      <c r="S127" s="151">
        <v>81.5</v>
      </c>
      <c r="T127" s="151">
        <v>111.5</v>
      </c>
      <c r="U127" s="155"/>
      <c r="V127" s="155"/>
      <c r="W127" s="209"/>
      <c r="X127" s="200"/>
      <c r="Y127" s="155"/>
      <c r="Z127" s="189">
        <v>0.73</v>
      </c>
      <c r="AA127" s="155"/>
      <c r="AB127" s="155"/>
      <c r="AC127" s="156">
        <v>1.8</v>
      </c>
      <c r="AD127" s="155"/>
      <c r="AE127" s="209"/>
      <c r="AF127" s="200"/>
      <c r="AG127" s="155"/>
      <c r="AH127" s="155">
        <v>3</v>
      </c>
      <c r="AI127" s="155"/>
      <c r="AJ127" s="155"/>
      <c r="AK127" s="160">
        <v>20</v>
      </c>
      <c r="AL127" s="161">
        <v>1002</v>
      </c>
      <c r="AM127" s="162">
        <v>1002</v>
      </c>
      <c r="AN127" s="162">
        <v>1000</v>
      </c>
      <c r="AO127" s="162">
        <v>1000</v>
      </c>
      <c r="AP127" s="163">
        <v>1001</v>
      </c>
      <c r="AQ127" s="210"/>
      <c r="AR127" s="211"/>
      <c r="AS127" s="192"/>
    </row>
    <row r="128" spans="1:45" s="212" customFormat="1" x14ac:dyDescent="0.3">
      <c r="A128" s="207">
        <v>43287</v>
      </c>
      <c r="B128" s="198"/>
      <c r="C128" s="199"/>
      <c r="D128" s="199"/>
      <c r="E128" s="199"/>
      <c r="F128" s="199"/>
      <c r="G128" s="199"/>
      <c r="H128" s="199">
        <v>98.01</v>
      </c>
      <c r="I128" s="199">
        <v>98.99</v>
      </c>
      <c r="J128" s="199">
        <v>98.31</v>
      </c>
      <c r="K128" s="199"/>
      <c r="L128" s="199"/>
      <c r="M128" s="199"/>
      <c r="N128" s="199"/>
      <c r="O128" s="199"/>
      <c r="P128" s="199"/>
      <c r="Q128" s="148">
        <v>94</v>
      </c>
      <c r="R128" s="148">
        <v>99</v>
      </c>
      <c r="S128" s="151">
        <v>81.5</v>
      </c>
      <c r="T128" s="151">
        <v>111.5</v>
      </c>
      <c r="U128" s="155"/>
      <c r="V128" s="155"/>
      <c r="W128" s="209"/>
      <c r="X128" s="200"/>
      <c r="Y128" s="155"/>
      <c r="Z128" s="189">
        <v>0.49</v>
      </c>
      <c r="AA128" s="155"/>
      <c r="AB128" s="155"/>
      <c r="AC128" s="156">
        <v>1.8</v>
      </c>
      <c r="AD128" s="155"/>
      <c r="AE128" s="209"/>
      <c r="AF128" s="200"/>
      <c r="AG128" s="155"/>
      <c r="AH128" s="155">
        <v>-3</v>
      </c>
      <c r="AI128" s="155"/>
      <c r="AJ128" s="155"/>
      <c r="AK128" s="160">
        <v>20</v>
      </c>
      <c r="AL128" s="161">
        <v>1002</v>
      </c>
      <c r="AM128" s="162">
        <v>1002</v>
      </c>
      <c r="AN128" s="162">
        <v>1000</v>
      </c>
      <c r="AO128" s="162">
        <v>1000</v>
      </c>
      <c r="AP128" s="163">
        <v>1001</v>
      </c>
      <c r="AQ128" s="210"/>
      <c r="AR128" s="211"/>
      <c r="AS128" s="192"/>
    </row>
    <row r="129" spans="1:45" s="212" customFormat="1" x14ac:dyDescent="0.3">
      <c r="A129" s="207">
        <v>43304</v>
      </c>
      <c r="B129" s="198"/>
      <c r="C129" s="199"/>
      <c r="D129" s="199"/>
      <c r="E129" s="199"/>
      <c r="F129" s="199"/>
      <c r="G129" s="199"/>
      <c r="H129" s="199">
        <v>98.02</v>
      </c>
      <c r="I129" s="199">
        <v>98.81</v>
      </c>
      <c r="J129" s="199">
        <v>98.39</v>
      </c>
      <c r="K129" s="199"/>
      <c r="L129" s="199"/>
      <c r="M129" s="199"/>
      <c r="N129" s="199"/>
      <c r="O129" s="199"/>
      <c r="P129" s="199"/>
      <c r="Q129" s="148">
        <v>94</v>
      </c>
      <c r="R129" s="148">
        <v>99</v>
      </c>
      <c r="S129" s="151">
        <v>81.5</v>
      </c>
      <c r="T129" s="151">
        <v>111.5</v>
      </c>
      <c r="U129" s="155"/>
      <c r="V129" s="155"/>
      <c r="W129" s="209"/>
      <c r="X129" s="200"/>
      <c r="Y129" s="155"/>
      <c r="Z129" s="189">
        <v>0.4</v>
      </c>
      <c r="AA129" s="155"/>
      <c r="AB129" s="155"/>
      <c r="AC129" s="156">
        <v>1.8</v>
      </c>
      <c r="AD129" s="155"/>
      <c r="AE129" s="209"/>
      <c r="AF129" s="200"/>
      <c r="AG129" s="155"/>
      <c r="AH129" s="155">
        <v>-16</v>
      </c>
      <c r="AI129" s="155"/>
      <c r="AJ129" s="155"/>
      <c r="AK129" s="160">
        <v>20</v>
      </c>
      <c r="AL129" s="161">
        <v>1002</v>
      </c>
      <c r="AM129" s="162">
        <v>1002</v>
      </c>
      <c r="AN129" s="162">
        <v>1000</v>
      </c>
      <c r="AO129" s="162">
        <v>1000</v>
      </c>
      <c r="AP129" s="163">
        <v>1001</v>
      </c>
      <c r="AQ129" s="210"/>
      <c r="AR129" s="211"/>
      <c r="AS129" s="192"/>
    </row>
    <row r="130" spans="1:45" s="212" customFormat="1" x14ac:dyDescent="0.3">
      <c r="A130" s="207">
        <v>43313</v>
      </c>
      <c r="B130" s="198"/>
      <c r="C130" s="199"/>
      <c r="D130" s="199"/>
      <c r="E130" s="199"/>
      <c r="F130" s="199"/>
      <c r="G130" s="199"/>
      <c r="H130" s="199">
        <v>97.83</v>
      </c>
      <c r="I130" s="199">
        <v>99.48</v>
      </c>
      <c r="J130" s="199">
        <v>98.63</v>
      </c>
      <c r="K130" s="199"/>
      <c r="L130" s="199"/>
      <c r="M130" s="199"/>
      <c r="N130" s="199"/>
      <c r="O130" s="199"/>
      <c r="P130" s="199"/>
      <c r="Q130" s="148">
        <v>94</v>
      </c>
      <c r="R130" s="148">
        <v>99</v>
      </c>
      <c r="S130" s="151">
        <v>81.5</v>
      </c>
      <c r="T130" s="151">
        <v>111.5</v>
      </c>
      <c r="U130" s="155"/>
      <c r="V130" s="155"/>
      <c r="W130" s="209"/>
      <c r="X130" s="200"/>
      <c r="Y130" s="155"/>
      <c r="Z130" s="189">
        <v>0.83</v>
      </c>
      <c r="AA130" s="155"/>
      <c r="AB130" s="155"/>
      <c r="AC130" s="156">
        <v>1.8</v>
      </c>
      <c r="AD130" s="155"/>
      <c r="AE130" s="209"/>
      <c r="AF130" s="200"/>
      <c r="AG130" s="155"/>
      <c r="AH130" s="155">
        <v>-10</v>
      </c>
      <c r="AI130" s="155"/>
      <c r="AJ130" s="155"/>
      <c r="AK130" s="160">
        <v>20</v>
      </c>
      <c r="AL130" s="161">
        <v>1002</v>
      </c>
      <c r="AM130" s="162">
        <v>1002</v>
      </c>
      <c r="AN130" s="162">
        <v>1000</v>
      </c>
      <c r="AO130" s="162">
        <v>1000</v>
      </c>
      <c r="AP130" s="163">
        <v>1001</v>
      </c>
      <c r="AQ130" s="210"/>
      <c r="AR130" s="211"/>
      <c r="AS130" s="192"/>
    </row>
    <row r="131" spans="1:45" s="212" customFormat="1" x14ac:dyDescent="0.3">
      <c r="A131" s="207">
        <v>43332</v>
      </c>
      <c r="B131" s="198"/>
      <c r="C131" s="199"/>
      <c r="D131" s="199"/>
      <c r="E131" s="199"/>
      <c r="F131" s="199"/>
      <c r="G131" s="199"/>
      <c r="H131" s="199">
        <v>97.75</v>
      </c>
      <c r="I131" s="199">
        <v>99.48</v>
      </c>
      <c r="J131" s="199">
        <v>98.55</v>
      </c>
      <c r="K131" s="199"/>
      <c r="L131" s="199"/>
      <c r="M131" s="199"/>
      <c r="N131" s="199"/>
      <c r="O131" s="199"/>
      <c r="P131" s="199"/>
      <c r="Q131" s="148">
        <v>94</v>
      </c>
      <c r="R131" s="148">
        <v>99</v>
      </c>
      <c r="S131" s="151">
        <v>81.5</v>
      </c>
      <c r="T131" s="151">
        <v>111.5</v>
      </c>
      <c r="U131" s="155"/>
      <c r="V131" s="155"/>
      <c r="W131" s="209"/>
      <c r="X131" s="200"/>
      <c r="Y131" s="155"/>
      <c r="Z131" s="189">
        <v>0.87</v>
      </c>
      <c r="AA131" s="155"/>
      <c r="AB131" s="155"/>
      <c r="AC131" s="156">
        <v>1.8</v>
      </c>
      <c r="AD131" s="155"/>
      <c r="AE131" s="209"/>
      <c r="AF131" s="200"/>
      <c r="AG131" s="155"/>
      <c r="AH131" s="155">
        <v>-5</v>
      </c>
      <c r="AI131" s="155"/>
      <c r="AJ131" s="155"/>
      <c r="AK131" s="160">
        <v>20</v>
      </c>
      <c r="AL131" s="161">
        <v>1002</v>
      </c>
      <c r="AM131" s="162">
        <v>1002</v>
      </c>
      <c r="AN131" s="162">
        <v>1000</v>
      </c>
      <c r="AO131" s="162">
        <v>1000</v>
      </c>
      <c r="AP131" s="163">
        <v>1001</v>
      </c>
      <c r="AQ131" s="210"/>
      <c r="AR131" s="211"/>
      <c r="AS131" s="192"/>
    </row>
    <row r="132" spans="1:45" s="212" customFormat="1" x14ac:dyDescent="0.3">
      <c r="A132" s="207">
        <v>43336</v>
      </c>
      <c r="B132" s="198"/>
      <c r="C132" s="199"/>
      <c r="D132" s="199"/>
      <c r="E132" s="199"/>
      <c r="F132" s="199"/>
      <c r="G132" s="199"/>
      <c r="H132" s="199">
        <v>96.71</v>
      </c>
      <c r="I132" s="199">
        <v>98</v>
      </c>
      <c r="J132" s="199">
        <v>97.34</v>
      </c>
      <c r="K132" s="199"/>
      <c r="L132" s="199"/>
      <c r="M132" s="199"/>
      <c r="N132" s="199"/>
      <c r="O132" s="199"/>
      <c r="P132" s="199"/>
      <c r="Q132" s="148">
        <v>94</v>
      </c>
      <c r="R132" s="148">
        <v>99</v>
      </c>
      <c r="S132" s="151">
        <v>81.5</v>
      </c>
      <c r="T132" s="151">
        <v>111.5</v>
      </c>
      <c r="U132" s="155"/>
      <c r="V132" s="155"/>
      <c r="W132" s="209"/>
      <c r="X132" s="200"/>
      <c r="Y132" s="155"/>
      <c r="Z132" s="189">
        <v>0.66</v>
      </c>
      <c r="AA132" s="155"/>
      <c r="AB132" s="155"/>
      <c r="AC132" s="156">
        <v>1.8</v>
      </c>
      <c r="AD132" s="155"/>
      <c r="AE132" s="209"/>
      <c r="AF132" s="200"/>
      <c r="AG132" s="155"/>
      <c r="AH132" s="155">
        <v>-18</v>
      </c>
      <c r="AI132" s="155"/>
      <c r="AJ132" s="155"/>
      <c r="AK132" s="160">
        <v>20</v>
      </c>
      <c r="AL132" s="161">
        <v>1002</v>
      </c>
      <c r="AM132" s="162">
        <v>1002</v>
      </c>
      <c r="AN132" s="162">
        <v>1000</v>
      </c>
      <c r="AO132" s="162">
        <v>1000</v>
      </c>
      <c r="AP132" s="163">
        <v>1001</v>
      </c>
      <c r="AQ132" s="210"/>
      <c r="AR132" s="211"/>
      <c r="AS132" s="192"/>
    </row>
    <row r="133" spans="1:45" s="212" customFormat="1" x14ac:dyDescent="0.3">
      <c r="A133" s="207">
        <v>43349</v>
      </c>
      <c r="B133" s="198"/>
      <c r="C133" s="199"/>
      <c r="D133" s="199"/>
      <c r="E133" s="199"/>
      <c r="F133" s="199"/>
      <c r="G133" s="199"/>
      <c r="H133" s="199">
        <v>98.21</v>
      </c>
      <c r="I133" s="199">
        <v>99.45</v>
      </c>
      <c r="J133" s="199">
        <v>98.86</v>
      </c>
      <c r="K133" s="199"/>
      <c r="L133" s="199"/>
      <c r="M133" s="199"/>
      <c r="N133" s="199"/>
      <c r="O133" s="199"/>
      <c r="P133" s="199"/>
      <c r="Q133" s="148">
        <v>94</v>
      </c>
      <c r="R133" s="148">
        <v>99</v>
      </c>
      <c r="S133" s="151">
        <v>81.5</v>
      </c>
      <c r="T133" s="151">
        <v>111.5</v>
      </c>
      <c r="U133" s="155"/>
      <c r="V133" s="155"/>
      <c r="W133" s="209"/>
      <c r="X133" s="200"/>
      <c r="Y133" s="155"/>
      <c r="Z133" s="189">
        <v>0.62</v>
      </c>
      <c r="AA133" s="155"/>
      <c r="AB133" s="155"/>
      <c r="AC133" s="156">
        <v>1.8</v>
      </c>
      <c r="AD133" s="155"/>
      <c r="AE133" s="209"/>
      <c r="AF133" s="200"/>
      <c r="AG133" s="155"/>
      <c r="AH133" s="155">
        <v>-9</v>
      </c>
      <c r="AI133" s="155"/>
      <c r="AJ133" s="155"/>
      <c r="AK133" s="160">
        <v>20</v>
      </c>
      <c r="AL133" s="161">
        <v>1002</v>
      </c>
      <c r="AM133" s="162">
        <v>1002</v>
      </c>
      <c r="AN133" s="162">
        <v>1000</v>
      </c>
      <c r="AO133" s="162">
        <v>1000</v>
      </c>
      <c r="AP133" s="163">
        <v>1001</v>
      </c>
      <c r="AQ133" s="210"/>
      <c r="AR133" s="211"/>
      <c r="AS133" s="192"/>
    </row>
    <row r="134" spans="1:45" s="212" customFormat="1" x14ac:dyDescent="0.3">
      <c r="A134" s="207">
        <v>43381</v>
      </c>
      <c r="B134" s="198"/>
      <c r="C134" s="199"/>
      <c r="D134" s="199"/>
      <c r="E134" s="199"/>
      <c r="F134" s="199"/>
      <c r="G134" s="199"/>
      <c r="H134" s="199">
        <v>98.48</v>
      </c>
      <c r="I134" s="199">
        <v>100.1</v>
      </c>
      <c r="J134" s="199">
        <v>99.39</v>
      </c>
      <c r="K134" s="199"/>
      <c r="L134" s="199"/>
      <c r="M134" s="199"/>
      <c r="N134" s="199"/>
      <c r="O134" s="199"/>
      <c r="P134" s="199"/>
      <c r="Q134" s="148">
        <v>94</v>
      </c>
      <c r="R134" s="148">
        <v>99</v>
      </c>
      <c r="S134" s="151">
        <v>81.5</v>
      </c>
      <c r="T134" s="151">
        <v>111.5</v>
      </c>
      <c r="U134" s="155"/>
      <c r="V134" s="155"/>
      <c r="W134" s="209"/>
      <c r="X134" s="200"/>
      <c r="Y134" s="155"/>
      <c r="Z134" s="189">
        <v>0.81</v>
      </c>
      <c r="AA134" s="155"/>
      <c r="AB134" s="155"/>
      <c r="AC134" s="156">
        <v>1.8</v>
      </c>
      <c r="AD134" s="155"/>
      <c r="AE134" s="209"/>
      <c r="AF134" s="200"/>
      <c r="AG134" s="155"/>
      <c r="AH134" s="155">
        <v>0</v>
      </c>
      <c r="AI134" s="155"/>
      <c r="AJ134" s="155"/>
      <c r="AK134" s="160">
        <v>20</v>
      </c>
      <c r="AL134" s="161">
        <v>1002</v>
      </c>
      <c r="AM134" s="162">
        <v>1002</v>
      </c>
      <c r="AN134" s="162">
        <v>1000</v>
      </c>
      <c r="AO134" s="162">
        <v>1000</v>
      </c>
      <c r="AP134" s="163">
        <v>1001</v>
      </c>
      <c r="AQ134" s="210"/>
      <c r="AR134" s="211"/>
      <c r="AS134" s="192"/>
    </row>
    <row r="135" spans="1:45" s="212" customFormat="1" x14ac:dyDescent="0.3">
      <c r="A135" s="207">
        <v>43387</v>
      </c>
      <c r="B135" s="198"/>
      <c r="C135" s="199"/>
      <c r="D135" s="199"/>
      <c r="E135" s="199"/>
      <c r="F135" s="199"/>
      <c r="G135" s="199"/>
      <c r="H135" s="199">
        <v>97.13</v>
      </c>
      <c r="I135" s="199">
        <v>101.33</v>
      </c>
      <c r="J135" s="199">
        <v>98.45</v>
      </c>
      <c r="K135" s="199"/>
      <c r="L135" s="199"/>
      <c r="M135" s="199"/>
      <c r="N135" s="199"/>
      <c r="O135" s="199"/>
      <c r="P135" s="199"/>
      <c r="Q135" s="148">
        <v>94</v>
      </c>
      <c r="R135" s="148">
        <v>99</v>
      </c>
      <c r="S135" s="151">
        <v>81.5</v>
      </c>
      <c r="T135" s="151">
        <v>111.5</v>
      </c>
      <c r="U135" s="155"/>
      <c r="V135" s="155"/>
      <c r="W135" s="209"/>
      <c r="X135" s="200"/>
      <c r="Y135" s="155"/>
      <c r="Z135" s="189">
        <v>2.11</v>
      </c>
      <c r="AA135" s="155"/>
      <c r="AB135" s="155"/>
      <c r="AC135" s="156">
        <v>1.8</v>
      </c>
      <c r="AD135" s="155"/>
      <c r="AE135" s="209"/>
      <c r="AF135" s="200"/>
      <c r="AG135" s="155"/>
      <c r="AH135" s="155">
        <v>1</v>
      </c>
      <c r="AI135" s="155"/>
      <c r="AJ135" s="155"/>
      <c r="AK135" s="160">
        <v>20</v>
      </c>
      <c r="AL135" s="161">
        <v>1002</v>
      </c>
      <c r="AM135" s="162">
        <v>1002</v>
      </c>
      <c r="AN135" s="162">
        <v>1000</v>
      </c>
      <c r="AO135" s="162">
        <v>1000</v>
      </c>
      <c r="AP135" s="163">
        <v>1001</v>
      </c>
      <c r="AQ135" s="210"/>
      <c r="AR135" s="211"/>
      <c r="AS135" s="192"/>
    </row>
    <row r="136" spans="1:45" s="212" customFormat="1" x14ac:dyDescent="0.3">
      <c r="A136" s="207">
        <v>43389</v>
      </c>
      <c r="B136" s="198"/>
      <c r="C136" s="199"/>
      <c r="D136" s="199"/>
      <c r="E136" s="199"/>
      <c r="F136" s="199"/>
      <c r="G136" s="199"/>
      <c r="H136" s="199">
        <v>97.13</v>
      </c>
      <c r="I136" s="199">
        <v>99.21</v>
      </c>
      <c r="J136" s="199">
        <v>98.2</v>
      </c>
      <c r="K136" s="199"/>
      <c r="L136" s="199"/>
      <c r="M136" s="199"/>
      <c r="N136" s="199"/>
      <c r="O136" s="199"/>
      <c r="P136" s="199"/>
      <c r="Q136" s="148">
        <v>94</v>
      </c>
      <c r="R136" s="148">
        <v>99</v>
      </c>
      <c r="S136" s="151">
        <v>81.5</v>
      </c>
      <c r="T136" s="151">
        <v>111.5</v>
      </c>
      <c r="U136" s="155"/>
      <c r="V136" s="155"/>
      <c r="W136" s="209"/>
      <c r="X136" s="200"/>
      <c r="Y136" s="155"/>
      <c r="Z136" s="189">
        <v>0.86</v>
      </c>
      <c r="AA136" s="155"/>
      <c r="AB136" s="155"/>
      <c r="AC136" s="156">
        <v>1.8</v>
      </c>
      <c r="AD136" s="155"/>
      <c r="AE136" s="209"/>
      <c r="AF136" s="200"/>
      <c r="AG136" s="155"/>
      <c r="AH136" s="155">
        <v>-8</v>
      </c>
      <c r="AI136" s="155"/>
      <c r="AJ136" s="155"/>
      <c r="AK136" s="160">
        <v>20</v>
      </c>
      <c r="AL136" s="161">
        <v>1002</v>
      </c>
      <c r="AM136" s="162">
        <v>1002</v>
      </c>
      <c r="AN136" s="162">
        <v>1000</v>
      </c>
      <c r="AO136" s="162">
        <v>1000</v>
      </c>
      <c r="AP136" s="163">
        <v>1001</v>
      </c>
      <c r="AQ136" s="210"/>
      <c r="AR136" s="211"/>
      <c r="AS136" s="192"/>
    </row>
    <row r="137" spans="1:45" s="212" customFormat="1" x14ac:dyDescent="0.3">
      <c r="A137" s="207">
        <v>43402</v>
      </c>
      <c r="B137" s="198"/>
      <c r="C137" s="199"/>
      <c r="D137" s="199"/>
      <c r="E137" s="199"/>
      <c r="F137" s="199"/>
      <c r="G137" s="199"/>
      <c r="H137" s="199">
        <v>98.73</v>
      </c>
      <c r="I137" s="199">
        <v>100.01</v>
      </c>
      <c r="J137" s="199">
        <v>99.46</v>
      </c>
      <c r="K137" s="199"/>
      <c r="L137" s="199"/>
      <c r="M137" s="199"/>
      <c r="N137" s="199"/>
      <c r="O137" s="199"/>
      <c r="P137" s="199"/>
      <c r="Q137" s="148">
        <v>94</v>
      </c>
      <c r="R137" s="148">
        <v>99</v>
      </c>
      <c r="S137" s="151">
        <v>81.5</v>
      </c>
      <c r="T137" s="151">
        <v>111.5</v>
      </c>
      <c r="U137" s="155"/>
      <c r="V137" s="155"/>
      <c r="W137" s="209"/>
      <c r="X137" s="200"/>
      <c r="Y137" s="155"/>
      <c r="Z137" s="189">
        <v>0.64</v>
      </c>
      <c r="AA137" s="155"/>
      <c r="AB137" s="155"/>
      <c r="AC137" s="156">
        <v>1.8</v>
      </c>
      <c r="AD137" s="155"/>
      <c r="AE137" s="209"/>
      <c r="AF137" s="200"/>
      <c r="AG137" s="155"/>
      <c r="AH137" s="155">
        <v>-20</v>
      </c>
      <c r="AI137" s="155"/>
      <c r="AJ137" s="155"/>
      <c r="AK137" s="160">
        <v>20</v>
      </c>
      <c r="AL137" s="161">
        <v>1002</v>
      </c>
      <c r="AM137" s="162">
        <v>1002</v>
      </c>
      <c r="AN137" s="162">
        <v>1000</v>
      </c>
      <c r="AO137" s="162">
        <v>1000</v>
      </c>
      <c r="AP137" s="163">
        <v>1001</v>
      </c>
      <c r="AQ137" s="210"/>
      <c r="AR137" s="211"/>
      <c r="AS137" s="192"/>
    </row>
    <row r="138" spans="1:45" s="212" customFormat="1" x14ac:dyDescent="0.3">
      <c r="A138" s="207">
        <v>43409</v>
      </c>
      <c r="B138" s="198">
        <v>98.04</v>
      </c>
      <c r="C138" s="199">
        <v>100.44</v>
      </c>
      <c r="D138" s="199">
        <v>99.14</v>
      </c>
      <c r="E138" s="199"/>
      <c r="F138" s="199"/>
      <c r="G138" s="199"/>
      <c r="H138" s="199">
        <v>98.44</v>
      </c>
      <c r="I138" s="199">
        <v>99.8</v>
      </c>
      <c r="J138" s="199">
        <v>99.21</v>
      </c>
      <c r="K138" s="199"/>
      <c r="L138" s="199"/>
      <c r="M138" s="199"/>
      <c r="N138" s="199"/>
      <c r="O138" s="199"/>
      <c r="P138" s="199"/>
      <c r="Q138" s="148">
        <v>94</v>
      </c>
      <c r="R138" s="148">
        <v>99</v>
      </c>
      <c r="S138" s="151">
        <v>81.5</v>
      </c>
      <c r="T138" s="151">
        <v>111.5</v>
      </c>
      <c r="U138" s="155"/>
      <c r="V138" s="155"/>
      <c r="W138" s="209"/>
      <c r="X138" s="200">
        <v>1.2</v>
      </c>
      <c r="Y138" s="155"/>
      <c r="Z138" s="189">
        <v>0.68</v>
      </c>
      <c r="AA138" s="155"/>
      <c r="AB138" s="155">
        <v>1.18</v>
      </c>
      <c r="AC138" s="156">
        <v>1.8</v>
      </c>
      <c r="AD138" s="155"/>
      <c r="AE138" s="209"/>
      <c r="AF138" s="200">
        <v>-5</v>
      </c>
      <c r="AG138" s="155"/>
      <c r="AH138" s="155">
        <v>-2</v>
      </c>
      <c r="AI138" s="155"/>
      <c r="AJ138" s="155">
        <v>1</v>
      </c>
      <c r="AK138" s="160">
        <v>20</v>
      </c>
      <c r="AL138" s="161">
        <v>1002</v>
      </c>
      <c r="AM138" s="162">
        <v>1002</v>
      </c>
      <c r="AN138" s="162">
        <v>1000</v>
      </c>
      <c r="AO138" s="162">
        <v>1000</v>
      </c>
      <c r="AP138" s="163">
        <v>1001</v>
      </c>
      <c r="AQ138" s="210"/>
      <c r="AR138" s="211"/>
      <c r="AS138" s="192"/>
    </row>
    <row r="139" spans="1:45" s="212" customFormat="1" x14ac:dyDescent="0.3">
      <c r="A139" s="207">
        <v>43423</v>
      </c>
      <c r="B139" s="198"/>
      <c r="C139" s="199"/>
      <c r="D139" s="199"/>
      <c r="E139" s="199"/>
      <c r="F139" s="199"/>
      <c r="G139" s="199"/>
      <c r="H139" s="199">
        <v>98.71</v>
      </c>
      <c r="I139" s="199">
        <v>100.28</v>
      </c>
      <c r="J139" s="199">
        <v>99.41</v>
      </c>
      <c r="K139" s="199"/>
      <c r="L139" s="199"/>
      <c r="M139" s="199"/>
      <c r="N139" s="199"/>
      <c r="O139" s="199"/>
      <c r="P139" s="199"/>
      <c r="Q139" s="148">
        <v>94</v>
      </c>
      <c r="R139" s="148">
        <v>99</v>
      </c>
      <c r="S139" s="151">
        <v>81.5</v>
      </c>
      <c r="T139" s="151">
        <v>111.5</v>
      </c>
      <c r="U139" s="155"/>
      <c r="V139" s="155"/>
      <c r="W139" s="209"/>
      <c r="X139" s="200"/>
      <c r="Y139" s="155"/>
      <c r="Z139" s="189">
        <v>0.79</v>
      </c>
      <c r="AA139" s="155"/>
      <c r="AB139" s="155"/>
      <c r="AC139" s="156">
        <v>1.8</v>
      </c>
      <c r="AD139" s="155"/>
      <c r="AE139" s="209"/>
      <c r="AF139" s="200"/>
      <c r="AG139" s="155"/>
      <c r="AH139" s="155">
        <v>-5</v>
      </c>
      <c r="AI139" s="155"/>
      <c r="AJ139" s="155"/>
      <c r="AK139" s="160">
        <v>20</v>
      </c>
      <c r="AL139" s="161">
        <v>1002</v>
      </c>
      <c r="AM139" s="162">
        <v>1002</v>
      </c>
      <c r="AN139" s="162">
        <v>1000</v>
      </c>
      <c r="AO139" s="162">
        <v>1000</v>
      </c>
      <c r="AP139" s="163">
        <v>1001</v>
      </c>
      <c r="AQ139" s="210"/>
      <c r="AR139" s="211"/>
      <c r="AS139" s="192"/>
    </row>
    <row r="140" spans="1:45" s="212" customFormat="1" x14ac:dyDescent="0.3">
      <c r="A140" s="207">
        <v>43453</v>
      </c>
      <c r="B140" s="198"/>
      <c r="C140" s="199"/>
      <c r="D140" s="199"/>
      <c r="E140" s="199"/>
      <c r="F140" s="199"/>
      <c r="G140" s="199"/>
      <c r="H140" s="199">
        <v>98.72</v>
      </c>
      <c r="I140" s="199">
        <v>100.08</v>
      </c>
      <c r="J140" s="199">
        <v>99.49</v>
      </c>
      <c r="K140" s="199"/>
      <c r="L140" s="199"/>
      <c r="M140" s="199"/>
      <c r="N140" s="199"/>
      <c r="O140" s="199"/>
      <c r="P140" s="199"/>
      <c r="Q140" s="148">
        <v>94</v>
      </c>
      <c r="R140" s="148">
        <v>99</v>
      </c>
      <c r="S140" s="151">
        <v>81.5</v>
      </c>
      <c r="T140" s="151">
        <v>111.5</v>
      </c>
      <c r="U140" s="155"/>
      <c r="V140" s="155"/>
      <c r="W140" s="209"/>
      <c r="X140" s="200"/>
      <c r="Y140" s="155"/>
      <c r="Z140" s="189">
        <v>0.68</v>
      </c>
      <c r="AA140" s="155"/>
      <c r="AB140" s="155"/>
      <c r="AC140" s="156">
        <v>1.8</v>
      </c>
      <c r="AD140" s="155"/>
      <c r="AE140" s="209"/>
      <c r="AF140" s="200"/>
      <c r="AG140" s="155"/>
      <c r="AH140" s="155">
        <v>-18</v>
      </c>
      <c r="AI140" s="155"/>
      <c r="AJ140" s="155"/>
      <c r="AK140" s="160">
        <v>20</v>
      </c>
      <c r="AL140" s="161">
        <v>1002</v>
      </c>
      <c r="AM140" s="162">
        <v>1002</v>
      </c>
      <c r="AN140" s="162">
        <v>1000</v>
      </c>
      <c r="AO140" s="162">
        <v>1000</v>
      </c>
      <c r="AP140" s="163">
        <v>1001</v>
      </c>
      <c r="AQ140" s="210"/>
      <c r="AR140" s="211"/>
      <c r="AS140" s="192"/>
    </row>
    <row r="141" spans="1:45" s="212" customFormat="1" x14ac:dyDescent="0.3">
      <c r="A141" s="207">
        <v>39813</v>
      </c>
      <c r="B141" s="198"/>
      <c r="C141" s="199"/>
      <c r="D141" s="199"/>
      <c r="E141" s="199"/>
      <c r="F141" s="199"/>
      <c r="G141" s="199"/>
      <c r="H141" s="199">
        <v>99.18</v>
      </c>
      <c r="I141" s="199">
        <v>100.69</v>
      </c>
      <c r="J141" s="199">
        <v>99.87</v>
      </c>
      <c r="K141" s="199"/>
      <c r="L141" s="199"/>
      <c r="M141" s="199"/>
      <c r="N141" s="199"/>
      <c r="O141" s="199"/>
      <c r="P141" s="199"/>
      <c r="Q141" s="148">
        <v>94</v>
      </c>
      <c r="R141" s="148">
        <v>99</v>
      </c>
      <c r="S141" s="151">
        <v>81.5</v>
      </c>
      <c r="T141" s="151">
        <v>111.5</v>
      </c>
      <c r="U141" s="155"/>
      <c r="V141" s="155"/>
      <c r="W141" s="209"/>
      <c r="X141" s="200"/>
      <c r="Y141" s="155"/>
      <c r="Z141" s="189">
        <v>0.75</v>
      </c>
      <c r="AA141" s="155"/>
      <c r="AB141" s="155"/>
      <c r="AC141" s="156">
        <v>1.8</v>
      </c>
      <c r="AD141" s="155"/>
      <c r="AE141" s="209"/>
      <c r="AF141" s="200"/>
      <c r="AG141" s="155"/>
      <c r="AH141" s="155">
        <v>-15</v>
      </c>
      <c r="AI141" s="155"/>
      <c r="AJ141" s="155"/>
      <c r="AK141" s="160">
        <v>20</v>
      </c>
      <c r="AL141" s="161">
        <v>1002</v>
      </c>
      <c r="AM141" s="162">
        <v>1002</v>
      </c>
      <c r="AN141" s="162">
        <v>1000</v>
      </c>
      <c r="AO141" s="162">
        <v>1000</v>
      </c>
      <c r="AP141" s="163">
        <v>1001</v>
      </c>
      <c r="AQ141" s="210"/>
      <c r="AR141" s="211"/>
      <c r="AS141" s="192" t="s">
        <v>184</v>
      </c>
    </row>
    <row r="142" spans="1:45" s="212" customFormat="1" x14ac:dyDescent="0.3">
      <c r="A142" s="207">
        <v>43465</v>
      </c>
      <c r="B142" s="198"/>
      <c r="C142" s="199"/>
      <c r="D142" s="199"/>
      <c r="E142" s="199"/>
      <c r="F142" s="199"/>
      <c r="G142" s="199"/>
      <c r="H142" s="199">
        <v>98.79</v>
      </c>
      <c r="I142" s="199">
        <v>100.3</v>
      </c>
      <c r="J142" s="199">
        <v>99.49</v>
      </c>
      <c r="K142" s="199"/>
      <c r="L142" s="199"/>
      <c r="M142" s="199"/>
      <c r="N142" s="199"/>
      <c r="O142" s="199"/>
      <c r="P142" s="199"/>
      <c r="Q142" s="148">
        <v>94</v>
      </c>
      <c r="R142" s="148">
        <v>99</v>
      </c>
      <c r="S142" s="151">
        <v>81.5</v>
      </c>
      <c r="T142" s="151">
        <v>111.5</v>
      </c>
      <c r="U142" s="155"/>
      <c r="V142" s="155"/>
      <c r="W142" s="209"/>
      <c r="X142" s="200"/>
      <c r="Y142" s="155"/>
      <c r="Z142" s="189">
        <v>0.75</v>
      </c>
      <c r="AA142" s="155"/>
      <c r="AB142" s="155"/>
      <c r="AC142" s="156">
        <v>1.8</v>
      </c>
      <c r="AD142" s="155"/>
      <c r="AE142" s="209"/>
      <c r="AF142" s="200"/>
      <c r="AG142" s="155"/>
      <c r="AH142" s="155">
        <v>0</v>
      </c>
      <c r="AI142" s="155"/>
      <c r="AJ142" s="155"/>
      <c r="AK142" s="160">
        <v>20</v>
      </c>
      <c r="AL142" s="161">
        <v>1002</v>
      </c>
      <c r="AM142" s="162">
        <v>1002</v>
      </c>
      <c r="AN142" s="162">
        <v>1000</v>
      </c>
      <c r="AO142" s="162">
        <v>1000</v>
      </c>
      <c r="AP142" s="163">
        <v>1001</v>
      </c>
      <c r="AQ142" s="210"/>
      <c r="AR142" s="211"/>
      <c r="AS142" s="192" t="s">
        <v>185</v>
      </c>
    </row>
    <row r="143" spans="1:45" s="212" customFormat="1" x14ac:dyDescent="0.3">
      <c r="A143" s="207">
        <v>43466</v>
      </c>
      <c r="B143" s="198">
        <v>98.31</v>
      </c>
      <c r="C143" s="199">
        <v>99.89</v>
      </c>
      <c r="D143" s="199">
        <v>99.18</v>
      </c>
      <c r="E143" s="199"/>
      <c r="F143" s="199"/>
      <c r="G143" s="199"/>
      <c r="H143" s="199">
        <v>98.82</v>
      </c>
      <c r="I143" s="199">
        <v>100.43</v>
      </c>
      <c r="J143" s="199">
        <v>99.56</v>
      </c>
      <c r="K143" s="199"/>
      <c r="L143" s="199"/>
      <c r="M143" s="199"/>
      <c r="N143" s="199">
        <v>100.23</v>
      </c>
      <c r="O143" s="199">
        <v>102.24</v>
      </c>
      <c r="P143" s="213">
        <v>100.96</v>
      </c>
      <c r="Q143" s="148">
        <v>94</v>
      </c>
      <c r="R143" s="148">
        <v>99</v>
      </c>
      <c r="S143" s="151">
        <v>81.5</v>
      </c>
      <c r="T143" s="151">
        <v>111.5</v>
      </c>
      <c r="U143" s="155"/>
      <c r="V143" s="155"/>
      <c r="W143" s="209"/>
      <c r="X143" s="200">
        <v>0.79</v>
      </c>
      <c r="Y143" s="155"/>
      <c r="Z143" s="189">
        <v>0.8</v>
      </c>
      <c r="AA143" s="155"/>
      <c r="AB143" s="155">
        <v>0.99</v>
      </c>
      <c r="AC143" s="156">
        <v>1.8</v>
      </c>
      <c r="AD143" s="155"/>
      <c r="AE143" s="209"/>
      <c r="AF143" s="200"/>
      <c r="AG143" s="155"/>
      <c r="AH143" s="155"/>
      <c r="AI143" s="155"/>
      <c r="AJ143" s="155"/>
      <c r="AK143" s="160">
        <v>20</v>
      </c>
      <c r="AL143" s="161">
        <v>1002</v>
      </c>
      <c r="AM143" s="162">
        <v>1002</v>
      </c>
      <c r="AN143" s="162">
        <v>1000</v>
      </c>
      <c r="AO143" s="162">
        <v>1000</v>
      </c>
      <c r="AP143" s="163">
        <v>1001</v>
      </c>
      <c r="AQ143" s="210"/>
      <c r="AR143" s="211"/>
      <c r="AS143" s="192"/>
    </row>
    <row r="144" spans="1:45" s="212" customFormat="1" x14ac:dyDescent="0.3">
      <c r="A144" s="207">
        <v>43481</v>
      </c>
      <c r="B144" s="198">
        <v>95.23</v>
      </c>
      <c r="C144" s="199">
        <v>96.39</v>
      </c>
      <c r="D144" s="199">
        <v>95.82</v>
      </c>
      <c r="E144" s="199"/>
      <c r="F144" s="199"/>
      <c r="G144" s="199"/>
      <c r="H144" s="199">
        <v>95.25</v>
      </c>
      <c r="I144" s="199">
        <v>96.83</v>
      </c>
      <c r="J144" s="199">
        <v>96.07</v>
      </c>
      <c r="K144" s="199"/>
      <c r="L144" s="199"/>
      <c r="M144" s="199"/>
      <c r="N144" s="199">
        <v>97.79</v>
      </c>
      <c r="O144" s="199">
        <v>99.19</v>
      </c>
      <c r="P144" s="199">
        <v>98.31</v>
      </c>
      <c r="Q144" s="148">
        <v>94</v>
      </c>
      <c r="R144" s="148">
        <v>99</v>
      </c>
      <c r="S144" s="151">
        <v>81.5</v>
      </c>
      <c r="T144" s="151">
        <v>111.5</v>
      </c>
      <c r="U144" s="155"/>
      <c r="V144" s="155"/>
      <c r="W144" s="209"/>
      <c r="X144" s="200">
        <v>0.6</v>
      </c>
      <c r="Y144" s="155"/>
      <c r="Z144" s="189">
        <v>0.82</v>
      </c>
      <c r="AA144" s="155"/>
      <c r="AB144" s="155">
        <v>0.71</v>
      </c>
      <c r="AC144" s="156">
        <v>1.8</v>
      </c>
      <c r="AD144" s="155"/>
      <c r="AE144" s="209"/>
      <c r="AF144" s="200"/>
      <c r="AG144" s="155"/>
      <c r="AH144" s="155"/>
      <c r="AI144" s="155"/>
      <c r="AJ144" s="155"/>
      <c r="AK144" s="160">
        <v>20</v>
      </c>
      <c r="AL144" s="210"/>
      <c r="AM144" s="214"/>
      <c r="AN144" s="214"/>
      <c r="AO144" s="214"/>
      <c r="AP144" s="215"/>
      <c r="AQ144" s="210"/>
      <c r="AR144" s="211"/>
      <c r="AS144" s="192"/>
    </row>
    <row r="145" spans="1:45" s="212" customFormat="1" x14ac:dyDescent="0.3">
      <c r="A145" s="207">
        <v>43493</v>
      </c>
      <c r="B145" s="198">
        <v>98.73</v>
      </c>
      <c r="C145" s="199">
        <v>100.98</v>
      </c>
      <c r="D145" s="199">
        <v>99.16</v>
      </c>
      <c r="E145" s="199"/>
      <c r="F145" s="199"/>
      <c r="G145" s="199"/>
      <c r="H145" s="199">
        <v>99.69</v>
      </c>
      <c r="I145" s="199">
        <v>100.56</v>
      </c>
      <c r="J145" s="199">
        <v>100.11</v>
      </c>
      <c r="K145" s="199"/>
      <c r="L145" s="199"/>
      <c r="M145" s="199"/>
      <c r="N145" s="199">
        <v>101.32</v>
      </c>
      <c r="O145" s="199">
        <v>102.71</v>
      </c>
      <c r="P145" s="199">
        <v>101.86</v>
      </c>
      <c r="Q145" s="148">
        <v>94</v>
      </c>
      <c r="R145" s="148">
        <v>99</v>
      </c>
      <c r="S145" s="151">
        <v>81.5</v>
      </c>
      <c r="T145" s="151">
        <v>111.5</v>
      </c>
      <c r="U145" s="155"/>
      <c r="V145" s="155"/>
      <c r="W145" s="209"/>
      <c r="X145" s="200">
        <v>0.78</v>
      </c>
      <c r="Y145" s="155"/>
      <c r="Z145" s="189">
        <v>0.31</v>
      </c>
      <c r="AA145" s="155"/>
      <c r="AB145" s="155">
        <v>0.52</v>
      </c>
      <c r="AC145" s="156">
        <v>1.8</v>
      </c>
      <c r="AD145" s="155"/>
      <c r="AE145" s="209"/>
      <c r="AF145" s="200">
        <v>-8</v>
      </c>
      <c r="AG145" s="155"/>
      <c r="AH145" s="155">
        <v>4</v>
      </c>
      <c r="AI145" s="155"/>
      <c r="AJ145" s="155">
        <v>-5</v>
      </c>
      <c r="AK145" s="160">
        <v>20</v>
      </c>
      <c r="AL145" s="210"/>
      <c r="AM145" s="214"/>
      <c r="AN145" s="214"/>
      <c r="AO145" s="214"/>
      <c r="AP145" s="215"/>
      <c r="AQ145" s="210"/>
      <c r="AR145" s="211"/>
      <c r="AS145" s="192"/>
    </row>
    <row r="146" spans="1:45" s="212" customFormat="1" x14ac:dyDescent="0.3">
      <c r="A146" s="207">
        <v>43494</v>
      </c>
      <c r="B146" s="198">
        <v>97.67</v>
      </c>
      <c r="C146" s="199">
        <v>100.02</v>
      </c>
      <c r="D146" s="199">
        <v>98.87</v>
      </c>
      <c r="E146" s="199"/>
      <c r="F146" s="199"/>
      <c r="G146" s="199"/>
      <c r="H146" s="199">
        <v>99.01</v>
      </c>
      <c r="I146" s="199">
        <v>100.47</v>
      </c>
      <c r="J146" s="199">
        <v>98.87</v>
      </c>
      <c r="K146" s="199"/>
      <c r="L146" s="199"/>
      <c r="M146" s="199"/>
      <c r="N146" s="199">
        <v>100.72</v>
      </c>
      <c r="O146" s="199">
        <v>102.33</v>
      </c>
      <c r="P146" s="199">
        <v>101.38</v>
      </c>
      <c r="Q146" s="148">
        <v>94</v>
      </c>
      <c r="R146" s="148">
        <v>99</v>
      </c>
      <c r="S146" s="151">
        <v>81.5</v>
      </c>
      <c r="T146" s="151">
        <v>111.5</v>
      </c>
      <c r="U146" s="155"/>
      <c r="V146" s="155"/>
      <c r="W146" s="209"/>
      <c r="X146" s="200"/>
      <c r="Y146" s="155"/>
      <c r="Z146" s="189"/>
      <c r="AA146" s="155"/>
      <c r="AB146" s="155"/>
      <c r="AC146" s="156">
        <v>1.8</v>
      </c>
      <c r="AD146" s="155"/>
      <c r="AE146" s="209"/>
      <c r="AF146" s="200"/>
      <c r="AG146" s="155"/>
      <c r="AH146" s="155"/>
      <c r="AI146" s="155"/>
      <c r="AJ146" s="155"/>
      <c r="AK146" s="160">
        <v>20</v>
      </c>
      <c r="AL146" s="210"/>
      <c r="AM146" s="214"/>
      <c r="AN146" s="214"/>
      <c r="AO146" s="214"/>
      <c r="AP146" s="215"/>
      <c r="AQ146" s="210"/>
      <c r="AR146" s="211"/>
      <c r="AS146" s="192"/>
    </row>
    <row r="147" spans="1:45" s="212" customFormat="1" x14ac:dyDescent="0.3">
      <c r="A147" s="207">
        <v>43495</v>
      </c>
      <c r="B147" s="198">
        <v>97.58</v>
      </c>
      <c r="C147" s="199">
        <v>100.17</v>
      </c>
      <c r="D147" s="199">
        <v>98.94</v>
      </c>
      <c r="E147" s="199"/>
      <c r="F147" s="199"/>
      <c r="G147" s="199"/>
      <c r="H147" s="199">
        <v>97.7</v>
      </c>
      <c r="I147" s="199">
        <v>99.6</v>
      </c>
      <c r="J147" s="199">
        <v>98.39</v>
      </c>
      <c r="K147" s="199"/>
      <c r="L147" s="199"/>
      <c r="M147" s="199"/>
      <c r="N147" s="199">
        <v>100.05</v>
      </c>
      <c r="O147" s="199">
        <v>101.64</v>
      </c>
      <c r="P147" s="199">
        <v>100.8</v>
      </c>
      <c r="Q147" s="148">
        <v>94</v>
      </c>
      <c r="R147" s="148">
        <v>99</v>
      </c>
      <c r="S147" s="151">
        <v>81.5</v>
      </c>
      <c r="T147" s="151">
        <v>111.5</v>
      </c>
      <c r="U147" s="155"/>
      <c r="V147" s="155"/>
      <c r="W147" s="209"/>
      <c r="X147" s="200">
        <v>1.3</v>
      </c>
      <c r="Y147" s="155"/>
      <c r="Z147" s="189">
        <v>0.95</v>
      </c>
      <c r="AA147" s="155"/>
      <c r="AB147" s="155">
        <v>0.78</v>
      </c>
      <c r="AC147" s="156">
        <v>1.8</v>
      </c>
      <c r="AD147" s="155"/>
      <c r="AE147" s="209"/>
      <c r="AF147" s="200">
        <v>-4</v>
      </c>
      <c r="AG147" s="155"/>
      <c r="AH147" s="155">
        <v>-13</v>
      </c>
      <c r="AI147" s="155"/>
      <c r="AJ147" s="155">
        <v>-4</v>
      </c>
      <c r="AK147" s="160">
        <v>20</v>
      </c>
      <c r="AL147" s="210"/>
      <c r="AM147" s="214"/>
      <c r="AN147" s="214"/>
      <c r="AO147" s="214"/>
      <c r="AP147" s="215"/>
      <c r="AQ147" s="210"/>
      <c r="AR147" s="211"/>
      <c r="AS147" s="192"/>
    </row>
    <row r="148" spans="1:45" s="212" customFormat="1" x14ac:dyDescent="0.3">
      <c r="A148" s="207">
        <v>43497</v>
      </c>
      <c r="B148" s="212">
        <v>97.59</v>
      </c>
      <c r="C148" s="198">
        <v>100.36</v>
      </c>
      <c r="D148" s="199">
        <v>99.49</v>
      </c>
      <c r="E148" s="199"/>
      <c r="F148" s="199"/>
      <c r="G148" s="199"/>
      <c r="H148" s="199">
        <v>97.87</v>
      </c>
      <c r="I148" s="199">
        <v>99.83</v>
      </c>
      <c r="J148" s="199">
        <v>99</v>
      </c>
      <c r="K148" s="199"/>
      <c r="L148" s="199"/>
      <c r="M148" s="199"/>
      <c r="N148" s="212">
        <v>99.26</v>
      </c>
      <c r="O148" s="199">
        <v>101.78</v>
      </c>
      <c r="P148" s="199">
        <v>100.63</v>
      </c>
      <c r="Q148" s="148">
        <v>94</v>
      </c>
      <c r="R148" s="148">
        <v>99</v>
      </c>
      <c r="S148" s="151">
        <v>81.5</v>
      </c>
      <c r="T148" s="151">
        <v>111.5</v>
      </c>
      <c r="U148" s="155"/>
      <c r="V148" s="155"/>
      <c r="W148" s="209"/>
      <c r="X148" s="200">
        <v>1.4</v>
      </c>
      <c r="Y148" s="155"/>
      <c r="Z148" s="189">
        <v>0.98</v>
      </c>
      <c r="AA148" s="155"/>
      <c r="AB148" s="155">
        <v>1.25</v>
      </c>
      <c r="AC148" s="156">
        <v>1.8</v>
      </c>
      <c r="AD148" s="155"/>
      <c r="AE148" s="209"/>
      <c r="AF148" s="200"/>
      <c r="AG148" s="155"/>
      <c r="AH148" s="155"/>
      <c r="AI148" s="155"/>
      <c r="AJ148" s="155"/>
      <c r="AK148" s="160">
        <v>20</v>
      </c>
      <c r="AL148" s="210"/>
      <c r="AM148" s="214"/>
      <c r="AN148" s="214"/>
      <c r="AO148" s="214"/>
      <c r="AP148" s="215"/>
      <c r="AQ148" s="210"/>
      <c r="AR148" s="211"/>
      <c r="AS148" s="192"/>
    </row>
    <row r="149" spans="1:45" s="212" customFormat="1" x14ac:dyDescent="0.3">
      <c r="A149" s="207">
        <v>43500</v>
      </c>
      <c r="B149" s="198">
        <v>93.55</v>
      </c>
      <c r="C149" s="199">
        <v>96.35</v>
      </c>
      <c r="D149" s="199">
        <v>95.47</v>
      </c>
      <c r="E149" s="199"/>
      <c r="F149" s="199"/>
      <c r="G149" s="199"/>
      <c r="H149" s="199">
        <v>95.09</v>
      </c>
      <c r="I149" s="199">
        <v>96.37</v>
      </c>
      <c r="J149" s="199">
        <v>95.77</v>
      </c>
      <c r="K149" s="199"/>
      <c r="L149" s="199"/>
      <c r="M149" s="199"/>
      <c r="N149" s="199">
        <v>95.48</v>
      </c>
      <c r="O149" s="199">
        <v>97.7</v>
      </c>
      <c r="P149" s="199">
        <v>96.79</v>
      </c>
      <c r="Q149" s="148">
        <v>94</v>
      </c>
      <c r="R149" s="148">
        <v>99</v>
      </c>
      <c r="S149" s="151">
        <v>81.5</v>
      </c>
      <c r="T149" s="151">
        <v>111.5</v>
      </c>
      <c r="U149" s="155"/>
      <c r="V149" s="155"/>
      <c r="W149" s="209"/>
      <c r="X149" s="200">
        <v>1.49</v>
      </c>
      <c r="Y149" s="155"/>
      <c r="Z149" s="189">
        <v>0.66</v>
      </c>
      <c r="AA149" s="155"/>
      <c r="AB149" s="155">
        <v>1.1399999999999999</v>
      </c>
      <c r="AC149" s="156">
        <v>1.8</v>
      </c>
      <c r="AD149" s="155"/>
      <c r="AE149" s="209"/>
      <c r="AF149" s="200">
        <v>-4</v>
      </c>
      <c r="AG149" s="155"/>
      <c r="AH149" s="155">
        <v>24</v>
      </c>
      <c r="AI149" s="155"/>
      <c r="AJ149" s="155">
        <v>-4</v>
      </c>
      <c r="AK149" s="160">
        <v>20</v>
      </c>
      <c r="AL149" s="210"/>
      <c r="AM149" s="214"/>
      <c r="AN149" s="214"/>
      <c r="AO149" s="214"/>
      <c r="AP149" s="215"/>
      <c r="AQ149" s="210"/>
      <c r="AR149" s="211"/>
      <c r="AS149" s="192"/>
    </row>
    <row r="150" spans="1:45" s="212" customFormat="1" x14ac:dyDescent="0.3">
      <c r="A150" s="207">
        <v>43501</v>
      </c>
      <c r="B150" s="198">
        <v>94.85</v>
      </c>
      <c r="C150" s="199">
        <v>96.77</v>
      </c>
      <c r="D150" s="199">
        <v>96</v>
      </c>
      <c r="E150" s="199"/>
      <c r="F150" s="199"/>
      <c r="G150" s="199"/>
      <c r="H150" s="199">
        <v>95.01</v>
      </c>
      <c r="I150" s="199">
        <v>96.74</v>
      </c>
      <c r="J150" s="199">
        <v>95.89</v>
      </c>
      <c r="K150" s="199"/>
      <c r="L150" s="199"/>
      <c r="M150" s="199"/>
      <c r="N150" s="199">
        <v>95.7</v>
      </c>
      <c r="O150" s="199">
        <v>97.6</v>
      </c>
      <c r="P150" s="199">
        <v>96.71</v>
      </c>
      <c r="Q150" s="148">
        <v>94</v>
      </c>
      <c r="R150" s="148">
        <v>99</v>
      </c>
      <c r="S150" s="151">
        <v>81.5</v>
      </c>
      <c r="T150" s="151">
        <v>111.5</v>
      </c>
      <c r="U150" s="155"/>
      <c r="V150" s="155"/>
      <c r="W150" s="209"/>
      <c r="X150" s="200">
        <v>1</v>
      </c>
      <c r="Y150" s="155"/>
      <c r="Z150" s="189">
        <v>0.89</v>
      </c>
      <c r="AA150" s="155"/>
      <c r="AB150" s="155">
        <v>0.98</v>
      </c>
      <c r="AC150" s="156">
        <v>1.8</v>
      </c>
      <c r="AD150" s="155"/>
      <c r="AE150" s="209"/>
      <c r="AF150" s="200"/>
      <c r="AG150" s="155"/>
      <c r="AH150" s="155"/>
      <c r="AI150" s="155"/>
      <c r="AJ150" s="155"/>
      <c r="AK150" s="160">
        <v>20</v>
      </c>
      <c r="AL150" s="210"/>
      <c r="AM150" s="214"/>
      <c r="AN150" s="214"/>
      <c r="AO150" s="214"/>
      <c r="AP150" s="215"/>
      <c r="AQ150" s="210"/>
      <c r="AR150" s="211"/>
      <c r="AS150" s="192"/>
    </row>
    <row r="151" spans="1:45" s="212" customFormat="1" x14ac:dyDescent="0.3">
      <c r="A151" s="207">
        <v>43507</v>
      </c>
      <c r="B151" s="198">
        <v>94.45</v>
      </c>
      <c r="C151" s="199">
        <v>96.41</v>
      </c>
      <c r="D151" s="199">
        <v>95.82</v>
      </c>
      <c r="E151" s="199"/>
      <c r="F151" s="199"/>
      <c r="G151" s="199"/>
      <c r="H151" s="199">
        <v>95.19</v>
      </c>
      <c r="I151" s="199">
        <v>96.37</v>
      </c>
      <c r="J151" s="199">
        <v>95.93</v>
      </c>
      <c r="K151" s="199"/>
      <c r="L151" s="199"/>
      <c r="M151" s="199"/>
      <c r="N151" s="199">
        <v>95.28</v>
      </c>
      <c r="O151" s="199">
        <v>97.78</v>
      </c>
      <c r="P151" s="199">
        <v>96.7</v>
      </c>
      <c r="Q151" s="148">
        <v>94</v>
      </c>
      <c r="R151" s="148">
        <v>99</v>
      </c>
      <c r="S151" s="151">
        <v>81.5</v>
      </c>
      <c r="T151" s="151">
        <v>111.5</v>
      </c>
      <c r="U151" s="155"/>
      <c r="V151" s="155"/>
      <c r="W151" s="209"/>
      <c r="X151" s="200">
        <v>1.02</v>
      </c>
      <c r="Y151" s="155"/>
      <c r="Z151" s="189">
        <v>0.61</v>
      </c>
      <c r="AA151" s="155"/>
      <c r="AB151" s="155">
        <v>1.29</v>
      </c>
      <c r="AC151" s="156">
        <v>1.8</v>
      </c>
      <c r="AD151" s="155"/>
      <c r="AE151" s="209"/>
      <c r="AF151" s="200">
        <v>-10</v>
      </c>
      <c r="AG151" s="155"/>
      <c r="AH151" s="155">
        <v>-11</v>
      </c>
      <c r="AI151" s="155"/>
      <c r="AJ151" s="155">
        <v>-2</v>
      </c>
      <c r="AK151" s="160">
        <v>20</v>
      </c>
      <c r="AL151" s="210"/>
      <c r="AM151" s="214"/>
      <c r="AN151" s="214"/>
      <c r="AO151" s="214"/>
      <c r="AP151" s="215"/>
      <c r="AQ151" s="210"/>
      <c r="AR151" s="211"/>
      <c r="AS151" s="192"/>
    </row>
    <row r="152" spans="1:45" s="212" customFormat="1" x14ac:dyDescent="0.3">
      <c r="A152" s="207">
        <v>43509</v>
      </c>
      <c r="B152" s="198">
        <v>93.25</v>
      </c>
      <c r="C152" s="199">
        <v>95.59</v>
      </c>
      <c r="D152" s="199">
        <v>94.92</v>
      </c>
      <c r="E152" s="199"/>
      <c r="F152" s="199"/>
      <c r="G152" s="199"/>
      <c r="H152" s="199">
        <v>94.38</v>
      </c>
      <c r="I152" s="199">
        <v>96.21</v>
      </c>
      <c r="J152" s="199">
        <v>95.12</v>
      </c>
      <c r="K152" s="199"/>
      <c r="L152" s="199"/>
      <c r="M152" s="199"/>
      <c r="N152" s="199">
        <v>96.07</v>
      </c>
      <c r="O152" s="199">
        <v>97.94</v>
      </c>
      <c r="P152" s="199">
        <v>97.04</v>
      </c>
      <c r="Q152" s="148">
        <v>94</v>
      </c>
      <c r="R152" s="148">
        <v>99</v>
      </c>
      <c r="S152" s="151">
        <v>81.5</v>
      </c>
      <c r="T152" s="151">
        <v>111.5</v>
      </c>
      <c r="U152" s="155"/>
      <c r="V152" s="155"/>
      <c r="W152" s="209"/>
      <c r="X152" s="200">
        <v>1.23</v>
      </c>
      <c r="Y152" s="155"/>
      <c r="Z152" s="189">
        <v>0.95</v>
      </c>
      <c r="AA152" s="155"/>
      <c r="AB152" s="155">
        <v>0.96</v>
      </c>
      <c r="AC152" s="156">
        <v>1.8</v>
      </c>
      <c r="AD152" s="155"/>
      <c r="AE152" s="209"/>
      <c r="AF152" s="200">
        <v>-10</v>
      </c>
      <c r="AG152" s="155"/>
      <c r="AH152" s="155">
        <v>-8</v>
      </c>
      <c r="AI152" s="155"/>
      <c r="AJ152" s="155">
        <v>-6</v>
      </c>
      <c r="AK152" s="160">
        <v>20</v>
      </c>
      <c r="AL152" s="210"/>
      <c r="AM152" s="214"/>
      <c r="AN152" s="214"/>
      <c r="AO152" s="214"/>
      <c r="AP152" s="215"/>
      <c r="AQ152" s="210"/>
      <c r="AR152" s="211"/>
      <c r="AS152" s="192"/>
    </row>
    <row r="153" spans="1:45" s="212" customFormat="1" x14ac:dyDescent="0.3">
      <c r="A153" s="207">
        <v>43527</v>
      </c>
      <c r="B153" s="198">
        <v>94.48</v>
      </c>
      <c r="C153" s="199">
        <v>98.95</v>
      </c>
      <c r="D153" s="199">
        <v>96.05</v>
      </c>
      <c r="E153" s="199"/>
      <c r="F153" s="199"/>
      <c r="G153" s="199"/>
      <c r="H153" s="199">
        <v>95.38</v>
      </c>
      <c r="I153" s="199">
        <v>98.16</v>
      </c>
      <c r="J153" s="199">
        <v>96.17</v>
      </c>
      <c r="K153" s="199"/>
      <c r="L153" s="199"/>
      <c r="M153" s="199"/>
      <c r="N153" s="199">
        <v>95.78</v>
      </c>
      <c r="O153" s="199">
        <v>100.67</v>
      </c>
      <c r="P153" s="199">
        <v>97.08</v>
      </c>
      <c r="Q153" s="148">
        <v>94</v>
      </c>
      <c r="R153" s="148">
        <v>99</v>
      </c>
      <c r="S153" s="151">
        <v>81.5</v>
      </c>
      <c r="T153" s="151">
        <v>111.5</v>
      </c>
      <c r="U153" s="155"/>
      <c r="V153" s="155"/>
      <c r="W153" s="209"/>
      <c r="X153" s="200">
        <v>2.31</v>
      </c>
      <c r="Y153" s="155"/>
      <c r="Z153" s="189">
        <v>1.43</v>
      </c>
      <c r="AA153" s="155"/>
      <c r="AB153" s="155">
        <v>2.48</v>
      </c>
      <c r="AC153" s="156">
        <v>1.8</v>
      </c>
      <c r="AD153" s="155"/>
      <c r="AE153" s="209"/>
      <c r="AF153" s="200">
        <v>-4</v>
      </c>
      <c r="AG153" s="155"/>
      <c r="AH153" s="155">
        <v>-10</v>
      </c>
      <c r="AI153" s="155"/>
      <c r="AJ153" s="155">
        <v>0</v>
      </c>
      <c r="AK153" s="160">
        <v>20</v>
      </c>
      <c r="AL153" s="210"/>
      <c r="AM153" s="214"/>
      <c r="AN153" s="214"/>
      <c r="AO153" s="214"/>
      <c r="AP153" s="215"/>
      <c r="AQ153" s="210"/>
      <c r="AR153" s="211"/>
      <c r="AS153" s="192"/>
    </row>
    <row r="154" spans="1:45" s="212" customFormat="1" x14ac:dyDescent="0.3">
      <c r="A154" s="207">
        <v>43533</v>
      </c>
      <c r="B154" s="198">
        <v>95.21</v>
      </c>
      <c r="C154" s="199">
        <v>97.93</v>
      </c>
      <c r="D154" s="199">
        <v>96.72</v>
      </c>
      <c r="E154" s="199"/>
      <c r="F154" s="199"/>
      <c r="G154" s="199"/>
      <c r="H154" s="199">
        <v>94.4</v>
      </c>
      <c r="I154" s="199">
        <v>96.22</v>
      </c>
      <c r="J154" s="199">
        <v>94.91</v>
      </c>
      <c r="K154" s="199"/>
      <c r="L154" s="199"/>
      <c r="M154" s="199"/>
      <c r="N154" s="199">
        <v>94.76</v>
      </c>
      <c r="O154" s="199">
        <v>98.36</v>
      </c>
      <c r="P154" s="199">
        <v>96.55</v>
      </c>
      <c r="Q154" s="148">
        <v>94</v>
      </c>
      <c r="R154" s="148">
        <v>99</v>
      </c>
      <c r="S154" s="151">
        <v>81.5</v>
      </c>
      <c r="T154" s="151">
        <v>111.5</v>
      </c>
      <c r="U154" s="155"/>
      <c r="V154" s="155"/>
      <c r="W154" s="209"/>
      <c r="X154" s="200">
        <v>1.41</v>
      </c>
      <c r="Y154" s="155"/>
      <c r="Z154" s="189">
        <v>0.95</v>
      </c>
      <c r="AA154" s="155"/>
      <c r="AB154" s="155">
        <v>1.88</v>
      </c>
      <c r="AC154" s="156">
        <v>1.8</v>
      </c>
      <c r="AD154" s="155"/>
      <c r="AE154" s="209"/>
      <c r="AF154" s="200">
        <v>1</v>
      </c>
      <c r="AG154" s="155"/>
      <c r="AH154" s="155">
        <v>-13</v>
      </c>
      <c r="AI154" s="155"/>
      <c r="AJ154" s="155">
        <v>-3</v>
      </c>
      <c r="AK154" s="160">
        <v>20</v>
      </c>
      <c r="AL154" s="210"/>
      <c r="AM154" s="214"/>
      <c r="AN154" s="214"/>
      <c r="AO154" s="214"/>
      <c r="AP154" s="215"/>
      <c r="AQ154" s="210"/>
      <c r="AR154" s="211"/>
      <c r="AS154" s="192"/>
    </row>
    <row r="155" spans="1:45" s="212" customFormat="1" x14ac:dyDescent="0.3">
      <c r="A155" s="207">
        <v>43543</v>
      </c>
      <c r="B155" s="198">
        <v>94.36</v>
      </c>
      <c r="C155" s="199">
        <v>96.57</v>
      </c>
      <c r="D155" s="199">
        <v>95.43</v>
      </c>
      <c r="E155" s="199"/>
      <c r="F155" s="199"/>
      <c r="G155" s="199"/>
      <c r="H155" s="199">
        <v>93.29</v>
      </c>
      <c r="I155" s="199">
        <v>95.54</v>
      </c>
      <c r="J155" s="199">
        <v>94.2</v>
      </c>
      <c r="K155" s="199"/>
      <c r="L155" s="199"/>
      <c r="M155" s="199"/>
      <c r="N155" s="199">
        <v>95.22</v>
      </c>
      <c r="O155" s="199">
        <v>97.19</v>
      </c>
      <c r="P155" s="199">
        <v>96.19</v>
      </c>
      <c r="Q155" s="148">
        <v>94</v>
      </c>
      <c r="R155" s="148">
        <v>99</v>
      </c>
      <c r="S155" s="151">
        <v>81.5</v>
      </c>
      <c r="T155" s="151">
        <v>111.5</v>
      </c>
      <c r="U155" s="155"/>
      <c r="V155" s="155"/>
      <c r="W155" s="209"/>
      <c r="X155" s="200">
        <v>1.1499999999999999</v>
      </c>
      <c r="Y155" s="155"/>
      <c r="Z155" s="189">
        <v>1.91</v>
      </c>
      <c r="AA155" s="155"/>
      <c r="AB155" s="155">
        <v>1.02</v>
      </c>
      <c r="AC155" s="156">
        <v>1.8</v>
      </c>
      <c r="AD155" s="155"/>
      <c r="AE155" s="209"/>
      <c r="AF155" s="200">
        <v>-7</v>
      </c>
      <c r="AG155" s="155"/>
      <c r="AH155" s="155">
        <v>-2</v>
      </c>
      <c r="AI155" s="155"/>
      <c r="AJ155" s="155">
        <v>-15</v>
      </c>
      <c r="AK155" s="160">
        <v>20</v>
      </c>
      <c r="AL155" s="210"/>
      <c r="AM155" s="214"/>
      <c r="AN155" s="214"/>
      <c r="AO155" s="214"/>
      <c r="AP155" s="215"/>
      <c r="AQ155" s="210"/>
      <c r="AR155" s="211"/>
      <c r="AS155" s="192"/>
    </row>
    <row r="156" spans="1:45" s="212" customFormat="1" x14ac:dyDescent="0.3">
      <c r="A156" s="207">
        <v>43549</v>
      </c>
      <c r="B156" s="198">
        <v>93.81</v>
      </c>
      <c r="C156" s="199">
        <v>96.3</v>
      </c>
      <c r="D156" s="199">
        <v>95.6</v>
      </c>
      <c r="E156" s="199"/>
      <c r="F156" s="199"/>
      <c r="G156" s="199"/>
      <c r="H156" s="199">
        <v>94.69</v>
      </c>
      <c r="I156" s="199">
        <v>96.62</v>
      </c>
      <c r="J156" s="199">
        <v>95.73</v>
      </c>
      <c r="K156" s="199"/>
      <c r="L156" s="199"/>
      <c r="M156" s="199"/>
      <c r="N156" s="199">
        <v>95.05</v>
      </c>
      <c r="O156" s="199">
        <v>97.46</v>
      </c>
      <c r="P156" s="199">
        <v>96.34</v>
      </c>
      <c r="Q156" s="148">
        <v>94</v>
      </c>
      <c r="R156" s="148">
        <v>99</v>
      </c>
      <c r="S156" s="151">
        <v>81.5</v>
      </c>
      <c r="T156" s="151">
        <v>111.5</v>
      </c>
      <c r="U156" s="155"/>
      <c r="V156" s="155"/>
      <c r="W156" s="209"/>
      <c r="X156" s="200">
        <v>1.31</v>
      </c>
      <c r="Y156" s="155"/>
      <c r="Z156" s="189">
        <v>1</v>
      </c>
      <c r="AA156" s="155"/>
      <c r="AB156" s="155">
        <v>1.25</v>
      </c>
      <c r="AC156" s="156">
        <v>1.8</v>
      </c>
      <c r="AD156" s="155"/>
      <c r="AE156" s="209"/>
      <c r="AF156" s="200">
        <v>-11</v>
      </c>
      <c r="AG156" s="155"/>
      <c r="AH156" s="155">
        <v>-8</v>
      </c>
      <c r="AI156" s="155"/>
      <c r="AJ156" s="155">
        <v>-7</v>
      </c>
      <c r="AK156" s="160">
        <v>20</v>
      </c>
      <c r="AL156" s="210"/>
      <c r="AM156" s="214"/>
      <c r="AN156" s="214"/>
      <c r="AO156" s="214"/>
      <c r="AP156" s="215"/>
      <c r="AQ156" s="210"/>
      <c r="AR156" s="211"/>
      <c r="AS156" s="192"/>
    </row>
    <row r="157" spans="1:45" s="212" customFormat="1" x14ac:dyDescent="0.3">
      <c r="A157" s="207">
        <v>43560</v>
      </c>
      <c r="B157" s="198"/>
      <c r="C157" s="199"/>
      <c r="D157" s="199"/>
      <c r="E157" s="199"/>
      <c r="F157" s="199"/>
      <c r="G157" s="199"/>
      <c r="H157" s="199">
        <v>95.33</v>
      </c>
      <c r="I157" s="199">
        <v>96.86</v>
      </c>
      <c r="J157" s="199">
        <v>96.06</v>
      </c>
      <c r="K157" s="199"/>
      <c r="L157" s="199"/>
      <c r="M157" s="199"/>
      <c r="N157" s="199"/>
      <c r="O157" s="199"/>
      <c r="P157" s="199"/>
      <c r="Q157" s="148">
        <v>94</v>
      </c>
      <c r="R157" s="148">
        <v>99</v>
      </c>
      <c r="S157" s="151">
        <v>81.5</v>
      </c>
      <c r="T157" s="151">
        <v>111.5</v>
      </c>
      <c r="U157" s="155"/>
      <c r="V157" s="155"/>
      <c r="W157" s="209"/>
      <c r="X157" s="200"/>
      <c r="Y157" s="155"/>
      <c r="Z157" s="189">
        <v>0.79</v>
      </c>
      <c r="AA157" s="155"/>
      <c r="AB157" s="155"/>
      <c r="AC157" s="156">
        <v>1.8</v>
      </c>
      <c r="AD157" s="155"/>
      <c r="AE157" s="209"/>
      <c r="AF157" s="200"/>
      <c r="AG157" s="155"/>
      <c r="AH157" s="155">
        <v>-2</v>
      </c>
      <c r="AI157" s="155"/>
      <c r="AJ157" s="155"/>
      <c r="AK157" s="160">
        <v>20</v>
      </c>
      <c r="AL157" s="210"/>
      <c r="AM157" s="214"/>
      <c r="AN157" s="214"/>
      <c r="AO157" s="214"/>
      <c r="AP157" s="215"/>
      <c r="AQ157" s="210"/>
      <c r="AR157" s="211"/>
      <c r="AS157" s="192"/>
    </row>
    <row r="158" spans="1:45" s="212" customFormat="1" x14ac:dyDescent="0.3">
      <c r="A158" s="207">
        <v>43577</v>
      </c>
      <c r="B158" s="198"/>
      <c r="C158" s="199"/>
      <c r="D158" s="199"/>
      <c r="E158" s="199"/>
      <c r="F158" s="199"/>
      <c r="G158" s="199"/>
      <c r="H158" s="199">
        <v>94.67</v>
      </c>
      <c r="I158" s="199">
        <v>96.47</v>
      </c>
      <c r="J158" s="199">
        <v>95.68</v>
      </c>
      <c r="K158" s="199"/>
      <c r="L158" s="199"/>
      <c r="M158" s="199"/>
      <c r="N158" s="199"/>
      <c r="O158" s="199"/>
      <c r="P158" s="199"/>
      <c r="Q158" s="148">
        <v>94</v>
      </c>
      <c r="R158" s="148">
        <v>99</v>
      </c>
      <c r="S158" s="151">
        <v>81.5</v>
      </c>
      <c r="T158" s="151">
        <v>111.5</v>
      </c>
      <c r="U158" s="155"/>
      <c r="V158" s="155"/>
      <c r="W158" s="209"/>
      <c r="X158" s="200"/>
      <c r="Y158" s="155"/>
      <c r="Z158" s="189">
        <v>0.93</v>
      </c>
      <c r="AA158" s="155"/>
      <c r="AB158" s="155"/>
      <c r="AC158" s="156">
        <v>1.8</v>
      </c>
      <c r="AD158" s="155"/>
      <c r="AE158" s="209"/>
      <c r="AF158" s="200"/>
      <c r="AG158" s="155"/>
      <c r="AH158" s="155">
        <v>-9</v>
      </c>
      <c r="AI158" s="155"/>
      <c r="AJ158" s="155"/>
      <c r="AK158" s="160">
        <v>20</v>
      </c>
      <c r="AL158" s="210"/>
      <c r="AM158" s="214"/>
      <c r="AN158" s="214"/>
      <c r="AO158" s="214"/>
      <c r="AP158" s="215"/>
      <c r="AQ158" s="210"/>
      <c r="AR158" s="211"/>
      <c r="AS158" s="192"/>
    </row>
    <row r="159" spans="1:45" s="212" customFormat="1" x14ac:dyDescent="0.3">
      <c r="A159" s="207">
        <v>43580</v>
      </c>
      <c r="B159" s="198"/>
      <c r="C159" s="199"/>
      <c r="D159" s="199"/>
      <c r="E159" s="199"/>
      <c r="F159" s="199"/>
      <c r="G159" s="199"/>
      <c r="H159" s="199">
        <v>94.45</v>
      </c>
      <c r="I159" s="199">
        <v>96</v>
      </c>
      <c r="J159" s="199">
        <v>95.42</v>
      </c>
      <c r="K159" s="199"/>
      <c r="L159" s="199"/>
      <c r="M159" s="199"/>
      <c r="N159" s="199"/>
      <c r="O159" s="199"/>
      <c r="P159" s="199"/>
      <c r="Q159" s="148">
        <v>94</v>
      </c>
      <c r="R159" s="148">
        <v>99</v>
      </c>
      <c r="S159" s="151">
        <v>81.5</v>
      </c>
      <c r="T159" s="151">
        <v>111.5</v>
      </c>
      <c r="U159" s="155"/>
      <c r="V159" s="155"/>
      <c r="W159" s="209"/>
      <c r="X159" s="200"/>
      <c r="Y159" s="155"/>
      <c r="Z159" s="189">
        <v>0.81</v>
      </c>
      <c r="AA159" s="155"/>
      <c r="AB159" s="155"/>
      <c r="AC159" s="156">
        <v>1.8</v>
      </c>
      <c r="AD159" s="155"/>
      <c r="AE159" s="209"/>
      <c r="AF159" s="200"/>
      <c r="AG159" s="155"/>
      <c r="AH159" s="155">
        <v>0.93</v>
      </c>
      <c r="AI159" s="155"/>
      <c r="AJ159" s="155"/>
      <c r="AK159" s="160">
        <v>20</v>
      </c>
      <c r="AL159" s="210"/>
      <c r="AM159" s="214"/>
      <c r="AN159" s="214"/>
      <c r="AO159" s="214"/>
      <c r="AP159" s="215"/>
      <c r="AQ159" s="210"/>
      <c r="AR159" s="211"/>
      <c r="AS159" s="192"/>
    </row>
    <row r="160" spans="1:45" s="212" customFormat="1" x14ac:dyDescent="0.3">
      <c r="A160" s="207">
        <v>43587</v>
      </c>
      <c r="B160" s="198">
        <v>94.57</v>
      </c>
      <c r="C160" s="199">
        <v>96.54</v>
      </c>
      <c r="D160" s="199">
        <v>95.66</v>
      </c>
      <c r="E160" s="199"/>
      <c r="F160" s="199"/>
      <c r="G160" s="199"/>
      <c r="H160" s="199">
        <v>93.74</v>
      </c>
      <c r="I160" s="199">
        <v>95.15</v>
      </c>
      <c r="J160" s="199">
        <v>94.41</v>
      </c>
      <c r="K160" s="199"/>
      <c r="L160" s="199"/>
      <c r="M160" s="199"/>
      <c r="N160" s="199">
        <v>94.77</v>
      </c>
      <c r="O160" s="199">
        <v>96.97</v>
      </c>
      <c r="P160" s="199">
        <v>96.07</v>
      </c>
      <c r="Q160" s="148">
        <v>94</v>
      </c>
      <c r="R160" s="148">
        <v>99</v>
      </c>
      <c r="S160" s="151">
        <v>81.5</v>
      </c>
      <c r="T160" s="151">
        <v>111.5</v>
      </c>
      <c r="U160" s="155"/>
      <c r="V160" s="155"/>
      <c r="W160" s="209"/>
      <c r="X160" s="200">
        <v>1.02</v>
      </c>
      <c r="Y160" s="155"/>
      <c r="Z160" s="189">
        <v>0.74</v>
      </c>
      <c r="AA160" s="155"/>
      <c r="AB160" s="155">
        <v>1.1399999999999999</v>
      </c>
      <c r="AC160" s="156">
        <v>1.8</v>
      </c>
      <c r="AD160" s="155"/>
      <c r="AE160" s="209"/>
      <c r="AF160" s="200">
        <v>-5</v>
      </c>
      <c r="AG160" s="155"/>
      <c r="AH160" s="155">
        <v>-5</v>
      </c>
      <c r="AI160" s="155"/>
      <c r="AJ160" s="155">
        <v>-5</v>
      </c>
      <c r="AK160" s="160">
        <v>20</v>
      </c>
      <c r="AL160" s="210"/>
      <c r="AM160" s="214"/>
      <c r="AN160" s="214"/>
      <c r="AO160" s="214"/>
      <c r="AP160" s="215"/>
      <c r="AQ160" s="210"/>
      <c r="AR160" s="211"/>
      <c r="AS160" s="192"/>
    </row>
    <row r="161" spans="1:45" s="212" customFormat="1" x14ac:dyDescent="0.3">
      <c r="A161" s="207"/>
      <c r="B161" s="198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48">
        <v>94</v>
      </c>
      <c r="R161" s="148">
        <v>99</v>
      </c>
      <c r="S161" s="151">
        <v>81.5</v>
      </c>
      <c r="T161" s="151">
        <v>111.5</v>
      </c>
      <c r="U161" s="155"/>
      <c r="V161" s="155"/>
      <c r="W161" s="209"/>
      <c r="X161" s="200"/>
      <c r="Y161" s="155"/>
      <c r="Z161" s="189"/>
      <c r="AA161" s="155"/>
      <c r="AB161" s="155"/>
      <c r="AC161" s="156">
        <v>1.8</v>
      </c>
      <c r="AD161" s="155"/>
      <c r="AE161" s="209"/>
      <c r="AF161" s="200"/>
      <c r="AG161" s="155"/>
      <c r="AH161" s="155"/>
      <c r="AI161" s="155"/>
      <c r="AJ161" s="155"/>
      <c r="AK161" s="160">
        <v>20</v>
      </c>
      <c r="AL161" s="210"/>
      <c r="AM161" s="214"/>
      <c r="AN161" s="214"/>
      <c r="AO161" s="214"/>
      <c r="AP161" s="215"/>
      <c r="AQ161" s="210"/>
      <c r="AR161" s="211"/>
      <c r="AS161" s="192"/>
    </row>
    <row r="162" spans="1:45" s="212" customFormat="1" x14ac:dyDescent="0.3">
      <c r="A162" s="207"/>
      <c r="B162" s="198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48">
        <v>94</v>
      </c>
      <c r="R162" s="148">
        <v>99</v>
      </c>
      <c r="S162" s="151">
        <v>81.5</v>
      </c>
      <c r="T162" s="151">
        <v>111.5</v>
      </c>
      <c r="U162" s="155"/>
      <c r="V162" s="155"/>
      <c r="W162" s="209"/>
      <c r="X162" s="200"/>
      <c r="Y162" s="155"/>
      <c r="Z162" s="189"/>
      <c r="AA162" s="155"/>
      <c r="AB162" s="155"/>
      <c r="AC162" s="156">
        <v>1.8</v>
      </c>
      <c r="AD162" s="155"/>
      <c r="AE162" s="209"/>
      <c r="AF162" s="200"/>
      <c r="AG162" s="155"/>
      <c r="AH162" s="155"/>
      <c r="AI162" s="155"/>
      <c r="AJ162" s="155"/>
      <c r="AK162" s="160">
        <v>20</v>
      </c>
      <c r="AL162" s="210"/>
      <c r="AM162" s="214"/>
      <c r="AN162" s="214"/>
      <c r="AO162" s="214"/>
      <c r="AP162" s="215"/>
      <c r="AQ162" s="210"/>
      <c r="AR162" s="211"/>
      <c r="AS162" s="192"/>
    </row>
    <row r="163" spans="1:45" s="212" customFormat="1" x14ac:dyDescent="0.3">
      <c r="A163" s="207"/>
      <c r="B163" s="198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48">
        <v>94</v>
      </c>
      <c r="R163" s="148">
        <v>99</v>
      </c>
      <c r="S163" s="151">
        <v>81.5</v>
      </c>
      <c r="T163" s="151">
        <v>111.5</v>
      </c>
      <c r="U163" s="155"/>
      <c r="V163" s="155"/>
      <c r="W163" s="209"/>
      <c r="X163" s="200"/>
      <c r="Y163" s="155"/>
      <c r="Z163" s="189"/>
      <c r="AA163" s="155"/>
      <c r="AB163" s="155"/>
      <c r="AC163" s="156">
        <v>1.8</v>
      </c>
      <c r="AD163" s="155"/>
      <c r="AE163" s="209"/>
      <c r="AF163" s="200"/>
      <c r="AG163" s="155"/>
      <c r="AH163" s="155"/>
      <c r="AI163" s="155"/>
      <c r="AJ163" s="155"/>
      <c r="AK163" s="160">
        <v>20</v>
      </c>
      <c r="AL163" s="210"/>
      <c r="AM163" s="214"/>
      <c r="AN163" s="214"/>
      <c r="AO163" s="214"/>
      <c r="AP163" s="215"/>
      <c r="AQ163" s="210"/>
      <c r="AR163" s="211"/>
      <c r="AS163" s="192"/>
    </row>
    <row r="164" spans="1:45" s="212" customFormat="1" x14ac:dyDescent="0.3">
      <c r="A164" s="207"/>
      <c r="B164" s="198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48">
        <v>94</v>
      </c>
      <c r="R164" s="148">
        <v>99</v>
      </c>
      <c r="S164" s="151">
        <v>81.5</v>
      </c>
      <c r="T164" s="151">
        <v>111.5</v>
      </c>
      <c r="U164" s="155"/>
      <c r="V164" s="155"/>
      <c r="W164" s="209"/>
      <c r="X164" s="200"/>
      <c r="Y164" s="155"/>
      <c r="Z164" s="189"/>
      <c r="AA164" s="155"/>
      <c r="AB164" s="155"/>
      <c r="AC164" s="156">
        <v>1.8</v>
      </c>
      <c r="AD164" s="155"/>
      <c r="AE164" s="209"/>
      <c r="AF164" s="200"/>
      <c r="AG164" s="155"/>
      <c r="AH164" s="155"/>
      <c r="AI164" s="155"/>
      <c r="AJ164" s="155"/>
      <c r="AK164" s="160">
        <v>20</v>
      </c>
      <c r="AL164" s="210"/>
      <c r="AM164" s="214"/>
      <c r="AN164" s="214"/>
      <c r="AO164" s="214"/>
      <c r="AP164" s="215"/>
      <c r="AQ164" s="210"/>
      <c r="AR164" s="211"/>
      <c r="AS164" s="192"/>
    </row>
    <row r="165" spans="1:45" s="212" customFormat="1" x14ac:dyDescent="0.3">
      <c r="A165" s="207"/>
      <c r="B165" s="198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48">
        <v>94</v>
      </c>
      <c r="R165" s="148">
        <v>99</v>
      </c>
      <c r="S165" s="151">
        <v>81.5</v>
      </c>
      <c r="T165" s="151">
        <v>111.5</v>
      </c>
      <c r="U165" s="155"/>
      <c r="V165" s="155"/>
      <c r="W165" s="209"/>
      <c r="X165" s="200"/>
      <c r="Y165" s="155"/>
      <c r="Z165" s="189"/>
      <c r="AA165" s="155"/>
      <c r="AB165" s="155"/>
      <c r="AC165" s="156">
        <v>1.8</v>
      </c>
      <c r="AD165" s="155"/>
      <c r="AE165" s="209"/>
      <c r="AF165" s="200"/>
      <c r="AG165" s="155"/>
      <c r="AH165" s="155"/>
      <c r="AI165" s="155"/>
      <c r="AJ165" s="155"/>
      <c r="AK165" s="160">
        <v>20</v>
      </c>
      <c r="AL165" s="210"/>
      <c r="AM165" s="214"/>
      <c r="AN165" s="214"/>
      <c r="AO165" s="214"/>
      <c r="AP165" s="215"/>
      <c r="AQ165" s="210"/>
      <c r="AR165" s="211"/>
      <c r="AS165" s="192"/>
    </row>
    <row r="166" spans="1:45" s="212" customFormat="1" x14ac:dyDescent="0.3">
      <c r="A166" s="207"/>
      <c r="B166" s="198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48">
        <v>94</v>
      </c>
      <c r="R166" s="148">
        <v>99</v>
      </c>
      <c r="S166" s="151">
        <v>81.5</v>
      </c>
      <c r="T166" s="151">
        <v>111.5</v>
      </c>
      <c r="U166" s="155"/>
      <c r="V166" s="155"/>
      <c r="W166" s="209"/>
      <c r="X166" s="200"/>
      <c r="Y166" s="155"/>
      <c r="Z166" s="189"/>
      <c r="AA166" s="155"/>
      <c r="AB166" s="155"/>
      <c r="AC166" s="156">
        <v>1.8</v>
      </c>
      <c r="AD166" s="155"/>
      <c r="AE166" s="209"/>
      <c r="AF166" s="200"/>
      <c r="AG166" s="155"/>
      <c r="AH166" s="155"/>
      <c r="AI166" s="155"/>
      <c r="AJ166" s="155"/>
      <c r="AK166" s="160">
        <v>20</v>
      </c>
      <c r="AL166" s="210"/>
      <c r="AM166" s="214"/>
      <c r="AN166" s="214"/>
      <c r="AO166" s="214"/>
      <c r="AP166" s="215"/>
      <c r="AQ166" s="210"/>
      <c r="AR166" s="211"/>
      <c r="AS166" s="192"/>
    </row>
    <row r="167" spans="1:45" s="212" customFormat="1" x14ac:dyDescent="0.3">
      <c r="A167" s="207"/>
      <c r="B167" s="198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48">
        <v>94</v>
      </c>
      <c r="R167" s="148">
        <v>99</v>
      </c>
      <c r="S167" s="151">
        <v>81.5</v>
      </c>
      <c r="T167" s="151">
        <v>111.5</v>
      </c>
      <c r="U167" s="155"/>
      <c r="V167" s="155"/>
      <c r="W167" s="209"/>
      <c r="X167" s="200"/>
      <c r="Y167" s="155"/>
      <c r="Z167" s="189"/>
      <c r="AA167" s="155"/>
      <c r="AB167" s="155"/>
      <c r="AC167" s="156">
        <v>1.8</v>
      </c>
      <c r="AD167" s="155"/>
      <c r="AE167" s="209"/>
      <c r="AF167" s="200"/>
      <c r="AG167" s="155"/>
      <c r="AH167" s="155"/>
      <c r="AI167" s="155"/>
      <c r="AJ167" s="155"/>
      <c r="AK167" s="160">
        <v>20</v>
      </c>
      <c r="AL167" s="210"/>
      <c r="AM167" s="214"/>
      <c r="AN167" s="214"/>
      <c r="AO167" s="214"/>
      <c r="AP167" s="215"/>
      <c r="AQ167" s="210"/>
      <c r="AR167" s="211"/>
      <c r="AS167" s="192"/>
    </row>
    <row r="168" spans="1:45" s="212" customFormat="1" x14ac:dyDescent="0.3">
      <c r="A168" s="207"/>
      <c r="B168" s="19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48">
        <v>94</v>
      </c>
      <c r="R168" s="148">
        <v>99</v>
      </c>
      <c r="S168" s="151">
        <v>81.5</v>
      </c>
      <c r="T168" s="151">
        <v>111.5</v>
      </c>
      <c r="U168" s="155"/>
      <c r="V168" s="155"/>
      <c r="W168" s="209"/>
      <c r="X168" s="200"/>
      <c r="Y168" s="155"/>
      <c r="Z168" s="189"/>
      <c r="AA168" s="155"/>
      <c r="AB168" s="155"/>
      <c r="AC168" s="156">
        <v>1.8</v>
      </c>
      <c r="AD168" s="155"/>
      <c r="AE168" s="209"/>
      <c r="AF168" s="200"/>
      <c r="AG168" s="155"/>
      <c r="AH168" s="155"/>
      <c r="AI168" s="155"/>
      <c r="AJ168" s="155"/>
      <c r="AK168" s="160">
        <v>20</v>
      </c>
      <c r="AL168" s="210"/>
      <c r="AM168" s="214"/>
      <c r="AN168" s="214"/>
      <c r="AO168" s="214"/>
      <c r="AP168" s="215"/>
      <c r="AQ168" s="210"/>
      <c r="AR168" s="211"/>
      <c r="AS168" s="192"/>
    </row>
    <row r="169" spans="1:45" s="212" customFormat="1" x14ac:dyDescent="0.3">
      <c r="A169" s="207"/>
      <c r="B169" s="19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48">
        <v>94</v>
      </c>
      <c r="R169" s="148">
        <v>99</v>
      </c>
      <c r="S169" s="151">
        <v>81.5</v>
      </c>
      <c r="T169" s="151">
        <v>111.5</v>
      </c>
      <c r="U169" s="155"/>
      <c r="V169" s="155"/>
      <c r="W169" s="209"/>
      <c r="X169" s="200"/>
      <c r="Y169" s="155"/>
      <c r="Z169" s="189"/>
      <c r="AA169" s="155"/>
      <c r="AB169" s="155"/>
      <c r="AC169" s="156">
        <v>1.8</v>
      </c>
      <c r="AD169" s="155"/>
      <c r="AE169" s="209"/>
      <c r="AF169" s="200"/>
      <c r="AG169" s="155"/>
      <c r="AH169" s="155"/>
      <c r="AI169" s="155"/>
      <c r="AJ169" s="155"/>
      <c r="AK169" s="160">
        <v>20</v>
      </c>
      <c r="AL169" s="210"/>
      <c r="AM169" s="214"/>
      <c r="AN169" s="214"/>
      <c r="AO169" s="214"/>
      <c r="AP169" s="215"/>
      <c r="AQ169" s="210"/>
      <c r="AR169" s="211"/>
      <c r="AS169" s="192"/>
    </row>
    <row r="170" spans="1:45" s="212" customFormat="1" x14ac:dyDescent="0.3">
      <c r="A170" s="207"/>
      <c r="B170" s="19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48">
        <v>94</v>
      </c>
      <c r="R170" s="148">
        <v>99</v>
      </c>
      <c r="S170" s="151">
        <v>81.5</v>
      </c>
      <c r="T170" s="151">
        <v>111.5</v>
      </c>
      <c r="U170" s="155"/>
      <c r="V170" s="155"/>
      <c r="W170" s="209"/>
      <c r="X170" s="200"/>
      <c r="Y170" s="155"/>
      <c r="Z170" s="189"/>
      <c r="AA170" s="155"/>
      <c r="AB170" s="155"/>
      <c r="AC170" s="156">
        <v>1.8</v>
      </c>
      <c r="AD170" s="155"/>
      <c r="AE170" s="209"/>
      <c r="AF170" s="200"/>
      <c r="AG170" s="155"/>
      <c r="AH170" s="155"/>
      <c r="AI170" s="155"/>
      <c r="AJ170" s="155"/>
      <c r="AK170" s="160">
        <v>20</v>
      </c>
      <c r="AL170" s="210"/>
      <c r="AM170" s="214"/>
      <c r="AN170" s="214"/>
      <c r="AO170" s="214"/>
      <c r="AP170" s="215"/>
      <c r="AQ170" s="210"/>
      <c r="AR170" s="211"/>
      <c r="AS170" s="192"/>
    </row>
    <row r="171" spans="1:45" s="212" customFormat="1" x14ac:dyDescent="0.3">
      <c r="A171" s="216"/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168"/>
      <c r="V171" s="168"/>
      <c r="W171" s="168"/>
      <c r="X171" s="168"/>
      <c r="Y171" s="168"/>
      <c r="Z171" s="217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R171" s="218"/>
      <c r="AS171" s="219"/>
    </row>
    <row r="172" spans="1:45" s="212" customFormat="1" x14ac:dyDescent="0.3">
      <c r="A172" s="216"/>
      <c r="B172" s="202"/>
      <c r="C172" s="202"/>
      <c r="D172" s="202"/>
      <c r="E172" s="202"/>
      <c r="F172" s="202"/>
      <c r="G172" s="202"/>
      <c r="H172" s="202"/>
      <c r="I172" s="202"/>
      <c r="J172" s="202"/>
      <c r="K172" s="202"/>
      <c r="L172" s="202"/>
      <c r="M172" s="202"/>
      <c r="N172" s="202"/>
      <c r="O172" s="202"/>
      <c r="P172" s="202"/>
      <c r="Q172" s="202"/>
      <c r="R172" s="202"/>
      <c r="S172" s="202"/>
      <c r="T172" s="202"/>
      <c r="U172" s="168"/>
      <c r="V172" s="168"/>
      <c r="W172" s="168"/>
      <c r="X172" s="168"/>
      <c r="Y172" s="168"/>
      <c r="Z172" s="217"/>
      <c r="AA172" s="168"/>
      <c r="AB172" s="168"/>
      <c r="AC172" s="168"/>
      <c r="AD172" s="168"/>
      <c r="AE172" s="168"/>
      <c r="AF172" s="168"/>
      <c r="AG172" s="168"/>
      <c r="AH172" s="168"/>
      <c r="AI172" s="168"/>
      <c r="AJ172" s="168"/>
      <c r="AK172" s="168"/>
      <c r="AR172" s="218"/>
      <c r="AS172" s="219"/>
    </row>
    <row r="173" spans="1:45" s="212" customFormat="1" x14ac:dyDescent="0.3">
      <c r="A173" s="216"/>
      <c r="B173" s="202"/>
      <c r="C173" s="202"/>
      <c r="D173" s="202"/>
      <c r="E173" s="202"/>
      <c r="F173" s="202"/>
      <c r="G173" s="202"/>
      <c r="H173" s="202"/>
      <c r="I173" s="202"/>
      <c r="J173" s="202"/>
      <c r="K173" s="202"/>
      <c r="L173" s="202"/>
      <c r="M173" s="202"/>
      <c r="N173" s="202"/>
      <c r="O173" s="202"/>
      <c r="P173" s="202"/>
      <c r="Q173" s="202"/>
      <c r="R173" s="202"/>
      <c r="S173" s="202"/>
      <c r="T173" s="202"/>
      <c r="U173" s="168"/>
      <c r="V173" s="168"/>
      <c r="W173" s="168"/>
      <c r="X173" s="168"/>
      <c r="Y173" s="168"/>
      <c r="Z173" s="217"/>
      <c r="AA173" s="168"/>
      <c r="AB173" s="168"/>
      <c r="AC173" s="168"/>
      <c r="AD173" s="168"/>
      <c r="AE173" s="168"/>
      <c r="AF173" s="168"/>
      <c r="AG173" s="168"/>
      <c r="AH173" s="168"/>
      <c r="AI173" s="168"/>
      <c r="AJ173" s="168"/>
      <c r="AK173" s="168"/>
      <c r="AR173" s="218"/>
      <c r="AS173" s="219"/>
    </row>
    <row r="174" spans="1:45" s="212" customFormat="1" x14ac:dyDescent="0.3">
      <c r="A174" s="216"/>
      <c r="B174" s="202"/>
      <c r="C174" s="202"/>
      <c r="D174" s="202"/>
      <c r="E174" s="202"/>
      <c r="F174" s="202"/>
      <c r="G174" s="202"/>
      <c r="H174" s="202"/>
      <c r="I174" s="202"/>
      <c r="J174" s="202"/>
      <c r="K174" s="202"/>
      <c r="L174" s="202"/>
      <c r="M174" s="202"/>
      <c r="N174" s="202"/>
      <c r="O174" s="202"/>
      <c r="P174" s="202"/>
      <c r="Q174" s="202"/>
      <c r="R174" s="202"/>
      <c r="S174" s="202"/>
      <c r="T174" s="202"/>
      <c r="U174" s="168"/>
      <c r="V174" s="168"/>
      <c r="W174" s="168"/>
      <c r="X174" s="168"/>
      <c r="Y174" s="168"/>
      <c r="Z174" s="217"/>
      <c r="AA174" s="168"/>
      <c r="AB174" s="168"/>
      <c r="AC174" s="168"/>
      <c r="AD174" s="168"/>
      <c r="AE174" s="168"/>
      <c r="AF174" s="168"/>
      <c r="AG174" s="168"/>
      <c r="AH174" s="168"/>
      <c r="AI174" s="168"/>
      <c r="AJ174" s="168"/>
      <c r="AK174" s="168"/>
      <c r="AR174" s="218"/>
      <c r="AS174" s="219"/>
    </row>
    <row r="175" spans="1:45" s="212" customFormat="1" x14ac:dyDescent="0.3">
      <c r="A175" s="216"/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2"/>
      <c r="P175" s="202"/>
      <c r="Q175" s="202"/>
      <c r="R175" s="202"/>
      <c r="S175" s="202"/>
      <c r="T175" s="202"/>
      <c r="U175" s="168"/>
      <c r="V175" s="168"/>
      <c r="W175" s="168"/>
      <c r="X175" s="168"/>
      <c r="Y175" s="168"/>
      <c r="Z175" s="217"/>
      <c r="AA175" s="168"/>
      <c r="AB175" s="168"/>
      <c r="AC175" s="168"/>
      <c r="AD175" s="168"/>
      <c r="AE175" s="168"/>
      <c r="AF175" s="168"/>
      <c r="AG175" s="168"/>
      <c r="AH175" s="168"/>
      <c r="AI175" s="168"/>
      <c r="AJ175" s="168"/>
      <c r="AK175" s="168"/>
      <c r="AR175" s="218"/>
      <c r="AS175" s="219"/>
    </row>
    <row r="176" spans="1:45" s="212" customFormat="1" x14ac:dyDescent="0.3">
      <c r="A176" s="216"/>
      <c r="B176" s="202"/>
      <c r="C176" s="202"/>
      <c r="D176" s="202"/>
      <c r="E176" s="202"/>
      <c r="F176" s="202"/>
      <c r="G176" s="202"/>
      <c r="H176" s="202"/>
      <c r="I176" s="202"/>
      <c r="J176" s="202"/>
      <c r="K176" s="202"/>
      <c r="L176" s="202"/>
      <c r="M176" s="202"/>
      <c r="N176" s="202"/>
      <c r="O176" s="202"/>
      <c r="P176" s="202"/>
      <c r="Q176" s="202"/>
      <c r="R176" s="202"/>
      <c r="S176" s="202"/>
      <c r="T176" s="202"/>
      <c r="U176" s="168"/>
      <c r="V176" s="168"/>
      <c r="W176" s="168"/>
      <c r="X176" s="168"/>
      <c r="Y176" s="168"/>
      <c r="Z176" s="217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R176" s="218"/>
      <c r="AS176" s="219"/>
    </row>
    <row r="177" spans="1:45" s="212" customFormat="1" x14ac:dyDescent="0.3">
      <c r="A177" s="216"/>
      <c r="B177" s="202"/>
      <c r="C177" s="202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168"/>
      <c r="V177" s="168"/>
      <c r="W177" s="168"/>
      <c r="X177" s="168"/>
      <c r="Y177" s="168"/>
      <c r="Z177" s="217"/>
      <c r="AA177" s="168"/>
      <c r="AB177" s="168"/>
      <c r="AC177" s="168"/>
      <c r="AD177" s="168"/>
      <c r="AE177" s="168"/>
      <c r="AF177" s="168"/>
      <c r="AG177" s="168"/>
      <c r="AH177" s="168"/>
      <c r="AI177" s="168"/>
      <c r="AJ177" s="168"/>
      <c r="AK177" s="168"/>
      <c r="AR177" s="218"/>
      <c r="AS177" s="219"/>
    </row>
    <row r="178" spans="1:45" s="212" customFormat="1" x14ac:dyDescent="0.3">
      <c r="A178" s="216"/>
      <c r="B178" s="202"/>
      <c r="C178" s="202"/>
      <c r="D178" s="202"/>
      <c r="E178" s="202"/>
      <c r="F178" s="202"/>
      <c r="G178" s="202"/>
      <c r="H178" s="202"/>
      <c r="I178" s="202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168"/>
      <c r="V178" s="168"/>
      <c r="W178" s="168"/>
      <c r="X178" s="168"/>
      <c r="Y178" s="168"/>
      <c r="Z178" s="217"/>
      <c r="AA178" s="168"/>
      <c r="AB178" s="168"/>
      <c r="AC178" s="168"/>
      <c r="AD178" s="168"/>
      <c r="AE178" s="168"/>
      <c r="AF178" s="168"/>
      <c r="AG178" s="168"/>
      <c r="AH178" s="168"/>
      <c r="AI178" s="168"/>
      <c r="AJ178" s="168"/>
      <c r="AK178" s="168"/>
      <c r="AR178" s="218"/>
      <c r="AS178" s="219"/>
    </row>
    <row r="179" spans="1:45" s="212" customFormat="1" x14ac:dyDescent="0.3">
      <c r="A179" s="216"/>
      <c r="B179" s="202"/>
      <c r="C179" s="202"/>
      <c r="D179" s="202"/>
      <c r="E179" s="202"/>
      <c r="F179" s="202"/>
      <c r="G179" s="202"/>
      <c r="H179" s="202"/>
      <c r="I179" s="202"/>
      <c r="J179" s="202"/>
      <c r="K179" s="202"/>
      <c r="L179" s="202"/>
      <c r="M179" s="202"/>
      <c r="N179" s="202"/>
      <c r="O179" s="202"/>
      <c r="P179" s="202"/>
      <c r="Q179" s="202"/>
      <c r="R179" s="202"/>
      <c r="S179" s="202"/>
      <c r="T179" s="202"/>
      <c r="U179" s="168"/>
      <c r="V179" s="168"/>
      <c r="W179" s="168"/>
      <c r="X179" s="168"/>
      <c r="Y179" s="168"/>
      <c r="Z179" s="217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R179" s="218"/>
      <c r="AS179" s="219"/>
    </row>
    <row r="180" spans="1:45" s="212" customFormat="1" x14ac:dyDescent="0.3">
      <c r="A180" s="216"/>
      <c r="B180" s="202"/>
      <c r="C180" s="202"/>
      <c r="D180" s="202"/>
      <c r="E180" s="202"/>
      <c r="F180" s="202"/>
      <c r="G180" s="202"/>
      <c r="H180" s="202"/>
      <c r="I180" s="202"/>
      <c r="J180" s="202"/>
      <c r="K180" s="202"/>
      <c r="L180" s="202"/>
      <c r="M180" s="202"/>
      <c r="N180" s="202"/>
      <c r="O180" s="202"/>
      <c r="P180" s="202"/>
      <c r="Q180" s="202"/>
      <c r="R180" s="202"/>
      <c r="S180" s="202"/>
      <c r="T180" s="202"/>
      <c r="U180" s="168"/>
      <c r="V180" s="168"/>
      <c r="W180" s="168"/>
      <c r="X180" s="168"/>
      <c r="Y180" s="168"/>
      <c r="Z180" s="217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R180" s="218"/>
      <c r="AS180" s="219"/>
    </row>
    <row r="181" spans="1:45" s="212" customFormat="1" x14ac:dyDescent="0.3">
      <c r="A181" s="216"/>
      <c r="B181" s="202"/>
      <c r="C181" s="202"/>
      <c r="D181" s="202"/>
      <c r="E181" s="202"/>
      <c r="F181" s="202"/>
      <c r="G181" s="202"/>
      <c r="H181" s="202"/>
      <c r="I181" s="202"/>
      <c r="J181" s="202"/>
      <c r="K181" s="202"/>
      <c r="L181" s="202"/>
      <c r="M181" s="202"/>
      <c r="N181" s="202"/>
      <c r="O181" s="202"/>
      <c r="P181" s="202"/>
      <c r="Q181" s="202"/>
      <c r="R181" s="202"/>
      <c r="S181" s="202"/>
      <c r="T181" s="202"/>
      <c r="U181" s="168"/>
      <c r="V181" s="168"/>
      <c r="W181" s="168"/>
      <c r="X181" s="168"/>
      <c r="Y181" s="168"/>
      <c r="Z181" s="217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R181" s="218"/>
      <c r="AS181" s="219"/>
    </row>
    <row r="182" spans="1:45" s="212" customFormat="1" x14ac:dyDescent="0.3">
      <c r="A182" s="216"/>
      <c r="B182" s="202"/>
      <c r="C182" s="202"/>
      <c r="D182" s="202"/>
      <c r="E182" s="202"/>
      <c r="F182" s="202"/>
      <c r="G182" s="202"/>
      <c r="H182" s="202"/>
      <c r="I182" s="202"/>
      <c r="J182" s="202"/>
      <c r="K182" s="202"/>
      <c r="L182" s="202"/>
      <c r="M182" s="202"/>
      <c r="N182" s="202"/>
      <c r="O182" s="202"/>
      <c r="P182" s="202"/>
      <c r="Q182" s="202"/>
      <c r="R182" s="202"/>
      <c r="S182" s="202"/>
      <c r="T182" s="202"/>
      <c r="U182" s="168"/>
      <c r="V182" s="168"/>
      <c r="W182" s="168"/>
      <c r="X182" s="168"/>
      <c r="Y182" s="168"/>
      <c r="Z182" s="217"/>
      <c r="AA182" s="168"/>
      <c r="AB182" s="168"/>
      <c r="AC182" s="168"/>
      <c r="AD182" s="168"/>
      <c r="AE182" s="168"/>
      <c r="AF182" s="168"/>
      <c r="AG182" s="168"/>
      <c r="AH182" s="168"/>
      <c r="AI182" s="168"/>
      <c r="AJ182" s="168"/>
      <c r="AK182" s="168"/>
      <c r="AR182" s="218"/>
      <c r="AS182" s="219"/>
    </row>
    <row r="183" spans="1:45" s="212" customFormat="1" x14ac:dyDescent="0.3">
      <c r="A183" s="216"/>
      <c r="B183" s="202"/>
      <c r="C183" s="202"/>
      <c r="D183" s="202"/>
      <c r="E183" s="202"/>
      <c r="F183" s="202"/>
      <c r="G183" s="202"/>
      <c r="H183" s="202"/>
      <c r="I183" s="202"/>
      <c r="J183" s="202"/>
      <c r="K183" s="202"/>
      <c r="L183" s="202"/>
      <c r="M183" s="202"/>
      <c r="N183" s="202"/>
      <c r="O183" s="202"/>
      <c r="P183" s="202"/>
      <c r="Q183" s="202"/>
      <c r="R183" s="202"/>
      <c r="S183" s="202"/>
      <c r="T183" s="202"/>
      <c r="U183" s="168"/>
      <c r="V183" s="168"/>
      <c r="W183" s="168"/>
      <c r="X183" s="168"/>
      <c r="Y183" s="168"/>
      <c r="Z183" s="217"/>
      <c r="AA183" s="168"/>
      <c r="AB183" s="168"/>
      <c r="AC183" s="168"/>
      <c r="AD183" s="168"/>
      <c r="AE183" s="168"/>
      <c r="AF183" s="168"/>
      <c r="AG183" s="168"/>
      <c r="AH183" s="168"/>
      <c r="AI183" s="168"/>
      <c r="AJ183" s="168"/>
      <c r="AK183" s="168"/>
      <c r="AR183" s="218"/>
      <c r="AS183" s="219"/>
    </row>
    <row r="184" spans="1:45" s="212" customFormat="1" x14ac:dyDescent="0.3">
      <c r="A184" s="216"/>
      <c r="B184" s="202"/>
      <c r="C184" s="202"/>
      <c r="D184" s="202"/>
      <c r="E184" s="202"/>
      <c r="F184" s="202"/>
      <c r="G184" s="202"/>
      <c r="H184" s="202"/>
      <c r="I184" s="202"/>
      <c r="J184" s="202"/>
      <c r="K184" s="202"/>
      <c r="L184" s="202"/>
      <c r="M184" s="202"/>
      <c r="N184" s="202"/>
      <c r="O184" s="202"/>
      <c r="P184" s="202"/>
      <c r="Q184" s="202"/>
      <c r="R184" s="202"/>
      <c r="S184" s="202"/>
      <c r="T184" s="202"/>
      <c r="U184" s="168"/>
      <c r="V184" s="168"/>
      <c r="W184" s="168"/>
      <c r="X184" s="168"/>
      <c r="Y184" s="168"/>
      <c r="Z184" s="217"/>
      <c r="AA184" s="168"/>
      <c r="AB184" s="168"/>
      <c r="AC184" s="168"/>
      <c r="AD184" s="168"/>
      <c r="AE184" s="168"/>
      <c r="AF184" s="168"/>
      <c r="AG184" s="168"/>
      <c r="AH184" s="168"/>
      <c r="AI184" s="168"/>
      <c r="AJ184" s="168"/>
      <c r="AK184" s="168"/>
      <c r="AR184" s="218"/>
      <c r="AS184" s="219"/>
    </row>
    <row r="185" spans="1:45" s="212" customFormat="1" x14ac:dyDescent="0.3">
      <c r="A185" s="216"/>
      <c r="B185" s="202"/>
      <c r="C185" s="202"/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168"/>
      <c r="V185" s="168"/>
      <c r="W185" s="168"/>
      <c r="X185" s="168"/>
      <c r="Y185" s="168"/>
      <c r="Z185" s="217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R185" s="218"/>
      <c r="AS185" s="219"/>
    </row>
    <row r="186" spans="1:45" s="212" customFormat="1" x14ac:dyDescent="0.3">
      <c r="A186" s="216"/>
      <c r="B186" s="202"/>
      <c r="C186" s="202"/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168"/>
      <c r="V186" s="168"/>
      <c r="W186" s="168"/>
      <c r="X186" s="168"/>
      <c r="Y186" s="168"/>
      <c r="Z186" s="217"/>
      <c r="AA186" s="168"/>
      <c r="AB186" s="168"/>
      <c r="AC186" s="168"/>
      <c r="AD186" s="168"/>
      <c r="AE186" s="168"/>
      <c r="AF186" s="168"/>
      <c r="AG186" s="168"/>
      <c r="AH186" s="168"/>
      <c r="AI186" s="168"/>
      <c r="AJ186" s="168"/>
      <c r="AK186" s="168"/>
      <c r="AR186" s="218"/>
      <c r="AS186" s="219"/>
    </row>
    <row r="187" spans="1:45" s="212" customFormat="1" x14ac:dyDescent="0.3">
      <c r="A187" s="216"/>
      <c r="B187" s="202"/>
      <c r="C187" s="202"/>
      <c r="D187" s="202"/>
      <c r="E187" s="202"/>
      <c r="F187" s="202"/>
      <c r="G187" s="202"/>
      <c r="H187" s="202"/>
      <c r="I187" s="202"/>
      <c r="J187" s="202"/>
      <c r="K187" s="202"/>
      <c r="L187" s="202"/>
      <c r="M187" s="202"/>
      <c r="N187" s="202"/>
      <c r="O187" s="202"/>
      <c r="P187" s="202"/>
      <c r="Q187" s="202"/>
      <c r="R187" s="202"/>
      <c r="S187" s="202"/>
      <c r="T187" s="202"/>
      <c r="U187" s="168"/>
      <c r="V187" s="168"/>
      <c r="W187" s="168"/>
      <c r="X187" s="168"/>
      <c r="Y187" s="168"/>
      <c r="Z187" s="217"/>
      <c r="AA187" s="168"/>
      <c r="AB187" s="168"/>
      <c r="AC187" s="168"/>
      <c r="AD187" s="168"/>
      <c r="AE187" s="168"/>
      <c r="AF187" s="168"/>
      <c r="AG187" s="168"/>
      <c r="AH187" s="168"/>
      <c r="AI187" s="168"/>
      <c r="AJ187" s="168"/>
      <c r="AK187" s="168"/>
      <c r="AR187" s="218"/>
      <c r="AS187" s="219"/>
    </row>
    <row r="188" spans="1:45" s="212" customFormat="1" x14ac:dyDescent="0.3">
      <c r="A188" s="216"/>
      <c r="B188" s="202"/>
      <c r="C188" s="202"/>
      <c r="D188" s="202"/>
      <c r="E188" s="202"/>
      <c r="F188" s="202"/>
      <c r="G188" s="202"/>
      <c r="H188" s="202"/>
      <c r="I188" s="202"/>
      <c r="J188" s="202"/>
      <c r="K188" s="202"/>
      <c r="L188" s="202"/>
      <c r="M188" s="202"/>
      <c r="N188" s="202"/>
      <c r="O188" s="202"/>
      <c r="P188" s="202"/>
      <c r="Q188" s="202"/>
      <c r="R188" s="202"/>
      <c r="S188" s="202"/>
      <c r="T188" s="202"/>
      <c r="U188" s="168"/>
      <c r="V188" s="168"/>
      <c r="W188" s="168"/>
      <c r="X188" s="168"/>
      <c r="Y188" s="168"/>
      <c r="Z188" s="217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R188" s="218"/>
      <c r="AS188" s="219"/>
    </row>
    <row r="189" spans="1:45" s="212" customFormat="1" x14ac:dyDescent="0.3">
      <c r="A189" s="216"/>
      <c r="B189" s="202"/>
      <c r="C189" s="202"/>
      <c r="D189" s="202"/>
      <c r="E189" s="202"/>
      <c r="F189" s="202"/>
      <c r="G189" s="202"/>
      <c r="H189" s="202"/>
      <c r="I189" s="202"/>
      <c r="J189" s="202"/>
      <c r="K189" s="202"/>
      <c r="L189" s="202"/>
      <c r="M189" s="202"/>
      <c r="N189" s="202"/>
      <c r="O189" s="202"/>
      <c r="P189" s="202"/>
      <c r="Q189" s="202"/>
      <c r="R189" s="202"/>
      <c r="S189" s="202"/>
      <c r="T189" s="202"/>
      <c r="U189" s="168"/>
      <c r="V189" s="168"/>
      <c r="W189" s="168"/>
      <c r="X189" s="168"/>
      <c r="Y189" s="168"/>
      <c r="Z189" s="217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R189" s="218"/>
      <c r="AS189" s="219"/>
    </row>
    <row r="190" spans="1:45" s="212" customFormat="1" x14ac:dyDescent="0.3">
      <c r="A190" s="216"/>
      <c r="B190" s="202"/>
      <c r="C190" s="202"/>
      <c r="D190" s="202"/>
      <c r="E190" s="202"/>
      <c r="F190" s="202"/>
      <c r="G190" s="202"/>
      <c r="H190" s="202"/>
      <c r="I190" s="202"/>
      <c r="J190" s="202"/>
      <c r="K190" s="202"/>
      <c r="L190" s="202"/>
      <c r="M190" s="202"/>
      <c r="N190" s="202"/>
      <c r="O190" s="202"/>
      <c r="P190" s="202"/>
      <c r="Q190" s="202"/>
      <c r="R190" s="202"/>
      <c r="S190" s="202"/>
      <c r="T190" s="202"/>
      <c r="U190" s="168"/>
      <c r="V190" s="168"/>
      <c r="W190" s="168"/>
      <c r="X190" s="168"/>
      <c r="Y190" s="168"/>
      <c r="Z190" s="217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R190" s="218"/>
      <c r="AS190" s="219"/>
    </row>
    <row r="191" spans="1:45" s="212" customFormat="1" x14ac:dyDescent="0.3">
      <c r="A191" s="216"/>
      <c r="B191" s="202"/>
      <c r="C191" s="202"/>
      <c r="D191" s="202"/>
      <c r="E191" s="202"/>
      <c r="F191" s="202"/>
      <c r="G191" s="202"/>
      <c r="H191" s="202"/>
      <c r="I191" s="202"/>
      <c r="J191" s="202"/>
      <c r="K191" s="202"/>
      <c r="L191" s="202"/>
      <c r="M191" s="202"/>
      <c r="N191" s="202"/>
      <c r="O191" s="202"/>
      <c r="P191" s="202"/>
      <c r="Q191" s="202"/>
      <c r="R191" s="202"/>
      <c r="S191" s="202"/>
      <c r="T191" s="202"/>
      <c r="U191" s="168"/>
      <c r="V191" s="168"/>
      <c r="W191" s="168"/>
      <c r="X191" s="168"/>
      <c r="Y191" s="168"/>
      <c r="Z191" s="217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R191" s="218"/>
      <c r="AS191" s="219"/>
    </row>
    <row r="192" spans="1:45" s="212" customFormat="1" x14ac:dyDescent="0.3">
      <c r="A192" s="216"/>
      <c r="B192" s="202"/>
      <c r="C192" s="202"/>
      <c r="D192" s="202"/>
      <c r="E192" s="202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  <c r="R192" s="202"/>
      <c r="S192" s="202"/>
      <c r="T192" s="202"/>
      <c r="U192" s="168"/>
      <c r="V192" s="168"/>
      <c r="W192" s="168"/>
      <c r="X192" s="168"/>
      <c r="Y192" s="168"/>
      <c r="Z192" s="217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R192" s="218"/>
      <c r="AS192" s="219"/>
    </row>
    <row r="193" spans="1:45" s="212" customFormat="1" x14ac:dyDescent="0.3">
      <c r="A193" s="216"/>
      <c r="B193" s="202"/>
      <c r="C193" s="202"/>
      <c r="D193" s="202"/>
      <c r="E193" s="202"/>
      <c r="F193" s="202"/>
      <c r="G193" s="202"/>
      <c r="H193" s="202"/>
      <c r="I193" s="202"/>
      <c r="J193" s="202"/>
      <c r="K193" s="202"/>
      <c r="L193" s="202"/>
      <c r="M193" s="202"/>
      <c r="N193" s="202"/>
      <c r="O193" s="202"/>
      <c r="P193" s="202"/>
      <c r="Q193" s="202"/>
      <c r="R193" s="202"/>
      <c r="S193" s="202"/>
      <c r="T193" s="202"/>
      <c r="U193" s="168"/>
      <c r="V193" s="168"/>
      <c r="W193" s="168"/>
      <c r="X193" s="168"/>
      <c r="Y193" s="168"/>
      <c r="Z193" s="217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R193" s="218"/>
      <c r="AS193" s="219"/>
    </row>
    <row r="194" spans="1:45" s="212" customFormat="1" x14ac:dyDescent="0.3">
      <c r="A194" s="216"/>
      <c r="B194" s="202"/>
      <c r="C194" s="202"/>
      <c r="D194" s="202"/>
      <c r="E194" s="202"/>
      <c r="F194" s="202"/>
      <c r="G194" s="202"/>
      <c r="H194" s="202"/>
      <c r="I194" s="202"/>
      <c r="J194" s="202"/>
      <c r="K194" s="202"/>
      <c r="L194" s="202"/>
      <c r="M194" s="202"/>
      <c r="N194" s="202"/>
      <c r="O194" s="202"/>
      <c r="P194" s="202"/>
      <c r="Q194" s="202"/>
      <c r="R194" s="202"/>
      <c r="S194" s="202"/>
      <c r="T194" s="202"/>
      <c r="U194" s="168"/>
      <c r="V194" s="168"/>
      <c r="W194" s="168"/>
      <c r="X194" s="168"/>
      <c r="Y194" s="168"/>
      <c r="Z194" s="217"/>
      <c r="AA194" s="168"/>
      <c r="AB194" s="168"/>
      <c r="AC194" s="168"/>
      <c r="AD194" s="168"/>
      <c r="AE194" s="168"/>
      <c r="AF194" s="168"/>
      <c r="AG194" s="168"/>
      <c r="AH194" s="168"/>
      <c r="AI194" s="168"/>
      <c r="AJ194" s="168"/>
      <c r="AK194" s="168"/>
      <c r="AR194" s="218"/>
      <c r="AS194" s="219"/>
    </row>
    <row r="195" spans="1:45" s="212" customFormat="1" x14ac:dyDescent="0.3">
      <c r="A195" s="216"/>
      <c r="B195" s="202"/>
      <c r="C195" s="202"/>
      <c r="D195" s="202"/>
      <c r="E195" s="202"/>
      <c r="F195" s="202"/>
      <c r="G195" s="202"/>
      <c r="H195" s="202"/>
      <c r="I195" s="202"/>
      <c r="J195" s="202"/>
      <c r="K195" s="202"/>
      <c r="L195" s="202"/>
      <c r="M195" s="202"/>
      <c r="N195" s="202"/>
      <c r="O195" s="202"/>
      <c r="P195" s="202"/>
      <c r="Q195" s="202"/>
      <c r="R195" s="202"/>
      <c r="S195" s="202"/>
      <c r="T195" s="202"/>
      <c r="U195" s="168"/>
      <c r="V195" s="168"/>
      <c r="W195" s="168"/>
      <c r="X195" s="168"/>
      <c r="Y195" s="168"/>
      <c r="Z195" s="217"/>
      <c r="AA195" s="168"/>
      <c r="AB195" s="168"/>
      <c r="AC195" s="168"/>
      <c r="AD195" s="168"/>
      <c r="AE195" s="168"/>
      <c r="AF195" s="168"/>
      <c r="AG195" s="168"/>
      <c r="AH195" s="168"/>
      <c r="AI195" s="168"/>
      <c r="AJ195" s="168"/>
      <c r="AK195" s="168"/>
      <c r="AR195" s="218"/>
      <c r="AS195" s="219"/>
    </row>
    <row r="196" spans="1:45" s="212" customFormat="1" x14ac:dyDescent="0.3">
      <c r="A196" s="216"/>
      <c r="B196" s="202"/>
      <c r="C196" s="202"/>
      <c r="D196" s="202"/>
      <c r="E196" s="202"/>
      <c r="F196" s="202"/>
      <c r="G196" s="202"/>
      <c r="H196" s="202"/>
      <c r="I196" s="202"/>
      <c r="J196" s="202"/>
      <c r="K196" s="202"/>
      <c r="L196" s="202"/>
      <c r="M196" s="202"/>
      <c r="N196" s="202"/>
      <c r="O196" s="202"/>
      <c r="P196" s="202"/>
      <c r="Q196" s="202"/>
      <c r="R196" s="202"/>
      <c r="S196" s="202"/>
      <c r="T196" s="202"/>
      <c r="U196" s="168"/>
      <c r="V196" s="168"/>
      <c r="W196" s="168"/>
      <c r="X196" s="168"/>
      <c r="Y196" s="168"/>
      <c r="Z196" s="217"/>
      <c r="AA196" s="168"/>
      <c r="AB196" s="168"/>
      <c r="AC196" s="168"/>
      <c r="AD196" s="168"/>
      <c r="AE196" s="168"/>
      <c r="AF196" s="168"/>
      <c r="AG196" s="168"/>
      <c r="AH196" s="168"/>
      <c r="AI196" s="168"/>
      <c r="AJ196" s="168"/>
      <c r="AK196" s="168"/>
      <c r="AR196" s="218"/>
      <c r="AS196" s="219"/>
    </row>
    <row r="197" spans="1:45" s="212" customFormat="1" x14ac:dyDescent="0.3">
      <c r="A197" s="216"/>
      <c r="B197" s="202"/>
      <c r="C197" s="202"/>
      <c r="D197" s="202"/>
      <c r="E197" s="202"/>
      <c r="F197" s="202"/>
      <c r="G197" s="202"/>
      <c r="H197" s="202"/>
      <c r="I197" s="202"/>
      <c r="J197" s="202"/>
      <c r="K197" s="202"/>
      <c r="L197" s="202"/>
      <c r="M197" s="202"/>
      <c r="N197" s="202"/>
      <c r="O197" s="202"/>
      <c r="P197" s="202"/>
      <c r="Q197" s="202"/>
      <c r="R197" s="202"/>
      <c r="S197" s="202"/>
      <c r="T197" s="202"/>
      <c r="U197" s="168"/>
      <c r="V197" s="168"/>
      <c r="W197" s="168"/>
      <c r="X197" s="168"/>
      <c r="Y197" s="168"/>
      <c r="Z197" s="217"/>
      <c r="AA197" s="168"/>
      <c r="AB197" s="168"/>
      <c r="AC197" s="168"/>
      <c r="AD197" s="168"/>
      <c r="AE197" s="168"/>
      <c r="AF197" s="168"/>
      <c r="AG197" s="168"/>
      <c r="AH197" s="168"/>
      <c r="AI197" s="168"/>
      <c r="AJ197" s="168"/>
      <c r="AK197" s="168"/>
      <c r="AR197" s="218"/>
      <c r="AS197" s="219"/>
    </row>
    <row r="198" spans="1:45" s="212" customFormat="1" x14ac:dyDescent="0.3">
      <c r="A198" s="216"/>
      <c r="B198" s="202"/>
      <c r="C198" s="202"/>
      <c r="D198" s="202"/>
      <c r="E198" s="202"/>
      <c r="F198" s="202"/>
      <c r="G198" s="202"/>
      <c r="H198" s="202"/>
      <c r="I198" s="202"/>
      <c r="J198" s="202"/>
      <c r="K198" s="202"/>
      <c r="L198" s="202"/>
      <c r="M198" s="202"/>
      <c r="N198" s="202"/>
      <c r="O198" s="202"/>
      <c r="P198" s="202"/>
      <c r="Q198" s="202"/>
      <c r="R198" s="202"/>
      <c r="S198" s="202"/>
      <c r="T198" s="202"/>
      <c r="U198" s="168"/>
      <c r="V198" s="168"/>
      <c r="W198" s="168"/>
      <c r="X198" s="168"/>
      <c r="Y198" s="168"/>
      <c r="Z198" s="217"/>
      <c r="AA198" s="168"/>
      <c r="AB198" s="168"/>
      <c r="AC198" s="168"/>
      <c r="AD198" s="168"/>
      <c r="AE198" s="168"/>
      <c r="AF198" s="168"/>
      <c r="AG198" s="168"/>
      <c r="AH198" s="168"/>
      <c r="AI198" s="168"/>
      <c r="AJ198" s="168"/>
      <c r="AK198" s="168"/>
      <c r="AR198" s="218"/>
      <c r="AS198" s="219"/>
    </row>
    <row r="199" spans="1:45" s="212" customFormat="1" x14ac:dyDescent="0.3">
      <c r="A199" s="216"/>
      <c r="B199" s="202"/>
      <c r="C199" s="202"/>
      <c r="D199" s="202"/>
      <c r="E199" s="202"/>
      <c r="F199" s="202"/>
      <c r="G199" s="202"/>
      <c r="H199" s="202"/>
      <c r="I199" s="202"/>
      <c r="J199" s="202"/>
      <c r="K199" s="202"/>
      <c r="L199" s="202"/>
      <c r="M199" s="202"/>
      <c r="N199" s="202"/>
      <c r="O199" s="202"/>
      <c r="P199" s="202"/>
      <c r="Q199" s="202"/>
      <c r="R199" s="202"/>
      <c r="S199" s="202"/>
      <c r="T199" s="202"/>
      <c r="U199" s="168"/>
      <c r="V199" s="168"/>
      <c r="W199" s="168"/>
      <c r="X199" s="168"/>
      <c r="Y199" s="168"/>
      <c r="Z199" s="217"/>
      <c r="AA199" s="168"/>
      <c r="AB199" s="168"/>
      <c r="AC199" s="168"/>
      <c r="AD199" s="168"/>
      <c r="AE199" s="168"/>
      <c r="AF199" s="168"/>
      <c r="AG199" s="168"/>
      <c r="AH199" s="168"/>
      <c r="AI199" s="168"/>
      <c r="AJ199" s="168"/>
      <c r="AK199" s="168"/>
      <c r="AR199" s="218"/>
      <c r="AS199" s="219"/>
    </row>
    <row r="200" spans="1:45" s="212" customFormat="1" x14ac:dyDescent="0.3">
      <c r="A200" s="216"/>
      <c r="B200" s="202"/>
      <c r="C200" s="202"/>
      <c r="D200" s="202"/>
      <c r="E200" s="202"/>
      <c r="F200" s="202"/>
      <c r="G200" s="202"/>
      <c r="H200" s="202"/>
      <c r="I200" s="202"/>
      <c r="J200" s="202"/>
      <c r="K200" s="202"/>
      <c r="L200" s="202"/>
      <c r="M200" s="202"/>
      <c r="N200" s="202"/>
      <c r="O200" s="202"/>
      <c r="P200" s="202"/>
      <c r="Q200" s="202"/>
      <c r="R200" s="202"/>
      <c r="S200" s="202"/>
      <c r="T200" s="202"/>
      <c r="U200" s="168"/>
      <c r="V200" s="168"/>
      <c r="W200" s="168"/>
      <c r="X200" s="168"/>
      <c r="Y200" s="168"/>
      <c r="Z200" s="217"/>
      <c r="AA200" s="168"/>
      <c r="AB200" s="168"/>
      <c r="AC200" s="168"/>
      <c r="AD200" s="168"/>
      <c r="AE200" s="168"/>
      <c r="AF200" s="168"/>
      <c r="AG200" s="168"/>
      <c r="AH200" s="168"/>
      <c r="AI200" s="168"/>
      <c r="AJ200" s="168"/>
      <c r="AK200" s="168"/>
      <c r="AR200" s="218"/>
      <c r="AS200" s="219"/>
    </row>
    <row r="201" spans="1:45" s="212" customFormat="1" x14ac:dyDescent="0.3">
      <c r="A201" s="216"/>
      <c r="B201" s="202"/>
      <c r="C201" s="202"/>
      <c r="D201" s="202"/>
      <c r="E201" s="202"/>
      <c r="F201" s="202"/>
      <c r="G201" s="202"/>
      <c r="H201" s="202"/>
      <c r="I201" s="202"/>
      <c r="J201" s="202"/>
      <c r="K201" s="202"/>
      <c r="L201" s="202"/>
      <c r="M201" s="202"/>
      <c r="N201" s="202"/>
      <c r="O201" s="202"/>
      <c r="P201" s="202"/>
      <c r="Q201" s="202"/>
      <c r="R201" s="202"/>
      <c r="S201" s="202"/>
      <c r="T201" s="202"/>
      <c r="U201" s="168"/>
      <c r="V201" s="168"/>
      <c r="W201" s="168"/>
      <c r="X201" s="168"/>
      <c r="Y201" s="168"/>
      <c r="Z201" s="217"/>
      <c r="AA201" s="168"/>
      <c r="AB201" s="168"/>
      <c r="AC201" s="168"/>
      <c r="AD201" s="168"/>
      <c r="AE201" s="168"/>
      <c r="AF201" s="168"/>
      <c r="AG201" s="168"/>
      <c r="AH201" s="168"/>
      <c r="AI201" s="168"/>
      <c r="AJ201" s="168"/>
      <c r="AK201" s="168"/>
      <c r="AR201" s="218"/>
      <c r="AS201" s="219"/>
    </row>
    <row r="202" spans="1:45" s="212" customFormat="1" x14ac:dyDescent="0.3">
      <c r="A202" s="216"/>
      <c r="B202" s="202"/>
      <c r="C202" s="202"/>
      <c r="D202" s="202"/>
      <c r="E202" s="202"/>
      <c r="F202" s="202"/>
      <c r="G202" s="202"/>
      <c r="H202" s="202"/>
      <c r="I202" s="202"/>
      <c r="J202" s="202"/>
      <c r="K202" s="202"/>
      <c r="L202" s="202"/>
      <c r="M202" s="202"/>
      <c r="N202" s="202"/>
      <c r="O202" s="202"/>
      <c r="P202" s="202"/>
      <c r="Q202" s="202"/>
      <c r="R202" s="202"/>
      <c r="S202" s="202"/>
      <c r="T202" s="202"/>
      <c r="U202" s="168"/>
      <c r="V202" s="168"/>
      <c r="W202" s="168"/>
      <c r="X202" s="168"/>
      <c r="Y202" s="168"/>
      <c r="Z202" s="217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R202" s="218"/>
      <c r="AS202" s="219"/>
    </row>
    <row r="203" spans="1:45" s="212" customFormat="1" x14ac:dyDescent="0.3">
      <c r="A203" s="216"/>
      <c r="B203" s="202"/>
      <c r="C203" s="202"/>
      <c r="D203" s="202"/>
      <c r="E203" s="202"/>
      <c r="F203" s="202"/>
      <c r="G203" s="202"/>
      <c r="H203" s="202"/>
      <c r="I203" s="202"/>
      <c r="J203" s="202"/>
      <c r="K203" s="202"/>
      <c r="L203" s="202"/>
      <c r="M203" s="202"/>
      <c r="N203" s="202"/>
      <c r="O203" s="202"/>
      <c r="P203" s="202"/>
      <c r="Q203" s="202"/>
      <c r="R203" s="202"/>
      <c r="S203" s="202"/>
      <c r="T203" s="202"/>
      <c r="U203" s="168"/>
      <c r="V203" s="168"/>
      <c r="W203" s="168"/>
      <c r="X203" s="168"/>
      <c r="Y203" s="168"/>
      <c r="Z203" s="217"/>
      <c r="AA203" s="168"/>
      <c r="AB203" s="168"/>
      <c r="AC203" s="168"/>
      <c r="AD203" s="168"/>
      <c r="AE203" s="168"/>
      <c r="AF203" s="168"/>
      <c r="AG203" s="168"/>
      <c r="AH203" s="168"/>
      <c r="AI203" s="168"/>
      <c r="AJ203" s="168"/>
      <c r="AK203" s="168"/>
      <c r="AR203" s="218"/>
      <c r="AS203" s="219"/>
    </row>
    <row r="204" spans="1:45" s="212" customFormat="1" x14ac:dyDescent="0.3">
      <c r="A204" s="216"/>
      <c r="B204" s="202"/>
      <c r="C204" s="202"/>
      <c r="D204" s="202"/>
      <c r="E204" s="202"/>
      <c r="F204" s="202"/>
      <c r="G204" s="202"/>
      <c r="H204" s="202"/>
      <c r="I204" s="202"/>
      <c r="J204" s="202"/>
      <c r="K204" s="202"/>
      <c r="L204" s="202"/>
      <c r="M204" s="202"/>
      <c r="N204" s="202"/>
      <c r="O204" s="202"/>
      <c r="P204" s="202"/>
      <c r="Q204" s="202"/>
      <c r="R204" s="202"/>
      <c r="S204" s="202"/>
      <c r="T204" s="202"/>
      <c r="U204" s="168"/>
      <c r="V204" s="168"/>
      <c r="W204" s="168"/>
      <c r="X204" s="168"/>
      <c r="Y204" s="168"/>
      <c r="Z204" s="217"/>
      <c r="AA204" s="168"/>
      <c r="AB204" s="168"/>
      <c r="AC204" s="168"/>
      <c r="AD204" s="168"/>
      <c r="AE204" s="168"/>
      <c r="AF204" s="168"/>
      <c r="AG204" s="168"/>
      <c r="AH204" s="168"/>
      <c r="AI204" s="168"/>
      <c r="AJ204" s="168"/>
      <c r="AK204" s="168"/>
      <c r="AR204" s="218"/>
      <c r="AS204" s="219"/>
    </row>
    <row r="205" spans="1:45" s="212" customFormat="1" x14ac:dyDescent="0.3">
      <c r="A205" s="216"/>
      <c r="B205" s="202"/>
      <c r="C205" s="202"/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168"/>
      <c r="V205" s="168"/>
      <c r="W205" s="168"/>
      <c r="X205" s="168"/>
      <c r="Y205" s="168"/>
      <c r="Z205" s="217"/>
      <c r="AA205" s="168"/>
      <c r="AB205" s="168"/>
      <c r="AC205" s="168"/>
      <c r="AD205" s="168"/>
      <c r="AE205" s="168"/>
      <c r="AF205" s="168"/>
      <c r="AG205" s="168"/>
      <c r="AH205" s="168"/>
      <c r="AI205" s="168"/>
      <c r="AJ205" s="168"/>
      <c r="AK205" s="168"/>
      <c r="AR205" s="218"/>
      <c r="AS205" s="219"/>
    </row>
    <row r="206" spans="1:45" s="212" customFormat="1" x14ac:dyDescent="0.3">
      <c r="A206" s="216"/>
      <c r="B206" s="202"/>
      <c r="C206" s="202"/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168"/>
      <c r="V206" s="168"/>
      <c r="W206" s="168"/>
      <c r="X206" s="168"/>
      <c r="Y206" s="168"/>
      <c r="Z206" s="217"/>
      <c r="AA206" s="168"/>
      <c r="AB206" s="168"/>
      <c r="AC206" s="168"/>
      <c r="AD206" s="168"/>
      <c r="AE206" s="168"/>
      <c r="AF206" s="168"/>
      <c r="AG206" s="168"/>
      <c r="AH206" s="168"/>
      <c r="AI206" s="168"/>
      <c r="AJ206" s="168"/>
      <c r="AK206" s="168"/>
      <c r="AR206" s="218"/>
      <c r="AS206" s="219"/>
    </row>
    <row r="207" spans="1:45" s="212" customFormat="1" x14ac:dyDescent="0.3">
      <c r="A207" s="216"/>
      <c r="B207" s="202"/>
      <c r="C207" s="202"/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168"/>
      <c r="V207" s="168"/>
      <c r="W207" s="168"/>
      <c r="X207" s="168"/>
      <c r="Y207" s="168"/>
      <c r="Z207" s="217"/>
      <c r="AA207" s="168"/>
      <c r="AB207" s="168"/>
      <c r="AC207" s="168"/>
      <c r="AD207" s="168"/>
      <c r="AE207" s="168"/>
      <c r="AF207" s="168"/>
      <c r="AG207" s="168"/>
      <c r="AH207" s="168"/>
      <c r="AI207" s="168"/>
      <c r="AJ207" s="168"/>
      <c r="AK207" s="168"/>
      <c r="AR207" s="218"/>
      <c r="AS207" s="219"/>
    </row>
    <row r="208" spans="1:45" s="212" customFormat="1" x14ac:dyDescent="0.3">
      <c r="A208" s="216"/>
      <c r="B208" s="202"/>
      <c r="C208" s="202"/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168"/>
      <c r="V208" s="168"/>
      <c r="W208" s="168"/>
      <c r="X208" s="168"/>
      <c r="Y208" s="168"/>
      <c r="Z208" s="217"/>
      <c r="AA208" s="168"/>
      <c r="AB208" s="168"/>
      <c r="AC208" s="168"/>
      <c r="AD208" s="168"/>
      <c r="AE208" s="168"/>
      <c r="AF208" s="168"/>
      <c r="AG208" s="168"/>
      <c r="AH208" s="168"/>
      <c r="AI208" s="168"/>
      <c r="AJ208" s="168"/>
      <c r="AK208" s="168"/>
      <c r="AR208" s="218"/>
      <c r="AS208" s="219"/>
    </row>
    <row r="209" spans="1:45" s="212" customFormat="1" x14ac:dyDescent="0.3">
      <c r="A209" s="216"/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168"/>
      <c r="V209" s="168"/>
      <c r="W209" s="168"/>
      <c r="X209" s="168"/>
      <c r="Y209" s="168"/>
      <c r="Z209" s="217"/>
      <c r="AA209" s="168"/>
      <c r="AB209" s="168"/>
      <c r="AC209" s="168"/>
      <c r="AD209" s="168"/>
      <c r="AE209" s="168"/>
      <c r="AF209" s="168"/>
      <c r="AG209" s="168"/>
      <c r="AH209" s="168"/>
      <c r="AI209" s="168"/>
      <c r="AJ209" s="168"/>
      <c r="AK209" s="168"/>
      <c r="AR209" s="218"/>
      <c r="AS209" s="219"/>
    </row>
    <row r="210" spans="1:45" s="212" customFormat="1" x14ac:dyDescent="0.3">
      <c r="A210" s="216"/>
      <c r="B210" s="202"/>
      <c r="C210" s="202"/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168"/>
      <c r="V210" s="168"/>
      <c r="W210" s="168"/>
      <c r="X210" s="168"/>
      <c r="Y210" s="168"/>
      <c r="Z210" s="217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R210" s="218"/>
      <c r="AS210" s="219"/>
    </row>
    <row r="211" spans="1:45" s="212" customFormat="1" x14ac:dyDescent="0.3">
      <c r="A211" s="216"/>
      <c r="B211" s="202"/>
      <c r="C211" s="202"/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168"/>
      <c r="V211" s="168"/>
      <c r="W211" s="168"/>
      <c r="X211" s="168"/>
      <c r="Y211" s="168"/>
      <c r="Z211" s="217"/>
      <c r="AA211" s="168"/>
      <c r="AB211" s="168"/>
      <c r="AC211" s="168"/>
      <c r="AD211" s="168"/>
      <c r="AE211" s="168"/>
      <c r="AF211" s="168"/>
      <c r="AG211" s="168"/>
      <c r="AH211" s="168"/>
      <c r="AI211" s="168"/>
      <c r="AJ211" s="168"/>
      <c r="AK211" s="168"/>
      <c r="AR211" s="218"/>
      <c r="AS211" s="219"/>
    </row>
    <row r="212" spans="1:45" s="212" customFormat="1" x14ac:dyDescent="0.3">
      <c r="A212" s="216"/>
      <c r="B212" s="202"/>
      <c r="C212" s="202"/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168"/>
      <c r="V212" s="168"/>
      <c r="W212" s="168"/>
      <c r="X212" s="168"/>
      <c r="Y212" s="168"/>
      <c r="Z212" s="217"/>
      <c r="AA212" s="168"/>
      <c r="AB212" s="168"/>
      <c r="AC212" s="168"/>
      <c r="AD212" s="168"/>
      <c r="AE212" s="168"/>
      <c r="AF212" s="168"/>
      <c r="AG212" s="168"/>
      <c r="AH212" s="168"/>
      <c r="AI212" s="168"/>
      <c r="AJ212" s="168"/>
      <c r="AK212" s="168"/>
      <c r="AR212" s="218"/>
      <c r="AS212" s="219"/>
    </row>
    <row r="213" spans="1:45" s="212" customFormat="1" x14ac:dyDescent="0.3">
      <c r="A213" s="216"/>
      <c r="B213" s="202"/>
      <c r="C213" s="202"/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168"/>
      <c r="V213" s="168"/>
      <c r="W213" s="168"/>
      <c r="X213" s="168"/>
      <c r="Y213" s="168"/>
      <c r="Z213" s="217"/>
      <c r="AA213" s="168"/>
      <c r="AB213" s="168"/>
      <c r="AC213" s="168"/>
      <c r="AD213" s="168"/>
      <c r="AE213" s="168"/>
      <c r="AF213" s="168"/>
      <c r="AG213" s="168"/>
      <c r="AH213" s="168"/>
      <c r="AI213" s="168"/>
      <c r="AJ213" s="168"/>
      <c r="AK213" s="168"/>
      <c r="AR213" s="218"/>
      <c r="AS213" s="219"/>
    </row>
    <row r="214" spans="1:45" s="212" customFormat="1" x14ac:dyDescent="0.3">
      <c r="A214" s="216"/>
      <c r="B214" s="202"/>
      <c r="C214" s="202"/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168"/>
      <c r="V214" s="168"/>
      <c r="W214" s="168"/>
      <c r="X214" s="168"/>
      <c r="Y214" s="168"/>
      <c r="Z214" s="217"/>
      <c r="AA214" s="168"/>
      <c r="AB214" s="168"/>
      <c r="AC214" s="168"/>
      <c r="AD214" s="168"/>
      <c r="AE214" s="168"/>
      <c r="AF214" s="168"/>
      <c r="AG214" s="168"/>
      <c r="AH214" s="168"/>
      <c r="AI214" s="168"/>
      <c r="AJ214" s="168"/>
      <c r="AK214" s="168"/>
      <c r="AR214" s="218"/>
      <c r="AS214" s="219"/>
    </row>
    <row r="215" spans="1:45" s="212" customFormat="1" x14ac:dyDescent="0.3">
      <c r="A215" s="216"/>
      <c r="B215" s="202"/>
      <c r="C215" s="202"/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168"/>
      <c r="V215" s="168"/>
      <c r="W215" s="168"/>
      <c r="X215" s="168"/>
      <c r="Y215" s="168"/>
      <c r="Z215" s="217"/>
      <c r="AA215" s="168"/>
      <c r="AB215" s="168"/>
      <c r="AC215" s="168"/>
      <c r="AD215" s="168"/>
      <c r="AE215" s="168"/>
      <c r="AF215" s="168"/>
      <c r="AG215" s="168"/>
      <c r="AH215" s="168"/>
      <c r="AI215" s="168"/>
      <c r="AJ215" s="168"/>
      <c r="AK215" s="168"/>
      <c r="AR215" s="218"/>
      <c r="AS215" s="219"/>
    </row>
    <row r="216" spans="1:45" s="212" customFormat="1" x14ac:dyDescent="0.3">
      <c r="A216" s="216"/>
      <c r="B216" s="202"/>
      <c r="C216" s="202"/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168"/>
      <c r="V216" s="168"/>
      <c r="W216" s="168"/>
      <c r="X216" s="168"/>
      <c r="Y216" s="168"/>
      <c r="Z216" s="217"/>
      <c r="AA216" s="168"/>
      <c r="AB216" s="168"/>
      <c r="AC216" s="168"/>
      <c r="AD216" s="168"/>
      <c r="AE216" s="168"/>
      <c r="AF216" s="168"/>
      <c r="AG216" s="168"/>
      <c r="AH216" s="168"/>
      <c r="AI216" s="168"/>
      <c r="AJ216" s="168"/>
      <c r="AK216" s="168"/>
      <c r="AR216" s="218"/>
      <c r="AS216" s="219"/>
    </row>
    <row r="217" spans="1:45" s="212" customFormat="1" x14ac:dyDescent="0.3">
      <c r="A217" s="216"/>
      <c r="B217" s="202"/>
      <c r="C217" s="202"/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168"/>
      <c r="V217" s="168"/>
      <c r="W217" s="168"/>
      <c r="X217" s="168"/>
      <c r="Y217" s="168"/>
      <c r="Z217" s="217"/>
      <c r="AA217" s="168"/>
      <c r="AB217" s="168"/>
      <c r="AC217" s="168"/>
      <c r="AD217" s="168"/>
      <c r="AE217" s="168"/>
      <c r="AF217" s="168"/>
      <c r="AG217" s="168"/>
      <c r="AH217" s="168"/>
      <c r="AI217" s="168"/>
      <c r="AJ217" s="168"/>
      <c r="AK217" s="168"/>
      <c r="AR217" s="218"/>
      <c r="AS217" s="219"/>
    </row>
    <row r="218" spans="1:45" s="212" customFormat="1" x14ac:dyDescent="0.3">
      <c r="A218" s="216"/>
      <c r="B218" s="202"/>
      <c r="C218" s="202"/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168"/>
      <c r="V218" s="168"/>
      <c r="W218" s="168"/>
      <c r="X218" s="168"/>
      <c r="Y218" s="168"/>
      <c r="Z218" s="217"/>
      <c r="AA218" s="168"/>
      <c r="AB218" s="168"/>
      <c r="AC218" s="168"/>
      <c r="AD218" s="168"/>
      <c r="AE218" s="168"/>
      <c r="AF218" s="168"/>
      <c r="AG218" s="168"/>
      <c r="AH218" s="168"/>
      <c r="AI218" s="168"/>
      <c r="AJ218" s="168"/>
      <c r="AK218" s="168"/>
      <c r="AR218" s="218"/>
      <c r="AS218" s="219"/>
    </row>
    <row r="219" spans="1:45" s="212" customFormat="1" x14ac:dyDescent="0.3">
      <c r="A219" s="216"/>
      <c r="B219" s="202"/>
      <c r="C219" s="202"/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168"/>
      <c r="V219" s="168"/>
      <c r="W219" s="168"/>
      <c r="X219" s="168"/>
      <c r="Y219" s="168"/>
      <c r="Z219" s="217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R219" s="218"/>
      <c r="AS219" s="219"/>
    </row>
    <row r="220" spans="1:45" s="212" customFormat="1" x14ac:dyDescent="0.3">
      <c r="A220" s="216"/>
      <c r="B220" s="202"/>
      <c r="C220" s="202"/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168"/>
      <c r="V220" s="168"/>
      <c r="W220" s="168"/>
      <c r="X220" s="168"/>
      <c r="Y220" s="168"/>
      <c r="Z220" s="217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R220" s="218"/>
      <c r="AS220" s="219"/>
    </row>
    <row r="221" spans="1:45" s="212" customFormat="1" x14ac:dyDescent="0.3">
      <c r="A221" s="216"/>
      <c r="B221" s="202"/>
      <c r="C221" s="202"/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168"/>
      <c r="V221" s="168"/>
      <c r="W221" s="168"/>
      <c r="X221" s="168"/>
      <c r="Y221" s="168"/>
      <c r="Z221" s="217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R221" s="218"/>
      <c r="AS221" s="219"/>
    </row>
    <row r="222" spans="1:45" s="212" customFormat="1" x14ac:dyDescent="0.3">
      <c r="A222" s="216"/>
      <c r="B222" s="202"/>
      <c r="C222" s="202"/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168"/>
      <c r="V222" s="168"/>
      <c r="W222" s="168"/>
      <c r="X222" s="168"/>
      <c r="Y222" s="168"/>
      <c r="Z222" s="217"/>
      <c r="AA222" s="168"/>
      <c r="AB222" s="168"/>
      <c r="AC222" s="168"/>
      <c r="AD222" s="168"/>
      <c r="AE222" s="168"/>
      <c r="AF222" s="168"/>
      <c r="AG222" s="168"/>
      <c r="AH222" s="168"/>
      <c r="AI222" s="168"/>
      <c r="AJ222" s="168"/>
      <c r="AK222" s="168"/>
      <c r="AR222" s="218"/>
      <c r="AS222" s="219"/>
    </row>
    <row r="223" spans="1:45" s="212" customFormat="1" x14ac:dyDescent="0.3">
      <c r="A223" s="216"/>
      <c r="B223" s="202"/>
      <c r="C223" s="202"/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168"/>
      <c r="V223" s="168"/>
      <c r="W223" s="168"/>
      <c r="X223" s="168"/>
      <c r="Y223" s="168"/>
      <c r="Z223" s="217"/>
      <c r="AA223" s="168"/>
      <c r="AB223" s="168"/>
      <c r="AC223" s="168"/>
      <c r="AD223" s="168"/>
      <c r="AE223" s="168"/>
      <c r="AF223" s="168"/>
      <c r="AG223" s="168"/>
      <c r="AH223" s="168"/>
      <c r="AI223" s="168"/>
      <c r="AJ223" s="168"/>
      <c r="AK223" s="168"/>
      <c r="AR223" s="218"/>
      <c r="AS223" s="219"/>
    </row>
    <row r="224" spans="1:45" s="212" customFormat="1" x14ac:dyDescent="0.3">
      <c r="A224" s="216"/>
      <c r="B224" s="202"/>
      <c r="C224" s="202"/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168"/>
      <c r="V224" s="168"/>
      <c r="W224" s="168"/>
      <c r="X224" s="168"/>
      <c r="Y224" s="168"/>
      <c r="Z224" s="217"/>
      <c r="AA224" s="168"/>
      <c r="AB224" s="168"/>
      <c r="AC224" s="168"/>
      <c r="AD224" s="168"/>
      <c r="AE224" s="168"/>
      <c r="AF224" s="168"/>
      <c r="AG224" s="168"/>
      <c r="AH224" s="168"/>
      <c r="AI224" s="168"/>
      <c r="AJ224" s="168"/>
      <c r="AK224" s="168"/>
      <c r="AR224" s="218"/>
      <c r="AS224" s="219"/>
    </row>
    <row r="225" spans="1:45" s="212" customFormat="1" x14ac:dyDescent="0.3">
      <c r="A225" s="216"/>
      <c r="B225" s="202"/>
      <c r="C225" s="202"/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168"/>
      <c r="V225" s="168"/>
      <c r="W225" s="168"/>
      <c r="X225" s="168"/>
      <c r="Y225" s="168"/>
      <c r="Z225" s="217"/>
      <c r="AA225" s="168"/>
      <c r="AB225" s="168"/>
      <c r="AC225" s="168"/>
      <c r="AD225" s="168"/>
      <c r="AE225" s="168"/>
      <c r="AF225" s="168"/>
      <c r="AG225" s="168"/>
      <c r="AH225" s="168"/>
      <c r="AI225" s="168"/>
      <c r="AJ225" s="168"/>
      <c r="AK225" s="168"/>
      <c r="AR225" s="218"/>
      <c r="AS225" s="219"/>
    </row>
    <row r="226" spans="1:45" s="212" customFormat="1" x14ac:dyDescent="0.3">
      <c r="A226" s="216"/>
      <c r="B226" s="202"/>
      <c r="C226" s="202"/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168"/>
      <c r="V226" s="168"/>
      <c r="W226" s="168"/>
      <c r="X226" s="168"/>
      <c r="Y226" s="168"/>
      <c r="Z226" s="217"/>
      <c r="AA226" s="168"/>
      <c r="AB226" s="168"/>
      <c r="AC226" s="168"/>
      <c r="AD226" s="168"/>
      <c r="AE226" s="168"/>
      <c r="AF226" s="168"/>
      <c r="AG226" s="168"/>
      <c r="AH226" s="168"/>
      <c r="AI226" s="168"/>
      <c r="AJ226" s="168"/>
      <c r="AK226" s="168"/>
      <c r="AR226" s="218"/>
      <c r="AS226" s="219"/>
    </row>
    <row r="227" spans="1:45" s="212" customFormat="1" x14ac:dyDescent="0.3">
      <c r="A227" s="216"/>
      <c r="B227" s="202"/>
      <c r="C227" s="202"/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168"/>
      <c r="V227" s="168"/>
      <c r="W227" s="168"/>
      <c r="X227" s="168"/>
      <c r="Y227" s="168"/>
      <c r="Z227" s="217"/>
      <c r="AA227" s="168"/>
      <c r="AB227" s="168"/>
      <c r="AC227" s="168"/>
      <c r="AD227" s="168"/>
      <c r="AE227" s="168"/>
      <c r="AF227" s="168"/>
      <c r="AG227" s="168"/>
      <c r="AH227" s="168"/>
      <c r="AI227" s="168"/>
      <c r="AJ227" s="168"/>
      <c r="AK227" s="168"/>
      <c r="AR227" s="218"/>
      <c r="AS227" s="219"/>
    </row>
    <row r="228" spans="1:45" s="212" customFormat="1" x14ac:dyDescent="0.3">
      <c r="A228" s="216"/>
      <c r="B228" s="202"/>
      <c r="C228" s="202"/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168"/>
      <c r="V228" s="168"/>
      <c r="W228" s="168"/>
      <c r="X228" s="168"/>
      <c r="Y228" s="168"/>
      <c r="Z228" s="217"/>
      <c r="AA228" s="168"/>
      <c r="AB228" s="168"/>
      <c r="AC228" s="168"/>
      <c r="AD228" s="168"/>
      <c r="AE228" s="168"/>
      <c r="AF228" s="168"/>
      <c r="AG228" s="168"/>
      <c r="AH228" s="168"/>
      <c r="AI228" s="168"/>
      <c r="AJ228" s="168"/>
      <c r="AK228" s="168"/>
      <c r="AR228" s="218"/>
      <c r="AS228" s="219"/>
    </row>
    <row r="229" spans="1:45" s="212" customFormat="1" x14ac:dyDescent="0.3">
      <c r="A229" s="216"/>
      <c r="B229" s="202"/>
      <c r="C229" s="202"/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168"/>
      <c r="V229" s="168"/>
      <c r="W229" s="168"/>
      <c r="X229" s="168"/>
      <c r="Y229" s="168"/>
      <c r="Z229" s="217"/>
      <c r="AA229" s="168"/>
      <c r="AB229" s="168"/>
      <c r="AC229" s="168"/>
      <c r="AD229" s="168"/>
      <c r="AE229" s="168"/>
      <c r="AF229" s="168"/>
      <c r="AG229" s="168"/>
      <c r="AH229" s="168"/>
      <c r="AI229" s="168"/>
      <c r="AJ229" s="168"/>
      <c r="AK229" s="168"/>
      <c r="AR229" s="218"/>
      <c r="AS229" s="219"/>
    </row>
    <row r="230" spans="1:45" s="212" customFormat="1" x14ac:dyDescent="0.3">
      <c r="A230" s="216"/>
      <c r="B230" s="202"/>
      <c r="C230" s="202"/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168"/>
      <c r="V230" s="168"/>
      <c r="W230" s="168"/>
      <c r="X230" s="168"/>
      <c r="Y230" s="168"/>
      <c r="Z230" s="217"/>
      <c r="AA230" s="168"/>
      <c r="AB230" s="168"/>
      <c r="AC230" s="168"/>
      <c r="AD230" s="168"/>
      <c r="AE230" s="168"/>
      <c r="AF230" s="168"/>
      <c r="AG230" s="168"/>
      <c r="AH230" s="168"/>
      <c r="AI230" s="168"/>
      <c r="AJ230" s="168"/>
      <c r="AK230" s="168"/>
      <c r="AR230" s="218"/>
      <c r="AS230" s="219"/>
    </row>
    <row r="231" spans="1:45" s="212" customFormat="1" x14ac:dyDescent="0.3">
      <c r="A231" s="216"/>
      <c r="B231" s="202"/>
      <c r="C231" s="202"/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168"/>
      <c r="V231" s="168"/>
      <c r="W231" s="168"/>
      <c r="X231" s="168"/>
      <c r="Y231" s="168"/>
      <c r="Z231" s="217"/>
      <c r="AA231" s="168"/>
      <c r="AB231" s="168"/>
      <c r="AC231" s="168"/>
      <c r="AD231" s="168"/>
      <c r="AE231" s="168"/>
      <c r="AF231" s="168"/>
      <c r="AG231" s="168"/>
      <c r="AH231" s="168"/>
      <c r="AI231" s="168"/>
      <c r="AJ231" s="168"/>
      <c r="AK231" s="168"/>
      <c r="AR231" s="218"/>
      <c r="AS231" s="219"/>
    </row>
    <row r="232" spans="1:45" s="212" customFormat="1" x14ac:dyDescent="0.3">
      <c r="A232" s="216"/>
      <c r="B232" s="202"/>
      <c r="C232" s="202"/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168"/>
      <c r="V232" s="168"/>
      <c r="W232" s="168"/>
      <c r="X232" s="168"/>
      <c r="Y232" s="168"/>
      <c r="Z232" s="217"/>
      <c r="AA232" s="168"/>
      <c r="AB232" s="168"/>
      <c r="AC232" s="168"/>
      <c r="AD232" s="168"/>
      <c r="AE232" s="168"/>
      <c r="AF232" s="168"/>
      <c r="AG232" s="168"/>
      <c r="AH232" s="168"/>
      <c r="AI232" s="168"/>
      <c r="AJ232" s="168"/>
      <c r="AK232" s="168"/>
      <c r="AR232" s="218"/>
      <c r="AS232" s="219"/>
    </row>
    <row r="233" spans="1:45" s="212" customFormat="1" x14ac:dyDescent="0.3">
      <c r="A233" s="216"/>
      <c r="B233" s="202"/>
      <c r="C233" s="202"/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168"/>
      <c r="V233" s="168"/>
      <c r="W233" s="168"/>
      <c r="X233" s="168"/>
      <c r="Y233" s="168"/>
      <c r="Z233" s="217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R233" s="218"/>
      <c r="AS233" s="219"/>
    </row>
    <row r="234" spans="1:45" s="212" customFormat="1" x14ac:dyDescent="0.3">
      <c r="A234" s="216"/>
      <c r="B234" s="202"/>
      <c r="C234" s="202"/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168"/>
      <c r="V234" s="168"/>
      <c r="W234" s="168"/>
      <c r="X234" s="168"/>
      <c r="Y234" s="168"/>
      <c r="Z234" s="217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R234" s="218"/>
      <c r="AS234" s="219"/>
    </row>
    <row r="235" spans="1:45" s="212" customFormat="1" x14ac:dyDescent="0.3">
      <c r="A235" s="216"/>
      <c r="B235" s="202"/>
      <c r="C235" s="202"/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168"/>
      <c r="V235" s="168"/>
      <c r="W235" s="168"/>
      <c r="X235" s="168"/>
      <c r="Y235" s="168"/>
      <c r="Z235" s="217"/>
      <c r="AA235" s="168"/>
      <c r="AB235" s="168"/>
      <c r="AC235" s="168"/>
      <c r="AD235" s="168"/>
      <c r="AE235" s="168"/>
      <c r="AF235" s="168"/>
      <c r="AG235" s="168"/>
      <c r="AH235" s="168"/>
      <c r="AI235" s="168"/>
      <c r="AJ235" s="168"/>
      <c r="AK235" s="168"/>
      <c r="AR235" s="218"/>
      <c r="AS235" s="219"/>
    </row>
    <row r="236" spans="1:45" s="212" customFormat="1" x14ac:dyDescent="0.3">
      <c r="A236" s="216"/>
      <c r="B236" s="202"/>
      <c r="C236" s="202"/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168"/>
      <c r="V236" s="168"/>
      <c r="W236" s="168"/>
      <c r="X236" s="168"/>
      <c r="Y236" s="168"/>
      <c r="Z236" s="217"/>
      <c r="AA236" s="168"/>
      <c r="AB236" s="168"/>
      <c r="AC236" s="168"/>
      <c r="AD236" s="168"/>
      <c r="AE236" s="168"/>
      <c r="AF236" s="168"/>
      <c r="AG236" s="168"/>
      <c r="AH236" s="168"/>
      <c r="AI236" s="168"/>
      <c r="AJ236" s="168"/>
      <c r="AK236" s="168"/>
      <c r="AR236" s="218"/>
      <c r="AS236" s="219"/>
    </row>
    <row r="237" spans="1:45" s="212" customFormat="1" x14ac:dyDescent="0.3">
      <c r="A237" s="216"/>
      <c r="B237" s="202"/>
      <c r="C237" s="202"/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168"/>
      <c r="V237" s="168"/>
      <c r="W237" s="168"/>
      <c r="X237" s="168"/>
      <c r="Y237" s="168"/>
      <c r="Z237" s="217"/>
      <c r="AA237" s="168"/>
      <c r="AB237" s="168"/>
      <c r="AC237" s="168"/>
      <c r="AD237" s="168"/>
      <c r="AE237" s="168"/>
      <c r="AF237" s="168"/>
      <c r="AG237" s="168"/>
      <c r="AH237" s="168"/>
      <c r="AI237" s="168"/>
      <c r="AJ237" s="168"/>
      <c r="AK237" s="168"/>
      <c r="AR237" s="218"/>
      <c r="AS237" s="219"/>
    </row>
    <row r="238" spans="1:45" s="212" customFormat="1" x14ac:dyDescent="0.3">
      <c r="A238" s="216"/>
      <c r="B238" s="202"/>
      <c r="C238" s="202"/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168"/>
      <c r="V238" s="168"/>
      <c r="W238" s="168"/>
      <c r="X238" s="168"/>
      <c r="Y238" s="168"/>
      <c r="Z238" s="217"/>
      <c r="AA238" s="168"/>
      <c r="AB238" s="168"/>
      <c r="AC238" s="168"/>
      <c r="AD238" s="168"/>
      <c r="AE238" s="168"/>
      <c r="AF238" s="168"/>
      <c r="AG238" s="168"/>
      <c r="AH238" s="168"/>
      <c r="AI238" s="168"/>
      <c r="AJ238" s="168"/>
      <c r="AK238" s="168"/>
      <c r="AR238" s="218"/>
      <c r="AS238" s="219"/>
    </row>
    <row r="239" spans="1:45" s="212" customFormat="1" x14ac:dyDescent="0.3">
      <c r="A239" s="216"/>
      <c r="B239" s="202"/>
      <c r="C239" s="202"/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168"/>
      <c r="V239" s="168"/>
      <c r="W239" s="168"/>
      <c r="X239" s="168"/>
      <c r="Y239" s="168"/>
      <c r="Z239" s="217"/>
      <c r="AA239" s="168"/>
      <c r="AB239" s="168"/>
      <c r="AC239" s="168"/>
      <c r="AD239" s="168"/>
      <c r="AE239" s="168"/>
      <c r="AF239" s="168"/>
      <c r="AG239" s="168"/>
      <c r="AH239" s="168"/>
      <c r="AI239" s="168"/>
      <c r="AJ239" s="168"/>
      <c r="AK239" s="168"/>
      <c r="AR239" s="218"/>
      <c r="AS239" s="219"/>
    </row>
    <row r="240" spans="1:45" s="212" customFormat="1" x14ac:dyDescent="0.3">
      <c r="A240" s="216"/>
      <c r="B240" s="202"/>
      <c r="C240" s="202"/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168"/>
      <c r="V240" s="168"/>
      <c r="W240" s="168"/>
      <c r="X240" s="168"/>
      <c r="Y240" s="168"/>
      <c r="Z240" s="217"/>
      <c r="AA240" s="168"/>
      <c r="AB240" s="168"/>
      <c r="AC240" s="168"/>
      <c r="AD240" s="168"/>
      <c r="AE240" s="168"/>
      <c r="AF240" s="168"/>
      <c r="AG240" s="168"/>
      <c r="AH240" s="168"/>
      <c r="AI240" s="168"/>
      <c r="AJ240" s="168"/>
      <c r="AK240" s="168"/>
      <c r="AR240" s="218"/>
      <c r="AS240" s="219"/>
    </row>
    <row r="241" spans="1:45" s="212" customFormat="1" x14ac:dyDescent="0.3">
      <c r="A241" s="216"/>
      <c r="B241" s="202"/>
      <c r="C241" s="202"/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168"/>
      <c r="V241" s="168"/>
      <c r="W241" s="168"/>
      <c r="X241" s="168"/>
      <c r="Y241" s="168"/>
      <c r="Z241" s="217"/>
      <c r="AA241" s="168"/>
      <c r="AB241" s="168"/>
      <c r="AC241" s="168"/>
      <c r="AD241" s="168"/>
      <c r="AE241" s="168"/>
      <c r="AF241" s="168"/>
      <c r="AG241" s="168"/>
      <c r="AH241" s="168"/>
      <c r="AI241" s="168"/>
      <c r="AJ241" s="168"/>
      <c r="AK241" s="168"/>
      <c r="AR241" s="218"/>
      <c r="AS241" s="219"/>
    </row>
    <row r="242" spans="1:45" s="212" customFormat="1" x14ac:dyDescent="0.3">
      <c r="A242" s="216"/>
      <c r="B242" s="202"/>
      <c r="C242" s="202"/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168"/>
      <c r="V242" s="168"/>
      <c r="W242" s="168"/>
      <c r="X242" s="168"/>
      <c r="Y242" s="168"/>
      <c r="Z242" s="217"/>
      <c r="AA242" s="168"/>
      <c r="AB242" s="168"/>
      <c r="AC242" s="168"/>
      <c r="AD242" s="168"/>
      <c r="AE242" s="168"/>
      <c r="AF242" s="168"/>
      <c r="AG242" s="168"/>
      <c r="AH242" s="168"/>
      <c r="AI242" s="168"/>
      <c r="AJ242" s="168"/>
      <c r="AK242" s="168"/>
      <c r="AR242" s="218"/>
      <c r="AS242" s="219"/>
    </row>
    <row r="243" spans="1:45" s="212" customFormat="1" x14ac:dyDescent="0.3">
      <c r="A243" s="216"/>
      <c r="B243" s="202"/>
      <c r="C243" s="202"/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168"/>
      <c r="V243" s="168"/>
      <c r="W243" s="168"/>
      <c r="X243" s="168"/>
      <c r="Y243" s="168"/>
      <c r="Z243" s="217"/>
      <c r="AA243" s="168"/>
      <c r="AB243" s="168"/>
      <c r="AC243" s="168"/>
      <c r="AD243" s="168"/>
      <c r="AE243" s="168"/>
      <c r="AF243" s="168"/>
      <c r="AG243" s="168"/>
      <c r="AH243" s="168"/>
      <c r="AI243" s="168"/>
      <c r="AJ243" s="168"/>
      <c r="AK243" s="168"/>
      <c r="AR243" s="218"/>
      <c r="AS243" s="219"/>
    </row>
    <row r="244" spans="1:45" s="212" customFormat="1" x14ac:dyDescent="0.3">
      <c r="A244" s="216"/>
      <c r="B244" s="202"/>
      <c r="C244" s="202"/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168"/>
      <c r="V244" s="168"/>
      <c r="W244" s="168"/>
      <c r="X244" s="168"/>
      <c r="Y244" s="168"/>
      <c r="Z244" s="217"/>
      <c r="AA244" s="168"/>
      <c r="AB244" s="168"/>
      <c r="AC244" s="168"/>
      <c r="AD244" s="168"/>
      <c r="AE244" s="168"/>
      <c r="AF244" s="168"/>
      <c r="AG244" s="168"/>
      <c r="AH244" s="168"/>
      <c r="AI244" s="168"/>
      <c r="AJ244" s="168"/>
      <c r="AK244" s="168"/>
      <c r="AR244" s="218"/>
      <c r="AS244" s="219"/>
    </row>
    <row r="245" spans="1:45" s="212" customFormat="1" x14ac:dyDescent="0.3">
      <c r="A245" s="216"/>
      <c r="B245" s="202"/>
      <c r="C245" s="202"/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168"/>
      <c r="V245" s="168"/>
      <c r="W245" s="168"/>
      <c r="X245" s="168"/>
      <c r="Y245" s="168"/>
      <c r="Z245" s="217"/>
      <c r="AA245" s="168"/>
      <c r="AB245" s="168"/>
      <c r="AC245" s="168"/>
      <c r="AD245" s="168"/>
      <c r="AE245" s="168"/>
      <c r="AF245" s="168"/>
      <c r="AG245" s="168"/>
      <c r="AH245" s="168"/>
      <c r="AI245" s="168"/>
      <c r="AJ245" s="168"/>
      <c r="AK245" s="168"/>
      <c r="AR245" s="218"/>
      <c r="AS245" s="219"/>
    </row>
    <row r="246" spans="1:45" s="212" customFormat="1" x14ac:dyDescent="0.3">
      <c r="A246" s="216"/>
      <c r="B246" s="202"/>
      <c r="C246" s="202"/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168"/>
      <c r="V246" s="168"/>
      <c r="W246" s="168"/>
      <c r="X246" s="168"/>
      <c r="Y246" s="168"/>
      <c r="Z246" s="217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R246" s="218"/>
      <c r="AS246" s="219"/>
    </row>
    <row r="247" spans="1:45" s="212" customFormat="1" x14ac:dyDescent="0.3">
      <c r="A247" s="216"/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168"/>
      <c r="V247" s="168"/>
      <c r="W247" s="168"/>
      <c r="X247" s="168"/>
      <c r="Y247" s="168"/>
      <c r="Z247" s="217"/>
      <c r="AA247" s="168"/>
      <c r="AB247" s="168"/>
      <c r="AC247" s="168"/>
      <c r="AD247" s="168"/>
      <c r="AE247" s="168"/>
      <c r="AF247" s="168"/>
      <c r="AG247" s="168"/>
      <c r="AH247" s="168"/>
      <c r="AI247" s="168"/>
      <c r="AJ247" s="168"/>
      <c r="AK247" s="168"/>
      <c r="AR247" s="218"/>
      <c r="AS247" s="219"/>
    </row>
    <row r="248" spans="1:45" s="212" customFormat="1" x14ac:dyDescent="0.3">
      <c r="A248" s="216"/>
      <c r="B248" s="202"/>
      <c r="C248" s="202"/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168"/>
      <c r="V248" s="168"/>
      <c r="W248" s="168"/>
      <c r="X248" s="168"/>
      <c r="Y248" s="168"/>
      <c r="Z248" s="217"/>
      <c r="AA248" s="168"/>
      <c r="AB248" s="168"/>
      <c r="AC248" s="168"/>
      <c r="AD248" s="168"/>
      <c r="AE248" s="168"/>
      <c r="AF248" s="168"/>
      <c r="AG248" s="168"/>
      <c r="AH248" s="168"/>
      <c r="AI248" s="168"/>
      <c r="AJ248" s="168"/>
      <c r="AK248" s="168"/>
      <c r="AR248" s="218"/>
      <c r="AS248" s="219"/>
    </row>
    <row r="249" spans="1:45" s="212" customFormat="1" x14ac:dyDescent="0.3">
      <c r="A249" s="216"/>
      <c r="B249" s="202"/>
      <c r="C249" s="202"/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168"/>
      <c r="V249" s="168"/>
      <c r="W249" s="168"/>
      <c r="X249" s="168"/>
      <c r="Y249" s="168"/>
      <c r="Z249" s="217"/>
      <c r="AA249" s="168"/>
      <c r="AB249" s="168"/>
      <c r="AC249" s="168"/>
      <c r="AD249" s="168"/>
      <c r="AE249" s="168"/>
      <c r="AF249" s="168"/>
      <c r="AG249" s="168"/>
      <c r="AH249" s="168"/>
      <c r="AI249" s="168"/>
      <c r="AJ249" s="168"/>
      <c r="AK249" s="168"/>
      <c r="AR249" s="218"/>
      <c r="AS249" s="219"/>
    </row>
    <row r="250" spans="1:45" s="212" customFormat="1" x14ac:dyDescent="0.3">
      <c r="A250" s="216"/>
      <c r="B250" s="202"/>
      <c r="C250" s="202"/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168"/>
      <c r="V250" s="168"/>
      <c r="W250" s="168"/>
      <c r="X250" s="168"/>
      <c r="Y250" s="168"/>
      <c r="Z250" s="217"/>
      <c r="AA250" s="168"/>
      <c r="AB250" s="168"/>
      <c r="AC250" s="168"/>
      <c r="AD250" s="168"/>
      <c r="AE250" s="168"/>
      <c r="AF250" s="168"/>
      <c r="AG250" s="168"/>
      <c r="AH250" s="168"/>
      <c r="AI250" s="168"/>
      <c r="AJ250" s="168"/>
      <c r="AK250" s="168"/>
      <c r="AR250" s="218"/>
      <c r="AS250" s="219"/>
    </row>
    <row r="251" spans="1:45" s="212" customFormat="1" x14ac:dyDescent="0.3">
      <c r="A251" s="216"/>
      <c r="B251" s="202"/>
      <c r="C251" s="202"/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168"/>
      <c r="V251" s="168"/>
      <c r="W251" s="168"/>
      <c r="X251" s="168"/>
      <c r="Y251" s="168"/>
      <c r="Z251" s="217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R251" s="218"/>
      <c r="AS251" s="219"/>
    </row>
    <row r="252" spans="1:45" s="212" customFormat="1" x14ac:dyDescent="0.3">
      <c r="A252" s="216"/>
      <c r="B252" s="202"/>
      <c r="C252" s="202"/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168"/>
      <c r="V252" s="168"/>
      <c r="W252" s="168"/>
      <c r="X252" s="168"/>
      <c r="Y252" s="168"/>
      <c r="Z252" s="217"/>
      <c r="AA252" s="168"/>
      <c r="AB252" s="168"/>
      <c r="AC252" s="168"/>
      <c r="AD252" s="168"/>
      <c r="AE252" s="168"/>
      <c r="AF252" s="168"/>
      <c r="AG252" s="168"/>
      <c r="AH252" s="168"/>
      <c r="AI252" s="168"/>
      <c r="AJ252" s="168"/>
      <c r="AK252" s="168"/>
      <c r="AR252" s="218"/>
      <c r="AS252" s="219"/>
    </row>
    <row r="253" spans="1:45" s="212" customFormat="1" x14ac:dyDescent="0.3">
      <c r="A253" s="216"/>
      <c r="B253" s="202"/>
      <c r="C253" s="202"/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168"/>
      <c r="V253" s="168"/>
      <c r="W253" s="168"/>
      <c r="X253" s="168"/>
      <c r="Y253" s="168"/>
      <c r="Z253" s="217"/>
      <c r="AA253" s="168"/>
      <c r="AB253" s="168"/>
      <c r="AC253" s="168"/>
      <c r="AD253" s="168"/>
      <c r="AE253" s="168"/>
      <c r="AF253" s="168"/>
      <c r="AG253" s="168"/>
      <c r="AH253" s="168"/>
      <c r="AI253" s="168"/>
      <c r="AJ253" s="168"/>
      <c r="AK253" s="168"/>
      <c r="AR253" s="218"/>
      <c r="AS253" s="219"/>
    </row>
    <row r="254" spans="1:45" s="212" customFormat="1" x14ac:dyDescent="0.3">
      <c r="A254" s="216"/>
      <c r="B254" s="202"/>
      <c r="C254" s="202"/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168"/>
      <c r="V254" s="168"/>
      <c r="W254" s="168"/>
      <c r="X254" s="168"/>
      <c r="Y254" s="168"/>
      <c r="Z254" s="217"/>
      <c r="AA254" s="168"/>
      <c r="AB254" s="168"/>
      <c r="AC254" s="168"/>
      <c r="AD254" s="168"/>
      <c r="AE254" s="168"/>
      <c r="AF254" s="168"/>
      <c r="AG254" s="168"/>
      <c r="AH254" s="168"/>
      <c r="AI254" s="168"/>
      <c r="AJ254" s="168"/>
      <c r="AK254" s="168"/>
      <c r="AR254" s="218"/>
      <c r="AS254" s="219"/>
    </row>
    <row r="255" spans="1:45" s="212" customFormat="1" x14ac:dyDescent="0.3">
      <c r="A255" s="216"/>
      <c r="B255" s="202"/>
      <c r="C255" s="202"/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168"/>
      <c r="V255" s="168"/>
      <c r="W255" s="168"/>
      <c r="X255" s="168"/>
      <c r="Y255" s="168"/>
      <c r="Z255" s="217"/>
      <c r="AA255" s="168"/>
      <c r="AB255" s="168"/>
      <c r="AC255" s="168"/>
      <c r="AD255" s="168"/>
      <c r="AE255" s="168"/>
      <c r="AF255" s="168"/>
      <c r="AG255" s="168"/>
      <c r="AH255" s="168"/>
      <c r="AI255" s="168"/>
      <c r="AJ255" s="168"/>
      <c r="AK255" s="168"/>
      <c r="AR255" s="218"/>
      <c r="AS255" s="219"/>
    </row>
    <row r="256" spans="1:45" s="212" customFormat="1" x14ac:dyDescent="0.3">
      <c r="A256" s="216"/>
      <c r="B256" s="202"/>
      <c r="C256" s="202"/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168"/>
      <c r="V256" s="168"/>
      <c r="W256" s="168"/>
      <c r="X256" s="168"/>
      <c r="Y256" s="168"/>
      <c r="Z256" s="217"/>
      <c r="AA256" s="168"/>
      <c r="AB256" s="168"/>
      <c r="AC256" s="168"/>
      <c r="AD256" s="168"/>
      <c r="AE256" s="168"/>
      <c r="AF256" s="168"/>
      <c r="AG256" s="168"/>
      <c r="AH256" s="168"/>
      <c r="AI256" s="168"/>
      <c r="AJ256" s="168"/>
      <c r="AK256" s="168"/>
      <c r="AR256" s="218"/>
      <c r="AS256" s="219"/>
    </row>
    <row r="257" spans="1:45" s="212" customFormat="1" x14ac:dyDescent="0.3">
      <c r="A257" s="216"/>
      <c r="B257" s="202"/>
      <c r="C257" s="202"/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168"/>
      <c r="V257" s="168"/>
      <c r="W257" s="168"/>
      <c r="X257" s="168"/>
      <c r="Y257" s="168"/>
      <c r="Z257" s="217"/>
      <c r="AA257" s="168"/>
      <c r="AB257" s="168"/>
      <c r="AC257" s="168"/>
      <c r="AD257" s="168"/>
      <c r="AE257" s="168"/>
      <c r="AF257" s="168"/>
      <c r="AG257" s="168"/>
      <c r="AH257" s="168"/>
      <c r="AI257" s="168"/>
      <c r="AJ257" s="168"/>
      <c r="AK257" s="168"/>
      <c r="AR257" s="218"/>
      <c r="AS257" s="219"/>
    </row>
    <row r="258" spans="1:45" s="212" customFormat="1" x14ac:dyDescent="0.3">
      <c r="A258" s="216"/>
      <c r="B258" s="202"/>
      <c r="C258" s="202"/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168"/>
      <c r="V258" s="168"/>
      <c r="W258" s="168"/>
      <c r="X258" s="168"/>
      <c r="Y258" s="168"/>
      <c r="Z258" s="217"/>
      <c r="AA258" s="168"/>
      <c r="AB258" s="168"/>
      <c r="AC258" s="168"/>
      <c r="AD258" s="168"/>
      <c r="AE258" s="168"/>
      <c r="AF258" s="168"/>
      <c r="AG258" s="168"/>
      <c r="AH258" s="168"/>
      <c r="AI258" s="168"/>
      <c r="AJ258" s="168"/>
      <c r="AK258" s="168"/>
      <c r="AR258" s="218"/>
      <c r="AS258" s="219"/>
    </row>
    <row r="259" spans="1:45" s="212" customFormat="1" x14ac:dyDescent="0.3">
      <c r="A259" s="216"/>
      <c r="B259" s="202"/>
      <c r="C259" s="202"/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168"/>
      <c r="V259" s="168"/>
      <c r="W259" s="168"/>
      <c r="X259" s="168"/>
      <c r="Y259" s="168"/>
      <c r="Z259" s="217"/>
      <c r="AA259" s="168"/>
      <c r="AB259" s="168"/>
      <c r="AC259" s="168"/>
      <c r="AD259" s="168"/>
      <c r="AE259" s="168"/>
      <c r="AF259" s="168"/>
      <c r="AG259" s="168"/>
      <c r="AH259" s="168"/>
      <c r="AI259" s="168"/>
      <c r="AJ259" s="168"/>
      <c r="AK259" s="168"/>
      <c r="AR259" s="218"/>
      <c r="AS259" s="219"/>
    </row>
    <row r="260" spans="1:45" s="212" customFormat="1" x14ac:dyDescent="0.3">
      <c r="A260" s="216"/>
      <c r="B260" s="202"/>
      <c r="C260" s="202"/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168"/>
      <c r="V260" s="168"/>
      <c r="W260" s="168"/>
      <c r="X260" s="168"/>
      <c r="Y260" s="168"/>
      <c r="Z260" s="217"/>
      <c r="AA260" s="168"/>
      <c r="AB260" s="168"/>
      <c r="AC260" s="168"/>
      <c r="AD260" s="168"/>
      <c r="AE260" s="168"/>
      <c r="AF260" s="168"/>
      <c r="AG260" s="168"/>
      <c r="AH260" s="168"/>
      <c r="AI260" s="168"/>
      <c r="AJ260" s="168"/>
      <c r="AK260" s="168"/>
      <c r="AR260" s="218"/>
      <c r="AS260" s="219"/>
    </row>
    <row r="261" spans="1:45" s="212" customFormat="1" x14ac:dyDescent="0.3">
      <c r="A261" s="216"/>
      <c r="B261" s="202"/>
      <c r="C261" s="202"/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168"/>
      <c r="V261" s="168"/>
      <c r="W261" s="168"/>
      <c r="X261" s="168"/>
      <c r="Y261" s="168"/>
      <c r="Z261" s="217"/>
      <c r="AA261" s="168"/>
      <c r="AB261" s="168"/>
      <c r="AC261" s="168"/>
      <c r="AD261" s="168"/>
      <c r="AE261" s="168"/>
      <c r="AF261" s="168"/>
      <c r="AG261" s="168"/>
      <c r="AH261" s="168"/>
      <c r="AI261" s="168"/>
      <c r="AJ261" s="168"/>
      <c r="AK261" s="168"/>
      <c r="AR261" s="218"/>
      <c r="AS261" s="219"/>
    </row>
    <row r="262" spans="1:45" s="212" customFormat="1" x14ac:dyDescent="0.3">
      <c r="A262" s="216"/>
      <c r="B262" s="202"/>
      <c r="C262" s="202"/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168"/>
      <c r="V262" s="168"/>
      <c r="W262" s="168"/>
      <c r="X262" s="168"/>
      <c r="Y262" s="168"/>
      <c r="Z262" s="217"/>
      <c r="AA262" s="168"/>
      <c r="AB262" s="168"/>
      <c r="AC262" s="168"/>
      <c r="AD262" s="168"/>
      <c r="AE262" s="168"/>
      <c r="AF262" s="168"/>
      <c r="AG262" s="168"/>
      <c r="AH262" s="168"/>
      <c r="AI262" s="168"/>
      <c r="AJ262" s="168"/>
      <c r="AK262" s="168"/>
      <c r="AR262" s="218"/>
      <c r="AS262" s="219"/>
    </row>
    <row r="263" spans="1:45" s="212" customFormat="1" x14ac:dyDescent="0.3">
      <c r="A263" s="216"/>
      <c r="B263" s="202"/>
      <c r="C263" s="202"/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168"/>
      <c r="V263" s="168"/>
      <c r="W263" s="168"/>
      <c r="X263" s="168"/>
      <c r="Y263" s="168"/>
      <c r="Z263" s="217"/>
      <c r="AA263" s="168"/>
      <c r="AB263" s="168"/>
      <c r="AC263" s="168"/>
      <c r="AD263" s="168"/>
      <c r="AE263" s="168"/>
      <c r="AF263" s="168"/>
      <c r="AG263" s="168"/>
      <c r="AH263" s="168"/>
      <c r="AI263" s="168"/>
      <c r="AJ263" s="168"/>
      <c r="AK263" s="168"/>
      <c r="AR263" s="218"/>
      <c r="AS263" s="219"/>
    </row>
    <row r="264" spans="1:45" s="212" customFormat="1" x14ac:dyDescent="0.3">
      <c r="A264" s="216"/>
      <c r="B264" s="202"/>
      <c r="C264" s="202"/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168"/>
      <c r="V264" s="168"/>
      <c r="W264" s="168"/>
      <c r="X264" s="168"/>
      <c r="Y264" s="168"/>
      <c r="Z264" s="217"/>
      <c r="AA264" s="168"/>
      <c r="AB264" s="168"/>
      <c r="AC264" s="168"/>
      <c r="AD264" s="168"/>
      <c r="AE264" s="168"/>
      <c r="AF264" s="168"/>
      <c r="AG264" s="168"/>
      <c r="AH264" s="168"/>
      <c r="AI264" s="168"/>
      <c r="AJ264" s="168"/>
      <c r="AK264" s="168"/>
      <c r="AR264" s="218"/>
      <c r="AS264" s="219"/>
    </row>
    <row r="265" spans="1:45" s="212" customFormat="1" x14ac:dyDescent="0.3">
      <c r="A265" s="216"/>
      <c r="B265" s="202"/>
      <c r="C265" s="202"/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168"/>
      <c r="V265" s="168"/>
      <c r="W265" s="168"/>
      <c r="X265" s="168"/>
      <c r="Y265" s="168"/>
      <c r="Z265" s="217"/>
      <c r="AA265" s="168"/>
      <c r="AB265" s="168"/>
      <c r="AC265" s="168"/>
      <c r="AD265" s="168"/>
      <c r="AE265" s="168"/>
      <c r="AF265" s="168"/>
      <c r="AG265" s="168"/>
      <c r="AH265" s="168"/>
      <c r="AI265" s="168"/>
      <c r="AJ265" s="168"/>
      <c r="AK265" s="168"/>
      <c r="AR265" s="218"/>
      <c r="AS265" s="219"/>
    </row>
    <row r="266" spans="1:45" s="212" customFormat="1" x14ac:dyDescent="0.3">
      <c r="A266" s="216"/>
      <c r="B266" s="202"/>
      <c r="C266" s="202"/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168"/>
      <c r="V266" s="168"/>
      <c r="W266" s="168"/>
      <c r="X266" s="168"/>
      <c r="Y266" s="168"/>
      <c r="Z266" s="217"/>
      <c r="AA266" s="168"/>
      <c r="AB266" s="168"/>
      <c r="AC266" s="168"/>
      <c r="AD266" s="168"/>
      <c r="AE266" s="168"/>
      <c r="AF266" s="168"/>
      <c r="AG266" s="168"/>
      <c r="AH266" s="168"/>
      <c r="AI266" s="168"/>
      <c r="AJ266" s="168"/>
      <c r="AK266" s="168"/>
      <c r="AR266" s="218"/>
      <c r="AS266" s="219"/>
    </row>
    <row r="267" spans="1:45" s="212" customFormat="1" x14ac:dyDescent="0.3">
      <c r="A267" s="216"/>
      <c r="B267" s="202"/>
      <c r="C267" s="202"/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168"/>
      <c r="V267" s="168"/>
      <c r="W267" s="168"/>
      <c r="X267" s="168"/>
      <c r="Y267" s="168"/>
      <c r="Z267" s="217"/>
      <c r="AA267" s="168"/>
      <c r="AB267" s="168"/>
      <c r="AC267" s="168"/>
      <c r="AD267" s="168"/>
      <c r="AE267" s="168"/>
      <c r="AF267" s="168"/>
      <c r="AG267" s="168"/>
      <c r="AH267" s="168"/>
      <c r="AI267" s="168"/>
      <c r="AJ267" s="168"/>
      <c r="AK267" s="168"/>
      <c r="AR267" s="218"/>
      <c r="AS267" s="219"/>
    </row>
    <row r="268" spans="1:45" s="212" customFormat="1" x14ac:dyDescent="0.3">
      <c r="A268" s="216"/>
      <c r="B268" s="202"/>
      <c r="C268" s="202"/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168"/>
      <c r="V268" s="168"/>
      <c r="W268" s="168"/>
      <c r="X268" s="168"/>
      <c r="Y268" s="168"/>
      <c r="Z268" s="217"/>
      <c r="AA268" s="168"/>
      <c r="AB268" s="168"/>
      <c r="AC268" s="168"/>
      <c r="AD268" s="168"/>
      <c r="AE268" s="168"/>
      <c r="AF268" s="168"/>
      <c r="AG268" s="168"/>
      <c r="AH268" s="168"/>
      <c r="AI268" s="168"/>
      <c r="AJ268" s="168"/>
      <c r="AK268" s="168"/>
      <c r="AR268" s="218"/>
      <c r="AS268" s="219"/>
    </row>
    <row r="269" spans="1:45" s="212" customFormat="1" x14ac:dyDescent="0.3">
      <c r="A269" s="216"/>
      <c r="B269" s="202"/>
      <c r="C269" s="202"/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168"/>
      <c r="V269" s="168"/>
      <c r="W269" s="168"/>
      <c r="X269" s="168"/>
      <c r="Y269" s="168"/>
      <c r="Z269" s="217"/>
      <c r="AA269" s="168"/>
      <c r="AB269" s="168"/>
      <c r="AC269" s="168"/>
      <c r="AD269" s="168"/>
      <c r="AE269" s="168"/>
      <c r="AF269" s="168"/>
      <c r="AG269" s="168"/>
      <c r="AH269" s="168"/>
      <c r="AI269" s="168"/>
      <c r="AJ269" s="168"/>
      <c r="AK269" s="168"/>
      <c r="AR269" s="218"/>
      <c r="AS269" s="219"/>
    </row>
    <row r="270" spans="1:45" s="212" customFormat="1" x14ac:dyDescent="0.3">
      <c r="A270" s="216"/>
      <c r="B270" s="202"/>
      <c r="C270" s="202"/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168"/>
      <c r="V270" s="168"/>
      <c r="W270" s="168"/>
      <c r="X270" s="168"/>
      <c r="Y270" s="168"/>
      <c r="Z270" s="217"/>
      <c r="AA270" s="168"/>
      <c r="AB270" s="168"/>
      <c r="AC270" s="168"/>
      <c r="AD270" s="168"/>
      <c r="AE270" s="168"/>
      <c r="AF270" s="168"/>
      <c r="AG270" s="168"/>
      <c r="AH270" s="168"/>
      <c r="AI270" s="168"/>
      <c r="AJ270" s="168"/>
      <c r="AK270" s="168"/>
      <c r="AR270" s="218"/>
      <c r="AS270" s="219"/>
    </row>
    <row r="271" spans="1:45" s="212" customFormat="1" x14ac:dyDescent="0.3">
      <c r="A271" s="216"/>
      <c r="B271" s="202"/>
      <c r="C271" s="202"/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168"/>
      <c r="V271" s="168"/>
      <c r="W271" s="168"/>
      <c r="X271" s="168"/>
      <c r="Y271" s="168"/>
      <c r="Z271" s="217"/>
      <c r="AA271" s="168"/>
      <c r="AB271" s="168"/>
      <c r="AC271" s="168"/>
      <c r="AD271" s="168"/>
      <c r="AE271" s="168"/>
      <c r="AF271" s="168"/>
      <c r="AG271" s="168"/>
      <c r="AH271" s="168"/>
      <c r="AI271" s="168"/>
      <c r="AJ271" s="168"/>
      <c r="AK271" s="168"/>
      <c r="AR271" s="218"/>
      <c r="AS271" s="219"/>
    </row>
    <row r="272" spans="1:45" s="212" customFormat="1" x14ac:dyDescent="0.3">
      <c r="A272" s="216"/>
      <c r="B272" s="202"/>
      <c r="C272" s="202"/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168"/>
      <c r="V272" s="168"/>
      <c r="W272" s="168"/>
      <c r="X272" s="168"/>
      <c r="Y272" s="168"/>
      <c r="Z272" s="217"/>
      <c r="AA272" s="168"/>
      <c r="AB272" s="168"/>
      <c r="AC272" s="168"/>
      <c r="AD272" s="168"/>
      <c r="AE272" s="168"/>
      <c r="AF272" s="168"/>
      <c r="AG272" s="168"/>
      <c r="AH272" s="168"/>
      <c r="AI272" s="168"/>
      <c r="AJ272" s="168"/>
      <c r="AK272" s="168"/>
      <c r="AR272" s="218"/>
      <c r="AS272" s="219"/>
    </row>
    <row r="273" spans="1:45" s="212" customFormat="1" x14ac:dyDescent="0.3">
      <c r="A273" s="216"/>
      <c r="B273" s="202"/>
      <c r="C273" s="202"/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168"/>
      <c r="V273" s="168"/>
      <c r="W273" s="168"/>
      <c r="X273" s="168"/>
      <c r="Y273" s="168"/>
      <c r="Z273" s="217"/>
      <c r="AA273" s="168"/>
      <c r="AB273" s="168"/>
      <c r="AC273" s="168"/>
      <c r="AD273" s="168"/>
      <c r="AE273" s="168"/>
      <c r="AF273" s="168"/>
      <c r="AG273" s="168"/>
      <c r="AH273" s="168"/>
      <c r="AI273" s="168"/>
      <c r="AJ273" s="168"/>
      <c r="AK273" s="168"/>
      <c r="AR273" s="218"/>
      <c r="AS273" s="219"/>
    </row>
    <row r="274" spans="1:45" s="212" customFormat="1" x14ac:dyDescent="0.3">
      <c r="A274" s="216"/>
      <c r="B274" s="202"/>
      <c r="C274" s="202"/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168"/>
      <c r="V274" s="168"/>
      <c r="W274" s="168"/>
      <c r="X274" s="168"/>
      <c r="Y274" s="168"/>
      <c r="Z274" s="217"/>
      <c r="AA274" s="168"/>
      <c r="AB274" s="168"/>
      <c r="AC274" s="168"/>
      <c r="AD274" s="168"/>
      <c r="AE274" s="168"/>
      <c r="AF274" s="168"/>
      <c r="AG274" s="168"/>
      <c r="AH274" s="168"/>
      <c r="AI274" s="168"/>
      <c r="AJ274" s="168"/>
      <c r="AK274" s="168"/>
      <c r="AR274" s="218"/>
      <c r="AS274" s="219"/>
    </row>
    <row r="275" spans="1:45" s="212" customFormat="1" x14ac:dyDescent="0.3">
      <c r="A275" s="216"/>
      <c r="B275" s="202"/>
      <c r="C275" s="202"/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168"/>
      <c r="V275" s="168"/>
      <c r="W275" s="168"/>
      <c r="X275" s="168"/>
      <c r="Y275" s="168"/>
      <c r="Z275" s="217"/>
      <c r="AA275" s="168"/>
      <c r="AB275" s="168"/>
      <c r="AC275" s="168"/>
      <c r="AD275" s="168"/>
      <c r="AE275" s="168"/>
      <c r="AF275" s="168"/>
      <c r="AG275" s="168"/>
      <c r="AH275" s="168"/>
      <c r="AI275" s="168"/>
      <c r="AJ275" s="168"/>
      <c r="AK275" s="168"/>
      <c r="AR275" s="218"/>
      <c r="AS275" s="219"/>
    </row>
    <row r="276" spans="1:45" s="212" customFormat="1" x14ac:dyDescent="0.3">
      <c r="A276" s="216"/>
      <c r="B276" s="202"/>
      <c r="C276" s="202"/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168"/>
      <c r="V276" s="168"/>
      <c r="W276" s="168"/>
      <c r="X276" s="168"/>
      <c r="Y276" s="168"/>
      <c r="Z276" s="217"/>
      <c r="AA276" s="168"/>
      <c r="AB276" s="168"/>
      <c r="AC276" s="168"/>
      <c r="AD276" s="168"/>
      <c r="AE276" s="168"/>
      <c r="AF276" s="168"/>
      <c r="AG276" s="168"/>
      <c r="AH276" s="168"/>
      <c r="AI276" s="168"/>
      <c r="AJ276" s="168"/>
      <c r="AK276" s="168"/>
      <c r="AR276" s="218"/>
      <c r="AS276" s="219"/>
    </row>
    <row r="277" spans="1:45" s="212" customFormat="1" x14ac:dyDescent="0.3">
      <c r="A277" s="216"/>
      <c r="B277" s="202"/>
      <c r="C277" s="202"/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168"/>
      <c r="V277" s="168"/>
      <c r="W277" s="168"/>
      <c r="X277" s="168"/>
      <c r="Y277" s="168"/>
      <c r="Z277" s="217"/>
      <c r="AA277" s="168"/>
      <c r="AB277" s="168"/>
      <c r="AC277" s="168"/>
      <c r="AD277" s="168"/>
      <c r="AE277" s="168"/>
      <c r="AF277" s="168"/>
      <c r="AG277" s="168"/>
      <c r="AH277" s="168"/>
      <c r="AI277" s="168"/>
      <c r="AJ277" s="168"/>
      <c r="AK277" s="168"/>
      <c r="AR277" s="218"/>
      <c r="AS277" s="219"/>
    </row>
    <row r="278" spans="1:45" s="212" customFormat="1" x14ac:dyDescent="0.3">
      <c r="A278" s="216"/>
      <c r="B278" s="202"/>
      <c r="C278" s="202"/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168"/>
      <c r="V278" s="168"/>
      <c r="W278" s="168"/>
      <c r="X278" s="168"/>
      <c r="Y278" s="168"/>
      <c r="Z278" s="217"/>
      <c r="AA278" s="168"/>
      <c r="AB278" s="168"/>
      <c r="AC278" s="168"/>
      <c r="AD278" s="168"/>
      <c r="AE278" s="168"/>
      <c r="AF278" s="168"/>
      <c r="AG278" s="168"/>
      <c r="AH278" s="168"/>
      <c r="AI278" s="168"/>
      <c r="AJ278" s="168"/>
      <c r="AK278" s="168"/>
      <c r="AR278" s="218"/>
      <c r="AS278" s="219"/>
    </row>
    <row r="279" spans="1:45" s="212" customFormat="1" x14ac:dyDescent="0.3">
      <c r="A279" s="216"/>
      <c r="B279" s="202"/>
      <c r="C279" s="202"/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168"/>
      <c r="V279" s="168"/>
      <c r="W279" s="168"/>
      <c r="X279" s="168"/>
      <c r="Y279" s="168"/>
      <c r="Z279" s="217"/>
      <c r="AA279" s="168"/>
      <c r="AB279" s="168"/>
      <c r="AC279" s="168"/>
      <c r="AD279" s="168"/>
      <c r="AE279" s="168"/>
      <c r="AF279" s="168"/>
      <c r="AG279" s="168"/>
      <c r="AH279" s="168"/>
      <c r="AI279" s="168"/>
      <c r="AJ279" s="168"/>
      <c r="AK279" s="168"/>
      <c r="AR279" s="218"/>
      <c r="AS279" s="219"/>
    </row>
    <row r="280" spans="1:45" s="212" customFormat="1" x14ac:dyDescent="0.3">
      <c r="A280" s="216"/>
      <c r="B280" s="202"/>
      <c r="C280" s="202"/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168"/>
      <c r="V280" s="168"/>
      <c r="W280" s="168"/>
      <c r="X280" s="168"/>
      <c r="Y280" s="168"/>
      <c r="Z280" s="217"/>
      <c r="AA280" s="168"/>
      <c r="AB280" s="168"/>
      <c r="AC280" s="168"/>
      <c r="AD280" s="168"/>
      <c r="AE280" s="168"/>
      <c r="AF280" s="168"/>
      <c r="AG280" s="168"/>
      <c r="AH280" s="168"/>
      <c r="AI280" s="168"/>
      <c r="AJ280" s="168"/>
      <c r="AK280" s="168"/>
      <c r="AR280" s="218"/>
      <c r="AS280" s="219"/>
    </row>
    <row r="281" spans="1:45" s="212" customFormat="1" x14ac:dyDescent="0.3">
      <c r="A281" s="216"/>
      <c r="B281" s="202"/>
      <c r="C281" s="202"/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168"/>
      <c r="V281" s="168"/>
      <c r="W281" s="168"/>
      <c r="X281" s="168"/>
      <c r="Y281" s="168"/>
      <c r="Z281" s="217"/>
      <c r="AA281" s="168"/>
      <c r="AB281" s="168"/>
      <c r="AC281" s="168"/>
      <c r="AD281" s="168"/>
      <c r="AE281" s="168"/>
      <c r="AF281" s="168"/>
      <c r="AG281" s="168"/>
      <c r="AH281" s="168"/>
      <c r="AI281" s="168"/>
      <c r="AJ281" s="168"/>
      <c r="AK281" s="168"/>
      <c r="AR281" s="218"/>
      <c r="AS281" s="219"/>
    </row>
    <row r="282" spans="1:45" s="212" customFormat="1" x14ac:dyDescent="0.3">
      <c r="A282" s="216"/>
      <c r="B282" s="202"/>
      <c r="C282" s="202"/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168"/>
      <c r="V282" s="168"/>
      <c r="W282" s="168"/>
      <c r="X282" s="168"/>
      <c r="Y282" s="168"/>
      <c r="Z282" s="217"/>
      <c r="AA282" s="168"/>
      <c r="AB282" s="168"/>
      <c r="AC282" s="168"/>
      <c r="AD282" s="168"/>
      <c r="AE282" s="168"/>
      <c r="AF282" s="168"/>
      <c r="AG282" s="168"/>
      <c r="AH282" s="168"/>
      <c r="AI282" s="168"/>
      <c r="AJ282" s="168"/>
      <c r="AK282" s="168"/>
      <c r="AR282" s="218"/>
      <c r="AS282" s="219"/>
    </row>
    <row r="283" spans="1:45" s="212" customFormat="1" x14ac:dyDescent="0.3">
      <c r="A283" s="216"/>
      <c r="B283" s="202"/>
      <c r="C283" s="202"/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168"/>
      <c r="V283" s="168"/>
      <c r="W283" s="168"/>
      <c r="X283" s="168"/>
      <c r="Y283" s="168"/>
      <c r="Z283" s="217"/>
      <c r="AA283" s="168"/>
      <c r="AB283" s="168"/>
      <c r="AC283" s="168"/>
      <c r="AD283" s="168"/>
      <c r="AE283" s="168"/>
      <c r="AF283" s="168"/>
      <c r="AG283" s="168"/>
      <c r="AH283" s="168"/>
      <c r="AI283" s="168"/>
      <c r="AJ283" s="168"/>
      <c r="AK283" s="168"/>
      <c r="AR283" s="218"/>
      <c r="AS283" s="219"/>
    </row>
    <row r="284" spans="1:45" s="212" customFormat="1" x14ac:dyDescent="0.3">
      <c r="A284" s="216"/>
      <c r="B284" s="202"/>
      <c r="C284" s="202"/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168"/>
      <c r="V284" s="168"/>
      <c r="W284" s="168"/>
      <c r="X284" s="168"/>
      <c r="Y284" s="168"/>
      <c r="Z284" s="217"/>
      <c r="AA284" s="168"/>
      <c r="AB284" s="168"/>
      <c r="AC284" s="168"/>
      <c r="AD284" s="168"/>
      <c r="AE284" s="168"/>
      <c r="AF284" s="168"/>
      <c r="AG284" s="168"/>
      <c r="AH284" s="168"/>
      <c r="AI284" s="168"/>
      <c r="AJ284" s="168"/>
      <c r="AK284" s="168"/>
      <c r="AR284" s="218"/>
      <c r="AS284" s="219"/>
    </row>
    <row r="285" spans="1:45" s="212" customFormat="1" x14ac:dyDescent="0.3">
      <c r="A285" s="216"/>
      <c r="B285" s="202"/>
      <c r="C285" s="202"/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168"/>
      <c r="V285" s="168"/>
      <c r="W285" s="168"/>
      <c r="X285" s="168"/>
      <c r="Y285" s="168"/>
      <c r="Z285" s="217"/>
      <c r="AA285" s="168"/>
      <c r="AB285" s="168"/>
      <c r="AC285" s="168"/>
      <c r="AD285" s="168"/>
      <c r="AE285" s="168"/>
      <c r="AF285" s="168"/>
      <c r="AG285" s="168"/>
      <c r="AH285" s="168"/>
      <c r="AI285" s="168"/>
      <c r="AJ285" s="168"/>
      <c r="AK285" s="168"/>
      <c r="AR285" s="218"/>
      <c r="AS285" s="219"/>
    </row>
    <row r="286" spans="1:45" s="212" customFormat="1" x14ac:dyDescent="0.3">
      <c r="A286" s="216"/>
      <c r="B286" s="202"/>
      <c r="C286" s="202"/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168"/>
      <c r="V286" s="168"/>
      <c r="W286" s="168"/>
      <c r="X286" s="168"/>
      <c r="Y286" s="168"/>
      <c r="Z286" s="217"/>
      <c r="AA286" s="168"/>
      <c r="AB286" s="168"/>
      <c r="AC286" s="168"/>
      <c r="AD286" s="168"/>
      <c r="AE286" s="168"/>
      <c r="AF286" s="168"/>
      <c r="AG286" s="168"/>
      <c r="AH286" s="168"/>
      <c r="AI286" s="168"/>
      <c r="AJ286" s="168"/>
      <c r="AK286" s="168"/>
      <c r="AR286" s="218"/>
      <c r="AS286" s="219"/>
    </row>
    <row r="287" spans="1:45" s="212" customFormat="1" x14ac:dyDescent="0.3">
      <c r="A287" s="216"/>
      <c r="B287" s="202"/>
      <c r="C287" s="202"/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168"/>
      <c r="V287" s="168"/>
      <c r="W287" s="168"/>
      <c r="X287" s="168"/>
      <c r="Y287" s="168"/>
      <c r="Z287" s="217"/>
      <c r="AA287" s="168"/>
      <c r="AB287" s="168"/>
      <c r="AC287" s="168"/>
      <c r="AD287" s="168"/>
      <c r="AE287" s="168"/>
      <c r="AF287" s="168"/>
      <c r="AG287" s="168"/>
      <c r="AH287" s="168"/>
      <c r="AI287" s="168"/>
      <c r="AJ287" s="168"/>
      <c r="AK287" s="168"/>
      <c r="AR287" s="218"/>
      <c r="AS287" s="219"/>
    </row>
    <row r="288" spans="1:45" s="212" customFormat="1" x14ac:dyDescent="0.3">
      <c r="A288" s="216"/>
      <c r="B288" s="202"/>
      <c r="C288" s="202"/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168"/>
      <c r="V288" s="168"/>
      <c r="W288" s="168"/>
      <c r="X288" s="168"/>
      <c r="Y288" s="168"/>
      <c r="Z288" s="217"/>
      <c r="AA288" s="168"/>
      <c r="AB288" s="168"/>
      <c r="AC288" s="168"/>
      <c r="AD288" s="168"/>
      <c r="AE288" s="168"/>
      <c r="AF288" s="168"/>
      <c r="AG288" s="168"/>
      <c r="AH288" s="168"/>
      <c r="AI288" s="168"/>
      <c r="AJ288" s="168"/>
      <c r="AK288" s="168"/>
      <c r="AR288" s="218"/>
      <c r="AS288" s="219"/>
    </row>
    <row r="289" spans="1:45" s="212" customFormat="1" x14ac:dyDescent="0.3">
      <c r="A289" s="216"/>
      <c r="B289" s="202"/>
      <c r="C289" s="202"/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168"/>
      <c r="V289" s="168"/>
      <c r="W289" s="168"/>
      <c r="X289" s="168"/>
      <c r="Y289" s="168"/>
      <c r="Z289" s="217"/>
      <c r="AA289" s="168"/>
      <c r="AB289" s="168"/>
      <c r="AC289" s="168"/>
      <c r="AD289" s="168"/>
      <c r="AE289" s="168"/>
      <c r="AF289" s="168"/>
      <c r="AG289" s="168"/>
      <c r="AH289" s="168"/>
      <c r="AI289" s="168"/>
      <c r="AJ289" s="168"/>
      <c r="AK289" s="168"/>
      <c r="AR289" s="218"/>
      <c r="AS289" s="219"/>
    </row>
    <row r="290" spans="1:45" s="212" customFormat="1" x14ac:dyDescent="0.3">
      <c r="A290" s="216"/>
      <c r="B290" s="202"/>
      <c r="C290" s="20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168"/>
      <c r="V290" s="168"/>
      <c r="W290" s="168"/>
      <c r="X290" s="168"/>
      <c r="Y290" s="168"/>
      <c r="Z290" s="217"/>
      <c r="AA290" s="168"/>
      <c r="AB290" s="168"/>
      <c r="AC290" s="168"/>
      <c r="AD290" s="168"/>
      <c r="AE290" s="168"/>
      <c r="AF290" s="168"/>
      <c r="AG290" s="168"/>
      <c r="AH290" s="168"/>
      <c r="AI290" s="168"/>
      <c r="AJ290" s="168"/>
      <c r="AK290" s="168"/>
      <c r="AR290" s="218"/>
      <c r="AS290" s="219"/>
    </row>
    <row r="291" spans="1:45" s="212" customFormat="1" x14ac:dyDescent="0.3">
      <c r="A291" s="216"/>
      <c r="B291" s="202"/>
      <c r="C291" s="202"/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168"/>
      <c r="V291" s="168"/>
      <c r="W291" s="168"/>
      <c r="X291" s="168"/>
      <c r="Y291" s="168"/>
      <c r="Z291" s="217"/>
      <c r="AA291" s="168"/>
      <c r="AB291" s="168"/>
      <c r="AC291" s="168"/>
      <c r="AD291" s="168"/>
      <c r="AE291" s="168"/>
      <c r="AF291" s="168"/>
      <c r="AG291" s="168"/>
      <c r="AH291" s="168"/>
      <c r="AI291" s="168"/>
      <c r="AJ291" s="168"/>
      <c r="AK291" s="168"/>
      <c r="AR291" s="218"/>
      <c r="AS291" s="219"/>
    </row>
    <row r="292" spans="1:45" s="212" customFormat="1" x14ac:dyDescent="0.3">
      <c r="A292" s="216"/>
      <c r="B292" s="202"/>
      <c r="C292" s="202"/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168"/>
      <c r="V292" s="168"/>
      <c r="W292" s="168"/>
      <c r="X292" s="168"/>
      <c r="Y292" s="168"/>
      <c r="Z292" s="217"/>
      <c r="AA292" s="168"/>
      <c r="AB292" s="168"/>
      <c r="AC292" s="168"/>
      <c r="AD292" s="168"/>
      <c r="AE292" s="168"/>
      <c r="AF292" s="168"/>
      <c r="AG292" s="168"/>
      <c r="AH292" s="168"/>
      <c r="AI292" s="168"/>
      <c r="AJ292" s="168"/>
      <c r="AK292" s="168"/>
      <c r="AR292" s="218"/>
      <c r="AS292" s="219"/>
    </row>
    <row r="293" spans="1:45" s="212" customFormat="1" x14ac:dyDescent="0.3">
      <c r="A293" s="216"/>
      <c r="B293" s="202"/>
      <c r="C293" s="202"/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168"/>
      <c r="V293" s="168"/>
      <c r="W293" s="168"/>
      <c r="X293" s="168"/>
      <c r="Y293" s="168"/>
      <c r="Z293" s="217"/>
      <c r="AA293" s="168"/>
      <c r="AB293" s="168"/>
      <c r="AC293" s="168"/>
      <c r="AD293" s="168"/>
      <c r="AE293" s="168"/>
      <c r="AF293" s="168"/>
      <c r="AG293" s="168"/>
      <c r="AH293" s="168"/>
      <c r="AI293" s="168"/>
      <c r="AJ293" s="168"/>
      <c r="AK293" s="168"/>
      <c r="AR293" s="218"/>
      <c r="AS293" s="219"/>
    </row>
    <row r="294" spans="1:45" s="212" customFormat="1" x14ac:dyDescent="0.3">
      <c r="A294" s="216"/>
      <c r="B294" s="202"/>
      <c r="C294" s="202"/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168"/>
      <c r="V294" s="168"/>
      <c r="W294" s="168"/>
      <c r="X294" s="168"/>
      <c r="Y294" s="168"/>
      <c r="Z294" s="217"/>
      <c r="AA294" s="168"/>
      <c r="AB294" s="168"/>
      <c r="AC294" s="168"/>
      <c r="AD294" s="168"/>
      <c r="AE294" s="168"/>
      <c r="AF294" s="168"/>
      <c r="AG294" s="168"/>
      <c r="AH294" s="168"/>
      <c r="AI294" s="168"/>
      <c r="AJ294" s="168"/>
      <c r="AK294" s="168"/>
      <c r="AR294" s="218"/>
      <c r="AS294" s="219"/>
    </row>
    <row r="295" spans="1:45" s="212" customFormat="1" x14ac:dyDescent="0.3">
      <c r="A295" s="216"/>
      <c r="B295" s="202"/>
      <c r="C295" s="202"/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168"/>
      <c r="V295" s="168"/>
      <c r="W295" s="168"/>
      <c r="X295" s="168"/>
      <c r="Y295" s="168"/>
      <c r="Z295" s="217"/>
      <c r="AA295" s="168"/>
      <c r="AB295" s="168"/>
      <c r="AC295" s="168"/>
      <c r="AD295" s="168"/>
      <c r="AE295" s="168"/>
      <c r="AF295" s="168"/>
      <c r="AG295" s="168"/>
      <c r="AH295" s="168"/>
      <c r="AI295" s="168"/>
      <c r="AJ295" s="168"/>
      <c r="AK295" s="168"/>
      <c r="AR295" s="218"/>
      <c r="AS295" s="219"/>
    </row>
    <row r="296" spans="1:45" s="212" customFormat="1" x14ac:dyDescent="0.3">
      <c r="A296" s="216"/>
      <c r="B296" s="202"/>
      <c r="C296" s="202"/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168"/>
      <c r="V296" s="168"/>
      <c r="W296" s="168"/>
      <c r="X296" s="168"/>
      <c r="Y296" s="168"/>
      <c r="Z296" s="217"/>
      <c r="AA296" s="168"/>
      <c r="AB296" s="168"/>
      <c r="AC296" s="168"/>
      <c r="AD296" s="168"/>
      <c r="AE296" s="168"/>
      <c r="AF296" s="168"/>
      <c r="AG296" s="168"/>
      <c r="AH296" s="168"/>
      <c r="AI296" s="168"/>
      <c r="AJ296" s="168"/>
      <c r="AK296" s="168"/>
      <c r="AR296" s="218"/>
      <c r="AS296" s="219"/>
    </row>
    <row r="297" spans="1:45" s="212" customFormat="1" x14ac:dyDescent="0.3">
      <c r="A297" s="216"/>
      <c r="B297" s="202"/>
      <c r="C297" s="202"/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168"/>
      <c r="V297" s="168"/>
      <c r="W297" s="168"/>
      <c r="X297" s="168"/>
      <c r="Y297" s="168"/>
      <c r="Z297" s="217"/>
      <c r="AA297" s="168"/>
      <c r="AB297" s="168"/>
      <c r="AC297" s="168"/>
      <c r="AD297" s="168"/>
      <c r="AE297" s="168"/>
      <c r="AF297" s="168"/>
      <c r="AG297" s="168"/>
      <c r="AH297" s="168"/>
      <c r="AI297" s="168"/>
      <c r="AJ297" s="168"/>
      <c r="AK297" s="168"/>
      <c r="AR297" s="218"/>
      <c r="AS297" s="219"/>
    </row>
    <row r="298" spans="1:45" s="212" customFormat="1" x14ac:dyDescent="0.3">
      <c r="A298" s="216"/>
      <c r="B298" s="202"/>
      <c r="C298" s="202"/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168"/>
      <c r="V298" s="168"/>
      <c r="W298" s="168"/>
      <c r="X298" s="168"/>
      <c r="Y298" s="168"/>
      <c r="Z298" s="217"/>
      <c r="AA298" s="168"/>
      <c r="AB298" s="168"/>
      <c r="AC298" s="168"/>
      <c r="AD298" s="168"/>
      <c r="AE298" s="168"/>
      <c r="AF298" s="168"/>
      <c r="AG298" s="168"/>
      <c r="AH298" s="168"/>
      <c r="AI298" s="168"/>
      <c r="AJ298" s="168"/>
      <c r="AK298" s="168"/>
      <c r="AR298" s="218"/>
      <c r="AS298" s="219"/>
    </row>
    <row r="299" spans="1:45" s="212" customFormat="1" x14ac:dyDescent="0.3">
      <c r="A299" s="216"/>
      <c r="B299" s="202"/>
      <c r="C299" s="202"/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168"/>
      <c r="V299" s="168"/>
      <c r="W299" s="168"/>
      <c r="X299" s="168"/>
      <c r="Y299" s="168"/>
      <c r="Z299" s="217"/>
      <c r="AA299" s="168"/>
      <c r="AB299" s="168"/>
      <c r="AC299" s="168"/>
      <c r="AD299" s="168"/>
      <c r="AE299" s="168"/>
      <c r="AF299" s="168"/>
      <c r="AG299" s="168"/>
      <c r="AH299" s="168"/>
      <c r="AI299" s="168"/>
      <c r="AJ299" s="168"/>
      <c r="AK299" s="168"/>
      <c r="AR299" s="218"/>
      <c r="AS299" s="219"/>
    </row>
    <row r="300" spans="1:45" s="212" customFormat="1" x14ac:dyDescent="0.3">
      <c r="A300" s="220"/>
      <c r="B300" s="221"/>
      <c r="C300" s="221"/>
      <c r="D300" s="221"/>
      <c r="E300" s="221"/>
      <c r="F300" s="221"/>
      <c r="G300" s="221"/>
      <c r="H300" s="221"/>
      <c r="I300" s="221"/>
      <c r="J300" s="221"/>
      <c r="K300" s="221"/>
      <c r="L300" s="221"/>
      <c r="M300" s="221"/>
      <c r="N300" s="221"/>
      <c r="O300" s="221"/>
      <c r="P300" s="221"/>
      <c r="Q300" s="221"/>
      <c r="R300" s="221"/>
      <c r="S300" s="221"/>
      <c r="T300" s="221"/>
      <c r="X300" s="168"/>
      <c r="Y300" s="168"/>
      <c r="Z300" s="217"/>
      <c r="AA300" s="168"/>
      <c r="AB300" s="168"/>
      <c r="AC300" s="168"/>
      <c r="AD300" s="168"/>
      <c r="AE300" s="168"/>
      <c r="AF300" s="168"/>
      <c r="AG300" s="168"/>
      <c r="AH300" s="168"/>
      <c r="AI300" s="168"/>
      <c r="AJ300" s="168"/>
      <c r="AK300" s="168"/>
      <c r="AR300" s="218"/>
      <c r="AS300" s="219"/>
    </row>
    <row r="301" spans="1:45" s="212" customFormat="1" x14ac:dyDescent="0.3">
      <c r="A301" s="220"/>
      <c r="B301" s="221"/>
      <c r="C301" s="221"/>
      <c r="D301" s="221"/>
      <c r="E301" s="221"/>
      <c r="F301" s="221"/>
      <c r="G301" s="221"/>
      <c r="H301" s="221"/>
      <c r="I301" s="221"/>
      <c r="J301" s="221"/>
      <c r="K301" s="221"/>
      <c r="L301" s="221"/>
      <c r="M301" s="221"/>
      <c r="N301" s="221"/>
      <c r="O301" s="221"/>
      <c r="P301" s="221"/>
      <c r="Q301" s="221"/>
      <c r="R301" s="221"/>
      <c r="S301" s="221"/>
      <c r="T301" s="221"/>
      <c r="X301" s="168"/>
      <c r="Y301" s="168"/>
      <c r="Z301" s="217"/>
      <c r="AA301" s="168"/>
      <c r="AB301" s="168"/>
      <c r="AC301" s="168"/>
      <c r="AD301" s="168"/>
      <c r="AE301" s="168"/>
      <c r="AF301" s="168"/>
      <c r="AG301" s="168"/>
      <c r="AH301" s="168"/>
      <c r="AI301" s="168"/>
      <c r="AJ301" s="168"/>
      <c r="AK301" s="168"/>
      <c r="AR301" s="218"/>
      <c r="AS301" s="219"/>
    </row>
    <row r="302" spans="1:45" s="212" customFormat="1" x14ac:dyDescent="0.3">
      <c r="A302" s="220"/>
      <c r="B302" s="221"/>
      <c r="C302" s="221"/>
      <c r="D302" s="221"/>
      <c r="E302" s="221"/>
      <c r="F302" s="221"/>
      <c r="G302" s="221"/>
      <c r="H302" s="221"/>
      <c r="I302" s="221"/>
      <c r="J302" s="221"/>
      <c r="K302" s="221"/>
      <c r="L302" s="221"/>
      <c r="M302" s="221"/>
      <c r="N302" s="221"/>
      <c r="O302" s="221"/>
      <c r="P302" s="221"/>
      <c r="Q302" s="221"/>
      <c r="R302" s="221"/>
      <c r="S302" s="221"/>
      <c r="T302" s="221"/>
      <c r="X302" s="168"/>
      <c r="Y302" s="168"/>
      <c r="Z302" s="217"/>
      <c r="AA302" s="168"/>
      <c r="AB302" s="168"/>
      <c r="AC302" s="168"/>
      <c r="AD302" s="168"/>
      <c r="AE302" s="168"/>
      <c r="AF302" s="168"/>
      <c r="AG302" s="168"/>
      <c r="AH302" s="168"/>
      <c r="AI302" s="168"/>
      <c r="AJ302" s="168"/>
      <c r="AK302" s="168"/>
      <c r="AR302" s="218"/>
      <c r="AS302" s="219"/>
    </row>
    <row r="303" spans="1:45" s="212" customFormat="1" x14ac:dyDescent="0.3">
      <c r="A303" s="220"/>
      <c r="B303" s="221"/>
      <c r="C303" s="221"/>
      <c r="D303" s="221"/>
      <c r="E303" s="221"/>
      <c r="F303" s="221"/>
      <c r="G303" s="221"/>
      <c r="H303" s="221"/>
      <c r="I303" s="221"/>
      <c r="J303" s="221"/>
      <c r="K303" s="221"/>
      <c r="L303" s="221"/>
      <c r="M303" s="221"/>
      <c r="N303" s="221"/>
      <c r="O303" s="221"/>
      <c r="P303" s="221"/>
      <c r="Q303" s="221"/>
      <c r="R303" s="221"/>
      <c r="S303" s="221"/>
      <c r="T303" s="221"/>
      <c r="X303" s="168"/>
      <c r="Y303" s="168"/>
      <c r="Z303" s="217"/>
      <c r="AA303" s="168"/>
      <c r="AB303" s="168"/>
      <c r="AC303" s="168"/>
      <c r="AD303" s="168"/>
      <c r="AE303" s="168"/>
      <c r="AF303" s="168"/>
      <c r="AG303" s="168"/>
      <c r="AH303" s="168"/>
      <c r="AI303" s="168"/>
      <c r="AJ303" s="168"/>
      <c r="AK303" s="168"/>
      <c r="AR303" s="218"/>
      <c r="AS303" s="219"/>
    </row>
    <row r="304" spans="1:45" s="212" customFormat="1" x14ac:dyDescent="0.3">
      <c r="A304" s="220"/>
      <c r="B304" s="221"/>
      <c r="C304" s="221"/>
      <c r="D304" s="221"/>
      <c r="E304" s="221"/>
      <c r="F304" s="221"/>
      <c r="G304" s="221"/>
      <c r="H304" s="221"/>
      <c r="I304" s="221"/>
      <c r="J304" s="221"/>
      <c r="K304" s="221"/>
      <c r="L304" s="221"/>
      <c r="M304" s="221"/>
      <c r="N304" s="221"/>
      <c r="O304" s="221"/>
      <c r="P304" s="221"/>
      <c r="Q304" s="221"/>
      <c r="R304" s="221"/>
      <c r="S304" s="221"/>
      <c r="T304" s="221"/>
      <c r="X304" s="168"/>
      <c r="Y304" s="168"/>
      <c r="Z304" s="217"/>
      <c r="AA304" s="168"/>
      <c r="AB304" s="168"/>
      <c r="AC304" s="168"/>
      <c r="AD304" s="168"/>
      <c r="AE304" s="168"/>
      <c r="AF304" s="168"/>
      <c r="AG304" s="168"/>
      <c r="AH304" s="168"/>
      <c r="AI304" s="168"/>
      <c r="AJ304" s="168"/>
      <c r="AK304" s="168"/>
      <c r="AR304" s="218"/>
      <c r="AS304" s="219"/>
    </row>
    <row r="305" spans="1:45" s="212" customFormat="1" x14ac:dyDescent="0.3">
      <c r="A305" s="220"/>
      <c r="B305" s="221"/>
      <c r="C305" s="221"/>
      <c r="D305" s="221"/>
      <c r="E305" s="221"/>
      <c r="F305" s="221"/>
      <c r="G305" s="221"/>
      <c r="H305" s="221"/>
      <c r="I305" s="221"/>
      <c r="J305" s="221"/>
      <c r="K305" s="221"/>
      <c r="L305" s="221"/>
      <c r="M305" s="221"/>
      <c r="N305" s="221"/>
      <c r="O305" s="221"/>
      <c r="P305" s="221"/>
      <c r="Q305" s="221"/>
      <c r="R305" s="221"/>
      <c r="S305" s="221"/>
      <c r="T305" s="221"/>
      <c r="X305" s="168"/>
      <c r="Y305" s="168"/>
      <c r="Z305" s="217"/>
      <c r="AA305" s="168"/>
      <c r="AB305" s="168"/>
      <c r="AC305" s="168"/>
      <c r="AD305" s="168"/>
      <c r="AE305" s="168"/>
      <c r="AF305" s="168"/>
      <c r="AG305" s="168"/>
      <c r="AH305" s="168"/>
      <c r="AI305" s="168"/>
      <c r="AJ305" s="168"/>
      <c r="AK305" s="168"/>
      <c r="AR305" s="218"/>
      <c r="AS305" s="219"/>
    </row>
    <row r="306" spans="1:45" s="212" customFormat="1" x14ac:dyDescent="0.3">
      <c r="A306" s="220"/>
      <c r="B306" s="221"/>
      <c r="C306" s="221"/>
      <c r="D306" s="221"/>
      <c r="E306" s="221"/>
      <c r="F306" s="221"/>
      <c r="G306" s="221"/>
      <c r="H306" s="221"/>
      <c r="I306" s="221"/>
      <c r="J306" s="221"/>
      <c r="K306" s="221"/>
      <c r="L306" s="221"/>
      <c r="M306" s="221"/>
      <c r="N306" s="221"/>
      <c r="O306" s="221"/>
      <c r="P306" s="221"/>
      <c r="Q306" s="221"/>
      <c r="R306" s="221"/>
      <c r="S306" s="221"/>
      <c r="T306" s="221"/>
      <c r="X306" s="168"/>
      <c r="Y306" s="168"/>
      <c r="Z306" s="217"/>
      <c r="AA306" s="168"/>
      <c r="AB306" s="168"/>
      <c r="AC306" s="168"/>
      <c r="AD306" s="168"/>
      <c r="AE306" s="168"/>
      <c r="AF306" s="168"/>
      <c r="AG306" s="168"/>
      <c r="AH306" s="168"/>
      <c r="AI306" s="168"/>
      <c r="AJ306" s="168"/>
      <c r="AK306" s="168"/>
      <c r="AR306" s="218"/>
      <c r="AS306" s="219"/>
    </row>
    <row r="307" spans="1:45" s="212" customFormat="1" x14ac:dyDescent="0.3">
      <c r="A307" s="220"/>
      <c r="B307" s="221"/>
      <c r="C307" s="221"/>
      <c r="D307" s="221"/>
      <c r="E307" s="221"/>
      <c r="F307" s="221"/>
      <c r="G307" s="221"/>
      <c r="H307" s="221"/>
      <c r="I307" s="221"/>
      <c r="J307" s="221"/>
      <c r="K307" s="221"/>
      <c r="L307" s="221"/>
      <c r="M307" s="221"/>
      <c r="N307" s="221"/>
      <c r="O307" s="221"/>
      <c r="P307" s="221"/>
      <c r="Q307" s="221"/>
      <c r="R307" s="221"/>
      <c r="S307" s="221"/>
      <c r="T307" s="221"/>
      <c r="X307" s="168"/>
      <c r="Y307" s="168"/>
      <c r="Z307" s="217"/>
      <c r="AA307" s="168"/>
      <c r="AB307" s="168"/>
      <c r="AC307" s="168"/>
      <c r="AD307" s="168"/>
      <c r="AE307" s="168"/>
      <c r="AF307" s="168"/>
      <c r="AG307" s="168"/>
      <c r="AH307" s="168"/>
      <c r="AI307" s="168"/>
      <c r="AJ307" s="168"/>
      <c r="AK307" s="168"/>
      <c r="AR307" s="218"/>
      <c r="AS307" s="219"/>
    </row>
    <row r="308" spans="1:45" s="212" customFormat="1" x14ac:dyDescent="0.3">
      <c r="A308" s="220"/>
      <c r="B308" s="221"/>
      <c r="C308" s="221"/>
      <c r="D308" s="221"/>
      <c r="E308" s="221"/>
      <c r="F308" s="221"/>
      <c r="G308" s="221"/>
      <c r="H308" s="221"/>
      <c r="I308" s="221"/>
      <c r="J308" s="221"/>
      <c r="K308" s="221"/>
      <c r="L308" s="221"/>
      <c r="M308" s="221"/>
      <c r="N308" s="221"/>
      <c r="O308" s="221"/>
      <c r="P308" s="221"/>
      <c r="Q308" s="221"/>
      <c r="R308" s="221"/>
      <c r="S308" s="221"/>
      <c r="T308" s="221"/>
      <c r="X308" s="168"/>
      <c r="Y308" s="168"/>
      <c r="Z308" s="217"/>
      <c r="AA308" s="168"/>
      <c r="AB308" s="168"/>
      <c r="AC308" s="168"/>
      <c r="AD308" s="168"/>
      <c r="AE308" s="168"/>
      <c r="AF308" s="168"/>
      <c r="AG308" s="168"/>
      <c r="AH308" s="168"/>
      <c r="AI308" s="168"/>
      <c r="AJ308" s="168"/>
      <c r="AK308" s="168"/>
      <c r="AR308" s="218"/>
      <c r="AS308" s="219"/>
    </row>
    <row r="309" spans="1:45" s="212" customFormat="1" x14ac:dyDescent="0.3">
      <c r="A309" s="220"/>
      <c r="B309" s="221"/>
      <c r="C309" s="221"/>
      <c r="D309" s="221"/>
      <c r="E309" s="221"/>
      <c r="F309" s="221"/>
      <c r="G309" s="221"/>
      <c r="H309" s="221"/>
      <c r="I309" s="221"/>
      <c r="J309" s="221"/>
      <c r="K309" s="221"/>
      <c r="L309" s="221"/>
      <c r="M309" s="221"/>
      <c r="N309" s="221"/>
      <c r="O309" s="221"/>
      <c r="P309" s="221"/>
      <c r="Q309" s="221"/>
      <c r="R309" s="221"/>
      <c r="S309" s="221"/>
      <c r="T309" s="221"/>
      <c r="X309" s="168"/>
      <c r="Y309" s="168"/>
      <c r="Z309" s="217"/>
      <c r="AA309" s="168"/>
      <c r="AB309" s="168"/>
      <c r="AC309" s="168"/>
      <c r="AD309" s="168"/>
      <c r="AE309" s="168"/>
      <c r="AF309" s="168"/>
      <c r="AG309" s="168"/>
      <c r="AH309" s="168"/>
      <c r="AI309" s="168"/>
      <c r="AJ309" s="168"/>
      <c r="AK309" s="168"/>
      <c r="AR309" s="218"/>
      <c r="AS309" s="219"/>
    </row>
    <row r="310" spans="1:45" s="212" customFormat="1" x14ac:dyDescent="0.3">
      <c r="A310" s="220"/>
      <c r="B310" s="221"/>
      <c r="C310" s="221"/>
      <c r="D310" s="221"/>
      <c r="E310" s="221"/>
      <c r="F310" s="221"/>
      <c r="G310" s="221"/>
      <c r="H310" s="221"/>
      <c r="I310" s="221"/>
      <c r="J310" s="221"/>
      <c r="K310" s="221"/>
      <c r="L310" s="221"/>
      <c r="M310" s="221"/>
      <c r="N310" s="221"/>
      <c r="O310" s="221"/>
      <c r="P310" s="221"/>
      <c r="Q310" s="221"/>
      <c r="R310" s="221"/>
      <c r="S310" s="221"/>
      <c r="T310" s="221"/>
      <c r="X310" s="168"/>
      <c r="Y310" s="168"/>
      <c r="Z310" s="217"/>
      <c r="AA310" s="168"/>
      <c r="AB310" s="168"/>
      <c r="AC310" s="168"/>
      <c r="AD310" s="168"/>
      <c r="AE310" s="168"/>
      <c r="AF310" s="168"/>
      <c r="AG310" s="168"/>
      <c r="AH310" s="168"/>
      <c r="AI310" s="168"/>
      <c r="AJ310" s="168"/>
      <c r="AK310" s="168"/>
      <c r="AR310" s="218"/>
      <c r="AS310" s="219"/>
    </row>
    <row r="311" spans="1:45" s="212" customFormat="1" x14ac:dyDescent="0.3">
      <c r="A311" s="220"/>
      <c r="B311" s="221"/>
      <c r="C311" s="221"/>
      <c r="D311" s="221"/>
      <c r="E311" s="221"/>
      <c r="F311" s="221"/>
      <c r="G311" s="221"/>
      <c r="H311" s="221"/>
      <c r="I311" s="221"/>
      <c r="J311" s="221"/>
      <c r="K311" s="221"/>
      <c r="L311" s="221"/>
      <c r="M311" s="221"/>
      <c r="N311" s="221"/>
      <c r="O311" s="221"/>
      <c r="P311" s="221"/>
      <c r="Q311" s="221"/>
      <c r="R311" s="221"/>
      <c r="S311" s="221"/>
      <c r="T311" s="221"/>
      <c r="X311" s="168"/>
      <c r="Y311" s="168"/>
      <c r="Z311" s="217"/>
      <c r="AA311" s="168"/>
      <c r="AB311" s="168"/>
      <c r="AC311" s="168"/>
      <c r="AD311" s="168"/>
      <c r="AE311" s="168"/>
      <c r="AF311" s="168"/>
      <c r="AG311" s="168"/>
      <c r="AH311" s="168"/>
      <c r="AI311" s="168"/>
      <c r="AJ311" s="168"/>
      <c r="AK311" s="168"/>
      <c r="AR311" s="218"/>
      <c r="AS311" s="219"/>
    </row>
    <row r="312" spans="1:45" s="212" customFormat="1" x14ac:dyDescent="0.3">
      <c r="A312" s="220"/>
      <c r="B312" s="221"/>
      <c r="C312" s="221"/>
      <c r="D312" s="221"/>
      <c r="E312" s="221"/>
      <c r="F312" s="221"/>
      <c r="G312" s="221"/>
      <c r="H312" s="221"/>
      <c r="I312" s="221"/>
      <c r="J312" s="221"/>
      <c r="K312" s="221"/>
      <c r="L312" s="221"/>
      <c r="M312" s="221"/>
      <c r="N312" s="221"/>
      <c r="O312" s="221"/>
      <c r="P312" s="221"/>
      <c r="Q312" s="221"/>
      <c r="R312" s="221"/>
      <c r="S312" s="221"/>
      <c r="T312" s="221"/>
      <c r="X312" s="168"/>
      <c r="Y312" s="168"/>
      <c r="Z312" s="217"/>
      <c r="AA312" s="168"/>
      <c r="AB312" s="168"/>
      <c r="AC312" s="168"/>
      <c r="AD312" s="168"/>
      <c r="AE312" s="168"/>
      <c r="AF312" s="168"/>
      <c r="AG312" s="168"/>
      <c r="AH312" s="168"/>
      <c r="AI312" s="168"/>
      <c r="AJ312" s="168"/>
      <c r="AK312" s="168"/>
      <c r="AR312" s="218"/>
      <c r="AS312" s="219"/>
    </row>
    <row r="313" spans="1:45" s="212" customFormat="1" x14ac:dyDescent="0.3">
      <c r="A313" s="220"/>
      <c r="B313" s="221"/>
      <c r="C313" s="221"/>
      <c r="D313" s="221"/>
      <c r="E313" s="221"/>
      <c r="F313" s="221"/>
      <c r="G313" s="221"/>
      <c r="H313" s="221"/>
      <c r="I313" s="221"/>
      <c r="J313" s="221"/>
      <c r="K313" s="221"/>
      <c r="L313" s="221"/>
      <c r="M313" s="221"/>
      <c r="N313" s="221"/>
      <c r="O313" s="221"/>
      <c r="P313" s="221"/>
      <c r="Q313" s="221"/>
      <c r="R313" s="221"/>
      <c r="S313" s="221"/>
      <c r="T313" s="221"/>
      <c r="X313" s="168"/>
      <c r="Y313" s="168"/>
      <c r="Z313" s="217"/>
      <c r="AA313" s="168"/>
      <c r="AB313" s="168"/>
      <c r="AC313" s="168"/>
      <c r="AD313" s="168"/>
      <c r="AE313" s="168"/>
      <c r="AF313" s="168"/>
      <c r="AG313" s="168"/>
      <c r="AH313" s="168"/>
      <c r="AI313" s="168"/>
      <c r="AJ313" s="168"/>
      <c r="AK313" s="168"/>
      <c r="AR313" s="218"/>
      <c r="AS313" s="219"/>
    </row>
    <row r="314" spans="1:45" s="212" customFormat="1" x14ac:dyDescent="0.3">
      <c r="A314" s="220"/>
      <c r="B314" s="221"/>
      <c r="C314" s="221"/>
      <c r="D314" s="221"/>
      <c r="E314" s="221"/>
      <c r="F314" s="221"/>
      <c r="G314" s="221"/>
      <c r="H314" s="221"/>
      <c r="I314" s="221"/>
      <c r="J314" s="221"/>
      <c r="K314" s="221"/>
      <c r="L314" s="221"/>
      <c r="M314" s="221"/>
      <c r="N314" s="221"/>
      <c r="O314" s="221"/>
      <c r="P314" s="221"/>
      <c r="Q314" s="221"/>
      <c r="R314" s="221"/>
      <c r="S314" s="221"/>
      <c r="T314" s="221"/>
      <c r="X314" s="168"/>
      <c r="Y314" s="168"/>
      <c r="Z314" s="217"/>
      <c r="AA314" s="168"/>
      <c r="AB314" s="168"/>
      <c r="AC314" s="168"/>
      <c r="AD314" s="168"/>
      <c r="AE314" s="168"/>
      <c r="AF314" s="168"/>
      <c r="AG314" s="168"/>
      <c r="AH314" s="168"/>
      <c r="AI314" s="168"/>
      <c r="AJ314" s="168"/>
      <c r="AK314" s="168"/>
      <c r="AR314" s="218"/>
      <c r="AS314" s="219"/>
    </row>
    <row r="315" spans="1:45" s="212" customFormat="1" x14ac:dyDescent="0.3">
      <c r="A315" s="220"/>
      <c r="B315" s="221"/>
      <c r="C315" s="221"/>
      <c r="D315" s="221"/>
      <c r="E315" s="221"/>
      <c r="F315" s="221"/>
      <c r="G315" s="221"/>
      <c r="H315" s="221"/>
      <c r="I315" s="221"/>
      <c r="J315" s="221"/>
      <c r="K315" s="221"/>
      <c r="L315" s="221"/>
      <c r="M315" s="221"/>
      <c r="N315" s="221"/>
      <c r="O315" s="221"/>
      <c r="P315" s="221"/>
      <c r="Q315" s="221"/>
      <c r="R315" s="221"/>
      <c r="S315" s="221"/>
      <c r="T315" s="221"/>
      <c r="X315" s="168"/>
      <c r="Y315" s="168"/>
      <c r="Z315" s="217"/>
      <c r="AA315" s="168"/>
      <c r="AB315" s="168"/>
      <c r="AC315" s="168"/>
      <c r="AD315" s="168"/>
      <c r="AE315" s="168"/>
      <c r="AF315" s="168"/>
      <c r="AG315" s="168"/>
      <c r="AH315" s="168"/>
      <c r="AI315" s="168"/>
      <c r="AJ315" s="168"/>
      <c r="AK315" s="168"/>
      <c r="AR315" s="218"/>
      <c r="AS315" s="219"/>
    </row>
    <row r="316" spans="1:45" s="212" customFormat="1" x14ac:dyDescent="0.3">
      <c r="A316" s="220"/>
      <c r="B316" s="221"/>
      <c r="C316" s="221"/>
      <c r="D316" s="221"/>
      <c r="E316" s="221"/>
      <c r="F316" s="221"/>
      <c r="G316" s="221"/>
      <c r="H316" s="221"/>
      <c r="I316" s="221"/>
      <c r="J316" s="221"/>
      <c r="K316" s="221"/>
      <c r="L316" s="221"/>
      <c r="M316" s="221"/>
      <c r="N316" s="221"/>
      <c r="O316" s="221"/>
      <c r="P316" s="221"/>
      <c r="Q316" s="221"/>
      <c r="R316" s="221"/>
      <c r="S316" s="221"/>
      <c r="T316" s="221"/>
      <c r="X316" s="168"/>
      <c r="Y316" s="168"/>
      <c r="Z316" s="217"/>
      <c r="AA316" s="168"/>
      <c r="AB316" s="168"/>
      <c r="AC316" s="168"/>
      <c r="AD316" s="168"/>
      <c r="AE316" s="168"/>
      <c r="AF316" s="168"/>
      <c r="AG316" s="168"/>
      <c r="AH316" s="168"/>
      <c r="AI316" s="168"/>
      <c r="AJ316" s="168"/>
      <c r="AK316" s="168"/>
      <c r="AR316" s="218"/>
      <c r="AS316" s="219"/>
    </row>
    <row r="317" spans="1:45" s="212" customFormat="1" x14ac:dyDescent="0.3">
      <c r="A317" s="220"/>
      <c r="B317" s="221"/>
      <c r="C317" s="221"/>
      <c r="D317" s="221"/>
      <c r="E317" s="221"/>
      <c r="F317" s="221"/>
      <c r="G317" s="221"/>
      <c r="H317" s="221"/>
      <c r="I317" s="221"/>
      <c r="J317" s="221"/>
      <c r="K317" s="221"/>
      <c r="L317" s="221"/>
      <c r="M317" s="221"/>
      <c r="N317" s="221"/>
      <c r="O317" s="221"/>
      <c r="P317" s="221"/>
      <c r="Q317" s="221"/>
      <c r="R317" s="221"/>
      <c r="S317" s="221"/>
      <c r="T317" s="221"/>
      <c r="X317" s="168"/>
      <c r="Y317" s="168"/>
      <c r="Z317" s="217"/>
      <c r="AA317" s="168"/>
      <c r="AB317" s="168"/>
      <c r="AC317" s="168"/>
      <c r="AD317" s="168"/>
      <c r="AE317" s="168"/>
      <c r="AF317" s="168"/>
      <c r="AG317" s="168"/>
      <c r="AH317" s="168"/>
      <c r="AI317" s="168"/>
      <c r="AJ317" s="168"/>
      <c r="AK317" s="168"/>
      <c r="AR317" s="218"/>
      <c r="AS317" s="219"/>
    </row>
    <row r="318" spans="1:45" s="212" customFormat="1" x14ac:dyDescent="0.3">
      <c r="A318" s="220"/>
      <c r="B318" s="221"/>
      <c r="C318" s="221"/>
      <c r="D318" s="221"/>
      <c r="E318" s="221"/>
      <c r="F318" s="221"/>
      <c r="G318" s="221"/>
      <c r="H318" s="221"/>
      <c r="I318" s="221"/>
      <c r="J318" s="221"/>
      <c r="K318" s="221"/>
      <c r="L318" s="221"/>
      <c r="M318" s="221"/>
      <c r="N318" s="221"/>
      <c r="O318" s="221"/>
      <c r="P318" s="221"/>
      <c r="Q318" s="221"/>
      <c r="R318" s="221"/>
      <c r="S318" s="221"/>
      <c r="T318" s="221"/>
      <c r="X318" s="168"/>
      <c r="Y318" s="168"/>
      <c r="Z318" s="217"/>
      <c r="AA318" s="168"/>
      <c r="AB318" s="168"/>
      <c r="AC318" s="168"/>
      <c r="AD318" s="168"/>
      <c r="AE318" s="168"/>
      <c r="AF318" s="168"/>
      <c r="AG318" s="168"/>
      <c r="AH318" s="168"/>
      <c r="AI318" s="168"/>
      <c r="AJ318" s="168"/>
      <c r="AK318" s="168"/>
      <c r="AR318" s="218"/>
      <c r="AS318" s="219"/>
    </row>
    <row r="319" spans="1:45" s="212" customFormat="1" x14ac:dyDescent="0.3">
      <c r="A319" s="220"/>
      <c r="B319" s="221"/>
      <c r="C319" s="221"/>
      <c r="D319" s="221"/>
      <c r="E319" s="221"/>
      <c r="F319" s="221"/>
      <c r="G319" s="221"/>
      <c r="H319" s="221"/>
      <c r="I319" s="221"/>
      <c r="J319" s="221"/>
      <c r="K319" s="221"/>
      <c r="L319" s="221"/>
      <c r="M319" s="221"/>
      <c r="N319" s="221"/>
      <c r="O319" s="221"/>
      <c r="P319" s="221"/>
      <c r="Q319" s="221"/>
      <c r="R319" s="221"/>
      <c r="S319" s="221"/>
      <c r="T319" s="221"/>
      <c r="X319" s="168"/>
      <c r="Y319" s="168"/>
      <c r="Z319" s="217"/>
      <c r="AA319" s="168"/>
      <c r="AB319" s="168"/>
      <c r="AC319" s="168"/>
      <c r="AD319" s="168"/>
      <c r="AE319" s="168"/>
      <c r="AF319" s="168"/>
      <c r="AG319" s="168"/>
      <c r="AH319" s="168"/>
      <c r="AI319" s="168"/>
      <c r="AJ319" s="168"/>
      <c r="AK319" s="168"/>
      <c r="AR319" s="218"/>
      <c r="AS319" s="219"/>
    </row>
  </sheetData>
  <mergeCells count="22">
    <mergeCell ref="AS5:AS8"/>
    <mergeCell ref="AN2:AN3"/>
    <mergeCell ref="AO2:AO3"/>
    <mergeCell ref="AR1:AR3"/>
    <mergeCell ref="A21:A22"/>
    <mergeCell ref="AL2:AL3"/>
    <mergeCell ref="AM2:AM3"/>
    <mergeCell ref="AE2:AE3"/>
    <mergeCell ref="E2:G2"/>
    <mergeCell ref="H2:J2"/>
    <mergeCell ref="K2:M2"/>
    <mergeCell ref="N2:P2"/>
    <mergeCell ref="B1:W1"/>
    <mergeCell ref="B2:D2"/>
    <mergeCell ref="X1:AE1"/>
    <mergeCell ref="AF1:AK1"/>
    <mergeCell ref="AL1:AP1"/>
    <mergeCell ref="AQ1:AQ3"/>
    <mergeCell ref="U2:U3"/>
    <mergeCell ref="V2:V3"/>
    <mergeCell ref="W2:W3"/>
    <mergeCell ref="AP2:AP3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62"/>
  <sheetViews>
    <sheetView topLeftCell="A31" workbookViewId="0">
      <selection activeCell="K21" sqref="K21"/>
    </sheetView>
  </sheetViews>
  <sheetFormatPr defaultRowHeight="12.75" x14ac:dyDescent="0.25"/>
  <cols>
    <col min="1" max="16384" width="8.7265625" style="8"/>
  </cols>
  <sheetData>
    <row r="2" spans="1:1" ht="18.3" x14ac:dyDescent="0.4">
      <c r="A2" s="227" t="s">
        <v>186</v>
      </c>
    </row>
    <row r="32" spans="1:1" ht="18.3" x14ac:dyDescent="0.4">
      <c r="A32" s="227" t="s">
        <v>187</v>
      </c>
    </row>
    <row r="62" spans="1:1" ht="18.3" x14ac:dyDescent="0.4">
      <c r="A62" s="227" t="s">
        <v>188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AP4206"/>
  <sheetViews>
    <sheetView workbookViewId="0">
      <pane xSplit="1" ySplit="3" topLeftCell="B161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ColWidth="8.26953125" defaultRowHeight="14.4" x14ac:dyDescent="0.3"/>
  <cols>
    <col min="1" max="1" width="10" style="294" customWidth="1"/>
    <col min="2" max="3" width="6.7265625" style="223" customWidth="1"/>
    <col min="4" max="4" width="6.90625" style="223" bestFit="1" customWidth="1"/>
    <col min="5" max="7" width="6" style="193" hidden="1" customWidth="1"/>
    <col min="8" max="8" width="7" style="295" customWidth="1"/>
    <col min="9" max="9" width="6.90625" style="295" customWidth="1"/>
    <col min="10" max="10" width="8.08984375" style="295" customWidth="1"/>
    <col min="11" max="12" width="6.36328125" style="193" hidden="1" customWidth="1"/>
    <col min="13" max="13" width="6.26953125" style="193" hidden="1" customWidth="1"/>
    <col min="14" max="15" width="6.26953125" style="193" customWidth="1"/>
    <col min="16" max="16" width="6" style="193" bestFit="1" customWidth="1"/>
    <col min="17" max="18" width="6" style="193" customWidth="1"/>
    <col min="19" max="19" width="6" style="193" bestFit="1" customWidth="1"/>
    <col min="20" max="20" width="8.1796875" style="193" bestFit="1" customWidth="1"/>
    <col min="21" max="21" width="5.7265625" style="296" customWidth="1"/>
    <col min="22" max="22" width="5.54296875" style="296" hidden="1" customWidth="1"/>
    <col min="23" max="23" width="6.36328125" style="296" bestFit="1" customWidth="1"/>
    <col min="24" max="24" width="6.26953125" style="296" hidden="1" customWidth="1"/>
    <col min="25" max="25" width="4.54296875" style="296" bestFit="1" customWidth="1"/>
    <col min="26" max="26" width="4.54296875" style="296" customWidth="1"/>
    <col min="27" max="27" width="6.453125" style="193" customWidth="1"/>
    <col min="28" max="28" width="14.81640625" style="193" customWidth="1"/>
    <col min="29" max="29" width="4.1796875" style="296" customWidth="1"/>
    <col min="30" max="30" width="5.81640625" style="296" hidden="1" customWidth="1"/>
    <col min="31" max="31" width="4.1796875" style="296" bestFit="1" customWidth="1"/>
    <col min="32" max="32" width="7.81640625" style="296" hidden="1" customWidth="1"/>
    <col min="33" max="33" width="4.54296875" style="193" bestFit="1" customWidth="1"/>
    <col min="34" max="34" width="4" style="193" bestFit="1" customWidth="1"/>
    <col min="35" max="35" width="4.54296875" style="193" bestFit="1" customWidth="1"/>
    <col min="36" max="36" width="5.81640625" style="193" bestFit="1" customWidth="1"/>
    <col min="37" max="37" width="4.54296875" style="193" bestFit="1" customWidth="1"/>
    <col min="38" max="38" width="6.26953125" style="193" bestFit="1" customWidth="1"/>
    <col min="39" max="39" width="4.54296875" style="193" bestFit="1" customWidth="1"/>
    <col min="40" max="40" width="13.6328125" style="193" customWidth="1"/>
    <col min="41" max="41" width="24.81640625" style="193" bestFit="1" customWidth="1"/>
    <col min="42" max="256" width="8.26953125" style="193"/>
    <col min="257" max="257" width="10" style="193" customWidth="1"/>
    <col min="258" max="259" width="6.7265625" style="193" customWidth="1"/>
    <col min="260" max="260" width="6.90625" style="193" bestFit="1" customWidth="1"/>
    <col min="261" max="263" width="0" style="193" hidden="1" customWidth="1"/>
    <col min="264" max="264" width="7" style="193" customWidth="1"/>
    <col min="265" max="265" width="6.90625" style="193" customWidth="1"/>
    <col min="266" max="266" width="8.08984375" style="193" customWidth="1"/>
    <col min="267" max="269" width="0" style="193" hidden="1" customWidth="1"/>
    <col min="270" max="271" width="6.26953125" style="193" customWidth="1"/>
    <col min="272" max="272" width="6" style="193" bestFit="1" customWidth="1"/>
    <col min="273" max="274" width="6" style="193" customWidth="1"/>
    <col min="275" max="275" width="6" style="193" bestFit="1" customWidth="1"/>
    <col min="276" max="276" width="8.1796875" style="193" bestFit="1" customWidth="1"/>
    <col min="277" max="277" width="5.7265625" style="193" customWidth="1"/>
    <col min="278" max="278" width="0" style="193" hidden="1" customWidth="1"/>
    <col min="279" max="279" width="6.36328125" style="193" bestFit="1" customWidth="1"/>
    <col min="280" max="280" width="0" style="193" hidden="1" customWidth="1"/>
    <col min="281" max="281" width="4.54296875" style="193" bestFit="1" customWidth="1"/>
    <col min="282" max="282" width="4.54296875" style="193" customWidth="1"/>
    <col min="283" max="283" width="6.453125" style="193" customWidth="1"/>
    <col min="284" max="284" width="14.81640625" style="193" customWidth="1"/>
    <col min="285" max="285" width="4.1796875" style="193" customWidth="1"/>
    <col min="286" max="286" width="0" style="193" hidden="1" customWidth="1"/>
    <col min="287" max="287" width="4.1796875" style="193" bestFit="1" customWidth="1"/>
    <col min="288" max="288" width="0" style="193" hidden="1" customWidth="1"/>
    <col min="289" max="289" width="4.54296875" style="193" bestFit="1" customWidth="1"/>
    <col min="290" max="290" width="4" style="193" bestFit="1" customWidth="1"/>
    <col min="291" max="291" width="4.54296875" style="193" bestFit="1" customWidth="1"/>
    <col min="292" max="292" width="5.81640625" style="193" bestFit="1" customWidth="1"/>
    <col min="293" max="293" width="4.54296875" style="193" bestFit="1" customWidth="1"/>
    <col min="294" max="294" width="6.26953125" style="193" bestFit="1" customWidth="1"/>
    <col min="295" max="295" width="4.54296875" style="193" bestFit="1" customWidth="1"/>
    <col min="296" max="296" width="13.6328125" style="193" customWidth="1"/>
    <col min="297" max="297" width="24.81640625" style="193" bestFit="1" customWidth="1"/>
    <col min="298" max="512" width="8.26953125" style="193"/>
    <col min="513" max="513" width="10" style="193" customWidth="1"/>
    <col min="514" max="515" width="6.7265625" style="193" customWidth="1"/>
    <col min="516" max="516" width="6.90625" style="193" bestFit="1" customWidth="1"/>
    <col min="517" max="519" width="0" style="193" hidden="1" customWidth="1"/>
    <col min="520" max="520" width="7" style="193" customWidth="1"/>
    <col min="521" max="521" width="6.90625" style="193" customWidth="1"/>
    <col min="522" max="522" width="8.08984375" style="193" customWidth="1"/>
    <col min="523" max="525" width="0" style="193" hidden="1" customWidth="1"/>
    <col min="526" max="527" width="6.26953125" style="193" customWidth="1"/>
    <col min="528" max="528" width="6" style="193" bestFit="1" customWidth="1"/>
    <col min="529" max="530" width="6" style="193" customWidth="1"/>
    <col min="531" max="531" width="6" style="193" bestFit="1" customWidth="1"/>
    <col min="532" max="532" width="8.1796875" style="193" bestFit="1" customWidth="1"/>
    <col min="533" max="533" width="5.7265625" style="193" customWidth="1"/>
    <col min="534" max="534" width="0" style="193" hidden="1" customWidth="1"/>
    <col min="535" max="535" width="6.36328125" style="193" bestFit="1" customWidth="1"/>
    <col min="536" max="536" width="0" style="193" hidden="1" customWidth="1"/>
    <col min="537" max="537" width="4.54296875" style="193" bestFit="1" customWidth="1"/>
    <col min="538" max="538" width="4.54296875" style="193" customWidth="1"/>
    <col min="539" max="539" width="6.453125" style="193" customWidth="1"/>
    <col min="540" max="540" width="14.81640625" style="193" customWidth="1"/>
    <col min="541" max="541" width="4.1796875" style="193" customWidth="1"/>
    <col min="542" max="542" width="0" style="193" hidden="1" customWidth="1"/>
    <col min="543" max="543" width="4.1796875" style="193" bestFit="1" customWidth="1"/>
    <col min="544" max="544" width="0" style="193" hidden="1" customWidth="1"/>
    <col min="545" max="545" width="4.54296875" style="193" bestFit="1" customWidth="1"/>
    <col min="546" max="546" width="4" style="193" bestFit="1" customWidth="1"/>
    <col min="547" max="547" width="4.54296875" style="193" bestFit="1" customWidth="1"/>
    <col min="548" max="548" width="5.81640625" style="193" bestFit="1" customWidth="1"/>
    <col min="549" max="549" width="4.54296875" style="193" bestFit="1" customWidth="1"/>
    <col min="550" max="550" width="6.26953125" style="193" bestFit="1" customWidth="1"/>
    <col min="551" max="551" width="4.54296875" style="193" bestFit="1" customWidth="1"/>
    <col min="552" max="552" width="13.6328125" style="193" customWidth="1"/>
    <col min="553" max="553" width="24.81640625" style="193" bestFit="1" customWidth="1"/>
    <col min="554" max="768" width="8.26953125" style="193"/>
    <col min="769" max="769" width="10" style="193" customWidth="1"/>
    <col min="770" max="771" width="6.7265625" style="193" customWidth="1"/>
    <col min="772" max="772" width="6.90625" style="193" bestFit="1" customWidth="1"/>
    <col min="773" max="775" width="0" style="193" hidden="1" customWidth="1"/>
    <col min="776" max="776" width="7" style="193" customWidth="1"/>
    <col min="777" max="777" width="6.90625" style="193" customWidth="1"/>
    <col min="778" max="778" width="8.08984375" style="193" customWidth="1"/>
    <col min="779" max="781" width="0" style="193" hidden="1" customWidth="1"/>
    <col min="782" max="783" width="6.26953125" style="193" customWidth="1"/>
    <col min="784" max="784" width="6" style="193" bestFit="1" customWidth="1"/>
    <col min="785" max="786" width="6" style="193" customWidth="1"/>
    <col min="787" max="787" width="6" style="193" bestFit="1" customWidth="1"/>
    <col min="788" max="788" width="8.1796875" style="193" bestFit="1" customWidth="1"/>
    <col min="789" max="789" width="5.7265625" style="193" customWidth="1"/>
    <col min="790" max="790" width="0" style="193" hidden="1" customWidth="1"/>
    <col min="791" max="791" width="6.36328125" style="193" bestFit="1" customWidth="1"/>
    <col min="792" max="792" width="0" style="193" hidden="1" customWidth="1"/>
    <col min="793" max="793" width="4.54296875" style="193" bestFit="1" customWidth="1"/>
    <col min="794" max="794" width="4.54296875" style="193" customWidth="1"/>
    <col min="795" max="795" width="6.453125" style="193" customWidth="1"/>
    <col min="796" max="796" width="14.81640625" style="193" customWidth="1"/>
    <col min="797" max="797" width="4.1796875" style="193" customWidth="1"/>
    <col min="798" max="798" width="0" style="193" hidden="1" customWidth="1"/>
    <col min="799" max="799" width="4.1796875" style="193" bestFit="1" customWidth="1"/>
    <col min="800" max="800" width="0" style="193" hidden="1" customWidth="1"/>
    <col min="801" max="801" width="4.54296875" style="193" bestFit="1" customWidth="1"/>
    <col min="802" max="802" width="4" style="193" bestFit="1" customWidth="1"/>
    <col min="803" max="803" width="4.54296875" style="193" bestFit="1" customWidth="1"/>
    <col min="804" max="804" width="5.81640625" style="193" bestFit="1" customWidth="1"/>
    <col min="805" max="805" width="4.54296875" style="193" bestFit="1" customWidth="1"/>
    <col min="806" max="806" width="6.26953125" style="193" bestFit="1" customWidth="1"/>
    <col min="807" max="807" width="4.54296875" style="193" bestFit="1" customWidth="1"/>
    <col min="808" max="808" width="13.6328125" style="193" customWidth="1"/>
    <col min="809" max="809" width="24.81640625" style="193" bestFit="1" customWidth="1"/>
    <col min="810" max="1024" width="8.26953125" style="193"/>
    <col min="1025" max="1025" width="10" style="193" customWidth="1"/>
    <col min="1026" max="1027" width="6.7265625" style="193" customWidth="1"/>
    <col min="1028" max="1028" width="6.90625" style="193" bestFit="1" customWidth="1"/>
    <col min="1029" max="1031" width="0" style="193" hidden="1" customWidth="1"/>
    <col min="1032" max="1032" width="7" style="193" customWidth="1"/>
    <col min="1033" max="1033" width="6.90625" style="193" customWidth="1"/>
    <col min="1034" max="1034" width="8.08984375" style="193" customWidth="1"/>
    <col min="1035" max="1037" width="0" style="193" hidden="1" customWidth="1"/>
    <col min="1038" max="1039" width="6.26953125" style="193" customWidth="1"/>
    <col min="1040" max="1040" width="6" style="193" bestFit="1" customWidth="1"/>
    <col min="1041" max="1042" width="6" style="193" customWidth="1"/>
    <col min="1043" max="1043" width="6" style="193" bestFit="1" customWidth="1"/>
    <col min="1044" max="1044" width="8.1796875" style="193" bestFit="1" customWidth="1"/>
    <col min="1045" max="1045" width="5.7265625" style="193" customWidth="1"/>
    <col min="1046" max="1046" width="0" style="193" hidden="1" customWidth="1"/>
    <col min="1047" max="1047" width="6.36328125" style="193" bestFit="1" customWidth="1"/>
    <col min="1048" max="1048" width="0" style="193" hidden="1" customWidth="1"/>
    <col min="1049" max="1049" width="4.54296875" style="193" bestFit="1" customWidth="1"/>
    <col min="1050" max="1050" width="4.54296875" style="193" customWidth="1"/>
    <col min="1051" max="1051" width="6.453125" style="193" customWidth="1"/>
    <col min="1052" max="1052" width="14.81640625" style="193" customWidth="1"/>
    <col min="1053" max="1053" width="4.1796875" style="193" customWidth="1"/>
    <col min="1054" max="1054" width="0" style="193" hidden="1" customWidth="1"/>
    <col min="1055" max="1055" width="4.1796875" style="193" bestFit="1" customWidth="1"/>
    <col min="1056" max="1056" width="0" style="193" hidden="1" customWidth="1"/>
    <col min="1057" max="1057" width="4.54296875" style="193" bestFit="1" customWidth="1"/>
    <col min="1058" max="1058" width="4" style="193" bestFit="1" customWidth="1"/>
    <col min="1059" max="1059" width="4.54296875" style="193" bestFit="1" customWidth="1"/>
    <col min="1060" max="1060" width="5.81640625" style="193" bestFit="1" customWidth="1"/>
    <col min="1061" max="1061" width="4.54296875" style="193" bestFit="1" customWidth="1"/>
    <col min="1062" max="1062" width="6.26953125" style="193" bestFit="1" customWidth="1"/>
    <col min="1063" max="1063" width="4.54296875" style="193" bestFit="1" customWidth="1"/>
    <col min="1064" max="1064" width="13.6328125" style="193" customWidth="1"/>
    <col min="1065" max="1065" width="24.81640625" style="193" bestFit="1" customWidth="1"/>
    <col min="1066" max="1280" width="8.26953125" style="193"/>
    <col min="1281" max="1281" width="10" style="193" customWidth="1"/>
    <col min="1282" max="1283" width="6.7265625" style="193" customWidth="1"/>
    <col min="1284" max="1284" width="6.90625" style="193" bestFit="1" customWidth="1"/>
    <col min="1285" max="1287" width="0" style="193" hidden="1" customWidth="1"/>
    <col min="1288" max="1288" width="7" style="193" customWidth="1"/>
    <col min="1289" max="1289" width="6.90625" style="193" customWidth="1"/>
    <col min="1290" max="1290" width="8.08984375" style="193" customWidth="1"/>
    <col min="1291" max="1293" width="0" style="193" hidden="1" customWidth="1"/>
    <col min="1294" max="1295" width="6.26953125" style="193" customWidth="1"/>
    <col min="1296" max="1296" width="6" style="193" bestFit="1" customWidth="1"/>
    <col min="1297" max="1298" width="6" style="193" customWidth="1"/>
    <col min="1299" max="1299" width="6" style="193" bestFit="1" customWidth="1"/>
    <col min="1300" max="1300" width="8.1796875" style="193" bestFit="1" customWidth="1"/>
    <col min="1301" max="1301" width="5.7265625" style="193" customWidth="1"/>
    <col min="1302" max="1302" width="0" style="193" hidden="1" customWidth="1"/>
    <col min="1303" max="1303" width="6.36328125" style="193" bestFit="1" customWidth="1"/>
    <col min="1304" max="1304" width="0" style="193" hidden="1" customWidth="1"/>
    <col min="1305" max="1305" width="4.54296875" style="193" bestFit="1" customWidth="1"/>
    <col min="1306" max="1306" width="4.54296875" style="193" customWidth="1"/>
    <col min="1307" max="1307" width="6.453125" style="193" customWidth="1"/>
    <col min="1308" max="1308" width="14.81640625" style="193" customWidth="1"/>
    <col min="1309" max="1309" width="4.1796875" style="193" customWidth="1"/>
    <col min="1310" max="1310" width="0" style="193" hidden="1" customWidth="1"/>
    <col min="1311" max="1311" width="4.1796875" style="193" bestFit="1" customWidth="1"/>
    <col min="1312" max="1312" width="0" style="193" hidden="1" customWidth="1"/>
    <col min="1313" max="1313" width="4.54296875" style="193" bestFit="1" customWidth="1"/>
    <col min="1314" max="1314" width="4" style="193" bestFit="1" customWidth="1"/>
    <col min="1315" max="1315" width="4.54296875" style="193" bestFit="1" customWidth="1"/>
    <col min="1316" max="1316" width="5.81640625" style="193" bestFit="1" customWidth="1"/>
    <col min="1317" max="1317" width="4.54296875" style="193" bestFit="1" customWidth="1"/>
    <col min="1318" max="1318" width="6.26953125" style="193" bestFit="1" customWidth="1"/>
    <col min="1319" max="1319" width="4.54296875" style="193" bestFit="1" customWidth="1"/>
    <col min="1320" max="1320" width="13.6328125" style="193" customWidth="1"/>
    <col min="1321" max="1321" width="24.81640625" style="193" bestFit="1" customWidth="1"/>
    <col min="1322" max="1536" width="8.26953125" style="193"/>
    <col min="1537" max="1537" width="10" style="193" customWidth="1"/>
    <col min="1538" max="1539" width="6.7265625" style="193" customWidth="1"/>
    <col min="1540" max="1540" width="6.90625" style="193" bestFit="1" customWidth="1"/>
    <col min="1541" max="1543" width="0" style="193" hidden="1" customWidth="1"/>
    <col min="1544" max="1544" width="7" style="193" customWidth="1"/>
    <col min="1545" max="1545" width="6.90625" style="193" customWidth="1"/>
    <col min="1546" max="1546" width="8.08984375" style="193" customWidth="1"/>
    <col min="1547" max="1549" width="0" style="193" hidden="1" customWidth="1"/>
    <col min="1550" max="1551" width="6.26953125" style="193" customWidth="1"/>
    <col min="1552" max="1552" width="6" style="193" bestFit="1" customWidth="1"/>
    <col min="1553" max="1554" width="6" style="193" customWidth="1"/>
    <col min="1555" max="1555" width="6" style="193" bestFit="1" customWidth="1"/>
    <col min="1556" max="1556" width="8.1796875" style="193" bestFit="1" customWidth="1"/>
    <col min="1557" max="1557" width="5.7265625" style="193" customWidth="1"/>
    <col min="1558" max="1558" width="0" style="193" hidden="1" customWidth="1"/>
    <col min="1559" max="1559" width="6.36328125" style="193" bestFit="1" customWidth="1"/>
    <col min="1560" max="1560" width="0" style="193" hidden="1" customWidth="1"/>
    <col min="1561" max="1561" width="4.54296875" style="193" bestFit="1" customWidth="1"/>
    <col min="1562" max="1562" width="4.54296875" style="193" customWidth="1"/>
    <col min="1563" max="1563" width="6.453125" style="193" customWidth="1"/>
    <col min="1564" max="1564" width="14.81640625" style="193" customWidth="1"/>
    <col min="1565" max="1565" width="4.1796875" style="193" customWidth="1"/>
    <col min="1566" max="1566" width="0" style="193" hidden="1" customWidth="1"/>
    <col min="1567" max="1567" width="4.1796875" style="193" bestFit="1" customWidth="1"/>
    <col min="1568" max="1568" width="0" style="193" hidden="1" customWidth="1"/>
    <col min="1569" max="1569" width="4.54296875" style="193" bestFit="1" customWidth="1"/>
    <col min="1570" max="1570" width="4" style="193" bestFit="1" customWidth="1"/>
    <col min="1571" max="1571" width="4.54296875" style="193" bestFit="1" customWidth="1"/>
    <col min="1572" max="1572" width="5.81640625" style="193" bestFit="1" customWidth="1"/>
    <col min="1573" max="1573" width="4.54296875" style="193" bestFit="1" customWidth="1"/>
    <col min="1574" max="1574" width="6.26953125" style="193" bestFit="1" customWidth="1"/>
    <col min="1575" max="1575" width="4.54296875" style="193" bestFit="1" customWidth="1"/>
    <col min="1576" max="1576" width="13.6328125" style="193" customWidth="1"/>
    <col min="1577" max="1577" width="24.81640625" style="193" bestFit="1" customWidth="1"/>
    <col min="1578" max="1792" width="8.26953125" style="193"/>
    <col min="1793" max="1793" width="10" style="193" customWidth="1"/>
    <col min="1794" max="1795" width="6.7265625" style="193" customWidth="1"/>
    <col min="1796" max="1796" width="6.90625" style="193" bestFit="1" customWidth="1"/>
    <col min="1797" max="1799" width="0" style="193" hidden="1" customWidth="1"/>
    <col min="1800" max="1800" width="7" style="193" customWidth="1"/>
    <col min="1801" max="1801" width="6.90625" style="193" customWidth="1"/>
    <col min="1802" max="1802" width="8.08984375" style="193" customWidth="1"/>
    <col min="1803" max="1805" width="0" style="193" hidden="1" customWidth="1"/>
    <col min="1806" max="1807" width="6.26953125" style="193" customWidth="1"/>
    <col min="1808" max="1808" width="6" style="193" bestFit="1" customWidth="1"/>
    <col min="1809" max="1810" width="6" style="193" customWidth="1"/>
    <col min="1811" max="1811" width="6" style="193" bestFit="1" customWidth="1"/>
    <col min="1812" max="1812" width="8.1796875" style="193" bestFit="1" customWidth="1"/>
    <col min="1813" max="1813" width="5.7265625" style="193" customWidth="1"/>
    <col min="1814" max="1814" width="0" style="193" hidden="1" customWidth="1"/>
    <col min="1815" max="1815" width="6.36328125" style="193" bestFit="1" customWidth="1"/>
    <col min="1816" max="1816" width="0" style="193" hidden="1" customWidth="1"/>
    <col min="1817" max="1817" width="4.54296875" style="193" bestFit="1" customWidth="1"/>
    <col min="1818" max="1818" width="4.54296875" style="193" customWidth="1"/>
    <col min="1819" max="1819" width="6.453125" style="193" customWidth="1"/>
    <col min="1820" max="1820" width="14.81640625" style="193" customWidth="1"/>
    <col min="1821" max="1821" width="4.1796875" style="193" customWidth="1"/>
    <col min="1822" max="1822" width="0" style="193" hidden="1" customWidth="1"/>
    <col min="1823" max="1823" width="4.1796875" style="193" bestFit="1" customWidth="1"/>
    <col min="1824" max="1824" width="0" style="193" hidden="1" customWidth="1"/>
    <col min="1825" max="1825" width="4.54296875" style="193" bestFit="1" customWidth="1"/>
    <col min="1826" max="1826" width="4" style="193" bestFit="1" customWidth="1"/>
    <col min="1827" max="1827" width="4.54296875" style="193" bestFit="1" customWidth="1"/>
    <col min="1828" max="1828" width="5.81640625" style="193" bestFit="1" customWidth="1"/>
    <col min="1829" max="1829" width="4.54296875" style="193" bestFit="1" customWidth="1"/>
    <col min="1830" max="1830" width="6.26953125" style="193" bestFit="1" customWidth="1"/>
    <col min="1831" max="1831" width="4.54296875" style="193" bestFit="1" customWidth="1"/>
    <col min="1832" max="1832" width="13.6328125" style="193" customWidth="1"/>
    <col min="1833" max="1833" width="24.81640625" style="193" bestFit="1" customWidth="1"/>
    <col min="1834" max="2048" width="8.26953125" style="193"/>
    <col min="2049" max="2049" width="10" style="193" customWidth="1"/>
    <col min="2050" max="2051" width="6.7265625" style="193" customWidth="1"/>
    <col min="2052" max="2052" width="6.90625" style="193" bestFit="1" customWidth="1"/>
    <col min="2053" max="2055" width="0" style="193" hidden="1" customWidth="1"/>
    <col min="2056" max="2056" width="7" style="193" customWidth="1"/>
    <col min="2057" max="2057" width="6.90625" style="193" customWidth="1"/>
    <col min="2058" max="2058" width="8.08984375" style="193" customWidth="1"/>
    <col min="2059" max="2061" width="0" style="193" hidden="1" customWidth="1"/>
    <col min="2062" max="2063" width="6.26953125" style="193" customWidth="1"/>
    <col min="2064" max="2064" width="6" style="193" bestFit="1" customWidth="1"/>
    <col min="2065" max="2066" width="6" style="193" customWidth="1"/>
    <col min="2067" max="2067" width="6" style="193" bestFit="1" customWidth="1"/>
    <col min="2068" max="2068" width="8.1796875" style="193" bestFit="1" customWidth="1"/>
    <col min="2069" max="2069" width="5.7265625" style="193" customWidth="1"/>
    <col min="2070" max="2070" width="0" style="193" hidden="1" customWidth="1"/>
    <col min="2071" max="2071" width="6.36328125" style="193" bestFit="1" customWidth="1"/>
    <col min="2072" max="2072" width="0" style="193" hidden="1" customWidth="1"/>
    <col min="2073" max="2073" width="4.54296875" style="193" bestFit="1" customWidth="1"/>
    <col min="2074" max="2074" width="4.54296875" style="193" customWidth="1"/>
    <col min="2075" max="2075" width="6.453125" style="193" customWidth="1"/>
    <col min="2076" max="2076" width="14.81640625" style="193" customWidth="1"/>
    <col min="2077" max="2077" width="4.1796875" style="193" customWidth="1"/>
    <col min="2078" max="2078" width="0" style="193" hidden="1" customWidth="1"/>
    <col min="2079" max="2079" width="4.1796875" style="193" bestFit="1" customWidth="1"/>
    <col min="2080" max="2080" width="0" style="193" hidden="1" customWidth="1"/>
    <col min="2081" max="2081" width="4.54296875" style="193" bestFit="1" customWidth="1"/>
    <col min="2082" max="2082" width="4" style="193" bestFit="1" customWidth="1"/>
    <col min="2083" max="2083" width="4.54296875" style="193" bestFit="1" customWidth="1"/>
    <col min="2084" max="2084" width="5.81640625" style="193" bestFit="1" customWidth="1"/>
    <col min="2085" max="2085" width="4.54296875" style="193" bestFit="1" customWidth="1"/>
    <col min="2086" max="2086" width="6.26953125" style="193" bestFit="1" customWidth="1"/>
    <col min="2087" max="2087" width="4.54296875" style="193" bestFit="1" customWidth="1"/>
    <col min="2088" max="2088" width="13.6328125" style="193" customWidth="1"/>
    <col min="2089" max="2089" width="24.81640625" style="193" bestFit="1" customWidth="1"/>
    <col min="2090" max="2304" width="8.26953125" style="193"/>
    <col min="2305" max="2305" width="10" style="193" customWidth="1"/>
    <col min="2306" max="2307" width="6.7265625" style="193" customWidth="1"/>
    <col min="2308" max="2308" width="6.90625" style="193" bestFit="1" customWidth="1"/>
    <col min="2309" max="2311" width="0" style="193" hidden="1" customWidth="1"/>
    <col min="2312" max="2312" width="7" style="193" customWidth="1"/>
    <col min="2313" max="2313" width="6.90625" style="193" customWidth="1"/>
    <col min="2314" max="2314" width="8.08984375" style="193" customWidth="1"/>
    <col min="2315" max="2317" width="0" style="193" hidden="1" customWidth="1"/>
    <col min="2318" max="2319" width="6.26953125" style="193" customWidth="1"/>
    <col min="2320" max="2320" width="6" style="193" bestFit="1" customWidth="1"/>
    <col min="2321" max="2322" width="6" style="193" customWidth="1"/>
    <col min="2323" max="2323" width="6" style="193" bestFit="1" customWidth="1"/>
    <col min="2324" max="2324" width="8.1796875" style="193" bestFit="1" customWidth="1"/>
    <col min="2325" max="2325" width="5.7265625" style="193" customWidth="1"/>
    <col min="2326" max="2326" width="0" style="193" hidden="1" customWidth="1"/>
    <col min="2327" max="2327" width="6.36328125" style="193" bestFit="1" customWidth="1"/>
    <col min="2328" max="2328" width="0" style="193" hidden="1" customWidth="1"/>
    <col min="2329" max="2329" width="4.54296875" style="193" bestFit="1" customWidth="1"/>
    <col min="2330" max="2330" width="4.54296875" style="193" customWidth="1"/>
    <col min="2331" max="2331" width="6.453125" style="193" customWidth="1"/>
    <col min="2332" max="2332" width="14.81640625" style="193" customWidth="1"/>
    <col min="2333" max="2333" width="4.1796875" style="193" customWidth="1"/>
    <col min="2334" max="2334" width="0" style="193" hidden="1" customWidth="1"/>
    <col min="2335" max="2335" width="4.1796875" style="193" bestFit="1" customWidth="1"/>
    <col min="2336" max="2336" width="0" style="193" hidden="1" customWidth="1"/>
    <col min="2337" max="2337" width="4.54296875" style="193" bestFit="1" customWidth="1"/>
    <col min="2338" max="2338" width="4" style="193" bestFit="1" customWidth="1"/>
    <col min="2339" max="2339" width="4.54296875" style="193" bestFit="1" customWidth="1"/>
    <col min="2340" max="2340" width="5.81640625" style="193" bestFit="1" customWidth="1"/>
    <col min="2341" max="2341" width="4.54296875" style="193" bestFit="1" customWidth="1"/>
    <col min="2342" max="2342" width="6.26953125" style="193" bestFit="1" customWidth="1"/>
    <col min="2343" max="2343" width="4.54296875" style="193" bestFit="1" customWidth="1"/>
    <col min="2344" max="2344" width="13.6328125" style="193" customWidth="1"/>
    <col min="2345" max="2345" width="24.81640625" style="193" bestFit="1" customWidth="1"/>
    <col min="2346" max="2560" width="8.26953125" style="193"/>
    <col min="2561" max="2561" width="10" style="193" customWidth="1"/>
    <col min="2562" max="2563" width="6.7265625" style="193" customWidth="1"/>
    <col min="2564" max="2564" width="6.90625" style="193" bestFit="1" customWidth="1"/>
    <col min="2565" max="2567" width="0" style="193" hidden="1" customWidth="1"/>
    <col min="2568" max="2568" width="7" style="193" customWidth="1"/>
    <col min="2569" max="2569" width="6.90625" style="193" customWidth="1"/>
    <col min="2570" max="2570" width="8.08984375" style="193" customWidth="1"/>
    <col min="2571" max="2573" width="0" style="193" hidden="1" customWidth="1"/>
    <col min="2574" max="2575" width="6.26953125" style="193" customWidth="1"/>
    <col min="2576" max="2576" width="6" style="193" bestFit="1" customWidth="1"/>
    <col min="2577" max="2578" width="6" style="193" customWidth="1"/>
    <col min="2579" max="2579" width="6" style="193" bestFit="1" customWidth="1"/>
    <col min="2580" max="2580" width="8.1796875" style="193" bestFit="1" customWidth="1"/>
    <col min="2581" max="2581" width="5.7265625" style="193" customWidth="1"/>
    <col min="2582" max="2582" width="0" style="193" hidden="1" customWidth="1"/>
    <col min="2583" max="2583" width="6.36328125" style="193" bestFit="1" customWidth="1"/>
    <col min="2584" max="2584" width="0" style="193" hidden="1" customWidth="1"/>
    <col min="2585" max="2585" width="4.54296875" style="193" bestFit="1" customWidth="1"/>
    <col min="2586" max="2586" width="4.54296875" style="193" customWidth="1"/>
    <col min="2587" max="2587" width="6.453125" style="193" customWidth="1"/>
    <col min="2588" max="2588" width="14.81640625" style="193" customWidth="1"/>
    <col min="2589" max="2589" width="4.1796875" style="193" customWidth="1"/>
    <col min="2590" max="2590" width="0" style="193" hidden="1" customWidth="1"/>
    <col min="2591" max="2591" width="4.1796875" style="193" bestFit="1" customWidth="1"/>
    <col min="2592" max="2592" width="0" style="193" hidden="1" customWidth="1"/>
    <col min="2593" max="2593" width="4.54296875" style="193" bestFit="1" customWidth="1"/>
    <col min="2594" max="2594" width="4" style="193" bestFit="1" customWidth="1"/>
    <col min="2595" max="2595" width="4.54296875" style="193" bestFit="1" customWidth="1"/>
    <col min="2596" max="2596" width="5.81640625" style="193" bestFit="1" customWidth="1"/>
    <col min="2597" max="2597" width="4.54296875" style="193" bestFit="1" customWidth="1"/>
    <col min="2598" max="2598" width="6.26953125" style="193" bestFit="1" customWidth="1"/>
    <col min="2599" max="2599" width="4.54296875" style="193" bestFit="1" customWidth="1"/>
    <col min="2600" max="2600" width="13.6328125" style="193" customWidth="1"/>
    <col min="2601" max="2601" width="24.81640625" style="193" bestFit="1" customWidth="1"/>
    <col min="2602" max="2816" width="8.26953125" style="193"/>
    <col min="2817" max="2817" width="10" style="193" customWidth="1"/>
    <col min="2818" max="2819" width="6.7265625" style="193" customWidth="1"/>
    <col min="2820" max="2820" width="6.90625" style="193" bestFit="1" customWidth="1"/>
    <col min="2821" max="2823" width="0" style="193" hidden="1" customWidth="1"/>
    <col min="2824" max="2824" width="7" style="193" customWidth="1"/>
    <col min="2825" max="2825" width="6.90625" style="193" customWidth="1"/>
    <col min="2826" max="2826" width="8.08984375" style="193" customWidth="1"/>
    <col min="2827" max="2829" width="0" style="193" hidden="1" customWidth="1"/>
    <col min="2830" max="2831" width="6.26953125" style="193" customWidth="1"/>
    <col min="2832" max="2832" width="6" style="193" bestFit="1" customWidth="1"/>
    <col min="2833" max="2834" width="6" style="193" customWidth="1"/>
    <col min="2835" max="2835" width="6" style="193" bestFit="1" customWidth="1"/>
    <col min="2836" max="2836" width="8.1796875" style="193" bestFit="1" customWidth="1"/>
    <col min="2837" max="2837" width="5.7265625" style="193" customWidth="1"/>
    <col min="2838" max="2838" width="0" style="193" hidden="1" customWidth="1"/>
    <col min="2839" max="2839" width="6.36328125" style="193" bestFit="1" customWidth="1"/>
    <col min="2840" max="2840" width="0" style="193" hidden="1" customWidth="1"/>
    <col min="2841" max="2841" width="4.54296875" style="193" bestFit="1" customWidth="1"/>
    <col min="2842" max="2842" width="4.54296875" style="193" customWidth="1"/>
    <col min="2843" max="2843" width="6.453125" style="193" customWidth="1"/>
    <col min="2844" max="2844" width="14.81640625" style="193" customWidth="1"/>
    <col min="2845" max="2845" width="4.1796875" style="193" customWidth="1"/>
    <col min="2846" max="2846" width="0" style="193" hidden="1" customWidth="1"/>
    <col min="2847" max="2847" width="4.1796875" style="193" bestFit="1" customWidth="1"/>
    <col min="2848" max="2848" width="0" style="193" hidden="1" customWidth="1"/>
    <col min="2849" max="2849" width="4.54296875" style="193" bestFit="1" customWidth="1"/>
    <col min="2850" max="2850" width="4" style="193" bestFit="1" customWidth="1"/>
    <col min="2851" max="2851" width="4.54296875" style="193" bestFit="1" customWidth="1"/>
    <col min="2852" max="2852" width="5.81640625" style="193" bestFit="1" customWidth="1"/>
    <col min="2853" max="2853" width="4.54296875" style="193" bestFit="1" customWidth="1"/>
    <col min="2854" max="2854" width="6.26953125" style="193" bestFit="1" customWidth="1"/>
    <col min="2855" max="2855" width="4.54296875" style="193" bestFit="1" customWidth="1"/>
    <col min="2856" max="2856" width="13.6328125" style="193" customWidth="1"/>
    <col min="2857" max="2857" width="24.81640625" style="193" bestFit="1" customWidth="1"/>
    <col min="2858" max="3072" width="8.26953125" style="193"/>
    <col min="3073" max="3073" width="10" style="193" customWidth="1"/>
    <col min="3074" max="3075" width="6.7265625" style="193" customWidth="1"/>
    <col min="3076" max="3076" width="6.90625" style="193" bestFit="1" customWidth="1"/>
    <col min="3077" max="3079" width="0" style="193" hidden="1" customWidth="1"/>
    <col min="3080" max="3080" width="7" style="193" customWidth="1"/>
    <col min="3081" max="3081" width="6.90625" style="193" customWidth="1"/>
    <col min="3082" max="3082" width="8.08984375" style="193" customWidth="1"/>
    <col min="3083" max="3085" width="0" style="193" hidden="1" customWidth="1"/>
    <col min="3086" max="3087" width="6.26953125" style="193" customWidth="1"/>
    <col min="3088" max="3088" width="6" style="193" bestFit="1" customWidth="1"/>
    <col min="3089" max="3090" width="6" style="193" customWidth="1"/>
    <col min="3091" max="3091" width="6" style="193" bestFit="1" customWidth="1"/>
    <col min="3092" max="3092" width="8.1796875" style="193" bestFit="1" customWidth="1"/>
    <col min="3093" max="3093" width="5.7265625" style="193" customWidth="1"/>
    <col min="3094" max="3094" width="0" style="193" hidden="1" customWidth="1"/>
    <col min="3095" max="3095" width="6.36328125" style="193" bestFit="1" customWidth="1"/>
    <col min="3096" max="3096" width="0" style="193" hidden="1" customWidth="1"/>
    <col min="3097" max="3097" width="4.54296875" style="193" bestFit="1" customWidth="1"/>
    <col min="3098" max="3098" width="4.54296875" style="193" customWidth="1"/>
    <col min="3099" max="3099" width="6.453125" style="193" customWidth="1"/>
    <col min="3100" max="3100" width="14.81640625" style="193" customWidth="1"/>
    <col min="3101" max="3101" width="4.1796875" style="193" customWidth="1"/>
    <col min="3102" max="3102" width="0" style="193" hidden="1" customWidth="1"/>
    <col min="3103" max="3103" width="4.1796875" style="193" bestFit="1" customWidth="1"/>
    <col min="3104" max="3104" width="0" style="193" hidden="1" customWidth="1"/>
    <col min="3105" max="3105" width="4.54296875" style="193" bestFit="1" customWidth="1"/>
    <col min="3106" max="3106" width="4" style="193" bestFit="1" customWidth="1"/>
    <col min="3107" max="3107" width="4.54296875" style="193" bestFit="1" customWidth="1"/>
    <col min="3108" max="3108" width="5.81640625" style="193" bestFit="1" customWidth="1"/>
    <col min="3109" max="3109" width="4.54296875" style="193" bestFit="1" customWidth="1"/>
    <col min="3110" max="3110" width="6.26953125" style="193" bestFit="1" customWidth="1"/>
    <col min="3111" max="3111" width="4.54296875" style="193" bestFit="1" customWidth="1"/>
    <col min="3112" max="3112" width="13.6328125" style="193" customWidth="1"/>
    <col min="3113" max="3113" width="24.81640625" style="193" bestFit="1" customWidth="1"/>
    <col min="3114" max="3328" width="8.26953125" style="193"/>
    <col min="3329" max="3329" width="10" style="193" customWidth="1"/>
    <col min="3330" max="3331" width="6.7265625" style="193" customWidth="1"/>
    <col min="3332" max="3332" width="6.90625" style="193" bestFit="1" customWidth="1"/>
    <col min="3333" max="3335" width="0" style="193" hidden="1" customWidth="1"/>
    <col min="3336" max="3336" width="7" style="193" customWidth="1"/>
    <col min="3337" max="3337" width="6.90625" style="193" customWidth="1"/>
    <col min="3338" max="3338" width="8.08984375" style="193" customWidth="1"/>
    <col min="3339" max="3341" width="0" style="193" hidden="1" customWidth="1"/>
    <col min="3342" max="3343" width="6.26953125" style="193" customWidth="1"/>
    <col min="3344" max="3344" width="6" style="193" bestFit="1" customWidth="1"/>
    <col min="3345" max="3346" width="6" style="193" customWidth="1"/>
    <col min="3347" max="3347" width="6" style="193" bestFit="1" customWidth="1"/>
    <col min="3348" max="3348" width="8.1796875" style="193" bestFit="1" customWidth="1"/>
    <col min="3349" max="3349" width="5.7265625" style="193" customWidth="1"/>
    <col min="3350" max="3350" width="0" style="193" hidden="1" customWidth="1"/>
    <col min="3351" max="3351" width="6.36328125" style="193" bestFit="1" customWidth="1"/>
    <col min="3352" max="3352" width="0" style="193" hidden="1" customWidth="1"/>
    <col min="3353" max="3353" width="4.54296875" style="193" bestFit="1" customWidth="1"/>
    <col min="3354" max="3354" width="4.54296875" style="193" customWidth="1"/>
    <col min="3355" max="3355" width="6.453125" style="193" customWidth="1"/>
    <col min="3356" max="3356" width="14.81640625" style="193" customWidth="1"/>
    <col min="3357" max="3357" width="4.1796875" style="193" customWidth="1"/>
    <col min="3358" max="3358" width="0" style="193" hidden="1" customWidth="1"/>
    <col min="3359" max="3359" width="4.1796875" style="193" bestFit="1" customWidth="1"/>
    <col min="3360" max="3360" width="0" style="193" hidden="1" customWidth="1"/>
    <col min="3361" max="3361" width="4.54296875" style="193" bestFit="1" customWidth="1"/>
    <col min="3362" max="3362" width="4" style="193" bestFit="1" customWidth="1"/>
    <col min="3363" max="3363" width="4.54296875" style="193" bestFit="1" customWidth="1"/>
    <col min="3364" max="3364" width="5.81640625" style="193" bestFit="1" customWidth="1"/>
    <col min="3365" max="3365" width="4.54296875" style="193" bestFit="1" customWidth="1"/>
    <col min="3366" max="3366" width="6.26953125" style="193" bestFit="1" customWidth="1"/>
    <col min="3367" max="3367" width="4.54296875" style="193" bestFit="1" customWidth="1"/>
    <col min="3368" max="3368" width="13.6328125" style="193" customWidth="1"/>
    <col min="3369" max="3369" width="24.81640625" style="193" bestFit="1" customWidth="1"/>
    <col min="3370" max="3584" width="8.26953125" style="193"/>
    <col min="3585" max="3585" width="10" style="193" customWidth="1"/>
    <col min="3586" max="3587" width="6.7265625" style="193" customWidth="1"/>
    <col min="3588" max="3588" width="6.90625" style="193" bestFit="1" customWidth="1"/>
    <col min="3589" max="3591" width="0" style="193" hidden="1" customWidth="1"/>
    <col min="3592" max="3592" width="7" style="193" customWidth="1"/>
    <col min="3593" max="3593" width="6.90625" style="193" customWidth="1"/>
    <col min="3594" max="3594" width="8.08984375" style="193" customWidth="1"/>
    <col min="3595" max="3597" width="0" style="193" hidden="1" customWidth="1"/>
    <col min="3598" max="3599" width="6.26953125" style="193" customWidth="1"/>
    <col min="3600" max="3600" width="6" style="193" bestFit="1" customWidth="1"/>
    <col min="3601" max="3602" width="6" style="193" customWidth="1"/>
    <col min="3603" max="3603" width="6" style="193" bestFit="1" customWidth="1"/>
    <col min="3604" max="3604" width="8.1796875" style="193" bestFit="1" customWidth="1"/>
    <col min="3605" max="3605" width="5.7265625" style="193" customWidth="1"/>
    <col min="3606" max="3606" width="0" style="193" hidden="1" customWidth="1"/>
    <col min="3607" max="3607" width="6.36328125" style="193" bestFit="1" customWidth="1"/>
    <col min="3608" max="3608" width="0" style="193" hidden="1" customWidth="1"/>
    <col min="3609" max="3609" width="4.54296875" style="193" bestFit="1" customWidth="1"/>
    <col min="3610" max="3610" width="4.54296875" style="193" customWidth="1"/>
    <col min="3611" max="3611" width="6.453125" style="193" customWidth="1"/>
    <col min="3612" max="3612" width="14.81640625" style="193" customWidth="1"/>
    <col min="3613" max="3613" width="4.1796875" style="193" customWidth="1"/>
    <col min="3614" max="3614" width="0" style="193" hidden="1" customWidth="1"/>
    <col min="3615" max="3615" width="4.1796875" style="193" bestFit="1" customWidth="1"/>
    <col min="3616" max="3616" width="0" style="193" hidden="1" customWidth="1"/>
    <col min="3617" max="3617" width="4.54296875" style="193" bestFit="1" customWidth="1"/>
    <col min="3618" max="3618" width="4" style="193" bestFit="1" customWidth="1"/>
    <col min="3619" max="3619" width="4.54296875" style="193" bestFit="1" customWidth="1"/>
    <col min="3620" max="3620" width="5.81640625" style="193" bestFit="1" customWidth="1"/>
    <col min="3621" max="3621" width="4.54296875" style="193" bestFit="1" customWidth="1"/>
    <col min="3622" max="3622" width="6.26953125" style="193" bestFit="1" customWidth="1"/>
    <col min="3623" max="3623" width="4.54296875" style="193" bestFit="1" customWidth="1"/>
    <col min="3624" max="3624" width="13.6328125" style="193" customWidth="1"/>
    <col min="3625" max="3625" width="24.81640625" style="193" bestFit="1" customWidth="1"/>
    <col min="3626" max="3840" width="8.26953125" style="193"/>
    <col min="3841" max="3841" width="10" style="193" customWidth="1"/>
    <col min="3842" max="3843" width="6.7265625" style="193" customWidth="1"/>
    <col min="3844" max="3844" width="6.90625" style="193" bestFit="1" customWidth="1"/>
    <col min="3845" max="3847" width="0" style="193" hidden="1" customWidth="1"/>
    <col min="3848" max="3848" width="7" style="193" customWidth="1"/>
    <col min="3849" max="3849" width="6.90625" style="193" customWidth="1"/>
    <col min="3850" max="3850" width="8.08984375" style="193" customWidth="1"/>
    <col min="3851" max="3853" width="0" style="193" hidden="1" customWidth="1"/>
    <col min="3854" max="3855" width="6.26953125" style="193" customWidth="1"/>
    <col min="3856" max="3856" width="6" style="193" bestFit="1" customWidth="1"/>
    <col min="3857" max="3858" width="6" style="193" customWidth="1"/>
    <col min="3859" max="3859" width="6" style="193" bestFit="1" customWidth="1"/>
    <col min="3860" max="3860" width="8.1796875" style="193" bestFit="1" customWidth="1"/>
    <col min="3861" max="3861" width="5.7265625" style="193" customWidth="1"/>
    <col min="3862" max="3862" width="0" style="193" hidden="1" customWidth="1"/>
    <col min="3863" max="3863" width="6.36328125" style="193" bestFit="1" customWidth="1"/>
    <col min="3864" max="3864" width="0" style="193" hidden="1" customWidth="1"/>
    <col min="3865" max="3865" width="4.54296875" style="193" bestFit="1" customWidth="1"/>
    <col min="3866" max="3866" width="4.54296875" style="193" customWidth="1"/>
    <col min="3867" max="3867" width="6.453125" style="193" customWidth="1"/>
    <col min="3868" max="3868" width="14.81640625" style="193" customWidth="1"/>
    <col min="3869" max="3869" width="4.1796875" style="193" customWidth="1"/>
    <col min="3870" max="3870" width="0" style="193" hidden="1" customWidth="1"/>
    <col min="3871" max="3871" width="4.1796875" style="193" bestFit="1" customWidth="1"/>
    <col min="3872" max="3872" width="0" style="193" hidden="1" customWidth="1"/>
    <col min="3873" max="3873" width="4.54296875" style="193" bestFit="1" customWidth="1"/>
    <col min="3874" max="3874" width="4" style="193" bestFit="1" customWidth="1"/>
    <col min="3875" max="3875" width="4.54296875" style="193" bestFit="1" customWidth="1"/>
    <col min="3876" max="3876" width="5.81640625" style="193" bestFit="1" customWidth="1"/>
    <col min="3877" max="3877" width="4.54296875" style="193" bestFit="1" customWidth="1"/>
    <col min="3878" max="3878" width="6.26953125" style="193" bestFit="1" customWidth="1"/>
    <col min="3879" max="3879" width="4.54296875" style="193" bestFit="1" customWidth="1"/>
    <col min="3880" max="3880" width="13.6328125" style="193" customWidth="1"/>
    <col min="3881" max="3881" width="24.81640625" style="193" bestFit="1" customWidth="1"/>
    <col min="3882" max="4096" width="8.26953125" style="193"/>
    <col min="4097" max="4097" width="10" style="193" customWidth="1"/>
    <col min="4098" max="4099" width="6.7265625" style="193" customWidth="1"/>
    <col min="4100" max="4100" width="6.90625" style="193" bestFit="1" customWidth="1"/>
    <col min="4101" max="4103" width="0" style="193" hidden="1" customWidth="1"/>
    <col min="4104" max="4104" width="7" style="193" customWidth="1"/>
    <col min="4105" max="4105" width="6.90625" style="193" customWidth="1"/>
    <col min="4106" max="4106" width="8.08984375" style="193" customWidth="1"/>
    <col min="4107" max="4109" width="0" style="193" hidden="1" customWidth="1"/>
    <col min="4110" max="4111" width="6.26953125" style="193" customWidth="1"/>
    <col min="4112" max="4112" width="6" style="193" bestFit="1" customWidth="1"/>
    <col min="4113" max="4114" width="6" style="193" customWidth="1"/>
    <col min="4115" max="4115" width="6" style="193" bestFit="1" customWidth="1"/>
    <col min="4116" max="4116" width="8.1796875" style="193" bestFit="1" customWidth="1"/>
    <col min="4117" max="4117" width="5.7265625" style="193" customWidth="1"/>
    <col min="4118" max="4118" width="0" style="193" hidden="1" customWidth="1"/>
    <col min="4119" max="4119" width="6.36328125" style="193" bestFit="1" customWidth="1"/>
    <col min="4120" max="4120" width="0" style="193" hidden="1" customWidth="1"/>
    <col min="4121" max="4121" width="4.54296875" style="193" bestFit="1" customWidth="1"/>
    <col min="4122" max="4122" width="4.54296875" style="193" customWidth="1"/>
    <col min="4123" max="4123" width="6.453125" style="193" customWidth="1"/>
    <col min="4124" max="4124" width="14.81640625" style="193" customWidth="1"/>
    <col min="4125" max="4125" width="4.1796875" style="193" customWidth="1"/>
    <col min="4126" max="4126" width="0" style="193" hidden="1" customWidth="1"/>
    <col min="4127" max="4127" width="4.1796875" style="193" bestFit="1" customWidth="1"/>
    <col min="4128" max="4128" width="0" style="193" hidden="1" customWidth="1"/>
    <col min="4129" max="4129" width="4.54296875" style="193" bestFit="1" customWidth="1"/>
    <col min="4130" max="4130" width="4" style="193" bestFit="1" customWidth="1"/>
    <col min="4131" max="4131" width="4.54296875" style="193" bestFit="1" customWidth="1"/>
    <col min="4132" max="4132" width="5.81640625" style="193" bestFit="1" customWidth="1"/>
    <col min="4133" max="4133" width="4.54296875" style="193" bestFit="1" customWidth="1"/>
    <col min="4134" max="4134" width="6.26953125" style="193" bestFit="1" customWidth="1"/>
    <col min="4135" max="4135" width="4.54296875" style="193" bestFit="1" customWidth="1"/>
    <col min="4136" max="4136" width="13.6328125" style="193" customWidth="1"/>
    <col min="4137" max="4137" width="24.81640625" style="193" bestFit="1" customWidth="1"/>
    <col min="4138" max="4352" width="8.26953125" style="193"/>
    <col min="4353" max="4353" width="10" style="193" customWidth="1"/>
    <col min="4354" max="4355" width="6.7265625" style="193" customWidth="1"/>
    <col min="4356" max="4356" width="6.90625" style="193" bestFit="1" customWidth="1"/>
    <col min="4357" max="4359" width="0" style="193" hidden="1" customWidth="1"/>
    <col min="4360" max="4360" width="7" style="193" customWidth="1"/>
    <col min="4361" max="4361" width="6.90625" style="193" customWidth="1"/>
    <col min="4362" max="4362" width="8.08984375" style="193" customWidth="1"/>
    <col min="4363" max="4365" width="0" style="193" hidden="1" customWidth="1"/>
    <col min="4366" max="4367" width="6.26953125" style="193" customWidth="1"/>
    <col min="4368" max="4368" width="6" style="193" bestFit="1" customWidth="1"/>
    <col min="4369" max="4370" width="6" style="193" customWidth="1"/>
    <col min="4371" max="4371" width="6" style="193" bestFit="1" customWidth="1"/>
    <col min="4372" max="4372" width="8.1796875" style="193" bestFit="1" customWidth="1"/>
    <col min="4373" max="4373" width="5.7265625" style="193" customWidth="1"/>
    <col min="4374" max="4374" width="0" style="193" hidden="1" customWidth="1"/>
    <col min="4375" max="4375" width="6.36328125" style="193" bestFit="1" customWidth="1"/>
    <col min="4376" max="4376" width="0" style="193" hidden="1" customWidth="1"/>
    <col min="4377" max="4377" width="4.54296875" style="193" bestFit="1" customWidth="1"/>
    <col min="4378" max="4378" width="4.54296875" style="193" customWidth="1"/>
    <col min="4379" max="4379" width="6.453125" style="193" customWidth="1"/>
    <col min="4380" max="4380" width="14.81640625" style="193" customWidth="1"/>
    <col min="4381" max="4381" width="4.1796875" style="193" customWidth="1"/>
    <col min="4382" max="4382" width="0" style="193" hidden="1" customWidth="1"/>
    <col min="4383" max="4383" width="4.1796875" style="193" bestFit="1" customWidth="1"/>
    <col min="4384" max="4384" width="0" style="193" hidden="1" customWidth="1"/>
    <col min="4385" max="4385" width="4.54296875" style="193" bestFit="1" customWidth="1"/>
    <col min="4386" max="4386" width="4" style="193" bestFit="1" customWidth="1"/>
    <col min="4387" max="4387" width="4.54296875" style="193" bestFit="1" customWidth="1"/>
    <col min="4388" max="4388" width="5.81640625" style="193" bestFit="1" customWidth="1"/>
    <col min="4389" max="4389" width="4.54296875" style="193" bestFit="1" customWidth="1"/>
    <col min="4390" max="4390" width="6.26953125" style="193" bestFit="1" customWidth="1"/>
    <col min="4391" max="4391" width="4.54296875" style="193" bestFit="1" customWidth="1"/>
    <col min="4392" max="4392" width="13.6328125" style="193" customWidth="1"/>
    <col min="4393" max="4393" width="24.81640625" style="193" bestFit="1" customWidth="1"/>
    <col min="4394" max="4608" width="8.26953125" style="193"/>
    <col min="4609" max="4609" width="10" style="193" customWidth="1"/>
    <col min="4610" max="4611" width="6.7265625" style="193" customWidth="1"/>
    <col min="4612" max="4612" width="6.90625" style="193" bestFit="1" customWidth="1"/>
    <col min="4613" max="4615" width="0" style="193" hidden="1" customWidth="1"/>
    <col min="4616" max="4616" width="7" style="193" customWidth="1"/>
    <col min="4617" max="4617" width="6.90625" style="193" customWidth="1"/>
    <col min="4618" max="4618" width="8.08984375" style="193" customWidth="1"/>
    <col min="4619" max="4621" width="0" style="193" hidden="1" customWidth="1"/>
    <col min="4622" max="4623" width="6.26953125" style="193" customWidth="1"/>
    <col min="4624" max="4624" width="6" style="193" bestFit="1" customWidth="1"/>
    <col min="4625" max="4626" width="6" style="193" customWidth="1"/>
    <col min="4627" max="4627" width="6" style="193" bestFit="1" customWidth="1"/>
    <col min="4628" max="4628" width="8.1796875" style="193" bestFit="1" customWidth="1"/>
    <col min="4629" max="4629" width="5.7265625" style="193" customWidth="1"/>
    <col min="4630" max="4630" width="0" style="193" hidden="1" customWidth="1"/>
    <col min="4631" max="4631" width="6.36328125" style="193" bestFit="1" customWidth="1"/>
    <col min="4632" max="4632" width="0" style="193" hidden="1" customWidth="1"/>
    <col min="4633" max="4633" width="4.54296875" style="193" bestFit="1" customWidth="1"/>
    <col min="4634" max="4634" width="4.54296875" style="193" customWidth="1"/>
    <col min="4635" max="4635" width="6.453125" style="193" customWidth="1"/>
    <col min="4636" max="4636" width="14.81640625" style="193" customWidth="1"/>
    <col min="4637" max="4637" width="4.1796875" style="193" customWidth="1"/>
    <col min="4638" max="4638" width="0" style="193" hidden="1" customWidth="1"/>
    <col min="4639" max="4639" width="4.1796875" style="193" bestFit="1" customWidth="1"/>
    <col min="4640" max="4640" width="0" style="193" hidden="1" customWidth="1"/>
    <col min="4641" max="4641" width="4.54296875" style="193" bestFit="1" customWidth="1"/>
    <col min="4642" max="4642" width="4" style="193" bestFit="1" customWidth="1"/>
    <col min="4643" max="4643" width="4.54296875" style="193" bestFit="1" customWidth="1"/>
    <col min="4644" max="4644" width="5.81640625" style="193" bestFit="1" customWidth="1"/>
    <col min="4645" max="4645" width="4.54296875" style="193" bestFit="1" customWidth="1"/>
    <col min="4646" max="4646" width="6.26953125" style="193" bestFit="1" customWidth="1"/>
    <col min="4647" max="4647" width="4.54296875" style="193" bestFit="1" customWidth="1"/>
    <col min="4648" max="4648" width="13.6328125" style="193" customWidth="1"/>
    <col min="4649" max="4649" width="24.81640625" style="193" bestFit="1" customWidth="1"/>
    <col min="4650" max="4864" width="8.26953125" style="193"/>
    <col min="4865" max="4865" width="10" style="193" customWidth="1"/>
    <col min="4866" max="4867" width="6.7265625" style="193" customWidth="1"/>
    <col min="4868" max="4868" width="6.90625" style="193" bestFit="1" customWidth="1"/>
    <col min="4869" max="4871" width="0" style="193" hidden="1" customWidth="1"/>
    <col min="4872" max="4872" width="7" style="193" customWidth="1"/>
    <col min="4873" max="4873" width="6.90625" style="193" customWidth="1"/>
    <col min="4874" max="4874" width="8.08984375" style="193" customWidth="1"/>
    <col min="4875" max="4877" width="0" style="193" hidden="1" customWidth="1"/>
    <col min="4878" max="4879" width="6.26953125" style="193" customWidth="1"/>
    <col min="4880" max="4880" width="6" style="193" bestFit="1" customWidth="1"/>
    <col min="4881" max="4882" width="6" style="193" customWidth="1"/>
    <col min="4883" max="4883" width="6" style="193" bestFit="1" customWidth="1"/>
    <col min="4884" max="4884" width="8.1796875" style="193" bestFit="1" customWidth="1"/>
    <col min="4885" max="4885" width="5.7265625" style="193" customWidth="1"/>
    <col min="4886" max="4886" width="0" style="193" hidden="1" customWidth="1"/>
    <col min="4887" max="4887" width="6.36328125" style="193" bestFit="1" customWidth="1"/>
    <col min="4888" max="4888" width="0" style="193" hidden="1" customWidth="1"/>
    <col min="4889" max="4889" width="4.54296875" style="193" bestFit="1" customWidth="1"/>
    <col min="4890" max="4890" width="4.54296875" style="193" customWidth="1"/>
    <col min="4891" max="4891" width="6.453125" style="193" customWidth="1"/>
    <col min="4892" max="4892" width="14.81640625" style="193" customWidth="1"/>
    <col min="4893" max="4893" width="4.1796875" style="193" customWidth="1"/>
    <col min="4894" max="4894" width="0" style="193" hidden="1" customWidth="1"/>
    <col min="4895" max="4895" width="4.1796875" style="193" bestFit="1" customWidth="1"/>
    <col min="4896" max="4896" width="0" style="193" hidden="1" customWidth="1"/>
    <col min="4897" max="4897" width="4.54296875" style="193" bestFit="1" customWidth="1"/>
    <col min="4898" max="4898" width="4" style="193" bestFit="1" customWidth="1"/>
    <col min="4899" max="4899" width="4.54296875" style="193" bestFit="1" customWidth="1"/>
    <col min="4900" max="4900" width="5.81640625" style="193" bestFit="1" customWidth="1"/>
    <col min="4901" max="4901" width="4.54296875" style="193" bestFit="1" customWidth="1"/>
    <col min="4902" max="4902" width="6.26953125" style="193" bestFit="1" customWidth="1"/>
    <col min="4903" max="4903" width="4.54296875" style="193" bestFit="1" customWidth="1"/>
    <col min="4904" max="4904" width="13.6328125" style="193" customWidth="1"/>
    <col min="4905" max="4905" width="24.81640625" style="193" bestFit="1" customWidth="1"/>
    <col min="4906" max="5120" width="8.26953125" style="193"/>
    <col min="5121" max="5121" width="10" style="193" customWidth="1"/>
    <col min="5122" max="5123" width="6.7265625" style="193" customWidth="1"/>
    <col min="5124" max="5124" width="6.90625" style="193" bestFit="1" customWidth="1"/>
    <col min="5125" max="5127" width="0" style="193" hidden="1" customWidth="1"/>
    <col min="5128" max="5128" width="7" style="193" customWidth="1"/>
    <col min="5129" max="5129" width="6.90625" style="193" customWidth="1"/>
    <col min="5130" max="5130" width="8.08984375" style="193" customWidth="1"/>
    <col min="5131" max="5133" width="0" style="193" hidden="1" customWidth="1"/>
    <col min="5134" max="5135" width="6.26953125" style="193" customWidth="1"/>
    <col min="5136" max="5136" width="6" style="193" bestFit="1" customWidth="1"/>
    <col min="5137" max="5138" width="6" style="193" customWidth="1"/>
    <col min="5139" max="5139" width="6" style="193" bestFit="1" customWidth="1"/>
    <col min="5140" max="5140" width="8.1796875" style="193" bestFit="1" customWidth="1"/>
    <col min="5141" max="5141" width="5.7265625" style="193" customWidth="1"/>
    <col min="5142" max="5142" width="0" style="193" hidden="1" customWidth="1"/>
    <col min="5143" max="5143" width="6.36328125" style="193" bestFit="1" customWidth="1"/>
    <col min="5144" max="5144" width="0" style="193" hidden="1" customWidth="1"/>
    <col min="5145" max="5145" width="4.54296875" style="193" bestFit="1" customWidth="1"/>
    <col min="5146" max="5146" width="4.54296875" style="193" customWidth="1"/>
    <col min="5147" max="5147" width="6.453125" style="193" customWidth="1"/>
    <col min="5148" max="5148" width="14.81640625" style="193" customWidth="1"/>
    <col min="5149" max="5149" width="4.1796875" style="193" customWidth="1"/>
    <col min="5150" max="5150" width="0" style="193" hidden="1" customWidth="1"/>
    <col min="5151" max="5151" width="4.1796875" style="193" bestFit="1" customWidth="1"/>
    <col min="5152" max="5152" width="0" style="193" hidden="1" customWidth="1"/>
    <col min="5153" max="5153" width="4.54296875" style="193" bestFit="1" customWidth="1"/>
    <col min="5154" max="5154" width="4" style="193" bestFit="1" customWidth="1"/>
    <col min="5155" max="5155" width="4.54296875" style="193" bestFit="1" customWidth="1"/>
    <col min="5156" max="5156" width="5.81640625" style="193" bestFit="1" customWidth="1"/>
    <col min="5157" max="5157" width="4.54296875" style="193" bestFit="1" customWidth="1"/>
    <col min="5158" max="5158" width="6.26953125" style="193" bestFit="1" customWidth="1"/>
    <col min="5159" max="5159" width="4.54296875" style="193" bestFit="1" customWidth="1"/>
    <col min="5160" max="5160" width="13.6328125" style="193" customWidth="1"/>
    <col min="5161" max="5161" width="24.81640625" style="193" bestFit="1" customWidth="1"/>
    <col min="5162" max="5376" width="8.26953125" style="193"/>
    <col min="5377" max="5377" width="10" style="193" customWidth="1"/>
    <col min="5378" max="5379" width="6.7265625" style="193" customWidth="1"/>
    <col min="5380" max="5380" width="6.90625" style="193" bestFit="1" customWidth="1"/>
    <col min="5381" max="5383" width="0" style="193" hidden="1" customWidth="1"/>
    <col min="5384" max="5384" width="7" style="193" customWidth="1"/>
    <col min="5385" max="5385" width="6.90625" style="193" customWidth="1"/>
    <col min="5386" max="5386" width="8.08984375" style="193" customWidth="1"/>
    <col min="5387" max="5389" width="0" style="193" hidden="1" customWidth="1"/>
    <col min="5390" max="5391" width="6.26953125" style="193" customWidth="1"/>
    <col min="5392" max="5392" width="6" style="193" bestFit="1" customWidth="1"/>
    <col min="5393" max="5394" width="6" style="193" customWidth="1"/>
    <col min="5395" max="5395" width="6" style="193" bestFit="1" customWidth="1"/>
    <col min="5396" max="5396" width="8.1796875" style="193" bestFit="1" customWidth="1"/>
    <col min="5397" max="5397" width="5.7265625" style="193" customWidth="1"/>
    <col min="5398" max="5398" width="0" style="193" hidden="1" customWidth="1"/>
    <col min="5399" max="5399" width="6.36328125" style="193" bestFit="1" customWidth="1"/>
    <col min="5400" max="5400" width="0" style="193" hidden="1" customWidth="1"/>
    <col min="5401" max="5401" width="4.54296875" style="193" bestFit="1" customWidth="1"/>
    <col min="5402" max="5402" width="4.54296875" style="193" customWidth="1"/>
    <col min="5403" max="5403" width="6.453125" style="193" customWidth="1"/>
    <col min="5404" max="5404" width="14.81640625" style="193" customWidth="1"/>
    <col min="5405" max="5405" width="4.1796875" style="193" customWidth="1"/>
    <col min="5406" max="5406" width="0" style="193" hidden="1" customWidth="1"/>
    <col min="5407" max="5407" width="4.1796875" style="193" bestFit="1" customWidth="1"/>
    <col min="5408" max="5408" width="0" style="193" hidden="1" customWidth="1"/>
    <col min="5409" max="5409" width="4.54296875" style="193" bestFit="1" customWidth="1"/>
    <col min="5410" max="5410" width="4" style="193" bestFit="1" customWidth="1"/>
    <col min="5411" max="5411" width="4.54296875" style="193" bestFit="1" customWidth="1"/>
    <col min="5412" max="5412" width="5.81640625" style="193" bestFit="1" customWidth="1"/>
    <col min="5413" max="5413" width="4.54296875" style="193" bestFit="1" customWidth="1"/>
    <col min="5414" max="5414" width="6.26953125" style="193" bestFit="1" customWidth="1"/>
    <col min="5415" max="5415" width="4.54296875" style="193" bestFit="1" customWidth="1"/>
    <col min="5416" max="5416" width="13.6328125" style="193" customWidth="1"/>
    <col min="5417" max="5417" width="24.81640625" style="193" bestFit="1" customWidth="1"/>
    <col min="5418" max="5632" width="8.26953125" style="193"/>
    <col min="5633" max="5633" width="10" style="193" customWidth="1"/>
    <col min="5634" max="5635" width="6.7265625" style="193" customWidth="1"/>
    <col min="5636" max="5636" width="6.90625" style="193" bestFit="1" customWidth="1"/>
    <col min="5637" max="5639" width="0" style="193" hidden="1" customWidth="1"/>
    <col min="5640" max="5640" width="7" style="193" customWidth="1"/>
    <col min="5641" max="5641" width="6.90625" style="193" customWidth="1"/>
    <col min="5642" max="5642" width="8.08984375" style="193" customWidth="1"/>
    <col min="5643" max="5645" width="0" style="193" hidden="1" customWidth="1"/>
    <col min="5646" max="5647" width="6.26953125" style="193" customWidth="1"/>
    <col min="5648" max="5648" width="6" style="193" bestFit="1" customWidth="1"/>
    <col min="5649" max="5650" width="6" style="193" customWidth="1"/>
    <col min="5651" max="5651" width="6" style="193" bestFit="1" customWidth="1"/>
    <col min="5652" max="5652" width="8.1796875" style="193" bestFit="1" customWidth="1"/>
    <col min="5653" max="5653" width="5.7265625" style="193" customWidth="1"/>
    <col min="5654" max="5654" width="0" style="193" hidden="1" customWidth="1"/>
    <col min="5655" max="5655" width="6.36328125" style="193" bestFit="1" customWidth="1"/>
    <col min="5656" max="5656" width="0" style="193" hidden="1" customWidth="1"/>
    <col min="5657" max="5657" width="4.54296875" style="193" bestFit="1" customWidth="1"/>
    <col min="5658" max="5658" width="4.54296875" style="193" customWidth="1"/>
    <col min="5659" max="5659" width="6.453125" style="193" customWidth="1"/>
    <col min="5660" max="5660" width="14.81640625" style="193" customWidth="1"/>
    <col min="5661" max="5661" width="4.1796875" style="193" customWidth="1"/>
    <col min="5662" max="5662" width="0" style="193" hidden="1" customWidth="1"/>
    <col min="5663" max="5663" width="4.1796875" style="193" bestFit="1" customWidth="1"/>
    <col min="5664" max="5664" width="0" style="193" hidden="1" customWidth="1"/>
    <col min="5665" max="5665" width="4.54296875" style="193" bestFit="1" customWidth="1"/>
    <col min="5666" max="5666" width="4" style="193" bestFit="1" customWidth="1"/>
    <col min="5667" max="5667" width="4.54296875" style="193" bestFit="1" customWidth="1"/>
    <col min="5668" max="5668" width="5.81640625" style="193" bestFit="1" customWidth="1"/>
    <col min="5669" max="5669" width="4.54296875" style="193" bestFit="1" customWidth="1"/>
    <col min="5670" max="5670" width="6.26953125" style="193" bestFit="1" customWidth="1"/>
    <col min="5671" max="5671" width="4.54296875" style="193" bestFit="1" customWidth="1"/>
    <col min="5672" max="5672" width="13.6328125" style="193" customWidth="1"/>
    <col min="5673" max="5673" width="24.81640625" style="193" bestFit="1" customWidth="1"/>
    <col min="5674" max="5888" width="8.26953125" style="193"/>
    <col min="5889" max="5889" width="10" style="193" customWidth="1"/>
    <col min="5890" max="5891" width="6.7265625" style="193" customWidth="1"/>
    <col min="5892" max="5892" width="6.90625" style="193" bestFit="1" customWidth="1"/>
    <col min="5893" max="5895" width="0" style="193" hidden="1" customWidth="1"/>
    <col min="5896" max="5896" width="7" style="193" customWidth="1"/>
    <col min="5897" max="5897" width="6.90625" style="193" customWidth="1"/>
    <col min="5898" max="5898" width="8.08984375" style="193" customWidth="1"/>
    <col min="5899" max="5901" width="0" style="193" hidden="1" customWidth="1"/>
    <col min="5902" max="5903" width="6.26953125" style="193" customWidth="1"/>
    <col min="5904" max="5904" width="6" style="193" bestFit="1" customWidth="1"/>
    <col min="5905" max="5906" width="6" style="193" customWidth="1"/>
    <col min="5907" max="5907" width="6" style="193" bestFit="1" customWidth="1"/>
    <col min="5908" max="5908" width="8.1796875" style="193" bestFit="1" customWidth="1"/>
    <col min="5909" max="5909" width="5.7265625" style="193" customWidth="1"/>
    <col min="5910" max="5910" width="0" style="193" hidden="1" customWidth="1"/>
    <col min="5911" max="5911" width="6.36328125" style="193" bestFit="1" customWidth="1"/>
    <col min="5912" max="5912" width="0" style="193" hidden="1" customWidth="1"/>
    <col min="5913" max="5913" width="4.54296875" style="193" bestFit="1" customWidth="1"/>
    <col min="5914" max="5914" width="4.54296875" style="193" customWidth="1"/>
    <col min="5915" max="5915" width="6.453125" style="193" customWidth="1"/>
    <col min="5916" max="5916" width="14.81640625" style="193" customWidth="1"/>
    <col min="5917" max="5917" width="4.1796875" style="193" customWidth="1"/>
    <col min="5918" max="5918" width="0" style="193" hidden="1" customWidth="1"/>
    <col min="5919" max="5919" width="4.1796875" style="193" bestFit="1" customWidth="1"/>
    <col min="5920" max="5920" width="0" style="193" hidden="1" customWidth="1"/>
    <col min="5921" max="5921" width="4.54296875" style="193" bestFit="1" customWidth="1"/>
    <col min="5922" max="5922" width="4" style="193" bestFit="1" customWidth="1"/>
    <col min="5923" max="5923" width="4.54296875" style="193" bestFit="1" customWidth="1"/>
    <col min="5924" max="5924" width="5.81640625" style="193" bestFit="1" customWidth="1"/>
    <col min="5925" max="5925" width="4.54296875" style="193" bestFit="1" customWidth="1"/>
    <col min="5926" max="5926" width="6.26953125" style="193" bestFit="1" customWidth="1"/>
    <col min="5927" max="5927" width="4.54296875" style="193" bestFit="1" customWidth="1"/>
    <col min="5928" max="5928" width="13.6328125" style="193" customWidth="1"/>
    <col min="5929" max="5929" width="24.81640625" style="193" bestFit="1" customWidth="1"/>
    <col min="5930" max="6144" width="8.26953125" style="193"/>
    <col min="6145" max="6145" width="10" style="193" customWidth="1"/>
    <col min="6146" max="6147" width="6.7265625" style="193" customWidth="1"/>
    <col min="6148" max="6148" width="6.90625" style="193" bestFit="1" customWidth="1"/>
    <col min="6149" max="6151" width="0" style="193" hidden="1" customWidth="1"/>
    <col min="6152" max="6152" width="7" style="193" customWidth="1"/>
    <col min="6153" max="6153" width="6.90625" style="193" customWidth="1"/>
    <col min="6154" max="6154" width="8.08984375" style="193" customWidth="1"/>
    <col min="6155" max="6157" width="0" style="193" hidden="1" customWidth="1"/>
    <col min="6158" max="6159" width="6.26953125" style="193" customWidth="1"/>
    <col min="6160" max="6160" width="6" style="193" bestFit="1" customWidth="1"/>
    <col min="6161" max="6162" width="6" style="193" customWidth="1"/>
    <col min="6163" max="6163" width="6" style="193" bestFit="1" customWidth="1"/>
    <col min="6164" max="6164" width="8.1796875" style="193" bestFit="1" customWidth="1"/>
    <col min="6165" max="6165" width="5.7265625" style="193" customWidth="1"/>
    <col min="6166" max="6166" width="0" style="193" hidden="1" customWidth="1"/>
    <col min="6167" max="6167" width="6.36328125" style="193" bestFit="1" customWidth="1"/>
    <col min="6168" max="6168" width="0" style="193" hidden="1" customWidth="1"/>
    <col min="6169" max="6169" width="4.54296875" style="193" bestFit="1" customWidth="1"/>
    <col min="6170" max="6170" width="4.54296875" style="193" customWidth="1"/>
    <col min="6171" max="6171" width="6.453125" style="193" customWidth="1"/>
    <col min="6172" max="6172" width="14.81640625" style="193" customWidth="1"/>
    <col min="6173" max="6173" width="4.1796875" style="193" customWidth="1"/>
    <col min="6174" max="6174" width="0" style="193" hidden="1" customWidth="1"/>
    <col min="6175" max="6175" width="4.1796875" style="193" bestFit="1" customWidth="1"/>
    <col min="6176" max="6176" width="0" style="193" hidden="1" customWidth="1"/>
    <col min="6177" max="6177" width="4.54296875" style="193" bestFit="1" customWidth="1"/>
    <col min="6178" max="6178" width="4" style="193" bestFit="1" customWidth="1"/>
    <col min="6179" max="6179" width="4.54296875" style="193" bestFit="1" customWidth="1"/>
    <col min="6180" max="6180" width="5.81640625" style="193" bestFit="1" customWidth="1"/>
    <col min="6181" max="6181" width="4.54296875" style="193" bestFit="1" customWidth="1"/>
    <col min="6182" max="6182" width="6.26953125" style="193" bestFit="1" customWidth="1"/>
    <col min="6183" max="6183" width="4.54296875" style="193" bestFit="1" customWidth="1"/>
    <col min="6184" max="6184" width="13.6328125" style="193" customWidth="1"/>
    <col min="6185" max="6185" width="24.81640625" style="193" bestFit="1" customWidth="1"/>
    <col min="6186" max="6400" width="8.26953125" style="193"/>
    <col min="6401" max="6401" width="10" style="193" customWidth="1"/>
    <col min="6402" max="6403" width="6.7265625" style="193" customWidth="1"/>
    <col min="6404" max="6404" width="6.90625" style="193" bestFit="1" customWidth="1"/>
    <col min="6405" max="6407" width="0" style="193" hidden="1" customWidth="1"/>
    <col min="6408" max="6408" width="7" style="193" customWidth="1"/>
    <col min="6409" max="6409" width="6.90625" style="193" customWidth="1"/>
    <col min="6410" max="6410" width="8.08984375" style="193" customWidth="1"/>
    <col min="6411" max="6413" width="0" style="193" hidden="1" customWidth="1"/>
    <col min="6414" max="6415" width="6.26953125" style="193" customWidth="1"/>
    <col min="6416" max="6416" width="6" style="193" bestFit="1" customWidth="1"/>
    <col min="6417" max="6418" width="6" style="193" customWidth="1"/>
    <col min="6419" max="6419" width="6" style="193" bestFit="1" customWidth="1"/>
    <col min="6420" max="6420" width="8.1796875" style="193" bestFit="1" customWidth="1"/>
    <col min="6421" max="6421" width="5.7265625" style="193" customWidth="1"/>
    <col min="6422" max="6422" width="0" style="193" hidden="1" customWidth="1"/>
    <col min="6423" max="6423" width="6.36328125" style="193" bestFit="1" customWidth="1"/>
    <col min="6424" max="6424" width="0" style="193" hidden="1" customWidth="1"/>
    <col min="6425" max="6425" width="4.54296875" style="193" bestFit="1" customWidth="1"/>
    <col min="6426" max="6426" width="4.54296875" style="193" customWidth="1"/>
    <col min="6427" max="6427" width="6.453125" style="193" customWidth="1"/>
    <col min="6428" max="6428" width="14.81640625" style="193" customWidth="1"/>
    <col min="6429" max="6429" width="4.1796875" style="193" customWidth="1"/>
    <col min="6430" max="6430" width="0" style="193" hidden="1" customWidth="1"/>
    <col min="6431" max="6431" width="4.1796875" style="193" bestFit="1" customWidth="1"/>
    <col min="6432" max="6432" width="0" style="193" hidden="1" customWidth="1"/>
    <col min="6433" max="6433" width="4.54296875" style="193" bestFit="1" customWidth="1"/>
    <col min="6434" max="6434" width="4" style="193" bestFit="1" customWidth="1"/>
    <col min="6435" max="6435" width="4.54296875" style="193" bestFit="1" customWidth="1"/>
    <col min="6436" max="6436" width="5.81640625" style="193" bestFit="1" customWidth="1"/>
    <col min="6437" max="6437" width="4.54296875" style="193" bestFit="1" customWidth="1"/>
    <col min="6438" max="6438" width="6.26953125" style="193" bestFit="1" customWidth="1"/>
    <col min="6439" max="6439" width="4.54296875" style="193" bestFit="1" customWidth="1"/>
    <col min="6440" max="6440" width="13.6328125" style="193" customWidth="1"/>
    <col min="6441" max="6441" width="24.81640625" style="193" bestFit="1" customWidth="1"/>
    <col min="6442" max="6656" width="8.26953125" style="193"/>
    <col min="6657" max="6657" width="10" style="193" customWidth="1"/>
    <col min="6658" max="6659" width="6.7265625" style="193" customWidth="1"/>
    <col min="6660" max="6660" width="6.90625" style="193" bestFit="1" customWidth="1"/>
    <col min="6661" max="6663" width="0" style="193" hidden="1" customWidth="1"/>
    <col min="6664" max="6664" width="7" style="193" customWidth="1"/>
    <col min="6665" max="6665" width="6.90625" style="193" customWidth="1"/>
    <col min="6666" max="6666" width="8.08984375" style="193" customWidth="1"/>
    <col min="6667" max="6669" width="0" style="193" hidden="1" customWidth="1"/>
    <col min="6670" max="6671" width="6.26953125" style="193" customWidth="1"/>
    <col min="6672" max="6672" width="6" style="193" bestFit="1" customWidth="1"/>
    <col min="6673" max="6674" width="6" style="193" customWidth="1"/>
    <col min="6675" max="6675" width="6" style="193" bestFit="1" customWidth="1"/>
    <col min="6676" max="6676" width="8.1796875" style="193" bestFit="1" customWidth="1"/>
    <col min="6677" max="6677" width="5.7265625" style="193" customWidth="1"/>
    <col min="6678" max="6678" width="0" style="193" hidden="1" customWidth="1"/>
    <col min="6679" max="6679" width="6.36328125" style="193" bestFit="1" customWidth="1"/>
    <col min="6680" max="6680" width="0" style="193" hidden="1" customWidth="1"/>
    <col min="6681" max="6681" width="4.54296875" style="193" bestFit="1" customWidth="1"/>
    <col min="6682" max="6682" width="4.54296875" style="193" customWidth="1"/>
    <col min="6683" max="6683" width="6.453125" style="193" customWidth="1"/>
    <col min="6684" max="6684" width="14.81640625" style="193" customWidth="1"/>
    <col min="6685" max="6685" width="4.1796875" style="193" customWidth="1"/>
    <col min="6686" max="6686" width="0" style="193" hidden="1" customWidth="1"/>
    <col min="6687" max="6687" width="4.1796875" style="193" bestFit="1" customWidth="1"/>
    <col min="6688" max="6688" width="0" style="193" hidden="1" customWidth="1"/>
    <col min="6689" max="6689" width="4.54296875" style="193" bestFit="1" customWidth="1"/>
    <col min="6690" max="6690" width="4" style="193" bestFit="1" customWidth="1"/>
    <col min="6691" max="6691" width="4.54296875" style="193" bestFit="1" customWidth="1"/>
    <col min="6692" max="6692" width="5.81640625" style="193" bestFit="1" customWidth="1"/>
    <col min="6693" max="6693" width="4.54296875" style="193" bestFit="1" customWidth="1"/>
    <col min="6694" max="6694" width="6.26953125" style="193" bestFit="1" customWidth="1"/>
    <col min="6695" max="6695" width="4.54296875" style="193" bestFit="1" customWidth="1"/>
    <col min="6696" max="6696" width="13.6328125" style="193" customWidth="1"/>
    <col min="6697" max="6697" width="24.81640625" style="193" bestFit="1" customWidth="1"/>
    <col min="6698" max="6912" width="8.26953125" style="193"/>
    <col min="6913" max="6913" width="10" style="193" customWidth="1"/>
    <col min="6914" max="6915" width="6.7265625" style="193" customWidth="1"/>
    <col min="6916" max="6916" width="6.90625" style="193" bestFit="1" customWidth="1"/>
    <col min="6917" max="6919" width="0" style="193" hidden="1" customWidth="1"/>
    <col min="6920" max="6920" width="7" style="193" customWidth="1"/>
    <col min="6921" max="6921" width="6.90625" style="193" customWidth="1"/>
    <col min="6922" max="6922" width="8.08984375" style="193" customWidth="1"/>
    <col min="6923" max="6925" width="0" style="193" hidden="1" customWidth="1"/>
    <col min="6926" max="6927" width="6.26953125" style="193" customWidth="1"/>
    <col min="6928" max="6928" width="6" style="193" bestFit="1" customWidth="1"/>
    <col min="6929" max="6930" width="6" style="193" customWidth="1"/>
    <col min="6931" max="6931" width="6" style="193" bestFit="1" customWidth="1"/>
    <col min="6932" max="6932" width="8.1796875" style="193" bestFit="1" customWidth="1"/>
    <col min="6933" max="6933" width="5.7265625" style="193" customWidth="1"/>
    <col min="6934" max="6934" width="0" style="193" hidden="1" customWidth="1"/>
    <col min="6935" max="6935" width="6.36328125" style="193" bestFit="1" customWidth="1"/>
    <col min="6936" max="6936" width="0" style="193" hidden="1" customWidth="1"/>
    <col min="6937" max="6937" width="4.54296875" style="193" bestFit="1" customWidth="1"/>
    <col min="6938" max="6938" width="4.54296875" style="193" customWidth="1"/>
    <col min="6939" max="6939" width="6.453125" style="193" customWidth="1"/>
    <col min="6940" max="6940" width="14.81640625" style="193" customWidth="1"/>
    <col min="6941" max="6941" width="4.1796875" style="193" customWidth="1"/>
    <col min="6942" max="6942" width="0" style="193" hidden="1" customWidth="1"/>
    <col min="6943" max="6943" width="4.1796875" style="193" bestFit="1" customWidth="1"/>
    <col min="6944" max="6944" width="0" style="193" hidden="1" customWidth="1"/>
    <col min="6945" max="6945" width="4.54296875" style="193" bestFit="1" customWidth="1"/>
    <col min="6946" max="6946" width="4" style="193" bestFit="1" customWidth="1"/>
    <col min="6947" max="6947" width="4.54296875" style="193" bestFit="1" customWidth="1"/>
    <col min="6948" max="6948" width="5.81640625" style="193" bestFit="1" customWidth="1"/>
    <col min="6949" max="6949" width="4.54296875" style="193" bestFit="1" customWidth="1"/>
    <col min="6950" max="6950" width="6.26953125" style="193" bestFit="1" customWidth="1"/>
    <col min="6951" max="6951" width="4.54296875" style="193" bestFit="1" customWidth="1"/>
    <col min="6952" max="6952" width="13.6328125" style="193" customWidth="1"/>
    <col min="6953" max="6953" width="24.81640625" style="193" bestFit="1" customWidth="1"/>
    <col min="6954" max="7168" width="8.26953125" style="193"/>
    <col min="7169" max="7169" width="10" style="193" customWidth="1"/>
    <col min="7170" max="7171" width="6.7265625" style="193" customWidth="1"/>
    <col min="7172" max="7172" width="6.90625" style="193" bestFit="1" customWidth="1"/>
    <col min="7173" max="7175" width="0" style="193" hidden="1" customWidth="1"/>
    <col min="7176" max="7176" width="7" style="193" customWidth="1"/>
    <col min="7177" max="7177" width="6.90625" style="193" customWidth="1"/>
    <col min="7178" max="7178" width="8.08984375" style="193" customWidth="1"/>
    <col min="7179" max="7181" width="0" style="193" hidden="1" customWidth="1"/>
    <col min="7182" max="7183" width="6.26953125" style="193" customWidth="1"/>
    <col min="7184" max="7184" width="6" style="193" bestFit="1" customWidth="1"/>
    <col min="7185" max="7186" width="6" style="193" customWidth="1"/>
    <col min="7187" max="7187" width="6" style="193" bestFit="1" customWidth="1"/>
    <col min="7188" max="7188" width="8.1796875" style="193" bestFit="1" customWidth="1"/>
    <col min="7189" max="7189" width="5.7265625" style="193" customWidth="1"/>
    <col min="7190" max="7190" width="0" style="193" hidden="1" customWidth="1"/>
    <col min="7191" max="7191" width="6.36328125" style="193" bestFit="1" customWidth="1"/>
    <col min="7192" max="7192" width="0" style="193" hidden="1" customWidth="1"/>
    <col min="7193" max="7193" width="4.54296875" style="193" bestFit="1" customWidth="1"/>
    <col min="7194" max="7194" width="4.54296875" style="193" customWidth="1"/>
    <col min="7195" max="7195" width="6.453125" style="193" customWidth="1"/>
    <col min="7196" max="7196" width="14.81640625" style="193" customWidth="1"/>
    <col min="7197" max="7197" width="4.1796875" style="193" customWidth="1"/>
    <col min="7198" max="7198" width="0" style="193" hidden="1" customWidth="1"/>
    <col min="7199" max="7199" width="4.1796875" style="193" bestFit="1" customWidth="1"/>
    <col min="7200" max="7200" width="0" style="193" hidden="1" customWidth="1"/>
    <col min="7201" max="7201" width="4.54296875" style="193" bestFit="1" customWidth="1"/>
    <col min="7202" max="7202" width="4" style="193" bestFit="1" customWidth="1"/>
    <col min="7203" max="7203" width="4.54296875" style="193" bestFit="1" customWidth="1"/>
    <col min="7204" max="7204" width="5.81640625" style="193" bestFit="1" customWidth="1"/>
    <col min="7205" max="7205" width="4.54296875" style="193" bestFit="1" customWidth="1"/>
    <col min="7206" max="7206" width="6.26953125" style="193" bestFit="1" customWidth="1"/>
    <col min="7207" max="7207" width="4.54296875" style="193" bestFit="1" customWidth="1"/>
    <col min="7208" max="7208" width="13.6328125" style="193" customWidth="1"/>
    <col min="7209" max="7209" width="24.81640625" style="193" bestFit="1" customWidth="1"/>
    <col min="7210" max="7424" width="8.26953125" style="193"/>
    <col min="7425" max="7425" width="10" style="193" customWidth="1"/>
    <col min="7426" max="7427" width="6.7265625" style="193" customWidth="1"/>
    <col min="7428" max="7428" width="6.90625" style="193" bestFit="1" customWidth="1"/>
    <col min="7429" max="7431" width="0" style="193" hidden="1" customWidth="1"/>
    <col min="7432" max="7432" width="7" style="193" customWidth="1"/>
    <col min="7433" max="7433" width="6.90625" style="193" customWidth="1"/>
    <col min="7434" max="7434" width="8.08984375" style="193" customWidth="1"/>
    <col min="7435" max="7437" width="0" style="193" hidden="1" customWidth="1"/>
    <col min="7438" max="7439" width="6.26953125" style="193" customWidth="1"/>
    <col min="7440" max="7440" width="6" style="193" bestFit="1" customWidth="1"/>
    <col min="7441" max="7442" width="6" style="193" customWidth="1"/>
    <col min="7443" max="7443" width="6" style="193" bestFit="1" customWidth="1"/>
    <col min="7444" max="7444" width="8.1796875" style="193" bestFit="1" customWidth="1"/>
    <col min="7445" max="7445" width="5.7265625" style="193" customWidth="1"/>
    <col min="7446" max="7446" width="0" style="193" hidden="1" customWidth="1"/>
    <col min="7447" max="7447" width="6.36328125" style="193" bestFit="1" customWidth="1"/>
    <col min="7448" max="7448" width="0" style="193" hidden="1" customWidth="1"/>
    <col min="7449" max="7449" width="4.54296875" style="193" bestFit="1" customWidth="1"/>
    <col min="7450" max="7450" width="4.54296875" style="193" customWidth="1"/>
    <col min="7451" max="7451" width="6.453125" style="193" customWidth="1"/>
    <col min="7452" max="7452" width="14.81640625" style="193" customWidth="1"/>
    <col min="7453" max="7453" width="4.1796875" style="193" customWidth="1"/>
    <col min="7454" max="7454" width="0" style="193" hidden="1" customWidth="1"/>
    <col min="7455" max="7455" width="4.1796875" style="193" bestFit="1" customWidth="1"/>
    <col min="7456" max="7456" width="0" style="193" hidden="1" customWidth="1"/>
    <col min="7457" max="7457" width="4.54296875" style="193" bestFit="1" customWidth="1"/>
    <col min="7458" max="7458" width="4" style="193" bestFit="1" customWidth="1"/>
    <col min="7459" max="7459" width="4.54296875" style="193" bestFit="1" customWidth="1"/>
    <col min="7460" max="7460" width="5.81640625" style="193" bestFit="1" customWidth="1"/>
    <col min="7461" max="7461" width="4.54296875" style="193" bestFit="1" customWidth="1"/>
    <col min="7462" max="7462" width="6.26953125" style="193" bestFit="1" customWidth="1"/>
    <col min="7463" max="7463" width="4.54296875" style="193" bestFit="1" customWidth="1"/>
    <col min="7464" max="7464" width="13.6328125" style="193" customWidth="1"/>
    <col min="7465" max="7465" width="24.81640625" style="193" bestFit="1" customWidth="1"/>
    <col min="7466" max="7680" width="8.26953125" style="193"/>
    <col min="7681" max="7681" width="10" style="193" customWidth="1"/>
    <col min="7682" max="7683" width="6.7265625" style="193" customWidth="1"/>
    <col min="7684" max="7684" width="6.90625" style="193" bestFit="1" customWidth="1"/>
    <col min="7685" max="7687" width="0" style="193" hidden="1" customWidth="1"/>
    <col min="7688" max="7688" width="7" style="193" customWidth="1"/>
    <col min="7689" max="7689" width="6.90625" style="193" customWidth="1"/>
    <col min="7690" max="7690" width="8.08984375" style="193" customWidth="1"/>
    <col min="7691" max="7693" width="0" style="193" hidden="1" customWidth="1"/>
    <col min="7694" max="7695" width="6.26953125" style="193" customWidth="1"/>
    <col min="7696" max="7696" width="6" style="193" bestFit="1" customWidth="1"/>
    <col min="7697" max="7698" width="6" style="193" customWidth="1"/>
    <col min="7699" max="7699" width="6" style="193" bestFit="1" customWidth="1"/>
    <col min="7700" max="7700" width="8.1796875" style="193" bestFit="1" customWidth="1"/>
    <col min="7701" max="7701" width="5.7265625" style="193" customWidth="1"/>
    <col min="7702" max="7702" width="0" style="193" hidden="1" customWidth="1"/>
    <col min="7703" max="7703" width="6.36328125" style="193" bestFit="1" customWidth="1"/>
    <col min="7704" max="7704" width="0" style="193" hidden="1" customWidth="1"/>
    <col min="7705" max="7705" width="4.54296875" style="193" bestFit="1" customWidth="1"/>
    <col min="7706" max="7706" width="4.54296875" style="193" customWidth="1"/>
    <col min="7707" max="7707" width="6.453125" style="193" customWidth="1"/>
    <col min="7708" max="7708" width="14.81640625" style="193" customWidth="1"/>
    <col min="7709" max="7709" width="4.1796875" style="193" customWidth="1"/>
    <col min="7710" max="7710" width="0" style="193" hidden="1" customWidth="1"/>
    <col min="7711" max="7711" width="4.1796875" style="193" bestFit="1" customWidth="1"/>
    <col min="7712" max="7712" width="0" style="193" hidden="1" customWidth="1"/>
    <col min="7713" max="7713" width="4.54296875" style="193" bestFit="1" customWidth="1"/>
    <col min="7714" max="7714" width="4" style="193" bestFit="1" customWidth="1"/>
    <col min="7715" max="7715" width="4.54296875" style="193" bestFit="1" customWidth="1"/>
    <col min="7716" max="7716" width="5.81640625" style="193" bestFit="1" customWidth="1"/>
    <col min="7717" max="7717" width="4.54296875" style="193" bestFit="1" customWidth="1"/>
    <col min="7718" max="7718" width="6.26953125" style="193" bestFit="1" customWidth="1"/>
    <col min="7719" max="7719" width="4.54296875" style="193" bestFit="1" customWidth="1"/>
    <col min="7720" max="7720" width="13.6328125" style="193" customWidth="1"/>
    <col min="7721" max="7721" width="24.81640625" style="193" bestFit="1" customWidth="1"/>
    <col min="7722" max="7936" width="8.26953125" style="193"/>
    <col min="7937" max="7937" width="10" style="193" customWidth="1"/>
    <col min="7938" max="7939" width="6.7265625" style="193" customWidth="1"/>
    <col min="7940" max="7940" width="6.90625" style="193" bestFit="1" customWidth="1"/>
    <col min="7941" max="7943" width="0" style="193" hidden="1" customWidth="1"/>
    <col min="7944" max="7944" width="7" style="193" customWidth="1"/>
    <col min="7945" max="7945" width="6.90625" style="193" customWidth="1"/>
    <col min="7946" max="7946" width="8.08984375" style="193" customWidth="1"/>
    <col min="7947" max="7949" width="0" style="193" hidden="1" customWidth="1"/>
    <col min="7950" max="7951" width="6.26953125" style="193" customWidth="1"/>
    <col min="7952" max="7952" width="6" style="193" bestFit="1" customWidth="1"/>
    <col min="7953" max="7954" width="6" style="193" customWidth="1"/>
    <col min="7955" max="7955" width="6" style="193" bestFit="1" customWidth="1"/>
    <col min="7956" max="7956" width="8.1796875" style="193" bestFit="1" customWidth="1"/>
    <col min="7957" max="7957" width="5.7265625" style="193" customWidth="1"/>
    <col min="7958" max="7958" width="0" style="193" hidden="1" customWidth="1"/>
    <col min="7959" max="7959" width="6.36328125" style="193" bestFit="1" customWidth="1"/>
    <col min="7960" max="7960" width="0" style="193" hidden="1" customWidth="1"/>
    <col min="7961" max="7961" width="4.54296875" style="193" bestFit="1" customWidth="1"/>
    <col min="7962" max="7962" width="4.54296875" style="193" customWidth="1"/>
    <col min="7963" max="7963" width="6.453125" style="193" customWidth="1"/>
    <col min="7964" max="7964" width="14.81640625" style="193" customWidth="1"/>
    <col min="7965" max="7965" width="4.1796875" style="193" customWidth="1"/>
    <col min="7966" max="7966" width="0" style="193" hidden="1" customWidth="1"/>
    <col min="7967" max="7967" width="4.1796875" style="193" bestFit="1" customWidth="1"/>
    <col min="7968" max="7968" width="0" style="193" hidden="1" customWidth="1"/>
    <col min="7969" max="7969" width="4.54296875" style="193" bestFit="1" customWidth="1"/>
    <col min="7970" max="7970" width="4" style="193" bestFit="1" customWidth="1"/>
    <col min="7971" max="7971" width="4.54296875" style="193" bestFit="1" customWidth="1"/>
    <col min="7972" max="7972" width="5.81640625" style="193" bestFit="1" customWidth="1"/>
    <col min="7973" max="7973" width="4.54296875" style="193" bestFit="1" customWidth="1"/>
    <col min="7974" max="7974" width="6.26953125" style="193" bestFit="1" customWidth="1"/>
    <col min="7975" max="7975" width="4.54296875" style="193" bestFit="1" customWidth="1"/>
    <col min="7976" max="7976" width="13.6328125" style="193" customWidth="1"/>
    <col min="7977" max="7977" width="24.81640625" style="193" bestFit="1" customWidth="1"/>
    <col min="7978" max="8192" width="8.26953125" style="193"/>
    <col min="8193" max="8193" width="10" style="193" customWidth="1"/>
    <col min="8194" max="8195" width="6.7265625" style="193" customWidth="1"/>
    <col min="8196" max="8196" width="6.90625" style="193" bestFit="1" customWidth="1"/>
    <col min="8197" max="8199" width="0" style="193" hidden="1" customWidth="1"/>
    <col min="8200" max="8200" width="7" style="193" customWidth="1"/>
    <col min="8201" max="8201" width="6.90625" style="193" customWidth="1"/>
    <col min="8202" max="8202" width="8.08984375" style="193" customWidth="1"/>
    <col min="8203" max="8205" width="0" style="193" hidden="1" customWidth="1"/>
    <col min="8206" max="8207" width="6.26953125" style="193" customWidth="1"/>
    <col min="8208" max="8208" width="6" style="193" bestFit="1" customWidth="1"/>
    <col min="8209" max="8210" width="6" style="193" customWidth="1"/>
    <col min="8211" max="8211" width="6" style="193" bestFit="1" customWidth="1"/>
    <col min="8212" max="8212" width="8.1796875" style="193" bestFit="1" customWidth="1"/>
    <col min="8213" max="8213" width="5.7265625" style="193" customWidth="1"/>
    <col min="8214" max="8214" width="0" style="193" hidden="1" customWidth="1"/>
    <col min="8215" max="8215" width="6.36328125" style="193" bestFit="1" customWidth="1"/>
    <col min="8216" max="8216" width="0" style="193" hidden="1" customWidth="1"/>
    <col min="8217" max="8217" width="4.54296875" style="193" bestFit="1" customWidth="1"/>
    <col min="8218" max="8218" width="4.54296875" style="193" customWidth="1"/>
    <col min="8219" max="8219" width="6.453125" style="193" customWidth="1"/>
    <col min="8220" max="8220" width="14.81640625" style="193" customWidth="1"/>
    <col min="8221" max="8221" width="4.1796875" style="193" customWidth="1"/>
    <col min="8222" max="8222" width="0" style="193" hidden="1" customWidth="1"/>
    <col min="8223" max="8223" width="4.1796875" style="193" bestFit="1" customWidth="1"/>
    <col min="8224" max="8224" width="0" style="193" hidden="1" customWidth="1"/>
    <col min="8225" max="8225" width="4.54296875" style="193" bestFit="1" customWidth="1"/>
    <col min="8226" max="8226" width="4" style="193" bestFit="1" customWidth="1"/>
    <col min="8227" max="8227" width="4.54296875" style="193" bestFit="1" customWidth="1"/>
    <col min="8228" max="8228" width="5.81640625" style="193" bestFit="1" customWidth="1"/>
    <col min="8229" max="8229" width="4.54296875" style="193" bestFit="1" customWidth="1"/>
    <col min="8230" max="8230" width="6.26953125" style="193" bestFit="1" customWidth="1"/>
    <col min="8231" max="8231" width="4.54296875" style="193" bestFit="1" customWidth="1"/>
    <col min="8232" max="8232" width="13.6328125" style="193" customWidth="1"/>
    <col min="8233" max="8233" width="24.81640625" style="193" bestFit="1" customWidth="1"/>
    <col min="8234" max="8448" width="8.26953125" style="193"/>
    <col min="8449" max="8449" width="10" style="193" customWidth="1"/>
    <col min="8450" max="8451" width="6.7265625" style="193" customWidth="1"/>
    <col min="8452" max="8452" width="6.90625" style="193" bestFit="1" customWidth="1"/>
    <col min="8453" max="8455" width="0" style="193" hidden="1" customWidth="1"/>
    <col min="8456" max="8456" width="7" style="193" customWidth="1"/>
    <col min="8457" max="8457" width="6.90625" style="193" customWidth="1"/>
    <col min="8458" max="8458" width="8.08984375" style="193" customWidth="1"/>
    <col min="8459" max="8461" width="0" style="193" hidden="1" customWidth="1"/>
    <col min="8462" max="8463" width="6.26953125" style="193" customWidth="1"/>
    <col min="8464" max="8464" width="6" style="193" bestFit="1" customWidth="1"/>
    <col min="8465" max="8466" width="6" style="193" customWidth="1"/>
    <col min="8467" max="8467" width="6" style="193" bestFit="1" customWidth="1"/>
    <col min="8468" max="8468" width="8.1796875" style="193" bestFit="1" customWidth="1"/>
    <col min="8469" max="8469" width="5.7265625" style="193" customWidth="1"/>
    <col min="8470" max="8470" width="0" style="193" hidden="1" customWidth="1"/>
    <col min="8471" max="8471" width="6.36328125" style="193" bestFit="1" customWidth="1"/>
    <col min="8472" max="8472" width="0" style="193" hidden="1" customWidth="1"/>
    <col min="8473" max="8473" width="4.54296875" style="193" bestFit="1" customWidth="1"/>
    <col min="8474" max="8474" width="4.54296875" style="193" customWidth="1"/>
    <col min="8475" max="8475" width="6.453125" style="193" customWidth="1"/>
    <col min="8476" max="8476" width="14.81640625" style="193" customWidth="1"/>
    <col min="8477" max="8477" width="4.1796875" style="193" customWidth="1"/>
    <col min="8478" max="8478" width="0" style="193" hidden="1" customWidth="1"/>
    <col min="8479" max="8479" width="4.1796875" style="193" bestFit="1" customWidth="1"/>
    <col min="8480" max="8480" width="0" style="193" hidden="1" customWidth="1"/>
    <col min="8481" max="8481" width="4.54296875" style="193" bestFit="1" customWidth="1"/>
    <col min="8482" max="8482" width="4" style="193" bestFit="1" customWidth="1"/>
    <col min="8483" max="8483" width="4.54296875" style="193" bestFit="1" customWidth="1"/>
    <col min="8484" max="8484" width="5.81640625" style="193" bestFit="1" customWidth="1"/>
    <col min="8485" max="8485" width="4.54296875" style="193" bestFit="1" customWidth="1"/>
    <col min="8486" max="8486" width="6.26953125" style="193" bestFit="1" customWidth="1"/>
    <col min="8487" max="8487" width="4.54296875" style="193" bestFit="1" customWidth="1"/>
    <col min="8488" max="8488" width="13.6328125" style="193" customWidth="1"/>
    <col min="8489" max="8489" width="24.81640625" style="193" bestFit="1" customWidth="1"/>
    <col min="8490" max="8704" width="8.26953125" style="193"/>
    <col min="8705" max="8705" width="10" style="193" customWidth="1"/>
    <col min="8706" max="8707" width="6.7265625" style="193" customWidth="1"/>
    <col min="8708" max="8708" width="6.90625" style="193" bestFit="1" customWidth="1"/>
    <col min="8709" max="8711" width="0" style="193" hidden="1" customWidth="1"/>
    <col min="8712" max="8712" width="7" style="193" customWidth="1"/>
    <col min="8713" max="8713" width="6.90625" style="193" customWidth="1"/>
    <col min="8714" max="8714" width="8.08984375" style="193" customWidth="1"/>
    <col min="8715" max="8717" width="0" style="193" hidden="1" customWidth="1"/>
    <col min="8718" max="8719" width="6.26953125" style="193" customWidth="1"/>
    <col min="8720" max="8720" width="6" style="193" bestFit="1" customWidth="1"/>
    <col min="8721" max="8722" width="6" style="193" customWidth="1"/>
    <col min="8723" max="8723" width="6" style="193" bestFit="1" customWidth="1"/>
    <col min="8724" max="8724" width="8.1796875" style="193" bestFit="1" customWidth="1"/>
    <col min="8725" max="8725" width="5.7265625" style="193" customWidth="1"/>
    <col min="8726" max="8726" width="0" style="193" hidden="1" customWidth="1"/>
    <col min="8727" max="8727" width="6.36328125" style="193" bestFit="1" customWidth="1"/>
    <col min="8728" max="8728" width="0" style="193" hidden="1" customWidth="1"/>
    <col min="8729" max="8729" width="4.54296875" style="193" bestFit="1" customWidth="1"/>
    <col min="8730" max="8730" width="4.54296875" style="193" customWidth="1"/>
    <col min="8731" max="8731" width="6.453125" style="193" customWidth="1"/>
    <col min="8732" max="8732" width="14.81640625" style="193" customWidth="1"/>
    <col min="8733" max="8733" width="4.1796875" style="193" customWidth="1"/>
    <col min="8734" max="8734" width="0" style="193" hidden="1" customWidth="1"/>
    <col min="8735" max="8735" width="4.1796875" style="193" bestFit="1" customWidth="1"/>
    <col min="8736" max="8736" width="0" style="193" hidden="1" customWidth="1"/>
    <col min="8737" max="8737" width="4.54296875" style="193" bestFit="1" customWidth="1"/>
    <col min="8738" max="8738" width="4" style="193" bestFit="1" customWidth="1"/>
    <col min="8739" max="8739" width="4.54296875" style="193" bestFit="1" customWidth="1"/>
    <col min="8740" max="8740" width="5.81640625" style="193" bestFit="1" customWidth="1"/>
    <col min="8741" max="8741" width="4.54296875" style="193" bestFit="1" customWidth="1"/>
    <col min="8742" max="8742" width="6.26953125" style="193" bestFit="1" customWidth="1"/>
    <col min="8743" max="8743" width="4.54296875" style="193" bestFit="1" customWidth="1"/>
    <col min="8744" max="8744" width="13.6328125" style="193" customWidth="1"/>
    <col min="8745" max="8745" width="24.81640625" style="193" bestFit="1" customWidth="1"/>
    <col min="8746" max="8960" width="8.26953125" style="193"/>
    <col min="8961" max="8961" width="10" style="193" customWidth="1"/>
    <col min="8962" max="8963" width="6.7265625" style="193" customWidth="1"/>
    <col min="8964" max="8964" width="6.90625" style="193" bestFit="1" customWidth="1"/>
    <col min="8965" max="8967" width="0" style="193" hidden="1" customWidth="1"/>
    <col min="8968" max="8968" width="7" style="193" customWidth="1"/>
    <col min="8969" max="8969" width="6.90625" style="193" customWidth="1"/>
    <col min="8970" max="8970" width="8.08984375" style="193" customWidth="1"/>
    <col min="8971" max="8973" width="0" style="193" hidden="1" customWidth="1"/>
    <col min="8974" max="8975" width="6.26953125" style="193" customWidth="1"/>
    <col min="8976" max="8976" width="6" style="193" bestFit="1" customWidth="1"/>
    <col min="8977" max="8978" width="6" style="193" customWidth="1"/>
    <col min="8979" max="8979" width="6" style="193" bestFit="1" customWidth="1"/>
    <col min="8980" max="8980" width="8.1796875" style="193" bestFit="1" customWidth="1"/>
    <col min="8981" max="8981" width="5.7265625" style="193" customWidth="1"/>
    <col min="8982" max="8982" width="0" style="193" hidden="1" customWidth="1"/>
    <col min="8983" max="8983" width="6.36328125" style="193" bestFit="1" customWidth="1"/>
    <col min="8984" max="8984" width="0" style="193" hidden="1" customWidth="1"/>
    <col min="8985" max="8985" width="4.54296875" style="193" bestFit="1" customWidth="1"/>
    <col min="8986" max="8986" width="4.54296875" style="193" customWidth="1"/>
    <col min="8987" max="8987" width="6.453125" style="193" customWidth="1"/>
    <col min="8988" max="8988" width="14.81640625" style="193" customWidth="1"/>
    <col min="8989" max="8989" width="4.1796875" style="193" customWidth="1"/>
    <col min="8990" max="8990" width="0" style="193" hidden="1" customWidth="1"/>
    <col min="8991" max="8991" width="4.1796875" style="193" bestFit="1" customWidth="1"/>
    <col min="8992" max="8992" width="0" style="193" hidden="1" customWidth="1"/>
    <col min="8993" max="8993" width="4.54296875" style="193" bestFit="1" customWidth="1"/>
    <col min="8994" max="8994" width="4" style="193" bestFit="1" customWidth="1"/>
    <col min="8995" max="8995" width="4.54296875" style="193" bestFit="1" customWidth="1"/>
    <col min="8996" max="8996" width="5.81640625" style="193" bestFit="1" customWidth="1"/>
    <col min="8997" max="8997" width="4.54296875" style="193" bestFit="1" customWidth="1"/>
    <col min="8998" max="8998" width="6.26953125" style="193" bestFit="1" customWidth="1"/>
    <col min="8999" max="8999" width="4.54296875" style="193" bestFit="1" customWidth="1"/>
    <col min="9000" max="9000" width="13.6328125" style="193" customWidth="1"/>
    <col min="9001" max="9001" width="24.81640625" style="193" bestFit="1" customWidth="1"/>
    <col min="9002" max="9216" width="8.26953125" style="193"/>
    <col min="9217" max="9217" width="10" style="193" customWidth="1"/>
    <col min="9218" max="9219" width="6.7265625" style="193" customWidth="1"/>
    <col min="9220" max="9220" width="6.90625" style="193" bestFit="1" customWidth="1"/>
    <col min="9221" max="9223" width="0" style="193" hidden="1" customWidth="1"/>
    <col min="9224" max="9224" width="7" style="193" customWidth="1"/>
    <col min="9225" max="9225" width="6.90625" style="193" customWidth="1"/>
    <col min="9226" max="9226" width="8.08984375" style="193" customWidth="1"/>
    <col min="9227" max="9229" width="0" style="193" hidden="1" customWidth="1"/>
    <col min="9230" max="9231" width="6.26953125" style="193" customWidth="1"/>
    <col min="9232" max="9232" width="6" style="193" bestFit="1" customWidth="1"/>
    <col min="9233" max="9234" width="6" style="193" customWidth="1"/>
    <col min="9235" max="9235" width="6" style="193" bestFit="1" customWidth="1"/>
    <col min="9236" max="9236" width="8.1796875" style="193" bestFit="1" customWidth="1"/>
    <col min="9237" max="9237" width="5.7265625" style="193" customWidth="1"/>
    <col min="9238" max="9238" width="0" style="193" hidden="1" customWidth="1"/>
    <col min="9239" max="9239" width="6.36328125" style="193" bestFit="1" customWidth="1"/>
    <col min="9240" max="9240" width="0" style="193" hidden="1" customWidth="1"/>
    <col min="9241" max="9241" width="4.54296875" style="193" bestFit="1" customWidth="1"/>
    <col min="9242" max="9242" width="4.54296875" style="193" customWidth="1"/>
    <col min="9243" max="9243" width="6.453125" style="193" customWidth="1"/>
    <col min="9244" max="9244" width="14.81640625" style="193" customWidth="1"/>
    <col min="9245" max="9245" width="4.1796875" style="193" customWidth="1"/>
    <col min="9246" max="9246" width="0" style="193" hidden="1" customWidth="1"/>
    <col min="9247" max="9247" width="4.1796875" style="193" bestFit="1" customWidth="1"/>
    <col min="9248" max="9248" width="0" style="193" hidden="1" customWidth="1"/>
    <col min="9249" max="9249" width="4.54296875" style="193" bestFit="1" customWidth="1"/>
    <col min="9250" max="9250" width="4" style="193" bestFit="1" customWidth="1"/>
    <col min="9251" max="9251" width="4.54296875" style="193" bestFit="1" customWidth="1"/>
    <col min="9252" max="9252" width="5.81640625" style="193" bestFit="1" customWidth="1"/>
    <col min="9253" max="9253" width="4.54296875" style="193" bestFit="1" customWidth="1"/>
    <col min="9254" max="9254" width="6.26953125" style="193" bestFit="1" customWidth="1"/>
    <col min="9255" max="9255" width="4.54296875" style="193" bestFit="1" customWidth="1"/>
    <col min="9256" max="9256" width="13.6328125" style="193" customWidth="1"/>
    <col min="9257" max="9257" width="24.81640625" style="193" bestFit="1" customWidth="1"/>
    <col min="9258" max="9472" width="8.26953125" style="193"/>
    <col min="9473" max="9473" width="10" style="193" customWidth="1"/>
    <col min="9474" max="9475" width="6.7265625" style="193" customWidth="1"/>
    <col min="9476" max="9476" width="6.90625" style="193" bestFit="1" customWidth="1"/>
    <col min="9477" max="9479" width="0" style="193" hidden="1" customWidth="1"/>
    <col min="9480" max="9480" width="7" style="193" customWidth="1"/>
    <col min="9481" max="9481" width="6.90625" style="193" customWidth="1"/>
    <col min="9482" max="9482" width="8.08984375" style="193" customWidth="1"/>
    <col min="9483" max="9485" width="0" style="193" hidden="1" customWidth="1"/>
    <col min="9486" max="9487" width="6.26953125" style="193" customWidth="1"/>
    <col min="9488" max="9488" width="6" style="193" bestFit="1" customWidth="1"/>
    <col min="9489" max="9490" width="6" style="193" customWidth="1"/>
    <col min="9491" max="9491" width="6" style="193" bestFit="1" customWidth="1"/>
    <col min="9492" max="9492" width="8.1796875" style="193" bestFit="1" customWidth="1"/>
    <col min="9493" max="9493" width="5.7265625" style="193" customWidth="1"/>
    <col min="9494" max="9494" width="0" style="193" hidden="1" customWidth="1"/>
    <col min="9495" max="9495" width="6.36328125" style="193" bestFit="1" customWidth="1"/>
    <col min="9496" max="9496" width="0" style="193" hidden="1" customWidth="1"/>
    <col min="9497" max="9497" width="4.54296875" style="193" bestFit="1" customWidth="1"/>
    <col min="9498" max="9498" width="4.54296875" style="193" customWidth="1"/>
    <col min="9499" max="9499" width="6.453125" style="193" customWidth="1"/>
    <col min="9500" max="9500" width="14.81640625" style="193" customWidth="1"/>
    <col min="9501" max="9501" width="4.1796875" style="193" customWidth="1"/>
    <col min="9502" max="9502" width="0" style="193" hidden="1" customWidth="1"/>
    <col min="9503" max="9503" width="4.1796875" style="193" bestFit="1" customWidth="1"/>
    <col min="9504" max="9504" width="0" style="193" hidden="1" customWidth="1"/>
    <col min="9505" max="9505" width="4.54296875" style="193" bestFit="1" customWidth="1"/>
    <col min="9506" max="9506" width="4" style="193" bestFit="1" customWidth="1"/>
    <col min="9507" max="9507" width="4.54296875" style="193" bestFit="1" customWidth="1"/>
    <col min="9508" max="9508" width="5.81640625" style="193" bestFit="1" customWidth="1"/>
    <col min="9509" max="9509" width="4.54296875" style="193" bestFit="1" customWidth="1"/>
    <col min="9510" max="9510" width="6.26953125" style="193" bestFit="1" customWidth="1"/>
    <col min="9511" max="9511" width="4.54296875" style="193" bestFit="1" customWidth="1"/>
    <col min="9512" max="9512" width="13.6328125" style="193" customWidth="1"/>
    <col min="9513" max="9513" width="24.81640625" style="193" bestFit="1" customWidth="1"/>
    <col min="9514" max="9728" width="8.26953125" style="193"/>
    <col min="9729" max="9729" width="10" style="193" customWidth="1"/>
    <col min="9730" max="9731" width="6.7265625" style="193" customWidth="1"/>
    <col min="9732" max="9732" width="6.90625" style="193" bestFit="1" customWidth="1"/>
    <col min="9733" max="9735" width="0" style="193" hidden="1" customWidth="1"/>
    <col min="9736" max="9736" width="7" style="193" customWidth="1"/>
    <col min="9737" max="9737" width="6.90625" style="193" customWidth="1"/>
    <col min="9738" max="9738" width="8.08984375" style="193" customWidth="1"/>
    <col min="9739" max="9741" width="0" style="193" hidden="1" customWidth="1"/>
    <col min="9742" max="9743" width="6.26953125" style="193" customWidth="1"/>
    <col min="9744" max="9744" width="6" style="193" bestFit="1" customWidth="1"/>
    <col min="9745" max="9746" width="6" style="193" customWidth="1"/>
    <col min="9747" max="9747" width="6" style="193" bestFit="1" customWidth="1"/>
    <col min="9748" max="9748" width="8.1796875" style="193" bestFit="1" customWidth="1"/>
    <col min="9749" max="9749" width="5.7265625" style="193" customWidth="1"/>
    <col min="9750" max="9750" width="0" style="193" hidden="1" customWidth="1"/>
    <col min="9751" max="9751" width="6.36328125" style="193" bestFit="1" customWidth="1"/>
    <col min="9752" max="9752" width="0" style="193" hidden="1" customWidth="1"/>
    <col min="9753" max="9753" width="4.54296875" style="193" bestFit="1" customWidth="1"/>
    <col min="9754" max="9754" width="4.54296875" style="193" customWidth="1"/>
    <col min="9755" max="9755" width="6.453125" style="193" customWidth="1"/>
    <col min="9756" max="9756" width="14.81640625" style="193" customWidth="1"/>
    <col min="9757" max="9757" width="4.1796875" style="193" customWidth="1"/>
    <col min="9758" max="9758" width="0" style="193" hidden="1" customWidth="1"/>
    <col min="9759" max="9759" width="4.1796875" style="193" bestFit="1" customWidth="1"/>
    <col min="9760" max="9760" width="0" style="193" hidden="1" customWidth="1"/>
    <col min="9761" max="9761" width="4.54296875" style="193" bestFit="1" customWidth="1"/>
    <col min="9762" max="9762" width="4" style="193" bestFit="1" customWidth="1"/>
    <col min="9763" max="9763" width="4.54296875" style="193" bestFit="1" customWidth="1"/>
    <col min="9764" max="9764" width="5.81640625" style="193" bestFit="1" customWidth="1"/>
    <col min="9765" max="9765" width="4.54296875" style="193" bestFit="1" customWidth="1"/>
    <col min="9766" max="9766" width="6.26953125" style="193" bestFit="1" customWidth="1"/>
    <col min="9767" max="9767" width="4.54296875" style="193" bestFit="1" customWidth="1"/>
    <col min="9768" max="9768" width="13.6328125" style="193" customWidth="1"/>
    <col min="9769" max="9769" width="24.81640625" style="193" bestFit="1" customWidth="1"/>
    <col min="9770" max="9984" width="8.26953125" style="193"/>
    <col min="9985" max="9985" width="10" style="193" customWidth="1"/>
    <col min="9986" max="9987" width="6.7265625" style="193" customWidth="1"/>
    <col min="9988" max="9988" width="6.90625" style="193" bestFit="1" customWidth="1"/>
    <col min="9989" max="9991" width="0" style="193" hidden="1" customWidth="1"/>
    <col min="9992" max="9992" width="7" style="193" customWidth="1"/>
    <col min="9993" max="9993" width="6.90625" style="193" customWidth="1"/>
    <col min="9994" max="9994" width="8.08984375" style="193" customWidth="1"/>
    <col min="9995" max="9997" width="0" style="193" hidden="1" customWidth="1"/>
    <col min="9998" max="9999" width="6.26953125" style="193" customWidth="1"/>
    <col min="10000" max="10000" width="6" style="193" bestFit="1" customWidth="1"/>
    <col min="10001" max="10002" width="6" style="193" customWidth="1"/>
    <col min="10003" max="10003" width="6" style="193" bestFit="1" customWidth="1"/>
    <col min="10004" max="10004" width="8.1796875" style="193" bestFit="1" customWidth="1"/>
    <col min="10005" max="10005" width="5.7265625" style="193" customWidth="1"/>
    <col min="10006" max="10006" width="0" style="193" hidden="1" customWidth="1"/>
    <col min="10007" max="10007" width="6.36328125" style="193" bestFit="1" customWidth="1"/>
    <col min="10008" max="10008" width="0" style="193" hidden="1" customWidth="1"/>
    <col min="10009" max="10009" width="4.54296875" style="193" bestFit="1" customWidth="1"/>
    <col min="10010" max="10010" width="4.54296875" style="193" customWidth="1"/>
    <col min="10011" max="10011" width="6.453125" style="193" customWidth="1"/>
    <col min="10012" max="10012" width="14.81640625" style="193" customWidth="1"/>
    <col min="10013" max="10013" width="4.1796875" style="193" customWidth="1"/>
    <col min="10014" max="10014" width="0" style="193" hidden="1" customWidth="1"/>
    <col min="10015" max="10015" width="4.1796875" style="193" bestFit="1" customWidth="1"/>
    <col min="10016" max="10016" width="0" style="193" hidden="1" customWidth="1"/>
    <col min="10017" max="10017" width="4.54296875" style="193" bestFit="1" customWidth="1"/>
    <col min="10018" max="10018" width="4" style="193" bestFit="1" customWidth="1"/>
    <col min="10019" max="10019" width="4.54296875" style="193" bestFit="1" customWidth="1"/>
    <col min="10020" max="10020" width="5.81640625" style="193" bestFit="1" customWidth="1"/>
    <col min="10021" max="10021" width="4.54296875" style="193" bestFit="1" customWidth="1"/>
    <col min="10022" max="10022" width="6.26953125" style="193" bestFit="1" customWidth="1"/>
    <col min="10023" max="10023" width="4.54296875" style="193" bestFit="1" customWidth="1"/>
    <col min="10024" max="10024" width="13.6328125" style="193" customWidth="1"/>
    <col min="10025" max="10025" width="24.81640625" style="193" bestFit="1" customWidth="1"/>
    <col min="10026" max="10240" width="8.26953125" style="193"/>
    <col min="10241" max="10241" width="10" style="193" customWidth="1"/>
    <col min="10242" max="10243" width="6.7265625" style="193" customWidth="1"/>
    <col min="10244" max="10244" width="6.90625" style="193" bestFit="1" customWidth="1"/>
    <col min="10245" max="10247" width="0" style="193" hidden="1" customWidth="1"/>
    <col min="10248" max="10248" width="7" style="193" customWidth="1"/>
    <col min="10249" max="10249" width="6.90625" style="193" customWidth="1"/>
    <col min="10250" max="10250" width="8.08984375" style="193" customWidth="1"/>
    <col min="10251" max="10253" width="0" style="193" hidden="1" customWidth="1"/>
    <col min="10254" max="10255" width="6.26953125" style="193" customWidth="1"/>
    <col min="10256" max="10256" width="6" style="193" bestFit="1" customWidth="1"/>
    <col min="10257" max="10258" width="6" style="193" customWidth="1"/>
    <col min="10259" max="10259" width="6" style="193" bestFit="1" customWidth="1"/>
    <col min="10260" max="10260" width="8.1796875" style="193" bestFit="1" customWidth="1"/>
    <col min="10261" max="10261" width="5.7265625" style="193" customWidth="1"/>
    <col min="10262" max="10262" width="0" style="193" hidden="1" customWidth="1"/>
    <col min="10263" max="10263" width="6.36328125" style="193" bestFit="1" customWidth="1"/>
    <col min="10264" max="10264" width="0" style="193" hidden="1" customWidth="1"/>
    <col min="10265" max="10265" width="4.54296875" style="193" bestFit="1" customWidth="1"/>
    <col min="10266" max="10266" width="4.54296875" style="193" customWidth="1"/>
    <col min="10267" max="10267" width="6.453125" style="193" customWidth="1"/>
    <col min="10268" max="10268" width="14.81640625" style="193" customWidth="1"/>
    <col min="10269" max="10269" width="4.1796875" style="193" customWidth="1"/>
    <col min="10270" max="10270" width="0" style="193" hidden="1" customWidth="1"/>
    <col min="10271" max="10271" width="4.1796875" style="193" bestFit="1" customWidth="1"/>
    <col min="10272" max="10272" width="0" style="193" hidden="1" customWidth="1"/>
    <col min="10273" max="10273" width="4.54296875" style="193" bestFit="1" customWidth="1"/>
    <col min="10274" max="10274" width="4" style="193" bestFit="1" customWidth="1"/>
    <col min="10275" max="10275" width="4.54296875" style="193" bestFit="1" customWidth="1"/>
    <col min="10276" max="10276" width="5.81640625" style="193" bestFit="1" customWidth="1"/>
    <col min="10277" max="10277" width="4.54296875" style="193" bestFit="1" customWidth="1"/>
    <col min="10278" max="10278" width="6.26953125" style="193" bestFit="1" customWidth="1"/>
    <col min="10279" max="10279" width="4.54296875" style="193" bestFit="1" customWidth="1"/>
    <col min="10280" max="10280" width="13.6328125" style="193" customWidth="1"/>
    <col min="10281" max="10281" width="24.81640625" style="193" bestFit="1" customWidth="1"/>
    <col min="10282" max="10496" width="8.26953125" style="193"/>
    <col min="10497" max="10497" width="10" style="193" customWidth="1"/>
    <col min="10498" max="10499" width="6.7265625" style="193" customWidth="1"/>
    <col min="10500" max="10500" width="6.90625" style="193" bestFit="1" customWidth="1"/>
    <col min="10501" max="10503" width="0" style="193" hidden="1" customWidth="1"/>
    <col min="10504" max="10504" width="7" style="193" customWidth="1"/>
    <col min="10505" max="10505" width="6.90625" style="193" customWidth="1"/>
    <col min="10506" max="10506" width="8.08984375" style="193" customWidth="1"/>
    <col min="10507" max="10509" width="0" style="193" hidden="1" customWidth="1"/>
    <col min="10510" max="10511" width="6.26953125" style="193" customWidth="1"/>
    <col min="10512" max="10512" width="6" style="193" bestFit="1" customWidth="1"/>
    <col min="10513" max="10514" width="6" style="193" customWidth="1"/>
    <col min="10515" max="10515" width="6" style="193" bestFit="1" customWidth="1"/>
    <col min="10516" max="10516" width="8.1796875" style="193" bestFit="1" customWidth="1"/>
    <col min="10517" max="10517" width="5.7265625" style="193" customWidth="1"/>
    <col min="10518" max="10518" width="0" style="193" hidden="1" customWidth="1"/>
    <col min="10519" max="10519" width="6.36328125" style="193" bestFit="1" customWidth="1"/>
    <col min="10520" max="10520" width="0" style="193" hidden="1" customWidth="1"/>
    <col min="10521" max="10521" width="4.54296875" style="193" bestFit="1" customWidth="1"/>
    <col min="10522" max="10522" width="4.54296875" style="193" customWidth="1"/>
    <col min="10523" max="10523" width="6.453125" style="193" customWidth="1"/>
    <col min="10524" max="10524" width="14.81640625" style="193" customWidth="1"/>
    <col min="10525" max="10525" width="4.1796875" style="193" customWidth="1"/>
    <col min="10526" max="10526" width="0" style="193" hidden="1" customWidth="1"/>
    <col min="10527" max="10527" width="4.1796875" style="193" bestFit="1" customWidth="1"/>
    <col min="10528" max="10528" width="0" style="193" hidden="1" customWidth="1"/>
    <col min="10529" max="10529" width="4.54296875" style="193" bestFit="1" customWidth="1"/>
    <col min="10530" max="10530" width="4" style="193" bestFit="1" customWidth="1"/>
    <col min="10531" max="10531" width="4.54296875" style="193" bestFit="1" customWidth="1"/>
    <col min="10532" max="10532" width="5.81640625" style="193" bestFit="1" customWidth="1"/>
    <col min="10533" max="10533" width="4.54296875" style="193" bestFit="1" customWidth="1"/>
    <col min="10534" max="10534" width="6.26953125" style="193" bestFit="1" customWidth="1"/>
    <col min="10535" max="10535" width="4.54296875" style="193" bestFit="1" customWidth="1"/>
    <col min="10536" max="10536" width="13.6328125" style="193" customWidth="1"/>
    <col min="10537" max="10537" width="24.81640625" style="193" bestFit="1" customWidth="1"/>
    <col min="10538" max="10752" width="8.26953125" style="193"/>
    <col min="10753" max="10753" width="10" style="193" customWidth="1"/>
    <col min="10754" max="10755" width="6.7265625" style="193" customWidth="1"/>
    <col min="10756" max="10756" width="6.90625" style="193" bestFit="1" customWidth="1"/>
    <col min="10757" max="10759" width="0" style="193" hidden="1" customWidth="1"/>
    <col min="10760" max="10760" width="7" style="193" customWidth="1"/>
    <col min="10761" max="10761" width="6.90625" style="193" customWidth="1"/>
    <col min="10762" max="10762" width="8.08984375" style="193" customWidth="1"/>
    <col min="10763" max="10765" width="0" style="193" hidden="1" customWidth="1"/>
    <col min="10766" max="10767" width="6.26953125" style="193" customWidth="1"/>
    <col min="10768" max="10768" width="6" style="193" bestFit="1" customWidth="1"/>
    <col min="10769" max="10770" width="6" style="193" customWidth="1"/>
    <col min="10771" max="10771" width="6" style="193" bestFit="1" customWidth="1"/>
    <col min="10772" max="10772" width="8.1796875" style="193" bestFit="1" customWidth="1"/>
    <col min="10773" max="10773" width="5.7265625" style="193" customWidth="1"/>
    <col min="10774" max="10774" width="0" style="193" hidden="1" customWidth="1"/>
    <col min="10775" max="10775" width="6.36328125" style="193" bestFit="1" customWidth="1"/>
    <col min="10776" max="10776" width="0" style="193" hidden="1" customWidth="1"/>
    <col min="10777" max="10777" width="4.54296875" style="193" bestFit="1" customWidth="1"/>
    <col min="10778" max="10778" width="4.54296875" style="193" customWidth="1"/>
    <col min="10779" max="10779" width="6.453125" style="193" customWidth="1"/>
    <col min="10780" max="10780" width="14.81640625" style="193" customWidth="1"/>
    <col min="10781" max="10781" width="4.1796875" style="193" customWidth="1"/>
    <col min="10782" max="10782" width="0" style="193" hidden="1" customWidth="1"/>
    <col min="10783" max="10783" width="4.1796875" style="193" bestFit="1" customWidth="1"/>
    <col min="10784" max="10784" width="0" style="193" hidden="1" customWidth="1"/>
    <col min="10785" max="10785" width="4.54296875" style="193" bestFit="1" customWidth="1"/>
    <col min="10786" max="10786" width="4" style="193" bestFit="1" customWidth="1"/>
    <col min="10787" max="10787" width="4.54296875" style="193" bestFit="1" customWidth="1"/>
    <col min="10788" max="10788" width="5.81640625" style="193" bestFit="1" customWidth="1"/>
    <col min="10789" max="10789" width="4.54296875" style="193" bestFit="1" customWidth="1"/>
    <col min="10790" max="10790" width="6.26953125" style="193" bestFit="1" customWidth="1"/>
    <col min="10791" max="10791" width="4.54296875" style="193" bestFit="1" customWidth="1"/>
    <col min="10792" max="10792" width="13.6328125" style="193" customWidth="1"/>
    <col min="10793" max="10793" width="24.81640625" style="193" bestFit="1" customWidth="1"/>
    <col min="10794" max="11008" width="8.26953125" style="193"/>
    <col min="11009" max="11009" width="10" style="193" customWidth="1"/>
    <col min="11010" max="11011" width="6.7265625" style="193" customWidth="1"/>
    <col min="11012" max="11012" width="6.90625" style="193" bestFit="1" customWidth="1"/>
    <col min="11013" max="11015" width="0" style="193" hidden="1" customWidth="1"/>
    <col min="11016" max="11016" width="7" style="193" customWidth="1"/>
    <col min="11017" max="11017" width="6.90625" style="193" customWidth="1"/>
    <col min="11018" max="11018" width="8.08984375" style="193" customWidth="1"/>
    <col min="11019" max="11021" width="0" style="193" hidden="1" customWidth="1"/>
    <col min="11022" max="11023" width="6.26953125" style="193" customWidth="1"/>
    <col min="11024" max="11024" width="6" style="193" bestFit="1" customWidth="1"/>
    <col min="11025" max="11026" width="6" style="193" customWidth="1"/>
    <col min="11027" max="11027" width="6" style="193" bestFit="1" customWidth="1"/>
    <col min="11028" max="11028" width="8.1796875" style="193" bestFit="1" customWidth="1"/>
    <col min="11029" max="11029" width="5.7265625" style="193" customWidth="1"/>
    <col min="11030" max="11030" width="0" style="193" hidden="1" customWidth="1"/>
    <col min="11031" max="11031" width="6.36328125" style="193" bestFit="1" customWidth="1"/>
    <col min="11032" max="11032" width="0" style="193" hidden="1" customWidth="1"/>
    <col min="11033" max="11033" width="4.54296875" style="193" bestFit="1" customWidth="1"/>
    <col min="11034" max="11034" width="4.54296875" style="193" customWidth="1"/>
    <col min="11035" max="11035" width="6.453125" style="193" customWidth="1"/>
    <col min="11036" max="11036" width="14.81640625" style="193" customWidth="1"/>
    <col min="11037" max="11037" width="4.1796875" style="193" customWidth="1"/>
    <col min="11038" max="11038" width="0" style="193" hidden="1" customWidth="1"/>
    <col min="11039" max="11039" width="4.1796875" style="193" bestFit="1" customWidth="1"/>
    <col min="11040" max="11040" width="0" style="193" hidden="1" customWidth="1"/>
    <col min="11041" max="11041" width="4.54296875" style="193" bestFit="1" customWidth="1"/>
    <col min="11042" max="11042" width="4" style="193" bestFit="1" customWidth="1"/>
    <col min="11043" max="11043" width="4.54296875" style="193" bestFit="1" customWidth="1"/>
    <col min="11044" max="11044" width="5.81640625" style="193" bestFit="1" customWidth="1"/>
    <col min="11045" max="11045" width="4.54296875" style="193" bestFit="1" customWidth="1"/>
    <col min="11046" max="11046" width="6.26953125" style="193" bestFit="1" customWidth="1"/>
    <col min="11047" max="11047" width="4.54296875" style="193" bestFit="1" customWidth="1"/>
    <col min="11048" max="11048" width="13.6328125" style="193" customWidth="1"/>
    <col min="11049" max="11049" width="24.81640625" style="193" bestFit="1" customWidth="1"/>
    <col min="11050" max="11264" width="8.26953125" style="193"/>
    <col min="11265" max="11265" width="10" style="193" customWidth="1"/>
    <col min="11266" max="11267" width="6.7265625" style="193" customWidth="1"/>
    <col min="11268" max="11268" width="6.90625" style="193" bestFit="1" customWidth="1"/>
    <col min="11269" max="11271" width="0" style="193" hidden="1" customWidth="1"/>
    <col min="11272" max="11272" width="7" style="193" customWidth="1"/>
    <col min="11273" max="11273" width="6.90625" style="193" customWidth="1"/>
    <col min="11274" max="11274" width="8.08984375" style="193" customWidth="1"/>
    <col min="11275" max="11277" width="0" style="193" hidden="1" customWidth="1"/>
    <col min="11278" max="11279" width="6.26953125" style="193" customWidth="1"/>
    <col min="11280" max="11280" width="6" style="193" bestFit="1" customWidth="1"/>
    <col min="11281" max="11282" width="6" style="193" customWidth="1"/>
    <col min="11283" max="11283" width="6" style="193" bestFit="1" customWidth="1"/>
    <col min="11284" max="11284" width="8.1796875" style="193" bestFit="1" customWidth="1"/>
    <col min="11285" max="11285" width="5.7265625" style="193" customWidth="1"/>
    <col min="11286" max="11286" width="0" style="193" hidden="1" customWidth="1"/>
    <col min="11287" max="11287" width="6.36328125" style="193" bestFit="1" customWidth="1"/>
    <col min="11288" max="11288" width="0" style="193" hidden="1" customWidth="1"/>
    <col min="11289" max="11289" width="4.54296875" style="193" bestFit="1" customWidth="1"/>
    <col min="11290" max="11290" width="4.54296875" style="193" customWidth="1"/>
    <col min="11291" max="11291" width="6.453125" style="193" customWidth="1"/>
    <col min="11292" max="11292" width="14.81640625" style="193" customWidth="1"/>
    <col min="11293" max="11293" width="4.1796875" style="193" customWidth="1"/>
    <col min="11294" max="11294" width="0" style="193" hidden="1" customWidth="1"/>
    <col min="11295" max="11295" width="4.1796875" style="193" bestFit="1" customWidth="1"/>
    <col min="11296" max="11296" width="0" style="193" hidden="1" customWidth="1"/>
    <col min="11297" max="11297" width="4.54296875" style="193" bestFit="1" customWidth="1"/>
    <col min="11298" max="11298" width="4" style="193" bestFit="1" customWidth="1"/>
    <col min="11299" max="11299" width="4.54296875" style="193" bestFit="1" customWidth="1"/>
    <col min="11300" max="11300" width="5.81640625" style="193" bestFit="1" customWidth="1"/>
    <col min="11301" max="11301" width="4.54296875" style="193" bestFit="1" customWidth="1"/>
    <col min="11302" max="11302" width="6.26953125" style="193" bestFit="1" customWidth="1"/>
    <col min="11303" max="11303" width="4.54296875" style="193" bestFit="1" customWidth="1"/>
    <col min="11304" max="11304" width="13.6328125" style="193" customWidth="1"/>
    <col min="11305" max="11305" width="24.81640625" style="193" bestFit="1" customWidth="1"/>
    <col min="11306" max="11520" width="8.26953125" style="193"/>
    <col min="11521" max="11521" width="10" style="193" customWidth="1"/>
    <col min="11522" max="11523" width="6.7265625" style="193" customWidth="1"/>
    <col min="11524" max="11524" width="6.90625" style="193" bestFit="1" customWidth="1"/>
    <col min="11525" max="11527" width="0" style="193" hidden="1" customWidth="1"/>
    <col min="11528" max="11528" width="7" style="193" customWidth="1"/>
    <col min="11529" max="11529" width="6.90625" style="193" customWidth="1"/>
    <col min="11530" max="11530" width="8.08984375" style="193" customWidth="1"/>
    <col min="11531" max="11533" width="0" style="193" hidden="1" customWidth="1"/>
    <col min="11534" max="11535" width="6.26953125" style="193" customWidth="1"/>
    <col min="11536" max="11536" width="6" style="193" bestFit="1" customWidth="1"/>
    <col min="11537" max="11538" width="6" style="193" customWidth="1"/>
    <col min="11539" max="11539" width="6" style="193" bestFit="1" customWidth="1"/>
    <col min="11540" max="11540" width="8.1796875" style="193" bestFit="1" customWidth="1"/>
    <col min="11541" max="11541" width="5.7265625" style="193" customWidth="1"/>
    <col min="11542" max="11542" width="0" style="193" hidden="1" customWidth="1"/>
    <col min="11543" max="11543" width="6.36328125" style="193" bestFit="1" customWidth="1"/>
    <col min="11544" max="11544" width="0" style="193" hidden="1" customWidth="1"/>
    <col min="11545" max="11545" width="4.54296875" style="193" bestFit="1" customWidth="1"/>
    <col min="11546" max="11546" width="4.54296875" style="193" customWidth="1"/>
    <col min="11547" max="11547" width="6.453125" style="193" customWidth="1"/>
    <col min="11548" max="11548" width="14.81640625" style="193" customWidth="1"/>
    <col min="11549" max="11549" width="4.1796875" style="193" customWidth="1"/>
    <col min="11550" max="11550" width="0" style="193" hidden="1" customWidth="1"/>
    <col min="11551" max="11551" width="4.1796875" style="193" bestFit="1" customWidth="1"/>
    <col min="11552" max="11552" width="0" style="193" hidden="1" customWidth="1"/>
    <col min="11553" max="11553" width="4.54296875" style="193" bestFit="1" customWidth="1"/>
    <col min="11554" max="11554" width="4" style="193" bestFit="1" customWidth="1"/>
    <col min="11555" max="11555" width="4.54296875" style="193" bestFit="1" customWidth="1"/>
    <col min="11556" max="11556" width="5.81640625" style="193" bestFit="1" customWidth="1"/>
    <col min="11557" max="11557" width="4.54296875" style="193" bestFit="1" customWidth="1"/>
    <col min="11558" max="11558" width="6.26953125" style="193" bestFit="1" customWidth="1"/>
    <col min="11559" max="11559" width="4.54296875" style="193" bestFit="1" customWidth="1"/>
    <col min="11560" max="11560" width="13.6328125" style="193" customWidth="1"/>
    <col min="11561" max="11561" width="24.81640625" style="193" bestFit="1" customWidth="1"/>
    <col min="11562" max="11776" width="8.26953125" style="193"/>
    <col min="11777" max="11777" width="10" style="193" customWidth="1"/>
    <col min="11778" max="11779" width="6.7265625" style="193" customWidth="1"/>
    <col min="11780" max="11780" width="6.90625" style="193" bestFit="1" customWidth="1"/>
    <col min="11781" max="11783" width="0" style="193" hidden="1" customWidth="1"/>
    <col min="11784" max="11784" width="7" style="193" customWidth="1"/>
    <col min="11785" max="11785" width="6.90625" style="193" customWidth="1"/>
    <col min="11786" max="11786" width="8.08984375" style="193" customWidth="1"/>
    <col min="11787" max="11789" width="0" style="193" hidden="1" customWidth="1"/>
    <col min="11790" max="11791" width="6.26953125" style="193" customWidth="1"/>
    <col min="11792" max="11792" width="6" style="193" bestFit="1" customWidth="1"/>
    <col min="11793" max="11794" width="6" style="193" customWidth="1"/>
    <col min="11795" max="11795" width="6" style="193" bestFit="1" customWidth="1"/>
    <col min="11796" max="11796" width="8.1796875" style="193" bestFit="1" customWidth="1"/>
    <col min="11797" max="11797" width="5.7265625" style="193" customWidth="1"/>
    <col min="11798" max="11798" width="0" style="193" hidden="1" customWidth="1"/>
    <col min="11799" max="11799" width="6.36328125" style="193" bestFit="1" customWidth="1"/>
    <col min="11800" max="11800" width="0" style="193" hidden="1" customWidth="1"/>
    <col min="11801" max="11801" width="4.54296875" style="193" bestFit="1" customWidth="1"/>
    <col min="11802" max="11802" width="4.54296875" style="193" customWidth="1"/>
    <col min="11803" max="11803" width="6.453125" style="193" customWidth="1"/>
    <col min="11804" max="11804" width="14.81640625" style="193" customWidth="1"/>
    <col min="11805" max="11805" width="4.1796875" style="193" customWidth="1"/>
    <col min="11806" max="11806" width="0" style="193" hidden="1" customWidth="1"/>
    <col min="11807" max="11807" width="4.1796875" style="193" bestFit="1" customWidth="1"/>
    <col min="11808" max="11808" width="0" style="193" hidden="1" customWidth="1"/>
    <col min="11809" max="11809" width="4.54296875" style="193" bestFit="1" customWidth="1"/>
    <col min="11810" max="11810" width="4" style="193" bestFit="1" customWidth="1"/>
    <col min="11811" max="11811" width="4.54296875" style="193" bestFit="1" customWidth="1"/>
    <col min="11812" max="11812" width="5.81640625" style="193" bestFit="1" customWidth="1"/>
    <col min="11813" max="11813" width="4.54296875" style="193" bestFit="1" customWidth="1"/>
    <col min="11814" max="11814" width="6.26953125" style="193" bestFit="1" customWidth="1"/>
    <col min="11815" max="11815" width="4.54296875" style="193" bestFit="1" customWidth="1"/>
    <col min="11816" max="11816" width="13.6328125" style="193" customWidth="1"/>
    <col min="11817" max="11817" width="24.81640625" style="193" bestFit="1" customWidth="1"/>
    <col min="11818" max="12032" width="8.26953125" style="193"/>
    <col min="12033" max="12033" width="10" style="193" customWidth="1"/>
    <col min="12034" max="12035" width="6.7265625" style="193" customWidth="1"/>
    <col min="12036" max="12036" width="6.90625" style="193" bestFit="1" customWidth="1"/>
    <col min="12037" max="12039" width="0" style="193" hidden="1" customWidth="1"/>
    <col min="12040" max="12040" width="7" style="193" customWidth="1"/>
    <col min="12041" max="12041" width="6.90625" style="193" customWidth="1"/>
    <col min="12042" max="12042" width="8.08984375" style="193" customWidth="1"/>
    <col min="12043" max="12045" width="0" style="193" hidden="1" customWidth="1"/>
    <col min="12046" max="12047" width="6.26953125" style="193" customWidth="1"/>
    <col min="12048" max="12048" width="6" style="193" bestFit="1" customWidth="1"/>
    <col min="12049" max="12050" width="6" style="193" customWidth="1"/>
    <col min="12051" max="12051" width="6" style="193" bestFit="1" customWidth="1"/>
    <col min="12052" max="12052" width="8.1796875" style="193" bestFit="1" customWidth="1"/>
    <col min="12053" max="12053" width="5.7265625" style="193" customWidth="1"/>
    <col min="12054" max="12054" width="0" style="193" hidden="1" customWidth="1"/>
    <col min="12055" max="12055" width="6.36328125" style="193" bestFit="1" customWidth="1"/>
    <col min="12056" max="12056" width="0" style="193" hidden="1" customWidth="1"/>
    <col min="12057" max="12057" width="4.54296875" style="193" bestFit="1" customWidth="1"/>
    <col min="12058" max="12058" width="4.54296875" style="193" customWidth="1"/>
    <col min="12059" max="12059" width="6.453125" style="193" customWidth="1"/>
    <col min="12060" max="12060" width="14.81640625" style="193" customWidth="1"/>
    <col min="12061" max="12061" width="4.1796875" style="193" customWidth="1"/>
    <col min="12062" max="12062" width="0" style="193" hidden="1" customWidth="1"/>
    <col min="12063" max="12063" width="4.1796875" style="193" bestFit="1" customWidth="1"/>
    <col min="12064" max="12064" width="0" style="193" hidden="1" customWidth="1"/>
    <col min="12065" max="12065" width="4.54296875" style="193" bestFit="1" customWidth="1"/>
    <col min="12066" max="12066" width="4" style="193" bestFit="1" customWidth="1"/>
    <col min="12067" max="12067" width="4.54296875" style="193" bestFit="1" customWidth="1"/>
    <col min="12068" max="12068" width="5.81640625" style="193" bestFit="1" customWidth="1"/>
    <col min="12069" max="12069" width="4.54296875" style="193" bestFit="1" customWidth="1"/>
    <col min="12070" max="12070" width="6.26953125" style="193" bestFit="1" customWidth="1"/>
    <col min="12071" max="12071" width="4.54296875" style="193" bestFit="1" customWidth="1"/>
    <col min="12072" max="12072" width="13.6328125" style="193" customWidth="1"/>
    <col min="12073" max="12073" width="24.81640625" style="193" bestFit="1" customWidth="1"/>
    <col min="12074" max="12288" width="8.26953125" style="193"/>
    <col min="12289" max="12289" width="10" style="193" customWidth="1"/>
    <col min="12290" max="12291" width="6.7265625" style="193" customWidth="1"/>
    <col min="12292" max="12292" width="6.90625" style="193" bestFit="1" customWidth="1"/>
    <col min="12293" max="12295" width="0" style="193" hidden="1" customWidth="1"/>
    <col min="12296" max="12296" width="7" style="193" customWidth="1"/>
    <col min="12297" max="12297" width="6.90625" style="193" customWidth="1"/>
    <col min="12298" max="12298" width="8.08984375" style="193" customWidth="1"/>
    <col min="12299" max="12301" width="0" style="193" hidden="1" customWidth="1"/>
    <col min="12302" max="12303" width="6.26953125" style="193" customWidth="1"/>
    <col min="12304" max="12304" width="6" style="193" bestFit="1" customWidth="1"/>
    <col min="12305" max="12306" width="6" style="193" customWidth="1"/>
    <col min="12307" max="12307" width="6" style="193" bestFit="1" customWidth="1"/>
    <col min="12308" max="12308" width="8.1796875" style="193" bestFit="1" customWidth="1"/>
    <col min="12309" max="12309" width="5.7265625" style="193" customWidth="1"/>
    <col min="12310" max="12310" width="0" style="193" hidden="1" customWidth="1"/>
    <col min="12311" max="12311" width="6.36328125" style="193" bestFit="1" customWidth="1"/>
    <col min="12312" max="12312" width="0" style="193" hidden="1" customWidth="1"/>
    <col min="12313" max="12313" width="4.54296875" style="193" bestFit="1" customWidth="1"/>
    <col min="12314" max="12314" width="4.54296875" style="193" customWidth="1"/>
    <col min="12315" max="12315" width="6.453125" style="193" customWidth="1"/>
    <col min="12316" max="12316" width="14.81640625" style="193" customWidth="1"/>
    <col min="12317" max="12317" width="4.1796875" style="193" customWidth="1"/>
    <col min="12318" max="12318" width="0" style="193" hidden="1" customWidth="1"/>
    <col min="12319" max="12319" width="4.1796875" style="193" bestFit="1" customWidth="1"/>
    <col min="12320" max="12320" width="0" style="193" hidden="1" customWidth="1"/>
    <col min="12321" max="12321" width="4.54296875" style="193" bestFit="1" customWidth="1"/>
    <col min="12322" max="12322" width="4" style="193" bestFit="1" customWidth="1"/>
    <col min="12323" max="12323" width="4.54296875" style="193" bestFit="1" customWidth="1"/>
    <col min="12324" max="12324" width="5.81640625" style="193" bestFit="1" customWidth="1"/>
    <col min="12325" max="12325" width="4.54296875" style="193" bestFit="1" customWidth="1"/>
    <col min="12326" max="12326" width="6.26953125" style="193" bestFit="1" customWidth="1"/>
    <col min="12327" max="12327" width="4.54296875" style="193" bestFit="1" customWidth="1"/>
    <col min="12328" max="12328" width="13.6328125" style="193" customWidth="1"/>
    <col min="12329" max="12329" width="24.81640625" style="193" bestFit="1" customWidth="1"/>
    <col min="12330" max="12544" width="8.26953125" style="193"/>
    <col min="12545" max="12545" width="10" style="193" customWidth="1"/>
    <col min="12546" max="12547" width="6.7265625" style="193" customWidth="1"/>
    <col min="12548" max="12548" width="6.90625" style="193" bestFit="1" customWidth="1"/>
    <col min="12549" max="12551" width="0" style="193" hidden="1" customWidth="1"/>
    <col min="12552" max="12552" width="7" style="193" customWidth="1"/>
    <col min="12553" max="12553" width="6.90625" style="193" customWidth="1"/>
    <col min="12554" max="12554" width="8.08984375" style="193" customWidth="1"/>
    <col min="12555" max="12557" width="0" style="193" hidden="1" customWidth="1"/>
    <col min="12558" max="12559" width="6.26953125" style="193" customWidth="1"/>
    <col min="12560" max="12560" width="6" style="193" bestFit="1" customWidth="1"/>
    <col min="12561" max="12562" width="6" style="193" customWidth="1"/>
    <col min="12563" max="12563" width="6" style="193" bestFit="1" customWidth="1"/>
    <col min="12564" max="12564" width="8.1796875" style="193" bestFit="1" customWidth="1"/>
    <col min="12565" max="12565" width="5.7265625" style="193" customWidth="1"/>
    <col min="12566" max="12566" width="0" style="193" hidden="1" customWidth="1"/>
    <col min="12567" max="12567" width="6.36328125" style="193" bestFit="1" customWidth="1"/>
    <col min="12568" max="12568" width="0" style="193" hidden="1" customWidth="1"/>
    <col min="12569" max="12569" width="4.54296875" style="193" bestFit="1" customWidth="1"/>
    <col min="12570" max="12570" width="4.54296875" style="193" customWidth="1"/>
    <col min="12571" max="12571" width="6.453125" style="193" customWidth="1"/>
    <col min="12572" max="12572" width="14.81640625" style="193" customWidth="1"/>
    <col min="12573" max="12573" width="4.1796875" style="193" customWidth="1"/>
    <col min="12574" max="12574" width="0" style="193" hidden="1" customWidth="1"/>
    <col min="12575" max="12575" width="4.1796875" style="193" bestFit="1" customWidth="1"/>
    <col min="12576" max="12576" width="0" style="193" hidden="1" customWidth="1"/>
    <col min="12577" max="12577" width="4.54296875" style="193" bestFit="1" customWidth="1"/>
    <col min="12578" max="12578" width="4" style="193" bestFit="1" customWidth="1"/>
    <col min="12579" max="12579" width="4.54296875" style="193" bestFit="1" customWidth="1"/>
    <col min="12580" max="12580" width="5.81640625" style="193" bestFit="1" customWidth="1"/>
    <col min="12581" max="12581" width="4.54296875" style="193" bestFit="1" customWidth="1"/>
    <col min="12582" max="12582" width="6.26953125" style="193" bestFit="1" customWidth="1"/>
    <col min="12583" max="12583" width="4.54296875" style="193" bestFit="1" customWidth="1"/>
    <col min="12584" max="12584" width="13.6328125" style="193" customWidth="1"/>
    <col min="12585" max="12585" width="24.81640625" style="193" bestFit="1" customWidth="1"/>
    <col min="12586" max="12800" width="8.26953125" style="193"/>
    <col min="12801" max="12801" width="10" style="193" customWidth="1"/>
    <col min="12802" max="12803" width="6.7265625" style="193" customWidth="1"/>
    <col min="12804" max="12804" width="6.90625" style="193" bestFit="1" customWidth="1"/>
    <col min="12805" max="12807" width="0" style="193" hidden="1" customWidth="1"/>
    <col min="12808" max="12808" width="7" style="193" customWidth="1"/>
    <col min="12809" max="12809" width="6.90625" style="193" customWidth="1"/>
    <col min="12810" max="12810" width="8.08984375" style="193" customWidth="1"/>
    <col min="12811" max="12813" width="0" style="193" hidden="1" customWidth="1"/>
    <col min="12814" max="12815" width="6.26953125" style="193" customWidth="1"/>
    <col min="12816" max="12816" width="6" style="193" bestFit="1" customWidth="1"/>
    <col min="12817" max="12818" width="6" style="193" customWidth="1"/>
    <col min="12819" max="12819" width="6" style="193" bestFit="1" customWidth="1"/>
    <col min="12820" max="12820" width="8.1796875" style="193" bestFit="1" customWidth="1"/>
    <col min="12821" max="12821" width="5.7265625" style="193" customWidth="1"/>
    <col min="12822" max="12822" width="0" style="193" hidden="1" customWidth="1"/>
    <col min="12823" max="12823" width="6.36328125" style="193" bestFit="1" customWidth="1"/>
    <col min="12824" max="12824" width="0" style="193" hidden="1" customWidth="1"/>
    <col min="12825" max="12825" width="4.54296875" style="193" bestFit="1" customWidth="1"/>
    <col min="12826" max="12826" width="4.54296875" style="193" customWidth="1"/>
    <col min="12827" max="12827" width="6.453125" style="193" customWidth="1"/>
    <col min="12828" max="12828" width="14.81640625" style="193" customWidth="1"/>
    <col min="12829" max="12829" width="4.1796875" style="193" customWidth="1"/>
    <col min="12830" max="12830" width="0" style="193" hidden="1" customWidth="1"/>
    <col min="12831" max="12831" width="4.1796875" style="193" bestFit="1" customWidth="1"/>
    <col min="12832" max="12832" width="0" style="193" hidden="1" customWidth="1"/>
    <col min="12833" max="12833" width="4.54296875" style="193" bestFit="1" customWidth="1"/>
    <col min="12834" max="12834" width="4" style="193" bestFit="1" customWidth="1"/>
    <col min="12835" max="12835" width="4.54296875" style="193" bestFit="1" customWidth="1"/>
    <col min="12836" max="12836" width="5.81640625" style="193" bestFit="1" customWidth="1"/>
    <col min="12837" max="12837" width="4.54296875" style="193" bestFit="1" customWidth="1"/>
    <col min="12838" max="12838" width="6.26953125" style="193" bestFit="1" customWidth="1"/>
    <col min="12839" max="12839" width="4.54296875" style="193" bestFit="1" customWidth="1"/>
    <col min="12840" max="12840" width="13.6328125" style="193" customWidth="1"/>
    <col min="12841" max="12841" width="24.81640625" style="193" bestFit="1" customWidth="1"/>
    <col min="12842" max="13056" width="8.26953125" style="193"/>
    <col min="13057" max="13057" width="10" style="193" customWidth="1"/>
    <col min="13058" max="13059" width="6.7265625" style="193" customWidth="1"/>
    <col min="13060" max="13060" width="6.90625" style="193" bestFit="1" customWidth="1"/>
    <col min="13061" max="13063" width="0" style="193" hidden="1" customWidth="1"/>
    <col min="13064" max="13064" width="7" style="193" customWidth="1"/>
    <col min="13065" max="13065" width="6.90625" style="193" customWidth="1"/>
    <col min="13066" max="13066" width="8.08984375" style="193" customWidth="1"/>
    <col min="13067" max="13069" width="0" style="193" hidden="1" customWidth="1"/>
    <col min="13070" max="13071" width="6.26953125" style="193" customWidth="1"/>
    <col min="13072" max="13072" width="6" style="193" bestFit="1" customWidth="1"/>
    <col min="13073" max="13074" width="6" style="193" customWidth="1"/>
    <col min="13075" max="13075" width="6" style="193" bestFit="1" customWidth="1"/>
    <col min="13076" max="13076" width="8.1796875" style="193" bestFit="1" customWidth="1"/>
    <col min="13077" max="13077" width="5.7265625" style="193" customWidth="1"/>
    <col min="13078" max="13078" width="0" style="193" hidden="1" customWidth="1"/>
    <col min="13079" max="13079" width="6.36328125" style="193" bestFit="1" customWidth="1"/>
    <col min="13080" max="13080" width="0" style="193" hidden="1" customWidth="1"/>
    <col min="13081" max="13081" width="4.54296875" style="193" bestFit="1" customWidth="1"/>
    <col min="13082" max="13082" width="4.54296875" style="193" customWidth="1"/>
    <col min="13083" max="13083" width="6.453125" style="193" customWidth="1"/>
    <col min="13084" max="13084" width="14.81640625" style="193" customWidth="1"/>
    <col min="13085" max="13085" width="4.1796875" style="193" customWidth="1"/>
    <col min="13086" max="13086" width="0" style="193" hidden="1" customWidth="1"/>
    <col min="13087" max="13087" width="4.1796875" style="193" bestFit="1" customWidth="1"/>
    <col min="13088" max="13088" width="0" style="193" hidden="1" customWidth="1"/>
    <col min="13089" max="13089" width="4.54296875" style="193" bestFit="1" customWidth="1"/>
    <col min="13090" max="13090" width="4" style="193" bestFit="1" customWidth="1"/>
    <col min="13091" max="13091" width="4.54296875" style="193" bestFit="1" customWidth="1"/>
    <col min="13092" max="13092" width="5.81640625" style="193" bestFit="1" customWidth="1"/>
    <col min="13093" max="13093" width="4.54296875" style="193" bestFit="1" customWidth="1"/>
    <col min="13094" max="13094" width="6.26953125" style="193" bestFit="1" customWidth="1"/>
    <col min="13095" max="13095" width="4.54296875" style="193" bestFit="1" customWidth="1"/>
    <col min="13096" max="13096" width="13.6328125" style="193" customWidth="1"/>
    <col min="13097" max="13097" width="24.81640625" style="193" bestFit="1" customWidth="1"/>
    <col min="13098" max="13312" width="8.26953125" style="193"/>
    <col min="13313" max="13313" width="10" style="193" customWidth="1"/>
    <col min="13314" max="13315" width="6.7265625" style="193" customWidth="1"/>
    <col min="13316" max="13316" width="6.90625" style="193" bestFit="1" customWidth="1"/>
    <col min="13317" max="13319" width="0" style="193" hidden="1" customWidth="1"/>
    <col min="13320" max="13320" width="7" style="193" customWidth="1"/>
    <col min="13321" max="13321" width="6.90625" style="193" customWidth="1"/>
    <col min="13322" max="13322" width="8.08984375" style="193" customWidth="1"/>
    <col min="13323" max="13325" width="0" style="193" hidden="1" customWidth="1"/>
    <col min="13326" max="13327" width="6.26953125" style="193" customWidth="1"/>
    <col min="13328" max="13328" width="6" style="193" bestFit="1" customWidth="1"/>
    <col min="13329" max="13330" width="6" style="193" customWidth="1"/>
    <col min="13331" max="13331" width="6" style="193" bestFit="1" customWidth="1"/>
    <col min="13332" max="13332" width="8.1796875" style="193" bestFit="1" customWidth="1"/>
    <col min="13333" max="13333" width="5.7265625" style="193" customWidth="1"/>
    <col min="13334" max="13334" width="0" style="193" hidden="1" customWidth="1"/>
    <col min="13335" max="13335" width="6.36328125" style="193" bestFit="1" customWidth="1"/>
    <col min="13336" max="13336" width="0" style="193" hidden="1" customWidth="1"/>
    <col min="13337" max="13337" width="4.54296875" style="193" bestFit="1" customWidth="1"/>
    <col min="13338" max="13338" width="4.54296875" style="193" customWidth="1"/>
    <col min="13339" max="13339" width="6.453125" style="193" customWidth="1"/>
    <col min="13340" max="13340" width="14.81640625" style="193" customWidth="1"/>
    <col min="13341" max="13341" width="4.1796875" style="193" customWidth="1"/>
    <col min="13342" max="13342" width="0" style="193" hidden="1" customWidth="1"/>
    <col min="13343" max="13343" width="4.1796875" style="193" bestFit="1" customWidth="1"/>
    <col min="13344" max="13344" width="0" style="193" hidden="1" customWidth="1"/>
    <col min="13345" max="13345" width="4.54296875" style="193" bestFit="1" customWidth="1"/>
    <col min="13346" max="13346" width="4" style="193" bestFit="1" customWidth="1"/>
    <col min="13347" max="13347" width="4.54296875" style="193" bestFit="1" customWidth="1"/>
    <col min="13348" max="13348" width="5.81640625" style="193" bestFit="1" customWidth="1"/>
    <col min="13349" max="13349" width="4.54296875" style="193" bestFit="1" customWidth="1"/>
    <col min="13350" max="13350" width="6.26953125" style="193" bestFit="1" customWidth="1"/>
    <col min="13351" max="13351" width="4.54296875" style="193" bestFit="1" customWidth="1"/>
    <col min="13352" max="13352" width="13.6328125" style="193" customWidth="1"/>
    <col min="13353" max="13353" width="24.81640625" style="193" bestFit="1" customWidth="1"/>
    <col min="13354" max="13568" width="8.26953125" style="193"/>
    <col min="13569" max="13569" width="10" style="193" customWidth="1"/>
    <col min="13570" max="13571" width="6.7265625" style="193" customWidth="1"/>
    <col min="13572" max="13572" width="6.90625" style="193" bestFit="1" customWidth="1"/>
    <col min="13573" max="13575" width="0" style="193" hidden="1" customWidth="1"/>
    <col min="13576" max="13576" width="7" style="193" customWidth="1"/>
    <col min="13577" max="13577" width="6.90625" style="193" customWidth="1"/>
    <col min="13578" max="13578" width="8.08984375" style="193" customWidth="1"/>
    <col min="13579" max="13581" width="0" style="193" hidden="1" customWidth="1"/>
    <col min="13582" max="13583" width="6.26953125" style="193" customWidth="1"/>
    <col min="13584" max="13584" width="6" style="193" bestFit="1" customWidth="1"/>
    <col min="13585" max="13586" width="6" style="193" customWidth="1"/>
    <col min="13587" max="13587" width="6" style="193" bestFit="1" customWidth="1"/>
    <col min="13588" max="13588" width="8.1796875" style="193" bestFit="1" customWidth="1"/>
    <col min="13589" max="13589" width="5.7265625" style="193" customWidth="1"/>
    <col min="13590" max="13590" width="0" style="193" hidden="1" customWidth="1"/>
    <col min="13591" max="13591" width="6.36328125" style="193" bestFit="1" customWidth="1"/>
    <col min="13592" max="13592" width="0" style="193" hidden="1" customWidth="1"/>
    <col min="13593" max="13593" width="4.54296875" style="193" bestFit="1" customWidth="1"/>
    <col min="13594" max="13594" width="4.54296875" style="193" customWidth="1"/>
    <col min="13595" max="13595" width="6.453125" style="193" customWidth="1"/>
    <col min="13596" max="13596" width="14.81640625" style="193" customWidth="1"/>
    <col min="13597" max="13597" width="4.1796875" style="193" customWidth="1"/>
    <col min="13598" max="13598" width="0" style="193" hidden="1" customWidth="1"/>
    <col min="13599" max="13599" width="4.1796875" style="193" bestFit="1" customWidth="1"/>
    <col min="13600" max="13600" width="0" style="193" hidden="1" customWidth="1"/>
    <col min="13601" max="13601" width="4.54296875" style="193" bestFit="1" customWidth="1"/>
    <col min="13602" max="13602" width="4" style="193" bestFit="1" customWidth="1"/>
    <col min="13603" max="13603" width="4.54296875" style="193" bestFit="1" customWidth="1"/>
    <col min="13604" max="13604" width="5.81640625" style="193" bestFit="1" customWidth="1"/>
    <col min="13605" max="13605" width="4.54296875" style="193" bestFit="1" customWidth="1"/>
    <col min="13606" max="13606" width="6.26953125" style="193" bestFit="1" customWidth="1"/>
    <col min="13607" max="13607" width="4.54296875" style="193" bestFit="1" customWidth="1"/>
    <col min="13608" max="13608" width="13.6328125" style="193" customWidth="1"/>
    <col min="13609" max="13609" width="24.81640625" style="193" bestFit="1" customWidth="1"/>
    <col min="13610" max="13824" width="8.26953125" style="193"/>
    <col min="13825" max="13825" width="10" style="193" customWidth="1"/>
    <col min="13826" max="13827" width="6.7265625" style="193" customWidth="1"/>
    <col min="13828" max="13828" width="6.90625" style="193" bestFit="1" customWidth="1"/>
    <col min="13829" max="13831" width="0" style="193" hidden="1" customWidth="1"/>
    <col min="13832" max="13832" width="7" style="193" customWidth="1"/>
    <col min="13833" max="13833" width="6.90625" style="193" customWidth="1"/>
    <col min="13834" max="13834" width="8.08984375" style="193" customWidth="1"/>
    <col min="13835" max="13837" width="0" style="193" hidden="1" customWidth="1"/>
    <col min="13838" max="13839" width="6.26953125" style="193" customWidth="1"/>
    <col min="13840" max="13840" width="6" style="193" bestFit="1" customWidth="1"/>
    <col min="13841" max="13842" width="6" style="193" customWidth="1"/>
    <col min="13843" max="13843" width="6" style="193" bestFit="1" customWidth="1"/>
    <col min="13844" max="13844" width="8.1796875" style="193" bestFit="1" customWidth="1"/>
    <col min="13845" max="13845" width="5.7265625" style="193" customWidth="1"/>
    <col min="13846" max="13846" width="0" style="193" hidden="1" customWidth="1"/>
    <col min="13847" max="13847" width="6.36328125" style="193" bestFit="1" customWidth="1"/>
    <col min="13848" max="13848" width="0" style="193" hidden="1" customWidth="1"/>
    <col min="13849" max="13849" width="4.54296875" style="193" bestFit="1" customWidth="1"/>
    <col min="13850" max="13850" width="4.54296875" style="193" customWidth="1"/>
    <col min="13851" max="13851" width="6.453125" style="193" customWidth="1"/>
    <col min="13852" max="13852" width="14.81640625" style="193" customWidth="1"/>
    <col min="13853" max="13853" width="4.1796875" style="193" customWidth="1"/>
    <col min="13854" max="13854" width="0" style="193" hidden="1" customWidth="1"/>
    <col min="13855" max="13855" width="4.1796875" style="193" bestFit="1" customWidth="1"/>
    <col min="13856" max="13856" width="0" style="193" hidden="1" customWidth="1"/>
    <col min="13857" max="13857" width="4.54296875" style="193" bestFit="1" customWidth="1"/>
    <col min="13858" max="13858" width="4" style="193" bestFit="1" customWidth="1"/>
    <col min="13859" max="13859" width="4.54296875" style="193" bestFit="1" customWidth="1"/>
    <col min="13860" max="13860" width="5.81640625" style="193" bestFit="1" customWidth="1"/>
    <col min="13861" max="13861" width="4.54296875" style="193" bestFit="1" customWidth="1"/>
    <col min="13862" max="13862" width="6.26953125" style="193" bestFit="1" customWidth="1"/>
    <col min="13863" max="13863" width="4.54296875" style="193" bestFit="1" customWidth="1"/>
    <col min="13864" max="13864" width="13.6328125" style="193" customWidth="1"/>
    <col min="13865" max="13865" width="24.81640625" style="193" bestFit="1" customWidth="1"/>
    <col min="13866" max="14080" width="8.26953125" style="193"/>
    <col min="14081" max="14081" width="10" style="193" customWidth="1"/>
    <col min="14082" max="14083" width="6.7265625" style="193" customWidth="1"/>
    <col min="14084" max="14084" width="6.90625" style="193" bestFit="1" customWidth="1"/>
    <col min="14085" max="14087" width="0" style="193" hidden="1" customWidth="1"/>
    <col min="14088" max="14088" width="7" style="193" customWidth="1"/>
    <col min="14089" max="14089" width="6.90625" style="193" customWidth="1"/>
    <col min="14090" max="14090" width="8.08984375" style="193" customWidth="1"/>
    <col min="14091" max="14093" width="0" style="193" hidden="1" customWidth="1"/>
    <col min="14094" max="14095" width="6.26953125" style="193" customWidth="1"/>
    <col min="14096" max="14096" width="6" style="193" bestFit="1" customWidth="1"/>
    <col min="14097" max="14098" width="6" style="193" customWidth="1"/>
    <col min="14099" max="14099" width="6" style="193" bestFit="1" customWidth="1"/>
    <col min="14100" max="14100" width="8.1796875" style="193" bestFit="1" customWidth="1"/>
    <col min="14101" max="14101" width="5.7265625" style="193" customWidth="1"/>
    <col min="14102" max="14102" width="0" style="193" hidden="1" customWidth="1"/>
    <col min="14103" max="14103" width="6.36328125" style="193" bestFit="1" customWidth="1"/>
    <col min="14104" max="14104" width="0" style="193" hidden="1" customWidth="1"/>
    <col min="14105" max="14105" width="4.54296875" style="193" bestFit="1" customWidth="1"/>
    <col min="14106" max="14106" width="4.54296875" style="193" customWidth="1"/>
    <col min="14107" max="14107" width="6.453125" style="193" customWidth="1"/>
    <col min="14108" max="14108" width="14.81640625" style="193" customWidth="1"/>
    <col min="14109" max="14109" width="4.1796875" style="193" customWidth="1"/>
    <col min="14110" max="14110" width="0" style="193" hidden="1" customWidth="1"/>
    <col min="14111" max="14111" width="4.1796875" style="193" bestFit="1" customWidth="1"/>
    <col min="14112" max="14112" width="0" style="193" hidden="1" customWidth="1"/>
    <col min="14113" max="14113" width="4.54296875" style="193" bestFit="1" customWidth="1"/>
    <col min="14114" max="14114" width="4" style="193" bestFit="1" customWidth="1"/>
    <col min="14115" max="14115" width="4.54296875" style="193" bestFit="1" customWidth="1"/>
    <col min="14116" max="14116" width="5.81640625" style="193" bestFit="1" customWidth="1"/>
    <col min="14117" max="14117" width="4.54296875" style="193" bestFit="1" customWidth="1"/>
    <col min="14118" max="14118" width="6.26953125" style="193" bestFit="1" customWidth="1"/>
    <col min="14119" max="14119" width="4.54296875" style="193" bestFit="1" customWidth="1"/>
    <col min="14120" max="14120" width="13.6328125" style="193" customWidth="1"/>
    <col min="14121" max="14121" width="24.81640625" style="193" bestFit="1" customWidth="1"/>
    <col min="14122" max="14336" width="8.26953125" style="193"/>
    <col min="14337" max="14337" width="10" style="193" customWidth="1"/>
    <col min="14338" max="14339" width="6.7265625" style="193" customWidth="1"/>
    <col min="14340" max="14340" width="6.90625" style="193" bestFit="1" customWidth="1"/>
    <col min="14341" max="14343" width="0" style="193" hidden="1" customWidth="1"/>
    <col min="14344" max="14344" width="7" style="193" customWidth="1"/>
    <col min="14345" max="14345" width="6.90625" style="193" customWidth="1"/>
    <col min="14346" max="14346" width="8.08984375" style="193" customWidth="1"/>
    <col min="14347" max="14349" width="0" style="193" hidden="1" customWidth="1"/>
    <col min="14350" max="14351" width="6.26953125" style="193" customWidth="1"/>
    <col min="14352" max="14352" width="6" style="193" bestFit="1" customWidth="1"/>
    <col min="14353" max="14354" width="6" style="193" customWidth="1"/>
    <col min="14355" max="14355" width="6" style="193" bestFit="1" customWidth="1"/>
    <col min="14356" max="14356" width="8.1796875" style="193" bestFit="1" customWidth="1"/>
    <col min="14357" max="14357" width="5.7265625" style="193" customWidth="1"/>
    <col min="14358" max="14358" width="0" style="193" hidden="1" customWidth="1"/>
    <col min="14359" max="14359" width="6.36328125" style="193" bestFit="1" customWidth="1"/>
    <col min="14360" max="14360" width="0" style="193" hidden="1" customWidth="1"/>
    <col min="14361" max="14361" width="4.54296875" style="193" bestFit="1" customWidth="1"/>
    <col min="14362" max="14362" width="4.54296875" style="193" customWidth="1"/>
    <col min="14363" max="14363" width="6.453125" style="193" customWidth="1"/>
    <col min="14364" max="14364" width="14.81640625" style="193" customWidth="1"/>
    <col min="14365" max="14365" width="4.1796875" style="193" customWidth="1"/>
    <col min="14366" max="14366" width="0" style="193" hidden="1" customWidth="1"/>
    <col min="14367" max="14367" width="4.1796875" style="193" bestFit="1" customWidth="1"/>
    <col min="14368" max="14368" width="0" style="193" hidden="1" customWidth="1"/>
    <col min="14369" max="14369" width="4.54296875" style="193" bestFit="1" customWidth="1"/>
    <col min="14370" max="14370" width="4" style="193" bestFit="1" customWidth="1"/>
    <col min="14371" max="14371" width="4.54296875" style="193" bestFit="1" customWidth="1"/>
    <col min="14372" max="14372" width="5.81640625" style="193" bestFit="1" customWidth="1"/>
    <col min="14373" max="14373" width="4.54296875" style="193" bestFit="1" customWidth="1"/>
    <col min="14374" max="14374" width="6.26953125" style="193" bestFit="1" customWidth="1"/>
    <col min="14375" max="14375" width="4.54296875" style="193" bestFit="1" customWidth="1"/>
    <col min="14376" max="14376" width="13.6328125" style="193" customWidth="1"/>
    <col min="14377" max="14377" width="24.81640625" style="193" bestFit="1" customWidth="1"/>
    <col min="14378" max="14592" width="8.26953125" style="193"/>
    <col min="14593" max="14593" width="10" style="193" customWidth="1"/>
    <col min="14594" max="14595" width="6.7265625" style="193" customWidth="1"/>
    <col min="14596" max="14596" width="6.90625" style="193" bestFit="1" customWidth="1"/>
    <col min="14597" max="14599" width="0" style="193" hidden="1" customWidth="1"/>
    <col min="14600" max="14600" width="7" style="193" customWidth="1"/>
    <col min="14601" max="14601" width="6.90625" style="193" customWidth="1"/>
    <col min="14602" max="14602" width="8.08984375" style="193" customWidth="1"/>
    <col min="14603" max="14605" width="0" style="193" hidden="1" customWidth="1"/>
    <col min="14606" max="14607" width="6.26953125" style="193" customWidth="1"/>
    <col min="14608" max="14608" width="6" style="193" bestFit="1" customWidth="1"/>
    <col min="14609" max="14610" width="6" style="193" customWidth="1"/>
    <col min="14611" max="14611" width="6" style="193" bestFit="1" customWidth="1"/>
    <col min="14612" max="14612" width="8.1796875" style="193" bestFit="1" customWidth="1"/>
    <col min="14613" max="14613" width="5.7265625" style="193" customWidth="1"/>
    <col min="14614" max="14614" width="0" style="193" hidden="1" customWidth="1"/>
    <col min="14615" max="14615" width="6.36328125" style="193" bestFit="1" customWidth="1"/>
    <col min="14616" max="14616" width="0" style="193" hidden="1" customWidth="1"/>
    <col min="14617" max="14617" width="4.54296875" style="193" bestFit="1" customWidth="1"/>
    <col min="14618" max="14618" width="4.54296875" style="193" customWidth="1"/>
    <col min="14619" max="14619" width="6.453125" style="193" customWidth="1"/>
    <col min="14620" max="14620" width="14.81640625" style="193" customWidth="1"/>
    <col min="14621" max="14621" width="4.1796875" style="193" customWidth="1"/>
    <col min="14622" max="14622" width="0" style="193" hidden="1" customWidth="1"/>
    <col min="14623" max="14623" width="4.1796875" style="193" bestFit="1" customWidth="1"/>
    <col min="14624" max="14624" width="0" style="193" hidden="1" customWidth="1"/>
    <col min="14625" max="14625" width="4.54296875" style="193" bestFit="1" customWidth="1"/>
    <col min="14626" max="14626" width="4" style="193" bestFit="1" customWidth="1"/>
    <col min="14627" max="14627" width="4.54296875" style="193" bestFit="1" customWidth="1"/>
    <col min="14628" max="14628" width="5.81640625" style="193" bestFit="1" customWidth="1"/>
    <col min="14629" max="14629" width="4.54296875" style="193" bestFit="1" customWidth="1"/>
    <col min="14630" max="14630" width="6.26953125" style="193" bestFit="1" customWidth="1"/>
    <col min="14631" max="14631" width="4.54296875" style="193" bestFit="1" customWidth="1"/>
    <col min="14632" max="14632" width="13.6328125" style="193" customWidth="1"/>
    <col min="14633" max="14633" width="24.81640625" style="193" bestFit="1" customWidth="1"/>
    <col min="14634" max="14848" width="8.26953125" style="193"/>
    <col min="14849" max="14849" width="10" style="193" customWidth="1"/>
    <col min="14850" max="14851" width="6.7265625" style="193" customWidth="1"/>
    <col min="14852" max="14852" width="6.90625" style="193" bestFit="1" customWidth="1"/>
    <col min="14853" max="14855" width="0" style="193" hidden="1" customWidth="1"/>
    <col min="14856" max="14856" width="7" style="193" customWidth="1"/>
    <col min="14857" max="14857" width="6.90625" style="193" customWidth="1"/>
    <col min="14858" max="14858" width="8.08984375" style="193" customWidth="1"/>
    <col min="14859" max="14861" width="0" style="193" hidden="1" customWidth="1"/>
    <col min="14862" max="14863" width="6.26953125" style="193" customWidth="1"/>
    <col min="14864" max="14864" width="6" style="193" bestFit="1" customWidth="1"/>
    <col min="14865" max="14866" width="6" style="193" customWidth="1"/>
    <col min="14867" max="14867" width="6" style="193" bestFit="1" customWidth="1"/>
    <col min="14868" max="14868" width="8.1796875" style="193" bestFit="1" customWidth="1"/>
    <col min="14869" max="14869" width="5.7265625" style="193" customWidth="1"/>
    <col min="14870" max="14870" width="0" style="193" hidden="1" customWidth="1"/>
    <col min="14871" max="14871" width="6.36328125" style="193" bestFit="1" customWidth="1"/>
    <col min="14872" max="14872" width="0" style="193" hidden="1" customWidth="1"/>
    <col min="14873" max="14873" width="4.54296875" style="193" bestFit="1" customWidth="1"/>
    <col min="14874" max="14874" width="4.54296875" style="193" customWidth="1"/>
    <col min="14875" max="14875" width="6.453125" style="193" customWidth="1"/>
    <col min="14876" max="14876" width="14.81640625" style="193" customWidth="1"/>
    <col min="14877" max="14877" width="4.1796875" style="193" customWidth="1"/>
    <col min="14878" max="14878" width="0" style="193" hidden="1" customWidth="1"/>
    <col min="14879" max="14879" width="4.1796875" style="193" bestFit="1" customWidth="1"/>
    <col min="14880" max="14880" width="0" style="193" hidden="1" customWidth="1"/>
    <col min="14881" max="14881" width="4.54296875" style="193" bestFit="1" customWidth="1"/>
    <col min="14882" max="14882" width="4" style="193" bestFit="1" customWidth="1"/>
    <col min="14883" max="14883" width="4.54296875" style="193" bestFit="1" customWidth="1"/>
    <col min="14884" max="14884" width="5.81640625" style="193" bestFit="1" customWidth="1"/>
    <col min="14885" max="14885" width="4.54296875" style="193" bestFit="1" customWidth="1"/>
    <col min="14886" max="14886" width="6.26953125" style="193" bestFit="1" customWidth="1"/>
    <col min="14887" max="14887" width="4.54296875" style="193" bestFit="1" customWidth="1"/>
    <col min="14888" max="14888" width="13.6328125" style="193" customWidth="1"/>
    <col min="14889" max="14889" width="24.81640625" style="193" bestFit="1" customWidth="1"/>
    <col min="14890" max="15104" width="8.26953125" style="193"/>
    <col min="15105" max="15105" width="10" style="193" customWidth="1"/>
    <col min="15106" max="15107" width="6.7265625" style="193" customWidth="1"/>
    <col min="15108" max="15108" width="6.90625" style="193" bestFit="1" customWidth="1"/>
    <col min="15109" max="15111" width="0" style="193" hidden="1" customWidth="1"/>
    <col min="15112" max="15112" width="7" style="193" customWidth="1"/>
    <col min="15113" max="15113" width="6.90625" style="193" customWidth="1"/>
    <col min="15114" max="15114" width="8.08984375" style="193" customWidth="1"/>
    <col min="15115" max="15117" width="0" style="193" hidden="1" customWidth="1"/>
    <col min="15118" max="15119" width="6.26953125" style="193" customWidth="1"/>
    <col min="15120" max="15120" width="6" style="193" bestFit="1" customWidth="1"/>
    <col min="15121" max="15122" width="6" style="193" customWidth="1"/>
    <col min="15123" max="15123" width="6" style="193" bestFit="1" customWidth="1"/>
    <col min="15124" max="15124" width="8.1796875" style="193" bestFit="1" customWidth="1"/>
    <col min="15125" max="15125" width="5.7265625" style="193" customWidth="1"/>
    <col min="15126" max="15126" width="0" style="193" hidden="1" customWidth="1"/>
    <col min="15127" max="15127" width="6.36328125" style="193" bestFit="1" customWidth="1"/>
    <col min="15128" max="15128" width="0" style="193" hidden="1" customWidth="1"/>
    <col min="15129" max="15129" width="4.54296875" style="193" bestFit="1" customWidth="1"/>
    <col min="15130" max="15130" width="4.54296875" style="193" customWidth="1"/>
    <col min="15131" max="15131" width="6.453125" style="193" customWidth="1"/>
    <col min="15132" max="15132" width="14.81640625" style="193" customWidth="1"/>
    <col min="15133" max="15133" width="4.1796875" style="193" customWidth="1"/>
    <col min="15134" max="15134" width="0" style="193" hidden="1" customWidth="1"/>
    <col min="15135" max="15135" width="4.1796875" style="193" bestFit="1" customWidth="1"/>
    <col min="15136" max="15136" width="0" style="193" hidden="1" customWidth="1"/>
    <col min="15137" max="15137" width="4.54296875" style="193" bestFit="1" customWidth="1"/>
    <col min="15138" max="15138" width="4" style="193" bestFit="1" customWidth="1"/>
    <col min="15139" max="15139" width="4.54296875" style="193" bestFit="1" customWidth="1"/>
    <col min="15140" max="15140" width="5.81640625" style="193" bestFit="1" customWidth="1"/>
    <col min="15141" max="15141" width="4.54296875" style="193" bestFit="1" customWidth="1"/>
    <col min="15142" max="15142" width="6.26953125" style="193" bestFit="1" customWidth="1"/>
    <col min="15143" max="15143" width="4.54296875" style="193" bestFit="1" customWidth="1"/>
    <col min="15144" max="15144" width="13.6328125" style="193" customWidth="1"/>
    <col min="15145" max="15145" width="24.81640625" style="193" bestFit="1" customWidth="1"/>
    <col min="15146" max="15360" width="8.26953125" style="193"/>
    <col min="15361" max="15361" width="10" style="193" customWidth="1"/>
    <col min="15362" max="15363" width="6.7265625" style="193" customWidth="1"/>
    <col min="15364" max="15364" width="6.90625" style="193" bestFit="1" customWidth="1"/>
    <col min="15365" max="15367" width="0" style="193" hidden="1" customWidth="1"/>
    <col min="15368" max="15368" width="7" style="193" customWidth="1"/>
    <col min="15369" max="15369" width="6.90625" style="193" customWidth="1"/>
    <col min="15370" max="15370" width="8.08984375" style="193" customWidth="1"/>
    <col min="15371" max="15373" width="0" style="193" hidden="1" customWidth="1"/>
    <col min="15374" max="15375" width="6.26953125" style="193" customWidth="1"/>
    <col min="15376" max="15376" width="6" style="193" bestFit="1" customWidth="1"/>
    <col min="15377" max="15378" width="6" style="193" customWidth="1"/>
    <col min="15379" max="15379" width="6" style="193" bestFit="1" customWidth="1"/>
    <col min="15380" max="15380" width="8.1796875" style="193" bestFit="1" customWidth="1"/>
    <col min="15381" max="15381" width="5.7265625" style="193" customWidth="1"/>
    <col min="15382" max="15382" width="0" style="193" hidden="1" customWidth="1"/>
    <col min="15383" max="15383" width="6.36328125" style="193" bestFit="1" customWidth="1"/>
    <col min="15384" max="15384" width="0" style="193" hidden="1" customWidth="1"/>
    <col min="15385" max="15385" width="4.54296875" style="193" bestFit="1" customWidth="1"/>
    <col min="15386" max="15386" width="4.54296875" style="193" customWidth="1"/>
    <col min="15387" max="15387" width="6.453125" style="193" customWidth="1"/>
    <col min="15388" max="15388" width="14.81640625" style="193" customWidth="1"/>
    <col min="15389" max="15389" width="4.1796875" style="193" customWidth="1"/>
    <col min="15390" max="15390" width="0" style="193" hidden="1" customWidth="1"/>
    <col min="15391" max="15391" width="4.1796875" style="193" bestFit="1" customWidth="1"/>
    <col min="15392" max="15392" width="0" style="193" hidden="1" customWidth="1"/>
    <col min="15393" max="15393" width="4.54296875" style="193" bestFit="1" customWidth="1"/>
    <col min="15394" max="15394" width="4" style="193" bestFit="1" customWidth="1"/>
    <col min="15395" max="15395" width="4.54296875" style="193" bestFit="1" customWidth="1"/>
    <col min="15396" max="15396" width="5.81640625" style="193" bestFit="1" customWidth="1"/>
    <col min="15397" max="15397" width="4.54296875" style="193" bestFit="1" customWidth="1"/>
    <col min="15398" max="15398" width="6.26953125" style="193" bestFit="1" customWidth="1"/>
    <col min="15399" max="15399" width="4.54296875" style="193" bestFit="1" customWidth="1"/>
    <col min="15400" max="15400" width="13.6328125" style="193" customWidth="1"/>
    <col min="15401" max="15401" width="24.81640625" style="193" bestFit="1" customWidth="1"/>
    <col min="15402" max="15616" width="8.26953125" style="193"/>
    <col min="15617" max="15617" width="10" style="193" customWidth="1"/>
    <col min="15618" max="15619" width="6.7265625" style="193" customWidth="1"/>
    <col min="15620" max="15620" width="6.90625" style="193" bestFit="1" customWidth="1"/>
    <col min="15621" max="15623" width="0" style="193" hidden="1" customWidth="1"/>
    <col min="15624" max="15624" width="7" style="193" customWidth="1"/>
    <col min="15625" max="15625" width="6.90625" style="193" customWidth="1"/>
    <col min="15626" max="15626" width="8.08984375" style="193" customWidth="1"/>
    <col min="15627" max="15629" width="0" style="193" hidden="1" customWidth="1"/>
    <col min="15630" max="15631" width="6.26953125" style="193" customWidth="1"/>
    <col min="15632" max="15632" width="6" style="193" bestFit="1" customWidth="1"/>
    <col min="15633" max="15634" width="6" style="193" customWidth="1"/>
    <col min="15635" max="15635" width="6" style="193" bestFit="1" customWidth="1"/>
    <col min="15636" max="15636" width="8.1796875" style="193" bestFit="1" customWidth="1"/>
    <col min="15637" max="15637" width="5.7265625" style="193" customWidth="1"/>
    <col min="15638" max="15638" width="0" style="193" hidden="1" customWidth="1"/>
    <col min="15639" max="15639" width="6.36328125" style="193" bestFit="1" customWidth="1"/>
    <col min="15640" max="15640" width="0" style="193" hidden="1" customWidth="1"/>
    <col min="15641" max="15641" width="4.54296875" style="193" bestFit="1" customWidth="1"/>
    <col min="15642" max="15642" width="4.54296875" style="193" customWidth="1"/>
    <col min="15643" max="15643" width="6.453125" style="193" customWidth="1"/>
    <col min="15644" max="15644" width="14.81640625" style="193" customWidth="1"/>
    <col min="15645" max="15645" width="4.1796875" style="193" customWidth="1"/>
    <col min="15646" max="15646" width="0" style="193" hidden="1" customWidth="1"/>
    <col min="15647" max="15647" width="4.1796875" style="193" bestFit="1" customWidth="1"/>
    <col min="15648" max="15648" width="0" style="193" hidden="1" customWidth="1"/>
    <col min="15649" max="15649" width="4.54296875" style="193" bestFit="1" customWidth="1"/>
    <col min="15650" max="15650" width="4" style="193" bestFit="1" customWidth="1"/>
    <col min="15651" max="15651" width="4.54296875" style="193" bestFit="1" customWidth="1"/>
    <col min="15652" max="15652" width="5.81640625" style="193" bestFit="1" customWidth="1"/>
    <col min="15653" max="15653" width="4.54296875" style="193" bestFit="1" customWidth="1"/>
    <col min="15654" max="15654" width="6.26953125" style="193" bestFit="1" customWidth="1"/>
    <col min="15655" max="15655" width="4.54296875" style="193" bestFit="1" customWidth="1"/>
    <col min="15656" max="15656" width="13.6328125" style="193" customWidth="1"/>
    <col min="15657" max="15657" width="24.81640625" style="193" bestFit="1" customWidth="1"/>
    <col min="15658" max="15872" width="8.26953125" style="193"/>
    <col min="15873" max="15873" width="10" style="193" customWidth="1"/>
    <col min="15874" max="15875" width="6.7265625" style="193" customWidth="1"/>
    <col min="15876" max="15876" width="6.90625" style="193" bestFit="1" customWidth="1"/>
    <col min="15877" max="15879" width="0" style="193" hidden="1" customWidth="1"/>
    <col min="15880" max="15880" width="7" style="193" customWidth="1"/>
    <col min="15881" max="15881" width="6.90625" style="193" customWidth="1"/>
    <col min="15882" max="15882" width="8.08984375" style="193" customWidth="1"/>
    <col min="15883" max="15885" width="0" style="193" hidden="1" customWidth="1"/>
    <col min="15886" max="15887" width="6.26953125" style="193" customWidth="1"/>
    <col min="15888" max="15888" width="6" style="193" bestFit="1" customWidth="1"/>
    <col min="15889" max="15890" width="6" style="193" customWidth="1"/>
    <col min="15891" max="15891" width="6" style="193" bestFit="1" customWidth="1"/>
    <col min="15892" max="15892" width="8.1796875" style="193" bestFit="1" customWidth="1"/>
    <col min="15893" max="15893" width="5.7265625" style="193" customWidth="1"/>
    <col min="15894" max="15894" width="0" style="193" hidden="1" customWidth="1"/>
    <col min="15895" max="15895" width="6.36328125" style="193" bestFit="1" customWidth="1"/>
    <col min="15896" max="15896" width="0" style="193" hidden="1" customWidth="1"/>
    <col min="15897" max="15897" width="4.54296875" style="193" bestFit="1" customWidth="1"/>
    <col min="15898" max="15898" width="4.54296875" style="193" customWidth="1"/>
    <col min="15899" max="15899" width="6.453125" style="193" customWidth="1"/>
    <col min="15900" max="15900" width="14.81640625" style="193" customWidth="1"/>
    <col min="15901" max="15901" width="4.1796875" style="193" customWidth="1"/>
    <col min="15902" max="15902" width="0" style="193" hidden="1" customWidth="1"/>
    <col min="15903" max="15903" width="4.1796875" style="193" bestFit="1" customWidth="1"/>
    <col min="15904" max="15904" width="0" style="193" hidden="1" customWidth="1"/>
    <col min="15905" max="15905" width="4.54296875" style="193" bestFit="1" customWidth="1"/>
    <col min="15906" max="15906" width="4" style="193" bestFit="1" customWidth="1"/>
    <col min="15907" max="15907" width="4.54296875" style="193" bestFit="1" customWidth="1"/>
    <col min="15908" max="15908" width="5.81640625" style="193" bestFit="1" customWidth="1"/>
    <col min="15909" max="15909" width="4.54296875" style="193" bestFit="1" customWidth="1"/>
    <col min="15910" max="15910" width="6.26953125" style="193" bestFit="1" customWidth="1"/>
    <col min="15911" max="15911" width="4.54296875" style="193" bestFit="1" customWidth="1"/>
    <col min="15912" max="15912" width="13.6328125" style="193" customWidth="1"/>
    <col min="15913" max="15913" width="24.81640625" style="193" bestFit="1" customWidth="1"/>
    <col min="15914" max="16128" width="8.26953125" style="193"/>
    <col min="16129" max="16129" width="10" style="193" customWidth="1"/>
    <col min="16130" max="16131" width="6.7265625" style="193" customWidth="1"/>
    <col min="16132" max="16132" width="6.90625" style="193" bestFit="1" customWidth="1"/>
    <col min="16133" max="16135" width="0" style="193" hidden="1" customWidth="1"/>
    <col min="16136" max="16136" width="7" style="193" customWidth="1"/>
    <col min="16137" max="16137" width="6.90625" style="193" customWidth="1"/>
    <col min="16138" max="16138" width="8.08984375" style="193" customWidth="1"/>
    <col min="16139" max="16141" width="0" style="193" hidden="1" customWidth="1"/>
    <col min="16142" max="16143" width="6.26953125" style="193" customWidth="1"/>
    <col min="16144" max="16144" width="6" style="193" bestFit="1" customWidth="1"/>
    <col min="16145" max="16146" width="6" style="193" customWidth="1"/>
    <col min="16147" max="16147" width="6" style="193" bestFit="1" customWidth="1"/>
    <col min="16148" max="16148" width="8.1796875" style="193" bestFit="1" customWidth="1"/>
    <col min="16149" max="16149" width="5.7265625" style="193" customWidth="1"/>
    <col min="16150" max="16150" width="0" style="193" hidden="1" customWidth="1"/>
    <col min="16151" max="16151" width="6.36328125" style="193" bestFit="1" customWidth="1"/>
    <col min="16152" max="16152" width="0" style="193" hidden="1" customWidth="1"/>
    <col min="16153" max="16153" width="4.54296875" style="193" bestFit="1" customWidth="1"/>
    <col min="16154" max="16154" width="4.54296875" style="193" customWidth="1"/>
    <col min="16155" max="16155" width="6.453125" style="193" customWidth="1"/>
    <col min="16156" max="16156" width="14.81640625" style="193" customWidth="1"/>
    <col min="16157" max="16157" width="4.1796875" style="193" customWidth="1"/>
    <col min="16158" max="16158" width="0" style="193" hidden="1" customWidth="1"/>
    <col min="16159" max="16159" width="4.1796875" style="193" bestFit="1" customWidth="1"/>
    <col min="16160" max="16160" width="0" style="193" hidden="1" customWidth="1"/>
    <col min="16161" max="16161" width="4.54296875" style="193" bestFit="1" customWidth="1"/>
    <col min="16162" max="16162" width="4" style="193" bestFit="1" customWidth="1"/>
    <col min="16163" max="16163" width="4.54296875" style="193" bestFit="1" customWidth="1"/>
    <col min="16164" max="16164" width="5.81640625" style="193" bestFit="1" customWidth="1"/>
    <col min="16165" max="16165" width="4.54296875" style="193" bestFit="1" customWidth="1"/>
    <col min="16166" max="16166" width="6.26953125" style="193" bestFit="1" customWidth="1"/>
    <col min="16167" max="16167" width="4.54296875" style="193" bestFit="1" customWidth="1"/>
    <col min="16168" max="16168" width="13.6328125" style="193" customWidth="1"/>
    <col min="16169" max="16169" width="24.81640625" style="193" bestFit="1" customWidth="1"/>
    <col min="16170" max="16384" width="8.26953125" style="193"/>
  </cols>
  <sheetData>
    <row r="1" spans="1:41" s="127" customFormat="1" ht="14.95" customHeight="1" thickBot="1" x14ac:dyDescent="0.35">
      <c r="A1" s="412" t="s">
        <v>26</v>
      </c>
      <c r="B1" s="415" t="s">
        <v>133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7" t="s">
        <v>134</v>
      </c>
      <c r="V1" s="418"/>
      <c r="W1" s="418"/>
      <c r="X1" s="418"/>
      <c r="Y1" s="418"/>
      <c r="Z1" s="418"/>
      <c r="AA1" s="418"/>
      <c r="AB1" s="419"/>
      <c r="AC1" s="420" t="s">
        <v>153</v>
      </c>
      <c r="AD1" s="421"/>
      <c r="AE1" s="421"/>
      <c r="AF1" s="421"/>
      <c r="AG1" s="421"/>
      <c r="AH1" s="422"/>
      <c r="AI1" s="423" t="s">
        <v>189</v>
      </c>
      <c r="AJ1" s="424"/>
      <c r="AK1" s="424"/>
      <c r="AL1" s="424"/>
      <c r="AM1" s="425"/>
      <c r="AN1" s="436" t="s">
        <v>155</v>
      </c>
      <c r="AO1" s="436" t="s">
        <v>25</v>
      </c>
    </row>
    <row r="2" spans="1:41" s="127" customFormat="1" x14ac:dyDescent="0.3">
      <c r="A2" s="413"/>
      <c r="B2" s="439" t="s">
        <v>29</v>
      </c>
      <c r="C2" s="440"/>
      <c r="D2" s="432"/>
      <c r="E2" s="439" t="s">
        <v>163</v>
      </c>
      <c r="F2" s="440"/>
      <c r="G2" s="432"/>
      <c r="H2" s="439" t="s">
        <v>164</v>
      </c>
      <c r="I2" s="440"/>
      <c r="J2" s="432"/>
      <c r="K2" s="439" t="s">
        <v>159</v>
      </c>
      <c r="L2" s="440"/>
      <c r="M2" s="432"/>
      <c r="N2" s="439" t="s">
        <v>31</v>
      </c>
      <c r="O2" s="440"/>
      <c r="P2" s="432"/>
      <c r="Q2" s="405" t="s">
        <v>160</v>
      </c>
      <c r="R2" s="405" t="s">
        <v>161</v>
      </c>
      <c r="S2" s="405" t="s">
        <v>139</v>
      </c>
      <c r="T2" s="441" t="s">
        <v>140</v>
      </c>
      <c r="U2" s="426" t="s">
        <v>156</v>
      </c>
      <c r="V2" s="428" t="s">
        <v>157</v>
      </c>
      <c r="W2" s="428" t="s">
        <v>158</v>
      </c>
      <c r="X2" s="428" t="s">
        <v>159</v>
      </c>
      <c r="Y2" s="428" t="s">
        <v>31</v>
      </c>
      <c r="Z2" s="428" t="s">
        <v>161</v>
      </c>
      <c r="AA2" s="428" t="s">
        <v>142</v>
      </c>
      <c r="AB2" s="430" t="s">
        <v>165</v>
      </c>
      <c r="AC2" s="426" t="s">
        <v>29</v>
      </c>
      <c r="AD2" s="428" t="s">
        <v>163</v>
      </c>
      <c r="AE2" s="428" t="s">
        <v>164</v>
      </c>
      <c r="AF2" s="428" t="s">
        <v>159</v>
      </c>
      <c r="AG2" s="428" t="s">
        <v>31</v>
      </c>
      <c r="AH2" s="430" t="s">
        <v>161</v>
      </c>
      <c r="AI2" s="432" t="s">
        <v>29</v>
      </c>
      <c r="AJ2" s="428" t="s">
        <v>163</v>
      </c>
      <c r="AK2" s="428" t="s">
        <v>164</v>
      </c>
      <c r="AL2" s="428" t="s">
        <v>159</v>
      </c>
      <c r="AM2" s="430" t="s">
        <v>31</v>
      </c>
      <c r="AN2" s="437"/>
      <c r="AO2" s="437"/>
    </row>
    <row r="3" spans="1:41" s="127" customFormat="1" ht="14.95" thickBot="1" x14ac:dyDescent="0.35">
      <c r="A3" s="414"/>
      <c r="B3" s="128" t="s">
        <v>147</v>
      </c>
      <c r="C3" s="129" t="s">
        <v>148</v>
      </c>
      <c r="D3" s="129" t="s">
        <v>149</v>
      </c>
      <c r="E3" s="128" t="s">
        <v>147</v>
      </c>
      <c r="F3" s="129" t="s">
        <v>148</v>
      </c>
      <c r="G3" s="129" t="s">
        <v>149</v>
      </c>
      <c r="H3" s="128" t="s">
        <v>147</v>
      </c>
      <c r="I3" s="129" t="s">
        <v>148</v>
      </c>
      <c r="J3" s="129" t="s">
        <v>149</v>
      </c>
      <c r="K3" s="128" t="s">
        <v>147</v>
      </c>
      <c r="L3" s="129" t="s">
        <v>148</v>
      </c>
      <c r="M3" s="129" t="s">
        <v>149</v>
      </c>
      <c r="N3" s="128" t="s">
        <v>147</v>
      </c>
      <c r="O3" s="129" t="s">
        <v>148</v>
      </c>
      <c r="P3" s="129" t="s">
        <v>149</v>
      </c>
      <c r="Q3" s="388"/>
      <c r="R3" s="388" t="s">
        <v>166</v>
      </c>
      <c r="S3" s="388"/>
      <c r="T3" s="442"/>
      <c r="U3" s="427"/>
      <c r="V3" s="429"/>
      <c r="W3" s="429"/>
      <c r="X3" s="429"/>
      <c r="Y3" s="429"/>
      <c r="Z3" s="429"/>
      <c r="AA3" s="429"/>
      <c r="AB3" s="431"/>
      <c r="AC3" s="427"/>
      <c r="AD3" s="429"/>
      <c r="AE3" s="429"/>
      <c r="AF3" s="429"/>
      <c r="AG3" s="429"/>
      <c r="AH3" s="431"/>
      <c r="AI3" s="433"/>
      <c r="AJ3" s="429"/>
      <c r="AK3" s="429"/>
      <c r="AL3" s="429"/>
      <c r="AM3" s="431"/>
      <c r="AN3" s="438"/>
      <c r="AO3" s="438"/>
    </row>
    <row r="4" spans="1:41" s="127" customFormat="1" hidden="1" x14ac:dyDescent="0.3">
      <c r="A4" s="228">
        <v>41255</v>
      </c>
      <c r="B4" s="229">
        <v>190.58</v>
      </c>
      <c r="C4" s="230">
        <v>193.4</v>
      </c>
      <c r="D4" s="230">
        <v>191.82900000000001</v>
      </c>
      <c r="E4" s="231"/>
      <c r="F4" s="231"/>
      <c r="G4" s="231"/>
      <c r="H4" s="231">
        <v>192.59</v>
      </c>
      <c r="I4" s="231">
        <v>193.69</v>
      </c>
      <c r="J4" s="231">
        <v>192.922</v>
      </c>
      <c r="K4" s="231"/>
      <c r="L4" s="231"/>
      <c r="M4" s="231"/>
      <c r="N4" s="231">
        <v>191.67</v>
      </c>
      <c r="O4" s="231">
        <v>194.76</v>
      </c>
      <c r="P4" s="231">
        <v>193.12799999999999</v>
      </c>
      <c r="Q4" s="232">
        <v>229</v>
      </c>
      <c r="R4" s="232">
        <v>239</v>
      </c>
      <c r="S4" s="233"/>
      <c r="T4" s="234"/>
      <c r="U4" s="235"/>
      <c r="V4" s="231"/>
      <c r="W4" s="231"/>
      <c r="X4" s="231"/>
      <c r="Y4" s="231"/>
      <c r="Z4" s="231"/>
      <c r="AA4" s="231"/>
      <c r="AB4" s="236"/>
      <c r="AC4" s="237">
        <v>0</v>
      </c>
      <c r="AD4" s="238"/>
      <c r="AE4" s="238">
        <v>0</v>
      </c>
      <c r="AF4" s="238">
        <v>1</v>
      </c>
      <c r="AG4" s="239"/>
      <c r="AH4" s="240">
        <v>20</v>
      </c>
      <c r="AI4" s="241"/>
      <c r="AJ4" s="242"/>
      <c r="AK4" s="242"/>
      <c r="AL4" s="242"/>
      <c r="AM4" s="243"/>
      <c r="AN4" s="244"/>
      <c r="AO4" s="245"/>
    </row>
    <row r="5" spans="1:41" s="127" customFormat="1" x14ac:dyDescent="0.3">
      <c r="A5" s="246">
        <v>41256</v>
      </c>
      <c r="B5" s="247">
        <v>233.74</v>
      </c>
      <c r="C5" s="248">
        <v>237.11</v>
      </c>
      <c r="D5" s="249">
        <v>235.40600000000001</v>
      </c>
      <c r="E5" s="250"/>
      <c r="F5" s="250"/>
      <c r="G5" s="250">
        <v>235.15100000000001</v>
      </c>
      <c r="H5" s="250">
        <v>236</v>
      </c>
      <c r="I5" s="250">
        <v>237.53</v>
      </c>
      <c r="J5" s="250">
        <v>236.7</v>
      </c>
      <c r="K5" s="250"/>
      <c r="L5" s="250"/>
      <c r="M5" s="250">
        <v>235.94</v>
      </c>
      <c r="N5" s="250">
        <v>234.92</v>
      </c>
      <c r="O5" s="250">
        <v>239.88</v>
      </c>
      <c r="P5" s="250">
        <v>237.22900000000001</v>
      </c>
      <c r="Q5" s="251">
        <v>229</v>
      </c>
      <c r="R5" s="251">
        <v>239</v>
      </c>
      <c r="S5" s="250">
        <f>AVERAGE(D5,G5,J5,M5,P5)</f>
        <v>236.08520000000004</v>
      </c>
      <c r="T5" s="252">
        <f>STDEVP(D5,G5,J5,M5,P5)</f>
        <v>0.77992086778082681</v>
      </c>
      <c r="U5" s="253">
        <v>0.71572687692471149</v>
      </c>
      <c r="V5" s="250">
        <v>0.38882396685435305</v>
      </c>
      <c r="W5" s="250">
        <v>0.32310518868920685</v>
      </c>
      <c r="X5" s="250">
        <v>0.45068872854996622</v>
      </c>
      <c r="Y5" s="250">
        <v>1.027974384900578</v>
      </c>
      <c r="Z5" s="250">
        <v>2</v>
      </c>
      <c r="AA5" s="250">
        <f>AVERAGE(U5:Z5)</f>
        <v>0.81771985765313593</v>
      </c>
      <c r="AB5" s="254">
        <f>STDEVP(U5:Z5)</f>
        <v>0.57961238124611647</v>
      </c>
      <c r="AC5" s="255">
        <v>-1</v>
      </c>
      <c r="AD5" s="256">
        <v>-1</v>
      </c>
      <c r="AE5" s="256">
        <v>-1</v>
      </c>
      <c r="AF5" s="256">
        <v>-3</v>
      </c>
      <c r="AG5" s="257">
        <v>-3</v>
      </c>
      <c r="AH5" s="258">
        <v>20</v>
      </c>
      <c r="AI5" s="259">
        <v>1073</v>
      </c>
      <c r="AJ5" s="260">
        <v>1075</v>
      </c>
      <c r="AK5" s="260">
        <v>1075</v>
      </c>
      <c r="AL5" s="260">
        <v>1075</v>
      </c>
      <c r="AM5" s="261">
        <v>1073</v>
      </c>
      <c r="AN5" s="262">
        <v>41.33</v>
      </c>
      <c r="AO5" s="434" t="s">
        <v>190</v>
      </c>
    </row>
    <row r="6" spans="1:41" s="127" customFormat="1" x14ac:dyDescent="0.3">
      <c r="A6" s="246">
        <v>41257</v>
      </c>
      <c r="B6" s="247">
        <v>233.19</v>
      </c>
      <c r="C6" s="248">
        <v>237.71</v>
      </c>
      <c r="D6" s="249">
        <v>235.16900000000001</v>
      </c>
      <c r="E6" s="250"/>
      <c r="F6" s="250"/>
      <c r="G6" s="250"/>
      <c r="H6" s="250">
        <v>235.46</v>
      </c>
      <c r="I6" s="250">
        <v>237.64</v>
      </c>
      <c r="J6" s="250">
        <v>236.358</v>
      </c>
      <c r="K6" s="250"/>
      <c r="L6" s="250"/>
      <c r="M6" s="250"/>
      <c r="N6" s="250">
        <v>234.51</v>
      </c>
      <c r="O6" s="250">
        <v>240.04</v>
      </c>
      <c r="P6" s="250">
        <v>237.15700000000001</v>
      </c>
      <c r="Q6" s="251">
        <v>229</v>
      </c>
      <c r="R6" s="251">
        <v>239</v>
      </c>
      <c r="S6" s="250">
        <f t="shared" ref="S6:S63" si="0">AVERAGE(D6,G6,J6,M6,P6)</f>
        <v>236.22800000000004</v>
      </c>
      <c r="T6" s="252">
        <f t="shared" ref="T6:T63" si="1">STDEVP(D6,G6,J6,M6,P6)</f>
        <v>0.8167867938860579</v>
      </c>
      <c r="U6" s="253">
        <v>0.95986409004035056</v>
      </c>
      <c r="V6" s="250"/>
      <c r="W6" s="250">
        <v>0.46079053054322094</v>
      </c>
      <c r="X6" s="250"/>
      <c r="Y6" s="250">
        <v>1.1653145084817198</v>
      </c>
      <c r="Z6" s="250">
        <v>2</v>
      </c>
      <c r="AA6" s="250">
        <f t="shared" ref="AA6:AA11" si="2">AVERAGE(U6:Y6)</f>
        <v>0.86198970968843047</v>
      </c>
      <c r="AB6" s="254">
        <f t="shared" ref="AB6:AB11" si="3">STDEVP(U6:Y6)</f>
        <v>0.29582996762726838</v>
      </c>
      <c r="AC6" s="255">
        <v>-1</v>
      </c>
      <c r="AD6" s="256"/>
      <c r="AE6" s="256">
        <v>-1</v>
      </c>
      <c r="AF6" s="256">
        <v>0</v>
      </c>
      <c r="AG6" s="257">
        <v>-3</v>
      </c>
      <c r="AH6" s="258">
        <v>20</v>
      </c>
      <c r="AI6" s="259">
        <v>1073</v>
      </c>
      <c r="AJ6" s="260">
        <v>1075</v>
      </c>
      <c r="AK6" s="260">
        <v>1075</v>
      </c>
      <c r="AL6" s="260">
        <v>1075</v>
      </c>
      <c r="AM6" s="261">
        <v>1073</v>
      </c>
      <c r="AN6" s="262">
        <v>41</v>
      </c>
      <c r="AO6" s="434"/>
    </row>
    <row r="7" spans="1:41" s="127" customFormat="1" x14ac:dyDescent="0.3">
      <c r="A7" s="246">
        <v>41258</v>
      </c>
      <c r="B7" s="247">
        <v>233.22</v>
      </c>
      <c r="C7" s="248">
        <v>237.9</v>
      </c>
      <c r="D7" s="249">
        <v>235.28399999999999</v>
      </c>
      <c r="E7" s="250"/>
      <c r="F7" s="250"/>
      <c r="G7" s="250"/>
      <c r="H7" s="250">
        <v>235.56</v>
      </c>
      <c r="I7" s="250">
        <v>237.78</v>
      </c>
      <c r="J7" s="250">
        <v>236.47</v>
      </c>
      <c r="K7" s="250"/>
      <c r="L7" s="250"/>
      <c r="M7" s="250"/>
      <c r="N7" s="250">
        <v>234.44</v>
      </c>
      <c r="O7" s="250">
        <v>239.92</v>
      </c>
      <c r="P7" s="250">
        <v>236.81100000000001</v>
      </c>
      <c r="Q7" s="251">
        <v>229</v>
      </c>
      <c r="R7" s="251">
        <v>239</v>
      </c>
      <c r="S7" s="250">
        <f t="shared" si="0"/>
        <v>236.18833333333336</v>
      </c>
      <c r="T7" s="252">
        <f t="shared" si="1"/>
        <v>0.6544383512261206</v>
      </c>
      <c r="U7" s="253">
        <v>0.99337748344371002</v>
      </c>
      <c r="V7" s="250"/>
      <c r="W7" s="250">
        <v>0.46900747876790444</v>
      </c>
      <c r="X7" s="250"/>
      <c r="Y7" s="250">
        <v>1.1677416635049096</v>
      </c>
      <c r="Z7" s="250">
        <v>2</v>
      </c>
      <c r="AA7" s="250">
        <f t="shared" si="2"/>
        <v>0.87670887523884133</v>
      </c>
      <c r="AB7" s="254">
        <f t="shared" si="3"/>
        <v>0.29694672736072558</v>
      </c>
      <c r="AC7" s="255">
        <v>-1</v>
      </c>
      <c r="AD7" s="256"/>
      <c r="AE7" s="256">
        <v>0</v>
      </c>
      <c r="AF7" s="256">
        <v>2</v>
      </c>
      <c r="AG7" s="257">
        <v>0</v>
      </c>
      <c r="AH7" s="258">
        <v>20</v>
      </c>
      <c r="AI7" s="259">
        <v>1073</v>
      </c>
      <c r="AJ7" s="260">
        <v>1075</v>
      </c>
      <c r="AK7" s="260">
        <v>1075</v>
      </c>
      <c r="AL7" s="260">
        <v>1075</v>
      </c>
      <c r="AM7" s="261">
        <v>1073</v>
      </c>
      <c r="AN7" s="262">
        <v>41</v>
      </c>
      <c r="AO7" s="434"/>
    </row>
    <row r="8" spans="1:41" s="127" customFormat="1" x14ac:dyDescent="0.3">
      <c r="A8" s="246">
        <v>41260</v>
      </c>
      <c r="B8" s="247">
        <v>233.04</v>
      </c>
      <c r="C8" s="248">
        <v>237.98</v>
      </c>
      <c r="D8" s="249">
        <v>235.31100000000001</v>
      </c>
      <c r="E8" s="250"/>
      <c r="F8" s="250"/>
      <c r="G8" s="250"/>
      <c r="H8" s="250">
        <v>235.71</v>
      </c>
      <c r="I8" s="250">
        <v>237.31</v>
      </c>
      <c r="J8" s="250">
        <v>238.64099999999999</v>
      </c>
      <c r="K8" s="250"/>
      <c r="L8" s="250"/>
      <c r="M8" s="250"/>
      <c r="N8" s="250">
        <v>234.26</v>
      </c>
      <c r="O8" s="250">
        <v>240.18</v>
      </c>
      <c r="P8" s="250">
        <v>236.804</v>
      </c>
      <c r="Q8" s="251">
        <v>229</v>
      </c>
      <c r="R8" s="251">
        <v>239</v>
      </c>
      <c r="S8" s="250">
        <f t="shared" si="0"/>
        <v>236.91866666666667</v>
      </c>
      <c r="T8" s="252">
        <f t="shared" si="1"/>
        <v>1.3618826022173147</v>
      </c>
      <c r="U8" s="253">
        <v>1.0487877372510717</v>
      </c>
      <c r="V8" s="250"/>
      <c r="W8" s="250">
        <v>0.44348707551951222</v>
      </c>
      <c r="X8" s="250"/>
      <c r="Y8" s="250">
        <v>1.2498682685214475</v>
      </c>
      <c r="Z8" s="250">
        <v>2</v>
      </c>
      <c r="AA8" s="250">
        <f t="shared" si="2"/>
        <v>0.9140476937640104</v>
      </c>
      <c r="AB8" s="254">
        <f t="shared" si="3"/>
        <v>0.34271350191861155</v>
      </c>
      <c r="AC8" s="255">
        <v>-3</v>
      </c>
      <c r="AD8" s="256"/>
      <c r="AE8" s="256">
        <v>0</v>
      </c>
      <c r="AF8" s="256">
        <v>-1</v>
      </c>
      <c r="AG8" s="257">
        <v>-1</v>
      </c>
      <c r="AH8" s="258">
        <v>20</v>
      </c>
      <c r="AI8" s="259">
        <v>1073</v>
      </c>
      <c r="AJ8" s="260">
        <v>1075</v>
      </c>
      <c r="AK8" s="260">
        <v>1075</v>
      </c>
      <c r="AL8" s="260">
        <v>1075</v>
      </c>
      <c r="AM8" s="261">
        <v>1073</v>
      </c>
      <c r="AN8" s="262">
        <v>41</v>
      </c>
      <c r="AO8" s="434"/>
    </row>
    <row r="9" spans="1:41" s="127" customFormat="1" x14ac:dyDescent="0.3">
      <c r="A9" s="246">
        <v>41291</v>
      </c>
      <c r="B9" s="247">
        <v>233.54</v>
      </c>
      <c r="C9" s="248">
        <v>236.63</v>
      </c>
      <c r="D9" s="249">
        <v>235.02</v>
      </c>
      <c r="E9" s="250"/>
      <c r="F9" s="250"/>
      <c r="G9" s="250"/>
      <c r="H9" s="263">
        <v>235.96</v>
      </c>
      <c r="I9" s="263">
        <v>237.56</v>
      </c>
      <c r="J9" s="250">
        <v>236.72</v>
      </c>
      <c r="K9" s="250"/>
      <c r="L9" s="250"/>
      <c r="M9" s="250"/>
      <c r="N9" s="250">
        <v>235.04</v>
      </c>
      <c r="O9" s="250">
        <v>239.01</v>
      </c>
      <c r="P9" s="250">
        <v>237.06</v>
      </c>
      <c r="Q9" s="251">
        <v>229</v>
      </c>
      <c r="R9" s="251">
        <v>239</v>
      </c>
      <c r="S9" s="250">
        <f t="shared" si="0"/>
        <v>236.26666666666665</v>
      </c>
      <c r="T9" s="252">
        <f t="shared" si="1"/>
        <v>0.8923875590546676</v>
      </c>
      <c r="U9" s="253">
        <f>(236.63-233.54)/(236.63+233.54)*100</f>
        <v>0.65720909458281129</v>
      </c>
      <c r="V9" s="250"/>
      <c r="W9" s="250">
        <f>(237.56-235.96)/(237.56+235.96)*100</f>
        <v>0.33789491468153288</v>
      </c>
      <c r="X9" s="250"/>
      <c r="Y9" s="250">
        <f>(239.01-235.04)/(239.01+235.04)*100</f>
        <v>0.83746440248918874</v>
      </c>
      <c r="Z9" s="250">
        <v>2</v>
      </c>
      <c r="AA9" s="250">
        <f t="shared" si="2"/>
        <v>0.6108561372511776</v>
      </c>
      <c r="AB9" s="254">
        <f t="shared" si="3"/>
        <v>0.20656535007456636</v>
      </c>
      <c r="AC9" s="255">
        <v>-3</v>
      </c>
      <c r="AD9" s="256"/>
      <c r="AE9" s="256">
        <v>-1</v>
      </c>
      <c r="AF9" s="256">
        <v>-5</v>
      </c>
      <c r="AG9" s="257">
        <v>-5</v>
      </c>
      <c r="AH9" s="258">
        <v>20</v>
      </c>
      <c r="AI9" s="259">
        <v>1073</v>
      </c>
      <c r="AJ9" s="260">
        <v>1075</v>
      </c>
      <c r="AK9" s="260">
        <v>1075</v>
      </c>
      <c r="AL9" s="260">
        <v>1075</v>
      </c>
      <c r="AM9" s="261">
        <v>1073</v>
      </c>
      <c r="AN9" s="262">
        <v>41</v>
      </c>
      <c r="AO9" s="264"/>
    </row>
    <row r="10" spans="1:41" s="127" customFormat="1" x14ac:dyDescent="0.3">
      <c r="A10" s="246">
        <v>41313</v>
      </c>
      <c r="B10" s="247">
        <v>234.65</v>
      </c>
      <c r="C10" s="248">
        <v>237.34</v>
      </c>
      <c r="D10" s="249">
        <v>235.93</v>
      </c>
      <c r="E10" s="250"/>
      <c r="F10" s="250"/>
      <c r="G10" s="250"/>
      <c r="H10" s="263">
        <v>236.67</v>
      </c>
      <c r="I10" s="263">
        <v>237.77</v>
      </c>
      <c r="J10" s="250">
        <v>237.2</v>
      </c>
      <c r="K10" s="250"/>
      <c r="L10" s="250"/>
      <c r="M10" s="250"/>
      <c r="N10" s="250">
        <v>235.44</v>
      </c>
      <c r="O10" s="250">
        <v>239.05</v>
      </c>
      <c r="P10" s="250">
        <v>237.1</v>
      </c>
      <c r="Q10" s="251">
        <v>229</v>
      </c>
      <c r="R10" s="251">
        <v>239</v>
      </c>
      <c r="S10" s="250">
        <f t="shared" si="0"/>
        <v>236.74333333333334</v>
      </c>
      <c r="T10" s="252">
        <f t="shared" si="1"/>
        <v>0.57656068390258253</v>
      </c>
      <c r="U10" s="253">
        <f>(237.34-234.65)/(237.34+234.65)*100</f>
        <v>0.56992732896883358</v>
      </c>
      <c r="V10" s="250"/>
      <c r="W10" s="250">
        <f>(237.77-236.67)/(237.77+236.67)*100</f>
        <v>0.23185228901442179</v>
      </c>
      <c r="X10" s="250"/>
      <c r="Y10" s="250">
        <f>(239.05-235.44)/(239.05+235.44)*100</f>
        <v>0.76081687706801271</v>
      </c>
      <c r="Z10" s="250">
        <v>2</v>
      </c>
      <c r="AA10" s="250">
        <f t="shared" si="2"/>
        <v>0.52086549835042273</v>
      </c>
      <c r="AB10" s="254">
        <f t="shared" si="3"/>
        <v>0.21871775003627925</v>
      </c>
      <c r="AC10" s="255">
        <v>-1</v>
      </c>
      <c r="AD10" s="256"/>
      <c r="AE10" s="256">
        <v>0</v>
      </c>
      <c r="AF10" s="256">
        <v>-4</v>
      </c>
      <c r="AG10" s="257">
        <v>-4</v>
      </c>
      <c r="AH10" s="258">
        <v>20</v>
      </c>
      <c r="AI10" s="259">
        <v>1073</v>
      </c>
      <c r="AJ10" s="260">
        <v>1075</v>
      </c>
      <c r="AK10" s="260">
        <v>1075</v>
      </c>
      <c r="AL10" s="260">
        <v>1075</v>
      </c>
      <c r="AM10" s="261">
        <v>1073</v>
      </c>
      <c r="AN10" s="262">
        <v>41</v>
      </c>
      <c r="AO10" s="264"/>
    </row>
    <row r="11" spans="1:41" s="127" customFormat="1" x14ac:dyDescent="0.3">
      <c r="A11" s="246">
        <v>41347</v>
      </c>
      <c r="B11" s="247">
        <v>241.61</v>
      </c>
      <c r="C11" s="248">
        <v>244.71</v>
      </c>
      <c r="D11" s="249">
        <v>242.41</v>
      </c>
      <c r="E11" s="250"/>
      <c r="F11" s="250"/>
      <c r="G11" s="250"/>
      <c r="H11" s="263">
        <v>243.62</v>
      </c>
      <c r="I11" s="263">
        <v>245.03</v>
      </c>
      <c r="J11" s="250">
        <v>243.97</v>
      </c>
      <c r="K11" s="250"/>
      <c r="L11" s="250"/>
      <c r="M11" s="250"/>
      <c r="N11" s="250">
        <v>243.39</v>
      </c>
      <c r="O11" s="250">
        <v>246.14</v>
      </c>
      <c r="P11" s="250">
        <v>243.47</v>
      </c>
      <c r="Q11" s="251">
        <v>229</v>
      </c>
      <c r="R11" s="251">
        <v>239</v>
      </c>
      <c r="S11" s="250">
        <f t="shared" si="0"/>
        <v>243.28333333333333</v>
      </c>
      <c r="T11" s="252">
        <f t="shared" si="1"/>
        <v>0.65040158534725567</v>
      </c>
      <c r="U11" s="253">
        <f>(244.71-241.61)/(244.71+241.61)*100</f>
        <v>0.63744036848165697</v>
      </c>
      <c r="V11" s="250"/>
      <c r="W11" s="250">
        <f>(245.03-243.62)/(245.03+243.62)*100</f>
        <v>0.28855008697431628</v>
      </c>
      <c r="X11" s="250"/>
      <c r="Y11" s="250">
        <f>(246.14-242.39)/(246.14+242.39)*100</f>
        <v>0.76760894929687029</v>
      </c>
      <c r="Z11" s="250">
        <v>2</v>
      </c>
      <c r="AA11" s="250">
        <f t="shared" si="2"/>
        <v>0.56453313491761448</v>
      </c>
      <c r="AB11" s="254">
        <f t="shared" si="3"/>
        <v>0.20225552637182551</v>
      </c>
      <c r="AC11" s="255">
        <v>0</v>
      </c>
      <c r="AD11" s="256"/>
      <c r="AE11" s="256">
        <v>-3</v>
      </c>
      <c r="AF11" s="256">
        <v>0</v>
      </c>
      <c r="AG11" s="257">
        <v>0</v>
      </c>
      <c r="AH11" s="258">
        <v>20</v>
      </c>
      <c r="AI11" s="259">
        <v>1073</v>
      </c>
      <c r="AJ11" s="260">
        <v>1075</v>
      </c>
      <c r="AK11" s="260">
        <v>1075</v>
      </c>
      <c r="AL11" s="260">
        <v>1075</v>
      </c>
      <c r="AM11" s="261">
        <v>1073</v>
      </c>
      <c r="AN11" s="262">
        <v>41</v>
      </c>
      <c r="AO11" s="264"/>
    </row>
    <row r="12" spans="1:41" x14ac:dyDescent="0.3">
      <c r="A12" s="246">
        <v>41366</v>
      </c>
      <c r="B12" s="247">
        <v>240.78</v>
      </c>
      <c r="C12" s="248">
        <v>244.09</v>
      </c>
      <c r="D12" s="249">
        <v>233.93</v>
      </c>
      <c r="E12" s="250"/>
      <c r="F12" s="250"/>
      <c r="G12" s="250"/>
      <c r="H12" s="263">
        <v>243.15</v>
      </c>
      <c r="I12" s="263">
        <v>244.69</v>
      </c>
      <c r="J12" s="250">
        <v>235.52</v>
      </c>
      <c r="K12" s="250"/>
      <c r="L12" s="250"/>
      <c r="M12" s="250"/>
      <c r="N12" s="250">
        <v>241.79</v>
      </c>
      <c r="O12" s="250">
        <v>245.48</v>
      </c>
      <c r="P12" s="250">
        <v>235.7</v>
      </c>
      <c r="Q12" s="251">
        <v>229</v>
      </c>
      <c r="R12" s="251">
        <v>239</v>
      </c>
      <c r="S12" s="250">
        <f t="shared" si="0"/>
        <v>235.05000000000004</v>
      </c>
      <c r="T12" s="252">
        <f t="shared" si="1"/>
        <v>0.79536155300592271</v>
      </c>
      <c r="U12" s="253">
        <f>(235.78-234.4)/(235.78+234.4)*100</f>
        <v>0.29350461525373162</v>
      </c>
      <c r="V12" s="250"/>
      <c r="W12" s="250">
        <f>(236.68-234.77)/(236.68+234.77)*100</f>
        <v>0.40513310001060482</v>
      </c>
      <c r="X12" s="250"/>
      <c r="Y12" s="250">
        <f>(237.75-233.85)/(237.75+233.85)*100</f>
        <v>0.82697201017811817</v>
      </c>
      <c r="Z12" s="250">
        <v>2</v>
      </c>
      <c r="AA12" s="250">
        <f>AVERAGE(U12:Y12)</f>
        <v>0.50853657514748485</v>
      </c>
      <c r="AB12" s="254">
        <f>STDEVP(U12:Y12)</f>
        <v>0.22973328646445695</v>
      </c>
      <c r="AC12" s="255">
        <v>-1</v>
      </c>
      <c r="AD12" s="256"/>
      <c r="AE12" s="256">
        <v>-2</v>
      </c>
      <c r="AF12" s="256">
        <v>0</v>
      </c>
      <c r="AG12" s="265">
        <v>0</v>
      </c>
      <c r="AH12" s="258">
        <v>20</v>
      </c>
      <c r="AI12" s="259">
        <v>1075</v>
      </c>
      <c r="AJ12" s="260">
        <v>1075</v>
      </c>
      <c r="AK12" s="260">
        <v>1075</v>
      </c>
      <c r="AL12" s="260">
        <v>1075</v>
      </c>
      <c r="AM12" s="266">
        <v>1075</v>
      </c>
      <c r="AN12" s="262">
        <v>41</v>
      </c>
      <c r="AO12" s="267" t="s">
        <v>191</v>
      </c>
    </row>
    <row r="13" spans="1:41" x14ac:dyDescent="0.3">
      <c r="A13" s="246">
        <v>41386</v>
      </c>
      <c r="B13" s="247">
        <v>232.96</v>
      </c>
      <c r="C13" s="248">
        <v>235.75</v>
      </c>
      <c r="D13" s="249">
        <v>234.12</v>
      </c>
      <c r="E13" s="250"/>
      <c r="F13" s="250"/>
      <c r="G13" s="250"/>
      <c r="H13" s="263">
        <v>235.04</v>
      </c>
      <c r="I13" s="263">
        <v>236.54</v>
      </c>
      <c r="J13" s="250">
        <v>235.69</v>
      </c>
      <c r="K13" s="250"/>
      <c r="L13" s="250"/>
      <c r="M13" s="250"/>
      <c r="N13" s="250">
        <v>233.75</v>
      </c>
      <c r="O13" s="250">
        <v>237.46</v>
      </c>
      <c r="P13" s="250">
        <v>235.44</v>
      </c>
      <c r="Q13" s="251">
        <v>229</v>
      </c>
      <c r="R13" s="251">
        <v>239</v>
      </c>
      <c r="S13" s="250">
        <f t="shared" si="0"/>
        <v>235.08333333333334</v>
      </c>
      <c r="T13" s="252">
        <f t="shared" si="1"/>
        <v>0.68878314600621426</v>
      </c>
      <c r="U13" s="253">
        <f>(235.75-232.96)/(235.75+232.96)*100</f>
        <v>0.59525079473448228</v>
      </c>
      <c r="V13" s="250"/>
      <c r="W13" s="250">
        <f>(236.54-235.04)/(236.54+235.04)*100</f>
        <v>0.31807964714364478</v>
      </c>
      <c r="X13" s="250"/>
      <c r="Y13" s="250">
        <f>(237.46-233.75)/(237.46+233.75)*100</f>
        <v>0.78733473398272702</v>
      </c>
      <c r="Z13" s="250">
        <v>2</v>
      </c>
      <c r="AA13" s="250">
        <f>AVERAGE(U13:Y13)</f>
        <v>0.56688839195361806</v>
      </c>
      <c r="AB13" s="254">
        <f>STDEVP(U13:Y13)</f>
        <v>0.19261949286908728</v>
      </c>
      <c r="AC13" s="255">
        <v>0</v>
      </c>
      <c r="AD13" s="256"/>
      <c r="AE13" s="256">
        <v>1</v>
      </c>
      <c r="AF13" s="256">
        <v>2</v>
      </c>
      <c r="AG13" s="265">
        <v>2</v>
      </c>
      <c r="AH13" s="258">
        <v>20</v>
      </c>
      <c r="AI13" s="259">
        <v>1075</v>
      </c>
      <c r="AJ13" s="260">
        <v>1075</v>
      </c>
      <c r="AK13" s="260">
        <v>1075</v>
      </c>
      <c r="AL13" s="260">
        <v>1075</v>
      </c>
      <c r="AM13" s="261">
        <v>1075</v>
      </c>
      <c r="AN13" s="262">
        <v>41</v>
      </c>
      <c r="AO13" s="267" t="s">
        <v>191</v>
      </c>
    </row>
    <row r="14" spans="1:41" x14ac:dyDescent="0.3">
      <c r="A14" s="246">
        <v>41403</v>
      </c>
      <c r="B14" s="247">
        <v>231.83</v>
      </c>
      <c r="C14" s="248">
        <v>234.31</v>
      </c>
      <c r="D14" s="249">
        <v>233.03</v>
      </c>
      <c r="E14" s="250"/>
      <c r="F14" s="250"/>
      <c r="G14" s="250"/>
      <c r="H14" s="263">
        <v>234.16</v>
      </c>
      <c r="I14" s="263">
        <v>235.72</v>
      </c>
      <c r="J14" s="250">
        <v>234.77</v>
      </c>
      <c r="K14" s="250"/>
      <c r="L14" s="250"/>
      <c r="M14" s="250"/>
      <c r="N14" s="250">
        <v>232.86</v>
      </c>
      <c r="O14" s="250">
        <v>236.26</v>
      </c>
      <c r="P14" s="250">
        <v>234.37</v>
      </c>
      <c r="Q14" s="251">
        <v>229</v>
      </c>
      <c r="R14" s="251">
        <v>239</v>
      </c>
      <c r="S14" s="250">
        <f t="shared" si="0"/>
        <v>234.0566666666667</v>
      </c>
      <c r="T14" s="252">
        <f t="shared" si="1"/>
        <v>0.74410274081533523</v>
      </c>
      <c r="U14" s="253">
        <f>(234.31-231.83)/(234.31+231.83)*100</f>
        <v>0.53202900416183763</v>
      </c>
      <c r="V14" s="250"/>
      <c r="W14" s="250">
        <f>(235.72-234.16)/(235.72+234.16)*100</f>
        <v>0.33199965948752924</v>
      </c>
      <c r="X14" s="250"/>
      <c r="Y14" s="250">
        <f>(236.26-232.86)/(236.26+232.86)*100</f>
        <v>0.72476125511595701</v>
      </c>
      <c r="Z14" s="250">
        <v>2</v>
      </c>
      <c r="AA14" s="250">
        <f>AVERAGE(U14:Y14)</f>
        <v>0.52959663958844128</v>
      </c>
      <c r="AB14" s="254">
        <f>STDEVP(U14:Y14)</f>
        <v>0.16035347423366611</v>
      </c>
      <c r="AC14" s="255">
        <v>-1</v>
      </c>
      <c r="AD14" s="256"/>
      <c r="AE14" s="256">
        <v>-2</v>
      </c>
      <c r="AF14" s="256">
        <v>1</v>
      </c>
      <c r="AG14" s="265">
        <v>1</v>
      </c>
      <c r="AH14" s="258">
        <v>20</v>
      </c>
      <c r="AI14" s="259">
        <v>1075</v>
      </c>
      <c r="AJ14" s="260">
        <v>1075</v>
      </c>
      <c r="AK14" s="260">
        <v>1075</v>
      </c>
      <c r="AL14" s="260">
        <v>1075</v>
      </c>
      <c r="AM14" s="261">
        <v>1075</v>
      </c>
      <c r="AN14" s="262">
        <v>41</v>
      </c>
      <c r="AO14" s="267"/>
    </row>
    <row r="15" spans="1:41" x14ac:dyDescent="0.3">
      <c r="A15" s="246">
        <v>41424</v>
      </c>
      <c r="B15" s="247">
        <v>237.05</v>
      </c>
      <c r="C15" s="248">
        <v>235.22</v>
      </c>
      <c r="D15" s="249">
        <v>233.23699999999999</v>
      </c>
      <c r="E15" s="250"/>
      <c r="F15" s="250"/>
      <c r="G15" s="250"/>
      <c r="H15" s="263">
        <v>234.85</v>
      </c>
      <c r="I15" s="263">
        <v>236.33</v>
      </c>
      <c r="J15" s="250">
        <v>235.38</v>
      </c>
      <c r="K15" s="250"/>
      <c r="L15" s="250"/>
      <c r="M15" s="250"/>
      <c r="N15" s="250">
        <v>233.63</v>
      </c>
      <c r="O15" s="250">
        <v>236.95</v>
      </c>
      <c r="P15" s="250">
        <v>235.11199999999999</v>
      </c>
      <c r="Q15" s="251">
        <v>229</v>
      </c>
      <c r="R15" s="251">
        <v>239</v>
      </c>
      <c r="S15" s="250">
        <f t="shared" si="0"/>
        <v>234.57633333333331</v>
      </c>
      <c r="T15" s="252">
        <f t="shared" si="1"/>
        <v>0.95335069914253279</v>
      </c>
      <c r="U15" s="253">
        <f>(235.22-232.05)/(235.22+232.05)*100</f>
        <v>0.67840862884413455</v>
      </c>
      <c r="V15" s="250"/>
      <c r="W15" s="250">
        <f>(236.33-234.85)/(236.33+234.85)*100</f>
        <v>0.314105012946224</v>
      </c>
      <c r="X15" s="250"/>
      <c r="Y15" s="250">
        <f>(236.95-233.63)/(236.95+233.63)*100</f>
        <v>0.70551234646606176</v>
      </c>
      <c r="Z15" s="250">
        <v>2</v>
      </c>
      <c r="AA15" s="250">
        <f>AVERAGE(U15:Y15)</f>
        <v>0.56600866275214012</v>
      </c>
      <c r="AB15" s="254">
        <f>STDEVP(U15:Y15)</f>
        <v>0.1784661302439737</v>
      </c>
      <c r="AC15" s="255">
        <v>1</v>
      </c>
      <c r="AD15" s="256"/>
      <c r="AE15" s="256">
        <v>-1</v>
      </c>
      <c r="AF15" s="256">
        <v>2</v>
      </c>
      <c r="AG15" s="265">
        <v>2</v>
      </c>
      <c r="AH15" s="258">
        <v>20</v>
      </c>
      <c r="AI15" s="259">
        <v>1075</v>
      </c>
      <c r="AJ15" s="260">
        <v>1075</v>
      </c>
      <c r="AK15" s="260">
        <v>1075</v>
      </c>
      <c r="AL15" s="260">
        <v>1075</v>
      </c>
      <c r="AM15" s="261">
        <v>1075</v>
      </c>
      <c r="AN15" s="262">
        <v>41</v>
      </c>
      <c r="AO15" s="267"/>
    </row>
    <row r="16" spans="1:41" x14ac:dyDescent="0.3">
      <c r="A16" s="246">
        <v>41456</v>
      </c>
      <c r="B16" s="247">
        <v>231.26</v>
      </c>
      <c r="C16" s="248">
        <v>233.43</v>
      </c>
      <c r="D16" s="249">
        <v>232.20599999999999</v>
      </c>
      <c r="E16" s="250"/>
      <c r="F16" s="250"/>
      <c r="G16" s="250"/>
      <c r="H16" s="263">
        <v>235.73</v>
      </c>
      <c r="I16" s="263">
        <v>239.13</v>
      </c>
      <c r="J16" s="250">
        <v>234.934</v>
      </c>
      <c r="K16" s="250"/>
      <c r="L16" s="250"/>
      <c r="M16" s="250"/>
      <c r="N16" s="250">
        <v>232.21</v>
      </c>
      <c r="O16" s="250">
        <v>234.66</v>
      </c>
      <c r="P16" s="250">
        <v>234.93700000000001</v>
      </c>
      <c r="Q16" s="251">
        <v>229</v>
      </c>
      <c r="R16" s="251">
        <v>239</v>
      </c>
      <c r="S16" s="250">
        <f t="shared" si="0"/>
        <v>234.02566666666667</v>
      </c>
      <c r="T16" s="252">
        <f t="shared" si="1"/>
        <v>1.2866992223860665</v>
      </c>
      <c r="U16" s="253">
        <v>0.46800000000000003</v>
      </c>
      <c r="V16" s="250"/>
      <c r="W16" s="250">
        <v>0.22600000000000001</v>
      </c>
      <c r="X16" s="250"/>
      <c r="Y16" s="250">
        <v>0.72</v>
      </c>
      <c r="Z16" s="250">
        <v>2</v>
      </c>
      <c r="AA16" s="250">
        <f>AVERAGE(U16:Y16)</f>
        <v>0.47133333333333338</v>
      </c>
      <c r="AB16" s="254">
        <f>STDEVP(U16:Y16)</f>
        <v>0.20168842857789876</v>
      </c>
      <c r="AC16" s="255"/>
      <c r="AD16" s="256"/>
      <c r="AE16" s="256"/>
      <c r="AF16" s="256"/>
      <c r="AG16" s="257"/>
      <c r="AH16" s="258">
        <v>20</v>
      </c>
      <c r="AI16" s="259">
        <v>1075</v>
      </c>
      <c r="AJ16" s="260">
        <v>1075</v>
      </c>
      <c r="AK16" s="260">
        <v>1075</v>
      </c>
      <c r="AL16" s="260">
        <v>1075</v>
      </c>
      <c r="AM16" s="261">
        <v>1075</v>
      </c>
      <c r="AN16" s="262">
        <v>41</v>
      </c>
      <c r="AO16" s="267" t="s">
        <v>192</v>
      </c>
    </row>
    <row r="17" spans="1:41" s="127" customFormat="1" x14ac:dyDescent="0.3">
      <c r="A17" s="246">
        <v>41484</v>
      </c>
      <c r="B17" s="247">
        <v>231.91</v>
      </c>
      <c r="C17" s="248">
        <v>234.97</v>
      </c>
      <c r="D17" s="249">
        <v>233.22</v>
      </c>
      <c r="E17" s="250"/>
      <c r="F17" s="250"/>
      <c r="G17" s="250"/>
      <c r="H17" s="250">
        <v>234.59</v>
      </c>
      <c r="I17" s="250">
        <v>236.49</v>
      </c>
      <c r="J17" s="250">
        <v>235.35</v>
      </c>
      <c r="K17" s="250"/>
      <c r="L17" s="250"/>
      <c r="M17" s="250"/>
      <c r="N17" s="250">
        <v>234.22</v>
      </c>
      <c r="O17" s="250">
        <v>237.93</v>
      </c>
      <c r="P17" s="250">
        <v>235.83</v>
      </c>
      <c r="Q17" s="251">
        <v>229</v>
      </c>
      <c r="R17" s="251">
        <v>239</v>
      </c>
      <c r="S17" s="250">
        <f t="shared" si="0"/>
        <v>234.79999999999998</v>
      </c>
      <c r="T17" s="252">
        <f t="shared" si="1"/>
        <v>1.1342839150759425</v>
      </c>
      <c r="U17" s="253">
        <f t="shared" ref="U17:V27" si="4">(C17-B17)/(C17+B17)*100</f>
        <v>0.65541466758053513</v>
      </c>
      <c r="V17" s="250">
        <f t="shared" si="4"/>
        <v>-0.37377987569149274</v>
      </c>
      <c r="W17" s="250">
        <f t="shared" ref="W17:X32" si="5">(I17-H17)/(I17+H17)*100</f>
        <v>0.40332852169483008</v>
      </c>
      <c r="X17" s="250">
        <f t="shared" si="5"/>
        <v>-0.24160732451678846</v>
      </c>
      <c r="Y17" s="250">
        <f t="shared" ref="Y17:Y27" si="6">(O17-N17)/(O17+N17)*100</f>
        <v>0.78576723498888246</v>
      </c>
      <c r="Z17" s="250">
        <v>2</v>
      </c>
      <c r="AA17" s="250">
        <f t="shared" ref="AA17:AA64" si="7">AVERAGE(U17:Y17)</f>
        <v>0.24582464481119329</v>
      </c>
      <c r="AB17" s="254">
        <f t="shared" ref="AB17:AB32" si="8">STDEVP(U17:Y17)</f>
        <v>0.47023592912997947</v>
      </c>
      <c r="AC17" s="255">
        <v>0</v>
      </c>
      <c r="AD17" s="256"/>
      <c r="AE17" s="256">
        <v>-1</v>
      </c>
      <c r="AF17" s="256">
        <v>-3</v>
      </c>
      <c r="AG17" s="257"/>
      <c r="AH17" s="258">
        <v>20</v>
      </c>
      <c r="AI17" s="259">
        <v>1075</v>
      </c>
      <c r="AJ17" s="260">
        <v>1075</v>
      </c>
      <c r="AK17" s="260">
        <v>1075</v>
      </c>
      <c r="AL17" s="260">
        <v>1075</v>
      </c>
      <c r="AM17" s="261">
        <v>1075</v>
      </c>
      <c r="AN17" s="262">
        <v>41</v>
      </c>
      <c r="AO17" s="264" t="s">
        <v>193</v>
      </c>
    </row>
    <row r="18" spans="1:41" x14ac:dyDescent="0.3">
      <c r="A18" s="246">
        <v>41488</v>
      </c>
      <c r="B18" s="198">
        <v>232.42</v>
      </c>
      <c r="C18" s="248">
        <v>234.71</v>
      </c>
      <c r="D18" s="248">
        <v>233.43</v>
      </c>
      <c r="E18" s="250"/>
      <c r="F18" s="250"/>
      <c r="G18" s="250"/>
      <c r="H18" s="250">
        <v>235.22</v>
      </c>
      <c r="I18" s="250">
        <v>236.37</v>
      </c>
      <c r="J18" s="250">
        <v>235.75</v>
      </c>
      <c r="K18" s="250"/>
      <c r="L18" s="250"/>
      <c r="M18" s="250"/>
      <c r="N18" s="250">
        <v>234.31</v>
      </c>
      <c r="O18" s="250">
        <v>237.32</v>
      </c>
      <c r="P18" s="250">
        <v>235.52</v>
      </c>
      <c r="Q18" s="251">
        <v>229</v>
      </c>
      <c r="R18" s="251">
        <v>239</v>
      </c>
      <c r="S18" s="250">
        <f t="shared" si="0"/>
        <v>234.9</v>
      </c>
      <c r="T18" s="252">
        <f t="shared" si="1"/>
        <v>1.0436793888290907</v>
      </c>
      <c r="U18" s="253">
        <f t="shared" si="4"/>
        <v>0.49022755977993721</v>
      </c>
      <c r="V18" s="250">
        <f t="shared" si="4"/>
        <v>-0.27342248045456513</v>
      </c>
      <c r="W18" s="250">
        <f t="shared" si="5"/>
        <v>0.24385589177039496</v>
      </c>
      <c r="X18" s="250">
        <f t="shared" si="5"/>
        <v>-0.13132254511564953</v>
      </c>
      <c r="Y18" s="250">
        <f t="shared" si="6"/>
        <v>0.63821215783558949</v>
      </c>
      <c r="Z18" s="250">
        <v>2</v>
      </c>
      <c r="AA18" s="250">
        <f t="shared" si="7"/>
        <v>0.19351011676314139</v>
      </c>
      <c r="AB18" s="254">
        <f t="shared" si="8"/>
        <v>0.3498222840109651</v>
      </c>
      <c r="AC18" s="268">
        <v>5</v>
      </c>
      <c r="AD18" s="256"/>
      <c r="AE18" s="269">
        <v>6</v>
      </c>
      <c r="AF18" s="269">
        <v>9</v>
      </c>
      <c r="AG18" s="435">
        <v>9</v>
      </c>
      <c r="AH18" s="258">
        <v>20</v>
      </c>
      <c r="AI18" s="270">
        <v>1075</v>
      </c>
      <c r="AJ18" s="271">
        <v>1075</v>
      </c>
      <c r="AK18" s="271">
        <v>1075</v>
      </c>
      <c r="AL18" s="271">
        <v>1075</v>
      </c>
      <c r="AM18" s="272">
        <v>1075</v>
      </c>
      <c r="AN18" s="273">
        <v>41</v>
      </c>
      <c r="AO18" s="267" t="s">
        <v>194</v>
      </c>
    </row>
    <row r="19" spans="1:41" x14ac:dyDescent="0.3">
      <c r="A19" s="246">
        <v>41488</v>
      </c>
      <c r="B19" s="247">
        <v>231.55</v>
      </c>
      <c r="C19" s="248">
        <v>234.17</v>
      </c>
      <c r="D19" s="249">
        <v>232.79</v>
      </c>
      <c r="E19" s="250"/>
      <c r="F19" s="250"/>
      <c r="G19" s="250"/>
      <c r="H19" s="250">
        <v>234.34</v>
      </c>
      <c r="I19" s="250">
        <v>235.65</v>
      </c>
      <c r="J19" s="250">
        <v>234.84</v>
      </c>
      <c r="K19" s="250"/>
      <c r="L19" s="250"/>
      <c r="M19" s="250"/>
      <c r="N19" s="250">
        <v>233.64</v>
      </c>
      <c r="O19" s="250">
        <v>236.62</v>
      </c>
      <c r="P19" s="250">
        <v>234.87</v>
      </c>
      <c r="Q19" s="251">
        <v>229</v>
      </c>
      <c r="R19" s="251">
        <v>239</v>
      </c>
      <c r="S19" s="250">
        <f t="shared" si="0"/>
        <v>234.16666666666666</v>
      </c>
      <c r="T19" s="252">
        <f t="shared" si="1"/>
        <v>0.97352737791783051</v>
      </c>
      <c r="U19" s="253">
        <f t="shared" si="4"/>
        <v>0.56256978441981786</v>
      </c>
      <c r="V19" s="250">
        <f t="shared" si="4"/>
        <v>-0.29552852492718767</v>
      </c>
      <c r="W19" s="250">
        <f t="shared" si="5"/>
        <v>0.27872933466669553</v>
      </c>
      <c r="X19" s="250">
        <f t="shared" si="5"/>
        <v>-0.17216093859593237</v>
      </c>
      <c r="Y19" s="250">
        <f t="shared" si="6"/>
        <v>0.6336920001701225</v>
      </c>
      <c r="Z19" s="250">
        <v>2</v>
      </c>
      <c r="AA19" s="250">
        <f t="shared" si="7"/>
        <v>0.2014603311467032</v>
      </c>
      <c r="AB19" s="254">
        <f t="shared" si="8"/>
        <v>0.37677195440231087</v>
      </c>
      <c r="AC19" s="268"/>
      <c r="AD19" s="256"/>
      <c r="AE19" s="269"/>
      <c r="AF19" s="269"/>
      <c r="AG19" s="435"/>
      <c r="AH19" s="258">
        <v>20</v>
      </c>
      <c r="AI19" s="270"/>
      <c r="AJ19" s="271"/>
      <c r="AK19" s="271"/>
      <c r="AL19" s="271"/>
      <c r="AM19" s="272"/>
      <c r="AN19" s="274"/>
      <c r="AO19" s="267" t="s">
        <v>195</v>
      </c>
    </row>
    <row r="20" spans="1:41" x14ac:dyDescent="0.3">
      <c r="A20" s="246">
        <v>41500</v>
      </c>
      <c r="B20" s="247">
        <v>233.22</v>
      </c>
      <c r="C20" s="248">
        <v>236.8</v>
      </c>
      <c r="D20" s="249">
        <v>234.68</v>
      </c>
      <c r="E20" s="250"/>
      <c r="F20" s="250"/>
      <c r="G20" s="250"/>
      <c r="H20" s="250">
        <v>235.27</v>
      </c>
      <c r="I20" s="250">
        <v>238.73</v>
      </c>
      <c r="J20" s="250">
        <v>236.25</v>
      </c>
      <c r="K20" s="250"/>
      <c r="L20" s="250"/>
      <c r="M20" s="250"/>
      <c r="N20" s="250">
        <v>234.64</v>
      </c>
      <c r="O20" s="250">
        <v>237.8</v>
      </c>
      <c r="P20" s="250">
        <v>235.9</v>
      </c>
      <c r="Q20" s="251">
        <v>229</v>
      </c>
      <c r="R20" s="251">
        <v>239</v>
      </c>
      <c r="S20" s="250">
        <f t="shared" si="0"/>
        <v>235.61</v>
      </c>
      <c r="T20" s="252">
        <f t="shared" si="1"/>
        <v>0.67295368835207636</v>
      </c>
      <c r="U20" s="253">
        <v>0.76070000000000004</v>
      </c>
      <c r="V20" s="250">
        <f t="shared" si="4"/>
        <v>-0.44964791719691277</v>
      </c>
      <c r="W20" s="250">
        <f t="shared" si="5"/>
        <v>0.72995780590716874</v>
      </c>
      <c r="X20" s="250">
        <f t="shared" si="5"/>
        <v>-0.52212724746304895</v>
      </c>
      <c r="Y20" s="250">
        <f t="shared" si="6"/>
        <v>0.66886800440268079</v>
      </c>
      <c r="Z20" s="250">
        <v>2</v>
      </c>
      <c r="AA20" s="250">
        <f t="shared" si="7"/>
        <v>0.23755012912997753</v>
      </c>
      <c r="AB20" s="254">
        <f t="shared" si="8"/>
        <v>0.59186773665286885</v>
      </c>
      <c r="AC20" s="255">
        <v>2</v>
      </c>
      <c r="AD20" s="256"/>
      <c r="AE20" s="256">
        <v>4</v>
      </c>
      <c r="AF20" s="256">
        <v>10</v>
      </c>
      <c r="AG20" s="257">
        <v>2</v>
      </c>
      <c r="AH20" s="258">
        <v>20</v>
      </c>
      <c r="AI20" s="259">
        <v>1075</v>
      </c>
      <c r="AJ20" s="260">
        <v>1075</v>
      </c>
      <c r="AK20" s="260">
        <v>1075</v>
      </c>
      <c r="AL20" s="260">
        <v>1075</v>
      </c>
      <c r="AM20" s="261">
        <v>1075</v>
      </c>
      <c r="AN20" s="262">
        <v>41</v>
      </c>
      <c r="AO20" s="267" t="s">
        <v>196</v>
      </c>
    </row>
    <row r="21" spans="1:41" x14ac:dyDescent="0.3">
      <c r="A21" s="246">
        <v>41522</v>
      </c>
      <c r="B21" s="247">
        <v>253.39</v>
      </c>
      <c r="C21" s="248">
        <v>259.89999999999998</v>
      </c>
      <c r="D21" s="249">
        <v>256.99</v>
      </c>
      <c r="E21" s="250"/>
      <c r="F21" s="250"/>
      <c r="G21" s="250"/>
      <c r="H21" s="250">
        <v>249.49</v>
      </c>
      <c r="I21" s="250">
        <v>258.2</v>
      </c>
      <c r="J21" s="250">
        <v>254.83</v>
      </c>
      <c r="K21" s="250"/>
      <c r="L21" s="250"/>
      <c r="M21" s="250"/>
      <c r="N21" s="250">
        <v>252.08</v>
      </c>
      <c r="O21" s="250">
        <v>260.35000000000002</v>
      </c>
      <c r="P21" s="250">
        <v>256.33</v>
      </c>
      <c r="Q21" s="251">
        <v>229</v>
      </c>
      <c r="R21" s="251">
        <v>239</v>
      </c>
      <c r="S21" s="250">
        <f t="shared" si="0"/>
        <v>256.05</v>
      </c>
      <c r="T21" s="252">
        <f t="shared" si="1"/>
        <v>0.90376988221559618</v>
      </c>
      <c r="U21" s="253">
        <f t="shared" si="4"/>
        <v>1.2682888815289586</v>
      </c>
      <c r="V21" s="250">
        <f t="shared" si="4"/>
        <v>-0.56298245274622616</v>
      </c>
      <c r="W21" s="250">
        <f t="shared" si="5"/>
        <v>1.7156138588508694</v>
      </c>
      <c r="X21" s="250">
        <f t="shared" si="5"/>
        <v>-0.65688166384031665</v>
      </c>
      <c r="Y21" s="250">
        <f t="shared" si="6"/>
        <v>1.6138789688347694</v>
      </c>
      <c r="Z21" s="250">
        <v>2</v>
      </c>
      <c r="AA21" s="250">
        <f t="shared" si="7"/>
        <v>0.67558351852561094</v>
      </c>
      <c r="AB21" s="254">
        <f t="shared" si="8"/>
        <v>1.0604593566573763</v>
      </c>
      <c r="AC21" s="255"/>
      <c r="AD21" s="256"/>
      <c r="AE21" s="256"/>
      <c r="AF21" s="256"/>
      <c r="AG21" s="257"/>
      <c r="AH21" s="258">
        <v>20</v>
      </c>
      <c r="AI21" s="259">
        <v>1075</v>
      </c>
      <c r="AJ21" s="260">
        <v>1075</v>
      </c>
      <c r="AK21" s="260">
        <v>1075</v>
      </c>
      <c r="AL21" s="260">
        <v>1075</v>
      </c>
      <c r="AM21" s="261">
        <v>1075</v>
      </c>
      <c r="AN21" s="262">
        <v>41</v>
      </c>
      <c r="AO21" s="267" t="s">
        <v>197</v>
      </c>
    </row>
    <row r="22" spans="1:41" x14ac:dyDescent="0.3">
      <c r="A22" s="246">
        <v>41522</v>
      </c>
      <c r="B22" s="247">
        <v>239.03</v>
      </c>
      <c r="C22" s="248">
        <v>241.22</v>
      </c>
      <c r="D22" s="249">
        <v>240.16</v>
      </c>
      <c r="E22" s="250"/>
      <c r="F22" s="250"/>
      <c r="G22" s="250"/>
      <c r="H22" s="250">
        <v>235.54</v>
      </c>
      <c r="I22" s="250">
        <v>238.59</v>
      </c>
      <c r="J22" s="250">
        <v>237.64</v>
      </c>
      <c r="K22" s="250"/>
      <c r="L22" s="250"/>
      <c r="M22" s="250"/>
      <c r="N22" s="250">
        <v>240.16</v>
      </c>
      <c r="O22" s="250">
        <v>244.35</v>
      </c>
      <c r="P22" s="250">
        <v>242.65</v>
      </c>
      <c r="Q22" s="251">
        <v>229</v>
      </c>
      <c r="R22" s="251">
        <v>239</v>
      </c>
      <c r="S22" s="250">
        <f t="shared" si="0"/>
        <v>240.14999999999998</v>
      </c>
      <c r="T22" s="252">
        <f t="shared" si="1"/>
        <v>2.0453361581901475</v>
      </c>
      <c r="U22" s="253">
        <f t="shared" si="4"/>
        <v>0.4560124934929719</v>
      </c>
      <c r="V22" s="250">
        <f t="shared" si="4"/>
        <v>-0.22020025759275463</v>
      </c>
      <c r="W22" s="250">
        <f t="shared" si="5"/>
        <v>0.64328348765106858</v>
      </c>
      <c r="X22" s="250">
        <f t="shared" si="5"/>
        <v>-0.19948344287424499</v>
      </c>
      <c r="Y22" s="250">
        <f t="shared" si="6"/>
        <v>0.86479123237910416</v>
      </c>
      <c r="Z22" s="250">
        <v>2</v>
      </c>
      <c r="AA22" s="250">
        <f>AVERAGE(U22:Y22)</f>
        <v>0.30888070261122902</v>
      </c>
      <c r="AB22" s="254">
        <f t="shared" si="8"/>
        <v>0.44291540287120634</v>
      </c>
      <c r="AC22" s="255"/>
      <c r="AD22" s="256"/>
      <c r="AE22" s="256"/>
      <c r="AF22" s="256"/>
      <c r="AG22" s="257"/>
      <c r="AH22" s="258">
        <v>20</v>
      </c>
      <c r="AI22" s="259">
        <v>1075</v>
      </c>
      <c r="AJ22" s="260">
        <v>1075</v>
      </c>
      <c r="AK22" s="260">
        <v>1075</v>
      </c>
      <c r="AL22" s="260">
        <v>1075</v>
      </c>
      <c r="AM22" s="261">
        <v>1075</v>
      </c>
      <c r="AN22" s="262">
        <v>41</v>
      </c>
      <c r="AO22" s="267" t="s">
        <v>197</v>
      </c>
    </row>
    <row r="23" spans="1:41" x14ac:dyDescent="0.3">
      <c r="A23" s="246">
        <v>41536</v>
      </c>
      <c r="B23" s="247">
        <v>234.87</v>
      </c>
      <c r="C23" s="248">
        <v>239.32</v>
      </c>
      <c r="D23" s="249">
        <v>237.28</v>
      </c>
      <c r="E23" s="250"/>
      <c r="F23" s="250"/>
      <c r="G23" s="250"/>
      <c r="H23" s="250">
        <v>235.88</v>
      </c>
      <c r="I23" s="250">
        <v>236.54</v>
      </c>
      <c r="J23" s="250">
        <v>236.36</v>
      </c>
      <c r="K23" s="250"/>
      <c r="L23" s="250"/>
      <c r="M23" s="250"/>
      <c r="N23" s="250">
        <v>234.7</v>
      </c>
      <c r="O23" s="250">
        <v>237.39</v>
      </c>
      <c r="P23" s="250">
        <v>235.87</v>
      </c>
      <c r="Q23" s="251">
        <v>229</v>
      </c>
      <c r="R23" s="251">
        <v>239</v>
      </c>
      <c r="S23" s="250">
        <f t="shared" si="0"/>
        <v>236.50333333333333</v>
      </c>
      <c r="T23" s="252">
        <f t="shared" si="1"/>
        <v>0.58448457825867361</v>
      </c>
      <c r="U23" s="253">
        <f t="shared" si="4"/>
        <v>0.93844239650772654</v>
      </c>
      <c r="V23" s="250">
        <f t="shared" si="4"/>
        <v>-0.42803189257238605</v>
      </c>
      <c r="W23" s="250">
        <f t="shared" si="5"/>
        <v>0.13970619364125073</v>
      </c>
      <c r="X23" s="250">
        <f t="shared" si="5"/>
        <v>-3.8063015436662809E-2</v>
      </c>
      <c r="Y23" s="250">
        <f t="shared" si="6"/>
        <v>0.56980660467283739</v>
      </c>
      <c r="Z23" s="250">
        <v>2</v>
      </c>
      <c r="AA23" s="250">
        <f t="shared" si="7"/>
        <v>0.23637205736255318</v>
      </c>
      <c r="AB23" s="254">
        <f t="shared" si="8"/>
        <v>0.47543093410670662</v>
      </c>
      <c r="AC23" s="255">
        <v>-1</v>
      </c>
      <c r="AD23" s="256"/>
      <c r="AE23" s="256">
        <v>0</v>
      </c>
      <c r="AF23" s="256">
        <v>4</v>
      </c>
      <c r="AG23" s="257"/>
      <c r="AH23" s="258">
        <v>20</v>
      </c>
      <c r="AI23" s="259">
        <v>1075</v>
      </c>
      <c r="AJ23" s="260">
        <v>1075</v>
      </c>
      <c r="AK23" s="260">
        <v>1075</v>
      </c>
      <c r="AL23" s="260">
        <v>1075</v>
      </c>
      <c r="AM23" s="261">
        <v>1075</v>
      </c>
      <c r="AN23" s="262">
        <v>41</v>
      </c>
      <c r="AO23" s="267" t="s">
        <v>198</v>
      </c>
    </row>
    <row r="24" spans="1:41" x14ac:dyDescent="0.3">
      <c r="A24" s="246">
        <v>41550</v>
      </c>
      <c r="B24" s="253">
        <v>231.77</v>
      </c>
      <c r="C24" s="250">
        <v>234.36</v>
      </c>
      <c r="D24" s="250">
        <v>232.93</v>
      </c>
      <c r="E24" s="250"/>
      <c r="F24" s="250"/>
      <c r="G24" s="250"/>
      <c r="H24" s="250">
        <v>235.04</v>
      </c>
      <c r="I24" s="250">
        <v>236.51</v>
      </c>
      <c r="J24" s="250">
        <v>235.59</v>
      </c>
      <c r="K24" s="155"/>
      <c r="L24" s="155"/>
      <c r="M24" s="155"/>
      <c r="N24" s="250">
        <v>233.86</v>
      </c>
      <c r="O24" s="250">
        <v>237.06</v>
      </c>
      <c r="P24" s="250">
        <v>235.44</v>
      </c>
      <c r="Q24" s="251">
        <v>229</v>
      </c>
      <c r="R24" s="251">
        <v>239</v>
      </c>
      <c r="S24" s="250">
        <f t="shared" si="0"/>
        <v>234.65333333333334</v>
      </c>
      <c r="T24" s="252">
        <f t="shared" si="1"/>
        <v>1.2201183913411362</v>
      </c>
      <c r="U24" s="253">
        <f t="shared" si="4"/>
        <v>0.55563898483255814</v>
      </c>
      <c r="V24" s="250"/>
      <c r="W24" s="250">
        <f t="shared" si="5"/>
        <v>0.31173788569610839</v>
      </c>
      <c r="X24" s="250">
        <f>(D24-C24)/(D24+C24)*100</f>
        <v>-0.3060198163881116</v>
      </c>
      <c r="Y24" s="250">
        <f t="shared" si="6"/>
        <v>0.67952093773889166</v>
      </c>
      <c r="Z24" s="250">
        <v>2</v>
      </c>
      <c r="AA24" s="250">
        <f t="shared" si="7"/>
        <v>0.31021949796986165</v>
      </c>
      <c r="AB24" s="254">
        <f t="shared" si="8"/>
        <v>0.37959434795881114</v>
      </c>
      <c r="AC24" s="255"/>
      <c r="AD24" s="256"/>
      <c r="AE24" s="256"/>
      <c r="AF24" s="256"/>
      <c r="AG24" s="257"/>
      <c r="AH24" s="258">
        <v>20</v>
      </c>
      <c r="AI24" s="259">
        <v>1075</v>
      </c>
      <c r="AJ24" s="260">
        <v>1075</v>
      </c>
      <c r="AK24" s="260">
        <v>1075</v>
      </c>
      <c r="AL24" s="260">
        <v>1075</v>
      </c>
      <c r="AM24" s="261">
        <v>1075</v>
      </c>
      <c r="AN24" s="262">
        <v>41</v>
      </c>
      <c r="AO24" s="267" t="s">
        <v>199</v>
      </c>
    </row>
    <row r="25" spans="1:41" x14ac:dyDescent="0.3">
      <c r="A25" s="246">
        <v>41576</v>
      </c>
      <c r="B25" s="247">
        <v>234.69</v>
      </c>
      <c r="C25" s="248">
        <v>237.35</v>
      </c>
      <c r="D25" s="249">
        <v>235.84</v>
      </c>
      <c r="E25" s="250"/>
      <c r="F25" s="250"/>
      <c r="G25" s="250"/>
      <c r="H25" s="250">
        <v>237.28</v>
      </c>
      <c r="I25" s="250">
        <v>238.07</v>
      </c>
      <c r="J25" s="250">
        <v>237.61</v>
      </c>
      <c r="K25" s="250"/>
      <c r="L25" s="250"/>
      <c r="M25" s="250"/>
      <c r="N25" s="250">
        <v>236.25</v>
      </c>
      <c r="O25" s="250">
        <v>238.89</v>
      </c>
      <c r="P25" s="250">
        <v>237.58</v>
      </c>
      <c r="Q25" s="251">
        <v>229</v>
      </c>
      <c r="R25" s="251">
        <v>239</v>
      </c>
      <c r="S25" s="250">
        <f t="shared" si="0"/>
        <v>237.01000000000002</v>
      </c>
      <c r="T25" s="252">
        <f t="shared" si="1"/>
        <v>0.82740558373750872</v>
      </c>
      <c r="U25" s="253">
        <f t="shared" si="4"/>
        <v>0.56351156681637082</v>
      </c>
      <c r="V25" s="250"/>
      <c r="W25" s="250">
        <f t="shared" si="5"/>
        <v>0.1661933312296186</v>
      </c>
      <c r="X25" s="250">
        <f>(D25-C25)/(D25+C25)*100</f>
        <v>-0.31911071662545509</v>
      </c>
      <c r="Y25" s="250">
        <f t="shared" si="6"/>
        <v>0.55562571031695629</v>
      </c>
      <c r="Z25" s="250">
        <v>2</v>
      </c>
      <c r="AA25" s="250">
        <f t="shared" si="7"/>
        <v>0.24155497293437267</v>
      </c>
      <c r="AB25" s="254">
        <f t="shared" si="8"/>
        <v>0.3613591941940078</v>
      </c>
      <c r="AC25" s="255">
        <v>29</v>
      </c>
      <c r="AD25" s="256"/>
      <c r="AE25" s="256">
        <v>8</v>
      </c>
      <c r="AF25" s="256">
        <v>8</v>
      </c>
      <c r="AG25" s="257"/>
      <c r="AH25" s="258">
        <v>20</v>
      </c>
      <c r="AI25" s="259">
        <v>1075</v>
      </c>
      <c r="AJ25" s="260">
        <v>1075</v>
      </c>
      <c r="AK25" s="260">
        <v>1075</v>
      </c>
      <c r="AL25" s="260">
        <v>1075</v>
      </c>
      <c r="AM25" s="261">
        <v>1075</v>
      </c>
      <c r="AN25" s="262">
        <v>41</v>
      </c>
      <c r="AO25" s="267" t="s">
        <v>198</v>
      </c>
    </row>
    <row r="26" spans="1:41" x14ac:dyDescent="0.3">
      <c r="A26" s="246">
        <v>41600</v>
      </c>
      <c r="B26" s="247">
        <v>235.63</v>
      </c>
      <c r="C26" s="248">
        <v>243.47</v>
      </c>
      <c r="D26" s="249">
        <v>235.02</v>
      </c>
      <c r="E26" s="250"/>
      <c r="F26" s="250"/>
      <c r="G26" s="250"/>
      <c r="H26" s="250">
        <v>237.15</v>
      </c>
      <c r="I26" s="250">
        <v>237.88</v>
      </c>
      <c r="J26" s="250">
        <v>237.53</v>
      </c>
      <c r="K26" s="250"/>
      <c r="L26" s="250"/>
      <c r="M26" s="250"/>
      <c r="N26" s="250">
        <v>235.24</v>
      </c>
      <c r="O26" s="250">
        <v>238.57</v>
      </c>
      <c r="P26" s="250">
        <v>236.81</v>
      </c>
      <c r="Q26" s="251">
        <v>229</v>
      </c>
      <c r="R26" s="251">
        <v>239</v>
      </c>
      <c r="S26" s="250">
        <f t="shared" si="0"/>
        <v>236.45333333333335</v>
      </c>
      <c r="T26" s="252">
        <f t="shared" si="1"/>
        <v>1.0552830057487961</v>
      </c>
      <c r="U26" s="253">
        <f t="shared" si="4"/>
        <v>1.6364015863076609</v>
      </c>
      <c r="V26" s="250"/>
      <c r="W26" s="250">
        <f t="shared" si="5"/>
        <v>0.15367450476811775</v>
      </c>
      <c r="X26" s="250"/>
      <c r="Y26" s="250">
        <f t="shared" si="6"/>
        <v>0.70281336400666605</v>
      </c>
      <c r="Z26" s="250">
        <v>2</v>
      </c>
      <c r="AA26" s="250">
        <f>AVERAGE(U26:Y26)</f>
        <v>0.83096315169414814</v>
      </c>
      <c r="AB26" s="254">
        <f t="shared" si="8"/>
        <v>0.61206572394689385</v>
      </c>
      <c r="AC26" s="255">
        <v>8</v>
      </c>
      <c r="AD26" s="256"/>
      <c r="AE26" s="256">
        <v>0</v>
      </c>
      <c r="AF26" s="256">
        <v>5</v>
      </c>
      <c r="AG26" s="257"/>
      <c r="AH26" s="258">
        <v>20</v>
      </c>
      <c r="AI26" s="259">
        <v>1075</v>
      </c>
      <c r="AJ26" s="260">
        <v>1075</v>
      </c>
      <c r="AK26" s="260">
        <v>1075</v>
      </c>
      <c r="AL26" s="260">
        <v>1075</v>
      </c>
      <c r="AM26" s="261">
        <v>1075</v>
      </c>
      <c r="AN26" s="262">
        <v>41</v>
      </c>
      <c r="AO26" s="267" t="s">
        <v>198</v>
      </c>
    </row>
    <row r="27" spans="1:41" x14ac:dyDescent="0.3">
      <c r="A27" s="246">
        <v>41614</v>
      </c>
      <c r="B27" s="247">
        <v>232.4</v>
      </c>
      <c r="C27" s="248">
        <v>235.03</v>
      </c>
      <c r="D27" s="249">
        <v>233.52</v>
      </c>
      <c r="E27" s="250"/>
      <c r="F27" s="250"/>
      <c r="G27" s="250"/>
      <c r="H27" s="250">
        <v>235.73</v>
      </c>
      <c r="I27" s="250">
        <v>236.89</v>
      </c>
      <c r="J27" s="250">
        <v>236.22</v>
      </c>
      <c r="K27" s="250"/>
      <c r="L27" s="250"/>
      <c r="M27" s="250"/>
      <c r="N27" s="250">
        <v>233.91</v>
      </c>
      <c r="O27" s="250">
        <v>237.38</v>
      </c>
      <c r="P27" s="250">
        <v>235.53</v>
      </c>
      <c r="Q27" s="251">
        <v>229</v>
      </c>
      <c r="R27" s="251">
        <v>239</v>
      </c>
      <c r="S27" s="250">
        <f t="shared" si="0"/>
        <v>235.09</v>
      </c>
      <c r="T27" s="252">
        <f t="shared" si="1"/>
        <v>1.1453383779477526</v>
      </c>
      <c r="U27" s="253">
        <f t="shared" si="4"/>
        <v>0.56265109214213793</v>
      </c>
      <c r="V27" s="250"/>
      <c r="W27" s="250">
        <f t="shared" si="5"/>
        <v>0.24544031145529105</v>
      </c>
      <c r="X27" s="250"/>
      <c r="Y27" s="250">
        <f t="shared" si="6"/>
        <v>0.73627702688365959</v>
      </c>
      <c r="Z27" s="250">
        <v>2</v>
      </c>
      <c r="AA27" s="250">
        <f t="shared" si="7"/>
        <v>0.51478947682702947</v>
      </c>
      <c r="AB27" s="254">
        <f t="shared" si="8"/>
        <v>0.203221096294251</v>
      </c>
      <c r="AC27" s="255">
        <v>10</v>
      </c>
      <c r="AD27" s="256"/>
      <c r="AE27" s="256">
        <v>4</v>
      </c>
      <c r="AF27" s="256">
        <v>8</v>
      </c>
      <c r="AG27" s="257"/>
      <c r="AH27" s="258">
        <v>20</v>
      </c>
      <c r="AI27" s="259">
        <v>1075</v>
      </c>
      <c r="AJ27" s="260">
        <v>1075</v>
      </c>
      <c r="AK27" s="260">
        <v>1075</v>
      </c>
      <c r="AL27" s="260">
        <v>1075</v>
      </c>
      <c r="AM27" s="261">
        <v>1075</v>
      </c>
      <c r="AN27" s="262">
        <v>41</v>
      </c>
      <c r="AO27" s="267" t="s">
        <v>198</v>
      </c>
    </row>
    <row r="28" spans="1:41" x14ac:dyDescent="0.3">
      <c r="A28" s="246">
        <v>41627</v>
      </c>
      <c r="B28" s="247"/>
      <c r="C28" s="248"/>
      <c r="D28" s="249"/>
      <c r="E28" s="250"/>
      <c r="F28" s="250"/>
      <c r="G28" s="250"/>
      <c r="H28" s="250">
        <v>235.59</v>
      </c>
      <c r="I28" s="250">
        <v>236.99</v>
      </c>
      <c r="J28" s="250">
        <v>236.15</v>
      </c>
      <c r="K28" s="250"/>
      <c r="L28" s="250"/>
      <c r="M28" s="250"/>
      <c r="N28" s="250"/>
      <c r="O28" s="250"/>
      <c r="P28" s="250"/>
      <c r="Q28" s="251">
        <v>229</v>
      </c>
      <c r="R28" s="251">
        <v>239</v>
      </c>
      <c r="S28" s="250">
        <f t="shared" si="0"/>
        <v>236.15</v>
      </c>
      <c r="T28" s="252">
        <f t="shared" si="1"/>
        <v>0</v>
      </c>
      <c r="U28" s="253"/>
      <c r="V28" s="250"/>
      <c r="W28" s="250">
        <f t="shared" si="5"/>
        <v>0.29624613821998508</v>
      </c>
      <c r="X28" s="250"/>
      <c r="Y28" s="250"/>
      <c r="Z28" s="250">
        <v>2</v>
      </c>
      <c r="AA28" s="250">
        <f t="shared" si="7"/>
        <v>0.29624613821998508</v>
      </c>
      <c r="AB28" s="254">
        <f t="shared" si="8"/>
        <v>0</v>
      </c>
      <c r="AC28" s="255"/>
      <c r="AD28" s="256"/>
      <c r="AE28" s="256"/>
      <c r="AF28" s="256"/>
      <c r="AG28" s="257"/>
      <c r="AH28" s="258">
        <v>20</v>
      </c>
      <c r="AI28" s="259">
        <v>1075</v>
      </c>
      <c r="AJ28" s="260">
        <v>1075</v>
      </c>
      <c r="AK28" s="260">
        <v>1075</v>
      </c>
      <c r="AL28" s="260">
        <v>1075</v>
      </c>
      <c r="AM28" s="261">
        <v>1075</v>
      </c>
      <c r="AN28" s="262">
        <v>41</v>
      </c>
      <c r="AO28" s="267" t="s">
        <v>198</v>
      </c>
    </row>
    <row r="29" spans="1:41" x14ac:dyDescent="0.3">
      <c r="A29" s="246">
        <v>41670</v>
      </c>
      <c r="B29" s="198"/>
      <c r="C29" s="248"/>
      <c r="D29" s="249"/>
      <c r="E29" s="250"/>
      <c r="F29" s="250"/>
      <c r="G29" s="250"/>
      <c r="H29" s="263">
        <v>235.57</v>
      </c>
      <c r="I29" s="250">
        <v>236.9</v>
      </c>
      <c r="J29" s="250">
        <v>236.06</v>
      </c>
      <c r="K29" s="250"/>
      <c r="L29" s="250"/>
      <c r="M29" s="250"/>
      <c r="N29" s="250"/>
      <c r="O29" s="250"/>
      <c r="P29" s="250"/>
      <c r="Q29" s="251">
        <v>229</v>
      </c>
      <c r="R29" s="251">
        <v>239</v>
      </c>
      <c r="S29" s="250">
        <f t="shared" si="0"/>
        <v>236.06</v>
      </c>
      <c r="T29" s="252">
        <f t="shared" si="1"/>
        <v>0</v>
      </c>
      <c r="U29" s="253"/>
      <c r="V29" s="250"/>
      <c r="W29" s="250">
        <f t="shared" si="5"/>
        <v>0.28149935445637025</v>
      </c>
      <c r="X29" s="250"/>
      <c r="Y29" s="250"/>
      <c r="Z29" s="250">
        <v>2</v>
      </c>
      <c r="AA29" s="250">
        <f t="shared" si="7"/>
        <v>0.28149935445637025</v>
      </c>
      <c r="AB29" s="254">
        <f t="shared" si="8"/>
        <v>0</v>
      </c>
      <c r="AC29" s="255"/>
      <c r="AD29" s="256"/>
      <c r="AE29" s="256">
        <v>0</v>
      </c>
      <c r="AF29" s="256"/>
      <c r="AG29" s="257"/>
      <c r="AH29" s="258">
        <v>20</v>
      </c>
      <c r="AI29" s="259">
        <v>1075</v>
      </c>
      <c r="AJ29" s="260">
        <v>1075</v>
      </c>
      <c r="AK29" s="260">
        <v>1075</v>
      </c>
      <c r="AL29" s="260">
        <v>1075</v>
      </c>
      <c r="AM29" s="261">
        <v>1075</v>
      </c>
      <c r="AN29" s="262">
        <v>41</v>
      </c>
      <c r="AO29" s="267" t="s">
        <v>198</v>
      </c>
    </row>
    <row r="30" spans="1:41" x14ac:dyDescent="0.3">
      <c r="A30" s="246">
        <v>41711</v>
      </c>
      <c r="B30" s="247"/>
      <c r="C30" s="248"/>
      <c r="D30" s="249"/>
      <c r="E30" s="250"/>
      <c r="F30" s="250"/>
      <c r="G30" s="250"/>
      <c r="H30" s="250">
        <v>235.87</v>
      </c>
      <c r="I30" s="250">
        <v>237.1</v>
      </c>
      <c r="J30" s="250">
        <v>236.36</v>
      </c>
      <c r="K30" s="250"/>
      <c r="L30" s="250"/>
      <c r="M30" s="250"/>
      <c r="N30" s="250"/>
      <c r="O30" s="250"/>
      <c r="P30" s="250"/>
      <c r="Q30" s="251">
        <v>229</v>
      </c>
      <c r="R30" s="251">
        <v>239</v>
      </c>
      <c r="S30" s="250">
        <f t="shared" si="0"/>
        <v>236.36</v>
      </c>
      <c r="T30" s="252">
        <f t="shared" si="1"/>
        <v>0</v>
      </c>
      <c r="U30" s="253"/>
      <c r="V30" s="250"/>
      <c r="W30" s="250">
        <f t="shared" si="5"/>
        <v>0.2600587775123136</v>
      </c>
      <c r="X30" s="250"/>
      <c r="Y30" s="250"/>
      <c r="Z30" s="250">
        <v>2</v>
      </c>
      <c r="AA30" s="250">
        <f t="shared" si="7"/>
        <v>0.2600587775123136</v>
      </c>
      <c r="AB30" s="254">
        <f t="shared" si="8"/>
        <v>0</v>
      </c>
      <c r="AC30" s="255"/>
      <c r="AD30" s="256"/>
      <c r="AE30" s="256">
        <v>-1</v>
      </c>
      <c r="AF30" s="256"/>
      <c r="AG30" s="257"/>
      <c r="AH30" s="258">
        <v>20</v>
      </c>
      <c r="AI30" s="259">
        <v>1075</v>
      </c>
      <c r="AJ30" s="260">
        <v>1075</v>
      </c>
      <c r="AK30" s="260">
        <v>1075</v>
      </c>
      <c r="AL30" s="260">
        <v>1075</v>
      </c>
      <c r="AM30" s="261">
        <v>1075</v>
      </c>
      <c r="AN30" s="262">
        <v>41</v>
      </c>
      <c r="AO30" s="267" t="s">
        <v>198</v>
      </c>
    </row>
    <row r="31" spans="1:41" x14ac:dyDescent="0.3">
      <c r="A31" s="246">
        <v>41766</v>
      </c>
      <c r="B31" s="247"/>
      <c r="C31" s="248"/>
      <c r="D31" s="249"/>
      <c r="E31" s="250"/>
      <c r="F31" s="250"/>
      <c r="G31" s="250"/>
      <c r="H31" s="250">
        <v>234.5</v>
      </c>
      <c r="I31" s="250">
        <v>235.88</v>
      </c>
      <c r="J31" s="250">
        <v>234.88</v>
      </c>
      <c r="K31" s="250"/>
      <c r="L31" s="250"/>
      <c r="M31" s="250"/>
      <c r="N31" s="250"/>
      <c r="O31" s="250"/>
      <c r="P31" s="250"/>
      <c r="Q31" s="251">
        <v>229</v>
      </c>
      <c r="R31" s="251">
        <v>239</v>
      </c>
      <c r="S31" s="250">
        <f t="shared" si="0"/>
        <v>234.88</v>
      </c>
      <c r="T31" s="252">
        <f t="shared" si="1"/>
        <v>0</v>
      </c>
      <c r="U31" s="253"/>
      <c r="V31" s="250"/>
      <c r="W31" s="250">
        <f t="shared" si="5"/>
        <v>0.29337982057060152</v>
      </c>
      <c r="X31" s="250"/>
      <c r="Y31" s="250"/>
      <c r="Z31" s="250">
        <v>2</v>
      </c>
      <c r="AA31" s="250">
        <f t="shared" si="7"/>
        <v>0.29337982057060152</v>
      </c>
      <c r="AB31" s="254">
        <f t="shared" si="8"/>
        <v>0</v>
      </c>
      <c r="AC31" s="255"/>
      <c r="AD31" s="256"/>
      <c r="AE31" s="256"/>
      <c r="AF31" s="256"/>
      <c r="AG31" s="257"/>
      <c r="AH31" s="258">
        <v>20</v>
      </c>
      <c r="AI31" s="259">
        <v>1075</v>
      </c>
      <c r="AJ31" s="260">
        <v>1075</v>
      </c>
      <c r="AK31" s="260">
        <v>1075</v>
      </c>
      <c r="AL31" s="260">
        <v>1075</v>
      </c>
      <c r="AM31" s="261">
        <v>1075</v>
      </c>
      <c r="AN31" s="262">
        <v>41</v>
      </c>
      <c r="AO31" s="267" t="s">
        <v>198</v>
      </c>
    </row>
    <row r="32" spans="1:41" x14ac:dyDescent="0.3">
      <c r="A32" s="246">
        <v>41793</v>
      </c>
      <c r="B32" s="247"/>
      <c r="C32" s="248"/>
      <c r="D32" s="249"/>
      <c r="E32" s="250"/>
      <c r="F32" s="250"/>
      <c r="G32" s="250"/>
      <c r="H32" s="250">
        <v>234.29</v>
      </c>
      <c r="I32" s="250">
        <v>235.65</v>
      </c>
      <c r="J32" s="250">
        <v>234.76</v>
      </c>
      <c r="K32" s="250"/>
      <c r="L32" s="250"/>
      <c r="M32" s="250"/>
      <c r="N32" s="250"/>
      <c r="O32" s="250"/>
      <c r="P32" s="250"/>
      <c r="Q32" s="251">
        <v>229</v>
      </c>
      <c r="R32" s="251">
        <v>239</v>
      </c>
      <c r="S32" s="250">
        <f t="shared" si="0"/>
        <v>234.76</v>
      </c>
      <c r="T32" s="252">
        <f t="shared" si="1"/>
        <v>0</v>
      </c>
      <c r="U32" s="253"/>
      <c r="V32" s="250"/>
      <c r="W32" s="250">
        <f t="shared" si="5"/>
        <v>0.28939864663574366</v>
      </c>
      <c r="X32" s="250"/>
      <c r="Y32" s="250"/>
      <c r="Z32" s="250">
        <v>2</v>
      </c>
      <c r="AA32" s="250">
        <f t="shared" si="7"/>
        <v>0.28939864663574366</v>
      </c>
      <c r="AB32" s="254">
        <f t="shared" si="8"/>
        <v>0</v>
      </c>
      <c r="AC32" s="255"/>
      <c r="AD32" s="256"/>
      <c r="AE32" s="256">
        <v>4</v>
      </c>
      <c r="AF32" s="256"/>
      <c r="AG32" s="257"/>
      <c r="AH32" s="258">
        <v>20</v>
      </c>
      <c r="AI32" s="259">
        <v>1075</v>
      </c>
      <c r="AJ32" s="260">
        <v>1075</v>
      </c>
      <c r="AK32" s="260">
        <v>1075</v>
      </c>
      <c r="AL32" s="260">
        <v>1075</v>
      </c>
      <c r="AM32" s="261">
        <v>1075</v>
      </c>
      <c r="AN32" s="262">
        <v>41</v>
      </c>
      <c r="AO32" s="267" t="s">
        <v>200</v>
      </c>
    </row>
    <row r="33" spans="1:42" x14ac:dyDescent="0.3">
      <c r="A33" s="246">
        <v>41807</v>
      </c>
      <c r="B33" s="247"/>
      <c r="C33" s="248"/>
      <c r="D33" s="249"/>
      <c r="E33" s="250"/>
      <c r="F33" s="250"/>
      <c r="G33" s="250"/>
      <c r="H33" s="250">
        <v>233.46</v>
      </c>
      <c r="I33" s="250">
        <v>234.82</v>
      </c>
      <c r="J33" s="250">
        <v>233.96</v>
      </c>
      <c r="K33" s="250"/>
      <c r="L33" s="250"/>
      <c r="M33" s="250"/>
      <c r="N33" s="250"/>
      <c r="O33" s="250"/>
      <c r="P33" s="250"/>
      <c r="Q33" s="251">
        <v>229</v>
      </c>
      <c r="R33" s="251">
        <v>239</v>
      </c>
      <c r="S33" s="250">
        <f t="shared" si="0"/>
        <v>233.96</v>
      </c>
      <c r="T33" s="252">
        <f t="shared" si="1"/>
        <v>0</v>
      </c>
      <c r="U33" s="253"/>
      <c r="V33" s="250"/>
      <c r="W33" s="250">
        <f t="shared" ref="W33:W49" si="9">(I33-H33)/(I33+H33)*100</f>
        <v>0.29042453233108084</v>
      </c>
      <c r="X33" s="250"/>
      <c r="Y33" s="250"/>
      <c r="Z33" s="250">
        <v>2</v>
      </c>
      <c r="AA33" s="250">
        <f t="shared" si="7"/>
        <v>0.29042453233108084</v>
      </c>
      <c r="AB33" s="254">
        <f>STDEVP(U33:Y33)</f>
        <v>0</v>
      </c>
      <c r="AC33" s="255"/>
      <c r="AD33" s="256"/>
      <c r="AE33" s="256">
        <v>2</v>
      </c>
      <c r="AF33" s="256"/>
      <c r="AG33" s="257"/>
      <c r="AH33" s="258">
        <v>20</v>
      </c>
      <c r="AI33" s="259">
        <v>1075</v>
      </c>
      <c r="AJ33" s="260">
        <v>1075</v>
      </c>
      <c r="AK33" s="260">
        <v>1075</v>
      </c>
      <c r="AL33" s="260">
        <v>1075</v>
      </c>
      <c r="AM33" s="261">
        <v>1075</v>
      </c>
      <c r="AN33" s="262">
        <v>41</v>
      </c>
      <c r="AO33" s="267" t="s">
        <v>200</v>
      </c>
    </row>
    <row r="34" spans="1:42" x14ac:dyDescent="0.3">
      <c r="A34" s="246">
        <v>41827</v>
      </c>
      <c r="B34" s="247"/>
      <c r="C34" s="248"/>
      <c r="D34" s="249"/>
      <c r="E34" s="250"/>
      <c r="F34" s="250"/>
      <c r="G34" s="250"/>
      <c r="H34" s="250">
        <v>234.2</v>
      </c>
      <c r="I34" s="250">
        <v>235.52</v>
      </c>
      <c r="J34" s="250">
        <v>234.79</v>
      </c>
      <c r="K34" s="250"/>
      <c r="L34" s="250"/>
      <c r="M34" s="250"/>
      <c r="N34" s="250"/>
      <c r="O34" s="250"/>
      <c r="P34" s="250"/>
      <c r="Q34" s="251">
        <v>229</v>
      </c>
      <c r="R34" s="251">
        <v>239</v>
      </c>
      <c r="S34" s="250">
        <f t="shared" si="0"/>
        <v>234.79</v>
      </c>
      <c r="T34" s="252">
        <f t="shared" si="1"/>
        <v>0</v>
      </c>
      <c r="U34" s="253"/>
      <c r="V34" s="250"/>
      <c r="W34" s="250">
        <f t="shared" si="9"/>
        <v>0.28101847909393285</v>
      </c>
      <c r="X34" s="250"/>
      <c r="Y34" s="250"/>
      <c r="Z34" s="250">
        <v>2</v>
      </c>
      <c r="AA34" s="250">
        <f t="shared" si="7"/>
        <v>0.28101847909393285</v>
      </c>
      <c r="AB34" s="254">
        <f t="shared" ref="AB34:AB64" si="10">STDEVP(U34:Y34)</f>
        <v>0</v>
      </c>
      <c r="AC34" s="255"/>
      <c r="AD34" s="256"/>
      <c r="AE34" s="256">
        <v>-11</v>
      </c>
      <c r="AF34" s="256"/>
      <c r="AG34" s="257"/>
      <c r="AH34" s="258">
        <v>20</v>
      </c>
      <c r="AI34" s="259">
        <v>1075</v>
      </c>
      <c r="AJ34" s="260">
        <v>1075</v>
      </c>
      <c r="AK34" s="260">
        <v>1075</v>
      </c>
      <c r="AL34" s="260">
        <v>1075</v>
      </c>
      <c r="AM34" s="261">
        <v>1075</v>
      </c>
      <c r="AN34" s="262">
        <v>41</v>
      </c>
      <c r="AO34" s="267"/>
    </row>
    <row r="35" spans="1:42" x14ac:dyDescent="0.3">
      <c r="A35" s="246">
        <v>41844</v>
      </c>
      <c r="B35" s="247"/>
      <c r="C35" s="248"/>
      <c r="D35" s="249"/>
      <c r="E35" s="250"/>
      <c r="F35" s="250"/>
      <c r="G35" s="250"/>
      <c r="H35" s="250">
        <v>234.2</v>
      </c>
      <c r="I35" s="250">
        <v>235.87</v>
      </c>
      <c r="J35" s="250">
        <v>235.04</v>
      </c>
      <c r="K35" s="250"/>
      <c r="L35" s="250"/>
      <c r="M35" s="250"/>
      <c r="N35" s="250"/>
      <c r="O35" s="250"/>
      <c r="P35" s="250"/>
      <c r="Q35" s="251">
        <v>229</v>
      </c>
      <c r="R35" s="251">
        <v>239</v>
      </c>
      <c r="S35" s="250">
        <f t="shared" si="0"/>
        <v>235.04</v>
      </c>
      <c r="T35" s="252">
        <f t="shared" si="1"/>
        <v>0</v>
      </c>
      <c r="U35" s="253"/>
      <c r="V35" s="250"/>
      <c r="W35" s="250">
        <f t="shared" si="9"/>
        <v>0.35526623694343734</v>
      </c>
      <c r="X35" s="250"/>
      <c r="Y35" s="250"/>
      <c r="Z35" s="250">
        <v>2</v>
      </c>
      <c r="AA35" s="250">
        <f t="shared" si="7"/>
        <v>0.35526623694343734</v>
      </c>
      <c r="AB35" s="254">
        <f t="shared" si="10"/>
        <v>0</v>
      </c>
      <c r="AC35" s="255"/>
      <c r="AD35" s="256"/>
      <c r="AE35" s="256">
        <v>-2</v>
      </c>
      <c r="AF35" s="256"/>
      <c r="AG35" s="257"/>
      <c r="AH35" s="258">
        <v>20</v>
      </c>
      <c r="AI35" s="259">
        <v>1075</v>
      </c>
      <c r="AJ35" s="260">
        <v>1075</v>
      </c>
      <c r="AK35" s="260">
        <v>1075</v>
      </c>
      <c r="AL35" s="260">
        <v>1075</v>
      </c>
      <c r="AM35" s="261">
        <v>1075</v>
      </c>
      <c r="AN35" s="262">
        <v>41</v>
      </c>
      <c r="AO35" s="267"/>
    </row>
    <row r="36" spans="1:42" x14ac:dyDescent="0.3">
      <c r="A36" s="246">
        <v>41877</v>
      </c>
      <c r="B36" s="247"/>
      <c r="C36" s="248"/>
      <c r="D36" s="249"/>
      <c r="E36" s="250"/>
      <c r="F36" s="250"/>
      <c r="G36" s="250"/>
      <c r="H36" s="250">
        <v>233.59</v>
      </c>
      <c r="I36" s="250">
        <v>234.79</v>
      </c>
      <c r="J36" s="250">
        <v>234.06</v>
      </c>
      <c r="K36" s="250"/>
      <c r="L36" s="250"/>
      <c r="M36" s="250"/>
      <c r="N36" s="250"/>
      <c r="O36" s="250"/>
      <c r="P36" s="250"/>
      <c r="Q36" s="251">
        <v>229</v>
      </c>
      <c r="R36" s="251">
        <v>239</v>
      </c>
      <c r="S36" s="250">
        <f t="shared" si="0"/>
        <v>234.06</v>
      </c>
      <c r="T36" s="252">
        <f t="shared" si="1"/>
        <v>0</v>
      </c>
      <c r="U36" s="253"/>
      <c r="V36" s="250"/>
      <c r="W36" s="250">
        <f t="shared" si="9"/>
        <v>0.25620222895938949</v>
      </c>
      <c r="X36" s="250"/>
      <c r="Y36" s="250"/>
      <c r="Z36" s="250">
        <v>2</v>
      </c>
      <c r="AA36" s="250">
        <f t="shared" si="7"/>
        <v>0.25620222895938949</v>
      </c>
      <c r="AB36" s="254">
        <f t="shared" si="10"/>
        <v>0</v>
      </c>
      <c r="AC36" s="255"/>
      <c r="AD36" s="256"/>
      <c r="AE36" s="256">
        <v>0</v>
      </c>
      <c r="AF36" s="256"/>
      <c r="AG36" s="257"/>
      <c r="AH36" s="258">
        <v>20</v>
      </c>
      <c r="AI36" s="259">
        <v>1075</v>
      </c>
      <c r="AJ36" s="260">
        <v>1075</v>
      </c>
      <c r="AK36" s="260">
        <v>1075</v>
      </c>
      <c r="AL36" s="260">
        <v>1075</v>
      </c>
      <c r="AM36" s="261">
        <v>1075</v>
      </c>
      <c r="AN36" s="262">
        <v>41</v>
      </c>
      <c r="AO36" s="267"/>
    </row>
    <row r="37" spans="1:42" x14ac:dyDescent="0.3">
      <c r="A37" s="246">
        <v>41738</v>
      </c>
      <c r="B37" s="247"/>
      <c r="C37" s="248"/>
      <c r="D37" s="249"/>
      <c r="E37" s="250"/>
      <c r="F37" s="250"/>
      <c r="G37" s="250"/>
      <c r="H37" s="250">
        <v>234.16</v>
      </c>
      <c r="I37" s="250">
        <v>235.35</v>
      </c>
      <c r="J37" s="250">
        <v>234.63</v>
      </c>
      <c r="K37" s="250"/>
      <c r="L37" s="250"/>
      <c r="M37" s="250"/>
      <c r="N37" s="250"/>
      <c r="O37" s="250"/>
      <c r="P37" s="250"/>
      <c r="Q37" s="251">
        <v>229</v>
      </c>
      <c r="R37" s="251">
        <v>239</v>
      </c>
      <c r="S37" s="250">
        <f t="shared" si="0"/>
        <v>234.63</v>
      </c>
      <c r="T37" s="252">
        <f t="shared" si="1"/>
        <v>0</v>
      </c>
      <c r="U37" s="253"/>
      <c r="V37" s="250"/>
      <c r="W37" s="250">
        <f t="shared" si="9"/>
        <v>0.25345573044237557</v>
      </c>
      <c r="X37" s="250"/>
      <c r="Y37" s="250"/>
      <c r="Z37" s="250">
        <v>2</v>
      </c>
      <c r="AA37" s="250">
        <f t="shared" si="7"/>
        <v>0.25345573044237557</v>
      </c>
      <c r="AB37" s="254">
        <f t="shared" si="10"/>
        <v>0</v>
      </c>
      <c r="AC37" s="255"/>
      <c r="AD37" s="256"/>
      <c r="AE37" s="256">
        <v>41</v>
      </c>
      <c r="AF37" s="256"/>
      <c r="AG37" s="257"/>
      <c r="AH37" s="258">
        <v>20</v>
      </c>
      <c r="AI37" s="259">
        <v>1075</v>
      </c>
      <c r="AJ37" s="260">
        <v>1075</v>
      </c>
      <c r="AK37" s="260">
        <v>1075</v>
      </c>
      <c r="AL37" s="260">
        <v>1075</v>
      </c>
      <c r="AM37" s="261">
        <v>1075</v>
      </c>
      <c r="AN37" s="262">
        <v>41</v>
      </c>
      <c r="AO37" s="267" t="s">
        <v>201</v>
      </c>
    </row>
    <row r="38" spans="1:42" ht="14.3" customHeight="1" x14ac:dyDescent="0.3">
      <c r="A38" s="246">
        <v>41898</v>
      </c>
      <c r="B38" s="247"/>
      <c r="C38" s="248"/>
      <c r="D38" s="249"/>
      <c r="E38" s="250"/>
      <c r="F38" s="250"/>
      <c r="G38" s="250"/>
      <c r="H38" s="250">
        <v>234.17</v>
      </c>
      <c r="I38" s="250">
        <v>235.23</v>
      </c>
      <c r="J38" s="250">
        <v>234.64</v>
      </c>
      <c r="K38" s="250"/>
      <c r="L38" s="250"/>
      <c r="M38" s="250"/>
      <c r="N38" s="250"/>
      <c r="O38" s="250"/>
      <c r="P38" s="250"/>
      <c r="Q38" s="251">
        <v>229</v>
      </c>
      <c r="R38" s="251">
        <v>239</v>
      </c>
      <c r="S38" s="250">
        <f t="shared" si="0"/>
        <v>234.64</v>
      </c>
      <c r="T38" s="252">
        <f t="shared" si="1"/>
        <v>0</v>
      </c>
      <c r="U38" s="253"/>
      <c r="V38" s="250"/>
      <c r="W38" s="250">
        <f t="shared" si="9"/>
        <v>0.22582019599488756</v>
      </c>
      <c r="X38" s="250"/>
      <c r="Y38" s="250"/>
      <c r="Z38" s="250">
        <v>2</v>
      </c>
      <c r="AA38" s="250">
        <f t="shared" si="7"/>
        <v>0.22582019599488756</v>
      </c>
      <c r="AB38" s="254">
        <f t="shared" si="10"/>
        <v>0</v>
      </c>
      <c r="AC38" s="255"/>
      <c r="AD38" s="256"/>
      <c r="AE38" s="256"/>
      <c r="AF38" s="256"/>
      <c r="AG38" s="257"/>
      <c r="AH38" s="258">
        <v>20</v>
      </c>
      <c r="AI38" s="259">
        <v>1075</v>
      </c>
      <c r="AJ38" s="260">
        <v>1075</v>
      </c>
      <c r="AK38" s="260">
        <v>1075</v>
      </c>
      <c r="AL38" s="260">
        <v>1075</v>
      </c>
      <c r="AM38" s="261">
        <v>1075</v>
      </c>
      <c r="AN38" s="262">
        <v>41</v>
      </c>
      <c r="AO38" s="267"/>
    </row>
    <row r="39" spans="1:42" x14ac:dyDescent="0.3">
      <c r="A39" s="246">
        <v>41967</v>
      </c>
      <c r="B39" s="247"/>
      <c r="C39" s="248"/>
      <c r="D39" s="249"/>
      <c r="E39" s="250"/>
      <c r="F39" s="250"/>
      <c r="G39" s="250"/>
      <c r="H39" s="250">
        <v>236.92</v>
      </c>
      <c r="I39" s="250">
        <v>238.42</v>
      </c>
      <c r="J39" s="250">
        <v>237.58</v>
      </c>
      <c r="K39" s="250"/>
      <c r="L39" s="250"/>
      <c r="M39" s="250"/>
      <c r="N39" s="250"/>
      <c r="O39" s="250"/>
      <c r="P39" s="250"/>
      <c r="Q39" s="251">
        <v>229</v>
      </c>
      <c r="R39" s="251">
        <v>239</v>
      </c>
      <c r="S39" s="250">
        <f t="shared" si="0"/>
        <v>237.58</v>
      </c>
      <c r="T39" s="252">
        <f t="shared" si="1"/>
        <v>0</v>
      </c>
      <c r="U39" s="253"/>
      <c r="V39" s="250"/>
      <c r="W39" s="250">
        <f t="shared" si="9"/>
        <v>0.31556359658349814</v>
      </c>
      <c r="X39" s="250"/>
      <c r="Y39" s="250"/>
      <c r="Z39" s="250">
        <v>2</v>
      </c>
      <c r="AA39" s="250">
        <f t="shared" si="7"/>
        <v>0.31556359658349814</v>
      </c>
      <c r="AB39" s="254">
        <f t="shared" si="10"/>
        <v>0</v>
      </c>
      <c r="AC39" s="255"/>
      <c r="AD39" s="256"/>
      <c r="AE39" s="256"/>
      <c r="AF39" s="256"/>
      <c r="AG39" s="257"/>
      <c r="AH39" s="258">
        <v>20</v>
      </c>
      <c r="AI39" s="259">
        <v>1075</v>
      </c>
      <c r="AJ39" s="260">
        <v>1075</v>
      </c>
      <c r="AK39" s="260">
        <v>1075</v>
      </c>
      <c r="AL39" s="260">
        <v>1075</v>
      </c>
      <c r="AM39" s="261">
        <v>1075</v>
      </c>
      <c r="AN39" s="262">
        <v>41</v>
      </c>
      <c r="AO39" s="267"/>
    </row>
    <row r="40" spans="1:42" x14ac:dyDescent="0.3">
      <c r="A40" s="246">
        <v>41989</v>
      </c>
      <c r="B40" s="247"/>
      <c r="C40" s="248"/>
      <c r="D40" s="249"/>
      <c r="E40" s="250"/>
      <c r="F40" s="250"/>
      <c r="G40" s="250"/>
      <c r="H40" s="250">
        <v>236.76</v>
      </c>
      <c r="I40" s="250">
        <v>238.24</v>
      </c>
      <c r="J40" s="250">
        <v>237.45</v>
      </c>
      <c r="K40" s="250"/>
      <c r="L40" s="250"/>
      <c r="M40" s="250"/>
      <c r="N40" s="250"/>
      <c r="O40" s="250"/>
      <c r="P40" s="250"/>
      <c r="Q40" s="251">
        <v>229</v>
      </c>
      <c r="R40" s="251">
        <v>239</v>
      </c>
      <c r="S40" s="250">
        <f t="shared" si="0"/>
        <v>237.45</v>
      </c>
      <c r="T40" s="252">
        <f t="shared" si="1"/>
        <v>0</v>
      </c>
      <c r="U40" s="253"/>
      <c r="V40" s="250"/>
      <c r="W40" s="250">
        <f t="shared" si="9"/>
        <v>0.3115789473684249</v>
      </c>
      <c r="X40" s="250"/>
      <c r="Y40" s="250"/>
      <c r="Z40" s="250">
        <v>2</v>
      </c>
      <c r="AA40" s="250">
        <f t="shared" si="7"/>
        <v>0.3115789473684249</v>
      </c>
      <c r="AB40" s="254">
        <f t="shared" si="10"/>
        <v>0</v>
      </c>
      <c r="AC40" s="255"/>
      <c r="AD40" s="256"/>
      <c r="AE40" s="256"/>
      <c r="AF40" s="256"/>
      <c r="AG40" s="257"/>
      <c r="AH40" s="258">
        <v>20</v>
      </c>
      <c r="AI40" s="259">
        <v>1075</v>
      </c>
      <c r="AJ40" s="260">
        <v>1075</v>
      </c>
      <c r="AK40" s="260">
        <v>1075</v>
      </c>
      <c r="AL40" s="260">
        <v>1075</v>
      </c>
      <c r="AM40" s="261">
        <v>1075</v>
      </c>
      <c r="AN40" s="262">
        <v>41</v>
      </c>
      <c r="AO40" s="267"/>
    </row>
    <row r="41" spans="1:42" x14ac:dyDescent="0.3">
      <c r="A41" s="246">
        <v>42003</v>
      </c>
      <c r="B41" s="247"/>
      <c r="C41" s="248"/>
      <c r="D41" s="249"/>
      <c r="E41" s="250"/>
      <c r="F41" s="250"/>
      <c r="G41" s="250"/>
      <c r="H41" s="250">
        <v>235.16</v>
      </c>
      <c r="I41" s="250">
        <v>236.37</v>
      </c>
      <c r="J41" s="250">
        <v>235.59</v>
      </c>
      <c r="K41" s="250"/>
      <c r="L41" s="250"/>
      <c r="M41" s="250"/>
      <c r="N41" s="250"/>
      <c r="O41" s="250"/>
      <c r="P41" s="250"/>
      <c r="Q41" s="251">
        <v>229</v>
      </c>
      <c r="R41" s="251">
        <v>239</v>
      </c>
      <c r="S41" s="250">
        <f t="shared" si="0"/>
        <v>235.59</v>
      </c>
      <c r="T41" s="252">
        <f t="shared" si="1"/>
        <v>0</v>
      </c>
      <c r="U41" s="253"/>
      <c r="V41" s="250"/>
      <c r="W41" s="250">
        <f t="shared" si="9"/>
        <v>0.25661145632303528</v>
      </c>
      <c r="X41" s="250"/>
      <c r="Y41" s="250"/>
      <c r="Z41" s="250">
        <v>2</v>
      </c>
      <c r="AA41" s="250">
        <f t="shared" si="7"/>
        <v>0.25661145632303528</v>
      </c>
      <c r="AB41" s="254">
        <f t="shared" si="10"/>
        <v>0</v>
      </c>
      <c r="AC41" s="255"/>
      <c r="AD41" s="256"/>
      <c r="AE41" s="256">
        <v>-4</v>
      </c>
      <c r="AF41" s="256"/>
      <c r="AG41" s="257"/>
      <c r="AH41" s="258">
        <v>20</v>
      </c>
      <c r="AI41" s="259">
        <v>1075</v>
      </c>
      <c r="AJ41" s="260">
        <v>1075</v>
      </c>
      <c r="AK41" s="260">
        <v>1075</v>
      </c>
      <c r="AL41" s="260">
        <v>1075</v>
      </c>
      <c r="AM41" s="261">
        <v>1075</v>
      </c>
      <c r="AN41" s="262">
        <v>41</v>
      </c>
      <c r="AO41" s="267"/>
    </row>
    <row r="42" spans="1:42" x14ac:dyDescent="0.3">
      <c r="A42" s="246">
        <v>42027</v>
      </c>
      <c r="B42" s="247"/>
      <c r="C42" s="248"/>
      <c r="D42" s="249"/>
      <c r="E42" s="250"/>
      <c r="F42" s="250"/>
      <c r="G42" s="250"/>
      <c r="H42" s="250">
        <v>237.89</v>
      </c>
      <c r="I42" s="250">
        <v>239.19</v>
      </c>
      <c r="J42" s="250">
        <v>238.45</v>
      </c>
      <c r="K42" s="250"/>
      <c r="L42" s="250"/>
      <c r="M42" s="250"/>
      <c r="N42" s="250"/>
      <c r="O42" s="250"/>
      <c r="P42" s="250"/>
      <c r="Q42" s="251">
        <v>229</v>
      </c>
      <c r="R42" s="251">
        <v>239</v>
      </c>
      <c r="S42" s="250">
        <f t="shared" si="0"/>
        <v>238.45</v>
      </c>
      <c r="T42" s="252">
        <f t="shared" si="1"/>
        <v>0</v>
      </c>
      <c r="U42" s="253"/>
      <c r="V42" s="250"/>
      <c r="W42" s="250">
        <f t="shared" si="9"/>
        <v>0.27249098683659162</v>
      </c>
      <c r="X42" s="250"/>
      <c r="Y42" s="250"/>
      <c r="Z42" s="250">
        <v>2</v>
      </c>
      <c r="AA42" s="250">
        <f t="shared" si="7"/>
        <v>0.27249098683659162</v>
      </c>
      <c r="AB42" s="254">
        <f t="shared" si="10"/>
        <v>0</v>
      </c>
      <c r="AC42" s="255"/>
      <c r="AD42" s="256"/>
      <c r="AE42" s="256">
        <v>1</v>
      </c>
      <c r="AF42" s="256"/>
      <c r="AG42" s="257"/>
      <c r="AH42" s="258">
        <v>20</v>
      </c>
      <c r="AI42" s="259">
        <v>1075</v>
      </c>
      <c r="AJ42" s="260">
        <v>1075</v>
      </c>
      <c r="AK42" s="260">
        <v>1075</v>
      </c>
      <c r="AL42" s="260">
        <v>1075</v>
      </c>
      <c r="AM42" s="261">
        <v>1075</v>
      </c>
      <c r="AN42" s="262">
        <v>41</v>
      </c>
      <c r="AO42" s="267"/>
    </row>
    <row r="43" spans="1:42" x14ac:dyDescent="0.3">
      <c r="A43" s="246">
        <v>42047</v>
      </c>
      <c r="B43" s="247"/>
      <c r="C43" s="248"/>
      <c r="D43" s="249"/>
      <c r="E43" s="250"/>
      <c r="F43" s="250"/>
      <c r="G43" s="250"/>
      <c r="H43" s="250">
        <v>235.72</v>
      </c>
      <c r="I43" s="250">
        <v>237.03</v>
      </c>
      <c r="J43" s="250">
        <v>236.3</v>
      </c>
      <c r="K43" s="250"/>
      <c r="L43" s="250"/>
      <c r="M43" s="250"/>
      <c r="N43" s="250"/>
      <c r="O43" s="250"/>
      <c r="P43" s="250"/>
      <c r="Q43" s="251">
        <v>229</v>
      </c>
      <c r="R43" s="251">
        <v>239</v>
      </c>
      <c r="S43" s="250">
        <f t="shared" si="0"/>
        <v>236.3</v>
      </c>
      <c r="T43" s="252">
        <f t="shared" si="1"/>
        <v>0</v>
      </c>
      <c r="U43" s="253"/>
      <c r="V43" s="250"/>
      <c r="W43" s="250">
        <f t="shared" si="9"/>
        <v>0.27710206240084662</v>
      </c>
      <c r="X43" s="250"/>
      <c r="Y43" s="250"/>
      <c r="Z43" s="250">
        <v>2</v>
      </c>
      <c r="AA43" s="250">
        <f t="shared" si="7"/>
        <v>0.27710206240084662</v>
      </c>
      <c r="AB43" s="254">
        <f t="shared" si="10"/>
        <v>0</v>
      </c>
      <c r="AC43" s="255"/>
      <c r="AD43" s="256"/>
      <c r="AE43" s="256">
        <v>-2</v>
      </c>
      <c r="AF43" s="256"/>
      <c r="AG43" s="257"/>
      <c r="AH43" s="258">
        <v>20</v>
      </c>
      <c r="AI43" s="259">
        <v>1075</v>
      </c>
      <c r="AJ43" s="260">
        <v>1075</v>
      </c>
      <c r="AK43" s="260">
        <v>1075</v>
      </c>
      <c r="AL43" s="260">
        <v>1075</v>
      </c>
      <c r="AM43" s="261">
        <v>1075</v>
      </c>
      <c r="AN43" s="262">
        <v>41</v>
      </c>
      <c r="AO43" s="267"/>
    </row>
    <row r="44" spans="1:42" x14ac:dyDescent="0.3">
      <c r="A44" s="246">
        <v>42058</v>
      </c>
      <c r="B44" s="247"/>
      <c r="C44" s="248"/>
      <c r="D44" s="249"/>
      <c r="E44" s="250"/>
      <c r="F44" s="250"/>
      <c r="G44" s="250"/>
      <c r="H44" s="250">
        <v>236.79</v>
      </c>
      <c r="I44" s="250">
        <v>237.6</v>
      </c>
      <c r="J44" s="250">
        <v>237.16</v>
      </c>
      <c r="K44" s="250"/>
      <c r="L44" s="250"/>
      <c r="M44" s="250"/>
      <c r="N44" s="250"/>
      <c r="O44" s="250"/>
      <c r="P44" s="250"/>
      <c r="Q44" s="251">
        <v>229</v>
      </c>
      <c r="R44" s="251">
        <v>239</v>
      </c>
      <c r="S44" s="250">
        <f t="shared" si="0"/>
        <v>237.16</v>
      </c>
      <c r="T44" s="252">
        <f t="shared" si="1"/>
        <v>0</v>
      </c>
      <c r="U44" s="253"/>
      <c r="V44" s="250"/>
      <c r="W44" s="250">
        <f t="shared" si="9"/>
        <v>0.17074558907228279</v>
      </c>
      <c r="X44" s="250"/>
      <c r="Y44" s="250"/>
      <c r="Z44" s="250">
        <v>2</v>
      </c>
      <c r="AA44" s="250">
        <f t="shared" si="7"/>
        <v>0.17074558907228279</v>
      </c>
      <c r="AB44" s="254">
        <f t="shared" si="10"/>
        <v>0</v>
      </c>
      <c r="AC44" s="255"/>
      <c r="AD44" s="256"/>
      <c r="AE44" s="256">
        <v>-5</v>
      </c>
      <c r="AF44" s="256"/>
      <c r="AG44" s="257"/>
      <c r="AH44" s="258">
        <v>20</v>
      </c>
      <c r="AI44" s="259">
        <v>1075</v>
      </c>
      <c r="AJ44" s="260">
        <v>1075</v>
      </c>
      <c r="AK44" s="260">
        <v>1075</v>
      </c>
      <c r="AL44" s="260">
        <v>1075</v>
      </c>
      <c r="AM44" s="261">
        <v>1075</v>
      </c>
      <c r="AN44" s="262">
        <v>41</v>
      </c>
      <c r="AO44" s="267"/>
    </row>
    <row r="45" spans="1:42" x14ac:dyDescent="0.3">
      <c r="A45" s="246">
        <v>42080</v>
      </c>
      <c r="B45" s="247"/>
      <c r="C45" s="248"/>
      <c r="D45" s="249"/>
      <c r="E45" s="250"/>
      <c r="F45" s="250"/>
      <c r="G45" s="250"/>
      <c r="H45" s="250">
        <v>236.89</v>
      </c>
      <c r="I45" s="250">
        <v>238.01</v>
      </c>
      <c r="J45" s="250">
        <v>237.3</v>
      </c>
      <c r="K45" s="250"/>
      <c r="L45" s="250"/>
      <c r="M45" s="250"/>
      <c r="N45" s="250"/>
      <c r="O45" s="250"/>
      <c r="P45" s="250"/>
      <c r="Q45" s="251">
        <v>229</v>
      </c>
      <c r="R45" s="251">
        <v>239</v>
      </c>
      <c r="S45" s="250">
        <f t="shared" si="0"/>
        <v>237.3</v>
      </c>
      <c r="T45" s="252">
        <f t="shared" si="1"/>
        <v>0</v>
      </c>
      <c r="U45" s="253"/>
      <c r="V45" s="250"/>
      <c r="W45" s="250">
        <f t="shared" si="9"/>
        <v>0.23583912402611173</v>
      </c>
      <c r="X45" s="250"/>
      <c r="Y45" s="250"/>
      <c r="Z45" s="250">
        <v>2</v>
      </c>
      <c r="AA45" s="250">
        <f t="shared" si="7"/>
        <v>0.23583912402611173</v>
      </c>
      <c r="AB45" s="254">
        <f t="shared" si="10"/>
        <v>0</v>
      </c>
      <c r="AC45" s="255"/>
      <c r="AD45" s="256"/>
      <c r="AE45" s="256">
        <v>-2</v>
      </c>
      <c r="AF45" s="256"/>
      <c r="AG45" s="257"/>
      <c r="AH45" s="258">
        <v>20</v>
      </c>
      <c r="AI45" s="259">
        <v>1075</v>
      </c>
      <c r="AJ45" s="260">
        <v>1075</v>
      </c>
      <c r="AK45" s="260">
        <v>1075</v>
      </c>
      <c r="AL45" s="260">
        <v>1075</v>
      </c>
      <c r="AM45" s="261">
        <v>1075</v>
      </c>
      <c r="AN45" s="262">
        <v>41</v>
      </c>
      <c r="AO45" s="267"/>
    </row>
    <row r="46" spans="1:42" x14ac:dyDescent="0.3">
      <c r="A46" s="246">
        <v>42116</v>
      </c>
      <c r="B46" s="247"/>
      <c r="C46" s="248"/>
      <c r="D46" s="249"/>
      <c r="E46" s="250"/>
      <c r="F46" s="250"/>
      <c r="G46" s="250"/>
      <c r="H46" s="250">
        <v>235.6</v>
      </c>
      <c r="I46" s="250">
        <v>236.72</v>
      </c>
      <c r="J46" s="250">
        <v>235.97</v>
      </c>
      <c r="K46" s="250"/>
      <c r="L46" s="250"/>
      <c r="M46" s="250"/>
      <c r="N46" s="250"/>
      <c r="O46" s="250"/>
      <c r="P46" s="250"/>
      <c r="Q46" s="251">
        <v>229</v>
      </c>
      <c r="R46" s="251">
        <v>239</v>
      </c>
      <c r="S46" s="250">
        <f t="shared" si="0"/>
        <v>235.97</v>
      </c>
      <c r="T46" s="252">
        <f t="shared" si="1"/>
        <v>0</v>
      </c>
      <c r="U46" s="253"/>
      <c r="V46" s="250"/>
      <c r="W46" s="250">
        <f t="shared" si="9"/>
        <v>0.23712737127371372</v>
      </c>
      <c r="X46" s="250"/>
      <c r="Y46" s="250"/>
      <c r="Z46" s="250">
        <v>2</v>
      </c>
      <c r="AA46" s="250">
        <f t="shared" si="7"/>
        <v>0.23712737127371372</v>
      </c>
      <c r="AB46" s="254">
        <f t="shared" si="10"/>
        <v>0</v>
      </c>
      <c r="AC46" s="255"/>
      <c r="AD46" s="256"/>
      <c r="AE46" s="256">
        <v>0</v>
      </c>
      <c r="AF46" s="256"/>
      <c r="AG46" s="257"/>
      <c r="AH46" s="258">
        <v>20</v>
      </c>
      <c r="AI46" s="259">
        <v>1075</v>
      </c>
      <c r="AJ46" s="260">
        <v>1075</v>
      </c>
      <c r="AK46" s="260">
        <v>1075</v>
      </c>
      <c r="AL46" s="260">
        <v>1075</v>
      </c>
      <c r="AM46" s="261">
        <v>1075</v>
      </c>
      <c r="AN46" s="262">
        <v>41</v>
      </c>
      <c r="AO46" s="267"/>
    </row>
    <row r="47" spans="1:42" s="214" customFormat="1" x14ac:dyDescent="0.3">
      <c r="A47" s="246">
        <v>42139</v>
      </c>
      <c r="B47" s="247"/>
      <c r="C47" s="248"/>
      <c r="D47" s="249"/>
      <c r="E47" s="250"/>
      <c r="F47" s="250"/>
      <c r="G47" s="250"/>
      <c r="H47" s="250">
        <v>235.78</v>
      </c>
      <c r="I47" s="250">
        <v>236.89</v>
      </c>
      <c r="J47" s="250">
        <v>236.3</v>
      </c>
      <c r="K47" s="250"/>
      <c r="L47" s="250"/>
      <c r="M47" s="250"/>
      <c r="N47" s="250"/>
      <c r="O47" s="250"/>
      <c r="P47" s="250"/>
      <c r="Q47" s="251">
        <v>229</v>
      </c>
      <c r="R47" s="251">
        <v>239</v>
      </c>
      <c r="S47" s="250">
        <f t="shared" si="0"/>
        <v>236.3</v>
      </c>
      <c r="T47" s="252">
        <f t="shared" si="1"/>
        <v>0</v>
      </c>
      <c r="U47" s="253"/>
      <c r="V47" s="250"/>
      <c r="W47" s="250">
        <f t="shared" si="9"/>
        <v>0.23483614360970345</v>
      </c>
      <c r="X47" s="250"/>
      <c r="Y47" s="250"/>
      <c r="Z47" s="250">
        <v>2</v>
      </c>
      <c r="AA47" s="250">
        <f t="shared" si="7"/>
        <v>0.23483614360970345</v>
      </c>
      <c r="AB47" s="254">
        <f t="shared" si="10"/>
        <v>0</v>
      </c>
      <c r="AC47" s="255"/>
      <c r="AD47" s="256"/>
      <c r="AE47" s="256">
        <v>-1</v>
      </c>
      <c r="AF47" s="256"/>
      <c r="AG47" s="257"/>
      <c r="AH47" s="258">
        <v>20</v>
      </c>
      <c r="AI47" s="259">
        <v>1075</v>
      </c>
      <c r="AJ47" s="260">
        <v>1075</v>
      </c>
      <c r="AK47" s="260">
        <v>1075</v>
      </c>
      <c r="AL47" s="260">
        <v>1075</v>
      </c>
      <c r="AM47" s="261">
        <v>1075</v>
      </c>
      <c r="AN47" s="262">
        <v>41</v>
      </c>
      <c r="AO47" s="267"/>
      <c r="AP47" s="275"/>
    </row>
    <row r="48" spans="1:42" s="214" customFormat="1" x14ac:dyDescent="0.3">
      <c r="A48" s="246">
        <v>42185</v>
      </c>
      <c r="B48" s="247"/>
      <c r="C48" s="248"/>
      <c r="D48" s="249"/>
      <c r="E48" s="250"/>
      <c r="F48" s="250"/>
      <c r="G48" s="250"/>
      <c r="H48" s="250">
        <v>235.56</v>
      </c>
      <c r="I48" s="250">
        <v>236.64</v>
      </c>
      <c r="J48" s="250">
        <v>235.95</v>
      </c>
      <c r="K48" s="250"/>
      <c r="L48" s="250"/>
      <c r="M48" s="250"/>
      <c r="N48" s="250"/>
      <c r="O48" s="250"/>
      <c r="P48" s="250"/>
      <c r="Q48" s="251">
        <v>229</v>
      </c>
      <c r="R48" s="251">
        <v>239</v>
      </c>
      <c r="S48" s="250">
        <f t="shared" si="0"/>
        <v>235.95</v>
      </c>
      <c r="T48" s="252">
        <f t="shared" si="1"/>
        <v>0</v>
      </c>
      <c r="U48" s="253"/>
      <c r="V48" s="250"/>
      <c r="W48" s="250">
        <f t="shared" si="9"/>
        <v>0.22871664548919612</v>
      </c>
      <c r="X48" s="250"/>
      <c r="Y48" s="250"/>
      <c r="Z48" s="250">
        <v>2</v>
      </c>
      <c r="AA48" s="250">
        <f t="shared" si="7"/>
        <v>0.22871664548919612</v>
      </c>
      <c r="AB48" s="254">
        <f t="shared" si="10"/>
        <v>0</v>
      </c>
      <c r="AC48" s="255"/>
      <c r="AD48" s="256"/>
      <c r="AE48" s="256">
        <v>-4</v>
      </c>
      <c r="AF48" s="256"/>
      <c r="AG48" s="257"/>
      <c r="AH48" s="258">
        <v>20</v>
      </c>
      <c r="AI48" s="259">
        <v>1075</v>
      </c>
      <c r="AJ48" s="260">
        <v>1075</v>
      </c>
      <c r="AK48" s="260">
        <v>1075</v>
      </c>
      <c r="AL48" s="260">
        <v>1075</v>
      </c>
      <c r="AM48" s="261">
        <v>1075</v>
      </c>
      <c r="AN48" s="262">
        <v>41</v>
      </c>
      <c r="AO48" s="267"/>
      <c r="AP48" s="275"/>
    </row>
    <row r="49" spans="1:42" s="214" customFormat="1" x14ac:dyDescent="0.3">
      <c r="A49" s="246">
        <v>42219</v>
      </c>
      <c r="B49" s="247"/>
      <c r="C49" s="248"/>
      <c r="D49" s="249"/>
      <c r="E49" s="250"/>
      <c r="F49" s="250"/>
      <c r="G49" s="250"/>
      <c r="H49" s="250">
        <v>232.74</v>
      </c>
      <c r="I49" s="250">
        <v>233.74</v>
      </c>
      <c r="J49" s="250">
        <v>233.18</v>
      </c>
      <c r="K49" s="250"/>
      <c r="L49" s="250"/>
      <c r="M49" s="250"/>
      <c r="N49" s="250"/>
      <c r="O49" s="250"/>
      <c r="P49" s="250"/>
      <c r="Q49" s="251">
        <v>229</v>
      </c>
      <c r="R49" s="251">
        <v>239</v>
      </c>
      <c r="S49" s="250">
        <f t="shared" si="0"/>
        <v>233.18</v>
      </c>
      <c r="T49" s="252">
        <f t="shared" si="1"/>
        <v>0</v>
      </c>
      <c r="U49" s="253"/>
      <c r="V49" s="250"/>
      <c r="W49" s="250">
        <f t="shared" si="9"/>
        <v>0.21437146287086262</v>
      </c>
      <c r="X49" s="250"/>
      <c r="Y49" s="250"/>
      <c r="Z49" s="250">
        <v>2</v>
      </c>
      <c r="AA49" s="250">
        <f t="shared" si="7"/>
        <v>0.21437146287086262</v>
      </c>
      <c r="AB49" s="254">
        <f t="shared" si="10"/>
        <v>0</v>
      </c>
      <c r="AC49" s="255"/>
      <c r="AD49" s="256"/>
      <c r="AE49" s="256"/>
      <c r="AF49" s="256"/>
      <c r="AG49" s="257"/>
      <c r="AH49" s="258">
        <v>20</v>
      </c>
      <c r="AI49" s="259">
        <v>1075</v>
      </c>
      <c r="AJ49" s="260">
        <v>1075</v>
      </c>
      <c r="AK49" s="260">
        <v>1075</v>
      </c>
      <c r="AL49" s="260">
        <v>1075</v>
      </c>
      <c r="AM49" s="261">
        <v>1075</v>
      </c>
      <c r="AN49" s="262">
        <v>41</v>
      </c>
      <c r="AO49" s="267"/>
      <c r="AP49" s="275"/>
    </row>
    <row r="50" spans="1:42" s="214" customFormat="1" x14ac:dyDescent="0.3">
      <c r="A50" s="276">
        <v>42243</v>
      </c>
      <c r="B50" s="198"/>
      <c r="C50" s="199"/>
      <c r="D50" s="199"/>
      <c r="E50" s="155"/>
      <c r="F50" s="155"/>
      <c r="G50" s="155"/>
      <c r="H50" s="277">
        <v>238.17</v>
      </c>
      <c r="I50" s="277">
        <v>239.51</v>
      </c>
      <c r="J50" s="277">
        <v>238.59</v>
      </c>
      <c r="K50" s="155"/>
      <c r="L50" s="155"/>
      <c r="M50" s="155"/>
      <c r="N50" s="155"/>
      <c r="O50" s="155"/>
      <c r="P50" s="155"/>
      <c r="Q50" s="251">
        <v>229</v>
      </c>
      <c r="R50" s="251">
        <v>239</v>
      </c>
      <c r="S50" s="250">
        <f t="shared" si="0"/>
        <v>238.59</v>
      </c>
      <c r="T50" s="252">
        <f t="shared" si="1"/>
        <v>0</v>
      </c>
      <c r="U50" s="200"/>
      <c r="V50" s="155"/>
      <c r="W50" s="155">
        <v>0.28000000000000003</v>
      </c>
      <c r="X50" s="155"/>
      <c r="Y50" s="155"/>
      <c r="Z50" s="250">
        <v>2</v>
      </c>
      <c r="AA50" s="250">
        <f t="shared" si="7"/>
        <v>0.28000000000000003</v>
      </c>
      <c r="AB50" s="254">
        <f t="shared" si="10"/>
        <v>0</v>
      </c>
      <c r="AC50" s="278"/>
      <c r="AD50" s="155"/>
      <c r="AE50" s="155">
        <v>0</v>
      </c>
      <c r="AF50" s="155"/>
      <c r="AG50" s="155"/>
      <c r="AH50" s="258">
        <v>20</v>
      </c>
      <c r="AI50" s="259">
        <v>1075</v>
      </c>
      <c r="AJ50" s="260">
        <v>1075</v>
      </c>
      <c r="AK50" s="260">
        <v>1075</v>
      </c>
      <c r="AL50" s="260">
        <v>1075</v>
      </c>
      <c r="AM50" s="261">
        <v>1075</v>
      </c>
      <c r="AN50" s="262">
        <v>41</v>
      </c>
      <c r="AO50" s="267"/>
      <c r="AP50" s="275"/>
    </row>
    <row r="51" spans="1:42" s="214" customFormat="1" x14ac:dyDescent="0.3">
      <c r="A51" s="276">
        <v>42271</v>
      </c>
      <c r="B51" s="198"/>
      <c r="C51" s="199"/>
      <c r="D51" s="199"/>
      <c r="E51" s="155"/>
      <c r="F51" s="155"/>
      <c r="G51" s="155"/>
      <c r="H51" s="277">
        <v>235.51</v>
      </c>
      <c r="I51" s="277">
        <v>237.15</v>
      </c>
      <c r="J51" s="277">
        <v>236.3</v>
      </c>
      <c r="K51" s="155"/>
      <c r="L51" s="155"/>
      <c r="M51" s="155"/>
      <c r="N51" s="155"/>
      <c r="O51" s="155"/>
      <c r="P51" s="155"/>
      <c r="Q51" s="251">
        <v>229</v>
      </c>
      <c r="R51" s="251">
        <v>239</v>
      </c>
      <c r="S51" s="250">
        <f t="shared" si="0"/>
        <v>236.3</v>
      </c>
      <c r="T51" s="252">
        <f t="shared" si="1"/>
        <v>0</v>
      </c>
      <c r="U51" s="200"/>
      <c r="V51" s="155"/>
      <c r="W51" s="155">
        <v>0.34</v>
      </c>
      <c r="X51" s="155"/>
      <c r="Y51" s="155"/>
      <c r="Z51" s="250">
        <v>2</v>
      </c>
      <c r="AA51" s="250">
        <f t="shared" si="7"/>
        <v>0.34</v>
      </c>
      <c r="AB51" s="254">
        <f t="shared" si="10"/>
        <v>0</v>
      </c>
      <c r="AC51" s="278"/>
      <c r="AD51" s="155"/>
      <c r="AE51" s="155">
        <v>-1</v>
      </c>
      <c r="AF51" s="155"/>
      <c r="AG51" s="155"/>
      <c r="AH51" s="258">
        <v>20</v>
      </c>
      <c r="AI51" s="259">
        <v>1075</v>
      </c>
      <c r="AJ51" s="260">
        <v>1075</v>
      </c>
      <c r="AK51" s="260">
        <v>1075</v>
      </c>
      <c r="AL51" s="260">
        <v>1075</v>
      </c>
      <c r="AM51" s="261">
        <v>1075</v>
      </c>
      <c r="AN51" s="262">
        <v>41</v>
      </c>
      <c r="AO51" s="267"/>
      <c r="AP51" s="275"/>
    </row>
    <row r="52" spans="1:42" s="214" customFormat="1" x14ac:dyDescent="0.3">
      <c r="A52" s="276">
        <v>42291</v>
      </c>
      <c r="B52" s="279"/>
      <c r="C52" s="199"/>
      <c r="D52" s="199"/>
      <c r="E52" s="155"/>
      <c r="F52" s="155"/>
      <c r="G52" s="155"/>
      <c r="H52" s="277">
        <v>237.31</v>
      </c>
      <c r="I52" s="277">
        <v>238.11</v>
      </c>
      <c r="J52" s="277">
        <v>237.6</v>
      </c>
      <c r="K52" s="155"/>
      <c r="L52" s="155"/>
      <c r="M52" s="155"/>
      <c r="N52" s="155"/>
      <c r="O52" s="155"/>
      <c r="P52" s="155"/>
      <c r="Q52" s="251">
        <v>229</v>
      </c>
      <c r="R52" s="251">
        <v>239</v>
      </c>
      <c r="S52" s="250">
        <f t="shared" si="0"/>
        <v>237.6</v>
      </c>
      <c r="T52" s="252">
        <f t="shared" si="1"/>
        <v>0</v>
      </c>
      <c r="U52" s="200"/>
      <c r="V52" s="155"/>
      <c r="W52" s="155">
        <v>0.16</v>
      </c>
      <c r="X52" s="155"/>
      <c r="Y52" s="155"/>
      <c r="Z52" s="250">
        <v>2</v>
      </c>
      <c r="AA52" s="250">
        <f t="shared" si="7"/>
        <v>0.16</v>
      </c>
      <c r="AB52" s="254">
        <f t="shared" si="10"/>
        <v>0</v>
      </c>
      <c r="AC52" s="278"/>
      <c r="AD52" s="155"/>
      <c r="AE52" s="155">
        <v>0</v>
      </c>
      <c r="AF52" s="155"/>
      <c r="AG52" s="155"/>
      <c r="AH52" s="258">
        <v>20</v>
      </c>
      <c r="AI52" s="259">
        <v>1075</v>
      </c>
      <c r="AJ52" s="260">
        <v>1075</v>
      </c>
      <c r="AK52" s="260">
        <v>1075</v>
      </c>
      <c r="AL52" s="260">
        <v>1075</v>
      </c>
      <c r="AM52" s="261">
        <v>1075</v>
      </c>
      <c r="AN52" s="262">
        <v>41</v>
      </c>
      <c r="AO52" s="267"/>
      <c r="AP52" s="275"/>
    </row>
    <row r="53" spans="1:42" s="214" customFormat="1" x14ac:dyDescent="0.3">
      <c r="A53" s="276">
        <v>42304</v>
      </c>
      <c r="B53" s="198"/>
      <c r="C53" s="199"/>
      <c r="D53" s="199"/>
      <c r="E53" s="155"/>
      <c r="F53" s="155"/>
      <c r="G53" s="155"/>
      <c r="H53" s="277">
        <v>236.74</v>
      </c>
      <c r="I53" s="277">
        <v>237.82</v>
      </c>
      <c r="J53" s="277">
        <v>237.1</v>
      </c>
      <c r="K53" s="155"/>
      <c r="L53" s="155"/>
      <c r="M53" s="155"/>
      <c r="N53" s="155"/>
      <c r="O53" s="155"/>
      <c r="P53" s="155"/>
      <c r="Q53" s="251">
        <v>229</v>
      </c>
      <c r="R53" s="251">
        <v>239</v>
      </c>
      <c r="S53" s="250">
        <f t="shared" si="0"/>
        <v>237.1</v>
      </c>
      <c r="T53" s="252">
        <f t="shared" si="1"/>
        <v>0</v>
      </c>
      <c r="U53" s="200"/>
      <c r="V53" s="155"/>
      <c r="W53" s="155">
        <v>0.22</v>
      </c>
      <c r="X53" s="155"/>
      <c r="Y53" s="155"/>
      <c r="Z53" s="250">
        <v>2</v>
      </c>
      <c r="AA53" s="250">
        <f t="shared" si="7"/>
        <v>0.22</v>
      </c>
      <c r="AB53" s="254">
        <f t="shared" si="10"/>
        <v>0</v>
      </c>
      <c r="AC53" s="278"/>
      <c r="AD53" s="155"/>
      <c r="AE53" s="155">
        <v>0</v>
      </c>
      <c r="AF53" s="155"/>
      <c r="AG53" s="155"/>
      <c r="AH53" s="258">
        <v>20</v>
      </c>
      <c r="AI53" s="259">
        <v>1075</v>
      </c>
      <c r="AJ53" s="260">
        <v>1075</v>
      </c>
      <c r="AK53" s="260">
        <v>1075</v>
      </c>
      <c r="AL53" s="260">
        <v>1075</v>
      </c>
      <c r="AM53" s="261">
        <v>1075</v>
      </c>
      <c r="AN53" s="262">
        <v>41</v>
      </c>
      <c r="AO53" s="267"/>
      <c r="AP53" s="275"/>
    </row>
    <row r="54" spans="1:42" s="214" customFormat="1" x14ac:dyDescent="0.3">
      <c r="A54" s="276">
        <v>42314</v>
      </c>
      <c r="B54" s="198">
        <v>235.63</v>
      </c>
      <c r="C54" s="199">
        <v>239.11</v>
      </c>
      <c r="D54" s="199">
        <v>236.78</v>
      </c>
      <c r="E54" s="155"/>
      <c r="F54" s="155"/>
      <c r="G54" s="155"/>
      <c r="H54" s="277">
        <v>236.57</v>
      </c>
      <c r="I54" s="277">
        <v>238.28</v>
      </c>
      <c r="J54" s="277">
        <v>237.23</v>
      </c>
      <c r="K54" s="155"/>
      <c r="L54" s="155"/>
      <c r="M54" s="155"/>
      <c r="N54" s="155">
        <v>233.88</v>
      </c>
      <c r="O54" s="155">
        <v>238.05</v>
      </c>
      <c r="P54" s="155">
        <v>235.5</v>
      </c>
      <c r="Q54" s="251">
        <v>229</v>
      </c>
      <c r="R54" s="251">
        <v>239</v>
      </c>
      <c r="S54" s="250">
        <f t="shared" si="0"/>
        <v>236.50333333333333</v>
      </c>
      <c r="T54" s="252">
        <f t="shared" si="1"/>
        <v>0.73286348584772876</v>
      </c>
      <c r="U54" s="200">
        <v>0.72</v>
      </c>
      <c r="V54" s="155"/>
      <c r="W54" s="155">
        <v>0.23</v>
      </c>
      <c r="X54" s="155"/>
      <c r="Y54" s="155">
        <v>0.83</v>
      </c>
      <c r="Z54" s="250">
        <v>2</v>
      </c>
      <c r="AA54" s="250">
        <f t="shared" si="7"/>
        <v>0.59333333333333327</v>
      </c>
      <c r="AB54" s="254">
        <f t="shared" si="10"/>
        <v>0.26081070189358074</v>
      </c>
      <c r="AC54" s="278">
        <v>-1</v>
      </c>
      <c r="AD54" s="155"/>
      <c r="AE54" s="155">
        <v>1</v>
      </c>
      <c r="AF54" s="155">
        <v>2</v>
      </c>
      <c r="AG54" s="155"/>
      <c r="AH54" s="258">
        <v>20</v>
      </c>
      <c r="AI54" s="259">
        <v>1075</v>
      </c>
      <c r="AJ54" s="260">
        <v>1075</v>
      </c>
      <c r="AK54" s="260">
        <v>1075</v>
      </c>
      <c r="AL54" s="260">
        <v>1075</v>
      </c>
      <c r="AM54" s="261">
        <v>1075</v>
      </c>
      <c r="AN54" s="262">
        <v>41</v>
      </c>
      <c r="AO54" s="267"/>
      <c r="AP54" s="275"/>
    </row>
    <row r="55" spans="1:42" s="214" customFormat="1" x14ac:dyDescent="0.3">
      <c r="A55" s="276">
        <v>42331</v>
      </c>
      <c r="B55" s="198"/>
      <c r="C55" s="199"/>
      <c r="D55" s="199"/>
      <c r="E55" s="155"/>
      <c r="F55" s="155"/>
      <c r="G55" s="155"/>
      <c r="H55" s="277">
        <v>237.32</v>
      </c>
      <c r="I55" s="277">
        <v>238.18</v>
      </c>
      <c r="J55" s="277">
        <v>237.59</v>
      </c>
      <c r="K55" s="155"/>
      <c r="L55" s="155"/>
      <c r="M55" s="155"/>
      <c r="N55" s="155"/>
      <c r="O55" s="155"/>
      <c r="P55" s="155"/>
      <c r="Q55" s="251">
        <v>229</v>
      </c>
      <c r="R55" s="251">
        <v>239</v>
      </c>
      <c r="S55" s="250">
        <f t="shared" si="0"/>
        <v>237.59</v>
      </c>
      <c r="T55" s="252">
        <f t="shared" si="1"/>
        <v>0</v>
      </c>
      <c r="U55" s="200"/>
      <c r="V55" s="155"/>
      <c r="W55" s="155">
        <v>0.17</v>
      </c>
      <c r="X55" s="155"/>
      <c r="Y55" s="155"/>
      <c r="Z55" s="250">
        <v>2</v>
      </c>
      <c r="AA55" s="250">
        <f t="shared" si="7"/>
        <v>0.17</v>
      </c>
      <c r="AB55" s="254">
        <f t="shared" si="10"/>
        <v>0</v>
      </c>
      <c r="AC55" s="278"/>
      <c r="AD55" s="155"/>
      <c r="AE55" s="155">
        <v>-4</v>
      </c>
      <c r="AF55" s="155"/>
      <c r="AG55" s="155"/>
      <c r="AH55" s="258">
        <v>20</v>
      </c>
      <c r="AI55" s="259">
        <v>1075</v>
      </c>
      <c r="AJ55" s="260">
        <v>1075</v>
      </c>
      <c r="AK55" s="260">
        <v>1075</v>
      </c>
      <c r="AL55" s="260">
        <v>1075</v>
      </c>
      <c r="AM55" s="261">
        <v>1075</v>
      </c>
      <c r="AN55" s="262">
        <v>41</v>
      </c>
      <c r="AO55" s="267"/>
      <c r="AP55" s="275"/>
    </row>
    <row r="56" spans="1:42" s="214" customFormat="1" x14ac:dyDescent="0.3">
      <c r="A56" s="276">
        <v>42345</v>
      </c>
      <c r="B56" s="198"/>
      <c r="C56" s="199"/>
      <c r="D56" s="199"/>
      <c r="E56" s="155"/>
      <c r="F56" s="155"/>
      <c r="G56" s="155"/>
      <c r="H56" s="277">
        <v>237.41</v>
      </c>
      <c r="I56" s="277">
        <v>238.29</v>
      </c>
      <c r="J56" s="277">
        <v>237.69</v>
      </c>
      <c r="K56" s="155"/>
      <c r="L56" s="155"/>
      <c r="M56" s="155"/>
      <c r="N56" s="155"/>
      <c r="O56" s="155"/>
      <c r="P56" s="155"/>
      <c r="Q56" s="251">
        <v>229</v>
      </c>
      <c r="R56" s="251">
        <v>239</v>
      </c>
      <c r="S56" s="250">
        <f t="shared" si="0"/>
        <v>237.69</v>
      </c>
      <c r="T56" s="252">
        <f t="shared" si="1"/>
        <v>0</v>
      </c>
      <c r="U56" s="200"/>
      <c r="V56" s="155"/>
      <c r="W56" s="155">
        <v>0.18</v>
      </c>
      <c r="X56" s="155"/>
      <c r="Y56" s="155"/>
      <c r="Z56" s="250">
        <v>2</v>
      </c>
      <c r="AA56" s="250">
        <f t="shared" si="7"/>
        <v>0.18</v>
      </c>
      <c r="AB56" s="254">
        <f t="shared" si="10"/>
        <v>0</v>
      </c>
      <c r="AC56" s="278"/>
      <c r="AD56" s="155"/>
      <c r="AE56" s="155">
        <v>-1</v>
      </c>
      <c r="AF56" s="155"/>
      <c r="AG56" s="155"/>
      <c r="AH56" s="258">
        <v>20</v>
      </c>
      <c r="AI56" s="259">
        <v>1075</v>
      </c>
      <c r="AJ56" s="260">
        <v>1075</v>
      </c>
      <c r="AK56" s="260">
        <v>1075</v>
      </c>
      <c r="AL56" s="260">
        <v>1075</v>
      </c>
      <c r="AM56" s="261">
        <v>1075</v>
      </c>
      <c r="AN56" s="262">
        <v>41</v>
      </c>
      <c r="AO56" s="267"/>
      <c r="AP56" s="275"/>
    </row>
    <row r="57" spans="1:42" s="214" customFormat="1" x14ac:dyDescent="0.3">
      <c r="A57" s="276">
        <v>42376</v>
      </c>
      <c r="B57" s="198"/>
      <c r="C57" s="199"/>
      <c r="D57" s="199"/>
      <c r="E57" s="155"/>
      <c r="F57" s="155"/>
      <c r="G57" s="155"/>
      <c r="H57" s="277">
        <v>236.96</v>
      </c>
      <c r="I57" s="277">
        <v>237.77</v>
      </c>
      <c r="J57" s="277">
        <v>237.23</v>
      </c>
      <c r="K57" s="155"/>
      <c r="L57" s="155"/>
      <c r="M57" s="155"/>
      <c r="N57" s="155"/>
      <c r="O57" s="155"/>
      <c r="P57" s="155"/>
      <c r="Q57" s="251">
        <v>229</v>
      </c>
      <c r="R57" s="251">
        <v>239</v>
      </c>
      <c r="S57" s="250">
        <f t="shared" si="0"/>
        <v>237.23</v>
      </c>
      <c r="T57" s="252">
        <f t="shared" si="1"/>
        <v>0</v>
      </c>
      <c r="U57" s="200"/>
      <c r="V57" s="155"/>
      <c r="W57" s="155">
        <v>0.17</v>
      </c>
      <c r="X57" s="155"/>
      <c r="Y57" s="155"/>
      <c r="Z57" s="250">
        <v>2</v>
      </c>
      <c r="AA57" s="250">
        <f t="shared" si="7"/>
        <v>0.17</v>
      </c>
      <c r="AB57" s="254">
        <f t="shared" si="10"/>
        <v>0</v>
      </c>
      <c r="AC57" s="278"/>
      <c r="AD57" s="155"/>
      <c r="AE57" s="155">
        <v>-1</v>
      </c>
      <c r="AF57" s="155"/>
      <c r="AG57" s="155"/>
      <c r="AH57" s="258">
        <v>20</v>
      </c>
      <c r="AI57" s="259">
        <v>1075</v>
      </c>
      <c r="AJ57" s="260">
        <v>1075</v>
      </c>
      <c r="AK57" s="260">
        <v>1075</v>
      </c>
      <c r="AL57" s="260">
        <v>1075</v>
      </c>
      <c r="AM57" s="261">
        <v>1075</v>
      </c>
      <c r="AN57" s="262">
        <v>41</v>
      </c>
      <c r="AO57" s="267"/>
      <c r="AP57" s="275"/>
    </row>
    <row r="58" spans="1:42" s="214" customFormat="1" x14ac:dyDescent="0.3">
      <c r="A58" s="276">
        <v>42401</v>
      </c>
      <c r="B58" s="198"/>
      <c r="C58" s="199"/>
      <c r="D58" s="199"/>
      <c r="E58" s="155"/>
      <c r="F58" s="155"/>
      <c r="G58" s="155"/>
      <c r="H58" s="277">
        <v>237.93</v>
      </c>
      <c r="I58" s="277">
        <v>238.87</v>
      </c>
      <c r="J58" s="277">
        <v>238.52</v>
      </c>
      <c r="K58" s="155"/>
      <c r="L58" s="155"/>
      <c r="M58" s="155"/>
      <c r="N58" s="155"/>
      <c r="O58" s="155"/>
      <c r="P58" s="155"/>
      <c r="Q58" s="251">
        <v>229</v>
      </c>
      <c r="R58" s="251">
        <v>239</v>
      </c>
      <c r="S58" s="250">
        <f t="shared" si="0"/>
        <v>238.52</v>
      </c>
      <c r="T58" s="252">
        <f t="shared" si="1"/>
        <v>0</v>
      </c>
      <c r="U58" s="200"/>
      <c r="V58" s="155"/>
      <c r="W58" s="155">
        <v>0.19</v>
      </c>
      <c r="X58" s="155"/>
      <c r="Y58" s="155"/>
      <c r="Z58" s="250">
        <v>2</v>
      </c>
      <c r="AA58" s="250">
        <f t="shared" si="7"/>
        <v>0.19</v>
      </c>
      <c r="AB58" s="254">
        <f t="shared" si="10"/>
        <v>0</v>
      </c>
      <c r="AC58" s="278"/>
      <c r="AD58" s="155"/>
      <c r="AE58" s="155">
        <v>1</v>
      </c>
      <c r="AF58" s="155"/>
      <c r="AG58" s="155"/>
      <c r="AH58" s="258">
        <v>20</v>
      </c>
      <c r="AI58" s="259">
        <v>1075</v>
      </c>
      <c r="AJ58" s="260">
        <v>1075</v>
      </c>
      <c r="AK58" s="260">
        <v>1075</v>
      </c>
      <c r="AL58" s="260">
        <v>1075</v>
      </c>
      <c r="AM58" s="261">
        <v>1075</v>
      </c>
      <c r="AN58" s="262">
        <v>41</v>
      </c>
      <c r="AO58" s="267"/>
      <c r="AP58" s="275"/>
    </row>
    <row r="59" spans="1:42" s="214" customFormat="1" x14ac:dyDescent="0.3">
      <c r="A59" s="276">
        <v>42416</v>
      </c>
      <c r="B59" s="198">
        <v>232.7</v>
      </c>
      <c r="C59" s="199">
        <v>245.98</v>
      </c>
      <c r="D59" s="199">
        <v>236.2</v>
      </c>
      <c r="E59" s="155"/>
      <c r="F59" s="155"/>
      <c r="G59" s="155"/>
      <c r="H59" s="277">
        <v>234.69</v>
      </c>
      <c r="I59" s="277">
        <v>239.63</v>
      </c>
      <c r="J59" s="277">
        <v>235.98</v>
      </c>
      <c r="K59" s="155"/>
      <c r="L59" s="155"/>
      <c r="M59" s="155"/>
      <c r="N59" s="155">
        <v>233.35</v>
      </c>
      <c r="O59" s="155">
        <v>247.72</v>
      </c>
      <c r="P59" s="155">
        <v>237.85</v>
      </c>
      <c r="Q59" s="251">
        <v>229</v>
      </c>
      <c r="R59" s="251">
        <v>239</v>
      </c>
      <c r="S59" s="250">
        <f t="shared" si="0"/>
        <v>236.67666666666665</v>
      </c>
      <c r="T59" s="252">
        <f t="shared" si="1"/>
        <v>0.83451915629434548</v>
      </c>
      <c r="U59" s="200">
        <v>2.77</v>
      </c>
      <c r="V59" s="155"/>
      <c r="W59" s="155">
        <v>1.04</v>
      </c>
      <c r="X59" s="155"/>
      <c r="Y59" s="155">
        <v>2.98</v>
      </c>
      <c r="Z59" s="250">
        <v>2</v>
      </c>
      <c r="AA59" s="250">
        <f t="shared" si="7"/>
        <v>2.2633333333333332</v>
      </c>
      <c r="AB59" s="254">
        <f t="shared" si="10"/>
        <v>0.86926533476391576</v>
      </c>
      <c r="AC59" s="278">
        <v>0</v>
      </c>
      <c r="AD59" s="155"/>
      <c r="AE59" s="155">
        <v>4</v>
      </c>
      <c r="AF59" s="155">
        <v>2</v>
      </c>
      <c r="AG59" s="155"/>
      <c r="AH59" s="258">
        <v>20</v>
      </c>
      <c r="AI59" s="259">
        <v>1075</v>
      </c>
      <c r="AJ59" s="260">
        <v>1075</v>
      </c>
      <c r="AK59" s="260">
        <v>1075</v>
      </c>
      <c r="AL59" s="260">
        <v>1075</v>
      </c>
      <c r="AM59" s="261">
        <v>1075</v>
      </c>
      <c r="AN59" s="262">
        <v>41</v>
      </c>
      <c r="AO59" s="267"/>
      <c r="AP59" s="275"/>
    </row>
    <row r="60" spans="1:42" s="214" customFormat="1" x14ac:dyDescent="0.3">
      <c r="A60" s="276">
        <v>42450</v>
      </c>
      <c r="B60" s="198"/>
      <c r="C60" s="199"/>
      <c r="D60" s="199"/>
      <c r="E60" s="155"/>
      <c r="F60" s="155"/>
      <c r="G60" s="155"/>
      <c r="H60" s="277">
        <v>232.74</v>
      </c>
      <c r="I60" s="277">
        <v>240.52</v>
      </c>
      <c r="J60" s="277">
        <v>235.4</v>
      </c>
      <c r="K60" s="155"/>
      <c r="L60" s="155"/>
      <c r="M60" s="155"/>
      <c r="N60" s="155"/>
      <c r="O60" s="155"/>
      <c r="P60" s="155"/>
      <c r="Q60" s="251">
        <v>229</v>
      </c>
      <c r="R60" s="251">
        <v>239</v>
      </c>
      <c r="S60" s="250">
        <f t="shared" si="0"/>
        <v>235.4</v>
      </c>
      <c r="T60" s="252">
        <f t="shared" si="1"/>
        <v>0</v>
      </c>
      <c r="U60" s="200"/>
      <c r="V60" s="155"/>
      <c r="W60" s="155">
        <v>1.64</v>
      </c>
      <c r="X60" s="155"/>
      <c r="Y60" s="155"/>
      <c r="Z60" s="250">
        <v>2</v>
      </c>
      <c r="AA60" s="250">
        <f t="shared" si="7"/>
        <v>1.64</v>
      </c>
      <c r="AB60" s="254">
        <f t="shared" si="10"/>
        <v>0</v>
      </c>
      <c r="AC60" s="278"/>
      <c r="AD60" s="155"/>
      <c r="AE60" s="155">
        <v>1</v>
      </c>
      <c r="AF60" s="155"/>
      <c r="AG60" s="155"/>
      <c r="AH60" s="258">
        <v>20</v>
      </c>
      <c r="AI60" s="259">
        <v>1075</v>
      </c>
      <c r="AJ60" s="260">
        <v>1075</v>
      </c>
      <c r="AK60" s="260">
        <v>1075</v>
      </c>
      <c r="AL60" s="260">
        <v>1075</v>
      </c>
      <c r="AM60" s="261">
        <v>1075</v>
      </c>
      <c r="AN60" s="262">
        <v>41</v>
      </c>
      <c r="AO60" s="267"/>
      <c r="AP60" s="275"/>
    </row>
    <row r="61" spans="1:42" s="214" customFormat="1" x14ac:dyDescent="0.3">
      <c r="A61" s="276">
        <v>42495</v>
      </c>
      <c r="B61" s="198"/>
      <c r="C61" s="199"/>
      <c r="D61" s="199"/>
      <c r="E61" s="155"/>
      <c r="F61" s="155"/>
      <c r="G61" s="155"/>
      <c r="H61" s="277">
        <v>231.55</v>
      </c>
      <c r="I61" s="277">
        <v>238.22</v>
      </c>
      <c r="J61" s="277">
        <v>233.69</v>
      </c>
      <c r="K61" s="155"/>
      <c r="L61" s="155"/>
      <c r="M61" s="155"/>
      <c r="N61" s="155"/>
      <c r="O61" s="155"/>
      <c r="P61" s="155"/>
      <c r="Q61" s="251">
        <v>229</v>
      </c>
      <c r="R61" s="251">
        <v>239</v>
      </c>
      <c r="S61" s="250">
        <f t="shared" si="0"/>
        <v>233.69</v>
      </c>
      <c r="T61" s="252">
        <f t="shared" si="1"/>
        <v>0</v>
      </c>
      <c r="U61" s="200"/>
      <c r="V61" s="155"/>
      <c r="W61" s="155">
        <v>1.42</v>
      </c>
      <c r="X61" s="155"/>
      <c r="Y61" s="155"/>
      <c r="Z61" s="250">
        <v>2</v>
      </c>
      <c r="AA61" s="250">
        <f t="shared" si="7"/>
        <v>1.42</v>
      </c>
      <c r="AB61" s="254">
        <f t="shared" si="10"/>
        <v>0</v>
      </c>
      <c r="AC61" s="278"/>
      <c r="AD61" s="155"/>
      <c r="AE61" s="155">
        <v>-1</v>
      </c>
      <c r="AF61" s="155"/>
      <c r="AG61" s="155"/>
      <c r="AH61" s="258">
        <v>20</v>
      </c>
      <c r="AI61" s="259">
        <v>1075</v>
      </c>
      <c r="AJ61" s="260">
        <v>1075</v>
      </c>
      <c r="AK61" s="260">
        <v>1075</v>
      </c>
      <c r="AL61" s="260">
        <v>1075</v>
      </c>
      <c r="AM61" s="261">
        <v>1075</v>
      </c>
      <c r="AN61" s="262">
        <v>41</v>
      </c>
      <c r="AO61" s="267"/>
      <c r="AP61" s="275"/>
    </row>
    <row r="62" spans="1:42" s="214" customFormat="1" x14ac:dyDescent="0.3">
      <c r="A62" s="276">
        <v>42530</v>
      </c>
      <c r="B62" s="198"/>
      <c r="C62" s="199"/>
      <c r="D62" s="199"/>
      <c r="E62" s="155"/>
      <c r="F62" s="155"/>
      <c r="G62" s="155"/>
      <c r="H62" s="277">
        <v>229.91</v>
      </c>
      <c r="I62" s="277">
        <v>231.26</v>
      </c>
      <c r="J62" s="277">
        <v>230.55</v>
      </c>
      <c r="K62" s="155"/>
      <c r="L62" s="155"/>
      <c r="M62" s="155"/>
      <c r="N62" s="155"/>
      <c r="O62" s="155"/>
      <c r="P62" s="155"/>
      <c r="Q62" s="251">
        <v>229</v>
      </c>
      <c r="R62" s="251">
        <v>239</v>
      </c>
      <c r="S62" s="250">
        <f t="shared" si="0"/>
        <v>230.55</v>
      </c>
      <c r="T62" s="252">
        <f t="shared" si="1"/>
        <v>0</v>
      </c>
      <c r="U62" s="200"/>
      <c r="V62" s="155"/>
      <c r="W62" s="155">
        <v>0.28999999999999998</v>
      </c>
      <c r="X62" s="155"/>
      <c r="Y62" s="155"/>
      <c r="Z62" s="250">
        <v>2</v>
      </c>
      <c r="AA62" s="250">
        <f t="shared" si="7"/>
        <v>0.28999999999999998</v>
      </c>
      <c r="AB62" s="254">
        <f t="shared" si="10"/>
        <v>0</v>
      </c>
      <c r="AC62" s="278"/>
      <c r="AD62" s="155"/>
      <c r="AE62" s="155">
        <v>-4</v>
      </c>
      <c r="AF62" s="155"/>
      <c r="AG62" s="155"/>
      <c r="AH62" s="258">
        <v>20</v>
      </c>
      <c r="AI62" s="259">
        <v>1075</v>
      </c>
      <c r="AJ62" s="260">
        <v>1075</v>
      </c>
      <c r="AK62" s="260">
        <v>1075</v>
      </c>
      <c r="AL62" s="260">
        <v>1075</v>
      </c>
      <c r="AM62" s="261">
        <v>1075</v>
      </c>
      <c r="AN62" s="262">
        <v>41</v>
      </c>
      <c r="AO62" s="267"/>
      <c r="AP62" s="275"/>
    </row>
    <row r="63" spans="1:42" s="214" customFormat="1" x14ac:dyDescent="0.3">
      <c r="A63" s="276">
        <v>42543</v>
      </c>
      <c r="B63" s="198"/>
      <c r="C63" s="199"/>
      <c r="D63" s="199"/>
      <c r="E63" s="155"/>
      <c r="F63" s="155"/>
      <c r="G63" s="155"/>
      <c r="H63" s="277">
        <v>230.28</v>
      </c>
      <c r="I63" s="277">
        <v>231.34</v>
      </c>
      <c r="J63" s="277">
        <v>230.84</v>
      </c>
      <c r="K63" s="155"/>
      <c r="L63" s="155"/>
      <c r="M63" s="155"/>
      <c r="N63" s="155"/>
      <c r="O63" s="155"/>
      <c r="P63" s="155"/>
      <c r="Q63" s="251">
        <v>229</v>
      </c>
      <c r="R63" s="251">
        <v>239</v>
      </c>
      <c r="S63" s="250">
        <f t="shared" si="0"/>
        <v>230.84</v>
      </c>
      <c r="T63" s="252">
        <f t="shared" si="1"/>
        <v>0</v>
      </c>
      <c r="U63" s="200"/>
      <c r="V63" s="155"/>
      <c r="W63" s="155">
        <v>0.22</v>
      </c>
      <c r="X63" s="155"/>
      <c r="Y63" s="155"/>
      <c r="Z63" s="250">
        <v>2</v>
      </c>
      <c r="AA63" s="250">
        <f t="shared" si="7"/>
        <v>0.22</v>
      </c>
      <c r="AB63" s="254">
        <f t="shared" si="10"/>
        <v>0</v>
      </c>
      <c r="AC63" s="278"/>
      <c r="AD63" s="155"/>
      <c r="AE63" s="155">
        <v>-10</v>
      </c>
      <c r="AF63" s="155"/>
      <c r="AG63" s="155"/>
      <c r="AH63" s="258">
        <v>20</v>
      </c>
      <c r="AI63" s="259">
        <v>1075</v>
      </c>
      <c r="AJ63" s="260">
        <v>1075</v>
      </c>
      <c r="AK63" s="260">
        <v>1075</v>
      </c>
      <c r="AL63" s="260">
        <v>1075</v>
      </c>
      <c r="AM63" s="261">
        <v>1075</v>
      </c>
      <c r="AN63" s="262">
        <v>41</v>
      </c>
      <c r="AO63" s="267"/>
      <c r="AP63" s="275"/>
    </row>
    <row r="64" spans="1:42" s="214" customFormat="1" x14ac:dyDescent="0.3">
      <c r="A64" s="276">
        <v>42572</v>
      </c>
      <c r="B64" s="198">
        <v>227.03</v>
      </c>
      <c r="C64" s="199">
        <v>228.68</v>
      </c>
      <c r="D64" s="199">
        <v>227.71</v>
      </c>
      <c r="E64" s="155"/>
      <c r="F64" s="155"/>
      <c r="G64" s="155"/>
      <c r="H64" s="277">
        <v>230.1</v>
      </c>
      <c r="I64" s="277">
        <v>230.79</v>
      </c>
      <c r="J64" s="277">
        <v>230.34</v>
      </c>
      <c r="K64" s="155"/>
      <c r="L64" s="155"/>
      <c r="M64" s="155"/>
      <c r="N64" s="155">
        <v>228.31</v>
      </c>
      <c r="O64" s="155">
        <v>231.58</v>
      </c>
      <c r="P64" s="155">
        <v>229.62</v>
      </c>
      <c r="Q64" s="251">
        <v>229</v>
      </c>
      <c r="R64" s="251">
        <v>239</v>
      </c>
      <c r="S64" s="250">
        <f>AVERAGE(D64,G64,J64,M64,P64)</f>
        <v>229.22333333333336</v>
      </c>
      <c r="T64" s="252">
        <f>STDEVP(D64,G64,J64,M64,P64)</f>
        <v>1.109724690582707</v>
      </c>
      <c r="U64" s="200">
        <v>0.36</v>
      </c>
      <c r="V64" s="155"/>
      <c r="W64" s="155">
        <v>0.14000000000000001</v>
      </c>
      <c r="X64" s="155"/>
      <c r="Y64" s="155">
        <v>0.71</v>
      </c>
      <c r="Z64" s="250">
        <v>2</v>
      </c>
      <c r="AA64" s="250">
        <f t="shared" si="7"/>
        <v>0.40333333333333332</v>
      </c>
      <c r="AB64" s="254">
        <f t="shared" si="10"/>
        <v>0.2347102232304526</v>
      </c>
      <c r="AC64" s="278"/>
      <c r="AD64" s="155"/>
      <c r="AE64" s="155"/>
      <c r="AF64" s="155"/>
      <c r="AG64" s="155"/>
      <c r="AH64" s="258">
        <v>20</v>
      </c>
      <c r="AI64" s="259">
        <v>1075</v>
      </c>
      <c r="AJ64" s="260">
        <v>1075</v>
      </c>
      <c r="AK64" s="260">
        <v>1075</v>
      </c>
      <c r="AL64" s="260">
        <v>1075</v>
      </c>
      <c r="AM64" s="261">
        <v>1075</v>
      </c>
      <c r="AN64" s="262">
        <v>41</v>
      </c>
      <c r="AO64" s="267" t="s">
        <v>196</v>
      </c>
      <c r="AP64" s="275"/>
    </row>
    <row r="65" spans="1:42" s="214" customFormat="1" x14ac:dyDescent="0.3">
      <c r="A65" s="276">
        <v>42572</v>
      </c>
      <c r="B65" s="198">
        <v>231.65</v>
      </c>
      <c r="C65" s="199">
        <v>233.27</v>
      </c>
      <c r="D65" s="199">
        <v>232.45</v>
      </c>
      <c r="E65" s="155"/>
      <c r="F65" s="155"/>
      <c r="G65" s="155"/>
      <c r="H65" s="277">
        <v>234.38</v>
      </c>
      <c r="I65" s="277">
        <v>235.57</v>
      </c>
      <c r="J65" s="277">
        <v>234.92</v>
      </c>
      <c r="K65" s="155"/>
      <c r="L65" s="155"/>
      <c r="M65" s="155"/>
      <c r="N65" s="155">
        <v>232.98</v>
      </c>
      <c r="O65" s="155">
        <v>236.8</v>
      </c>
      <c r="P65" s="155">
        <v>234.36</v>
      </c>
      <c r="Q65" s="251">
        <v>229</v>
      </c>
      <c r="R65" s="251">
        <v>239</v>
      </c>
      <c r="S65" s="250">
        <f>AVERAGE(D65,G65,J65,M65,P65)</f>
        <v>233.91</v>
      </c>
      <c r="T65" s="252">
        <f>STDEVP(D65,G65,J65,M65,P65)</f>
        <v>1.0573867157604513</v>
      </c>
      <c r="U65" s="200">
        <v>3.48</v>
      </c>
      <c r="V65" s="155"/>
      <c r="W65" s="155">
        <v>0.25</v>
      </c>
      <c r="X65" s="155"/>
      <c r="Y65" s="155">
        <v>8.14</v>
      </c>
      <c r="Z65" s="250">
        <v>2</v>
      </c>
      <c r="AA65" s="250">
        <f>AVERAGE(U65:Y65)</f>
        <v>3.956666666666667</v>
      </c>
      <c r="AB65" s="254">
        <f>STDEVP(U65:Y65)</f>
        <v>3.238665706051731</v>
      </c>
      <c r="AC65" s="278"/>
      <c r="AD65" s="155"/>
      <c r="AE65" s="155"/>
      <c r="AF65" s="155"/>
      <c r="AG65" s="155"/>
      <c r="AH65" s="258">
        <v>20</v>
      </c>
      <c r="AI65" s="259">
        <v>1075</v>
      </c>
      <c r="AJ65" s="260">
        <v>1075</v>
      </c>
      <c r="AK65" s="260">
        <v>1075</v>
      </c>
      <c r="AL65" s="260">
        <v>1075</v>
      </c>
      <c r="AM65" s="261">
        <v>1075</v>
      </c>
      <c r="AN65" s="262">
        <v>41</v>
      </c>
      <c r="AO65" s="264" t="s">
        <v>191</v>
      </c>
      <c r="AP65" s="275"/>
    </row>
    <row r="66" spans="1:42" s="214" customFormat="1" x14ac:dyDescent="0.3">
      <c r="A66" s="276">
        <v>42577</v>
      </c>
      <c r="B66" s="198">
        <v>226.65</v>
      </c>
      <c r="C66" s="199">
        <v>229.32</v>
      </c>
      <c r="D66" s="199">
        <v>232.49</v>
      </c>
      <c r="E66" s="155"/>
      <c r="F66" s="155"/>
      <c r="G66" s="155"/>
      <c r="H66" s="277">
        <v>229.62</v>
      </c>
      <c r="I66" s="277">
        <v>231.27</v>
      </c>
      <c r="J66" s="277">
        <v>230.47</v>
      </c>
      <c r="K66" s="155"/>
      <c r="L66" s="155"/>
      <c r="M66" s="155"/>
      <c r="N66" s="155">
        <v>228.22</v>
      </c>
      <c r="O66" s="155">
        <v>231.86</v>
      </c>
      <c r="P66" s="155">
        <v>229.72</v>
      </c>
      <c r="Q66" s="251">
        <v>229</v>
      </c>
      <c r="R66" s="251">
        <v>239</v>
      </c>
      <c r="S66" s="250">
        <f t="shared" ref="S66:S120" si="11">AVERAGE(D66,G66,J66,M66,P66)</f>
        <v>230.89333333333335</v>
      </c>
      <c r="T66" s="280"/>
      <c r="U66" s="200">
        <v>0.57999999999999996</v>
      </c>
      <c r="V66" s="155"/>
      <c r="W66" s="155">
        <v>0.35</v>
      </c>
      <c r="X66" s="155"/>
      <c r="Y66" s="155">
        <v>0.79</v>
      </c>
      <c r="Z66" s="250">
        <v>2</v>
      </c>
      <c r="AA66" s="250">
        <f t="shared" ref="AA66:AA115" si="12">AVERAGE(U66:Y66)</f>
        <v>0.57333333333333336</v>
      </c>
      <c r="AB66" s="209"/>
      <c r="AC66" s="278">
        <v>-8</v>
      </c>
      <c r="AD66" s="155"/>
      <c r="AE66" s="155">
        <v>-12</v>
      </c>
      <c r="AF66" s="155">
        <v>-11</v>
      </c>
      <c r="AG66" s="155"/>
      <c r="AH66" s="258">
        <v>20</v>
      </c>
      <c r="AI66" s="259">
        <v>1075</v>
      </c>
      <c r="AJ66" s="260">
        <v>1075</v>
      </c>
      <c r="AK66" s="260">
        <v>1075</v>
      </c>
      <c r="AL66" s="260">
        <v>1075</v>
      </c>
      <c r="AM66" s="261">
        <v>1075</v>
      </c>
      <c r="AN66" s="281"/>
      <c r="AO66" s="267"/>
      <c r="AP66" s="275"/>
    </row>
    <row r="67" spans="1:42" s="214" customFormat="1" x14ac:dyDescent="0.3">
      <c r="A67" s="276">
        <v>42578</v>
      </c>
      <c r="B67" s="198">
        <v>231.38</v>
      </c>
      <c r="C67" s="199">
        <v>232.98</v>
      </c>
      <c r="D67" s="199">
        <v>232.06</v>
      </c>
      <c r="E67" s="155"/>
      <c r="F67" s="155"/>
      <c r="G67" s="155"/>
      <c r="H67" s="277">
        <v>234.09</v>
      </c>
      <c r="I67" s="277">
        <v>234.57</v>
      </c>
      <c r="J67" s="277">
        <v>234.29</v>
      </c>
      <c r="K67" s="155"/>
      <c r="L67" s="155"/>
      <c r="M67" s="155"/>
      <c r="N67" s="155">
        <v>232.17</v>
      </c>
      <c r="O67" s="155">
        <v>235.06</v>
      </c>
      <c r="P67" s="155">
        <v>233.57</v>
      </c>
      <c r="Q67" s="251">
        <v>229</v>
      </c>
      <c r="R67" s="251">
        <v>239</v>
      </c>
      <c r="S67" s="250">
        <f t="shared" si="11"/>
        <v>233.3066666666667</v>
      </c>
      <c r="T67" s="280"/>
      <c r="U67" s="200">
        <v>0.34</v>
      </c>
      <c r="V67" s="155"/>
      <c r="W67" s="155">
        <v>0.1</v>
      </c>
      <c r="X67" s="155"/>
      <c r="Y67" s="155">
        <v>0.61</v>
      </c>
      <c r="Z67" s="250">
        <v>2</v>
      </c>
      <c r="AA67" s="250">
        <f t="shared" si="12"/>
        <v>0.35000000000000003</v>
      </c>
      <c r="AB67" s="209"/>
      <c r="AC67" s="278">
        <v>-10</v>
      </c>
      <c r="AD67" s="155"/>
      <c r="AE67" s="155">
        <v>-8</v>
      </c>
      <c r="AF67" s="155">
        <v>-7</v>
      </c>
      <c r="AG67" s="155"/>
      <c r="AH67" s="258">
        <v>20</v>
      </c>
      <c r="AI67" s="259">
        <v>1075</v>
      </c>
      <c r="AJ67" s="260">
        <v>1075</v>
      </c>
      <c r="AK67" s="260">
        <v>1075</v>
      </c>
      <c r="AL67" s="260">
        <v>1075</v>
      </c>
      <c r="AM67" s="261">
        <v>1075</v>
      </c>
      <c r="AN67" s="281"/>
      <c r="AO67" s="267"/>
      <c r="AP67" s="275"/>
    </row>
    <row r="68" spans="1:42" s="214" customFormat="1" x14ac:dyDescent="0.3">
      <c r="A68" s="276">
        <v>42585</v>
      </c>
      <c r="B68" s="198"/>
      <c r="C68" s="199"/>
      <c r="D68" s="199"/>
      <c r="E68" s="155"/>
      <c r="F68" s="155"/>
      <c r="G68" s="155"/>
      <c r="H68" s="277">
        <v>230.41</v>
      </c>
      <c r="I68" s="277">
        <v>231.77</v>
      </c>
      <c r="J68" s="277">
        <v>230.89</v>
      </c>
      <c r="K68" s="155"/>
      <c r="L68" s="155"/>
      <c r="M68" s="155"/>
      <c r="N68" s="155"/>
      <c r="O68" s="155"/>
      <c r="P68" s="155"/>
      <c r="Q68" s="251">
        <v>229</v>
      </c>
      <c r="R68" s="251">
        <v>239</v>
      </c>
      <c r="S68" s="250">
        <f t="shared" si="11"/>
        <v>230.89</v>
      </c>
      <c r="T68" s="280"/>
      <c r="U68" s="200"/>
      <c r="V68" s="155"/>
      <c r="W68" s="155">
        <v>0.28999999999999998</v>
      </c>
      <c r="X68" s="155"/>
      <c r="Y68" s="155"/>
      <c r="Z68" s="250">
        <v>2</v>
      </c>
      <c r="AA68" s="250">
        <f t="shared" si="12"/>
        <v>0.28999999999999998</v>
      </c>
      <c r="AB68" s="209"/>
      <c r="AC68" s="278"/>
      <c r="AD68" s="155"/>
      <c r="AE68" s="155">
        <v>-8</v>
      </c>
      <c r="AF68" s="155"/>
      <c r="AG68" s="155"/>
      <c r="AH68" s="258">
        <v>20</v>
      </c>
      <c r="AI68" s="259">
        <v>1075</v>
      </c>
      <c r="AJ68" s="260">
        <v>1075</v>
      </c>
      <c r="AK68" s="260">
        <v>1075</v>
      </c>
      <c r="AL68" s="260">
        <v>1075</v>
      </c>
      <c r="AM68" s="261">
        <v>1075</v>
      </c>
      <c r="AN68" s="281"/>
      <c r="AO68" s="267"/>
      <c r="AP68" s="275"/>
    </row>
    <row r="69" spans="1:42" s="214" customFormat="1" x14ac:dyDescent="0.3">
      <c r="A69" s="282">
        <v>42592</v>
      </c>
      <c r="B69" s="198">
        <v>229.14</v>
      </c>
      <c r="C69" s="199">
        <v>231.42</v>
      </c>
      <c r="D69" s="199">
        <v>230.08</v>
      </c>
      <c r="E69" s="155"/>
      <c r="F69" s="155"/>
      <c r="G69" s="155"/>
      <c r="H69" s="277">
        <v>232.3</v>
      </c>
      <c r="I69" s="277">
        <v>233.78</v>
      </c>
      <c r="J69" s="277">
        <v>233.08</v>
      </c>
      <c r="K69" s="155"/>
      <c r="L69" s="155"/>
      <c r="M69" s="155"/>
      <c r="N69" s="155">
        <v>231.26</v>
      </c>
      <c r="O69" s="155">
        <v>234.9</v>
      </c>
      <c r="P69" s="155">
        <v>232.82</v>
      </c>
      <c r="Q69" s="251">
        <v>229</v>
      </c>
      <c r="R69" s="251">
        <v>239</v>
      </c>
      <c r="S69" s="250">
        <f t="shared" si="11"/>
        <v>231.99333333333334</v>
      </c>
      <c r="T69" s="280"/>
      <c r="U69" s="200">
        <v>0.49</v>
      </c>
      <c r="V69" s="155"/>
      <c r="W69" s="155">
        <v>0.31</v>
      </c>
      <c r="X69" s="155"/>
      <c r="Y69" s="155">
        <v>0.77</v>
      </c>
      <c r="Z69" s="250">
        <v>2</v>
      </c>
      <c r="AA69" s="250">
        <f t="shared" si="12"/>
        <v>0.52333333333333332</v>
      </c>
      <c r="AB69" s="209"/>
      <c r="AC69" s="278">
        <v>-5</v>
      </c>
      <c r="AD69" s="155">
        <v>-3</v>
      </c>
      <c r="AE69" s="155">
        <v>-3</v>
      </c>
      <c r="AF69" s="155">
        <v>2</v>
      </c>
      <c r="AG69" s="155"/>
      <c r="AH69" s="258">
        <v>20</v>
      </c>
      <c r="AI69" s="259">
        <v>1075</v>
      </c>
      <c r="AJ69" s="260">
        <v>1075</v>
      </c>
      <c r="AK69" s="260">
        <v>1075</v>
      </c>
      <c r="AL69" s="260">
        <v>1075</v>
      </c>
      <c r="AM69" s="261">
        <v>1075</v>
      </c>
      <c r="AN69" s="281"/>
      <c r="AO69" s="267"/>
      <c r="AP69" s="275"/>
    </row>
    <row r="70" spans="1:42" s="214" customFormat="1" x14ac:dyDescent="0.3">
      <c r="A70" s="276">
        <v>42598</v>
      </c>
      <c r="B70" s="198">
        <v>228.49</v>
      </c>
      <c r="C70" s="199">
        <v>229.92</v>
      </c>
      <c r="D70" s="199">
        <v>229.13</v>
      </c>
      <c r="E70" s="155"/>
      <c r="F70" s="155"/>
      <c r="G70" s="155"/>
      <c r="H70" s="277">
        <v>231.79</v>
      </c>
      <c r="I70" s="277">
        <v>232.2</v>
      </c>
      <c r="J70" s="277">
        <v>231.94</v>
      </c>
      <c r="K70" s="155"/>
      <c r="L70" s="155"/>
      <c r="M70" s="155"/>
      <c r="N70" s="155">
        <v>229.93</v>
      </c>
      <c r="O70" s="155">
        <v>232.41</v>
      </c>
      <c r="P70" s="155">
        <v>231.07</v>
      </c>
      <c r="Q70" s="251">
        <v>229</v>
      </c>
      <c r="R70" s="251">
        <v>239</v>
      </c>
      <c r="S70" s="250">
        <f t="shared" si="11"/>
        <v>230.71333333333334</v>
      </c>
      <c r="T70" s="280"/>
      <c r="U70" s="200">
        <v>0.31</v>
      </c>
      <c r="V70" s="155"/>
      <c r="W70" s="155">
        <v>0.08</v>
      </c>
      <c r="X70" s="155"/>
      <c r="Y70" s="155">
        <v>0.53</v>
      </c>
      <c r="Z70" s="250">
        <v>2</v>
      </c>
      <c r="AA70" s="250">
        <f t="shared" si="12"/>
        <v>0.3066666666666667</v>
      </c>
      <c r="AB70" s="209"/>
      <c r="AC70" s="278">
        <v>-11</v>
      </c>
      <c r="AD70" s="155"/>
      <c r="AE70" s="155">
        <v>-13</v>
      </c>
      <c r="AF70" s="155">
        <v>-4</v>
      </c>
      <c r="AG70" s="155"/>
      <c r="AH70" s="258">
        <v>20</v>
      </c>
      <c r="AI70" s="259">
        <v>1075</v>
      </c>
      <c r="AJ70" s="260">
        <v>1075</v>
      </c>
      <c r="AK70" s="260">
        <v>1075</v>
      </c>
      <c r="AL70" s="260">
        <v>1075</v>
      </c>
      <c r="AM70" s="261">
        <v>1075</v>
      </c>
      <c r="AN70" s="281"/>
      <c r="AO70" s="267"/>
      <c r="AP70" s="275"/>
    </row>
    <row r="71" spans="1:42" s="214" customFormat="1" x14ac:dyDescent="0.3">
      <c r="A71" s="282">
        <v>42608</v>
      </c>
      <c r="B71" s="198">
        <v>228.58</v>
      </c>
      <c r="C71" s="199">
        <v>231.01</v>
      </c>
      <c r="D71" s="199">
        <v>229.75</v>
      </c>
      <c r="E71" s="155"/>
      <c r="F71" s="155"/>
      <c r="G71" s="155"/>
      <c r="H71" s="277">
        <v>229.47</v>
      </c>
      <c r="I71" s="277">
        <v>230.65</v>
      </c>
      <c r="J71" s="277">
        <v>230.02</v>
      </c>
      <c r="K71" s="155"/>
      <c r="L71" s="155"/>
      <c r="M71" s="155"/>
      <c r="N71" s="155">
        <v>230.15</v>
      </c>
      <c r="O71" s="155">
        <v>232.61</v>
      </c>
      <c r="P71" s="155">
        <v>231.39</v>
      </c>
      <c r="Q71" s="251">
        <v>229</v>
      </c>
      <c r="R71" s="251">
        <v>239</v>
      </c>
      <c r="S71" s="250">
        <f t="shared" si="11"/>
        <v>230.38666666666666</v>
      </c>
      <c r="T71" s="280"/>
      <c r="U71" s="200">
        <v>0.52</v>
      </c>
      <c r="V71" s="155"/>
      <c r="W71" s="155">
        <v>0.25</v>
      </c>
      <c r="X71" s="155"/>
      <c r="Y71" s="155">
        <v>0.53</v>
      </c>
      <c r="Z71" s="250">
        <v>2</v>
      </c>
      <c r="AA71" s="250">
        <f t="shared" si="12"/>
        <v>0.43333333333333335</v>
      </c>
      <c r="AB71" s="209"/>
      <c r="AC71" s="278">
        <v>-9</v>
      </c>
      <c r="AD71" s="155"/>
      <c r="AE71" s="155">
        <v>-3</v>
      </c>
      <c r="AF71" s="155">
        <v>-15</v>
      </c>
      <c r="AG71" s="155"/>
      <c r="AH71" s="258">
        <v>20</v>
      </c>
      <c r="AI71" s="259">
        <v>1075</v>
      </c>
      <c r="AJ71" s="260">
        <v>1075</v>
      </c>
      <c r="AK71" s="260">
        <v>1075</v>
      </c>
      <c r="AL71" s="260">
        <v>1075</v>
      </c>
      <c r="AM71" s="261">
        <v>1075</v>
      </c>
      <c r="AN71" s="281"/>
      <c r="AO71" s="267"/>
      <c r="AP71" s="275"/>
    </row>
    <row r="72" spans="1:42" s="214" customFormat="1" x14ac:dyDescent="0.3">
      <c r="A72" s="283">
        <v>42621</v>
      </c>
      <c r="B72" s="198"/>
      <c r="C72" s="199"/>
      <c r="D72" s="199"/>
      <c r="E72" s="155"/>
      <c r="F72" s="155"/>
      <c r="G72" s="155"/>
      <c r="H72" s="277">
        <v>230.26</v>
      </c>
      <c r="I72" s="277">
        <v>234.22</v>
      </c>
      <c r="J72" s="277">
        <v>231.48</v>
      </c>
      <c r="K72" s="155"/>
      <c r="L72" s="155"/>
      <c r="M72" s="155"/>
      <c r="N72" s="155"/>
      <c r="O72" s="155"/>
      <c r="P72" s="155"/>
      <c r="Q72" s="251">
        <v>229</v>
      </c>
      <c r="R72" s="251">
        <v>239</v>
      </c>
      <c r="S72" s="250">
        <f t="shared" si="11"/>
        <v>231.48</v>
      </c>
      <c r="T72" s="280"/>
      <c r="U72" s="200"/>
      <c r="V72" s="155"/>
      <c r="W72" s="155">
        <v>0.85</v>
      </c>
      <c r="X72" s="155"/>
      <c r="Y72" s="155"/>
      <c r="Z72" s="250">
        <v>2</v>
      </c>
      <c r="AA72" s="250">
        <f t="shared" si="12"/>
        <v>0.85</v>
      </c>
      <c r="AB72" s="209"/>
      <c r="AC72" s="278"/>
      <c r="AD72" s="155"/>
      <c r="AE72" s="155">
        <v>-5</v>
      </c>
      <c r="AF72" s="155"/>
      <c r="AG72" s="155"/>
      <c r="AH72" s="258">
        <v>20</v>
      </c>
      <c r="AI72" s="259">
        <v>1075</v>
      </c>
      <c r="AJ72" s="260">
        <v>1075</v>
      </c>
      <c r="AK72" s="260">
        <v>1075</v>
      </c>
      <c r="AL72" s="260">
        <v>1075</v>
      </c>
      <c r="AM72" s="261">
        <v>1075</v>
      </c>
      <c r="AN72" s="281"/>
      <c r="AO72" s="267"/>
      <c r="AP72" s="275"/>
    </row>
    <row r="73" spans="1:42" s="214" customFormat="1" x14ac:dyDescent="0.3">
      <c r="A73" s="276">
        <v>42639</v>
      </c>
      <c r="B73" s="198"/>
      <c r="C73" s="199"/>
      <c r="D73" s="199"/>
      <c r="E73" s="155"/>
      <c r="F73" s="155"/>
      <c r="G73" s="155"/>
      <c r="H73" s="277">
        <v>230.3</v>
      </c>
      <c r="I73" s="277">
        <v>234.77</v>
      </c>
      <c r="J73" s="277">
        <v>231.8</v>
      </c>
      <c r="K73" s="155"/>
      <c r="L73" s="155"/>
      <c r="M73" s="155"/>
      <c r="N73" s="155"/>
      <c r="O73" s="155"/>
      <c r="P73" s="155"/>
      <c r="Q73" s="251">
        <v>229</v>
      </c>
      <c r="R73" s="251">
        <v>239</v>
      </c>
      <c r="S73" s="250">
        <f t="shared" si="11"/>
        <v>231.8</v>
      </c>
      <c r="T73" s="280"/>
      <c r="U73" s="200"/>
      <c r="V73" s="155"/>
      <c r="W73" s="155">
        <v>0.96</v>
      </c>
      <c r="X73" s="155"/>
      <c r="Y73" s="155"/>
      <c r="Z73" s="250">
        <v>2</v>
      </c>
      <c r="AA73" s="250">
        <f t="shared" si="12"/>
        <v>0.96</v>
      </c>
      <c r="AB73" s="209"/>
      <c r="AC73" s="278"/>
      <c r="AD73" s="155"/>
      <c r="AE73" s="155">
        <v>0</v>
      </c>
      <c r="AF73" s="155"/>
      <c r="AG73" s="155"/>
      <c r="AH73" s="258">
        <v>20</v>
      </c>
      <c r="AI73" s="259">
        <v>1075</v>
      </c>
      <c r="AJ73" s="260">
        <v>1075</v>
      </c>
      <c r="AK73" s="260">
        <v>1075</v>
      </c>
      <c r="AL73" s="260">
        <v>1075</v>
      </c>
      <c r="AM73" s="261">
        <v>1075</v>
      </c>
      <c r="AN73" s="281"/>
      <c r="AO73" s="267"/>
      <c r="AP73" s="275"/>
    </row>
    <row r="74" spans="1:42" s="214" customFormat="1" hidden="1" x14ac:dyDescent="0.3">
      <c r="A74" s="276"/>
      <c r="B74" s="198"/>
      <c r="C74" s="199"/>
      <c r="D74" s="199"/>
      <c r="E74" s="155"/>
      <c r="F74" s="155"/>
      <c r="G74" s="155"/>
      <c r="H74" s="277">
        <v>231.46</v>
      </c>
      <c r="I74" s="277">
        <v>233.9</v>
      </c>
      <c r="J74" s="277">
        <v>233.76</v>
      </c>
      <c r="K74" s="155"/>
      <c r="L74" s="155"/>
      <c r="M74" s="155"/>
      <c r="N74" s="155"/>
      <c r="O74" s="155"/>
      <c r="P74" s="155"/>
      <c r="Q74" s="251">
        <v>229</v>
      </c>
      <c r="R74" s="251">
        <v>239</v>
      </c>
      <c r="S74" s="250">
        <f t="shared" si="11"/>
        <v>233.76</v>
      </c>
      <c r="T74" s="280"/>
      <c r="U74" s="200"/>
      <c r="V74" s="155"/>
      <c r="W74" s="155">
        <v>0.94</v>
      </c>
      <c r="X74" s="155"/>
      <c r="Y74" s="155"/>
      <c r="Z74" s="250">
        <v>2</v>
      </c>
      <c r="AA74" s="250">
        <f t="shared" si="12"/>
        <v>0.94</v>
      </c>
      <c r="AB74" s="209"/>
      <c r="AC74" s="278"/>
      <c r="AD74" s="155"/>
      <c r="AE74" s="155">
        <v>-13</v>
      </c>
      <c r="AF74" s="155"/>
      <c r="AG74" s="155"/>
      <c r="AH74" s="258">
        <v>20</v>
      </c>
      <c r="AI74" s="259">
        <v>1075</v>
      </c>
      <c r="AJ74" s="260">
        <v>1075</v>
      </c>
      <c r="AK74" s="260">
        <v>1075</v>
      </c>
      <c r="AL74" s="260">
        <v>1075</v>
      </c>
      <c r="AM74" s="261">
        <v>1075</v>
      </c>
      <c r="AN74" s="281"/>
      <c r="AO74" s="267"/>
      <c r="AP74" s="275"/>
    </row>
    <row r="75" spans="1:42" s="214" customFormat="1" x14ac:dyDescent="0.3">
      <c r="A75" s="276">
        <v>42648</v>
      </c>
      <c r="B75" s="198"/>
      <c r="C75" s="199"/>
      <c r="D75" s="199"/>
      <c r="E75" s="155"/>
      <c r="F75" s="155"/>
      <c r="G75" s="155"/>
      <c r="H75" s="277">
        <v>233.84</v>
      </c>
      <c r="I75" s="277">
        <v>234.52</v>
      </c>
      <c r="J75" s="277">
        <v>234.08</v>
      </c>
      <c r="K75" s="155"/>
      <c r="L75" s="155"/>
      <c r="M75" s="155"/>
      <c r="N75" s="155"/>
      <c r="O75" s="155"/>
      <c r="P75" s="155"/>
      <c r="Q75" s="251">
        <v>229</v>
      </c>
      <c r="R75" s="251">
        <v>239</v>
      </c>
      <c r="S75" s="250">
        <f t="shared" si="11"/>
        <v>234.08</v>
      </c>
      <c r="T75" s="280"/>
      <c r="U75" s="200"/>
      <c r="V75" s="155"/>
      <c r="W75" s="155">
        <v>0.14000000000000001</v>
      </c>
      <c r="X75" s="155"/>
      <c r="Y75" s="155"/>
      <c r="Z75" s="250">
        <v>2</v>
      </c>
      <c r="AA75" s="250">
        <f t="shared" si="12"/>
        <v>0.14000000000000001</v>
      </c>
      <c r="AB75" s="209"/>
      <c r="AC75" s="278"/>
      <c r="AD75" s="155"/>
      <c r="AE75" s="155">
        <v>1</v>
      </c>
      <c r="AF75" s="155"/>
      <c r="AG75" s="155"/>
      <c r="AH75" s="258">
        <v>20</v>
      </c>
      <c r="AI75" s="259">
        <v>1075</v>
      </c>
      <c r="AJ75" s="260">
        <v>1075</v>
      </c>
      <c r="AK75" s="260">
        <v>1075</v>
      </c>
      <c r="AL75" s="260">
        <v>1075</v>
      </c>
      <c r="AM75" s="261">
        <v>1075</v>
      </c>
      <c r="AN75" s="281"/>
      <c r="AO75" s="267"/>
      <c r="AP75" s="275"/>
    </row>
    <row r="76" spans="1:42" s="214" customFormat="1" x14ac:dyDescent="0.3">
      <c r="A76" s="276">
        <v>42660</v>
      </c>
      <c r="B76" s="198"/>
      <c r="C76" s="199"/>
      <c r="D76" s="199"/>
      <c r="E76" s="155"/>
      <c r="F76" s="155"/>
      <c r="G76" s="155"/>
      <c r="H76" s="277">
        <v>234.12</v>
      </c>
      <c r="I76" s="277">
        <v>237.71</v>
      </c>
      <c r="J76" s="277">
        <v>235.02</v>
      </c>
      <c r="K76" s="155"/>
      <c r="L76" s="155"/>
      <c r="M76" s="155"/>
      <c r="N76" s="155"/>
      <c r="O76" s="155"/>
      <c r="P76" s="155"/>
      <c r="Q76" s="251">
        <v>229</v>
      </c>
      <c r="R76" s="251">
        <v>239</v>
      </c>
      <c r="S76" s="250">
        <f t="shared" si="11"/>
        <v>235.02</v>
      </c>
      <c r="T76" s="280"/>
      <c r="U76" s="200"/>
      <c r="V76" s="155"/>
      <c r="W76" s="155">
        <v>0.76</v>
      </c>
      <c r="X76" s="155"/>
      <c r="Y76" s="155"/>
      <c r="Z76" s="250">
        <v>2</v>
      </c>
      <c r="AA76" s="250">
        <f t="shared" si="12"/>
        <v>0.76</v>
      </c>
      <c r="AB76" s="209"/>
      <c r="AC76" s="278"/>
      <c r="AD76" s="155"/>
      <c r="AE76" s="155">
        <v>-3</v>
      </c>
      <c r="AF76" s="155"/>
      <c r="AG76" s="155"/>
      <c r="AH76" s="258">
        <v>20</v>
      </c>
      <c r="AI76" s="259">
        <v>1075</v>
      </c>
      <c r="AJ76" s="260">
        <v>1075</v>
      </c>
      <c r="AK76" s="260">
        <v>1075</v>
      </c>
      <c r="AL76" s="260">
        <v>1075</v>
      </c>
      <c r="AM76" s="261">
        <v>1075</v>
      </c>
      <c r="AN76" s="281"/>
      <c r="AO76" s="267"/>
      <c r="AP76" s="275"/>
    </row>
    <row r="77" spans="1:42" s="214" customFormat="1" x14ac:dyDescent="0.3">
      <c r="A77" s="276">
        <v>42660</v>
      </c>
      <c r="B77" s="198"/>
      <c r="C77" s="199"/>
      <c r="D77" s="199"/>
      <c r="E77" s="155"/>
      <c r="F77" s="155"/>
      <c r="G77" s="155"/>
      <c r="H77" s="277">
        <v>231.19</v>
      </c>
      <c r="I77" s="277">
        <v>232.61</v>
      </c>
      <c r="J77" s="277">
        <v>231.77</v>
      </c>
      <c r="K77" s="155"/>
      <c r="L77" s="155"/>
      <c r="M77" s="155"/>
      <c r="N77" s="155"/>
      <c r="O77" s="155"/>
      <c r="P77" s="155"/>
      <c r="Q77" s="251">
        <v>229</v>
      </c>
      <c r="R77" s="251">
        <v>239</v>
      </c>
      <c r="S77" s="250">
        <f t="shared" si="11"/>
        <v>231.77</v>
      </c>
      <c r="T77" s="280"/>
      <c r="U77" s="200"/>
      <c r="V77" s="155"/>
      <c r="W77" s="155">
        <v>0.3</v>
      </c>
      <c r="X77" s="155"/>
      <c r="Y77" s="155"/>
      <c r="Z77" s="250">
        <v>2</v>
      </c>
      <c r="AA77" s="250">
        <f t="shared" si="12"/>
        <v>0.3</v>
      </c>
      <c r="AB77" s="209"/>
      <c r="AC77" s="278"/>
      <c r="AD77" s="155"/>
      <c r="AE77" s="155">
        <v>-17</v>
      </c>
      <c r="AF77" s="155"/>
      <c r="AG77" s="155"/>
      <c r="AH77" s="258">
        <v>20</v>
      </c>
      <c r="AI77" s="259">
        <v>1075</v>
      </c>
      <c r="AJ77" s="260">
        <v>1075</v>
      </c>
      <c r="AK77" s="260">
        <v>1075</v>
      </c>
      <c r="AL77" s="260">
        <v>1075</v>
      </c>
      <c r="AM77" s="261">
        <v>1075</v>
      </c>
      <c r="AN77" s="281"/>
      <c r="AO77" s="267"/>
      <c r="AP77" s="275"/>
    </row>
    <row r="78" spans="1:42" s="214" customFormat="1" x14ac:dyDescent="0.3">
      <c r="A78" s="276">
        <v>42667</v>
      </c>
      <c r="B78" s="198"/>
      <c r="C78" s="199"/>
      <c r="D78" s="199"/>
      <c r="E78" s="155"/>
      <c r="F78" s="155"/>
      <c r="G78" s="155"/>
      <c r="H78" s="277">
        <v>232.53</v>
      </c>
      <c r="I78" s="277">
        <v>233.72</v>
      </c>
      <c r="J78" s="277">
        <v>233.35</v>
      </c>
      <c r="K78" s="155"/>
      <c r="L78" s="155"/>
      <c r="M78" s="155"/>
      <c r="N78" s="155"/>
      <c r="O78" s="155"/>
      <c r="P78" s="155"/>
      <c r="Q78" s="251">
        <v>229</v>
      </c>
      <c r="R78" s="251">
        <v>239</v>
      </c>
      <c r="S78" s="250">
        <f t="shared" si="11"/>
        <v>233.35</v>
      </c>
      <c r="T78" s="280"/>
      <c r="U78" s="200"/>
      <c r="V78" s="155"/>
      <c r="W78" s="155">
        <v>0.25</v>
      </c>
      <c r="X78" s="155"/>
      <c r="Y78" s="155"/>
      <c r="Z78" s="250">
        <v>2</v>
      </c>
      <c r="AA78" s="250">
        <f t="shared" si="12"/>
        <v>0.25</v>
      </c>
      <c r="AB78" s="209"/>
      <c r="AC78" s="278"/>
      <c r="AD78" s="155"/>
      <c r="AE78" s="155">
        <v>3</v>
      </c>
      <c r="AF78" s="155"/>
      <c r="AG78" s="155"/>
      <c r="AH78" s="258">
        <v>20</v>
      </c>
      <c r="AI78" s="259">
        <v>1075</v>
      </c>
      <c r="AJ78" s="260">
        <v>1075</v>
      </c>
      <c r="AK78" s="260">
        <v>1075</v>
      </c>
      <c r="AL78" s="260">
        <v>1075</v>
      </c>
      <c r="AM78" s="261">
        <v>1075</v>
      </c>
      <c r="AN78" s="281"/>
      <c r="AO78" s="267"/>
      <c r="AP78" s="275"/>
    </row>
    <row r="79" spans="1:42" s="214" customFormat="1" x14ac:dyDescent="0.3">
      <c r="A79" s="276">
        <v>42667</v>
      </c>
      <c r="B79" s="198"/>
      <c r="C79" s="199"/>
      <c r="D79" s="199"/>
      <c r="E79" s="155"/>
      <c r="F79" s="155"/>
      <c r="G79" s="155"/>
      <c r="H79" s="277">
        <v>231.25</v>
      </c>
      <c r="I79" s="277">
        <v>233.28</v>
      </c>
      <c r="J79" s="277">
        <v>231.85</v>
      </c>
      <c r="K79" s="155"/>
      <c r="L79" s="155"/>
      <c r="M79" s="155"/>
      <c r="N79" s="155"/>
      <c r="O79" s="155"/>
      <c r="P79" s="155"/>
      <c r="Q79" s="251">
        <v>229</v>
      </c>
      <c r="R79" s="251">
        <v>239</v>
      </c>
      <c r="S79" s="250">
        <f t="shared" si="11"/>
        <v>231.85</v>
      </c>
      <c r="T79" s="280"/>
      <c r="U79" s="200"/>
      <c r="V79" s="155"/>
      <c r="W79" s="155">
        <v>0.43</v>
      </c>
      <c r="X79" s="155"/>
      <c r="Y79" s="155"/>
      <c r="Z79" s="250">
        <v>2</v>
      </c>
      <c r="AA79" s="250">
        <f t="shared" si="12"/>
        <v>0.43</v>
      </c>
      <c r="AB79" s="209"/>
      <c r="AC79" s="278"/>
      <c r="AD79" s="155"/>
      <c r="AE79" s="155">
        <v>1</v>
      </c>
      <c r="AF79" s="155"/>
      <c r="AG79" s="155"/>
      <c r="AH79" s="258">
        <v>20</v>
      </c>
      <c r="AI79" s="259">
        <v>1075</v>
      </c>
      <c r="AJ79" s="260">
        <v>1075</v>
      </c>
      <c r="AK79" s="260">
        <v>1075</v>
      </c>
      <c r="AL79" s="260">
        <v>1075</v>
      </c>
      <c r="AM79" s="261">
        <v>1075</v>
      </c>
      <c r="AN79" s="281"/>
      <c r="AO79" s="267"/>
      <c r="AP79" s="275"/>
    </row>
    <row r="80" spans="1:42" s="214" customFormat="1" x14ac:dyDescent="0.3">
      <c r="A80" s="276">
        <v>42674</v>
      </c>
      <c r="B80" s="198"/>
      <c r="C80" s="199"/>
      <c r="D80" s="199"/>
      <c r="E80" s="155"/>
      <c r="F80" s="155"/>
      <c r="G80" s="155"/>
      <c r="H80" s="277">
        <v>238.78</v>
      </c>
      <c r="I80" s="277">
        <v>239.81</v>
      </c>
      <c r="J80" s="277">
        <v>239.2</v>
      </c>
      <c r="K80" s="155"/>
      <c r="L80" s="155"/>
      <c r="M80" s="155"/>
      <c r="N80" s="155"/>
      <c r="O80" s="155"/>
      <c r="P80" s="155"/>
      <c r="Q80" s="251">
        <v>229</v>
      </c>
      <c r="R80" s="251">
        <v>239</v>
      </c>
      <c r="S80" s="250">
        <f t="shared" si="11"/>
        <v>239.2</v>
      </c>
      <c r="T80" s="280"/>
      <c r="U80" s="200"/>
      <c r="V80" s="155"/>
      <c r="W80" s="155">
        <v>0.21</v>
      </c>
      <c r="X80" s="155"/>
      <c r="Y80" s="155"/>
      <c r="Z80" s="250">
        <v>2</v>
      </c>
      <c r="AA80" s="250">
        <f t="shared" si="12"/>
        <v>0.21</v>
      </c>
      <c r="AB80" s="209"/>
      <c r="AC80" s="278"/>
      <c r="AD80" s="155"/>
      <c r="AE80" s="155">
        <v>-1</v>
      </c>
      <c r="AF80" s="155"/>
      <c r="AG80" s="155"/>
      <c r="AH80" s="258">
        <v>20</v>
      </c>
      <c r="AI80" s="259">
        <v>1075</v>
      </c>
      <c r="AJ80" s="260">
        <v>1075</v>
      </c>
      <c r="AK80" s="260">
        <v>1075</v>
      </c>
      <c r="AL80" s="260">
        <v>1075</v>
      </c>
      <c r="AM80" s="261">
        <v>1075</v>
      </c>
      <c r="AN80" s="281"/>
      <c r="AO80" s="267"/>
      <c r="AP80" s="275"/>
    </row>
    <row r="81" spans="1:42" s="214" customFormat="1" x14ac:dyDescent="0.3">
      <c r="A81" s="276">
        <v>42695</v>
      </c>
      <c r="B81" s="198"/>
      <c r="C81" s="199"/>
      <c r="D81" s="199"/>
      <c r="E81" s="155"/>
      <c r="F81" s="155"/>
      <c r="G81" s="155"/>
      <c r="H81" s="277">
        <v>231.92</v>
      </c>
      <c r="I81" s="277">
        <v>233.17</v>
      </c>
      <c r="J81" s="277">
        <v>232.89</v>
      </c>
      <c r="K81" s="155"/>
      <c r="L81" s="155"/>
      <c r="M81" s="155"/>
      <c r="N81" s="155"/>
      <c r="O81" s="155"/>
      <c r="P81" s="155"/>
      <c r="Q81" s="251">
        <v>229</v>
      </c>
      <c r="R81" s="251">
        <v>239</v>
      </c>
      <c r="S81" s="250">
        <f t="shared" si="11"/>
        <v>232.89</v>
      </c>
      <c r="T81" s="280"/>
      <c r="U81" s="200"/>
      <c r="V81" s="155"/>
      <c r="W81" s="155">
        <v>0.26</v>
      </c>
      <c r="X81" s="155"/>
      <c r="Y81" s="155"/>
      <c r="Z81" s="250">
        <v>2</v>
      </c>
      <c r="AA81" s="250">
        <f t="shared" si="12"/>
        <v>0.26</v>
      </c>
      <c r="AB81" s="209"/>
      <c r="AC81" s="278"/>
      <c r="AD81" s="155"/>
      <c r="AE81" s="155">
        <v>-4</v>
      </c>
      <c r="AF81" s="155"/>
      <c r="AG81" s="155"/>
      <c r="AH81" s="258">
        <v>20</v>
      </c>
      <c r="AI81" s="259">
        <v>1075</v>
      </c>
      <c r="AJ81" s="260">
        <v>1075</v>
      </c>
      <c r="AK81" s="260">
        <v>1075</v>
      </c>
      <c r="AL81" s="260">
        <v>1075</v>
      </c>
      <c r="AM81" s="261">
        <v>1075</v>
      </c>
      <c r="AN81" s="281"/>
      <c r="AO81" s="267"/>
      <c r="AP81" s="275"/>
    </row>
    <row r="82" spans="1:42" s="214" customFormat="1" x14ac:dyDescent="0.3">
      <c r="A82" s="276">
        <v>42716</v>
      </c>
      <c r="B82" s="198"/>
      <c r="C82" s="199"/>
      <c r="D82" s="199"/>
      <c r="E82" s="155"/>
      <c r="F82" s="155"/>
      <c r="G82" s="155"/>
      <c r="H82" s="277">
        <v>230.34</v>
      </c>
      <c r="I82" s="277">
        <v>233.18</v>
      </c>
      <c r="J82" s="277">
        <v>231.45</v>
      </c>
      <c r="K82" s="155"/>
      <c r="L82" s="155"/>
      <c r="M82" s="155"/>
      <c r="N82" s="155"/>
      <c r="O82" s="155"/>
      <c r="P82" s="155"/>
      <c r="Q82" s="251">
        <v>229</v>
      </c>
      <c r="R82" s="251">
        <v>239</v>
      </c>
      <c r="S82" s="250">
        <f t="shared" si="11"/>
        <v>231.45</v>
      </c>
      <c r="T82" s="280"/>
      <c r="U82" s="200"/>
      <c r="V82" s="155"/>
      <c r="W82" s="155">
        <v>0.61</v>
      </c>
      <c r="X82" s="155"/>
      <c r="Y82" s="155"/>
      <c r="Z82" s="250">
        <v>2</v>
      </c>
      <c r="AA82" s="250">
        <f t="shared" si="12"/>
        <v>0.61</v>
      </c>
      <c r="AB82" s="209"/>
      <c r="AC82" s="278"/>
      <c r="AD82" s="155"/>
      <c r="AE82" s="155">
        <v>-20</v>
      </c>
      <c r="AF82" s="155"/>
      <c r="AG82" s="155"/>
      <c r="AH82" s="258">
        <v>20</v>
      </c>
      <c r="AI82" s="259">
        <v>1075</v>
      </c>
      <c r="AJ82" s="260">
        <v>1075</v>
      </c>
      <c r="AK82" s="260">
        <v>1075</v>
      </c>
      <c r="AL82" s="260">
        <v>1075</v>
      </c>
      <c r="AM82" s="261">
        <v>1075</v>
      </c>
      <c r="AN82" s="281"/>
      <c r="AO82" s="267"/>
      <c r="AP82" s="275"/>
    </row>
    <row r="83" spans="1:42" s="214" customFormat="1" x14ac:dyDescent="0.3">
      <c r="A83" s="276">
        <v>42718</v>
      </c>
      <c r="B83" s="198"/>
      <c r="C83" s="199"/>
      <c r="D83" s="199"/>
      <c r="E83" s="155"/>
      <c r="F83" s="155"/>
      <c r="G83" s="155"/>
      <c r="H83" s="277">
        <v>231.91</v>
      </c>
      <c r="I83" s="277">
        <v>232.94</v>
      </c>
      <c r="J83" s="277">
        <v>232.55</v>
      </c>
      <c r="K83" s="155"/>
      <c r="L83" s="155"/>
      <c r="M83" s="155"/>
      <c r="N83" s="155"/>
      <c r="O83" s="155"/>
      <c r="P83" s="155"/>
      <c r="Q83" s="251">
        <v>229</v>
      </c>
      <c r="R83" s="251">
        <v>239</v>
      </c>
      <c r="S83" s="250">
        <f t="shared" si="11"/>
        <v>232.55</v>
      </c>
      <c r="T83" s="280"/>
      <c r="U83" s="200"/>
      <c r="V83" s="155"/>
      <c r="W83" s="155">
        <v>0.22</v>
      </c>
      <c r="X83" s="155"/>
      <c r="Y83" s="155"/>
      <c r="Z83" s="250">
        <v>2</v>
      </c>
      <c r="AA83" s="250">
        <f t="shared" si="12"/>
        <v>0.22</v>
      </c>
      <c r="AB83" s="209"/>
      <c r="AC83" s="278"/>
      <c r="AD83" s="155"/>
      <c r="AE83" s="155">
        <v>-19</v>
      </c>
      <c r="AF83" s="155"/>
      <c r="AG83" s="155"/>
      <c r="AH83" s="258">
        <v>20</v>
      </c>
      <c r="AI83" s="259">
        <v>1075</v>
      </c>
      <c r="AJ83" s="260">
        <v>1075</v>
      </c>
      <c r="AK83" s="260">
        <v>1075</v>
      </c>
      <c r="AL83" s="260">
        <v>1075</v>
      </c>
      <c r="AM83" s="261">
        <v>1075</v>
      </c>
      <c r="AN83" s="281"/>
      <c r="AO83" s="267"/>
      <c r="AP83" s="275"/>
    </row>
    <row r="84" spans="1:42" s="214" customFormat="1" x14ac:dyDescent="0.3">
      <c r="A84" s="276">
        <v>42740</v>
      </c>
      <c r="B84" s="198"/>
      <c r="C84" s="199"/>
      <c r="D84" s="199"/>
      <c r="E84" s="155"/>
      <c r="F84" s="155"/>
      <c r="G84" s="155"/>
      <c r="H84" s="277">
        <v>233.36</v>
      </c>
      <c r="I84" s="277">
        <v>234.01</v>
      </c>
      <c r="J84" s="277">
        <v>233.8</v>
      </c>
      <c r="K84" s="155"/>
      <c r="L84" s="155"/>
      <c r="M84" s="155"/>
      <c r="N84" s="155"/>
      <c r="O84" s="155"/>
      <c r="P84" s="155"/>
      <c r="Q84" s="251">
        <v>229</v>
      </c>
      <c r="R84" s="251">
        <v>239</v>
      </c>
      <c r="S84" s="155">
        <f t="shared" si="11"/>
        <v>233.8</v>
      </c>
      <c r="T84" s="280"/>
      <c r="U84" s="200"/>
      <c r="V84" s="155"/>
      <c r="W84" s="155">
        <v>1.1299999999999999</v>
      </c>
      <c r="X84" s="155"/>
      <c r="Y84" s="155"/>
      <c r="Z84" s="250">
        <v>2</v>
      </c>
      <c r="AA84" s="155">
        <f t="shared" si="12"/>
        <v>1.1299999999999999</v>
      </c>
      <c r="AB84" s="209"/>
      <c r="AC84" s="278"/>
      <c r="AD84" s="155"/>
      <c r="AE84" s="155">
        <v>-16</v>
      </c>
      <c r="AF84" s="155"/>
      <c r="AG84" s="155"/>
      <c r="AH84" s="258">
        <v>20</v>
      </c>
      <c r="AI84" s="259">
        <v>1075</v>
      </c>
      <c r="AJ84" s="260">
        <v>1075</v>
      </c>
      <c r="AK84" s="260">
        <v>1075</v>
      </c>
      <c r="AL84" s="260">
        <v>1075</v>
      </c>
      <c r="AM84" s="261">
        <v>1075</v>
      </c>
      <c r="AN84" s="281"/>
      <c r="AO84" s="267"/>
      <c r="AP84" s="275"/>
    </row>
    <row r="85" spans="1:42" s="214" customFormat="1" x14ac:dyDescent="0.3">
      <c r="A85" s="276">
        <v>42782</v>
      </c>
      <c r="B85" s="198"/>
      <c r="C85" s="199"/>
      <c r="D85" s="199"/>
      <c r="E85" s="155"/>
      <c r="F85" s="155"/>
      <c r="G85" s="155"/>
      <c r="H85" s="277">
        <v>233.54</v>
      </c>
      <c r="I85" s="277">
        <v>234.49</v>
      </c>
      <c r="J85" s="277">
        <v>234.11</v>
      </c>
      <c r="K85" s="155"/>
      <c r="L85" s="155"/>
      <c r="M85" s="155"/>
      <c r="N85" s="155"/>
      <c r="O85" s="155"/>
      <c r="P85" s="155"/>
      <c r="Q85" s="251">
        <v>229</v>
      </c>
      <c r="R85" s="251">
        <v>239</v>
      </c>
      <c r="S85" s="155">
        <f t="shared" si="11"/>
        <v>234.11</v>
      </c>
      <c r="T85" s="280"/>
      <c r="U85" s="200"/>
      <c r="V85" s="155"/>
      <c r="W85" s="155">
        <v>0.2</v>
      </c>
      <c r="X85" s="155"/>
      <c r="Y85" s="155"/>
      <c r="Z85" s="250">
        <v>2</v>
      </c>
      <c r="AA85" s="155">
        <f t="shared" si="12"/>
        <v>0.2</v>
      </c>
      <c r="AB85" s="209"/>
      <c r="AC85" s="278"/>
      <c r="AD85" s="155"/>
      <c r="AE85" s="155">
        <v>-2</v>
      </c>
      <c r="AF85" s="155"/>
      <c r="AG85" s="155"/>
      <c r="AH85" s="258">
        <v>20</v>
      </c>
      <c r="AI85" s="259">
        <v>1075</v>
      </c>
      <c r="AJ85" s="260">
        <v>1075</v>
      </c>
      <c r="AK85" s="260">
        <v>1075</v>
      </c>
      <c r="AL85" s="260">
        <v>1075</v>
      </c>
      <c r="AM85" s="261">
        <v>1075</v>
      </c>
      <c r="AN85" s="281"/>
      <c r="AO85" s="267"/>
      <c r="AP85" s="275"/>
    </row>
    <row r="86" spans="1:42" s="214" customFormat="1" x14ac:dyDescent="0.3">
      <c r="A86" s="276">
        <v>42808</v>
      </c>
      <c r="B86" s="198"/>
      <c r="C86" s="199"/>
      <c r="D86" s="199"/>
      <c r="E86" s="155"/>
      <c r="F86" s="155"/>
      <c r="G86" s="155"/>
      <c r="H86" s="277">
        <v>234.28</v>
      </c>
      <c r="I86" s="277">
        <v>236.2</v>
      </c>
      <c r="J86" s="277">
        <v>235.03</v>
      </c>
      <c r="K86" s="155"/>
      <c r="L86" s="155"/>
      <c r="M86" s="155"/>
      <c r="N86" s="155"/>
      <c r="O86" s="155"/>
      <c r="P86" s="155"/>
      <c r="Q86" s="251">
        <v>229</v>
      </c>
      <c r="R86" s="251">
        <v>239</v>
      </c>
      <c r="S86" s="155">
        <f t="shared" si="11"/>
        <v>235.03</v>
      </c>
      <c r="T86" s="280"/>
      <c r="U86" s="200"/>
      <c r="V86" s="155"/>
      <c r="W86" s="155">
        <v>0.41</v>
      </c>
      <c r="X86" s="155"/>
      <c r="Y86" s="155"/>
      <c r="Z86" s="250">
        <v>2</v>
      </c>
      <c r="AA86" s="155">
        <f t="shared" si="12"/>
        <v>0.41</v>
      </c>
      <c r="AB86" s="209"/>
      <c r="AC86" s="278"/>
      <c r="AD86" s="155"/>
      <c r="AE86" s="155">
        <v>-4</v>
      </c>
      <c r="AF86" s="155"/>
      <c r="AH86" s="258">
        <v>20</v>
      </c>
      <c r="AI86" s="259">
        <v>1075</v>
      </c>
      <c r="AJ86" s="260">
        <v>1075</v>
      </c>
      <c r="AK86" s="260">
        <v>1075</v>
      </c>
      <c r="AL86" s="260">
        <v>1075</v>
      </c>
      <c r="AM86" s="261">
        <v>1075</v>
      </c>
      <c r="AN86" s="281"/>
      <c r="AO86" s="267"/>
      <c r="AP86" s="275"/>
    </row>
    <row r="87" spans="1:42" s="214" customFormat="1" x14ac:dyDescent="0.3">
      <c r="A87" s="276">
        <v>42838</v>
      </c>
      <c r="B87" s="198"/>
      <c r="C87" s="199"/>
      <c r="D87" s="199"/>
      <c r="E87" s="155"/>
      <c r="F87" s="155"/>
      <c r="G87" s="155"/>
      <c r="H87" s="277">
        <v>232.22</v>
      </c>
      <c r="I87" s="277">
        <v>233.3</v>
      </c>
      <c r="J87" s="277">
        <v>232.87</v>
      </c>
      <c r="K87" s="155"/>
      <c r="L87" s="155"/>
      <c r="M87" s="155"/>
      <c r="N87" s="155"/>
      <c r="O87" s="155"/>
      <c r="P87" s="155"/>
      <c r="Q87" s="251">
        <v>229</v>
      </c>
      <c r="R87" s="251">
        <v>239</v>
      </c>
      <c r="S87" s="155">
        <f t="shared" si="11"/>
        <v>232.87</v>
      </c>
      <c r="T87" s="280"/>
      <c r="U87" s="200"/>
      <c r="V87" s="155"/>
      <c r="W87" s="155">
        <v>0.21</v>
      </c>
      <c r="X87" s="155"/>
      <c r="Y87" s="155"/>
      <c r="Z87" s="250">
        <v>2</v>
      </c>
      <c r="AA87" s="155">
        <f t="shared" si="12"/>
        <v>0.21</v>
      </c>
      <c r="AB87" s="209"/>
      <c r="AC87" s="278"/>
      <c r="AD87" s="155"/>
      <c r="AE87" s="155">
        <v>18</v>
      </c>
      <c r="AF87" s="155"/>
      <c r="AH87" s="258">
        <v>20</v>
      </c>
      <c r="AI87" s="259">
        <v>1075</v>
      </c>
      <c r="AJ87" s="260">
        <v>1075</v>
      </c>
      <c r="AK87" s="260">
        <v>1075</v>
      </c>
      <c r="AL87" s="260">
        <v>1075</v>
      </c>
      <c r="AM87" s="261">
        <v>1075</v>
      </c>
      <c r="AN87" s="281"/>
      <c r="AO87" s="267"/>
      <c r="AP87" s="275"/>
    </row>
    <row r="88" spans="1:42" s="214" customFormat="1" x14ac:dyDescent="0.3">
      <c r="A88" s="276">
        <v>42863</v>
      </c>
      <c r="B88" s="198"/>
      <c r="C88" s="199"/>
      <c r="D88" s="199"/>
      <c r="E88" s="155"/>
      <c r="F88" s="155"/>
      <c r="G88" s="155"/>
      <c r="H88" s="277">
        <v>232.52</v>
      </c>
      <c r="I88" s="277">
        <v>234.27</v>
      </c>
      <c r="J88" s="277">
        <v>233.33</v>
      </c>
      <c r="K88" s="155"/>
      <c r="L88" s="155"/>
      <c r="M88" s="155"/>
      <c r="N88" s="155"/>
      <c r="O88" s="155"/>
      <c r="P88" s="155"/>
      <c r="Q88" s="251">
        <v>229</v>
      </c>
      <c r="R88" s="251">
        <v>239</v>
      </c>
      <c r="S88" s="155">
        <f t="shared" si="11"/>
        <v>233.33</v>
      </c>
      <c r="T88" s="280"/>
      <c r="U88" s="200"/>
      <c r="V88" s="155"/>
      <c r="W88" s="155">
        <v>0.39</v>
      </c>
      <c r="X88" s="155"/>
      <c r="Y88" s="155"/>
      <c r="Z88" s="250">
        <v>2</v>
      </c>
      <c r="AA88" s="155">
        <f t="shared" si="12"/>
        <v>0.39</v>
      </c>
      <c r="AB88" s="209"/>
      <c r="AC88" s="278"/>
      <c r="AD88" s="155"/>
      <c r="AE88" s="155">
        <v>-41</v>
      </c>
      <c r="AF88" s="155"/>
      <c r="AH88" s="258">
        <v>20</v>
      </c>
      <c r="AI88" s="259">
        <v>1075</v>
      </c>
      <c r="AJ88" s="260">
        <v>1075</v>
      </c>
      <c r="AK88" s="260">
        <v>1075</v>
      </c>
      <c r="AL88" s="260">
        <v>1075</v>
      </c>
      <c r="AM88" s="261">
        <v>1075</v>
      </c>
      <c r="AN88" s="281"/>
      <c r="AO88" s="267"/>
      <c r="AP88" s="275"/>
    </row>
    <row r="89" spans="1:42" x14ac:dyDescent="0.3">
      <c r="A89" s="284">
        <v>42877</v>
      </c>
      <c r="B89" s="285"/>
      <c r="C89" s="286"/>
      <c r="D89" s="286"/>
      <c r="E89" s="214"/>
      <c r="F89" s="214"/>
      <c r="G89" s="214"/>
      <c r="H89" s="287">
        <v>235.67</v>
      </c>
      <c r="I89" s="287">
        <v>236.48</v>
      </c>
      <c r="J89" s="287">
        <v>235.97</v>
      </c>
      <c r="K89" s="214"/>
      <c r="L89" s="214"/>
      <c r="M89" s="214"/>
      <c r="N89" s="214"/>
      <c r="O89" s="214"/>
      <c r="P89" s="214"/>
      <c r="Q89" s="251">
        <v>229</v>
      </c>
      <c r="R89" s="251">
        <v>239</v>
      </c>
      <c r="S89" s="214">
        <f t="shared" si="11"/>
        <v>235.97</v>
      </c>
      <c r="T89" s="288"/>
      <c r="U89" s="210"/>
      <c r="V89" s="214"/>
      <c r="W89" s="214">
        <v>0.17</v>
      </c>
      <c r="X89" s="214"/>
      <c r="Y89" s="214"/>
      <c r="Z89" s="250">
        <v>2</v>
      </c>
      <c r="AA89" s="214">
        <f t="shared" si="12"/>
        <v>0.17</v>
      </c>
      <c r="AB89" s="215"/>
      <c r="AC89" s="275"/>
      <c r="AD89" s="214"/>
      <c r="AE89" s="214">
        <v>-14</v>
      </c>
      <c r="AF89" s="214"/>
      <c r="AG89" s="214"/>
      <c r="AH89" s="258">
        <v>20</v>
      </c>
      <c r="AI89" s="259">
        <v>1075</v>
      </c>
      <c r="AJ89" s="260">
        <v>1075</v>
      </c>
      <c r="AK89" s="260">
        <v>1075</v>
      </c>
      <c r="AL89" s="260">
        <v>1075</v>
      </c>
      <c r="AM89" s="261">
        <v>1075</v>
      </c>
      <c r="AN89" s="281"/>
      <c r="AO89" s="267"/>
    </row>
    <row r="90" spans="1:42" x14ac:dyDescent="0.3">
      <c r="A90" s="284">
        <v>42883</v>
      </c>
      <c r="B90" s="285"/>
      <c r="C90" s="286"/>
      <c r="D90" s="286"/>
      <c r="E90" s="214"/>
      <c r="F90" s="214"/>
      <c r="G90" s="214"/>
      <c r="H90" s="287">
        <v>228.18</v>
      </c>
      <c r="I90" s="287">
        <v>230.27</v>
      </c>
      <c r="J90" s="287">
        <v>229.09</v>
      </c>
      <c r="K90" s="214"/>
      <c r="L90" s="214"/>
      <c r="M90" s="214"/>
      <c r="N90" s="214"/>
      <c r="O90" s="214"/>
      <c r="P90" s="214"/>
      <c r="Q90" s="251">
        <v>229</v>
      </c>
      <c r="R90" s="251">
        <v>239</v>
      </c>
      <c r="S90" s="214">
        <f t="shared" si="11"/>
        <v>229.09</v>
      </c>
      <c r="T90" s="288"/>
      <c r="U90" s="210"/>
      <c r="V90" s="214"/>
      <c r="W90" s="214">
        <v>0.45</v>
      </c>
      <c r="X90" s="214"/>
      <c r="Y90" s="214"/>
      <c r="Z90" s="250">
        <v>2</v>
      </c>
      <c r="AA90" s="214">
        <f t="shared" si="12"/>
        <v>0.45</v>
      </c>
      <c r="AB90" s="215"/>
      <c r="AC90" s="275"/>
      <c r="AD90" s="214"/>
      <c r="AE90" s="214">
        <v>-20</v>
      </c>
      <c r="AF90" s="214"/>
      <c r="AG90" s="214"/>
      <c r="AH90" s="258">
        <v>20</v>
      </c>
      <c r="AI90" s="259">
        <v>1075</v>
      </c>
      <c r="AJ90" s="260">
        <v>1075</v>
      </c>
      <c r="AK90" s="260">
        <v>1075</v>
      </c>
      <c r="AL90" s="260">
        <v>1075</v>
      </c>
      <c r="AM90" s="261">
        <v>1075</v>
      </c>
      <c r="AN90" s="281"/>
      <c r="AO90" s="267"/>
    </row>
    <row r="91" spans="1:42" x14ac:dyDescent="0.3">
      <c r="A91" s="284">
        <v>42913</v>
      </c>
      <c r="B91" s="285"/>
      <c r="C91" s="286"/>
      <c r="D91" s="286"/>
      <c r="E91" s="214"/>
      <c r="F91" s="214"/>
      <c r="G91" s="214"/>
      <c r="H91" s="287">
        <v>239.83</v>
      </c>
      <c r="I91" s="287">
        <v>240.46</v>
      </c>
      <c r="J91" s="287">
        <v>240.16</v>
      </c>
      <c r="K91" s="214"/>
      <c r="L91" s="214"/>
      <c r="M91" s="214"/>
      <c r="N91" s="214"/>
      <c r="O91" s="214"/>
      <c r="P91" s="214"/>
      <c r="Q91" s="251">
        <v>229</v>
      </c>
      <c r="R91" s="251">
        <v>239</v>
      </c>
      <c r="S91" s="214">
        <f t="shared" si="11"/>
        <v>240.16</v>
      </c>
      <c r="T91" s="288"/>
      <c r="U91" s="210"/>
      <c r="V91" s="214"/>
      <c r="W91" s="214">
        <v>0.13</v>
      </c>
      <c r="X91" s="214"/>
      <c r="Y91" s="214"/>
      <c r="Z91" s="250">
        <v>2</v>
      </c>
      <c r="AA91" s="214">
        <f t="shared" si="12"/>
        <v>0.13</v>
      </c>
      <c r="AB91" s="215"/>
      <c r="AC91" s="275"/>
      <c r="AD91" s="214"/>
      <c r="AE91" s="214">
        <v>-6</v>
      </c>
      <c r="AF91" s="214"/>
      <c r="AG91" s="214"/>
      <c r="AH91" s="258">
        <v>20</v>
      </c>
      <c r="AI91" s="259">
        <v>1075</v>
      </c>
      <c r="AJ91" s="260">
        <v>1075</v>
      </c>
      <c r="AK91" s="260">
        <v>1075</v>
      </c>
      <c r="AL91" s="260">
        <v>1075</v>
      </c>
      <c r="AM91" s="261">
        <v>1075</v>
      </c>
      <c r="AN91" s="281"/>
      <c r="AO91" s="267"/>
    </row>
    <row r="92" spans="1:42" x14ac:dyDescent="0.3">
      <c r="A92" s="284">
        <v>42927</v>
      </c>
      <c r="B92" s="285"/>
      <c r="C92" s="286"/>
      <c r="D92" s="286"/>
      <c r="E92" s="214"/>
      <c r="F92" s="214"/>
      <c r="G92" s="214"/>
      <c r="H92" s="287">
        <v>229.78</v>
      </c>
      <c r="I92" s="287">
        <v>231.28</v>
      </c>
      <c r="J92" s="287">
        <v>230.2</v>
      </c>
      <c r="K92" s="214"/>
      <c r="L92" s="214"/>
      <c r="M92" s="214"/>
      <c r="N92" s="214"/>
      <c r="O92" s="214"/>
      <c r="P92" s="214"/>
      <c r="Q92" s="251">
        <v>229</v>
      </c>
      <c r="R92" s="251">
        <v>239</v>
      </c>
      <c r="S92" s="214">
        <f t="shared" si="11"/>
        <v>230.2</v>
      </c>
      <c r="T92" s="288"/>
      <c r="U92" s="210"/>
      <c r="V92" s="214"/>
      <c r="W92" s="214">
        <v>0.32</v>
      </c>
      <c r="X92" s="214"/>
      <c r="Y92" s="214"/>
      <c r="Z92" s="250">
        <v>2</v>
      </c>
      <c r="AA92" s="214">
        <f t="shared" si="12"/>
        <v>0.32</v>
      </c>
      <c r="AB92" s="215"/>
      <c r="AC92" s="275"/>
      <c r="AD92" s="214"/>
      <c r="AE92" s="214">
        <v>-17</v>
      </c>
      <c r="AF92" s="214"/>
      <c r="AG92" s="214"/>
      <c r="AH92" s="258">
        <v>20</v>
      </c>
      <c r="AI92" s="259">
        <v>1075</v>
      </c>
      <c r="AJ92" s="260">
        <v>1075</v>
      </c>
      <c r="AK92" s="260">
        <v>1075</v>
      </c>
      <c r="AL92" s="260">
        <v>1075</v>
      </c>
      <c r="AM92" s="261">
        <v>1075</v>
      </c>
      <c r="AN92" s="281"/>
      <c r="AO92" s="267"/>
    </row>
    <row r="93" spans="1:42" x14ac:dyDescent="0.3">
      <c r="A93" s="284">
        <v>42940</v>
      </c>
      <c r="B93" s="285"/>
      <c r="C93" s="286"/>
      <c r="D93" s="286"/>
      <c r="E93" s="214"/>
      <c r="F93" s="214"/>
      <c r="G93" s="214"/>
      <c r="H93" s="287">
        <v>230.71</v>
      </c>
      <c r="I93" s="287">
        <v>231.67</v>
      </c>
      <c r="J93" s="287">
        <v>231.02</v>
      </c>
      <c r="K93" s="214"/>
      <c r="L93" s="214"/>
      <c r="M93" s="214"/>
      <c r="N93" s="214"/>
      <c r="O93" s="214"/>
      <c r="P93" s="214"/>
      <c r="Q93" s="251">
        <v>229</v>
      </c>
      <c r="R93" s="251">
        <v>239</v>
      </c>
      <c r="S93" s="214">
        <f t="shared" si="11"/>
        <v>231.02</v>
      </c>
      <c r="T93" s="288"/>
      <c r="U93" s="210"/>
      <c r="V93" s="214"/>
      <c r="W93" s="214">
        <v>0.2</v>
      </c>
      <c r="X93" s="214"/>
      <c r="Y93" s="214"/>
      <c r="Z93" s="250">
        <v>2</v>
      </c>
      <c r="AA93" s="214">
        <f t="shared" si="12"/>
        <v>0.2</v>
      </c>
      <c r="AB93" s="215"/>
      <c r="AC93" s="275"/>
      <c r="AD93" s="214"/>
      <c r="AE93" s="214">
        <v>-10</v>
      </c>
      <c r="AF93" s="214"/>
      <c r="AG93" s="214"/>
      <c r="AH93" s="258">
        <v>20</v>
      </c>
      <c r="AI93" s="259">
        <v>1075</v>
      </c>
      <c r="AJ93" s="260">
        <v>1075</v>
      </c>
      <c r="AK93" s="260">
        <v>1075</v>
      </c>
      <c r="AL93" s="260">
        <v>1075</v>
      </c>
      <c r="AM93" s="261">
        <v>1075</v>
      </c>
      <c r="AN93" s="281"/>
      <c r="AO93" s="267"/>
    </row>
    <row r="94" spans="1:42" x14ac:dyDescent="0.3">
      <c r="A94" s="284">
        <v>42955</v>
      </c>
      <c r="B94" s="285"/>
      <c r="C94" s="286"/>
      <c r="D94" s="286"/>
      <c r="E94" s="214"/>
      <c r="F94" s="214"/>
      <c r="G94" s="214"/>
      <c r="H94" s="287">
        <v>230.85</v>
      </c>
      <c r="I94" s="287">
        <v>232.03</v>
      </c>
      <c r="J94" s="287">
        <v>231.52</v>
      </c>
      <c r="K94" s="214"/>
      <c r="L94" s="214"/>
      <c r="M94" s="214"/>
      <c r="N94" s="214"/>
      <c r="O94" s="214"/>
      <c r="P94" s="214"/>
      <c r="Q94" s="251">
        <v>229</v>
      </c>
      <c r="R94" s="251">
        <v>239</v>
      </c>
      <c r="S94" s="214">
        <f t="shared" si="11"/>
        <v>231.52</v>
      </c>
      <c r="T94" s="288"/>
      <c r="U94" s="210"/>
      <c r="V94" s="214"/>
      <c r="W94" s="214">
        <v>0.25</v>
      </c>
      <c r="X94" s="214"/>
      <c r="Y94" s="214"/>
      <c r="Z94" s="250">
        <v>2</v>
      </c>
      <c r="AA94" s="214">
        <f t="shared" si="12"/>
        <v>0.25</v>
      </c>
      <c r="AB94" s="215"/>
      <c r="AC94" s="275"/>
      <c r="AD94" s="214"/>
      <c r="AE94" s="214">
        <v>-12</v>
      </c>
      <c r="AF94" s="214"/>
      <c r="AG94" s="214"/>
      <c r="AH94" s="258">
        <v>20</v>
      </c>
      <c r="AI94" s="259">
        <v>1075</v>
      </c>
      <c r="AJ94" s="260">
        <v>1075</v>
      </c>
      <c r="AK94" s="260">
        <v>1075</v>
      </c>
      <c r="AL94" s="260">
        <v>1075</v>
      </c>
      <c r="AM94" s="261">
        <v>1075</v>
      </c>
      <c r="AN94" s="281"/>
      <c r="AO94" s="267"/>
    </row>
    <row r="95" spans="1:42" x14ac:dyDescent="0.3">
      <c r="A95" s="284">
        <v>42968</v>
      </c>
      <c r="B95" s="285"/>
      <c r="C95" s="286"/>
      <c r="D95" s="286"/>
      <c r="E95" s="214"/>
      <c r="F95" s="214"/>
      <c r="G95" s="214"/>
      <c r="H95" s="287">
        <v>231.12</v>
      </c>
      <c r="I95" s="287">
        <v>232.79</v>
      </c>
      <c r="J95" s="287">
        <v>231.89</v>
      </c>
      <c r="K95" s="214"/>
      <c r="L95" s="214"/>
      <c r="M95" s="214"/>
      <c r="N95" s="214"/>
      <c r="O95" s="214"/>
      <c r="P95" s="214"/>
      <c r="Q95" s="251">
        <v>229</v>
      </c>
      <c r="R95" s="251">
        <v>239</v>
      </c>
      <c r="S95" s="214">
        <f t="shared" si="11"/>
        <v>231.89</v>
      </c>
      <c r="T95" s="288"/>
      <c r="U95" s="210"/>
      <c r="V95" s="214"/>
      <c r="W95" s="214">
        <v>0.35</v>
      </c>
      <c r="X95" s="214"/>
      <c r="Y95" s="214"/>
      <c r="Z95" s="250">
        <v>2</v>
      </c>
      <c r="AA95" s="214">
        <f t="shared" si="12"/>
        <v>0.35</v>
      </c>
      <c r="AB95" s="215"/>
      <c r="AC95" s="275"/>
      <c r="AD95" s="214"/>
      <c r="AE95" s="214">
        <v>-10</v>
      </c>
      <c r="AF95" s="214"/>
      <c r="AG95" s="214"/>
      <c r="AH95" s="258">
        <v>20</v>
      </c>
      <c r="AI95" s="259">
        <v>1075</v>
      </c>
      <c r="AJ95" s="260">
        <v>1075</v>
      </c>
      <c r="AK95" s="260">
        <v>1075</v>
      </c>
      <c r="AL95" s="260">
        <v>1075</v>
      </c>
      <c r="AM95" s="261">
        <v>1075</v>
      </c>
      <c r="AN95" s="281"/>
      <c r="AO95" s="267"/>
    </row>
    <row r="96" spans="1:42" x14ac:dyDescent="0.3">
      <c r="A96" s="284">
        <v>42982</v>
      </c>
      <c r="B96" s="285"/>
      <c r="C96" s="286"/>
      <c r="D96" s="286"/>
      <c r="E96" s="214"/>
      <c r="F96" s="214"/>
      <c r="G96" s="214"/>
      <c r="H96" s="287">
        <v>231.61</v>
      </c>
      <c r="I96" s="287">
        <v>233.81</v>
      </c>
      <c r="J96" s="287">
        <v>232.52</v>
      </c>
      <c r="K96" s="214"/>
      <c r="L96" s="214"/>
      <c r="M96" s="214"/>
      <c r="N96" s="214"/>
      <c r="O96" s="214"/>
      <c r="P96" s="214"/>
      <c r="Q96" s="251">
        <v>229</v>
      </c>
      <c r="R96" s="251">
        <v>239</v>
      </c>
      <c r="S96" s="214">
        <f t="shared" si="11"/>
        <v>232.52</v>
      </c>
      <c r="T96" s="288"/>
      <c r="U96" s="210"/>
      <c r="V96" s="214"/>
      <c r="W96" s="214">
        <v>0.47</v>
      </c>
      <c r="X96" s="214"/>
      <c r="Y96" s="214"/>
      <c r="Z96" s="250">
        <v>2</v>
      </c>
      <c r="AA96" s="214">
        <f t="shared" si="12"/>
        <v>0.47</v>
      </c>
      <c r="AB96" s="215"/>
      <c r="AC96" s="275"/>
      <c r="AD96" s="214"/>
      <c r="AE96" s="214">
        <v>-20</v>
      </c>
      <c r="AF96" s="214"/>
      <c r="AG96" s="214"/>
      <c r="AH96" s="258">
        <v>20</v>
      </c>
      <c r="AI96" s="259">
        <v>1075</v>
      </c>
      <c r="AJ96" s="260">
        <v>1075</v>
      </c>
      <c r="AK96" s="260">
        <v>1075</v>
      </c>
      <c r="AL96" s="260">
        <v>1075</v>
      </c>
      <c r="AM96" s="261">
        <v>1075</v>
      </c>
      <c r="AN96" s="281"/>
      <c r="AO96" s="267"/>
    </row>
    <row r="97" spans="1:41" x14ac:dyDescent="0.3">
      <c r="A97" s="284">
        <v>43004</v>
      </c>
      <c r="B97" s="285"/>
      <c r="C97" s="286"/>
      <c r="D97" s="286"/>
      <c r="E97" s="214"/>
      <c r="F97" s="214"/>
      <c r="G97" s="214"/>
      <c r="H97" s="287">
        <v>229.53</v>
      </c>
      <c r="I97" s="287">
        <v>230.99</v>
      </c>
      <c r="J97" s="287">
        <v>230.11</v>
      </c>
      <c r="K97" s="214"/>
      <c r="L97" s="214"/>
      <c r="M97" s="214"/>
      <c r="N97" s="214"/>
      <c r="O97" s="214"/>
      <c r="P97" s="214"/>
      <c r="Q97" s="251">
        <v>229</v>
      </c>
      <c r="R97" s="251">
        <v>239</v>
      </c>
      <c r="S97" s="214">
        <f t="shared" si="11"/>
        <v>230.11</v>
      </c>
      <c r="T97" s="288"/>
      <c r="U97" s="210"/>
      <c r="V97" s="214"/>
      <c r="W97" s="214">
        <v>0.31</v>
      </c>
      <c r="X97" s="214"/>
      <c r="Y97" s="214"/>
      <c r="Z97" s="250">
        <v>2</v>
      </c>
      <c r="AA97" s="214">
        <f t="shared" si="12"/>
        <v>0.31</v>
      </c>
      <c r="AB97" s="215"/>
      <c r="AC97" s="275"/>
      <c r="AD97" s="214"/>
      <c r="AE97" s="214">
        <v>-10</v>
      </c>
      <c r="AF97" s="214"/>
      <c r="AG97" s="214"/>
      <c r="AH97" s="258">
        <v>20</v>
      </c>
      <c r="AI97" s="259">
        <v>1075</v>
      </c>
      <c r="AJ97" s="260">
        <v>1075</v>
      </c>
      <c r="AK97" s="260">
        <v>1075</v>
      </c>
      <c r="AL97" s="260">
        <v>1075</v>
      </c>
      <c r="AM97" s="261">
        <v>1075</v>
      </c>
      <c r="AN97" s="281"/>
      <c r="AO97" s="267"/>
    </row>
    <row r="98" spans="1:41" x14ac:dyDescent="0.3">
      <c r="A98" s="284">
        <v>43025</v>
      </c>
      <c r="B98" s="285"/>
      <c r="C98" s="286"/>
      <c r="D98" s="286"/>
      <c r="E98" s="214"/>
      <c r="F98" s="214"/>
      <c r="G98" s="214"/>
      <c r="H98" s="287">
        <v>231.06</v>
      </c>
      <c r="I98" s="287">
        <v>232.52</v>
      </c>
      <c r="J98" s="287">
        <v>231.78</v>
      </c>
      <c r="K98" s="214"/>
      <c r="L98" s="214"/>
      <c r="M98" s="214"/>
      <c r="N98" s="214"/>
      <c r="O98" s="214"/>
      <c r="P98" s="214"/>
      <c r="Q98" s="251">
        <v>229</v>
      </c>
      <c r="R98" s="251">
        <v>239</v>
      </c>
      <c r="S98" s="214">
        <f t="shared" si="11"/>
        <v>231.78</v>
      </c>
      <c r="T98" s="288"/>
      <c r="U98" s="210"/>
      <c r="V98" s="214"/>
      <c r="W98" s="214">
        <v>0.31</v>
      </c>
      <c r="X98" s="214"/>
      <c r="Y98" s="214"/>
      <c r="Z98" s="250">
        <v>2</v>
      </c>
      <c r="AA98" s="214">
        <f t="shared" si="12"/>
        <v>0.31</v>
      </c>
      <c r="AB98" s="215"/>
      <c r="AC98" s="275"/>
      <c r="AD98" s="214"/>
      <c r="AE98" s="214">
        <v>-6</v>
      </c>
      <c r="AF98" s="214"/>
      <c r="AG98" s="214"/>
      <c r="AH98" s="258">
        <v>20</v>
      </c>
      <c r="AI98" s="259">
        <v>1075</v>
      </c>
      <c r="AJ98" s="260">
        <v>1075</v>
      </c>
      <c r="AK98" s="260">
        <v>1075</v>
      </c>
      <c r="AL98" s="260">
        <v>1075</v>
      </c>
      <c r="AM98" s="261">
        <v>1075</v>
      </c>
      <c r="AN98" s="281"/>
      <c r="AO98" s="267"/>
    </row>
    <row r="99" spans="1:41" x14ac:dyDescent="0.3">
      <c r="A99" s="284">
        <v>43031</v>
      </c>
      <c r="B99" s="285"/>
      <c r="C99" s="286"/>
      <c r="D99" s="286"/>
      <c r="E99" s="214"/>
      <c r="F99" s="214"/>
      <c r="G99" s="214"/>
      <c r="H99" s="287">
        <v>229.74</v>
      </c>
      <c r="I99" s="287">
        <v>231.34</v>
      </c>
      <c r="J99" s="287">
        <v>230.49</v>
      </c>
      <c r="K99" s="214"/>
      <c r="L99" s="214"/>
      <c r="M99" s="214"/>
      <c r="N99" s="214"/>
      <c r="O99" s="214"/>
      <c r="P99" s="214"/>
      <c r="Q99" s="251">
        <v>229</v>
      </c>
      <c r="R99" s="251">
        <v>239</v>
      </c>
      <c r="S99" s="214">
        <f t="shared" si="11"/>
        <v>230.49</v>
      </c>
      <c r="T99" s="288"/>
      <c r="U99" s="210"/>
      <c r="V99" s="214"/>
      <c r="W99" s="214">
        <v>0.34</v>
      </c>
      <c r="X99" s="214"/>
      <c r="Y99" s="214"/>
      <c r="Z99" s="250">
        <v>2</v>
      </c>
      <c r="AA99" s="214">
        <f t="shared" si="12"/>
        <v>0.34</v>
      </c>
      <c r="AB99" s="215"/>
      <c r="AC99" s="275"/>
      <c r="AD99" s="214"/>
      <c r="AE99" s="214">
        <v>-10</v>
      </c>
      <c r="AF99" s="214"/>
      <c r="AG99" s="214"/>
      <c r="AH99" s="258">
        <v>20</v>
      </c>
      <c r="AI99" s="259">
        <v>1075</v>
      </c>
      <c r="AJ99" s="260">
        <v>1075</v>
      </c>
      <c r="AK99" s="260">
        <v>1075</v>
      </c>
      <c r="AL99" s="260">
        <v>1075</v>
      </c>
      <c r="AM99" s="261">
        <v>1075</v>
      </c>
      <c r="AN99" s="281"/>
      <c r="AO99" s="267"/>
    </row>
    <row r="100" spans="1:41" x14ac:dyDescent="0.3">
      <c r="A100" s="284">
        <v>43040</v>
      </c>
      <c r="B100" s="285"/>
      <c r="C100" s="286"/>
      <c r="D100" s="286"/>
      <c r="E100" s="214"/>
      <c r="F100" s="214"/>
      <c r="G100" s="214"/>
      <c r="H100" s="287">
        <v>234.37</v>
      </c>
      <c r="I100" s="287">
        <v>238.88</v>
      </c>
      <c r="J100" s="287">
        <v>235.85</v>
      </c>
      <c r="K100" s="214"/>
      <c r="L100" s="214"/>
      <c r="M100" s="214"/>
      <c r="N100" s="214"/>
      <c r="O100" s="214"/>
      <c r="P100" s="214"/>
      <c r="Q100" s="251">
        <v>229</v>
      </c>
      <c r="R100" s="251">
        <v>239</v>
      </c>
      <c r="S100" s="214">
        <f t="shared" si="11"/>
        <v>235.85</v>
      </c>
      <c r="T100" s="288"/>
      <c r="U100" s="210"/>
      <c r="V100" s="214"/>
      <c r="W100" s="214">
        <v>0.84</v>
      </c>
      <c r="X100" s="214"/>
      <c r="Y100" s="214"/>
      <c r="Z100" s="250">
        <v>2</v>
      </c>
      <c r="AA100" s="214">
        <f t="shared" si="12"/>
        <v>0.84</v>
      </c>
      <c r="AB100" s="215"/>
      <c r="AC100" s="275"/>
      <c r="AD100" s="214"/>
      <c r="AE100" s="214">
        <v>-9</v>
      </c>
      <c r="AF100" s="214"/>
      <c r="AG100" s="214"/>
      <c r="AH100" s="258">
        <v>20</v>
      </c>
      <c r="AI100" s="259">
        <v>1075</v>
      </c>
      <c r="AJ100" s="260">
        <v>1075</v>
      </c>
      <c r="AK100" s="260">
        <v>1075</v>
      </c>
      <c r="AL100" s="260">
        <v>1075</v>
      </c>
      <c r="AM100" s="261">
        <v>1075</v>
      </c>
      <c r="AN100" s="281"/>
      <c r="AO100" s="267"/>
    </row>
    <row r="101" spans="1:41" x14ac:dyDescent="0.3">
      <c r="A101" s="284">
        <v>43045</v>
      </c>
      <c r="B101" s="285"/>
      <c r="C101" s="286"/>
      <c r="D101" s="286"/>
      <c r="E101" s="214"/>
      <c r="F101" s="214"/>
      <c r="G101" s="214"/>
      <c r="H101" s="287">
        <v>234.07</v>
      </c>
      <c r="I101" s="287">
        <v>235.99</v>
      </c>
      <c r="J101" s="287">
        <v>234.72</v>
      </c>
      <c r="K101" s="214"/>
      <c r="L101" s="214"/>
      <c r="M101" s="214"/>
      <c r="N101" s="214"/>
      <c r="O101" s="214"/>
      <c r="P101" s="214"/>
      <c r="Q101" s="251">
        <v>229</v>
      </c>
      <c r="R101" s="251">
        <v>239</v>
      </c>
      <c r="S101" s="214">
        <f t="shared" si="11"/>
        <v>234.72</v>
      </c>
      <c r="T101" s="288"/>
      <c r="U101" s="210"/>
      <c r="V101" s="214"/>
      <c r="W101" s="214">
        <v>0.4</v>
      </c>
      <c r="X101" s="214"/>
      <c r="Y101" s="214"/>
      <c r="Z101" s="250">
        <v>2</v>
      </c>
      <c r="AA101" s="214">
        <f t="shared" si="12"/>
        <v>0.4</v>
      </c>
      <c r="AB101" s="215"/>
      <c r="AC101" s="275"/>
      <c r="AD101" s="214"/>
      <c r="AE101" s="214">
        <v>-8</v>
      </c>
      <c r="AF101" s="214"/>
      <c r="AG101" s="214"/>
      <c r="AH101" s="258">
        <v>20</v>
      </c>
      <c r="AI101" s="259">
        <v>1075</v>
      </c>
      <c r="AJ101" s="260">
        <v>1075</v>
      </c>
      <c r="AK101" s="260">
        <v>1075</v>
      </c>
      <c r="AL101" s="260">
        <v>1075</v>
      </c>
      <c r="AM101" s="261">
        <v>1075</v>
      </c>
      <c r="AN101" s="281"/>
      <c r="AO101" s="267"/>
    </row>
    <row r="102" spans="1:41" x14ac:dyDescent="0.3">
      <c r="A102" s="284">
        <v>43052</v>
      </c>
      <c r="B102" s="285"/>
      <c r="C102" s="286"/>
      <c r="D102" s="286"/>
      <c r="E102" s="214"/>
      <c r="F102" s="214"/>
      <c r="G102" s="214"/>
      <c r="H102" s="287">
        <v>235.96</v>
      </c>
      <c r="I102" s="287">
        <v>236.83</v>
      </c>
      <c r="J102" s="287">
        <v>236.34</v>
      </c>
      <c r="K102" s="214"/>
      <c r="L102" s="214"/>
      <c r="M102" s="214"/>
      <c r="N102" s="214"/>
      <c r="O102" s="214"/>
      <c r="P102" s="214"/>
      <c r="Q102" s="251">
        <v>229</v>
      </c>
      <c r="R102" s="251">
        <v>239</v>
      </c>
      <c r="S102" s="214">
        <f t="shared" si="11"/>
        <v>236.34</v>
      </c>
      <c r="T102" s="288"/>
      <c r="U102" s="210"/>
      <c r="V102" s="214"/>
      <c r="W102" s="214">
        <v>0.18</v>
      </c>
      <c r="X102" s="214"/>
      <c r="Y102" s="214"/>
      <c r="Z102" s="250">
        <v>2</v>
      </c>
      <c r="AA102" s="214">
        <f t="shared" si="12"/>
        <v>0.18</v>
      </c>
      <c r="AB102" s="215"/>
      <c r="AC102" s="275"/>
      <c r="AD102" s="214"/>
      <c r="AE102" s="214">
        <v>-26</v>
      </c>
      <c r="AF102" s="214"/>
      <c r="AG102" s="214"/>
      <c r="AH102" s="258">
        <v>20</v>
      </c>
      <c r="AI102" s="259">
        <v>1075</v>
      </c>
      <c r="AJ102" s="260">
        <v>1075</v>
      </c>
      <c r="AK102" s="260">
        <v>1075</v>
      </c>
      <c r="AL102" s="260">
        <v>1075</v>
      </c>
      <c r="AM102" s="261">
        <v>1075</v>
      </c>
      <c r="AN102" s="281"/>
      <c r="AO102" s="267"/>
    </row>
    <row r="103" spans="1:41" x14ac:dyDescent="0.3">
      <c r="A103" s="284">
        <v>43057</v>
      </c>
      <c r="B103" s="285"/>
      <c r="C103" s="286"/>
      <c r="D103" s="286"/>
      <c r="E103" s="214"/>
      <c r="F103" s="214"/>
      <c r="G103" s="214"/>
      <c r="H103" s="287">
        <v>234.13</v>
      </c>
      <c r="I103" s="287">
        <v>239.59</v>
      </c>
      <c r="J103" s="287">
        <v>235.19</v>
      </c>
      <c r="K103" s="214"/>
      <c r="L103" s="214"/>
      <c r="M103" s="214"/>
      <c r="N103" s="214"/>
      <c r="O103" s="214"/>
      <c r="P103" s="214"/>
      <c r="Q103" s="251">
        <v>229</v>
      </c>
      <c r="R103" s="251">
        <v>239</v>
      </c>
      <c r="S103" s="214">
        <f t="shared" si="11"/>
        <v>235.19</v>
      </c>
      <c r="T103" s="288"/>
      <c r="U103" s="210"/>
      <c r="V103" s="214"/>
      <c r="W103" s="214">
        <v>1.61</v>
      </c>
      <c r="X103" s="214"/>
      <c r="Y103" s="214"/>
      <c r="Z103" s="250">
        <v>2</v>
      </c>
      <c r="AA103" s="214">
        <f t="shared" si="12"/>
        <v>1.61</v>
      </c>
      <c r="AB103" s="215"/>
      <c r="AC103" s="275"/>
      <c r="AD103" s="214"/>
      <c r="AE103" s="214">
        <v>-12</v>
      </c>
      <c r="AF103" s="214"/>
      <c r="AG103" s="214"/>
      <c r="AH103" s="258">
        <v>20</v>
      </c>
      <c r="AI103" s="259">
        <v>1075</v>
      </c>
      <c r="AJ103" s="260">
        <v>1075</v>
      </c>
      <c r="AK103" s="260">
        <v>1075</v>
      </c>
      <c r="AL103" s="260">
        <v>1075</v>
      </c>
      <c r="AM103" s="261">
        <v>1075</v>
      </c>
      <c r="AN103" s="281"/>
      <c r="AO103" s="267"/>
    </row>
    <row r="104" spans="1:41" x14ac:dyDescent="0.3">
      <c r="A104" s="284">
        <v>43073</v>
      </c>
      <c r="B104" s="285"/>
      <c r="C104" s="286"/>
      <c r="D104" s="286"/>
      <c r="E104" s="214"/>
      <c r="F104" s="214"/>
      <c r="G104" s="214"/>
      <c r="H104" s="287">
        <v>226.9</v>
      </c>
      <c r="I104" s="287">
        <v>229.02</v>
      </c>
      <c r="J104" s="287">
        <v>227.72</v>
      </c>
      <c r="K104" s="214"/>
      <c r="L104" s="214"/>
      <c r="M104" s="214"/>
      <c r="N104" s="214"/>
      <c r="O104" s="214"/>
      <c r="P104" s="214"/>
      <c r="Q104" s="251">
        <v>229</v>
      </c>
      <c r="R104" s="251">
        <v>239</v>
      </c>
      <c r="S104" s="214">
        <f t="shared" si="11"/>
        <v>227.72</v>
      </c>
      <c r="T104" s="288"/>
      <c r="U104" s="210"/>
      <c r="V104" s="214"/>
      <c r="W104" s="214">
        <v>0.46</v>
      </c>
      <c r="X104" s="214"/>
      <c r="Y104" s="214"/>
      <c r="Z104" s="250">
        <v>2</v>
      </c>
      <c r="AA104" s="214">
        <f t="shared" si="12"/>
        <v>0.46</v>
      </c>
      <c r="AB104" s="215"/>
      <c r="AC104" s="275"/>
      <c r="AD104" s="214"/>
      <c r="AE104" s="214">
        <v>-20</v>
      </c>
      <c r="AF104" s="214"/>
      <c r="AG104" s="214"/>
      <c r="AH104" s="258">
        <v>20</v>
      </c>
      <c r="AI104" s="259">
        <v>1075</v>
      </c>
      <c r="AJ104" s="260">
        <v>1075</v>
      </c>
      <c r="AK104" s="260">
        <v>1075</v>
      </c>
      <c r="AL104" s="260">
        <v>1075</v>
      </c>
      <c r="AM104" s="261">
        <v>1075</v>
      </c>
      <c r="AN104" s="281"/>
      <c r="AO104" s="267"/>
    </row>
    <row r="105" spans="1:41" x14ac:dyDescent="0.3">
      <c r="A105" s="284">
        <v>43081</v>
      </c>
      <c r="B105" s="285"/>
      <c r="C105" s="286"/>
      <c r="D105" s="286"/>
      <c r="E105" s="214"/>
      <c r="F105" s="214"/>
      <c r="G105" s="214"/>
      <c r="H105" s="287">
        <v>230.62</v>
      </c>
      <c r="I105" s="287">
        <v>232.45</v>
      </c>
      <c r="J105" s="287">
        <v>231.35</v>
      </c>
      <c r="K105" s="214"/>
      <c r="L105" s="214"/>
      <c r="M105" s="214"/>
      <c r="N105" s="214"/>
      <c r="O105" s="214"/>
      <c r="P105" s="214"/>
      <c r="Q105" s="251">
        <v>229</v>
      </c>
      <c r="R105" s="251">
        <v>239</v>
      </c>
      <c r="S105" s="214">
        <f t="shared" si="11"/>
        <v>231.35</v>
      </c>
      <c r="T105" s="288"/>
      <c r="U105" s="210"/>
      <c r="V105" s="214"/>
      <c r="W105" s="214">
        <v>0.39</v>
      </c>
      <c r="X105" s="214"/>
      <c r="Y105" s="214"/>
      <c r="Z105" s="250">
        <v>2</v>
      </c>
      <c r="AA105" s="214">
        <f t="shared" si="12"/>
        <v>0.39</v>
      </c>
      <c r="AB105" s="215"/>
      <c r="AC105" s="275"/>
      <c r="AD105" s="214"/>
      <c r="AE105" s="214">
        <v>-31</v>
      </c>
      <c r="AF105" s="214"/>
      <c r="AG105" s="214"/>
      <c r="AH105" s="258">
        <v>20</v>
      </c>
      <c r="AI105" s="259">
        <v>1075</v>
      </c>
      <c r="AJ105" s="260">
        <v>1075</v>
      </c>
      <c r="AK105" s="260">
        <v>1075</v>
      </c>
      <c r="AL105" s="260">
        <v>1075</v>
      </c>
      <c r="AM105" s="261">
        <v>1075</v>
      </c>
      <c r="AN105" s="281"/>
      <c r="AO105" s="267"/>
    </row>
    <row r="106" spans="1:41" x14ac:dyDescent="0.3">
      <c r="A106" s="284">
        <v>43095</v>
      </c>
      <c r="B106" s="285"/>
      <c r="C106" s="286"/>
      <c r="D106" s="286"/>
      <c r="E106" s="214"/>
      <c r="F106" s="214"/>
      <c r="G106" s="214"/>
      <c r="H106" s="287">
        <v>229.63</v>
      </c>
      <c r="I106" s="287">
        <v>231.91</v>
      </c>
      <c r="J106" s="287">
        <v>230.22</v>
      </c>
      <c r="K106" s="214"/>
      <c r="L106" s="214"/>
      <c r="M106" s="214"/>
      <c r="N106" s="214"/>
      <c r="O106" s="214"/>
      <c r="P106" s="214"/>
      <c r="Q106" s="251">
        <v>229</v>
      </c>
      <c r="R106" s="251">
        <v>239</v>
      </c>
      <c r="S106" s="214">
        <f t="shared" si="11"/>
        <v>230.22</v>
      </c>
      <c r="T106" s="288"/>
      <c r="U106" s="210"/>
      <c r="V106" s="214"/>
      <c r="W106" s="214">
        <v>0.49</v>
      </c>
      <c r="X106" s="214"/>
      <c r="Y106" s="214"/>
      <c r="Z106" s="250">
        <v>2</v>
      </c>
      <c r="AA106" s="214">
        <f t="shared" si="12"/>
        <v>0.49</v>
      </c>
      <c r="AB106" s="215"/>
      <c r="AC106" s="275"/>
      <c r="AD106" s="214"/>
      <c r="AE106" s="214">
        <v>-7</v>
      </c>
      <c r="AF106" s="214"/>
      <c r="AG106" s="214"/>
      <c r="AH106" s="258">
        <v>20</v>
      </c>
      <c r="AI106" s="259">
        <v>1075</v>
      </c>
      <c r="AJ106" s="260">
        <v>1075</v>
      </c>
      <c r="AK106" s="260">
        <v>1075</v>
      </c>
      <c r="AL106" s="260">
        <v>1075</v>
      </c>
      <c r="AM106" s="261">
        <v>1075</v>
      </c>
      <c r="AN106" s="281"/>
      <c r="AO106" s="267"/>
    </row>
    <row r="107" spans="1:41" x14ac:dyDescent="0.3">
      <c r="A107" s="284">
        <v>43101</v>
      </c>
      <c r="B107" s="285"/>
      <c r="C107" s="286"/>
      <c r="D107" s="286"/>
      <c r="E107" s="214"/>
      <c r="F107" s="214"/>
      <c r="G107" s="214"/>
      <c r="H107" s="287">
        <v>227.88</v>
      </c>
      <c r="I107" s="287">
        <v>229.49</v>
      </c>
      <c r="J107" s="287">
        <v>228.65</v>
      </c>
      <c r="K107" s="214"/>
      <c r="L107" s="214"/>
      <c r="M107" s="214"/>
      <c r="N107" s="214"/>
      <c r="O107" s="214"/>
      <c r="P107" s="214"/>
      <c r="Q107" s="251">
        <v>229</v>
      </c>
      <c r="R107" s="251">
        <v>239</v>
      </c>
      <c r="S107" s="214">
        <f t="shared" si="11"/>
        <v>228.65</v>
      </c>
      <c r="T107" s="288"/>
      <c r="U107" s="210"/>
      <c r="V107" s="214"/>
      <c r="W107" s="214">
        <v>0.35</v>
      </c>
      <c r="X107" s="214"/>
      <c r="Y107" s="214"/>
      <c r="Z107" s="250">
        <v>2</v>
      </c>
      <c r="AA107" s="214">
        <f t="shared" si="12"/>
        <v>0.35</v>
      </c>
      <c r="AB107" s="215"/>
      <c r="AC107" s="275"/>
      <c r="AD107" s="214"/>
      <c r="AE107" s="214">
        <v>-5</v>
      </c>
      <c r="AF107" s="214"/>
      <c r="AG107" s="214"/>
      <c r="AH107" s="258">
        <v>20</v>
      </c>
      <c r="AI107" s="259">
        <v>1075</v>
      </c>
      <c r="AJ107" s="260">
        <v>1075</v>
      </c>
      <c r="AK107" s="260">
        <v>1075</v>
      </c>
      <c r="AL107" s="260">
        <v>1075</v>
      </c>
      <c r="AM107" s="261">
        <v>1075</v>
      </c>
      <c r="AN107" s="281"/>
      <c r="AO107" s="267"/>
    </row>
    <row r="108" spans="1:41" x14ac:dyDescent="0.3">
      <c r="A108" s="284">
        <v>43107</v>
      </c>
      <c r="B108" s="285"/>
      <c r="C108" s="286"/>
      <c r="D108" s="286"/>
      <c r="E108" s="214"/>
      <c r="F108" s="214"/>
      <c r="G108" s="214"/>
      <c r="H108" s="287">
        <v>229.9</v>
      </c>
      <c r="I108" s="287">
        <v>231.94</v>
      </c>
      <c r="J108" s="287">
        <v>231.18</v>
      </c>
      <c r="K108" s="214"/>
      <c r="L108" s="214"/>
      <c r="M108" s="214"/>
      <c r="N108" s="214"/>
      <c r="O108" s="214"/>
      <c r="P108" s="214"/>
      <c r="Q108" s="251">
        <v>229</v>
      </c>
      <c r="R108" s="251">
        <v>239</v>
      </c>
      <c r="S108" s="214">
        <f t="shared" si="11"/>
        <v>231.18</v>
      </c>
      <c r="T108" s="288"/>
      <c r="U108" s="210"/>
      <c r="V108" s="214"/>
      <c r="W108" s="214">
        <v>0.44</v>
      </c>
      <c r="X108" s="214"/>
      <c r="Y108" s="214"/>
      <c r="Z108" s="250">
        <v>2</v>
      </c>
      <c r="AA108" s="214">
        <f t="shared" si="12"/>
        <v>0.44</v>
      </c>
      <c r="AB108" s="215"/>
      <c r="AC108" s="275"/>
      <c r="AD108" s="214"/>
      <c r="AE108" s="214">
        <v>-8</v>
      </c>
      <c r="AF108" s="214"/>
      <c r="AG108" s="214"/>
      <c r="AH108" s="258">
        <v>20</v>
      </c>
      <c r="AI108" s="259">
        <v>1075</v>
      </c>
      <c r="AJ108" s="260">
        <v>1075</v>
      </c>
      <c r="AK108" s="260">
        <v>1075</v>
      </c>
      <c r="AL108" s="260">
        <v>1075</v>
      </c>
      <c r="AM108" s="261">
        <v>1075</v>
      </c>
      <c r="AN108" s="281"/>
      <c r="AO108" s="267"/>
    </row>
    <row r="109" spans="1:41" x14ac:dyDescent="0.3">
      <c r="A109" s="284">
        <v>43115</v>
      </c>
      <c r="B109" s="285"/>
      <c r="C109" s="286"/>
      <c r="D109" s="286"/>
      <c r="E109" s="214"/>
      <c r="F109" s="214"/>
      <c r="G109" s="214"/>
      <c r="H109" s="287">
        <v>230.73</v>
      </c>
      <c r="I109" s="287">
        <v>232.73</v>
      </c>
      <c r="J109" s="287">
        <v>231.64</v>
      </c>
      <c r="K109" s="214"/>
      <c r="L109" s="214"/>
      <c r="M109" s="214"/>
      <c r="N109" s="214"/>
      <c r="O109" s="214"/>
      <c r="P109" s="214"/>
      <c r="Q109" s="251">
        <v>229</v>
      </c>
      <c r="R109" s="251">
        <v>239</v>
      </c>
      <c r="S109" s="214">
        <f t="shared" si="11"/>
        <v>231.64</v>
      </c>
      <c r="T109" s="288"/>
      <c r="U109" s="210"/>
      <c r="V109" s="214"/>
      <c r="W109" s="214">
        <v>0.43</v>
      </c>
      <c r="X109" s="214"/>
      <c r="Y109" s="214"/>
      <c r="Z109" s="250">
        <v>2</v>
      </c>
      <c r="AA109" s="214">
        <f t="shared" si="12"/>
        <v>0.43</v>
      </c>
      <c r="AB109" s="215"/>
      <c r="AC109" s="275"/>
      <c r="AD109" s="214"/>
      <c r="AE109" s="214">
        <v>-10</v>
      </c>
      <c r="AF109" s="214"/>
      <c r="AG109" s="214"/>
      <c r="AH109" s="258">
        <v>20</v>
      </c>
      <c r="AI109" s="259">
        <v>1075</v>
      </c>
      <c r="AJ109" s="260">
        <v>1075</v>
      </c>
      <c r="AK109" s="260">
        <v>1075</v>
      </c>
      <c r="AL109" s="260">
        <v>1075</v>
      </c>
      <c r="AM109" s="261">
        <v>1075</v>
      </c>
      <c r="AN109" s="281"/>
      <c r="AO109" s="267"/>
    </row>
    <row r="110" spans="1:41" x14ac:dyDescent="0.3">
      <c r="A110" s="284">
        <v>43120</v>
      </c>
      <c r="B110" s="285"/>
      <c r="C110" s="286"/>
      <c r="D110" s="286"/>
      <c r="E110" s="214"/>
      <c r="F110" s="214"/>
      <c r="G110" s="214"/>
      <c r="H110" s="287">
        <v>230.14</v>
      </c>
      <c r="I110" s="287">
        <v>234.67</v>
      </c>
      <c r="J110" s="287">
        <v>231.48</v>
      </c>
      <c r="K110" s="214"/>
      <c r="L110" s="214"/>
      <c r="M110" s="214"/>
      <c r="N110" s="214"/>
      <c r="O110" s="214"/>
      <c r="P110" s="214"/>
      <c r="Q110" s="251">
        <v>229</v>
      </c>
      <c r="R110" s="251">
        <v>239</v>
      </c>
      <c r="S110" s="214">
        <f t="shared" si="11"/>
        <v>231.48</v>
      </c>
      <c r="T110" s="288"/>
      <c r="U110" s="210"/>
      <c r="V110" s="214"/>
      <c r="W110" s="214">
        <v>0.97</v>
      </c>
      <c r="X110" s="214"/>
      <c r="Y110" s="214"/>
      <c r="Z110" s="250">
        <v>2</v>
      </c>
      <c r="AA110" s="214">
        <f t="shared" si="12"/>
        <v>0.97</v>
      </c>
      <c r="AB110" s="215"/>
      <c r="AC110" s="275"/>
      <c r="AD110" s="214"/>
      <c r="AE110" s="214">
        <v>-10</v>
      </c>
      <c r="AF110" s="214"/>
      <c r="AG110" s="214"/>
      <c r="AH110" s="258">
        <v>20</v>
      </c>
      <c r="AI110" s="259">
        <v>1075</v>
      </c>
      <c r="AJ110" s="260">
        <v>1075</v>
      </c>
      <c r="AK110" s="260">
        <v>1075</v>
      </c>
      <c r="AL110" s="260">
        <v>1075</v>
      </c>
      <c r="AM110" s="261">
        <v>1075</v>
      </c>
      <c r="AN110" s="281"/>
      <c r="AO110" s="267"/>
    </row>
    <row r="111" spans="1:41" x14ac:dyDescent="0.3">
      <c r="A111" s="284">
        <v>43127</v>
      </c>
      <c r="B111" s="285"/>
      <c r="C111" s="286"/>
      <c r="D111" s="286"/>
      <c r="E111" s="214"/>
      <c r="F111" s="214"/>
      <c r="G111" s="214"/>
      <c r="H111" s="287">
        <v>229.72</v>
      </c>
      <c r="I111" s="287">
        <v>231.83</v>
      </c>
      <c r="J111" s="287">
        <v>230.67</v>
      </c>
      <c r="K111" s="214"/>
      <c r="L111" s="214"/>
      <c r="M111" s="214"/>
      <c r="N111" s="214"/>
      <c r="O111" s="214"/>
      <c r="P111" s="214"/>
      <c r="Q111" s="251">
        <v>229</v>
      </c>
      <c r="R111" s="251">
        <v>239</v>
      </c>
      <c r="S111" s="214">
        <f t="shared" si="11"/>
        <v>230.67</v>
      </c>
      <c r="T111" s="288"/>
      <c r="U111" s="210"/>
      <c r="V111" s="214"/>
      <c r="W111" s="214">
        <v>0.45</v>
      </c>
      <c r="X111" s="214"/>
      <c r="Y111" s="214"/>
      <c r="Z111" s="250">
        <v>2</v>
      </c>
      <c r="AA111" s="214">
        <f t="shared" si="12"/>
        <v>0.45</v>
      </c>
      <c r="AB111" s="215"/>
      <c r="AC111" s="275"/>
      <c r="AD111" s="214"/>
      <c r="AE111" s="214">
        <v>-14</v>
      </c>
      <c r="AF111" s="214"/>
      <c r="AG111" s="214"/>
      <c r="AH111" s="258">
        <v>20</v>
      </c>
      <c r="AI111" s="259">
        <v>1075</v>
      </c>
      <c r="AJ111" s="260">
        <v>1075</v>
      </c>
      <c r="AK111" s="260">
        <v>1075</v>
      </c>
      <c r="AL111" s="260">
        <v>1075</v>
      </c>
      <c r="AM111" s="261">
        <v>1075</v>
      </c>
      <c r="AN111" s="281"/>
      <c r="AO111" s="267"/>
    </row>
    <row r="112" spans="1:41" x14ac:dyDescent="0.3">
      <c r="A112" s="284">
        <v>43146</v>
      </c>
      <c r="B112" s="285"/>
      <c r="C112" s="286"/>
      <c r="D112" s="286"/>
      <c r="E112" s="214"/>
      <c r="F112" s="214"/>
      <c r="G112" s="214"/>
      <c r="H112" s="287">
        <v>233.51</v>
      </c>
      <c r="I112" s="287">
        <v>235.04</v>
      </c>
      <c r="J112" s="287">
        <v>234.36</v>
      </c>
      <c r="K112" s="214"/>
      <c r="L112" s="214"/>
      <c r="M112" s="214"/>
      <c r="N112" s="214"/>
      <c r="O112" s="214"/>
      <c r="P112" s="214"/>
      <c r="Q112" s="251">
        <v>229</v>
      </c>
      <c r="R112" s="251">
        <v>239</v>
      </c>
      <c r="S112" s="214">
        <f t="shared" si="11"/>
        <v>234.36</v>
      </c>
      <c r="T112" s="288"/>
      <c r="U112" s="210"/>
      <c r="V112" s="214"/>
      <c r="W112" s="214">
        <v>0.32</v>
      </c>
      <c r="X112" s="214"/>
      <c r="Y112" s="214"/>
      <c r="Z112" s="250">
        <v>2</v>
      </c>
      <c r="AA112" s="214">
        <f t="shared" si="12"/>
        <v>0.32</v>
      </c>
      <c r="AB112" s="215"/>
      <c r="AC112" s="275"/>
      <c r="AD112" s="214"/>
      <c r="AE112" s="214">
        <v>-15</v>
      </c>
      <c r="AF112" s="214"/>
      <c r="AG112" s="214"/>
      <c r="AH112" s="258">
        <v>20</v>
      </c>
      <c r="AI112" s="259">
        <v>1075</v>
      </c>
      <c r="AJ112" s="260">
        <v>1075</v>
      </c>
      <c r="AK112" s="260">
        <v>1075</v>
      </c>
      <c r="AL112" s="260">
        <v>1075</v>
      </c>
      <c r="AM112" s="261">
        <v>1075</v>
      </c>
      <c r="AN112" s="281"/>
      <c r="AO112" s="267"/>
    </row>
    <row r="113" spans="1:41" x14ac:dyDescent="0.3">
      <c r="A113" s="284">
        <v>43146</v>
      </c>
      <c r="B113" s="285"/>
      <c r="C113" s="286"/>
      <c r="D113" s="286"/>
      <c r="E113" s="214"/>
      <c r="F113" s="214"/>
      <c r="G113" s="214"/>
      <c r="H113" s="287">
        <v>233.18</v>
      </c>
      <c r="I113" s="287">
        <v>236.98</v>
      </c>
      <c r="J113" s="287">
        <v>234.15</v>
      </c>
      <c r="K113" s="214"/>
      <c r="L113" s="214"/>
      <c r="M113" s="214"/>
      <c r="N113" s="214"/>
      <c r="O113" s="214"/>
      <c r="P113" s="214"/>
      <c r="Q113" s="251">
        <v>229</v>
      </c>
      <c r="R113" s="251">
        <v>239</v>
      </c>
      <c r="S113" s="214">
        <f t="shared" si="11"/>
        <v>234.15</v>
      </c>
      <c r="T113" s="288"/>
      <c r="U113" s="210"/>
      <c r="V113" s="214"/>
      <c r="W113" s="214">
        <v>0.8</v>
      </c>
      <c r="X113" s="214"/>
      <c r="Y113" s="214"/>
      <c r="Z113" s="250">
        <v>2</v>
      </c>
      <c r="AA113" s="214">
        <f t="shared" si="12"/>
        <v>0.8</v>
      </c>
      <c r="AB113" s="215"/>
      <c r="AC113" s="275"/>
      <c r="AD113" s="214"/>
      <c r="AE113" s="214">
        <v>-9</v>
      </c>
      <c r="AF113" s="214"/>
      <c r="AG113" s="214"/>
      <c r="AH113" s="258">
        <v>20</v>
      </c>
      <c r="AI113" s="259">
        <v>1075</v>
      </c>
      <c r="AJ113" s="260">
        <v>1075</v>
      </c>
      <c r="AK113" s="260">
        <v>1075</v>
      </c>
      <c r="AL113" s="260">
        <v>1075</v>
      </c>
      <c r="AM113" s="261">
        <v>1075</v>
      </c>
      <c r="AN113" s="281"/>
      <c r="AO113" s="267"/>
    </row>
    <row r="114" spans="1:41" x14ac:dyDescent="0.3">
      <c r="A114" s="284">
        <v>43157</v>
      </c>
      <c r="B114" s="285"/>
      <c r="C114" s="286"/>
      <c r="D114" s="286"/>
      <c r="E114" s="214"/>
      <c r="F114" s="214"/>
      <c r="G114" s="214"/>
      <c r="H114" s="287">
        <v>230.95</v>
      </c>
      <c r="I114" s="287">
        <v>232.61</v>
      </c>
      <c r="J114" s="287">
        <v>231.81</v>
      </c>
      <c r="K114" s="214"/>
      <c r="L114" s="214"/>
      <c r="M114" s="214"/>
      <c r="N114" s="214"/>
      <c r="O114" s="214"/>
      <c r="P114" s="214"/>
      <c r="Q114" s="251">
        <v>229</v>
      </c>
      <c r="R114" s="251">
        <v>239</v>
      </c>
      <c r="S114" s="214">
        <f t="shared" si="11"/>
        <v>231.81</v>
      </c>
      <c r="T114" s="288"/>
      <c r="U114" s="210"/>
      <c r="V114" s="214"/>
      <c r="W114" s="214">
        <v>0.35</v>
      </c>
      <c r="X114" s="214"/>
      <c r="Y114" s="214"/>
      <c r="Z114" s="250">
        <v>2</v>
      </c>
      <c r="AA114" s="214">
        <f t="shared" si="12"/>
        <v>0.35</v>
      </c>
      <c r="AB114" s="215"/>
      <c r="AC114" s="275"/>
      <c r="AD114" s="214"/>
      <c r="AE114" s="214">
        <v>-12</v>
      </c>
      <c r="AF114" s="214"/>
      <c r="AG114" s="214"/>
      <c r="AH114" s="258">
        <v>20</v>
      </c>
      <c r="AI114" s="259">
        <v>1075</v>
      </c>
      <c r="AJ114" s="260">
        <v>1075</v>
      </c>
      <c r="AK114" s="260">
        <v>1075</v>
      </c>
      <c r="AL114" s="260">
        <v>1075</v>
      </c>
      <c r="AM114" s="261">
        <v>1075</v>
      </c>
      <c r="AN114" s="281"/>
      <c r="AO114" s="267"/>
    </row>
    <row r="115" spans="1:41" x14ac:dyDescent="0.3">
      <c r="A115" s="284">
        <v>43159</v>
      </c>
      <c r="B115" s="285"/>
      <c r="C115" s="286"/>
      <c r="D115" s="286"/>
      <c r="E115" s="214"/>
      <c r="F115" s="214"/>
      <c r="G115" s="214"/>
      <c r="H115" s="287">
        <v>233.53</v>
      </c>
      <c r="I115" s="287">
        <v>234.57</v>
      </c>
      <c r="J115" s="287">
        <v>234.21</v>
      </c>
      <c r="K115" s="214"/>
      <c r="L115" s="214"/>
      <c r="M115" s="214"/>
      <c r="N115" s="214"/>
      <c r="O115" s="214"/>
      <c r="P115" s="214"/>
      <c r="Q115" s="251">
        <v>229</v>
      </c>
      <c r="R115" s="251">
        <v>239</v>
      </c>
      <c r="S115" s="214">
        <f t="shared" si="11"/>
        <v>234.21</v>
      </c>
      <c r="T115" s="288"/>
      <c r="U115" s="210"/>
      <c r="V115" s="214"/>
      <c r="W115" s="214">
        <v>0.21</v>
      </c>
      <c r="X115" s="214"/>
      <c r="Y115" s="214"/>
      <c r="Z115" s="250">
        <v>2</v>
      </c>
      <c r="AA115" s="214">
        <f t="shared" si="12"/>
        <v>0.21</v>
      </c>
      <c r="AB115" s="215"/>
      <c r="AC115" s="275"/>
      <c r="AD115" s="214"/>
      <c r="AE115" s="214">
        <v>-16</v>
      </c>
      <c r="AF115" s="214"/>
      <c r="AG115" s="214"/>
      <c r="AH115" s="258">
        <v>20</v>
      </c>
      <c r="AI115" s="259">
        <v>1075</v>
      </c>
      <c r="AJ115" s="260">
        <v>1075</v>
      </c>
      <c r="AK115" s="260">
        <v>1075</v>
      </c>
      <c r="AL115" s="260">
        <v>1075</v>
      </c>
      <c r="AM115" s="261">
        <v>1075</v>
      </c>
      <c r="AN115" s="281"/>
      <c r="AO115" s="267"/>
    </row>
    <row r="116" spans="1:41" x14ac:dyDescent="0.3">
      <c r="A116" s="284">
        <v>43167</v>
      </c>
      <c r="B116" s="285"/>
      <c r="C116" s="286"/>
      <c r="D116" s="286"/>
      <c r="E116" s="214"/>
      <c r="F116" s="214"/>
      <c r="G116" s="214"/>
      <c r="H116" s="287">
        <v>233.53</v>
      </c>
      <c r="I116" s="287">
        <v>236.58</v>
      </c>
      <c r="J116" s="287">
        <v>234.26</v>
      </c>
      <c r="K116" s="214"/>
      <c r="L116" s="214"/>
      <c r="M116" s="214"/>
      <c r="N116" s="214"/>
      <c r="O116" s="214"/>
      <c r="P116" s="214"/>
      <c r="Q116" s="251">
        <v>229</v>
      </c>
      <c r="R116" s="251">
        <v>239</v>
      </c>
      <c r="S116" s="214">
        <f t="shared" si="11"/>
        <v>234.26</v>
      </c>
      <c r="T116" s="288"/>
      <c r="U116" s="210"/>
      <c r="V116" s="214"/>
      <c r="W116" s="214">
        <v>0.64</v>
      </c>
      <c r="X116" s="214"/>
      <c r="Y116" s="214"/>
      <c r="Z116" s="250">
        <v>2</v>
      </c>
      <c r="AA116" s="214">
        <v>0.64</v>
      </c>
      <c r="AB116" s="215"/>
      <c r="AC116" s="275"/>
      <c r="AD116" s="214"/>
      <c r="AE116" s="214">
        <v>-2</v>
      </c>
      <c r="AF116" s="214"/>
      <c r="AG116" s="214"/>
      <c r="AH116" s="258">
        <v>20</v>
      </c>
      <c r="AI116" s="259">
        <v>1075</v>
      </c>
      <c r="AJ116" s="260">
        <v>1075</v>
      </c>
      <c r="AK116" s="260">
        <v>1075</v>
      </c>
      <c r="AL116" s="260">
        <v>1075</v>
      </c>
      <c r="AM116" s="261">
        <v>1075</v>
      </c>
      <c r="AN116" s="281"/>
      <c r="AO116" s="267"/>
    </row>
    <row r="117" spans="1:41" x14ac:dyDescent="0.3">
      <c r="A117" s="284">
        <v>43177</v>
      </c>
      <c r="B117" s="285"/>
      <c r="C117" s="286"/>
      <c r="D117" s="286"/>
      <c r="E117" s="214"/>
      <c r="F117" s="214"/>
      <c r="G117" s="214"/>
      <c r="H117" s="287">
        <v>233.42</v>
      </c>
      <c r="I117" s="287">
        <v>234.73</v>
      </c>
      <c r="J117" s="287">
        <v>234.08</v>
      </c>
      <c r="K117" s="214"/>
      <c r="L117" s="214"/>
      <c r="M117" s="214"/>
      <c r="N117" s="214"/>
      <c r="O117" s="214"/>
      <c r="P117" s="214"/>
      <c r="Q117" s="251">
        <v>229</v>
      </c>
      <c r="R117" s="251">
        <v>239</v>
      </c>
      <c r="S117" s="214">
        <f t="shared" si="11"/>
        <v>234.08</v>
      </c>
      <c r="T117" s="288"/>
      <c r="U117" s="210"/>
      <c r="V117" s="214"/>
      <c r="W117" s="214">
        <v>0.27</v>
      </c>
      <c r="X117" s="214"/>
      <c r="Y117" s="214"/>
      <c r="Z117" s="250">
        <v>2</v>
      </c>
      <c r="AA117" s="214">
        <v>0.27</v>
      </c>
      <c r="AB117" s="215"/>
      <c r="AC117" s="275"/>
      <c r="AD117" s="214"/>
      <c r="AE117" s="214">
        <v>-10</v>
      </c>
      <c r="AF117" s="214"/>
      <c r="AG117" s="214"/>
      <c r="AH117" s="258">
        <v>20</v>
      </c>
      <c r="AI117" s="259">
        <v>1075</v>
      </c>
      <c r="AJ117" s="260">
        <v>1075</v>
      </c>
      <c r="AK117" s="260">
        <v>1075</v>
      </c>
      <c r="AL117" s="260">
        <v>1075</v>
      </c>
      <c r="AM117" s="261">
        <v>1075</v>
      </c>
      <c r="AN117" s="281"/>
      <c r="AO117" s="267"/>
    </row>
    <row r="118" spans="1:41" x14ac:dyDescent="0.3">
      <c r="A118" s="284">
        <v>43178</v>
      </c>
      <c r="B118" s="285"/>
      <c r="C118" s="286"/>
      <c r="D118" s="286"/>
      <c r="E118" s="214"/>
      <c r="F118" s="214"/>
      <c r="G118" s="214"/>
      <c r="H118" s="287">
        <v>231.56</v>
      </c>
      <c r="I118" s="287">
        <v>233.19</v>
      </c>
      <c r="J118" s="287">
        <v>232.02</v>
      </c>
      <c r="K118" s="214"/>
      <c r="L118" s="214"/>
      <c r="M118" s="214"/>
      <c r="N118" s="214"/>
      <c r="O118" s="214"/>
      <c r="P118" s="214"/>
      <c r="Q118" s="251">
        <v>229</v>
      </c>
      <c r="R118" s="251">
        <v>239</v>
      </c>
      <c r="S118" s="214">
        <f t="shared" si="11"/>
        <v>232.02</v>
      </c>
      <c r="T118" s="288"/>
      <c r="U118" s="210"/>
      <c r="V118" s="214"/>
      <c r="W118" s="214">
        <v>0.35</v>
      </c>
      <c r="X118" s="214"/>
      <c r="Y118" s="214"/>
      <c r="Z118" s="250">
        <v>2</v>
      </c>
      <c r="AA118" s="214">
        <v>0.35</v>
      </c>
      <c r="AB118" s="215"/>
      <c r="AC118" s="275"/>
      <c r="AD118" s="214"/>
      <c r="AE118" s="214">
        <v>-3</v>
      </c>
      <c r="AF118" s="214"/>
      <c r="AG118" s="214"/>
      <c r="AH118" s="258">
        <v>20</v>
      </c>
      <c r="AI118" s="259">
        <v>1075</v>
      </c>
      <c r="AJ118" s="260">
        <v>1075</v>
      </c>
      <c r="AK118" s="260">
        <v>1075</v>
      </c>
      <c r="AL118" s="260">
        <v>1075</v>
      </c>
      <c r="AM118" s="261">
        <v>1075</v>
      </c>
      <c r="AN118" s="281"/>
      <c r="AO118" s="267"/>
    </row>
    <row r="119" spans="1:41" x14ac:dyDescent="0.3">
      <c r="A119" s="284">
        <v>43185</v>
      </c>
      <c r="B119" s="285"/>
      <c r="C119" s="286"/>
      <c r="D119" s="286"/>
      <c r="E119" s="214"/>
      <c r="F119" s="214"/>
      <c r="G119" s="214"/>
      <c r="H119" s="287">
        <v>231.43</v>
      </c>
      <c r="I119" s="287">
        <v>234.37</v>
      </c>
      <c r="J119" s="287">
        <v>233.5</v>
      </c>
      <c r="K119" s="214"/>
      <c r="L119" s="214"/>
      <c r="M119" s="214"/>
      <c r="N119" s="214"/>
      <c r="O119" s="214"/>
      <c r="P119" s="214"/>
      <c r="Q119" s="251">
        <v>229</v>
      </c>
      <c r="R119" s="251">
        <v>239</v>
      </c>
      <c r="S119" s="214">
        <f t="shared" si="11"/>
        <v>233.5</v>
      </c>
      <c r="T119" s="288"/>
      <c r="U119" s="210"/>
      <c r="V119" s="214"/>
      <c r="W119" s="214">
        <v>0.63</v>
      </c>
      <c r="X119" s="214"/>
      <c r="Y119" s="214"/>
      <c r="Z119" s="250">
        <v>2</v>
      </c>
      <c r="AA119" s="214">
        <v>0.63</v>
      </c>
      <c r="AB119" s="215"/>
      <c r="AC119" s="275"/>
      <c r="AD119" s="214"/>
      <c r="AE119" s="214">
        <v>-20</v>
      </c>
      <c r="AF119" s="214"/>
      <c r="AG119" s="214"/>
      <c r="AH119" s="258">
        <v>20</v>
      </c>
      <c r="AI119" s="259">
        <v>1075</v>
      </c>
      <c r="AJ119" s="260">
        <v>1075</v>
      </c>
      <c r="AK119" s="260">
        <v>1075</v>
      </c>
      <c r="AL119" s="260">
        <v>1075</v>
      </c>
      <c r="AM119" s="261">
        <v>1075</v>
      </c>
      <c r="AN119" s="281"/>
      <c r="AO119" s="267"/>
    </row>
    <row r="120" spans="1:41" x14ac:dyDescent="0.3">
      <c r="A120" s="284">
        <v>43201</v>
      </c>
      <c r="B120" s="285"/>
      <c r="C120" s="286"/>
      <c r="D120" s="286"/>
      <c r="E120" s="214"/>
      <c r="F120" s="214"/>
      <c r="G120" s="214"/>
      <c r="H120" s="287">
        <v>232.97</v>
      </c>
      <c r="I120" s="287">
        <v>234.2</v>
      </c>
      <c r="J120" s="287">
        <v>233.55</v>
      </c>
      <c r="K120" s="214"/>
      <c r="L120" s="214"/>
      <c r="M120" s="214"/>
      <c r="N120" s="214"/>
      <c r="O120" s="214"/>
      <c r="P120" s="214"/>
      <c r="Q120" s="251">
        <v>229</v>
      </c>
      <c r="R120" s="251">
        <v>239</v>
      </c>
      <c r="S120" s="214">
        <f t="shared" si="11"/>
        <v>233.55</v>
      </c>
      <c r="T120" s="288"/>
      <c r="U120" s="210"/>
      <c r="V120" s="214"/>
      <c r="W120" s="214">
        <v>0.26</v>
      </c>
      <c r="X120" s="214"/>
      <c r="Y120" s="214"/>
      <c r="Z120" s="250">
        <v>2</v>
      </c>
      <c r="AA120" s="214" t="s">
        <v>202</v>
      </c>
      <c r="AB120" s="215"/>
      <c r="AC120" s="275"/>
      <c r="AD120" s="214"/>
      <c r="AE120" s="214">
        <v>27</v>
      </c>
      <c r="AF120" s="214"/>
      <c r="AG120" s="214"/>
      <c r="AH120" s="258">
        <v>20</v>
      </c>
      <c r="AI120" s="259">
        <v>1075</v>
      </c>
      <c r="AJ120" s="260">
        <v>1075</v>
      </c>
      <c r="AK120" s="260">
        <v>1075</v>
      </c>
      <c r="AL120" s="260">
        <v>1075</v>
      </c>
      <c r="AM120" s="261">
        <v>1075</v>
      </c>
      <c r="AN120" s="281"/>
      <c r="AO120" s="267"/>
    </row>
    <row r="121" spans="1:41" x14ac:dyDescent="0.3">
      <c r="A121" s="284">
        <v>43215</v>
      </c>
      <c r="B121" s="285">
        <v>232.59</v>
      </c>
      <c r="C121" s="286">
        <v>233.97</v>
      </c>
      <c r="D121" s="286">
        <v>233.27</v>
      </c>
      <c r="E121" s="214"/>
      <c r="F121" s="214"/>
      <c r="G121" s="214"/>
      <c r="H121" s="287"/>
      <c r="I121" s="287"/>
      <c r="J121" s="287"/>
      <c r="K121" s="214"/>
      <c r="L121" s="214"/>
      <c r="M121" s="214"/>
      <c r="N121" s="214">
        <v>234.51</v>
      </c>
      <c r="O121" s="214">
        <v>248.27</v>
      </c>
      <c r="P121" s="214">
        <v>239.14</v>
      </c>
      <c r="Q121" s="251">
        <v>229</v>
      </c>
      <c r="R121" s="251">
        <v>239</v>
      </c>
      <c r="S121" s="214"/>
      <c r="T121" s="288"/>
      <c r="U121" s="210"/>
      <c r="V121" s="214"/>
      <c r="W121" s="214">
        <v>2.84</v>
      </c>
      <c r="X121" s="214"/>
      <c r="Y121" s="214">
        <v>0.28999999999999998</v>
      </c>
      <c r="Z121" s="250">
        <v>2</v>
      </c>
      <c r="AA121" s="214">
        <v>2.84</v>
      </c>
      <c r="AB121" s="215"/>
      <c r="AC121" s="275">
        <v>-70</v>
      </c>
      <c r="AD121" s="214"/>
      <c r="AE121" s="214"/>
      <c r="AF121" s="214"/>
      <c r="AG121" s="214">
        <v>-1</v>
      </c>
      <c r="AH121" s="258">
        <v>20</v>
      </c>
      <c r="AI121" s="259">
        <v>1075</v>
      </c>
      <c r="AJ121" s="260">
        <v>1075</v>
      </c>
      <c r="AK121" s="260">
        <v>1075</v>
      </c>
      <c r="AL121" s="260">
        <v>1075</v>
      </c>
      <c r="AM121" s="261">
        <v>1075</v>
      </c>
      <c r="AN121" s="281"/>
      <c r="AO121" s="267"/>
    </row>
    <row r="122" spans="1:41" x14ac:dyDescent="0.3">
      <c r="A122" s="284">
        <v>43222</v>
      </c>
      <c r="B122" s="285"/>
      <c r="C122" s="286"/>
      <c r="D122" s="286"/>
      <c r="E122" s="214"/>
      <c r="F122" s="214"/>
      <c r="G122" s="214"/>
      <c r="H122" s="287">
        <v>232.51</v>
      </c>
      <c r="I122" s="287">
        <v>234.91</v>
      </c>
      <c r="J122" s="287">
        <v>233.54</v>
      </c>
      <c r="K122" s="214"/>
      <c r="L122" s="214"/>
      <c r="M122" s="214"/>
      <c r="N122" s="214"/>
      <c r="O122" s="214"/>
      <c r="P122" s="214"/>
      <c r="Q122" s="251">
        <v>229</v>
      </c>
      <c r="R122" s="251">
        <v>239</v>
      </c>
      <c r="S122" s="214"/>
      <c r="T122" s="288"/>
      <c r="U122" s="210"/>
      <c r="V122" s="214"/>
      <c r="W122" s="214">
        <v>0.49</v>
      </c>
      <c r="X122" s="214"/>
      <c r="Y122" s="214"/>
      <c r="Z122" s="250">
        <v>2</v>
      </c>
      <c r="AA122" s="214">
        <v>0.49</v>
      </c>
      <c r="AB122" s="215"/>
      <c r="AC122" s="275"/>
      <c r="AD122" s="214"/>
      <c r="AE122" s="214">
        <v>-16</v>
      </c>
      <c r="AF122" s="214"/>
      <c r="AG122" s="214"/>
      <c r="AH122" s="258">
        <v>20</v>
      </c>
      <c r="AI122" s="259">
        <v>1075</v>
      </c>
      <c r="AJ122" s="260">
        <v>1075</v>
      </c>
      <c r="AK122" s="260">
        <v>1075</v>
      </c>
      <c r="AL122" s="260">
        <v>1075</v>
      </c>
      <c r="AM122" s="261">
        <v>1075</v>
      </c>
      <c r="AN122" s="281"/>
      <c r="AO122" s="267"/>
    </row>
    <row r="123" spans="1:41" x14ac:dyDescent="0.3">
      <c r="A123" s="284">
        <v>43227</v>
      </c>
      <c r="B123" s="285"/>
      <c r="C123" s="286"/>
      <c r="D123" s="286"/>
      <c r="E123" s="214"/>
      <c r="F123" s="214"/>
      <c r="G123" s="214"/>
      <c r="H123" s="287">
        <v>230.7</v>
      </c>
      <c r="I123" s="287">
        <v>232.78</v>
      </c>
      <c r="J123" s="287">
        <v>231.98</v>
      </c>
      <c r="K123" s="214"/>
      <c r="L123" s="214"/>
      <c r="M123" s="214"/>
      <c r="N123" s="214"/>
      <c r="O123" s="214"/>
      <c r="P123" s="214"/>
      <c r="Q123" s="251">
        <v>229</v>
      </c>
      <c r="R123" s="251">
        <v>239</v>
      </c>
      <c r="S123" s="214"/>
      <c r="T123" s="288"/>
      <c r="U123" s="210"/>
      <c r="V123" s="214"/>
      <c r="W123" s="214">
        <v>0.44</v>
      </c>
      <c r="X123" s="214"/>
      <c r="Y123" s="214"/>
      <c r="Z123" s="250">
        <v>2</v>
      </c>
      <c r="AA123" s="214">
        <v>0.44</v>
      </c>
      <c r="AB123" s="215"/>
      <c r="AC123" s="275"/>
      <c r="AD123" s="214"/>
      <c r="AE123" s="214">
        <v>-6</v>
      </c>
      <c r="AF123" s="214"/>
      <c r="AG123" s="214"/>
      <c r="AH123" s="258">
        <v>20</v>
      </c>
      <c r="AI123" s="259">
        <v>1075</v>
      </c>
      <c r="AJ123" s="260">
        <v>1075</v>
      </c>
      <c r="AK123" s="260">
        <v>1075</v>
      </c>
      <c r="AL123" s="260">
        <v>1075</v>
      </c>
      <c r="AM123" s="261">
        <v>1075</v>
      </c>
      <c r="AN123" s="281"/>
      <c r="AO123" s="267"/>
    </row>
    <row r="124" spans="1:41" x14ac:dyDescent="0.3">
      <c r="A124" s="284">
        <v>43230</v>
      </c>
      <c r="B124" s="285"/>
      <c r="C124" s="286"/>
      <c r="D124" s="286"/>
      <c r="E124" s="214"/>
      <c r="F124" s="214"/>
      <c r="G124" s="214"/>
      <c r="H124" s="287">
        <v>230.97</v>
      </c>
      <c r="I124" s="287">
        <v>233.25</v>
      </c>
      <c r="J124" s="287">
        <v>234.04</v>
      </c>
      <c r="K124" s="214"/>
      <c r="L124" s="214"/>
      <c r="M124" s="214"/>
      <c r="N124" s="214"/>
      <c r="O124" s="214"/>
      <c r="P124" s="214"/>
      <c r="Q124" s="251">
        <v>229</v>
      </c>
      <c r="R124" s="251">
        <v>239</v>
      </c>
      <c r="S124" s="214"/>
      <c r="T124" s="288"/>
      <c r="U124" s="210"/>
      <c r="V124" s="214"/>
      <c r="W124" s="214">
        <v>0.49</v>
      </c>
      <c r="X124" s="214"/>
      <c r="Y124" s="214"/>
      <c r="Z124" s="250">
        <v>2</v>
      </c>
      <c r="AA124" s="214">
        <v>0.49</v>
      </c>
      <c r="AB124" s="215"/>
      <c r="AC124" s="275"/>
      <c r="AD124" s="214"/>
      <c r="AE124" s="214">
        <v>-12</v>
      </c>
      <c r="AF124" s="214"/>
      <c r="AG124" s="214"/>
      <c r="AH124" s="258">
        <v>20</v>
      </c>
      <c r="AI124" s="259">
        <v>1075</v>
      </c>
      <c r="AJ124" s="260">
        <v>1075</v>
      </c>
      <c r="AK124" s="260">
        <v>1075</v>
      </c>
      <c r="AL124" s="260">
        <v>1075</v>
      </c>
      <c r="AM124" s="261">
        <v>1075</v>
      </c>
      <c r="AN124" s="281"/>
      <c r="AO124" s="267"/>
    </row>
    <row r="125" spans="1:41" x14ac:dyDescent="0.3">
      <c r="A125" s="284">
        <v>43234</v>
      </c>
      <c r="B125" s="285"/>
      <c r="C125" s="286"/>
      <c r="D125" s="286"/>
      <c r="E125" s="214"/>
      <c r="F125" s="214"/>
      <c r="G125" s="214"/>
      <c r="H125" s="287">
        <v>230.57</v>
      </c>
      <c r="I125" s="287">
        <v>233.17</v>
      </c>
      <c r="J125" s="287">
        <v>231.88</v>
      </c>
      <c r="K125" s="214"/>
      <c r="L125" s="214"/>
      <c r="M125" s="214"/>
      <c r="N125" s="214"/>
      <c r="O125" s="214"/>
      <c r="P125" s="214"/>
      <c r="Q125" s="251">
        <v>229</v>
      </c>
      <c r="R125" s="251">
        <v>239</v>
      </c>
      <c r="S125" s="214"/>
      <c r="T125" s="288"/>
      <c r="U125" s="210"/>
      <c r="V125" s="214"/>
      <c r="W125" s="214">
        <v>0.56000000000000005</v>
      </c>
      <c r="X125" s="214"/>
      <c r="Y125" s="214"/>
      <c r="Z125" s="250">
        <v>2</v>
      </c>
      <c r="AA125" s="214">
        <v>0.56000000000000005</v>
      </c>
      <c r="AB125" s="215"/>
      <c r="AC125" s="275"/>
      <c r="AD125" s="214"/>
      <c r="AE125" s="214">
        <v>-6</v>
      </c>
      <c r="AF125" s="214"/>
      <c r="AG125" s="214"/>
      <c r="AH125" s="258">
        <v>20</v>
      </c>
      <c r="AI125" s="259">
        <v>1075</v>
      </c>
      <c r="AJ125" s="260">
        <v>1075</v>
      </c>
      <c r="AK125" s="260">
        <v>1075</v>
      </c>
      <c r="AL125" s="260">
        <v>1075</v>
      </c>
      <c r="AM125" s="261">
        <v>1075</v>
      </c>
      <c r="AN125" s="281"/>
      <c r="AO125" s="267"/>
    </row>
    <row r="126" spans="1:41" x14ac:dyDescent="0.3">
      <c r="A126" s="284">
        <v>43235</v>
      </c>
      <c r="B126" s="285"/>
      <c r="C126" s="286"/>
      <c r="D126" s="286"/>
      <c r="E126" s="214"/>
      <c r="F126" s="214"/>
      <c r="G126" s="214"/>
      <c r="H126" s="287">
        <v>231</v>
      </c>
      <c r="I126" s="287">
        <v>233.91</v>
      </c>
      <c r="J126" s="287">
        <v>231.92</v>
      </c>
      <c r="K126" s="214"/>
      <c r="L126" s="214"/>
      <c r="M126" s="214"/>
      <c r="N126" s="214"/>
      <c r="O126" s="214"/>
      <c r="P126" s="214"/>
      <c r="Q126" s="251">
        <v>229</v>
      </c>
      <c r="R126" s="251">
        <v>239</v>
      </c>
      <c r="S126" s="214"/>
      <c r="T126" s="288"/>
      <c r="U126" s="210"/>
      <c r="V126" s="214"/>
      <c r="W126" s="214">
        <v>0.62</v>
      </c>
      <c r="X126" s="214"/>
      <c r="Y126" s="214"/>
      <c r="Z126" s="250">
        <v>2</v>
      </c>
      <c r="AA126" s="214">
        <v>0.62</v>
      </c>
      <c r="AB126" s="215"/>
      <c r="AC126" s="275"/>
      <c r="AD126" s="214"/>
      <c r="AE126" s="214">
        <v>-16</v>
      </c>
      <c r="AF126" s="214"/>
      <c r="AG126" s="214"/>
      <c r="AH126" s="258">
        <v>20</v>
      </c>
      <c r="AI126" s="259">
        <v>1075</v>
      </c>
      <c r="AJ126" s="260">
        <v>1075</v>
      </c>
      <c r="AK126" s="260">
        <v>1075</v>
      </c>
      <c r="AL126" s="260">
        <v>1075</v>
      </c>
      <c r="AM126" s="261">
        <v>1075</v>
      </c>
      <c r="AN126" s="281"/>
      <c r="AO126" s="267"/>
    </row>
    <row r="127" spans="1:41" x14ac:dyDescent="0.3">
      <c r="A127" s="284">
        <v>43242</v>
      </c>
      <c r="B127" s="285"/>
      <c r="C127" s="286"/>
      <c r="D127" s="286"/>
      <c r="E127" s="214"/>
      <c r="F127" s="214"/>
      <c r="G127" s="214"/>
      <c r="H127" s="287">
        <v>232.74</v>
      </c>
      <c r="I127" s="287">
        <v>234.82</v>
      </c>
      <c r="J127" s="287">
        <v>233.81</v>
      </c>
      <c r="K127" s="214"/>
      <c r="L127" s="214"/>
      <c r="M127" s="214"/>
      <c r="N127" s="214"/>
      <c r="O127" s="214"/>
      <c r="P127" s="214"/>
      <c r="Q127" s="251">
        <v>229</v>
      </c>
      <c r="R127" s="251">
        <v>239</v>
      </c>
      <c r="S127" s="214"/>
      <c r="T127" s="288"/>
      <c r="U127" s="210"/>
      <c r="V127" s="214"/>
      <c r="W127" s="214">
        <v>0.44</v>
      </c>
      <c r="X127" s="214"/>
      <c r="Y127" s="214"/>
      <c r="Z127" s="250">
        <v>2</v>
      </c>
      <c r="AA127" s="214">
        <v>0.44</v>
      </c>
      <c r="AB127" s="215"/>
      <c r="AC127" s="275"/>
      <c r="AD127" s="214"/>
      <c r="AE127" s="214">
        <v>-4</v>
      </c>
      <c r="AF127" s="214"/>
      <c r="AG127" s="214"/>
      <c r="AH127" s="258">
        <v>20</v>
      </c>
      <c r="AI127" s="259">
        <v>1075</v>
      </c>
      <c r="AJ127" s="260">
        <v>1075</v>
      </c>
      <c r="AK127" s="260">
        <v>1075</v>
      </c>
      <c r="AL127" s="260">
        <v>1075</v>
      </c>
      <c r="AM127" s="261">
        <v>1075</v>
      </c>
      <c r="AN127" s="281"/>
      <c r="AO127" s="267"/>
    </row>
    <row r="128" spans="1:41" x14ac:dyDescent="0.3">
      <c r="A128" s="284">
        <v>43262</v>
      </c>
      <c r="B128" s="285"/>
      <c r="C128" s="286"/>
      <c r="D128" s="286"/>
      <c r="E128" s="214"/>
      <c r="F128" s="214"/>
      <c r="G128" s="214"/>
      <c r="H128" s="287">
        <v>231.26</v>
      </c>
      <c r="I128" s="287">
        <v>232.74</v>
      </c>
      <c r="J128" s="287">
        <v>231.91</v>
      </c>
      <c r="K128" s="214"/>
      <c r="L128" s="214"/>
      <c r="M128" s="214"/>
      <c r="N128" s="214"/>
      <c r="O128" s="214"/>
      <c r="P128" s="214"/>
      <c r="Q128" s="251">
        <v>229</v>
      </c>
      <c r="R128" s="251">
        <v>239</v>
      </c>
      <c r="S128" s="214"/>
      <c r="T128" s="288"/>
      <c r="U128" s="210"/>
      <c r="V128" s="214"/>
      <c r="W128" s="214">
        <v>0.31</v>
      </c>
      <c r="X128" s="214"/>
      <c r="Y128" s="214"/>
      <c r="Z128" s="250">
        <v>2</v>
      </c>
      <c r="AA128" s="214"/>
      <c r="AB128" s="215"/>
      <c r="AC128" s="275"/>
      <c r="AD128" s="214"/>
      <c r="AE128" s="214">
        <v>5</v>
      </c>
      <c r="AF128" s="214"/>
      <c r="AG128" s="214"/>
      <c r="AH128" s="258">
        <v>20</v>
      </c>
      <c r="AI128" s="259">
        <v>1075</v>
      </c>
      <c r="AJ128" s="260">
        <v>1075</v>
      </c>
      <c r="AK128" s="260">
        <v>1075</v>
      </c>
      <c r="AL128" s="260">
        <v>1075</v>
      </c>
      <c r="AM128" s="261">
        <v>1075</v>
      </c>
      <c r="AN128" s="281"/>
      <c r="AO128" s="267"/>
    </row>
    <row r="129" spans="1:41" x14ac:dyDescent="0.3">
      <c r="A129" s="284">
        <v>43273</v>
      </c>
      <c r="B129" s="285"/>
      <c r="C129" s="286"/>
      <c r="D129" s="286"/>
      <c r="E129" s="214"/>
      <c r="F129" s="214"/>
      <c r="G129" s="214"/>
      <c r="H129" s="287">
        <v>232.31</v>
      </c>
      <c r="I129" s="287">
        <v>234.03</v>
      </c>
      <c r="J129" s="287">
        <v>233.25</v>
      </c>
      <c r="K129" s="214"/>
      <c r="L129" s="214"/>
      <c r="M129" s="214"/>
      <c r="N129" s="214"/>
      <c r="O129" s="214"/>
      <c r="P129" s="214"/>
      <c r="Q129" s="251">
        <v>229</v>
      </c>
      <c r="R129" s="251">
        <v>239</v>
      </c>
      <c r="S129" s="214"/>
      <c r="T129" s="288"/>
      <c r="U129" s="210"/>
      <c r="V129" s="214"/>
      <c r="W129" s="214">
        <v>0.36</v>
      </c>
      <c r="X129" s="214"/>
      <c r="Y129" s="214"/>
      <c r="Z129" s="250">
        <v>2</v>
      </c>
      <c r="AA129" s="214"/>
      <c r="AB129" s="215"/>
      <c r="AC129" s="275"/>
      <c r="AD129" s="214"/>
      <c r="AE129" s="214">
        <v>-1</v>
      </c>
      <c r="AF129" s="214"/>
      <c r="AG129" s="214"/>
      <c r="AH129" s="258">
        <v>20</v>
      </c>
      <c r="AI129" s="259">
        <v>1075</v>
      </c>
      <c r="AJ129" s="260">
        <v>1075</v>
      </c>
      <c r="AK129" s="260">
        <v>1075</v>
      </c>
      <c r="AL129" s="260">
        <v>1075</v>
      </c>
      <c r="AM129" s="261">
        <v>1075</v>
      </c>
      <c r="AN129" s="281"/>
      <c r="AO129" s="267"/>
    </row>
    <row r="130" spans="1:41" x14ac:dyDescent="0.3">
      <c r="A130" s="284">
        <v>43276</v>
      </c>
      <c r="B130" s="285"/>
      <c r="C130" s="286"/>
      <c r="D130" s="286"/>
      <c r="E130" s="214"/>
      <c r="F130" s="214"/>
      <c r="G130" s="214"/>
      <c r="H130" s="287">
        <v>231.56</v>
      </c>
      <c r="I130" s="287">
        <v>233.56</v>
      </c>
      <c r="J130" s="287">
        <v>232.42</v>
      </c>
      <c r="K130" s="214"/>
      <c r="L130" s="214"/>
      <c r="M130" s="214"/>
      <c r="N130" s="214"/>
      <c r="O130" s="214"/>
      <c r="P130" s="214"/>
      <c r="Q130" s="251">
        <v>229</v>
      </c>
      <c r="R130" s="251">
        <v>239</v>
      </c>
      <c r="S130" s="214"/>
      <c r="T130" s="288"/>
      <c r="U130" s="210"/>
      <c r="V130" s="214"/>
      <c r="W130" s="214">
        <v>0.38</v>
      </c>
      <c r="X130" s="214"/>
      <c r="Y130" s="214"/>
      <c r="Z130" s="250">
        <v>2</v>
      </c>
      <c r="AA130" s="214"/>
      <c r="AB130" s="215"/>
      <c r="AC130" s="275"/>
      <c r="AD130" s="214"/>
      <c r="AE130" s="214">
        <v>5</v>
      </c>
      <c r="AF130" s="214"/>
      <c r="AG130" s="214"/>
      <c r="AH130" s="258">
        <v>20</v>
      </c>
      <c r="AI130" s="259">
        <v>1075</v>
      </c>
      <c r="AJ130" s="260">
        <v>1075</v>
      </c>
      <c r="AK130" s="260">
        <v>1075</v>
      </c>
      <c r="AL130" s="260">
        <v>1075</v>
      </c>
      <c r="AM130" s="261">
        <v>1075</v>
      </c>
      <c r="AN130" s="281"/>
      <c r="AO130" s="267"/>
    </row>
    <row r="131" spans="1:41" x14ac:dyDescent="0.3">
      <c r="A131" s="284">
        <v>43285</v>
      </c>
      <c r="B131" s="285"/>
      <c r="C131" s="286"/>
      <c r="D131" s="286"/>
      <c r="E131" s="214"/>
      <c r="F131" s="214"/>
      <c r="G131" s="214"/>
      <c r="H131" s="287">
        <v>232.84</v>
      </c>
      <c r="I131" s="287">
        <v>235.35</v>
      </c>
      <c r="J131" s="287">
        <v>234.11</v>
      </c>
      <c r="K131" s="214"/>
      <c r="L131" s="214"/>
      <c r="M131" s="214"/>
      <c r="N131" s="214"/>
      <c r="O131" s="214"/>
      <c r="P131" s="214"/>
      <c r="Q131" s="251">
        <v>229</v>
      </c>
      <c r="R131" s="251">
        <v>239</v>
      </c>
      <c r="S131" s="214"/>
      <c r="T131" s="288"/>
      <c r="U131" s="210"/>
      <c r="V131" s="214"/>
      <c r="W131" s="214">
        <v>0.53</v>
      </c>
      <c r="X131" s="214"/>
      <c r="Y131" s="214"/>
      <c r="Z131" s="250">
        <v>2</v>
      </c>
      <c r="AA131" s="214"/>
      <c r="AB131" s="215"/>
      <c r="AC131" s="275"/>
      <c r="AD131" s="214"/>
      <c r="AE131" s="214">
        <v>-3</v>
      </c>
      <c r="AF131" s="214"/>
      <c r="AG131" s="214"/>
      <c r="AH131" s="258">
        <v>20</v>
      </c>
      <c r="AI131" s="259">
        <v>1075</v>
      </c>
      <c r="AJ131" s="260">
        <v>1075</v>
      </c>
      <c r="AK131" s="260">
        <v>1075</v>
      </c>
      <c r="AL131" s="260">
        <v>1075</v>
      </c>
      <c r="AM131" s="261">
        <v>1075</v>
      </c>
      <c r="AN131" s="281"/>
      <c r="AO131" s="267"/>
    </row>
    <row r="132" spans="1:41" x14ac:dyDescent="0.3">
      <c r="A132" s="284">
        <v>43297</v>
      </c>
      <c r="B132" s="285"/>
      <c r="C132" s="286"/>
      <c r="D132" s="286"/>
      <c r="E132" s="214"/>
      <c r="F132" s="214"/>
      <c r="G132" s="214"/>
      <c r="H132" s="287">
        <v>232.36</v>
      </c>
      <c r="I132" s="287">
        <v>235.92</v>
      </c>
      <c r="J132" s="287">
        <v>234.62</v>
      </c>
      <c r="K132" s="214"/>
      <c r="L132" s="214"/>
      <c r="M132" s="214"/>
      <c r="N132" s="214"/>
      <c r="O132" s="214"/>
      <c r="P132" s="214"/>
      <c r="Q132" s="251">
        <v>229</v>
      </c>
      <c r="R132" s="251">
        <v>239</v>
      </c>
      <c r="S132" s="214"/>
      <c r="T132" s="288"/>
      <c r="U132" s="210"/>
      <c r="V132" s="214"/>
      <c r="W132" s="214">
        <v>0.75</v>
      </c>
      <c r="X132" s="214"/>
      <c r="Y132" s="214"/>
      <c r="Z132" s="250">
        <v>2</v>
      </c>
      <c r="AA132" s="214"/>
      <c r="AB132" s="215"/>
      <c r="AC132" s="275"/>
      <c r="AD132" s="214"/>
      <c r="AE132" s="214">
        <v>-10</v>
      </c>
      <c r="AF132" s="214"/>
      <c r="AG132" s="214"/>
      <c r="AH132" s="258">
        <v>20</v>
      </c>
      <c r="AI132" s="259">
        <v>1075</v>
      </c>
      <c r="AJ132" s="260">
        <v>1075</v>
      </c>
      <c r="AK132" s="260">
        <v>1075</v>
      </c>
      <c r="AL132" s="260">
        <v>1075</v>
      </c>
      <c r="AM132" s="261">
        <v>1075</v>
      </c>
      <c r="AN132" s="281"/>
      <c r="AO132" s="267"/>
    </row>
    <row r="133" spans="1:41" x14ac:dyDescent="0.3">
      <c r="A133" s="284">
        <v>43308</v>
      </c>
      <c r="B133" s="285"/>
      <c r="C133" s="286"/>
      <c r="D133" s="286"/>
      <c r="E133" s="214"/>
      <c r="F133" s="214"/>
      <c r="G133" s="214"/>
      <c r="H133" s="287">
        <v>233.66</v>
      </c>
      <c r="I133" s="287">
        <v>236.75</v>
      </c>
      <c r="J133" s="287">
        <v>235.79</v>
      </c>
      <c r="K133" s="214"/>
      <c r="L133" s="214"/>
      <c r="M133" s="214"/>
      <c r="N133" s="214"/>
      <c r="O133" s="214"/>
      <c r="P133" s="214"/>
      <c r="Q133" s="251">
        <v>229</v>
      </c>
      <c r="R133" s="251">
        <v>239</v>
      </c>
      <c r="S133" s="214"/>
      <c r="T133" s="288"/>
      <c r="U133" s="210"/>
      <c r="V133" s="214"/>
      <c r="W133" s="214">
        <v>0.65</v>
      </c>
      <c r="X133" s="214"/>
      <c r="Y133" s="214"/>
      <c r="Z133" s="250">
        <v>2</v>
      </c>
      <c r="AA133" s="214"/>
      <c r="AB133" s="215"/>
      <c r="AC133" s="275"/>
      <c r="AD133" s="214"/>
      <c r="AE133" s="214">
        <v>-2</v>
      </c>
      <c r="AF133" s="214"/>
      <c r="AG133" s="214"/>
      <c r="AH133" s="258">
        <v>20</v>
      </c>
      <c r="AI133" s="259">
        <v>1075</v>
      </c>
      <c r="AJ133" s="260">
        <v>1075</v>
      </c>
      <c r="AK133" s="260">
        <v>1075</v>
      </c>
      <c r="AL133" s="260">
        <v>1075</v>
      </c>
      <c r="AM133" s="261">
        <v>1075</v>
      </c>
      <c r="AN133" s="281"/>
      <c r="AO133" s="267"/>
    </row>
    <row r="134" spans="1:41" x14ac:dyDescent="0.3">
      <c r="A134" s="284">
        <v>43321</v>
      </c>
      <c r="B134" s="285"/>
      <c r="C134" s="286"/>
      <c r="D134" s="286"/>
      <c r="E134" s="214"/>
      <c r="F134" s="214"/>
      <c r="G134" s="214"/>
      <c r="H134" s="287">
        <v>231.54</v>
      </c>
      <c r="I134" s="287">
        <v>236.87</v>
      </c>
      <c r="J134" s="287">
        <v>233.7</v>
      </c>
      <c r="K134" s="214"/>
      <c r="L134" s="214"/>
      <c r="M134" s="214"/>
      <c r="N134" s="214"/>
      <c r="O134" s="214"/>
      <c r="P134" s="214"/>
      <c r="Q134" s="251">
        <v>229</v>
      </c>
      <c r="R134" s="251">
        <v>239</v>
      </c>
      <c r="S134" s="214"/>
      <c r="T134" s="288"/>
      <c r="U134" s="210"/>
      <c r="V134" s="214"/>
      <c r="W134" s="214">
        <v>1.1299999999999999</v>
      </c>
      <c r="X134" s="214"/>
      <c r="Y134" s="214"/>
      <c r="Z134" s="250">
        <v>2</v>
      </c>
      <c r="AA134" s="214"/>
      <c r="AB134" s="215"/>
      <c r="AC134" s="275"/>
      <c r="AD134" s="214"/>
      <c r="AE134" s="214">
        <v>-5</v>
      </c>
      <c r="AF134" s="214"/>
      <c r="AG134" s="214"/>
      <c r="AH134" s="258">
        <v>20</v>
      </c>
      <c r="AI134" s="259">
        <v>1075</v>
      </c>
      <c r="AJ134" s="260">
        <v>1075</v>
      </c>
      <c r="AK134" s="260">
        <v>1075</v>
      </c>
      <c r="AL134" s="260">
        <v>1075</v>
      </c>
      <c r="AM134" s="261">
        <v>1075</v>
      </c>
      <c r="AN134" s="281"/>
      <c r="AO134" s="267"/>
    </row>
    <row r="135" spans="1:41" x14ac:dyDescent="0.3">
      <c r="A135" s="284">
        <v>43326</v>
      </c>
      <c r="B135" s="285"/>
      <c r="C135" s="286"/>
      <c r="D135" s="286"/>
      <c r="E135" s="214"/>
      <c r="F135" s="214"/>
      <c r="G135" s="214"/>
      <c r="H135" s="287">
        <v>230.7</v>
      </c>
      <c r="I135" s="287">
        <v>234.75</v>
      </c>
      <c r="J135" s="287">
        <v>232.64</v>
      </c>
      <c r="K135" s="214"/>
      <c r="L135" s="214"/>
      <c r="M135" s="214"/>
      <c r="N135" s="214"/>
      <c r="O135" s="214"/>
      <c r="P135" s="214"/>
      <c r="Q135" s="251">
        <v>229</v>
      </c>
      <c r="R135" s="251">
        <v>239</v>
      </c>
      <c r="S135" s="214"/>
      <c r="T135" s="288"/>
      <c r="U135" s="210"/>
      <c r="V135" s="214"/>
      <c r="W135" s="214">
        <v>1.28</v>
      </c>
      <c r="X135" s="214"/>
      <c r="Y135" s="214"/>
      <c r="Z135" s="250">
        <v>2</v>
      </c>
      <c r="AA135" s="214"/>
      <c r="AB135" s="215"/>
      <c r="AC135" s="275"/>
      <c r="AD135" s="214"/>
      <c r="AE135" s="214">
        <v>-4</v>
      </c>
      <c r="AF135" s="214"/>
      <c r="AG135" s="214"/>
      <c r="AH135" s="258">
        <v>20</v>
      </c>
      <c r="AI135" s="259">
        <v>1075</v>
      </c>
      <c r="AJ135" s="260">
        <v>1075</v>
      </c>
      <c r="AK135" s="260">
        <v>1075</v>
      </c>
      <c r="AL135" s="260">
        <v>1075</v>
      </c>
      <c r="AM135" s="261">
        <v>1075</v>
      </c>
      <c r="AN135" s="281"/>
      <c r="AO135" s="267"/>
    </row>
    <row r="136" spans="1:41" x14ac:dyDescent="0.3">
      <c r="A136" s="284">
        <v>43347</v>
      </c>
      <c r="B136" s="285"/>
      <c r="C136" s="286"/>
      <c r="D136" s="286"/>
      <c r="E136" s="214"/>
      <c r="F136" s="214"/>
      <c r="G136" s="214"/>
      <c r="H136" s="287">
        <v>232.85</v>
      </c>
      <c r="I136" s="287">
        <v>236.29</v>
      </c>
      <c r="J136" s="287">
        <v>234.84</v>
      </c>
      <c r="K136" s="214"/>
      <c r="L136" s="214"/>
      <c r="M136" s="214"/>
      <c r="N136" s="214"/>
      <c r="O136" s="214"/>
      <c r="P136" s="214"/>
      <c r="Q136" s="251">
        <v>229</v>
      </c>
      <c r="R136" s="251">
        <v>239</v>
      </c>
      <c r="S136" s="214"/>
      <c r="T136" s="288"/>
      <c r="U136" s="210"/>
      <c r="V136" s="214"/>
      <c r="W136" s="214">
        <v>0.73</v>
      </c>
      <c r="X136" s="214"/>
      <c r="Y136" s="214"/>
      <c r="Z136" s="250">
        <v>2</v>
      </c>
      <c r="AA136" s="214"/>
      <c r="AB136" s="215"/>
      <c r="AC136" s="275"/>
      <c r="AD136" s="214"/>
      <c r="AE136" s="214">
        <v>-20</v>
      </c>
      <c r="AF136" s="214"/>
      <c r="AG136" s="214"/>
      <c r="AH136" s="258">
        <v>20</v>
      </c>
      <c r="AI136" s="259">
        <v>1075</v>
      </c>
      <c r="AJ136" s="260">
        <v>1075</v>
      </c>
      <c r="AK136" s="260">
        <v>1075</v>
      </c>
      <c r="AL136" s="260">
        <v>1075</v>
      </c>
      <c r="AM136" s="261">
        <v>1075</v>
      </c>
      <c r="AN136" s="281"/>
      <c r="AO136" s="267"/>
    </row>
    <row r="137" spans="1:41" x14ac:dyDescent="0.3">
      <c r="A137" s="284">
        <v>43367</v>
      </c>
      <c r="B137" s="285"/>
      <c r="C137" s="286"/>
      <c r="D137" s="286"/>
      <c r="E137" s="214"/>
      <c r="F137" s="214"/>
      <c r="G137" s="214"/>
      <c r="H137" s="287">
        <v>233.77</v>
      </c>
      <c r="I137" s="287">
        <v>236.96</v>
      </c>
      <c r="J137" s="287">
        <v>235.32</v>
      </c>
      <c r="K137" s="214"/>
      <c r="L137" s="214"/>
      <c r="M137" s="214"/>
      <c r="N137" s="214"/>
      <c r="O137" s="214"/>
      <c r="P137" s="214"/>
      <c r="Q137" s="251">
        <v>229</v>
      </c>
      <c r="R137" s="251">
        <v>239</v>
      </c>
      <c r="S137" s="214"/>
      <c r="T137" s="288"/>
      <c r="U137" s="210"/>
      <c r="V137" s="214"/>
      <c r="W137" s="214">
        <v>0.67</v>
      </c>
      <c r="X137" s="214"/>
      <c r="Y137" s="214"/>
      <c r="Z137" s="250">
        <v>2</v>
      </c>
      <c r="AA137" s="214"/>
      <c r="AB137" s="215"/>
      <c r="AC137" s="275"/>
      <c r="AD137" s="214"/>
      <c r="AE137" s="214">
        <v>-18</v>
      </c>
      <c r="AF137" s="214"/>
      <c r="AG137" s="214"/>
      <c r="AH137" s="258">
        <v>20</v>
      </c>
      <c r="AI137" s="259">
        <v>1075</v>
      </c>
      <c r="AJ137" s="260">
        <v>1075</v>
      </c>
      <c r="AK137" s="260">
        <v>1075</v>
      </c>
      <c r="AL137" s="260">
        <v>1075</v>
      </c>
      <c r="AM137" s="261">
        <v>1075</v>
      </c>
      <c r="AN137" s="281"/>
      <c r="AO137" s="267"/>
    </row>
    <row r="138" spans="1:41" x14ac:dyDescent="0.3">
      <c r="A138" s="284">
        <v>43370</v>
      </c>
      <c r="B138" s="285"/>
      <c r="C138" s="286"/>
      <c r="D138" s="286"/>
      <c r="E138" s="214"/>
      <c r="F138" s="214"/>
      <c r="G138" s="214"/>
      <c r="H138" s="287">
        <v>231.79</v>
      </c>
      <c r="I138" s="287">
        <v>234.66</v>
      </c>
      <c r="J138" s="287">
        <v>233.12</v>
      </c>
      <c r="K138" s="214"/>
      <c r="L138" s="214"/>
      <c r="M138" s="214"/>
      <c r="N138" s="214"/>
      <c r="O138" s="214"/>
      <c r="P138" s="214"/>
      <c r="Q138" s="251">
        <v>229</v>
      </c>
      <c r="R138" s="251">
        <v>239</v>
      </c>
      <c r="S138" s="214"/>
      <c r="T138" s="288"/>
      <c r="U138" s="210"/>
      <c r="V138" s="214"/>
      <c r="W138" s="214">
        <v>0.61</v>
      </c>
      <c r="X138" s="214"/>
      <c r="Y138" s="214"/>
      <c r="Z138" s="250">
        <v>2</v>
      </c>
      <c r="AA138" s="214"/>
      <c r="AB138" s="215"/>
      <c r="AC138" s="275"/>
      <c r="AD138" s="214"/>
      <c r="AE138" s="214">
        <v>-20</v>
      </c>
      <c r="AF138" s="214"/>
      <c r="AG138" s="214"/>
      <c r="AH138" s="258">
        <v>20</v>
      </c>
      <c r="AI138" s="259">
        <v>1075</v>
      </c>
      <c r="AJ138" s="260">
        <v>1075</v>
      </c>
      <c r="AK138" s="260">
        <v>1075</v>
      </c>
      <c r="AL138" s="260">
        <v>1075</v>
      </c>
      <c r="AM138" s="261">
        <v>1075</v>
      </c>
      <c r="AN138" s="281"/>
      <c r="AO138" s="267"/>
    </row>
    <row r="139" spans="1:41" x14ac:dyDescent="0.3">
      <c r="A139" s="284">
        <v>43386</v>
      </c>
      <c r="B139" s="285"/>
      <c r="C139" s="286"/>
      <c r="D139" s="286"/>
      <c r="E139" s="214"/>
      <c r="F139" s="214"/>
      <c r="G139" s="214"/>
      <c r="H139" s="287">
        <v>235.1</v>
      </c>
      <c r="I139" s="287">
        <v>238.42</v>
      </c>
      <c r="J139" s="287">
        <v>236.96</v>
      </c>
      <c r="K139" s="214"/>
      <c r="L139" s="214"/>
      <c r="M139" s="214"/>
      <c r="N139" s="214"/>
      <c r="O139" s="214"/>
      <c r="P139" s="214"/>
      <c r="Q139" s="251">
        <v>229</v>
      </c>
      <c r="R139" s="251">
        <v>239</v>
      </c>
      <c r="S139" s="214"/>
      <c r="T139" s="288"/>
      <c r="U139" s="210"/>
      <c r="V139" s="214"/>
      <c r="W139" s="214">
        <v>0.7</v>
      </c>
      <c r="X139" s="214"/>
      <c r="Y139" s="214"/>
      <c r="Z139" s="250">
        <v>2</v>
      </c>
      <c r="AA139" s="214"/>
      <c r="AB139" s="215"/>
      <c r="AC139" s="275"/>
      <c r="AD139" s="214"/>
      <c r="AE139" s="214">
        <v>-6</v>
      </c>
      <c r="AF139" s="214"/>
      <c r="AG139" s="214"/>
      <c r="AH139" s="258">
        <v>20</v>
      </c>
      <c r="AI139" s="259">
        <v>1075</v>
      </c>
      <c r="AJ139" s="260">
        <v>1075</v>
      </c>
      <c r="AK139" s="260">
        <v>1075</v>
      </c>
      <c r="AL139" s="260">
        <v>1075</v>
      </c>
      <c r="AM139" s="261">
        <v>1075</v>
      </c>
      <c r="AN139" s="281"/>
      <c r="AO139" s="267"/>
    </row>
    <row r="140" spans="1:41" x14ac:dyDescent="0.3">
      <c r="A140" s="284">
        <v>43395</v>
      </c>
      <c r="B140" s="285"/>
      <c r="C140" s="286"/>
      <c r="D140" s="286"/>
      <c r="E140" s="214"/>
      <c r="F140" s="214"/>
      <c r="G140" s="214"/>
      <c r="H140" s="287">
        <v>234.71</v>
      </c>
      <c r="I140" s="287">
        <v>238.77</v>
      </c>
      <c r="J140" s="287">
        <v>236.73</v>
      </c>
      <c r="K140" s="214"/>
      <c r="L140" s="214"/>
      <c r="M140" s="214"/>
      <c r="N140" s="214"/>
      <c r="O140" s="214"/>
      <c r="P140" s="214"/>
      <c r="Q140" s="251">
        <v>229</v>
      </c>
      <c r="R140" s="251">
        <v>239</v>
      </c>
      <c r="S140" s="214"/>
      <c r="T140" s="288"/>
      <c r="U140" s="210"/>
      <c r="V140" s="214"/>
      <c r="W140" s="214">
        <v>0.85</v>
      </c>
      <c r="X140" s="214"/>
      <c r="Y140" s="214"/>
      <c r="Z140" s="250">
        <v>2</v>
      </c>
      <c r="AA140" s="214"/>
      <c r="AB140" s="215"/>
      <c r="AC140" s="275"/>
      <c r="AD140" s="214"/>
      <c r="AE140" s="214">
        <v>-11</v>
      </c>
      <c r="AF140" s="214"/>
      <c r="AG140" s="214"/>
      <c r="AH140" s="258">
        <v>20</v>
      </c>
      <c r="AI140" s="259">
        <v>1075</v>
      </c>
      <c r="AJ140" s="260">
        <v>1075</v>
      </c>
      <c r="AK140" s="260">
        <v>1075</v>
      </c>
      <c r="AL140" s="260">
        <v>1075</v>
      </c>
      <c r="AM140" s="261">
        <v>1075</v>
      </c>
      <c r="AN140" s="281"/>
      <c r="AO140" s="267"/>
    </row>
    <row r="141" spans="1:41" x14ac:dyDescent="0.3">
      <c r="A141" s="284">
        <v>43416</v>
      </c>
      <c r="B141" s="285"/>
      <c r="C141" s="286"/>
      <c r="D141" s="286"/>
      <c r="E141" s="214"/>
      <c r="F141" s="214"/>
      <c r="G141" s="214"/>
      <c r="H141" s="287">
        <v>234.42</v>
      </c>
      <c r="I141" s="287">
        <v>239.18</v>
      </c>
      <c r="J141" s="287">
        <v>236.39</v>
      </c>
      <c r="K141" s="214"/>
      <c r="L141" s="214"/>
      <c r="M141" s="214"/>
      <c r="N141" s="214"/>
      <c r="O141" s="214"/>
      <c r="P141" s="214"/>
      <c r="Q141" s="251">
        <v>229</v>
      </c>
      <c r="R141" s="251">
        <v>239</v>
      </c>
      <c r="S141" s="214"/>
      <c r="T141" s="288"/>
      <c r="U141" s="210"/>
      <c r="V141" s="214"/>
      <c r="W141" s="214">
        <v>1</v>
      </c>
      <c r="X141" s="214"/>
      <c r="Y141" s="214"/>
      <c r="Z141" s="250">
        <v>2</v>
      </c>
      <c r="AA141" s="214"/>
      <c r="AB141" s="215"/>
      <c r="AC141" s="275"/>
      <c r="AD141" s="214"/>
      <c r="AE141" s="214">
        <v>-2</v>
      </c>
      <c r="AF141" s="214"/>
      <c r="AG141" s="214"/>
      <c r="AH141" s="258">
        <v>20</v>
      </c>
      <c r="AI141" s="259">
        <v>1075</v>
      </c>
      <c r="AJ141" s="260">
        <v>1075</v>
      </c>
      <c r="AK141" s="260">
        <v>1075</v>
      </c>
      <c r="AL141" s="260">
        <v>1075</v>
      </c>
      <c r="AM141" s="261">
        <v>1075</v>
      </c>
      <c r="AN141" s="281"/>
      <c r="AO141" s="267"/>
    </row>
    <row r="142" spans="1:41" x14ac:dyDescent="0.3">
      <c r="A142" s="284">
        <v>43430</v>
      </c>
      <c r="B142" s="285"/>
      <c r="C142" s="286"/>
      <c r="D142" s="286"/>
      <c r="E142" s="214"/>
      <c r="F142" s="214"/>
      <c r="G142" s="214"/>
      <c r="H142" s="287">
        <v>234.78</v>
      </c>
      <c r="I142" s="287">
        <v>238.82</v>
      </c>
      <c r="J142" s="287">
        <v>236.76</v>
      </c>
      <c r="K142" s="214"/>
      <c r="L142" s="214"/>
      <c r="M142" s="214"/>
      <c r="N142" s="214"/>
      <c r="O142" s="214"/>
      <c r="P142" s="214"/>
      <c r="Q142" s="251">
        <v>229</v>
      </c>
      <c r="R142" s="251">
        <v>239</v>
      </c>
      <c r="S142" s="214"/>
      <c r="T142" s="288"/>
      <c r="U142" s="210"/>
      <c r="V142" s="214"/>
      <c r="W142" s="214">
        <v>0.85</v>
      </c>
      <c r="X142" s="214"/>
      <c r="Y142" s="214"/>
      <c r="Z142" s="250">
        <v>2</v>
      </c>
      <c r="AA142" s="214"/>
      <c r="AB142" s="215"/>
      <c r="AC142" s="275"/>
      <c r="AD142" s="214"/>
      <c r="AE142" s="214">
        <v>0</v>
      </c>
      <c r="AF142" s="214"/>
      <c r="AG142" s="214"/>
      <c r="AH142" s="258">
        <v>20</v>
      </c>
      <c r="AI142" s="259">
        <v>1075</v>
      </c>
      <c r="AJ142" s="260">
        <v>1075</v>
      </c>
      <c r="AK142" s="260">
        <v>1075</v>
      </c>
      <c r="AL142" s="260">
        <v>1075</v>
      </c>
      <c r="AM142" s="261">
        <v>1075</v>
      </c>
      <c r="AN142" s="281"/>
      <c r="AO142" s="267"/>
    </row>
    <row r="143" spans="1:41" x14ac:dyDescent="0.3">
      <c r="A143" s="284">
        <v>43434</v>
      </c>
      <c r="B143" s="285"/>
      <c r="C143" s="286"/>
      <c r="D143" s="286"/>
      <c r="E143" s="214"/>
      <c r="F143" s="214"/>
      <c r="G143" s="214"/>
      <c r="H143" s="287">
        <v>235.36</v>
      </c>
      <c r="I143" s="287">
        <v>238.58</v>
      </c>
      <c r="J143" s="287">
        <v>236.77799999999999</v>
      </c>
      <c r="K143" s="214"/>
      <c r="L143" s="214"/>
      <c r="M143" s="214"/>
      <c r="N143" s="214"/>
      <c r="O143" s="214"/>
      <c r="P143" s="214"/>
      <c r="Q143" s="251">
        <v>229</v>
      </c>
      <c r="R143" s="251">
        <v>239</v>
      </c>
      <c r="S143" s="214"/>
      <c r="T143" s="288"/>
      <c r="U143" s="210"/>
      <c r="V143" s="214"/>
      <c r="W143" s="214">
        <v>0.68</v>
      </c>
      <c r="X143" s="214"/>
      <c r="Y143" s="214"/>
      <c r="Z143" s="250">
        <v>2</v>
      </c>
      <c r="AA143" s="214"/>
      <c r="AB143" s="215"/>
      <c r="AC143" s="275"/>
      <c r="AD143" s="214"/>
      <c r="AE143" s="214">
        <v>-19</v>
      </c>
      <c r="AF143" s="214"/>
      <c r="AG143" s="214"/>
      <c r="AH143" s="258"/>
      <c r="AI143" s="259">
        <v>1075</v>
      </c>
      <c r="AJ143" s="260">
        <v>1075</v>
      </c>
      <c r="AK143" s="260">
        <v>1075</v>
      </c>
      <c r="AL143" s="260">
        <v>1075</v>
      </c>
      <c r="AM143" s="261">
        <v>1075</v>
      </c>
      <c r="AN143" s="281"/>
      <c r="AO143" s="267"/>
    </row>
    <row r="144" spans="1:41" x14ac:dyDescent="0.3">
      <c r="A144" s="284">
        <v>43460</v>
      </c>
      <c r="B144" s="285"/>
      <c r="C144" s="286"/>
      <c r="D144" s="286"/>
      <c r="E144" s="214"/>
      <c r="F144" s="214"/>
      <c r="G144" s="214"/>
      <c r="H144" s="287">
        <v>235.01</v>
      </c>
      <c r="I144" s="287">
        <v>246.82</v>
      </c>
      <c r="J144" s="287">
        <v>238.66</v>
      </c>
      <c r="K144" s="214"/>
      <c r="L144" s="214"/>
      <c r="M144" s="214"/>
      <c r="N144" s="214"/>
      <c r="O144" s="214"/>
      <c r="P144" s="214"/>
      <c r="Q144" s="251">
        <v>229</v>
      </c>
      <c r="R144" s="251">
        <v>239</v>
      </c>
      <c r="S144" s="214"/>
      <c r="T144" s="288"/>
      <c r="U144" s="210"/>
      <c r="V144" s="214"/>
      <c r="W144" s="214">
        <v>2.44</v>
      </c>
      <c r="X144" s="214"/>
      <c r="Y144" s="214"/>
      <c r="Z144" s="250">
        <v>2</v>
      </c>
      <c r="AA144" s="214"/>
      <c r="AB144" s="215"/>
      <c r="AC144" s="275"/>
      <c r="AD144" s="214"/>
      <c r="AE144" s="214">
        <v>-8</v>
      </c>
      <c r="AF144" s="214"/>
      <c r="AG144" s="214"/>
      <c r="AH144" s="258">
        <v>20</v>
      </c>
      <c r="AI144" s="259">
        <v>1075</v>
      </c>
      <c r="AJ144" s="260">
        <v>1075</v>
      </c>
      <c r="AK144" s="260">
        <v>1075</v>
      </c>
      <c r="AL144" s="260">
        <v>1075</v>
      </c>
      <c r="AM144" s="261">
        <v>1075</v>
      </c>
      <c r="AN144" s="281"/>
      <c r="AO144" s="267"/>
    </row>
    <row r="145" spans="1:41" x14ac:dyDescent="0.3">
      <c r="A145" s="284">
        <v>43460</v>
      </c>
      <c r="B145" s="285"/>
      <c r="C145" s="286"/>
      <c r="D145" s="286"/>
      <c r="E145" s="214"/>
      <c r="F145" s="214"/>
      <c r="G145" s="214"/>
      <c r="H145" s="287">
        <v>235.95</v>
      </c>
      <c r="I145" s="287">
        <v>247.57</v>
      </c>
      <c r="J145" s="287">
        <v>240.1</v>
      </c>
      <c r="K145" s="214"/>
      <c r="L145" s="214"/>
      <c r="M145" s="214"/>
      <c r="N145" s="214"/>
      <c r="O145" s="214"/>
      <c r="P145" s="214"/>
      <c r="Q145" s="251">
        <v>229</v>
      </c>
      <c r="R145" s="251">
        <v>239</v>
      </c>
      <c r="S145" s="214"/>
      <c r="T145" s="288"/>
      <c r="U145" s="210"/>
      <c r="V145" s="214"/>
      <c r="W145" s="214">
        <v>2.4</v>
      </c>
      <c r="X145" s="214"/>
      <c r="Y145" s="214"/>
      <c r="Z145" s="250">
        <v>2</v>
      </c>
      <c r="AA145" s="214"/>
      <c r="AB145" s="215"/>
      <c r="AC145" s="275"/>
      <c r="AD145" s="214"/>
      <c r="AE145" s="214">
        <v>-24</v>
      </c>
      <c r="AF145" s="214"/>
      <c r="AG145" s="214"/>
      <c r="AH145" s="258">
        <v>20</v>
      </c>
      <c r="AI145" s="259">
        <v>1075</v>
      </c>
      <c r="AJ145" s="260">
        <v>1075</v>
      </c>
      <c r="AK145" s="260">
        <v>1075</v>
      </c>
      <c r="AL145" s="260">
        <v>1075</v>
      </c>
      <c r="AM145" s="261">
        <v>1075</v>
      </c>
      <c r="AN145" s="281"/>
      <c r="AO145" s="267"/>
    </row>
    <row r="146" spans="1:41" x14ac:dyDescent="0.3">
      <c r="A146" s="284">
        <v>43461</v>
      </c>
      <c r="B146" s="285"/>
      <c r="C146" s="286"/>
      <c r="D146" s="286"/>
      <c r="E146" s="214"/>
      <c r="F146" s="214"/>
      <c r="G146" s="214"/>
      <c r="H146" s="287">
        <v>234.58</v>
      </c>
      <c r="I146" s="287">
        <v>247.38</v>
      </c>
      <c r="J146" s="287">
        <v>238.79</v>
      </c>
      <c r="K146" s="214"/>
      <c r="L146" s="214"/>
      <c r="M146" s="214"/>
      <c r="N146" s="214"/>
      <c r="O146" s="214"/>
      <c r="P146" s="214"/>
      <c r="Q146" s="251">
        <v>229</v>
      </c>
      <c r="R146" s="251">
        <v>239</v>
      </c>
      <c r="S146" s="214"/>
      <c r="T146" s="288"/>
      <c r="U146" s="210"/>
      <c r="V146" s="214"/>
      <c r="W146" s="214">
        <v>2.65</v>
      </c>
      <c r="X146" s="214"/>
      <c r="Y146" s="214"/>
      <c r="Z146" s="250">
        <v>2</v>
      </c>
      <c r="AA146" s="214"/>
      <c r="AB146" s="215"/>
      <c r="AC146" s="275"/>
      <c r="AD146" s="214"/>
      <c r="AE146" s="214"/>
      <c r="AF146" s="214"/>
      <c r="AG146" s="214"/>
      <c r="AH146" s="258"/>
      <c r="AI146" s="259">
        <v>1075</v>
      </c>
      <c r="AJ146" s="260">
        <v>1075</v>
      </c>
      <c r="AK146" s="260">
        <v>1075</v>
      </c>
      <c r="AL146" s="260">
        <v>1075</v>
      </c>
      <c r="AM146" s="261">
        <v>1075</v>
      </c>
      <c r="AN146" s="281"/>
      <c r="AO146" s="267" t="s">
        <v>203</v>
      </c>
    </row>
    <row r="147" spans="1:41" x14ac:dyDescent="0.3">
      <c r="A147" s="284">
        <v>43466</v>
      </c>
      <c r="B147" s="285"/>
      <c r="C147" s="286"/>
      <c r="D147" s="286"/>
      <c r="E147" s="214"/>
      <c r="F147" s="214"/>
      <c r="G147" s="214"/>
      <c r="H147" s="287">
        <v>233.76</v>
      </c>
      <c r="I147" s="287">
        <v>249.45</v>
      </c>
      <c r="J147" s="287">
        <v>238.93</v>
      </c>
      <c r="K147" s="214"/>
      <c r="L147" s="214"/>
      <c r="M147" s="214"/>
      <c r="N147" s="214"/>
      <c r="O147" s="214"/>
      <c r="P147" s="214"/>
      <c r="Q147" s="251">
        <v>229</v>
      </c>
      <c r="R147" s="251">
        <v>239</v>
      </c>
      <c r="S147" s="214"/>
      <c r="T147" s="288"/>
      <c r="U147" s="210"/>
      <c r="V147" s="214"/>
      <c r="W147" s="214">
        <v>3.24</v>
      </c>
      <c r="X147" s="214"/>
      <c r="Y147" s="214"/>
      <c r="Z147" s="250">
        <v>2</v>
      </c>
      <c r="AA147" s="214"/>
      <c r="AB147" s="215"/>
      <c r="AC147" s="275"/>
      <c r="AD147" s="214"/>
      <c r="AE147" s="214"/>
      <c r="AF147" s="214"/>
      <c r="AG147" s="214"/>
      <c r="AH147" s="258"/>
      <c r="AI147" s="259">
        <v>1075</v>
      </c>
      <c r="AJ147" s="260">
        <v>1075</v>
      </c>
      <c r="AK147" s="260">
        <v>1075</v>
      </c>
      <c r="AL147" s="260">
        <v>1075</v>
      </c>
      <c r="AM147" s="261">
        <v>1075</v>
      </c>
      <c r="AN147" s="281"/>
      <c r="AO147" s="267" t="s">
        <v>204</v>
      </c>
    </row>
    <row r="148" spans="1:41" x14ac:dyDescent="0.3">
      <c r="A148" s="284">
        <v>43466</v>
      </c>
      <c r="B148" s="285">
        <v>231.99</v>
      </c>
      <c r="C148" s="286">
        <v>239.38</v>
      </c>
      <c r="D148" s="286">
        <v>235.43</v>
      </c>
      <c r="E148" s="214"/>
      <c r="F148" s="214"/>
      <c r="G148" s="214"/>
      <c r="H148" s="287">
        <v>235.17</v>
      </c>
      <c r="I148" s="287">
        <v>249.11</v>
      </c>
      <c r="J148" s="287">
        <v>238.37</v>
      </c>
      <c r="K148" s="214"/>
      <c r="L148" s="214"/>
      <c r="M148" s="214"/>
      <c r="N148" s="214">
        <v>243.96</v>
      </c>
      <c r="O148" s="214">
        <v>250.55</v>
      </c>
      <c r="P148" s="214">
        <v>246.38</v>
      </c>
      <c r="Q148" s="251">
        <v>229</v>
      </c>
      <c r="R148" s="251">
        <v>239</v>
      </c>
      <c r="S148" s="214"/>
      <c r="T148" s="288"/>
      <c r="U148" s="210">
        <v>1.56</v>
      </c>
      <c r="V148" s="214"/>
      <c r="W148" s="214">
        <v>2.87</v>
      </c>
      <c r="X148" s="214"/>
      <c r="Y148" s="214">
        <v>1.33</v>
      </c>
      <c r="Z148" s="250">
        <v>2</v>
      </c>
      <c r="AA148" s="214"/>
      <c r="AB148" s="215"/>
      <c r="AC148" s="275"/>
      <c r="AD148" s="214"/>
      <c r="AE148" s="214"/>
      <c r="AF148" s="214"/>
      <c r="AG148" s="214"/>
      <c r="AH148" s="258">
        <v>20</v>
      </c>
      <c r="AI148" s="275">
        <v>1075</v>
      </c>
      <c r="AJ148" s="214">
        <v>1075</v>
      </c>
      <c r="AK148" s="214">
        <v>1075</v>
      </c>
      <c r="AL148" s="214">
        <v>1075</v>
      </c>
      <c r="AM148" s="288">
        <v>1075</v>
      </c>
      <c r="AN148" s="281"/>
      <c r="AO148" s="267"/>
    </row>
    <row r="149" spans="1:41" x14ac:dyDescent="0.3">
      <c r="A149" s="284">
        <v>43480</v>
      </c>
      <c r="B149" s="285">
        <v>231.78</v>
      </c>
      <c r="C149" s="286">
        <v>238.53</v>
      </c>
      <c r="D149" s="286">
        <v>234.63</v>
      </c>
      <c r="E149" s="214"/>
      <c r="F149" s="214"/>
      <c r="G149" s="214"/>
      <c r="H149" s="287">
        <v>234.42</v>
      </c>
      <c r="I149" s="287">
        <v>239.51</v>
      </c>
      <c r="J149" s="287">
        <v>237.221</v>
      </c>
      <c r="K149" s="214"/>
      <c r="L149" s="214"/>
      <c r="M149" s="214"/>
      <c r="N149" s="214">
        <v>244.53</v>
      </c>
      <c r="O149" s="214">
        <v>250.57</v>
      </c>
      <c r="P149" s="214">
        <v>247.46</v>
      </c>
      <c r="Q149" s="251">
        <v>229</v>
      </c>
      <c r="R149" s="251">
        <v>239</v>
      </c>
      <c r="S149" s="214"/>
      <c r="T149" s="288"/>
      <c r="U149" s="210">
        <v>1.43</v>
      </c>
      <c r="V149" s="214"/>
      <c r="W149" s="214">
        <v>1.07</v>
      </c>
      <c r="X149" s="214"/>
      <c r="Y149" s="214">
        <v>1.21</v>
      </c>
      <c r="Z149" s="250">
        <v>2</v>
      </c>
      <c r="AA149" s="214"/>
      <c r="AB149" s="215"/>
      <c r="AC149" s="275">
        <v>-10</v>
      </c>
      <c r="AD149" s="214"/>
      <c r="AE149" s="214">
        <v>-10</v>
      </c>
      <c r="AF149" s="214"/>
      <c r="AG149" s="214">
        <v>-11</v>
      </c>
      <c r="AH149" s="258">
        <v>20</v>
      </c>
      <c r="AI149" s="275">
        <v>1075</v>
      </c>
      <c r="AJ149" s="214">
        <v>1075</v>
      </c>
      <c r="AK149" s="214">
        <v>1075</v>
      </c>
      <c r="AL149" s="214">
        <v>1075</v>
      </c>
      <c r="AM149" s="288">
        <v>1075</v>
      </c>
      <c r="AN149" s="281"/>
      <c r="AO149" s="267"/>
    </row>
    <row r="150" spans="1:41" x14ac:dyDescent="0.3">
      <c r="A150" s="284">
        <v>43482</v>
      </c>
      <c r="B150" s="285">
        <v>232.47</v>
      </c>
      <c r="C150" s="286">
        <v>255.11</v>
      </c>
      <c r="D150" s="286">
        <v>238.69</v>
      </c>
      <c r="E150" s="214"/>
      <c r="F150" s="214"/>
      <c r="G150" s="214"/>
      <c r="H150" s="287">
        <v>235.28</v>
      </c>
      <c r="I150" s="287">
        <v>253.21</v>
      </c>
      <c r="J150" s="287">
        <v>239.49</v>
      </c>
      <c r="K150" s="214"/>
      <c r="L150" s="214"/>
      <c r="M150" s="214"/>
      <c r="N150" s="214">
        <v>243.77</v>
      </c>
      <c r="O150" s="214">
        <v>251.42</v>
      </c>
      <c r="P150" s="214">
        <v>246.82</v>
      </c>
      <c r="Q150" s="251">
        <v>229</v>
      </c>
      <c r="R150" s="251">
        <v>239</v>
      </c>
      <c r="S150" s="214"/>
      <c r="T150" s="288"/>
      <c r="U150" s="210">
        <v>4.6399999999999997</v>
      </c>
      <c r="V150" s="214"/>
      <c r="W150" s="214">
        <v>3.66</v>
      </c>
      <c r="X150" s="214"/>
      <c r="Y150" s="214">
        <v>1.54</v>
      </c>
      <c r="Z150" s="250">
        <v>2</v>
      </c>
      <c r="AA150" s="214"/>
      <c r="AB150" s="215"/>
      <c r="AC150" s="275">
        <v>-11</v>
      </c>
      <c r="AD150" s="214"/>
      <c r="AE150" s="214">
        <v>-12</v>
      </c>
      <c r="AF150" s="214"/>
      <c r="AG150" s="214">
        <v>-10</v>
      </c>
      <c r="AH150" s="258">
        <v>20</v>
      </c>
      <c r="AI150" s="289">
        <v>1075</v>
      </c>
      <c r="AJ150" s="290">
        <v>1075</v>
      </c>
      <c r="AK150" s="290">
        <v>1075</v>
      </c>
      <c r="AL150" s="291">
        <v>1074</v>
      </c>
      <c r="AM150" s="292">
        <v>1073</v>
      </c>
      <c r="AN150" s="281"/>
      <c r="AO150" s="267"/>
    </row>
    <row r="151" spans="1:41" x14ac:dyDescent="0.3">
      <c r="A151" s="284">
        <v>43486</v>
      </c>
      <c r="B151" s="286">
        <v>232.03</v>
      </c>
      <c r="C151" s="214">
        <v>256.66000000000003</v>
      </c>
      <c r="D151" s="214">
        <v>237.54</v>
      </c>
      <c r="E151" s="214"/>
      <c r="F151" s="287">
        <v>256.66000000000003</v>
      </c>
      <c r="G151" s="287">
        <v>237.54</v>
      </c>
      <c r="H151" s="287">
        <v>234.49</v>
      </c>
      <c r="I151" s="214">
        <v>255.3</v>
      </c>
      <c r="J151" s="214">
        <v>239.78</v>
      </c>
      <c r="K151" s="214"/>
      <c r="L151" s="214">
        <v>255.3</v>
      </c>
      <c r="M151" s="214">
        <v>239.78</v>
      </c>
      <c r="N151" s="214">
        <v>240.55</v>
      </c>
      <c r="O151" s="193">
        <v>254.25</v>
      </c>
      <c r="P151" s="193">
        <v>244.38</v>
      </c>
      <c r="Q151" s="251">
        <v>229</v>
      </c>
      <c r="R151" s="251">
        <v>239</v>
      </c>
      <c r="S151" s="214"/>
      <c r="T151" s="288"/>
      <c r="U151" s="210">
        <v>5.04</v>
      </c>
      <c r="V151" s="214"/>
      <c r="W151" s="214">
        <v>4.24</v>
      </c>
      <c r="X151" s="214"/>
      <c r="Y151" s="214">
        <v>2.76</v>
      </c>
      <c r="Z151" s="250">
        <v>2</v>
      </c>
      <c r="AA151" s="214"/>
      <c r="AB151" s="215"/>
      <c r="AC151" s="275">
        <v>-14</v>
      </c>
      <c r="AD151" s="214"/>
      <c r="AE151" s="214">
        <v>-12</v>
      </c>
      <c r="AF151" s="214"/>
      <c r="AG151" s="214">
        <v>-18</v>
      </c>
      <c r="AH151" s="258">
        <v>20</v>
      </c>
      <c r="AI151" s="289">
        <v>1075</v>
      </c>
      <c r="AJ151" s="290">
        <v>1075</v>
      </c>
      <c r="AK151" s="290">
        <v>1075</v>
      </c>
      <c r="AL151" s="290">
        <v>1074</v>
      </c>
      <c r="AM151" s="293">
        <v>1073</v>
      </c>
      <c r="AN151" s="281"/>
      <c r="AO151" s="267"/>
    </row>
    <row r="152" spans="1:41" x14ac:dyDescent="0.3">
      <c r="A152" s="284">
        <v>43488</v>
      </c>
      <c r="B152" s="285">
        <v>232.43</v>
      </c>
      <c r="C152" s="286">
        <v>238.32</v>
      </c>
      <c r="D152" s="286">
        <v>235.73</v>
      </c>
      <c r="E152" s="214"/>
      <c r="F152" s="214"/>
      <c r="G152" s="214"/>
      <c r="H152" s="287">
        <v>235.58</v>
      </c>
      <c r="I152" s="287">
        <v>253.47</v>
      </c>
      <c r="J152" s="287">
        <v>243</v>
      </c>
      <c r="K152" s="214"/>
      <c r="L152" s="214"/>
      <c r="M152" s="214"/>
      <c r="N152" s="214">
        <v>241.66</v>
      </c>
      <c r="O152" s="214">
        <v>270.89999999999998</v>
      </c>
      <c r="P152" s="214">
        <v>251.01</v>
      </c>
      <c r="Q152" s="251">
        <v>229</v>
      </c>
      <c r="R152" s="251">
        <v>239</v>
      </c>
      <c r="S152" s="214"/>
      <c r="T152" s="288"/>
      <c r="U152" s="210">
        <v>1.25</v>
      </c>
      <c r="V152" s="214"/>
      <c r="W152" s="214">
        <v>3.65</v>
      </c>
      <c r="X152" s="214"/>
      <c r="Y152" s="214">
        <v>5.7</v>
      </c>
      <c r="Z152" s="250">
        <v>2</v>
      </c>
      <c r="AA152" s="214"/>
      <c r="AB152" s="215"/>
      <c r="AC152" s="275">
        <v>-26</v>
      </c>
      <c r="AD152" s="214"/>
      <c r="AE152" s="214">
        <v>-10</v>
      </c>
      <c r="AF152" s="214"/>
      <c r="AG152" s="214">
        <v>-8</v>
      </c>
      <c r="AH152" s="258">
        <v>20</v>
      </c>
      <c r="AI152" s="289">
        <v>1075</v>
      </c>
      <c r="AJ152" s="290">
        <v>1075</v>
      </c>
      <c r="AK152" s="290">
        <v>1075</v>
      </c>
      <c r="AL152" s="290">
        <v>1074</v>
      </c>
      <c r="AM152" s="293">
        <v>1073</v>
      </c>
      <c r="AN152" s="281"/>
      <c r="AO152" s="267"/>
    </row>
    <row r="153" spans="1:41" x14ac:dyDescent="0.3">
      <c r="A153" s="284">
        <v>43488</v>
      </c>
      <c r="B153" s="285">
        <v>232.75</v>
      </c>
      <c r="C153" s="286">
        <v>245.39</v>
      </c>
      <c r="D153" s="286">
        <v>237.72</v>
      </c>
      <c r="E153" s="214"/>
      <c r="F153" s="214"/>
      <c r="G153" s="214"/>
      <c r="H153" s="287">
        <v>235.15</v>
      </c>
      <c r="I153" s="287">
        <v>242.24</v>
      </c>
      <c r="J153" s="287">
        <v>238.36</v>
      </c>
      <c r="K153" s="214"/>
      <c r="L153" s="214"/>
      <c r="M153" s="214"/>
      <c r="N153" s="214">
        <v>245.46</v>
      </c>
      <c r="O153" s="214">
        <v>264.52</v>
      </c>
      <c r="P153" s="214">
        <v>258.29000000000002</v>
      </c>
      <c r="Q153" s="251">
        <v>229</v>
      </c>
      <c r="R153" s="251">
        <v>239</v>
      </c>
      <c r="S153" s="214"/>
      <c r="T153" s="288"/>
      <c r="U153" s="210">
        <v>2.67</v>
      </c>
      <c r="V153" s="214"/>
      <c r="W153" s="214">
        <v>1.48</v>
      </c>
      <c r="X153" s="214"/>
      <c r="Y153" s="214">
        <v>3.73</v>
      </c>
      <c r="Z153" s="250">
        <v>2</v>
      </c>
      <c r="AA153" s="214"/>
      <c r="AB153" s="215"/>
      <c r="AC153" s="275"/>
      <c r="AD153" s="214"/>
      <c r="AE153" s="214"/>
      <c r="AF153" s="214"/>
      <c r="AG153" s="214"/>
      <c r="AH153" s="258">
        <v>20</v>
      </c>
      <c r="AI153" s="289">
        <v>1075</v>
      </c>
      <c r="AJ153" s="290">
        <v>1075</v>
      </c>
      <c r="AK153" s="290">
        <v>1075</v>
      </c>
      <c r="AL153" s="291">
        <v>1073</v>
      </c>
      <c r="AM153" s="292">
        <v>1071</v>
      </c>
      <c r="AN153" s="281"/>
      <c r="AO153" s="267" t="s">
        <v>205</v>
      </c>
    </row>
    <row r="154" spans="1:41" x14ac:dyDescent="0.3">
      <c r="A154" s="284">
        <v>43489</v>
      </c>
      <c r="B154" s="285">
        <v>233.06</v>
      </c>
      <c r="C154" s="286">
        <v>239.78</v>
      </c>
      <c r="D154" s="286">
        <v>236.13</v>
      </c>
      <c r="E154" s="214"/>
      <c r="F154" s="214"/>
      <c r="G154" s="214"/>
      <c r="H154" s="287">
        <v>234.85</v>
      </c>
      <c r="I154" s="287">
        <v>242.32</v>
      </c>
      <c r="J154" s="287">
        <v>238.34</v>
      </c>
      <c r="K154" s="214"/>
      <c r="L154" s="214"/>
      <c r="M154" s="214"/>
      <c r="N154" s="214">
        <v>240.74</v>
      </c>
      <c r="O154" s="214">
        <v>254.85</v>
      </c>
      <c r="P154" s="214">
        <v>246.3</v>
      </c>
      <c r="Q154" s="251">
        <v>229</v>
      </c>
      <c r="R154" s="251">
        <v>239</v>
      </c>
      <c r="S154" s="214"/>
      <c r="T154" s="288"/>
      <c r="U154" s="210">
        <v>1.42</v>
      </c>
      <c r="V154" s="214"/>
      <c r="W154" s="214">
        <v>1.56</v>
      </c>
      <c r="X154" s="214"/>
      <c r="Y154" s="214">
        <v>2.84</v>
      </c>
      <c r="Z154" s="250">
        <v>2</v>
      </c>
      <c r="AA154" s="214"/>
      <c r="AB154" s="215"/>
      <c r="AC154" s="275">
        <v>10</v>
      </c>
      <c r="AD154" s="214"/>
      <c r="AE154" s="214">
        <v>-1</v>
      </c>
      <c r="AF154" s="214"/>
      <c r="AG154" s="214">
        <v>1</v>
      </c>
      <c r="AH154" s="258">
        <v>20</v>
      </c>
      <c r="AI154" s="289">
        <v>1075</v>
      </c>
      <c r="AJ154" s="290">
        <v>1075</v>
      </c>
      <c r="AK154" s="290">
        <v>1075</v>
      </c>
      <c r="AL154" s="291">
        <v>1071</v>
      </c>
      <c r="AM154" s="292">
        <v>1067</v>
      </c>
      <c r="AN154" s="281"/>
      <c r="AO154" s="267"/>
    </row>
    <row r="155" spans="1:41" x14ac:dyDescent="0.3">
      <c r="A155" s="284">
        <v>43490</v>
      </c>
      <c r="B155" s="285">
        <v>232.61</v>
      </c>
      <c r="C155" s="286">
        <v>238.63</v>
      </c>
      <c r="D155" s="286">
        <v>235.74</v>
      </c>
      <c r="E155" s="214"/>
      <c r="F155" s="214"/>
      <c r="G155" s="214"/>
      <c r="H155" s="287">
        <v>235.39</v>
      </c>
      <c r="I155" s="287">
        <v>243.28</v>
      </c>
      <c r="J155" s="287">
        <v>238.7</v>
      </c>
      <c r="K155" s="214"/>
      <c r="L155" s="214"/>
      <c r="M155" s="214"/>
      <c r="N155" s="214">
        <v>240.93</v>
      </c>
      <c r="O155" s="214">
        <v>251.64</v>
      </c>
      <c r="P155" s="214">
        <v>245.37</v>
      </c>
      <c r="Q155" s="251">
        <v>229</v>
      </c>
      <c r="R155" s="251">
        <v>239</v>
      </c>
      <c r="S155" s="214"/>
      <c r="T155" s="288"/>
      <c r="U155" s="210">
        <v>1.29</v>
      </c>
      <c r="V155" s="214"/>
      <c r="W155" s="214">
        <v>1.64</v>
      </c>
      <c r="X155" s="214"/>
      <c r="Y155" s="214">
        <v>2.17</v>
      </c>
      <c r="Z155" s="250">
        <v>2</v>
      </c>
      <c r="AA155" s="214"/>
      <c r="AB155" s="215"/>
      <c r="AC155" s="275"/>
      <c r="AD155" s="214"/>
      <c r="AE155" s="214"/>
      <c r="AF155" s="214"/>
      <c r="AG155" s="214"/>
      <c r="AH155" s="258">
        <v>20</v>
      </c>
      <c r="AI155" s="289">
        <v>1075</v>
      </c>
      <c r="AJ155" s="290">
        <v>1075</v>
      </c>
      <c r="AK155" s="290">
        <v>1075</v>
      </c>
      <c r="AL155" s="290">
        <v>1071</v>
      </c>
      <c r="AM155" s="293">
        <v>1067</v>
      </c>
      <c r="AN155" s="281"/>
      <c r="AO155" s="267"/>
    </row>
    <row r="156" spans="1:41" x14ac:dyDescent="0.3">
      <c r="A156" s="284">
        <v>43493</v>
      </c>
      <c r="B156" s="285">
        <v>233.62</v>
      </c>
      <c r="C156" s="286">
        <v>245.11</v>
      </c>
      <c r="D156" s="286">
        <v>236.62</v>
      </c>
      <c r="E156" s="214"/>
      <c r="F156" s="214"/>
      <c r="G156" s="214"/>
      <c r="H156" s="287">
        <v>235.48</v>
      </c>
      <c r="I156" s="287">
        <v>238.66</v>
      </c>
      <c r="J156" s="287">
        <v>237.29</v>
      </c>
      <c r="K156" s="214"/>
      <c r="L156" s="214"/>
      <c r="M156" s="214"/>
      <c r="N156" s="214">
        <v>245.92</v>
      </c>
      <c r="O156" s="214">
        <v>251.22</v>
      </c>
      <c r="P156" s="214">
        <v>248.43</v>
      </c>
      <c r="Q156" s="251">
        <v>229</v>
      </c>
      <c r="R156" s="251">
        <v>239</v>
      </c>
      <c r="S156" s="214"/>
      <c r="T156" s="288"/>
      <c r="U156" s="210">
        <v>2.5299999999999998</v>
      </c>
      <c r="V156" s="214"/>
      <c r="W156" s="214">
        <v>0.66</v>
      </c>
      <c r="X156" s="214"/>
      <c r="Y156" s="214">
        <v>1.06</v>
      </c>
      <c r="Z156" s="250">
        <v>2</v>
      </c>
      <c r="AA156" s="214"/>
      <c r="AB156" s="215"/>
      <c r="AC156" s="275">
        <v>-18</v>
      </c>
      <c r="AD156" s="214"/>
      <c r="AE156" s="214">
        <v>-7</v>
      </c>
      <c r="AF156" s="214"/>
      <c r="AG156" s="214">
        <v>-5</v>
      </c>
      <c r="AH156" s="258">
        <v>20</v>
      </c>
      <c r="AI156" s="289">
        <v>1075</v>
      </c>
      <c r="AJ156" s="290">
        <v>1075</v>
      </c>
      <c r="AK156" s="290">
        <v>1075</v>
      </c>
      <c r="AL156" s="290">
        <v>1071</v>
      </c>
      <c r="AM156" s="293">
        <v>1067</v>
      </c>
      <c r="AN156" s="281"/>
      <c r="AO156" s="267"/>
    </row>
    <row r="157" spans="1:41" x14ac:dyDescent="0.3">
      <c r="A157" s="284">
        <v>43495</v>
      </c>
      <c r="B157" s="285">
        <v>232.55</v>
      </c>
      <c r="C157" s="286">
        <v>236.75</v>
      </c>
      <c r="D157" s="286">
        <v>234.6</v>
      </c>
      <c r="E157" s="214"/>
      <c r="F157" s="214"/>
      <c r="G157" s="214"/>
      <c r="H157" s="287">
        <v>235.52</v>
      </c>
      <c r="I157" s="287">
        <v>240.52</v>
      </c>
      <c r="J157" s="287">
        <v>237.71</v>
      </c>
      <c r="K157" s="214"/>
      <c r="L157" s="214"/>
      <c r="M157" s="214"/>
      <c r="N157" s="214">
        <v>244.46</v>
      </c>
      <c r="O157" s="214">
        <v>250.62</v>
      </c>
      <c r="P157" s="214">
        <v>247.52</v>
      </c>
      <c r="Q157" s="251">
        <v>229</v>
      </c>
      <c r="R157" s="251">
        <v>239</v>
      </c>
      <c r="S157" s="214"/>
      <c r="T157" s="288"/>
      <c r="U157" s="210">
        <v>0.89</v>
      </c>
      <c r="V157" s="214"/>
      <c r="W157" s="214">
        <v>1.05</v>
      </c>
      <c r="X157" s="214"/>
      <c r="Y157" s="214">
        <v>1.24</v>
      </c>
      <c r="Z157" s="250">
        <v>2</v>
      </c>
      <c r="AA157" s="214"/>
      <c r="AB157" s="215"/>
      <c r="AC157" s="275">
        <v>-11</v>
      </c>
      <c r="AD157" s="214"/>
      <c r="AE157" s="214">
        <v>-4</v>
      </c>
      <c r="AF157" s="214"/>
      <c r="AG157" s="214">
        <v>-13</v>
      </c>
      <c r="AH157" s="258">
        <v>20</v>
      </c>
      <c r="AI157" s="275"/>
      <c r="AJ157" s="214"/>
      <c r="AK157" s="214"/>
      <c r="AL157" s="214"/>
      <c r="AM157" s="288"/>
      <c r="AN157" s="281"/>
      <c r="AO157" s="267"/>
    </row>
    <row r="158" spans="1:41" x14ac:dyDescent="0.3">
      <c r="A158" s="284">
        <v>43497</v>
      </c>
      <c r="B158" s="285">
        <v>242.05</v>
      </c>
      <c r="C158" s="286">
        <v>246.47</v>
      </c>
      <c r="D158" s="286">
        <v>244.53</v>
      </c>
      <c r="E158" s="214"/>
      <c r="F158" s="214"/>
      <c r="G158" s="214"/>
      <c r="H158" s="287">
        <v>244.84</v>
      </c>
      <c r="I158" s="287">
        <v>254.57</v>
      </c>
      <c r="J158" s="287">
        <v>248.17</v>
      </c>
      <c r="K158" s="214"/>
      <c r="L158" s="214"/>
      <c r="M158" s="214"/>
      <c r="N158" s="214">
        <v>244.74</v>
      </c>
      <c r="O158" s="214">
        <v>257.7</v>
      </c>
      <c r="P158" s="214">
        <v>250.96</v>
      </c>
      <c r="Q158" s="251">
        <v>229</v>
      </c>
      <c r="R158" s="251">
        <v>239</v>
      </c>
      <c r="S158" s="214"/>
      <c r="T158" s="288"/>
      <c r="U158" s="210">
        <v>0.9</v>
      </c>
      <c r="V158" s="214"/>
      <c r="W158" s="214">
        <v>1.94</v>
      </c>
      <c r="X158" s="214"/>
      <c r="Y158" s="214">
        <v>2.57</v>
      </c>
      <c r="Z158" s="250">
        <v>2</v>
      </c>
      <c r="AA158" s="214"/>
      <c r="AB158" s="215"/>
      <c r="AC158" s="275">
        <v>-25</v>
      </c>
      <c r="AD158" s="214"/>
      <c r="AE158" s="214">
        <v>-4</v>
      </c>
      <c r="AF158" s="214"/>
      <c r="AG158" s="214">
        <v>-2</v>
      </c>
      <c r="AH158" s="258">
        <v>20</v>
      </c>
      <c r="AI158" s="275"/>
      <c r="AJ158" s="214"/>
      <c r="AK158" s="214"/>
      <c r="AL158" s="214"/>
      <c r="AM158" s="288"/>
      <c r="AN158" s="281"/>
      <c r="AO158" s="267"/>
    </row>
    <row r="159" spans="1:41" x14ac:dyDescent="0.3">
      <c r="A159" s="284">
        <v>43497</v>
      </c>
      <c r="B159" s="285">
        <v>229.35</v>
      </c>
      <c r="C159" s="286">
        <v>234.4</v>
      </c>
      <c r="D159" s="286">
        <v>231.68</v>
      </c>
      <c r="E159" s="214"/>
      <c r="F159" s="214"/>
      <c r="G159" s="214"/>
      <c r="H159" s="287">
        <v>231.96</v>
      </c>
      <c r="I159" s="287">
        <v>235.18</v>
      </c>
      <c r="J159" s="287">
        <v>233.6</v>
      </c>
      <c r="K159" s="214"/>
      <c r="L159" s="214"/>
      <c r="M159" s="214"/>
      <c r="N159" s="214">
        <v>231.88</v>
      </c>
      <c r="O159" s="214">
        <v>239.44</v>
      </c>
      <c r="P159" s="214">
        <v>235.16</v>
      </c>
      <c r="Q159" s="251">
        <v>229</v>
      </c>
      <c r="R159" s="251">
        <v>239</v>
      </c>
      <c r="S159" s="214"/>
      <c r="T159" s="288"/>
      <c r="U159" s="210">
        <v>1.0900000000000001</v>
      </c>
      <c r="V159" s="214"/>
      <c r="W159" s="214">
        <v>0.68</v>
      </c>
      <c r="X159" s="214"/>
      <c r="Y159" s="214">
        <v>1.6</v>
      </c>
      <c r="Z159" s="250">
        <v>2</v>
      </c>
      <c r="AA159" s="214"/>
      <c r="AB159" s="215"/>
      <c r="AC159" s="275"/>
      <c r="AD159" s="214"/>
      <c r="AE159" s="214"/>
      <c r="AF159" s="214"/>
      <c r="AG159" s="214"/>
      <c r="AH159" s="258">
        <v>20</v>
      </c>
      <c r="AI159" s="275"/>
      <c r="AJ159" s="214"/>
      <c r="AK159" s="214"/>
      <c r="AL159" s="214"/>
      <c r="AM159" s="288"/>
      <c r="AN159" s="281"/>
      <c r="AO159" s="267"/>
    </row>
    <row r="160" spans="1:41" x14ac:dyDescent="0.3">
      <c r="A160" s="284">
        <v>43500</v>
      </c>
      <c r="B160" s="285">
        <v>233.53</v>
      </c>
      <c r="C160" s="286">
        <v>258.05</v>
      </c>
      <c r="D160" s="286">
        <v>238.03</v>
      </c>
      <c r="E160" s="214"/>
      <c r="F160" s="214"/>
      <c r="G160" s="214"/>
      <c r="H160" s="287">
        <v>236.18</v>
      </c>
      <c r="I160" s="287">
        <v>270.11</v>
      </c>
      <c r="J160" s="287">
        <v>241.64</v>
      </c>
      <c r="K160" s="214"/>
      <c r="L160" s="214"/>
      <c r="M160" s="214"/>
      <c r="N160" s="214">
        <v>235.45</v>
      </c>
      <c r="O160" s="214">
        <v>267.41000000000003</v>
      </c>
      <c r="P160" s="214">
        <v>242.92</v>
      </c>
      <c r="Q160" s="251">
        <v>229</v>
      </c>
      <c r="R160" s="251">
        <v>239</v>
      </c>
      <c r="S160" s="214"/>
      <c r="T160" s="288"/>
      <c r="U160" s="210">
        <v>4.9800000000000004</v>
      </c>
      <c r="V160" s="214"/>
      <c r="W160" s="214">
        <v>6.7</v>
      </c>
      <c r="X160" s="214"/>
      <c r="Y160" s="214">
        <v>6.35</v>
      </c>
      <c r="Z160" s="250">
        <v>2</v>
      </c>
      <c r="AA160" s="214"/>
      <c r="AB160" s="215"/>
      <c r="AC160" s="275">
        <v>-19</v>
      </c>
      <c r="AD160" s="214"/>
      <c r="AE160" s="214">
        <v>-5</v>
      </c>
      <c r="AF160" s="214"/>
      <c r="AG160" s="214">
        <v>-4</v>
      </c>
      <c r="AH160" s="258">
        <v>20</v>
      </c>
      <c r="AI160" s="275"/>
      <c r="AJ160" s="214"/>
      <c r="AK160" s="214"/>
      <c r="AL160" s="214"/>
      <c r="AM160" s="288"/>
      <c r="AN160" s="281"/>
      <c r="AO160" s="267"/>
    </row>
    <row r="161" spans="1:41" x14ac:dyDescent="0.3">
      <c r="A161" s="284">
        <v>43500</v>
      </c>
      <c r="B161" s="285">
        <v>229.72</v>
      </c>
      <c r="C161" s="286">
        <v>235.76</v>
      </c>
      <c r="D161" s="286">
        <v>232.4</v>
      </c>
      <c r="E161" s="214"/>
      <c r="F161" s="214"/>
      <c r="G161" s="214"/>
      <c r="H161" s="287">
        <v>231.77</v>
      </c>
      <c r="I161" s="287">
        <v>236.7</v>
      </c>
      <c r="J161" s="287">
        <v>234.17</v>
      </c>
      <c r="K161" s="214"/>
      <c r="L161" s="214"/>
      <c r="M161" s="214"/>
      <c r="N161" s="214">
        <v>230.37</v>
      </c>
      <c r="O161" s="214">
        <v>235.28</v>
      </c>
      <c r="P161" s="214">
        <v>233.19</v>
      </c>
      <c r="Q161" s="251">
        <v>229</v>
      </c>
      <c r="R161" s="251">
        <v>239</v>
      </c>
      <c r="S161" s="214"/>
      <c r="T161" s="288"/>
      <c r="U161" s="210">
        <v>1.29</v>
      </c>
      <c r="V161" s="214"/>
      <c r="W161" s="214">
        <v>1.05</v>
      </c>
      <c r="X161" s="214"/>
      <c r="Y161" s="214">
        <v>1.05</v>
      </c>
      <c r="Z161" s="250">
        <v>2</v>
      </c>
      <c r="AA161" s="214"/>
      <c r="AB161" s="215"/>
      <c r="AC161" s="275">
        <v>-3</v>
      </c>
      <c r="AD161" s="214"/>
      <c r="AE161" s="214">
        <v>-13</v>
      </c>
      <c r="AF161" s="214"/>
      <c r="AG161" s="214">
        <v>-1</v>
      </c>
      <c r="AH161" s="258">
        <v>20</v>
      </c>
      <c r="AI161" s="275"/>
      <c r="AJ161" s="214"/>
      <c r="AK161" s="214"/>
      <c r="AL161" s="214"/>
      <c r="AM161" s="288"/>
      <c r="AN161" s="281"/>
      <c r="AO161" s="267"/>
    </row>
    <row r="162" spans="1:41" x14ac:dyDescent="0.3">
      <c r="A162" s="284">
        <v>43502</v>
      </c>
      <c r="B162" s="285">
        <v>230.77</v>
      </c>
      <c r="C162" s="286">
        <v>241.87</v>
      </c>
      <c r="D162" s="286">
        <v>235.01</v>
      </c>
      <c r="E162" s="214"/>
      <c r="F162" s="214"/>
      <c r="G162" s="214"/>
      <c r="H162" s="287">
        <v>233.84</v>
      </c>
      <c r="I162" s="287">
        <v>249.54</v>
      </c>
      <c r="J162" s="287">
        <v>238.2</v>
      </c>
      <c r="K162" s="214"/>
      <c r="L162" s="214"/>
      <c r="M162" s="214"/>
      <c r="N162" s="214">
        <v>234.72</v>
      </c>
      <c r="O162" s="214">
        <v>246.79</v>
      </c>
      <c r="P162" s="214">
        <v>238.11</v>
      </c>
      <c r="Q162" s="251">
        <v>229</v>
      </c>
      <c r="R162" s="251">
        <v>239</v>
      </c>
      <c r="S162" s="214"/>
      <c r="T162" s="288"/>
      <c r="U162" s="210">
        <v>2.34</v>
      </c>
      <c r="V162" s="214"/>
      <c r="W162" s="214">
        <v>3.24</v>
      </c>
      <c r="X162" s="214"/>
      <c r="Y162" s="214">
        <v>2.5</v>
      </c>
      <c r="Z162" s="250">
        <v>2</v>
      </c>
      <c r="AA162" s="214"/>
      <c r="AB162" s="215"/>
      <c r="AC162" s="275">
        <v>-14</v>
      </c>
      <c r="AD162" s="214"/>
      <c r="AE162" s="214">
        <v>-12</v>
      </c>
      <c r="AF162" s="214"/>
      <c r="AG162" s="214">
        <v>-1</v>
      </c>
      <c r="AH162" s="258">
        <v>20</v>
      </c>
      <c r="AI162" s="275"/>
      <c r="AJ162" s="214"/>
      <c r="AK162" s="214"/>
      <c r="AL162" s="214"/>
      <c r="AM162" s="288"/>
      <c r="AN162" s="281"/>
      <c r="AO162" s="267"/>
    </row>
    <row r="163" spans="1:41" x14ac:dyDescent="0.3">
      <c r="A163" s="284">
        <v>43507</v>
      </c>
      <c r="B163" s="285">
        <v>229.83</v>
      </c>
      <c r="C163" s="286">
        <v>234.62</v>
      </c>
      <c r="D163" s="286">
        <v>232.1</v>
      </c>
      <c r="E163" s="214"/>
      <c r="F163" s="214"/>
      <c r="G163" s="214"/>
      <c r="H163" s="287">
        <v>230.74</v>
      </c>
      <c r="I163" s="287">
        <v>233.61</v>
      </c>
      <c r="J163" s="287">
        <v>232.56</v>
      </c>
      <c r="K163" s="214"/>
      <c r="L163" s="214"/>
      <c r="M163" s="214"/>
      <c r="N163" s="214">
        <v>233.97</v>
      </c>
      <c r="O163" s="214">
        <v>243.65</v>
      </c>
      <c r="P163" s="214">
        <v>237.62</v>
      </c>
      <c r="Q163" s="251">
        <v>229</v>
      </c>
      <c r="R163" s="251">
        <v>239</v>
      </c>
      <c r="S163" s="214"/>
      <c r="T163" s="288"/>
      <c r="U163" s="210">
        <v>1.02</v>
      </c>
      <c r="V163" s="214"/>
      <c r="W163" s="214">
        <v>0.61</v>
      </c>
      <c r="X163" s="214"/>
      <c r="Y163" s="214">
        <v>2.02</v>
      </c>
      <c r="Z163" s="250">
        <v>2</v>
      </c>
      <c r="AA163" s="214"/>
      <c r="AB163" s="215"/>
      <c r="AC163" s="275">
        <v>-11</v>
      </c>
      <c r="AD163" s="214"/>
      <c r="AE163" s="214">
        <v>-5</v>
      </c>
      <c r="AF163" s="214"/>
      <c r="AG163" s="214">
        <v>-20</v>
      </c>
      <c r="AH163" s="258">
        <v>20</v>
      </c>
      <c r="AI163" s="275"/>
      <c r="AJ163" s="214"/>
      <c r="AK163" s="214"/>
      <c r="AL163" s="214"/>
      <c r="AM163" s="288"/>
      <c r="AN163" s="281"/>
      <c r="AO163" s="267"/>
    </row>
    <row r="164" spans="1:41" x14ac:dyDescent="0.3">
      <c r="A164" s="284">
        <v>43521</v>
      </c>
      <c r="B164" s="285">
        <v>229.4</v>
      </c>
      <c r="C164" s="286">
        <v>238.04</v>
      </c>
      <c r="D164" s="286">
        <v>232.94</v>
      </c>
      <c r="E164" s="214"/>
      <c r="F164" s="214"/>
      <c r="G164" s="214"/>
      <c r="H164" s="287">
        <v>231.8</v>
      </c>
      <c r="I164" s="287">
        <v>235.36</v>
      </c>
      <c r="J164" s="287">
        <v>233.97</v>
      </c>
      <c r="K164" s="214"/>
      <c r="L164" s="214"/>
      <c r="M164" s="214"/>
      <c r="N164" s="214">
        <v>231.99</v>
      </c>
      <c r="O164" s="214">
        <v>238.04</v>
      </c>
      <c r="P164" s="214">
        <v>235.47</v>
      </c>
      <c r="Q164" s="251">
        <v>229</v>
      </c>
      <c r="R164" s="251">
        <v>239</v>
      </c>
      <c r="S164" s="214"/>
      <c r="T164" s="288"/>
      <c r="U164" s="210">
        <v>1.84</v>
      </c>
      <c r="V164" s="214"/>
      <c r="W164" s="214">
        <v>0.76</v>
      </c>
      <c r="X164" s="214"/>
      <c r="Y164" s="214">
        <v>1.28</v>
      </c>
      <c r="Z164" s="250">
        <v>2</v>
      </c>
      <c r="AA164" s="214"/>
      <c r="AB164" s="215"/>
      <c r="AC164" s="275">
        <v>-12</v>
      </c>
      <c r="AD164" s="214"/>
      <c r="AE164" s="214">
        <v>-6</v>
      </c>
      <c r="AF164" s="214"/>
      <c r="AG164" s="214">
        <v>-7</v>
      </c>
      <c r="AH164" s="258">
        <v>20</v>
      </c>
      <c r="AI164" s="275"/>
      <c r="AJ164" s="214"/>
      <c r="AK164" s="214"/>
      <c r="AL164" s="214"/>
      <c r="AM164" s="288"/>
      <c r="AN164" s="281"/>
      <c r="AO164" s="267"/>
    </row>
    <row r="165" spans="1:41" x14ac:dyDescent="0.3">
      <c r="A165" s="284">
        <v>43522</v>
      </c>
      <c r="B165" s="285">
        <v>229.49</v>
      </c>
      <c r="C165" s="286">
        <v>236.41</v>
      </c>
      <c r="D165" s="286">
        <v>233.28</v>
      </c>
      <c r="E165" s="214"/>
      <c r="F165" s="214"/>
      <c r="G165" s="214"/>
      <c r="H165" s="287">
        <v>230.54</v>
      </c>
      <c r="I165" s="287">
        <v>235</v>
      </c>
      <c r="J165" s="287">
        <v>232.22</v>
      </c>
      <c r="K165" s="214"/>
      <c r="L165" s="214"/>
      <c r="M165" s="214"/>
      <c r="N165" s="214">
        <v>231.11</v>
      </c>
      <c r="O165" s="214">
        <v>235.76</v>
      </c>
      <c r="P165" s="214">
        <v>233.01</v>
      </c>
      <c r="Q165" s="251">
        <v>229</v>
      </c>
      <c r="R165" s="251">
        <v>239</v>
      </c>
      <c r="S165" s="214"/>
      <c r="T165" s="288"/>
      <c r="U165" s="210">
        <v>1.48</v>
      </c>
      <c r="V165" s="214"/>
      <c r="W165" s="214">
        <v>0.95</v>
      </c>
      <c r="X165" s="214"/>
      <c r="Y165" s="214">
        <v>0.74</v>
      </c>
      <c r="Z165" s="250">
        <v>2</v>
      </c>
      <c r="AA165" s="214"/>
      <c r="AB165" s="215"/>
      <c r="AC165" s="275">
        <v>-16</v>
      </c>
      <c r="AD165" s="214"/>
      <c r="AE165" s="214">
        <v>-14</v>
      </c>
      <c r="AF165" s="214"/>
      <c r="AG165" s="214">
        <v>-10</v>
      </c>
      <c r="AH165" s="258">
        <v>20</v>
      </c>
      <c r="AI165" s="275"/>
      <c r="AJ165" s="214"/>
      <c r="AK165" s="214"/>
      <c r="AL165" s="214"/>
      <c r="AM165" s="288"/>
      <c r="AN165" s="281"/>
      <c r="AO165" s="267"/>
    </row>
    <row r="166" spans="1:41" x14ac:dyDescent="0.3">
      <c r="A166" s="284">
        <v>43532</v>
      </c>
      <c r="B166" s="285">
        <v>228.84</v>
      </c>
      <c r="C166" s="286">
        <v>232.72</v>
      </c>
      <c r="D166" s="286">
        <v>230.95</v>
      </c>
      <c r="E166" s="214"/>
      <c r="F166" s="214"/>
      <c r="G166" s="214"/>
      <c r="H166" s="287">
        <v>230</v>
      </c>
      <c r="I166" s="287">
        <v>233.97</v>
      </c>
      <c r="J166" s="287">
        <v>231.78</v>
      </c>
      <c r="K166" s="214"/>
      <c r="L166" s="214"/>
      <c r="M166" s="214"/>
      <c r="N166" s="214">
        <v>233.2</v>
      </c>
      <c r="O166" s="214">
        <v>238.25</v>
      </c>
      <c r="P166" s="214">
        <v>235.4</v>
      </c>
      <c r="Q166" s="251">
        <v>229</v>
      </c>
      <c r="R166" s="251">
        <v>239</v>
      </c>
      <c r="S166" s="214"/>
      <c r="T166" s="288"/>
      <c r="U166" s="210">
        <v>0.84</v>
      </c>
      <c r="V166" s="214"/>
      <c r="W166" s="214">
        <v>0.85</v>
      </c>
      <c r="X166" s="214"/>
      <c r="Y166" s="214">
        <v>1.07</v>
      </c>
      <c r="Z166" s="250">
        <v>2</v>
      </c>
      <c r="AA166" s="214"/>
      <c r="AB166" s="215"/>
      <c r="AC166" s="275">
        <v>-17</v>
      </c>
      <c r="AD166" s="214"/>
      <c r="AE166" s="214">
        <v>-5</v>
      </c>
      <c r="AF166" s="214"/>
      <c r="AG166" s="214">
        <v>-8</v>
      </c>
      <c r="AH166" s="258">
        <v>20</v>
      </c>
      <c r="AI166" s="275"/>
      <c r="AJ166" s="214"/>
      <c r="AK166" s="214"/>
      <c r="AL166" s="214"/>
      <c r="AM166" s="288"/>
      <c r="AN166" s="281"/>
      <c r="AO166" s="267"/>
    </row>
    <row r="167" spans="1:41" x14ac:dyDescent="0.3">
      <c r="A167" s="284">
        <v>43536</v>
      </c>
      <c r="B167" s="285">
        <v>230</v>
      </c>
      <c r="C167" s="286">
        <v>233.31</v>
      </c>
      <c r="D167" s="286">
        <v>231.38</v>
      </c>
      <c r="E167" s="214"/>
      <c r="F167" s="214"/>
      <c r="G167" s="214"/>
      <c r="H167" s="287">
        <v>229.12</v>
      </c>
      <c r="I167" s="287">
        <v>231.6</v>
      </c>
      <c r="J167" s="287">
        <v>230.24</v>
      </c>
      <c r="K167" s="214"/>
      <c r="L167" s="214"/>
      <c r="M167" s="214"/>
      <c r="N167" s="214">
        <v>232.97</v>
      </c>
      <c r="O167" s="214">
        <v>236.86</v>
      </c>
      <c r="P167" s="214">
        <v>235.13</v>
      </c>
      <c r="Q167" s="251">
        <v>229</v>
      </c>
      <c r="R167" s="251">
        <v>239</v>
      </c>
      <c r="S167" s="214"/>
      <c r="T167" s="288"/>
      <c r="U167" s="210">
        <v>0.71</v>
      </c>
      <c r="V167" s="214"/>
      <c r="W167" s="214">
        <v>0.53</v>
      </c>
      <c r="X167" s="214"/>
      <c r="Y167" s="214">
        <v>0.82</v>
      </c>
      <c r="Z167" s="250">
        <v>2</v>
      </c>
      <c r="AA167" s="214"/>
      <c r="AB167" s="215"/>
      <c r="AC167" s="275">
        <v>-15</v>
      </c>
      <c r="AD167" s="214"/>
      <c r="AE167" s="214">
        <v>-36</v>
      </c>
      <c r="AF167" s="214"/>
      <c r="AG167" s="214">
        <v>-8</v>
      </c>
      <c r="AH167" s="258">
        <v>20</v>
      </c>
      <c r="AI167" s="275"/>
      <c r="AJ167" s="214"/>
      <c r="AK167" s="214"/>
      <c r="AL167" s="214"/>
      <c r="AM167" s="288"/>
      <c r="AN167" s="281"/>
      <c r="AO167" s="267"/>
    </row>
    <row r="168" spans="1:41" x14ac:dyDescent="0.3">
      <c r="A168" s="284">
        <v>43539</v>
      </c>
      <c r="B168" s="285"/>
      <c r="C168" s="286"/>
      <c r="D168" s="286"/>
      <c r="E168" s="214"/>
      <c r="F168" s="214"/>
      <c r="G168" s="214"/>
      <c r="H168" s="287">
        <v>229.57</v>
      </c>
      <c r="I168" s="287">
        <v>241.14</v>
      </c>
      <c r="J168" s="287">
        <v>232.61</v>
      </c>
      <c r="K168" s="214"/>
      <c r="L168" s="214"/>
      <c r="M168" s="214"/>
      <c r="N168" s="214"/>
      <c r="O168" s="214"/>
      <c r="P168" s="214"/>
      <c r="Q168" s="251">
        <v>229</v>
      </c>
      <c r="R168" s="251">
        <v>239</v>
      </c>
      <c r="S168" s="214"/>
      <c r="T168" s="288"/>
      <c r="U168" s="210"/>
      <c r="V168" s="214"/>
      <c r="W168" s="214">
        <v>2.4500000000000002</v>
      </c>
      <c r="X168" s="214"/>
      <c r="Y168" s="214"/>
      <c r="Z168" s="250">
        <v>2</v>
      </c>
      <c r="AA168" s="214"/>
      <c r="AB168" s="215"/>
      <c r="AC168" s="275"/>
      <c r="AD168" s="214"/>
      <c r="AE168" s="214"/>
      <c r="AF168" s="214"/>
      <c r="AG168" s="214"/>
      <c r="AH168" s="258">
        <v>20</v>
      </c>
      <c r="AI168" s="275"/>
      <c r="AJ168" s="214"/>
      <c r="AK168" s="214"/>
      <c r="AL168" s="214"/>
      <c r="AM168" s="288"/>
      <c r="AN168" s="281"/>
      <c r="AO168" s="267"/>
    </row>
    <row r="169" spans="1:41" x14ac:dyDescent="0.3">
      <c r="A169" s="284">
        <v>43542</v>
      </c>
      <c r="B169" s="285"/>
      <c r="C169" s="286"/>
      <c r="D169" s="286"/>
      <c r="E169" s="214"/>
      <c r="F169" s="214"/>
      <c r="G169" s="214"/>
      <c r="H169" s="287">
        <v>228.69</v>
      </c>
      <c r="I169" s="287">
        <v>235.5</v>
      </c>
      <c r="J169" s="287">
        <v>231.23</v>
      </c>
      <c r="K169" s="214"/>
      <c r="L169" s="214"/>
      <c r="M169" s="214"/>
      <c r="N169" s="214"/>
      <c r="O169" s="214"/>
      <c r="P169" s="214"/>
      <c r="Q169" s="251">
        <v>229</v>
      </c>
      <c r="R169" s="251">
        <v>239</v>
      </c>
      <c r="S169" s="214"/>
      <c r="T169" s="288"/>
      <c r="U169" s="210"/>
      <c r="V169" s="214"/>
      <c r="W169" s="214">
        <v>1.46</v>
      </c>
      <c r="X169" s="214"/>
      <c r="Y169" s="214"/>
      <c r="Z169" s="250">
        <v>2</v>
      </c>
      <c r="AA169" s="214"/>
      <c r="AB169" s="215"/>
      <c r="AC169" s="275"/>
      <c r="AD169" s="214"/>
      <c r="AE169" s="214">
        <v>-4</v>
      </c>
      <c r="AF169" s="214"/>
      <c r="AG169" s="214"/>
      <c r="AH169" s="258">
        <v>20</v>
      </c>
      <c r="AI169" s="275"/>
      <c r="AJ169" s="214"/>
      <c r="AK169" s="214"/>
      <c r="AL169" s="214"/>
      <c r="AM169" s="288"/>
      <c r="AN169" s="281"/>
      <c r="AO169" s="267"/>
    </row>
    <row r="170" spans="1:41" x14ac:dyDescent="0.3">
      <c r="A170" s="284">
        <v>43558</v>
      </c>
      <c r="B170" s="285">
        <v>228.82</v>
      </c>
      <c r="C170" s="286">
        <v>236.21</v>
      </c>
      <c r="D170" s="286">
        <v>230.98</v>
      </c>
      <c r="E170" s="214"/>
      <c r="F170" s="214"/>
      <c r="G170" s="214"/>
      <c r="H170" s="287">
        <v>231.04</v>
      </c>
      <c r="I170" s="287">
        <v>238.87</v>
      </c>
      <c r="J170" s="287">
        <v>233.22</v>
      </c>
      <c r="K170" s="214"/>
      <c r="L170" s="214"/>
      <c r="M170" s="214"/>
      <c r="N170" s="214">
        <v>232.4</v>
      </c>
      <c r="O170" s="214">
        <v>246.64</v>
      </c>
      <c r="P170" s="214">
        <v>235.83</v>
      </c>
      <c r="Q170" s="251">
        <v>229</v>
      </c>
      <c r="R170" s="251">
        <v>239</v>
      </c>
      <c r="S170" s="214"/>
      <c r="T170" s="288"/>
      <c r="U170" s="210">
        <v>1.58</v>
      </c>
      <c r="V170" s="214"/>
      <c r="W170" s="214">
        <v>1.66</v>
      </c>
      <c r="X170" s="214"/>
      <c r="Y170" s="214">
        <v>2.97</v>
      </c>
      <c r="Z170" s="250">
        <v>2</v>
      </c>
      <c r="AA170" s="214"/>
      <c r="AB170" s="215"/>
      <c r="AC170" s="275">
        <v>-9</v>
      </c>
      <c r="AD170" s="214"/>
      <c r="AE170" s="214">
        <v>-6</v>
      </c>
      <c r="AF170" s="214"/>
      <c r="AG170" s="214">
        <v>-9</v>
      </c>
      <c r="AH170" s="258">
        <v>20</v>
      </c>
      <c r="AI170" s="275"/>
      <c r="AJ170" s="214"/>
      <c r="AK170" s="214"/>
      <c r="AL170" s="214"/>
      <c r="AM170" s="288"/>
      <c r="AN170" s="281"/>
      <c r="AO170" s="267"/>
    </row>
    <row r="171" spans="1:41" x14ac:dyDescent="0.3">
      <c r="A171" s="284">
        <v>43591</v>
      </c>
      <c r="B171" s="285">
        <v>235.62</v>
      </c>
      <c r="C171" s="286">
        <v>249.41</v>
      </c>
      <c r="D171" s="286">
        <v>238.45</v>
      </c>
      <c r="E171" s="214"/>
      <c r="F171" s="214"/>
      <c r="G171" s="214"/>
      <c r="H171" s="287">
        <v>237.43</v>
      </c>
      <c r="I171" s="287">
        <v>245.81</v>
      </c>
      <c r="J171" s="287">
        <v>242.01</v>
      </c>
      <c r="K171" s="214"/>
      <c r="L171" s="214"/>
      <c r="M171" s="214"/>
      <c r="N171" s="214">
        <v>239.04</v>
      </c>
      <c r="O171" s="214">
        <v>234.34</v>
      </c>
      <c r="P171" s="214">
        <v>241.07</v>
      </c>
      <c r="Q171" s="251">
        <v>229</v>
      </c>
      <c r="R171" s="251">
        <v>239</v>
      </c>
      <c r="S171" s="214"/>
      <c r="T171" s="288"/>
      <c r="U171" s="210">
        <v>2.94</v>
      </c>
      <c r="V171" s="214"/>
      <c r="W171" s="214">
        <v>1.76</v>
      </c>
      <c r="X171" s="214"/>
      <c r="Y171" s="214">
        <v>1.1200000000000001</v>
      </c>
      <c r="Z171" s="250">
        <v>2</v>
      </c>
      <c r="AA171" s="214"/>
      <c r="AB171" s="215"/>
      <c r="AC171" s="275">
        <v>-11</v>
      </c>
      <c r="AD171" s="214"/>
      <c r="AE171" s="214">
        <v>-3</v>
      </c>
      <c r="AF171" s="214"/>
      <c r="AG171" s="214">
        <v>-8</v>
      </c>
      <c r="AH171" s="258">
        <v>20</v>
      </c>
      <c r="AI171" s="275"/>
      <c r="AJ171" s="214"/>
      <c r="AK171" s="214"/>
      <c r="AL171" s="214"/>
      <c r="AM171" s="288"/>
      <c r="AN171" s="281"/>
      <c r="AO171" s="267"/>
    </row>
    <row r="172" spans="1:41" x14ac:dyDescent="0.3">
      <c r="A172" s="284"/>
      <c r="B172" s="285"/>
      <c r="C172" s="286"/>
      <c r="D172" s="286"/>
      <c r="E172" s="214"/>
      <c r="F172" s="214"/>
      <c r="G172" s="214"/>
      <c r="H172" s="287"/>
      <c r="I172" s="287"/>
      <c r="J172" s="287"/>
      <c r="K172" s="214"/>
      <c r="L172" s="214"/>
      <c r="M172" s="214"/>
      <c r="N172" s="214"/>
      <c r="O172" s="214"/>
      <c r="P172" s="214"/>
      <c r="Q172" s="251">
        <v>229</v>
      </c>
      <c r="R172" s="251">
        <v>239</v>
      </c>
      <c r="S172" s="214"/>
      <c r="T172" s="288"/>
      <c r="U172" s="210"/>
      <c r="V172" s="214"/>
      <c r="W172" s="214"/>
      <c r="X172" s="214"/>
      <c r="Y172" s="214"/>
      <c r="Z172" s="250">
        <v>2</v>
      </c>
      <c r="AA172" s="214"/>
      <c r="AB172" s="215"/>
      <c r="AC172" s="275"/>
      <c r="AD172" s="214"/>
      <c r="AE172" s="214"/>
      <c r="AF172" s="214"/>
      <c r="AG172" s="214"/>
      <c r="AH172" s="258">
        <v>20</v>
      </c>
      <c r="AI172" s="275"/>
      <c r="AJ172" s="214"/>
      <c r="AK172" s="214"/>
      <c r="AL172" s="214"/>
      <c r="AM172" s="288"/>
      <c r="AN172" s="281"/>
      <c r="AO172" s="267"/>
    </row>
    <row r="173" spans="1:41" x14ac:dyDescent="0.3">
      <c r="A173" s="284"/>
      <c r="B173" s="285"/>
      <c r="C173" s="286"/>
      <c r="D173" s="286"/>
      <c r="E173" s="214"/>
      <c r="F173" s="214"/>
      <c r="G173" s="214"/>
      <c r="H173" s="287"/>
      <c r="I173" s="287"/>
      <c r="J173" s="287"/>
      <c r="K173" s="214"/>
      <c r="L173" s="214"/>
      <c r="M173" s="214"/>
      <c r="N173" s="214"/>
      <c r="O173" s="214"/>
      <c r="P173" s="214"/>
      <c r="Q173" s="251">
        <v>229</v>
      </c>
      <c r="R173" s="251">
        <v>239</v>
      </c>
      <c r="S173" s="214"/>
      <c r="T173" s="288"/>
      <c r="U173" s="210"/>
      <c r="V173" s="214"/>
      <c r="W173" s="214"/>
      <c r="X173" s="214"/>
      <c r="Y173" s="214"/>
      <c r="Z173" s="250">
        <v>2</v>
      </c>
      <c r="AA173" s="214"/>
      <c r="AB173" s="215"/>
      <c r="AC173" s="275"/>
      <c r="AD173" s="214"/>
      <c r="AE173" s="214"/>
      <c r="AF173" s="214"/>
      <c r="AG173" s="214"/>
      <c r="AH173" s="258">
        <v>20</v>
      </c>
      <c r="AI173" s="275"/>
      <c r="AJ173" s="214"/>
      <c r="AK173" s="214"/>
      <c r="AL173" s="214"/>
      <c r="AM173" s="288"/>
      <c r="AN173" s="281"/>
      <c r="AO173" s="267"/>
    </row>
    <row r="174" spans="1:41" x14ac:dyDescent="0.3">
      <c r="U174" s="193"/>
      <c r="V174" s="193"/>
      <c r="W174" s="193"/>
      <c r="X174" s="193"/>
      <c r="Y174" s="193"/>
      <c r="Z174" s="193"/>
      <c r="AC174" s="193"/>
      <c r="AD174" s="193"/>
      <c r="AE174" s="193"/>
      <c r="AF174" s="193"/>
    </row>
    <row r="175" spans="1:41" x14ac:dyDescent="0.3">
      <c r="U175" s="193"/>
      <c r="V175" s="193"/>
      <c r="W175" s="193"/>
      <c r="X175" s="193"/>
      <c r="Y175" s="193"/>
      <c r="Z175" s="193"/>
      <c r="AC175" s="193"/>
      <c r="AD175" s="193"/>
      <c r="AE175" s="193"/>
      <c r="AF175" s="193"/>
    </row>
    <row r="176" spans="1:41" x14ac:dyDescent="0.3">
      <c r="U176" s="193"/>
      <c r="V176" s="193"/>
      <c r="W176" s="193"/>
      <c r="X176" s="193"/>
      <c r="Y176" s="193"/>
      <c r="Z176" s="193"/>
      <c r="AC176" s="193"/>
      <c r="AD176" s="193"/>
      <c r="AE176" s="193"/>
      <c r="AF176" s="193"/>
    </row>
    <row r="177" spans="21:32" x14ac:dyDescent="0.3">
      <c r="U177" s="193"/>
      <c r="V177" s="193"/>
      <c r="W177" s="193"/>
      <c r="X177" s="193"/>
      <c r="Y177" s="193"/>
      <c r="Z177" s="193"/>
      <c r="AC177" s="193"/>
      <c r="AD177" s="193"/>
      <c r="AE177" s="193"/>
      <c r="AF177" s="193"/>
    </row>
    <row r="178" spans="21:32" x14ac:dyDescent="0.3">
      <c r="U178" s="193"/>
      <c r="V178" s="193"/>
      <c r="W178" s="193"/>
      <c r="X178" s="193"/>
      <c r="Y178" s="193"/>
      <c r="Z178" s="193"/>
      <c r="AC178" s="193"/>
      <c r="AD178" s="193"/>
      <c r="AE178" s="193"/>
      <c r="AF178" s="193"/>
    </row>
    <row r="179" spans="21:32" x14ac:dyDescent="0.3">
      <c r="U179" s="193"/>
      <c r="V179" s="193"/>
      <c r="W179" s="193"/>
      <c r="X179" s="193"/>
      <c r="Y179" s="193"/>
      <c r="Z179" s="193"/>
      <c r="AC179" s="193"/>
      <c r="AD179" s="193"/>
      <c r="AE179" s="193"/>
      <c r="AF179" s="193"/>
    </row>
    <row r="180" spans="21:32" x14ac:dyDescent="0.3">
      <c r="U180" s="193"/>
      <c r="V180" s="193"/>
      <c r="W180" s="193"/>
      <c r="X180" s="193"/>
      <c r="Y180" s="193"/>
      <c r="Z180" s="193"/>
      <c r="AC180" s="193"/>
      <c r="AD180" s="193"/>
      <c r="AE180" s="193"/>
      <c r="AF180" s="193"/>
    </row>
    <row r="181" spans="21:32" x14ac:dyDescent="0.3">
      <c r="U181" s="193"/>
      <c r="V181" s="193"/>
      <c r="W181" s="193"/>
      <c r="X181" s="193"/>
      <c r="Y181" s="193"/>
      <c r="Z181" s="193"/>
      <c r="AC181" s="193"/>
      <c r="AD181" s="193"/>
      <c r="AE181" s="193"/>
      <c r="AF181" s="193"/>
    </row>
    <row r="182" spans="21:32" x14ac:dyDescent="0.3">
      <c r="U182" s="193"/>
      <c r="V182" s="193"/>
      <c r="W182" s="193"/>
      <c r="X182" s="193"/>
      <c r="Y182" s="193"/>
      <c r="Z182" s="193"/>
      <c r="AC182" s="193"/>
      <c r="AD182" s="193"/>
      <c r="AE182" s="193"/>
      <c r="AF182" s="193"/>
    </row>
    <row r="183" spans="21:32" x14ac:dyDescent="0.3">
      <c r="U183" s="193"/>
      <c r="V183" s="193"/>
      <c r="W183" s="193"/>
      <c r="X183" s="193"/>
      <c r="Y183" s="193"/>
      <c r="Z183" s="193"/>
      <c r="AC183" s="193"/>
      <c r="AD183" s="193"/>
      <c r="AE183" s="193"/>
      <c r="AF183" s="193"/>
    </row>
    <row r="184" spans="21:32" x14ac:dyDescent="0.3">
      <c r="U184" s="193"/>
      <c r="V184" s="193"/>
      <c r="W184" s="193"/>
      <c r="X184" s="193"/>
      <c r="Y184" s="193"/>
      <c r="Z184" s="193"/>
      <c r="AC184" s="193"/>
      <c r="AD184" s="193"/>
      <c r="AE184" s="193"/>
      <c r="AF184" s="193"/>
    </row>
    <row r="185" spans="21:32" x14ac:dyDescent="0.3">
      <c r="U185" s="193"/>
      <c r="V185" s="193"/>
      <c r="W185" s="193"/>
      <c r="X185" s="193"/>
      <c r="Y185" s="193"/>
      <c r="Z185" s="193"/>
      <c r="AC185" s="193"/>
      <c r="AD185" s="193"/>
      <c r="AE185" s="193"/>
      <c r="AF185" s="193"/>
    </row>
    <row r="186" spans="21:32" x14ac:dyDescent="0.3">
      <c r="U186" s="193"/>
      <c r="V186" s="193"/>
      <c r="W186" s="193"/>
      <c r="X186" s="193"/>
      <c r="Y186" s="193"/>
      <c r="Z186" s="193"/>
      <c r="AC186" s="193"/>
      <c r="AD186" s="193"/>
      <c r="AE186" s="193"/>
      <c r="AF186" s="193"/>
    </row>
    <row r="187" spans="21:32" x14ac:dyDescent="0.3">
      <c r="U187" s="193"/>
      <c r="V187" s="193"/>
      <c r="W187" s="193"/>
      <c r="X187" s="193"/>
      <c r="Y187" s="193"/>
      <c r="Z187" s="193"/>
      <c r="AC187" s="193"/>
      <c r="AD187" s="193"/>
      <c r="AE187" s="193"/>
      <c r="AF187" s="193"/>
    </row>
    <row r="188" spans="21:32" x14ac:dyDescent="0.3">
      <c r="U188" s="193"/>
      <c r="V188" s="193"/>
      <c r="W188" s="193"/>
      <c r="X188" s="193"/>
      <c r="Y188" s="193"/>
      <c r="Z188" s="193"/>
      <c r="AC188" s="193"/>
      <c r="AD188" s="193"/>
      <c r="AE188" s="193"/>
      <c r="AF188" s="193"/>
    </row>
    <row r="189" spans="21:32" x14ac:dyDescent="0.3">
      <c r="U189" s="193"/>
      <c r="V189" s="193"/>
      <c r="W189" s="193"/>
      <c r="X189" s="193"/>
      <c r="Y189" s="193"/>
      <c r="Z189" s="193"/>
      <c r="AC189" s="193"/>
      <c r="AD189" s="193"/>
      <c r="AE189" s="193"/>
      <c r="AF189" s="193"/>
    </row>
    <row r="190" spans="21:32" x14ac:dyDescent="0.3">
      <c r="U190" s="193"/>
      <c r="V190" s="193"/>
      <c r="W190" s="193"/>
      <c r="X190" s="193"/>
      <c r="Y190" s="193"/>
      <c r="Z190" s="193"/>
      <c r="AC190" s="193"/>
      <c r="AD190" s="193"/>
      <c r="AE190" s="193"/>
      <c r="AF190" s="193"/>
    </row>
    <row r="191" spans="21:32" x14ac:dyDescent="0.3">
      <c r="U191" s="193"/>
      <c r="V191" s="193"/>
      <c r="W191" s="193"/>
      <c r="X191" s="193"/>
      <c r="Y191" s="193"/>
      <c r="Z191" s="193"/>
      <c r="AC191" s="193"/>
      <c r="AD191" s="193"/>
      <c r="AE191" s="193"/>
      <c r="AF191" s="193"/>
    </row>
    <row r="192" spans="21:32" x14ac:dyDescent="0.3">
      <c r="U192" s="193"/>
      <c r="V192" s="193"/>
      <c r="W192" s="193"/>
      <c r="X192" s="193"/>
      <c r="Y192" s="193"/>
      <c r="Z192" s="193"/>
      <c r="AC192" s="193"/>
      <c r="AD192" s="193"/>
      <c r="AE192" s="193"/>
      <c r="AF192" s="193"/>
    </row>
    <row r="193" spans="21:32" x14ac:dyDescent="0.3">
      <c r="U193" s="193"/>
      <c r="V193" s="193"/>
      <c r="W193" s="193"/>
      <c r="X193" s="193"/>
      <c r="Y193" s="193"/>
      <c r="Z193" s="193"/>
      <c r="AC193" s="193"/>
      <c r="AD193" s="193"/>
      <c r="AE193" s="193"/>
      <c r="AF193" s="193"/>
    </row>
    <row r="194" spans="21:32" x14ac:dyDescent="0.3">
      <c r="U194" s="193"/>
      <c r="V194" s="193"/>
      <c r="W194" s="193"/>
      <c r="X194" s="193"/>
      <c r="Y194" s="193"/>
      <c r="Z194" s="193"/>
      <c r="AC194" s="193"/>
      <c r="AD194" s="193"/>
      <c r="AE194" s="193"/>
      <c r="AF194" s="193"/>
    </row>
    <row r="195" spans="21:32" x14ac:dyDescent="0.3">
      <c r="U195" s="193"/>
      <c r="V195" s="193"/>
      <c r="W195" s="193"/>
      <c r="X195" s="193"/>
      <c r="Y195" s="193"/>
      <c r="Z195" s="193"/>
      <c r="AC195" s="193"/>
      <c r="AD195" s="193"/>
      <c r="AE195" s="193"/>
      <c r="AF195" s="193"/>
    </row>
    <row r="196" spans="21:32" x14ac:dyDescent="0.3">
      <c r="U196" s="193"/>
      <c r="V196" s="193"/>
      <c r="W196" s="193"/>
      <c r="X196" s="193"/>
      <c r="Y196" s="193"/>
      <c r="Z196" s="193"/>
      <c r="AC196" s="193"/>
      <c r="AD196" s="193"/>
      <c r="AE196" s="193"/>
      <c r="AF196" s="193"/>
    </row>
    <row r="197" spans="21:32" x14ac:dyDescent="0.3">
      <c r="U197" s="193"/>
      <c r="V197" s="193"/>
      <c r="W197" s="193"/>
      <c r="X197" s="193"/>
      <c r="Y197" s="193"/>
      <c r="Z197" s="193"/>
      <c r="AC197" s="193"/>
      <c r="AD197" s="193"/>
      <c r="AE197" s="193"/>
      <c r="AF197" s="193"/>
    </row>
    <row r="198" spans="21:32" x14ac:dyDescent="0.3">
      <c r="U198" s="193"/>
      <c r="V198" s="193"/>
      <c r="W198" s="193"/>
      <c r="X198" s="193"/>
      <c r="Y198" s="193"/>
      <c r="Z198" s="193"/>
      <c r="AC198" s="193"/>
      <c r="AD198" s="193"/>
      <c r="AE198" s="193"/>
      <c r="AF198" s="193"/>
    </row>
    <row r="199" spans="21:32" x14ac:dyDescent="0.3">
      <c r="U199" s="193"/>
      <c r="V199" s="193"/>
      <c r="W199" s="193"/>
      <c r="X199" s="193"/>
      <c r="Y199" s="193"/>
      <c r="Z199" s="193"/>
      <c r="AC199" s="193"/>
      <c r="AD199" s="193"/>
      <c r="AE199" s="193"/>
      <c r="AF199" s="193"/>
    </row>
    <row r="200" spans="21:32" x14ac:dyDescent="0.3">
      <c r="U200" s="193"/>
      <c r="V200" s="193"/>
      <c r="W200" s="193"/>
      <c r="X200" s="193"/>
      <c r="Y200" s="193"/>
      <c r="Z200" s="193"/>
      <c r="AC200" s="193"/>
      <c r="AD200" s="193"/>
      <c r="AE200" s="193"/>
      <c r="AF200" s="193"/>
    </row>
    <row r="201" spans="21:32" x14ac:dyDescent="0.3">
      <c r="U201" s="193"/>
      <c r="V201" s="193"/>
      <c r="W201" s="193"/>
      <c r="X201" s="193"/>
      <c r="Y201" s="193"/>
      <c r="Z201" s="193"/>
      <c r="AC201" s="193"/>
      <c r="AD201" s="193"/>
      <c r="AE201" s="193"/>
      <c r="AF201" s="193"/>
    </row>
    <row r="202" spans="21:32" x14ac:dyDescent="0.3">
      <c r="U202" s="193"/>
      <c r="V202" s="193"/>
      <c r="W202" s="193"/>
      <c r="X202" s="193"/>
      <c r="Y202" s="193"/>
      <c r="Z202" s="193"/>
      <c r="AC202" s="193"/>
      <c r="AD202" s="193"/>
      <c r="AE202" s="193"/>
      <c r="AF202" s="193"/>
    </row>
    <row r="203" spans="21:32" x14ac:dyDescent="0.3">
      <c r="U203" s="193"/>
      <c r="V203" s="193"/>
      <c r="W203" s="193"/>
      <c r="X203" s="193"/>
      <c r="Y203" s="193"/>
      <c r="Z203" s="193"/>
      <c r="AC203" s="193"/>
      <c r="AD203" s="193"/>
      <c r="AE203" s="193"/>
      <c r="AF203" s="193"/>
    </row>
    <row r="204" spans="21:32" x14ac:dyDescent="0.3">
      <c r="U204" s="193"/>
      <c r="V204" s="193"/>
      <c r="W204" s="193"/>
      <c r="X204" s="193"/>
      <c r="Y204" s="193"/>
      <c r="Z204" s="193"/>
      <c r="AC204" s="193"/>
      <c r="AD204" s="193"/>
      <c r="AE204" s="193"/>
      <c r="AF204" s="193"/>
    </row>
    <row r="205" spans="21:32" x14ac:dyDescent="0.3">
      <c r="U205" s="193"/>
      <c r="V205" s="193"/>
      <c r="W205" s="193"/>
      <c r="X205" s="193"/>
      <c r="Y205" s="193"/>
      <c r="Z205" s="193"/>
      <c r="AC205" s="193"/>
      <c r="AD205" s="193"/>
      <c r="AE205" s="193"/>
      <c r="AF205" s="193"/>
    </row>
    <row r="206" spans="21:32" x14ac:dyDescent="0.3">
      <c r="U206" s="193"/>
      <c r="V206" s="193"/>
      <c r="W206" s="193"/>
      <c r="X206" s="193"/>
      <c r="Y206" s="193"/>
      <c r="Z206" s="193"/>
      <c r="AC206" s="193"/>
      <c r="AD206" s="193"/>
      <c r="AE206" s="193"/>
      <c r="AF206" s="193"/>
    </row>
    <row r="207" spans="21:32" x14ac:dyDescent="0.3">
      <c r="U207" s="193"/>
      <c r="V207" s="193"/>
      <c r="W207" s="193"/>
      <c r="X207" s="193"/>
      <c r="Y207" s="193"/>
      <c r="Z207" s="193"/>
      <c r="AC207" s="193"/>
      <c r="AD207" s="193"/>
      <c r="AE207" s="193"/>
      <c r="AF207" s="193"/>
    </row>
    <row r="208" spans="21:32" x14ac:dyDescent="0.3">
      <c r="U208" s="193"/>
      <c r="V208" s="193"/>
      <c r="W208" s="193"/>
      <c r="X208" s="193"/>
      <c r="Y208" s="193"/>
      <c r="Z208" s="193"/>
      <c r="AC208" s="193"/>
      <c r="AD208" s="193"/>
      <c r="AE208" s="193"/>
      <c r="AF208" s="193"/>
    </row>
    <row r="209" spans="21:32" x14ac:dyDescent="0.3">
      <c r="U209" s="193"/>
      <c r="V209" s="193"/>
      <c r="W209" s="193"/>
      <c r="X209" s="193"/>
      <c r="Y209" s="193"/>
      <c r="Z209" s="193"/>
      <c r="AC209" s="193"/>
      <c r="AD209" s="193"/>
      <c r="AE209" s="193"/>
      <c r="AF209" s="193"/>
    </row>
    <row r="210" spans="21:32" x14ac:dyDescent="0.3">
      <c r="U210" s="193"/>
      <c r="V210" s="193"/>
      <c r="W210" s="193"/>
      <c r="X210" s="193"/>
      <c r="Y210" s="193"/>
      <c r="Z210" s="193"/>
      <c r="AC210" s="193"/>
      <c r="AD210" s="193"/>
      <c r="AE210" s="193"/>
      <c r="AF210" s="193"/>
    </row>
    <row r="211" spans="21:32" x14ac:dyDescent="0.3">
      <c r="U211" s="193"/>
      <c r="V211" s="193"/>
      <c r="W211" s="193"/>
      <c r="X211" s="193"/>
      <c r="Y211" s="193"/>
      <c r="Z211" s="193"/>
      <c r="AC211" s="193"/>
      <c r="AD211" s="193"/>
      <c r="AE211" s="193"/>
      <c r="AF211" s="193"/>
    </row>
    <row r="212" spans="21:32" x14ac:dyDescent="0.3">
      <c r="U212" s="193"/>
      <c r="V212" s="193"/>
      <c r="W212" s="193"/>
      <c r="X212" s="193"/>
      <c r="Y212" s="193"/>
      <c r="Z212" s="193"/>
      <c r="AC212" s="193"/>
      <c r="AD212" s="193"/>
      <c r="AE212" s="193"/>
      <c r="AF212" s="193"/>
    </row>
    <row r="213" spans="21:32" x14ac:dyDescent="0.3">
      <c r="U213" s="193"/>
      <c r="V213" s="193"/>
      <c r="W213" s="193"/>
      <c r="X213" s="193"/>
      <c r="Y213" s="193"/>
      <c r="Z213" s="193"/>
      <c r="AC213" s="193"/>
      <c r="AD213" s="193"/>
      <c r="AE213" s="193"/>
      <c r="AF213" s="193"/>
    </row>
    <row r="214" spans="21:32" x14ac:dyDescent="0.3">
      <c r="U214" s="193"/>
      <c r="V214" s="193"/>
      <c r="W214" s="193"/>
      <c r="X214" s="193"/>
      <c r="Y214" s="193"/>
      <c r="Z214" s="193"/>
      <c r="AC214" s="193"/>
      <c r="AD214" s="193"/>
      <c r="AE214" s="193"/>
      <c r="AF214" s="193"/>
    </row>
    <row r="215" spans="21:32" x14ac:dyDescent="0.3">
      <c r="U215" s="193"/>
      <c r="V215" s="193"/>
      <c r="W215" s="193"/>
      <c r="X215" s="193"/>
      <c r="Y215" s="193"/>
      <c r="Z215" s="193"/>
      <c r="AC215" s="193"/>
      <c r="AD215" s="193"/>
      <c r="AE215" s="193"/>
      <c r="AF215" s="193"/>
    </row>
    <row r="216" spans="21:32" x14ac:dyDescent="0.3">
      <c r="U216" s="193"/>
      <c r="V216" s="193"/>
      <c r="W216" s="193"/>
      <c r="X216" s="193"/>
      <c r="Y216" s="193"/>
      <c r="Z216" s="193"/>
      <c r="AC216" s="193"/>
      <c r="AD216" s="193"/>
      <c r="AE216" s="193"/>
      <c r="AF216" s="193"/>
    </row>
    <row r="217" spans="21:32" x14ac:dyDescent="0.3">
      <c r="U217" s="193"/>
      <c r="V217" s="193"/>
      <c r="W217" s="193"/>
      <c r="X217" s="193"/>
      <c r="Y217" s="193"/>
      <c r="Z217" s="193"/>
      <c r="AC217" s="193"/>
      <c r="AD217" s="193"/>
      <c r="AE217" s="193"/>
      <c r="AF217" s="193"/>
    </row>
    <row r="218" spans="21:32" x14ac:dyDescent="0.3">
      <c r="U218" s="193"/>
      <c r="V218" s="193"/>
      <c r="W218" s="193"/>
      <c r="X218" s="193"/>
      <c r="Y218" s="193"/>
      <c r="Z218" s="193"/>
      <c r="AC218" s="193"/>
      <c r="AD218" s="193"/>
      <c r="AE218" s="193"/>
      <c r="AF218" s="193"/>
    </row>
    <row r="219" spans="21:32" x14ac:dyDescent="0.3">
      <c r="U219" s="193"/>
      <c r="V219" s="193"/>
      <c r="W219" s="193"/>
      <c r="X219" s="193"/>
      <c r="Y219" s="193"/>
      <c r="Z219" s="193"/>
      <c r="AC219" s="193"/>
      <c r="AD219" s="193"/>
      <c r="AE219" s="193"/>
      <c r="AF219" s="193"/>
    </row>
    <row r="220" spans="21:32" x14ac:dyDescent="0.3">
      <c r="U220" s="193"/>
      <c r="V220" s="193"/>
      <c r="W220" s="193"/>
      <c r="X220" s="193"/>
      <c r="Y220" s="193"/>
      <c r="Z220" s="193"/>
      <c r="AC220" s="193"/>
      <c r="AD220" s="193"/>
      <c r="AE220" s="193"/>
      <c r="AF220" s="193"/>
    </row>
    <row r="221" spans="21:32" x14ac:dyDescent="0.3">
      <c r="U221" s="193"/>
      <c r="V221" s="193"/>
      <c r="W221" s="193"/>
      <c r="X221" s="193"/>
      <c r="Y221" s="193"/>
      <c r="Z221" s="193"/>
      <c r="AC221" s="193"/>
      <c r="AD221" s="193"/>
      <c r="AE221" s="193"/>
      <c r="AF221" s="193"/>
    </row>
    <row r="222" spans="21:32" x14ac:dyDescent="0.3">
      <c r="U222" s="193"/>
      <c r="V222" s="193"/>
      <c r="W222" s="193"/>
      <c r="X222" s="193"/>
      <c r="Y222" s="193"/>
      <c r="Z222" s="193"/>
      <c r="AC222" s="193"/>
      <c r="AD222" s="193"/>
      <c r="AE222" s="193"/>
      <c r="AF222" s="193"/>
    </row>
    <row r="223" spans="21:32" x14ac:dyDescent="0.3">
      <c r="U223" s="193"/>
      <c r="V223" s="193"/>
      <c r="W223" s="193"/>
      <c r="X223" s="193"/>
      <c r="Y223" s="193"/>
      <c r="Z223" s="193"/>
      <c r="AC223" s="193"/>
      <c r="AD223" s="193"/>
      <c r="AE223" s="193"/>
      <c r="AF223" s="193"/>
    </row>
    <row r="224" spans="21:32" x14ac:dyDescent="0.3">
      <c r="U224" s="193"/>
      <c r="V224" s="193"/>
      <c r="W224" s="193"/>
      <c r="X224" s="193"/>
      <c r="Y224" s="193"/>
      <c r="Z224" s="193"/>
      <c r="AC224" s="193"/>
      <c r="AD224" s="193"/>
      <c r="AE224" s="193"/>
      <c r="AF224" s="193"/>
    </row>
    <row r="225" spans="21:32" x14ac:dyDescent="0.3">
      <c r="U225" s="193"/>
      <c r="V225" s="193"/>
      <c r="W225" s="193"/>
      <c r="X225" s="193"/>
      <c r="Y225" s="193"/>
      <c r="Z225" s="193"/>
      <c r="AC225" s="193"/>
      <c r="AD225" s="193"/>
      <c r="AE225" s="193"/>
      <c r="AF225" s="193"/>
    </row>
    <row r="226" spans="21:32" x14ac:dyDescent="0.3">
      <c r="U226" s="193"/>
      <c r="V226" s="193"/>
      <c r="W226" s="193"/>
      <c r="X226" s="193"/>
      <c r="Y226" s="193"/>
      <c r="Z226" s="193"/>
      <c r="AC226" s="193"/>
      <c r="AD226" s="193"/>
      <c r="AE226" s="193"/>
      <c r="AF226" s="193"/>
    </row>
    <row r="227" spans="21:32" x14ac:dyDescent="0.3">
      <c r="U227" s="193"/>
      <c r="V227" s="193"/>
      <c r="W227" s="193"/>
      <c r="X227" s="193"/>
      <c r="Y227" s="193"/>
      <c r="Z227" s="193"/>
      <c r="AC227" s="193"/>
      <c r="AD227" s="193"/>
      <c r="AE227" s="193"/>
      <c r="AF227" s="193"/>
    </row>
    <row r="228" spans="21:32" x14ac:dyDescent="0.3">
      <c r="U228" s="193"/>
      <c r="V228" s="193"/>
      <c r="W228" s="193"/>
      <c r="X228" s="193"/>
      <c r="Y228" s="193"/>
      <c r="Z228" s="193"/>
      <c r="AC228" s="193"/>
      <c r="AD228" s="193"/>
      <c r="AE228" s="193"/>
      <c r="AF228" s="193"/>
    </row>
    <row r="229" spans="21:32" x14ac:dyDescent="0.3">
      <c r="U229" s="193"/>
      <c r="V229" s="193"/>
      <c r="W229" s="193"/>
      <c r="X229" s="193"/>
      <c r="Y229" s="193"/>
      <c r="Z229" s="193"/>
      <c r="AC229" s="193"/>
      <c r="AD229" s="193"/>
      <c r="AE229" s="193"/>
      <c r="AF229" s="193"/>
    </row>
    <row r="230" spans="21:32" x14ac:dyDescent="0.3">
      <c r="U230" s="193"/>
      <c r="V230" s="193"/>
      <c r="W230" s="193"/>
      <c r="X230" s="193"/>
      <c r="Y230" s="193"/>
      <c r="Z230" s="193"/>
      <c r="AC230" s="193"/>
      <c r="AD230" s="193"/>
      <c r="AE230" s="193"/>
      <c r="AF230" s="193"/>
    </row>
    <row r="231" spans="21:32" x14ac:dyDescent="0.3">
      <c r="U231" s="193"/>
      <c r="V231" s="193"/>
      <c r="W231" s="193"/>
      <c r="X231" s="193"/>
      <c r="Y231" s="193"/>
      <c r="Z231" s="193"/>
      <c r="AC231" s="193"/>
      <c r="AD231" s="193"/>
      <c r="AE231" s="193"/>
      <c r="AF231" s="193"/>
    </row>
    <row r="232" spans="21:32" x14ac:dyDescent="0.3">
      <c r="U232" s="193"/>
      <c r="V232" s="193"/>
      <c r="W232" s="193"/>
      <c r="X232" s="193"/>
      <c r="Y232" s="193"/>
      <c r="Z232" s="193"/>
      <c r="AC232" s="193"/>
      <c r="AD232" s="193"/>
      <c r="AE232" s="193"/>
      <c r="AF232" s="193"/>
    </row>
    <row r="233" spans="21:32" x14ac:dyDescent="0.3">
      <c r="U233" s="193"/>
      <c r="V233" s="193"/>
      <c r="W233" s="193"/>
      <c r="X233" s="193"/>
      <c r="Y233" s="193"/>
      <c r="Z233" s="193"/>
      <c r="AC233" s="193"/>
      <c r="AD233" s="193"/>
      <c r="AE233" s="193"/>
      <c r="AF233" s="193"/>
    </row>
    <row r="234" spans="21:32" x14ac:dyDescent="0.3">
      <c r="U234" s="193"/>
      <c r="V234" s="193"/>
      <c r="W234" s="193"/>
      <c r="X234" s="193"/>
      <c r="Y234" s="193"/>
      <c r="Z234" s="193"/>
      <c r="AC234" s="193"/>
      <c r="AD234" s="193"/>
      <c r="AE234" s="193"/>
      <c r="AF234" s="193"/>
    </row>
    <row r="235" spans="21:32" x14ac:dyDescent="0.3">
      <c r="U235" s="193"/>
      <c r="V235" s="193"/>
      <c r="W235" s="193"/>
      <c r="X235" s="193"/>
      <c r="Y235" s="193"/>
      <c r="Z235" s="193"/>
      <c r="AC235" s="193"/>
      <c r="AD235" s="193"/>
      <c r="AE235" s="193"/>
      <c r="AF235" s="193"/>
    </row>
    <row r="236" spans="21:32" x14ac:dyDescent="0.3">
      <c r="U236" s="193"/>
      <c r="V236" s="193"/>
      <c r="W236" s="193"/>
      <c r="X236" s="193"/>
      <c r="Y236" s="193"/>
      <c r="Z236" s="193"/>
      <c r="AC236" s="193"/>
      <c r="AD236" s="193"/>
      <c r="AE236" s="193"/>
      <c r="AF236" s="193"/>
    </row>
    <row r="237" spans="21:32" x14ac:dyDescent="0.3">
      <c r="U237" s="193"/>
      <c r="V237" s="193"/>
      <c r="W237" s="193"/>
      <c r="X237" s="193"/>
      <c r="Y237" s="193"/>
      <c r="Z237" s="193"/>
      <c r="AC237" s="193"/>
      <c r="AD237" s="193"/>
      <c r="AE237" s="193"/>
      <c r="AF237" s="193"/>
    </row>
    <row r="238" spans="21:32" x14ac:dyDescent="0.3">
      <c r="U238" s="193"/>
      <c r="V238" s="193"/>
      <c r="W238" s="193"/>
      <c r="X238" s="193"/>
      <c r="Y238" s="193"/>
      <c r="Z238" s="193"/>
      <c r="AC238" s="193"/>
      <c r="AD238" s="193"/>
      <c r="AE238" s="193"/>
      <c r="AF238" s="193"/>
    </row>
    <row r="239" spans="21:32" x14ac:dyDescent="0.3">
      <c r="U239" s="193"/>
      <c r="V239" s="193"/>
      <c r="W239" s="193"/>
      <c r="X239" s="193"/>
      <c r="Y239" s="193"/>
      <c r="Z239" s="193"/>
      <c r="AC239" s="193"/>
      <c r="AD239" s="193"/>
      <c r="AE239" s="193"/>
      <c r="AF239" s="193"/>
    </row>
    <row r="240" spans="21:32" x14ac:dyDescent="0.3">
      <c r="U240" s="193"/>
      <c r="V240" s="193"/>
      <c r="W240" s="193"/>
      <c r="X240" s="193"/>
      <c r="Y240" s="193"/>
      <c r="Z240" s="193"/>
      <c r="AC240" s="193"/>
      <c r="AD240" s="193"/>
      <c r="AE240" s="193"/>
      <c r="AF240" s="193"/>
    </row>
    <row r="241" spans="21:32" x14ac:dyDescent="0.3">
      <c r="U241" s="193"/>
      <c r="V241" s="193"/>
      <c r="W241" s="193"/>
      <c r="X241" s="193"/>
      <c r="Y241" s="193"/>
      <c r="Z241" s="193"/>
      <c r="AC241" s="193"/>
      <c r="AD241" s="193"/>
      <c r="AE241" s="193"/>
      <c r="AF241" s="193"/>
    </row>
    <row r="242" spans="21:32" x14ac:dyDescent="0.3">
      <c r="U242" s="193"/>
      <c r="V242" s="193"/>
      <c r="W242" s="193"/>
      <c r="X242" s="193"/>
      <c r="Y242" s="193"/>
      <c r="Z242" s="193"/>
      <c r="AC242" s="193"/>
      <c r="AD242" s="193"/>
      <c r="AE242" s="193"/>
      <c r="AF242" s="193"/>
    </row>
    <row r="243" spans="21:32" x14ac:dyDescent="0.3">
      <c r="U243" s="193"/>
      <c r="V243" s="193"/>
      <c r="W243" s="193"/>
      <c r="X243" s="193"/>
      <c r="Y243" s="193"/>
      <c r="Z243" s="193"/>
      <c r="AC243" s="193"/>
      <c r="AD243" s="193"/>
      <c r="AE243" s="193"/>
      <c r="AF243" s="193"/>
    </row>
    <row r="244" spans="21:32" x14ac:dyDescent="0.3">
      <c r="U244" s="193"/>
      <c r="V244" s="193"/>
      <c r="W244" s="193"/>
      <c r="X244" s="193"/>
      <c r="Y244" s="193"/>
      <c r="Z244" s="193"/>
      <c r="AC244" s="193"/>
      <c r="AD244" s="193"/>
      <c r="AE244" s="193"/>
      <c r="AF244" s="193"/>
    </row>
    <row r="245" spans="21:32" x14ac:dyDescent="0.3">
      <c r="U245" s="193"/>
      <c r="V245" s="193"/>
      <c r="W245" s="193"/>
      <c r="X245" s="193"/>
      <c r="Y245" s="193"/>
      <c r="Z245" s="193"/>
      <c r="AC245" s="193"/>
      <c r="AD245" s="193"/>
      <c r="AE245" s="193"/>
      <c r="AF245" s="193"/>
    </row>
    <row r="246" spans="21:32" x14ac:dyDescent="0.3">
      <c r="U246" s="193"/>
      <c r="V246" s="193"/>
      <c r="W246" s="193"/>
      <c r="X246" s="193"/>
      <c r="Y246" s="193"/>
      <c r="Z246" s="193"/>
      <c r="AC246" s="193"/>
      <c r="AD246" s="193"/>
      <c r="AE246" s="193"/>
      <c r="AF246" s="193"/>
    </row>
    <row r="247" spans="21:32" x14ac:dyDescent="0.3">
      <c r="U247" s="193"/>
      <c r="V247" s="193"/>
      <c r="W247" s="193"/>
      <c r="X247" s="193"/>
      <c r="Y247" s="193"/>
      <c r="Z247" s="193"/>
      <c r="AC247" s="193"/>
      <c r="AD247" s="193"/>
      <c r="AE247" s="193"/>
      <c r="AF247" s="193"/>
    </row>
    <row r="248" spans="21:32" x14ac:dyDescent="0.3">
      <c r="U248" s="193"/>
      <c r="V248" s="193"/>
      <c r="W248" s="193"/>
      <c r="X248" s="193"/>
      <c r="Y248" s="193"/>
      <c r="Z248" s="193"/>
      <c r="AC248" s="193"/>
      <c r="AD248" s="193"/>
      <c r="AE248" s="193"/>
      <c r="AF248" s="193"/>
    </row>
    <row r="249" spans="21:32" x14ac:dyDescent="0.3">
      <c r="U249" s="193"/>
      <c r="V249" s="193"/>
      <c r="W249" s="193"/>
      <c r="X249" s="193"/>
      <c r="Y249" s="193"/>
      <c r="Z249" s="193"/>
      <c r="AC249" s="193"/>
      <c r="AD249" s="193"/>
      <c r="AE249" s="193"/>
      <c r="AF249" s="193"/>
    </row>
    <row r="250" spans="21:32" x14ac:dyDescent="0.3">
      <c r="U250" s="193"/>
      <c r="V250" s="193"/>
      <c r="W250" s="193"/>
      <c r="X250" s="193"/>
      <c r="Y250" s="193"/>
      <c r="Z250" s="193"/>
      <c r="AC250" s="193"/>
      <c r="AD250" s="193"/>
      <c r="AE250" s="193"/>
      <c r="AF250" s="193"/>
    </row>
    <row r="251" spans="21:32" x14ac:dyDescent="0.3">
      <c r="U251" s="193"/>
      <c r="V251" s="193"/>
      <c r="W251" s="193"/>
      <c r="X251" s="193"/>
      <c r="Y251" s="193"/>
      <c r="Z251" s="193"/>
      <c r="AC251" s="193"/>
      <c r="AD251" s="193"/>
      <c r="AE251" s="193"/>
      <c r="AF251" s="193"/>
    </row>
    <row r="252" spans="21:32" x14ac:dyDescent="0.3">
      <c r="U252" s="193"/>
      <c r="V252" s="193"/>
      <c r="W252" s="193"/>
      <c r="X252" s="193"/>
      <c r="Y252" s="193"/>
      <c r="Z252" s="193"/>
      <c r="AC252" s="193"/>
      <c r="AD252" s="193"/>
      <c r="AE252" s="193"/>
      <c r="AF252" s="193"/>
    </row>
    <row r="253" spans="21:32" x14ac:dyDescent="0.3">
      <c r="U253" s="193"/>
      <c r="V253" s="193"/>
      <c r="W253" s="193"/>
      <c r="X253" s="193"/>
      <c r="Y253" s="193"/>
      <c r="Z253" s="193"/>
      <c r="AC253" s="193"/>
      <c r="AD253" s="193"/>
      <c r="AE253" s="193"/>
      <c r="AF253" s="193"/>
    </row>
    <row r="254" spans="21:32" x14ac:dyDescent="0.3">
      <c r="U254" s="193"/>
      <c r="V254" s="193"/>
      <c r="W254" s="193"/>
      <c r="X254" s="193"/>
      <c r="Y254" s="193"/>
      <c r="Z254" s="193"/>
      <c r="AC254" s="193"/>
      <c r="AD254" s="193"/>
      <c r="AE254" s="193"/>
      <c r="AF254" s="193"/>
    </row>
    <row r="255" spans="21:32" x14ac:dyDescent="0.3">
      <c r="U255" s="193"/>
      <c r="V255" s="193"/>
      <c r="W255" s="193"/>
      <c r="X255" s="193"/>
      <c r="Y255" s="193"/>
      <c r="Z255" s="193"/>
      <c r="AC255" s="193"/>
      <c r="AD255" s="193"/>
      <c r="AE255" s="193"/>
      <c r="AF255" s="193"/>
    </row>
    <row r="256" spans="21:32" x14ac:dyDescent="0.3">
      <c r="U256" s="193"/>
      <c r="V256" s="193"/>
      <c r="W256" s="193"/>
      <c r="X256" s="193"/>
      <c r="Y256" s="193"/>
      <c r="Z256" s="193"/>
      <c r="AC256" s="193"/>
      <c r="AD256" s="193"/>
      <c r="AE256" s="193"/>
      <c r="AF256" s="193"/>
    </row>
    <row r="257" spans="21:32" x14ac:dyDescent="0.3">
      <c r="U257" s="193"/>
      <c r="V257" s="193"/>
      <c r="W257" s="193"/>
      <c r="X257" s="193"/>
      <c r="Y257" s="193"/>
      <c r="Z257" s="193"/>
      <c r="AC257" s="193"/>
      <c r="AD257" s="193"/>
      <c r="AE257" s="193"/>
      <c r="AF257" s="193"/>
    </row>
    <row r="258" spans="21:32" x14ac:dyDescent="0.3">
      <c r="U258" s="193"/>
      <c r="V258" s="193"/>
      <c r="W258" s="193"/>
      <c r="X258" s="193"/>
      <c r="Y258" s="193"/>
      <c r="Z258" s="193"/>
      <c r="AC258" s="193"/>
      <c r="AD258" s="193"/>
      <c r="AE258" s="193"/>
      <c r="AF258" s="193"/>
    </row>
    <row r="259" spans="21:32" x14ac:dyDescent="0.3">
      <c r="U259" s="193"/>
      <c r="V259" s="193"/>
      <c r="W259" s="193"/>
      <c r="X259" s="193"/>
      <c r="Y259" s="193"/>
      <c r="Z259" s="193"/>
      <c r="AC259" s="193"/>
      <c r="AD259" s="193"/>
      <c r="AE259" s="193"/>
      <c r="AF259" s="193"/>
    </row>
    <row r="260" spans="21:32" x14ac:dyDescent="0.3">
      <c r="U260" s="193"/>
      <c r="V260" s="193"/>
      <c r="W260" s="193"/>
      <c r="X260" s="193"/>
      <c r="Y260" s="193"/>
      <c r="Z260" s="193"/>
      <c r="AC260" s="193"/>
      <c r="AD260" s="193"/>
      <c r="AE260" s="193"/>
      <c r="AF260" s="193"/>
    </row>
    <row r="261" spans="21:32" x14ac:dyDescent="0.3">
      <c r="U261" s="193"/>
      <c r="V261" s="193"/>
      <c r="W261" s="193"/>
      <c r="X261" s="193"/>
      <c r="Y261" s="193"/>
      <c r="Z261" s="193"/>
      <c r="AC261" s="193"/>
      <c r="AD261" s="193"/>
      <c r="AE261" s="193"/>
      <c r="AF261" s="193"/>
    </row>
    <row r="262" spans="21:32" x14ac:dyDescent="0.3">
      <c r="U262" s="193"/>
      <c r="V262" s="193"/>
      <c r="W262" s="193"/>
      <c r="X262" s="193"/>
      <c r="Y262" s="193"/>
      <c r="Z262" s="193"/>
      <c r="AC262" s="193"/>
      <c r="AD262" s="193"/>
      <c r="AE262" s="193"/>
      <c r="AF262" s="193"/>
    </row>
    <row r="263" spans="21:32" x14ac:dyDescent="0.3">
      <c r="U263" s="193"/>
      <c r="V263" s="193"/>
      <c r="W263" s="193"/>
      <c r="X263" s="193"/>
      <c r="Y263" s="193"/>
      <c r="Z263" s="193"/>
      <c r="AC263" s="193"/>
      <c r="AD263" s="193"/>
      <c r="AE263" s="193"/>
      <c r="AF263" s="193"/>
    </row>
    <row r="264" spans="21:32" x14ac:dyDescent="0.3">
      <c r="U264" s="193"/>
      <c r="V264" s="193"/>
      <c r="W264" s="193"/>
      <c r="X264" s="193"/>
      <c r="Y264" s="193"/>
      <c r="Z264" s="193"/>
      <c r="AC264" s="193"/>
      <c r="AD264" s="193"/>
      <c r="AE264" s="193"/>
      <c r="AF264" s="193"/>
    </row>
    <row r="265" spans="21:32" x14ac:dyDescent="0.3">
      <c r="U265" s="193"/>
      <c r="V265" s="193"/>
      <c r="W265" s="193"/>
      <c r="X265" s="193"/>
      <c r="Y265" s="193"/>
      <c r="Z265" s="193"/>
      <c r="AC265" s="193"/>
      <c r="AD265" s="193"/>
      <c r="AE265" s="193"/>
      <c r="AF265" s="193"/>
    </row>
    <row r="266" spans="21:32" x14ac:dyDescent="0.3">
      <c r="U266" s="193"/>
      <c r="V266" s="193"/>
      <c r="W266" s="193"/>
      <c r="X266" s="193"/>
      <c r="Y266" s="193"/>
      <c r="Z266" s="193"/>
      <c r="AC266" s="193"/>
      <c r="AD266" s="193"/>
      <c r="AE266" s="193"/>
      <c r="AF266" s="193"/>
    </row>
    <row r="267" spans="21:32" x14ac:dyDescent="0.3">
      <c r="U267" s="193"/>
      <c r="V267" s="193"/>
      <c r="W267" s="193"/>
      <c r="X267" s="193"/>
      <c r="Y267" s="193"/>
      <c r="Z267" s="193"/>
      <c r="AC267" s="193"/>
      <c r="AD267" s="193"/>
      <c r="AE267" s="193"/>
      <c r="AF267" s="193"/>
    </row>
    <row r="268" spans="21:32" x14ac:dyDescent="0.3">
      <c r="U268" s="193"/>
      <c r="V268" s="193"/>
      <c r="W268" s="193"/>
      <c r="X268" s="193"/>
      <c r="Y268" s="193"/>
      <c r="Z268" s="193"/>
      <c r="AC268" s="193"/>
      <c r="AD268" s="193"/>
      <c r="AE268" s="193"/>
      <c r="AF268" s="193"/>
    </row>
    <row r="269" spans="21:32" x14ac:dyDescent="0.3">
      <c r="U269" s="193"/>
      <c r="V269" s="193"/>
      <c r="W269" s="193"/>
      <c r="X269" s="193"/>
      <c r="Y269" s="193"/>
      <c r="Z269" s="193"/>
      <c r="AC269" s="193"/>
      <c r="AD269" s="193"/>
      <c r="AE269" s="193"/>
      <c r="AF269" s="193"/>
    </row>
    <row r="270" spans="21:32" x14ac:dyDescent="0.3">
      <c r="U270" s="193"/>
      <c r="V270" s="193"/>
      <c r="W270" s="193"/>
      <c r="X270" s="193"/>
      <c r="Y270" s="193"/>
      <c r="Z270" s="193"/>
      <c r="AC270" s="193"/>
      <c r="AD270" s="193"/>
      <c r="AE270" s="193"/>
      <c r="AF270" s="193"/>
    </row>
    <row r="271" spans="21:32" x14ac:dyDescent="0.3">
      <c r="U271" s="193"/>
      <c r="V271" s="193"/>
      <c r="W271" s="193"/>
      <c r="X271" s="193"/>
      <c r="Y271" s="193"/>
      <c r="Z271" s="193"/>
      <c r="AC271" s="193"/>
      <c r="AD271" s="193"/>
      <c r="AE271" s="193"/>
      <c r="AF271" s="193"/>
    </row>
    <row r="272" spans="21:32" x14ac:dyDescent="0.3">
      <c r="U272" s="193"/>
      <c r="V272" s="193"/>
      <c r="W272" s="193"/>
      <c r="X272" s="193"/>
      <c r="Y272" s="193"/>
      <c r="Z272" s="193"/>
      <c r="AC272" s="193"/>
      <c r="AD272" s="193"/>
      <c r="AE272" s="193"/>
      <c r="AF272" s="193"/>
    </row>
    <row r="273" spans="21:32" x14ac:dyDescent="0.3">
      <c r="U273" s="193"/>
      <c r="V273" s="193"/>
      <c r="W273" s="193"/>
      <c r="X273" s="193"/>
      <c r="Y273" s="193"/>
      <c r="Z273" s="193"/>
      <c r="AC273" s="193"/>
      <c r="AD273" s="193"/>
      <c r="AE273" s="193"/>
      <c r="AF273" s="193"/>
    </row>
    <row r="274" spans="21:32" x14ac:dyDescent="0.3">
      <c r="U274" s="193"/>
      <c r="V274" s="193"/>
      <c r="W274" s="193"/>
      <c r="X274" s="193"/>
      <c r="Y274" s="193"/>
      <c r="Z274" s="193"/>
      <c r="AC274" s="193"/>
      <c r="AD274" s="193"/>
      <c r="AE274" s="193"/>
      <c r="AF274" s="193"/>
    </row>
    <row r="275" spans="21:32" x14ac:dyDescent="0.3">
      <c r="U275" s="193"/>
      <c r="V275" s="193"/>
      <c r="W275" s="193"/>
      <c r="X275" s="193"/>
      <c r="Y275" s="193"/>
      <c r="Z275" s="193"/>
      <c r="AC275" s="193"/>
      <c r="AD275" s="193"/>
      <c r="AE275" s="193"/>
      <c r="AF275" s="193"/>
    </row>
    <row r="276" spans="21:32" x14ac:dyDescent="0.3">
      <c r="U276" s="193"/>
      <c r="V276" s="193"/>
      <c r="W276" s="193"/>
      <c r="X276" s="193"/>
      <c r="Y276" s="193"/>
      <c r="Z276" s="193"/>
      <c r="AC276" s="193"/>
      <c r="AD276" s="193"/>
      <c r="AE276" s="193"/>
      <c r="AF276" s="193"/>
    </row>
    <row r="277" spans="21:32" x14ac:dyDescent="0.3">
      <c r="U277" s="193"/>
      <c r="V277" s="193"/>
      <c r="W277" s="193"/>
      <c r="X277" s="193"/>
      <c r="Y277" s="193"/>
      <c r="Z277" s="193"/>
      <c r="AC277" s="193"/>
      <c r="AD277" s="193"/>
      <c r="AE277" s="193"/>
      <c r="AF277" s="193"/>
    </row>
    <row r="278" spans="21:32" x14ac:dyDescent="0.3">
      <c r="U278" s="193"/>
      <c r="V278" s="193"/>
      <c r="W278" s="193"/>
      <c r="X278" s="193"/>
      <c r="Y278" s="193"/>
      <c r="Z278" s="193"/>
      <c r="AC278" s="193"/>
      <c r="AD278" s="193"/>
      <c r="AE278" s="193"/>
      <c r="AF278" s="193"/>
    </row>
    <row r="279" spans="21:32" x14ac:dyDescent="0.3">
      <c r="U279" s="193"/>
      <c r="V279" s="193"/>
      <c r="W279" s="193"/>
      <c r="X279" s="193"/>
      <c r="Y279" s="193"/>
      <c r="Z279" s="193"/>
      <c r="AC279" s="193"/>
      <c r="AD279" s="193"/>
      <c r="AE279" s="193"/>
      <c r="AF279" s="193"/>
    </row>
    <row r="280" spans="21:32" x14ac:dyDescent="0.3">
      <c r="U280" s="193"/>
      <c r="V280" s="193"/>
      <c r="W280" s="193"/>
      <c r="X280" s="193"/>
      <c r="Y280" s="193"/>
      <c r="Z280" s="193"/>
      <c r="AC280" s="193"/>
      <c r="AD280" s="193"/>
      <c r="AE280" s="193"/>
      <c r="AF280" s="193"/>
    </row>
    <row r="281" spans="21:32" x14ac:dyDescent="0.3">
      <c r="U281" s="193"/>
      <c r="V281" s="193"/>
      <c r="W281" s="193"/>
      <c r="X281" s="193"/>
      <c r="Y281" s="193"/>
      <c r="Z281" s="193"/>
      <c r="AC281" s="193"/>
      <c r="AD281" s="193"/>
      <c r="AE281" s="193"/>
      <c r="AF281" s="193"/>
    </row>
    <row r="282" spans="21:32" x14ac:dyDescent="0.3">
      <c r="U282" s="193"/>
      <c r="V282" s="193"/>
      <c r="W282" s="193"/>
      <c r="X282" s="193"/>
      <c r="Y282" s="193"/>
      <c r="Z282" s="193"/>
      <c r="AC282" s="193"/>
      <c r="AD282" s="193"/>
      <c r="AE282" s="193"/>
      <c r="AF282" s="193"/>
    </row>
    <row r="283" spans="21:32" x14ac:dyDescent="0.3">
      <c r="U283" s="193"/>
      <c r="V283" s="193"/>
      <c r="W283" s="193"/>
      <c r="X283" s="193"/>
      <c r="Y283" s="193"/>
      <c r="Z283" s="193"/>
      <c r="AC283" s="193"/>
      <c r="AD283" s="193"/>
      <c r="AE283" s="193"/>
      <c r="AF283" s="193"/>
    </row>
    <row r="284" spans="21:32" x14ac:dyDescent="0.3">
      <c r="U284" s="193"/>
      <c r="V284" s="193"/>
      <c r="W284" s="193"/>
      <c r="X284" s="193"/>
      <c r="Y284" s="193"/>
      <c r="Z284" s="193"/>
      <c r="AC284" s="193"/>
      <c r="AD284" s="193"/>
      <c r="AE284" s="193"/>
      <c r="AF284" s="193"/>
    </row>
    <row r="285" spans="21:32" x14ac:dyDescent="0.3">
      <c r="U285" s="193"/>
      <c r="V285" s="193"/>
      <c r="W285" s="193"/>
      <c r="X285" s="193"/>
      <c r="Y285" s="193"/>
      <c r="Z285" s="193"/>
      <c r="AC285" s="193"/>
      <c r="AD285" s="193"/>
      <c r="AE285" s="193"/>
      <c r="AF285" s="193"/>
    </row>
    <row r="286" spans="21:32" x14ac:dyDescent="0.3">
      <c r="U286" s="193"/>
      <c r="V286" s="193"/>
      <c r="W286" s="193"/>
      <c r="X286" s="193"/>
      <c r="Y286" s="193"/>
      <c r="Z286" s="193"/>
      <c r="AC286" s="193"/>
      <c r="AD286" s="193"/>
      <c r="AE286" s="193"/>
      <c r="AF286" s="193"/>
    </row>
    <row r="287" spans="21:32" x14ac:dyDescent="0.3">
      <c r="U287" s="193"/>
      <c r="V287" s="193"/>
      <c r="W287" s="193"/>
      <c r="X287" s="193"/>
      <c r="Y287" s="193"/>
      <c r="Z287" s="193"/>
      <c r="AC287" s="193"/>
      <c r="AD287" s="193"/>
      <c r="AE287" s="193"/>
      <c r="AF287" s="193"/>
    </row>
    <row r="288" spans="21:32" x14ac:dyDescent="0.3">
      <c r="U288" s="193"/>
      <c r="V288" s="193"/>
      <c r="W288" s="193"/>
      <c r="X288" s="193"/>
      <c r="Y288" s="193"/>
      <c r="Z288" s="193"/>
      <c r="AC288" s="193"/>
      <c r="AD288" s="193"/>
      <c r="AE288" s="193"/>
      <c r="AF288" s="193"/>
    </row>
    <row r="289" spans="21:32" x14ac:dyDescent="0.3">
      <c r="U289" s="193"/>
      <c r="V289" s="193"/>
      <c r="W289" s="193"/>
      <c r="X289" s="193"/>
      <c r="Y289" s="193"/>
      <c r="Z289" s="193"/>
      <c r="AC289" s="193"/>
      <c r="AD289" s="193"/>
      <c r="AE289" s="193"/>
      <c r="AF289" s="193"/>
    </row>
    <row r="290" spans="21:32" x14ac:dyDescent="0.3">
      <c r="U290" s="193"/>
      <c r="V290" s="193"/>
      <c r="W290" s="193"/>
      <c r="X290" s="193"/>
      <c r="Y290" s="193"/>
      <c r="Z290" s="193"/>
      <c r="AC290" s="193"/>
      <c r="AD290" s="193"/>
      <c r="AE290" s="193"/>
      <c r="AF290" s="193"/>
    </row>
    <row r="291" spans="21:32" x14ac:dyDescent="0.3">
      <c r="U291" s="193"/>
      <c r="V291" s="193"/>
      <c r="W291" s="193"/>
      <c r="X291" s="193"/>
      <c r="Y291" s="193"/>
      <c r="Z291" s="193"/>
      <c r="AC291" s="193"/>
      <c r="AD291" s="193"/>
      <c r="AE291" s="193"/>
      <c r="AF291" s="193"/>
    </row>
    <row r="292" spans="21:32" x14ac:dyDescent="0.3">
      <c r="U292" s="193"/>
      <c r="V292" s="193"/>
      <c r="W292" s="193"/>
      <c r="X292" s="193"/>
      <c r="Y292" s="193"/>
      <c r="Z292" s="193"/>
      <c r="AC292" s="193"/>
      <c r="AD292" s="193"/>
      <c r="AE292" s="193"/>
      <c r="AF292" s="193"/>
    </row>
    <row r="293" spans="21:32" x14ac:dyDescent="0.3">
      <c r="U293" s="193"/>
      <c r="V293" s="193"/>
      <c r="W293" s="193"/>
      <c r="X293" s="193"/>
      <c r="Y293" s="193"/>
      <c r="Z293" s="193"/>
      <c r="AC293" s="193"/>
      <c r="AD293" s="193"/>
      <c r="AE293" s="193"/>
      <c r="AF293" s="193"/>
    </row>
    <row r="294" spans="21:32" x14ac:dyDescent="0.3">
      <c r="U294" s="193"/>
      <c r="V294" s="193"/>
      <c r="W294" s="193"/>
      <c r="X294" s="193"/>
      <c r="Y294" s="193"/>
      <c r="Z294" s="193"/>
      <c r="AC294" s="193"/>
      <c r="AD294" s="193"/>
      <c r="AE294" s="193"/>
      <c r="AF294" s="193"/>
    </row>
    <row r="295" spans="21:32" x14ac:dyDescent="0.3">
      <c r="U295" s="193"/>
      <c r="V295" s="193"/>
      <c r="W295" s="193"/>
      <c r="X295" s="193"/>
      <c r="Y295" s="193"/>
      <c r="Z295" s="193"/>
      <c r="AC295" s="193"/>
      <c r="AD295" s="193"/>
      <c r="AE295" s="193"/>
      <c r="AF295" s="193"/>
    </row>
    <row r="296" spans="21:32" x14ac:dyDescent="0.3">
      <c r="U296" s="193"/>
      <c r="V296" s="193"/>
      <c r="W296" s="193"/>
      <c r="X296" s="193"/>
      <c r="Y296" s="193"/>
      <c r="Z296" s="193"/>
      <c r="AC296" s="193"/>
      <c r="AD296" s="193"/>
      <c r="AE296" s="193"/>
      <c r="AF296" s="193"/>
    </row>
    <row r="297" spans="21:32" x14ac:dyDescent="0.3">
      <c r="U297" s="193"/>
      <c r="V297" s="193"/>
      <c r="W297" s="193"/>
      <c r="X297" s="193"/>
      <c r="Y297" s="193"/>
      <c r="Z297" s="193"/>
      <c r="AC297" s="193"/>
      <c r="AD297" s="193"/>
      <c r="AE297" s="193"/>
      <c r="AF297" s="193"/>
    </row>
    <row r="298" spans="21:32" x14ac:dyDescent="0.3">
      <c r="U298" s="193"/>
      <c r="V298" s="193"/>
      <c r="W298" s="193"/>
      <c r="X298" s="193"/>
      <c r="Y298" s="193"/>
      <c r="Z298" s="193"/>
      <c r="AC298" s="193"/>
      <c r="AD298" s="193"/>
      <c r="AE298" s="193"/>
      <c r="AF298" s="193"/>
    </row>
    <row r="299" spans="21:32" x14ac:dyDescent="0.3">
      <c r="U299" s="193"/>
      <c r="V299" s="193"/>
      <c r="W299" s="193"/>
      <c r="X299" s="193"/>
      <c r="Y299" s="193"/>
      <c r="Z299" s="193"/>
      <c r="AC299" s="193"/>
      <c r="AD299" s="193"/>
      <c r="AE299" s="193"/>
      <c r="AF299" s="193"/>
    </row>
    <row r="300" spans="21:32" x14ac:dyDescent="0.3">
      <c r="U300" s="193"/>
      <c r="V300" s="193"/>
      <c r="W300" s="193"/>
      <c r="X300" s="193"/>
      <c r="Y300" s="193"/>
      <c r="Z300" s="193"/>
      <c r="AC300" s="193"/>
      <c r="AD300" s="193"/>
      <c r="AE300" s="193"/>
      <c r="AF300" s="193"/>
    </row>
    <row r="301" spans="21:32" x14ac:dyDescent="0.3">
      <c r="U301" s="193"/>
      <c r="V301" s="193"/>
      <c r="W301" s="193"/>
      <c r="X301" s="193"/>
      <c r="Y301" s="193"/>
      <c r="Z301" s="193"/>
      <c r="AC301" s="193"/>
      <c r="AD301" s="193"/>
      <c r="AE301" s="193"/>
      <c r="AF301" s="193"/>
    </row>
    <row r="302" spans="21:32" x14ac:dyDescent="0.3">
      <c r="U302" s="193"/>
      <c r="V302" s="193"/>
      <c r="W302" s="193"/>
      <c r="X302" s="193"/>
      <c r="Y302" s="193"/>
      <c r="Z302" s="193"/>
      <c r="AC302" s="193"/>
      <c r="AD302" s="193"/>
      <c r="AE302" s="193"/>
      <c r="AF302" s="193"/>
    </row>
    <row r="303" spans="21:32" x14ac:dyDescent="0.3">
      <c r="U303" s="193"/>
      <c r="V303" s="193"/>
      <c r="W303" s="193"/>
      <c r="X303" s="193"/>
      <c r="Y303" s="193"/>
      <c r="Z303" s="193"/>
      <c r="AC303" s="193"/>
      <c r="AD303" s="193"/>
      <c r="AE303" s="193"/>
      <c r="AF303" s="193"/>
    </row>
    <row r="304" spans="21:32" x14ac:dyDescent="0.3">
      <c r="U304" s="193"/>
      <c r="V304" s="193"/>
      <c r="W304" s="193"/>
      <c r="X304" s="193"/>
      <c r="Y304" s="193"/>
      <c r="Z304" s="193"/>
      <c r="AC304" s="193"/>
      <c r="AD304" s="193"/>
      <c r="AE304" s="193"/>
      <c r="AF304" s="193"/>
    </row>
    <row r="305" spans="21:32" x14ac:dyDescent="0.3">
      <c r="U305" s="193"/>
      <c r="V305" s="193"/>
      <c r="W305" s="193"/>
      <c r="X305" s="193"/>
      <c r="Y305" s="193"/>
      <c r="Z305" s="193"/>
      <c r="AC305" s="193"/>
      <c r="AD305" s="193"/>
      <c r="AE305" s="193"/>
      <c r="AF305" s="193"/>
    </row>
    <row r="306" spans="21:32" x14ac:dyDescent="0.3">
      <c r="U306" s="193"/>
      <c r="V306" s="193"/>
      <c r="W306" s="193"/>
      <c r="X306" s="193"/>
      <c r="Y306" s="193"/>
      <c r="Z306" s="193"/>
      <c r="AC306" s="193"/>
      <c r="AD306" s="193"/>
      <c r="AE306" s="193"/>
      <c r="AF306" s="193"/>
    </row>
    <row r="307" spans="21:32" x14ac:dyDescent="0.3">
      <c r="U307" s="193"/>
      <c r="V307" s="193"/>
      <c r="W307" s="193"/>
      <c r="X307" s="193"/>
      <c r="Y307" s="193"/>
      <c r="Z307" s="193"/>
      <c r="AC307" s="193"/>
      <c r="AD307" s="193"/>
      <c r="AE307" s="193"/>
      <c r="AF307" s="193"/>
    </row>
    <row r="308" spans="21:32" x14ac:dyDescent="0.3">
      <c r="U308" s="193"/>
      <c r="V308" s="193"/>
      <c r="W308" s="193"/>
      <c r="X308" s="193"/>
      <c r="Y308" s="193"/>
      <c r="Z308" s="193"/>
      <c r="AC308" s="193"/>
      <c r="AD308" s="193"/>
      <c r="AE308" s="193"/>
      <c r="AF308" s="193"/>
    </row>
    <row r="309" spans="21:32" x14ac:dyDescent="0.3">
      <c r="U309" s="193"/>
      <c r="V309" s="193"/>
      <c r="W309" s="193"/>
      <c r="X309" s="193"/>
      <c r="Y309" s="193"/>
      <c r="Z309" s="193"/>
      <c r="AC309" s="193"/>
      <c r="AD309" s="193"/>
      <c r="AE309" s="193"/>
      <c r="AF309" s="193"/>
    </row>
    <row r="310" spans="21:32" x14ac:dyDescent="0.3">
      <c r="U310" s="193"/>
      <c r="V310" s="193"/>
      <c r="W310" s="193"/>
      <c r="X310" s="193"/>
      <c r="Y310" s="193"/>
      <c r="Z310" s="193"/>
      <c r="AC310" s="193"/>
      <c r="AD310" s="193"/>
      <c r="AE310" s="193"/>
      <c r="AF310" s="193"/>
    </row>
    <row r="311" spans="21:32" x14ac:dyDescent="0.3">
      <c r="U311" s="193"/>
      <c r="V311" s="193"/>
      <c r="W311" s="193"/>
      <c r="X311" s="193"/>
      <c r="Y311" s="193"/>
      <c r="Z311" s="193"/>
      <c r="AC311" s="193"/>
      <c r="AD311" s="193"/>
      <c r="AE311" s="193"/>
      <c r="AF311" s="193"/>
    </row>
    <row r="312" spans="21:32" x14ac:dyDescent="0.3">
      <c r="U312" s="193"/>
      <c r="V312" s="193"/>
      <c r="W312" s="193"/>
      <c r="X312" s="193"/>
      <c r="Y312" s="193"/>
      <c r="Z312" s="193"/>
      <c r="AC312" s="193"/>
      <c r="AD312" s="193"/>
      <c r="AE312" s="193"/>
      <c r="AF312" s="193"/>
    </row>
    <row r="313" spans="21:32" x14ac:dyDescent="0.3">
      <c r="U313" s="193"/>
      <c r="V313" s="193"/>
      <c r="W313" s="193"/>
      <c r="X313" s="193"/>
      <c r="Y313" s="193"/>
      <c r="Z313" s="193"/>
      <c r="AC313" s="193"/>
      <c r="AD313" s="193"/>
      <c r="AE313" s="193"/>
      <c r="AF313" s="193"/>
    </row>
    <row r="314" spans="21:32" x14ac:dyDescent="0.3">
      <c r="U314" s="193"/>
      <c r="V314" s="193"/>
      <c r="W314" s="193"/>
      <c r="X314" s="193"/>
      <c r="Y314" s="193"/>
      <c r="Z314" s="193"/>
      <c r="AC314" s="193"/>
      <c r="AD314" s="193"/>
      <c r="AE314" s="193"/>
      <c r="AF314" s="193"/>
    </row>
    <row r="315" spans="21:32" x14ac:dyDescent="0.3">
      <c r="U315" s="193"/>
      <c r="V315" s="193"/>
      <c r="W315" s="193"/>
      <c r="X315" s="193"/>
      <c r="Y315" s="193"/>
      <c r="Z315" s="193"/>
      <c r="AC315" s="193"/>
      <c r="AD315" s="193"/>
      <c r="AE315" s="193"/>
      <c r="AF315" s="193"/>
    </row>
    <row r="316" spans="21:32" x14ac:dyDescent="0.3">
      <c r="U316" s="193"/>
      <c r="V316" s="193"/>
      <c r="W316" s="193"/>
      <c r="X316" s="193"/>
      <c r="Y316" s="193"/>
      <c r="Z316" s="193"/>
      <c r="AC316" s="193"/>
      <c r="AD316" s="193"/>
      <c r="AE316" s="193"/>
      <c r="AF316" s="193"/>
    </row>
    <row r="317" spans="21:32" x14ac:dyDescent="0.3">
      <c r="U317" s="193"/>
      <c r="V317" s="193"/>
      <c r="W317" s="193"/>
      <c r="X317" s="193"/>
      <c r="Y317" s="193"/>
      <c r="Z317" s="193"/>
      <c r="AC317" s="193"/>
      <c r="AD317" s="193"/>
      <c r="AE317" s="193"/>
      <c r="AF317" s="193"/>
    </row>
    <row r="318" spans="21:32" x14ac:dyDescent="0.3">
      <c r="U318" s="193"/>
      <c r="V318" s="193"/>
      <c r="W318" s="193"/>
      <c r="X318" s="193"/>
      <c r="Y318" s="193"/>
      <c r="Z318" s="193"/>
      <c r="AC318" s="193"/>
      <c r="AD318" s="193"/>
      <c r="AE318" s="193"/>
      <c r="AF318" s="193"/>
    </row>
    <row r="319" spans="21:32" x14ac:dyDescent="0.3">
      <c r="U319" s="193"/>
      <c r="V319" s="193"/>
      <c r="W319" s="193"/>
      <c r="X319" s="193"/>
      <c r="Y319" s="193"/>
      <c r="Z319" s="193"/>
      <c r="AC319" s="193"/>
      <c r="AD319" s="193"/>
      <c r="AE319" s="193"/>
      <c r="AF319" s="193"/>
    </row>
    <row r="320" spans="21:32" x14ac:dyDescent="0.3">
      <c r="U320" s="193"/>
      <c r="V320" s="193"/>
      <c r="W320" s="193"/>
      <c r="X320" s="193"/>
      <c r="Y320" s="193"/>
      <c r="Z320" s="193"/>
      <c r="AC320" s="193"/>
      <c r="AD320" s="193"/>
      <c r="AE320" s="193"/>
      <c r="AF320" s="193"/>
    </row>
    <row r="321" spans="21:32" x14ac:dyDescent="0.3">
      <c r="U321" s="193"/>
      <c r="V321" s="193"/>
      <c r="W321" s="193"/>
      <c r="X321" s="193"/>
      <c r="Y321" s="193"/>
      <c r="Z321" s="193"/>
      <c r="AC321" s="193"/>
      <c r="AD321" s="193"/>
      <c r="AE321" s="193"/>
      <c r="AF321" s="193"/>
    </row>
    <row r="322" spans="21:32" x14ac:dyDescent="0.3">
      <c r="U322" s="193"/>
      <c r="V322" s="193"/>
      <c r="W322" s="193"/>
      <c r="X322" s="193"/>
      <c r="Y322" s="193"/>
      <c r="Z322" s="193"/>
      <c r="AC322" s="193"/>
      <c r="AD322" s="193"/>
      <c r="AE322" s="193"/>
      <c r="AF322" s="193"/>
    </row>
    <row r="323" spans="21:32" x14ac:dyDescent="0.3">
      <c r="U323" s="193"/>
      <c r="V323" s="193"/>
      <c r="W323" s="193"/>
      <c r="X323" s="193"/>
      <c r="Y323" s="193"/>
      <c r="Z323" s="193"/>
      <c r="AC323" s="193"/>
      <c r="AD323" s="193"/>
      <c r="AE323" s="193"/>
      <c r="AF323" s="193"/>
    </row>
    <row r="324" spans="21:32" x14ac:dyDescent="0.3">
      <c r="U324" s="193"/>
      <c r="V324" s="193"/>
      <c r="W324" s="193"/>
      <c r="X324" s="193"/>
      <c r="Y324" s="193"/>
      <c r="Z324" s="193"/>
      <c r="AC324" s="193"/>
      <c r="AD324" s="193"/>
      <c r="AE324" s="193"/>
      <c r="AF324" s="193"/>
    </row>
    <row r="325" spans="21:32" x14ac:dyDescent="0.3">
      <c r="U325" s="193"/>
      <c r="V325" s="193"/>
      <c r="W325" s="193"/>
      <c r="X325" s="193"/>
      <c r="Y325" s="193"/>
      <c r="Z325" s="193"/>
      <c r="AC325" s="193"/>
      <c r="AD325" s="193"/>
      <c r="AE325" s="193"/>
      <c r="AF325" s="193"/>
    </row>
    <row r="326" spans="21:32" x14ac:dyDescent="0.3">
      <c r="U326" s="193"/>
      <c r="V326" s="193"/>
      <c r="W326" s="193"/>
      <c r="X326" s="193"/>
      <c r="Y326" s="193"/>
      <c r="Z326" s="193"/>
      <c r="AC326" s="193"/>
      <c r="AD326" s="193"/>
      <c r="AE326" s="193"/>
      <c r="AF326" s="193"/>
    </row>
    <row r="327" spans="21:32" x14ac:dyDescent="0.3">
      <c r="U327" s="193"/>
      <c r="V327" s="193"/>
      <c r="W327" s="193"/>
      <c r="X327" s="193"/>
      <c r="Y327" s="193"/>
      <c r="Z327" s="193"/>
      <c r="AC327" s="193"/>
      <c r="AD327" s="193"/>
      <c r="AE327" s="193"/>
      <c r="AF327" s="193"/>
    </row>
    <row r="328" spans="21:32" x14ac:dyDescent="0.3">
      <c r="U328" s="193"/>
      <c r="V328" s="193"/>
      <c r="W328" s="193"/>
      <c r="X328" s="193"/>
      <c r="Y328" s="193"/>
      <c r="Z328" s="193"/>
      <c r="AC328" s="193"/>
      <c r="AD328" s="193"/>
      <c r="AE328" s="193"/>
      <c r="AF328" s="193"/>
    </row>
    <row r="329" spans="21:32" x14ac:dyDescent="0.3">
      <c r="U329" s="193"/>
      <c r="V329" s="193"/>
      <c r="W329" s="193"/>
      <c r="X329" s="193"/>
      <c r="Y329" s="193"/>
      <c r="Z329" s="193"/>
      <c r="AC329" s="193"/>
      <c r="AD329" s="193"/>
      <c r="AE329" s="193"/>
      <c r="AF329" s="193"/>
    </row>
    <row r="330" spans="21:32" x14ac:dyDescent="0.3">
      <c r="U330" s="193"/>
      <c r="V330" s="193"/>
      <c r="W330" s="193"/>
      <c r="X330" s="193"/>
      <c r="Y330" s="193"/>
      <c r="Z330" s="193"/>
      <c r="AC330" s="193"/>
      <c r="AD330" s="193"/>
      <c r="AE330" s="193"/>
      <c r="AF330" s="193"/>
    </row>
    <row r="331" spans="21:32" x14ac:dyDescent="0.3">
      <c r="U331" s="193"/>
      <c r="V331" s="193"/>
      <c r="W331" s="193"/>
      <c r="X331" s="193"/>
      <c r="Y331" s="193"/>
      <c r="Z331" s="193"/>
      <c r="AC331" s="193"/>
      <c r="AD331" s="193"/>
      <c r="AE331" s="193"/>
      <c r="AF331" s="193"/>
    </row>
    <row r="332" spans="21:32" x14ac:dyDescent="0.3">
      <c r="U332" s="193"/>
      <c r="V332" s="193"/>
      <c r="W332" s="193"/>
      <c r="X332" s="193"/>
      <c r="Y332" s="193"/>
      <c r="Z332" s="193"/>
      <c r="AC332" s="193"/>
      <c r="AD332" s="193"/>
      <c r="AE332" s="193"/>
      <c r="AF332" s="193"/>
    </row>
    <row r="333" spans="21:32" x14ac:dyDescent="0.3">
      <c r="U333" s="193"/>
      <c r="V333" s="193"/>
      <c r="W333" s="193"/>
      <c r="X333" s="193"/>
      <c r="Y333" s="193"/>
      <c r="Z333" s="193"/>
      <c r="AC333" s="193"/>
      <c r="AD333" s="193"/>
      <c r="AE333" s="193"/>
      <c r="AF333" s="193"/>
    </row>
    <row r="334" spans="21:32" x14ac:dyDescent="0.3">
      <c r="U334" s="193"/>
      <c r="V334" s="193"/>
      <c r="W334" s="193"/>
      <c r="X334" s="193"/>
      <c r="Y334" s="193"/>
      <c r="Z334" s="193"/>
      <c r="AC334" s="193"/>
      <c r="AD334" s="193"/>
      <c r="AE334" s="193"/>
      <c r="AF334" s="193"/>
    </row>
    <row r="335" spans="21:32" x14ac:dyDescent="0.3">
      <c r="U335" s="193"/>
      <c r="V335" s="193"/>
      <c r="W335" s="193"/>
      <c r="X335" s="193"/>
      <c r="Y335" s="193"/>
      <c r="Z335" s="193"/>
      <c r="AC335" s="193"/>
      <c r="AD335" s="193"/>
      <c r="AE335" s="193"/>
      <c r="AF335" s="193"/>
    </row>
    <row r="336" spans="21:32" x14ac:dyDescent="0.3">
      <c r="U336" s="193"/>
      <c r="V336" s="193"/>
      <c r="W336" s="193"/>
      <c r="X336" s="193"/>
      <c r="Y336" s="193"/>
      <c r="Z336" s="193"/>
      <c r="AC336" s="193"/>
      <c r="AD336" s="193"/>
      <c r="AE336" s="193"/>
      <c r="AF336" s="193"/>
    </row>
    <row r="337" spans="21:32" x14ac:dyDescent="0.3">
      <c r="U337" s="193"/>
      <c r="V337" s="193"/>
      <c r="W337" s="193"/>
      <c r="X337" s="193"/>
      <c r="Y337" s="193"/>
      <c r="Z337" s="193"/>
      <c r="AC337" s="193"/>
      <c r="AD337" s="193"/>
      <c r="AE337" s="193"/>
      <c r="AF337" s="193"/>
    </row>
    <row r="338" spans="21:32" x14ac:dyDescent="0.3">
      <c r="U338" s="193"/>
      <c r="V338" s="193"/>
      <c r="W338" s="193"/>
      <c r="X338" s="193"/>
      <c r="Y338" s="193"/>
      <c r="Z338" s="193"/>
      <c r="AC338" s="193"/>
      <c r="AD338" s="193"/>
      <c r="AE338" s="193"/>
      <c r="AF338" s="193"/>
    </row>
    <row r="339" spans="21:32" x14ac:dyDescent="0.3">
      <c r="U339" s="193"/>
      <c r="V339" s="193"/>
      <c r="W339" s="193"/>
      <c r="X339" s="193"/>
      <c r="Y339" s="193"/>
      <c r="Z339" s="193"/>
      <c r="AC339" s="193"/>
      <c r="AD339" s="193"/>
      <c r="AE339" s="193"/>
      <c r="AF339" s="193"/>
    </row>
    <row r="340" spans="21:32" x14ac:dyDescent="0.3">
      <c r="U340" s="193"/>
      <c r="V340" s="193"/>
      <c r="W340" s="193"/>
      <c r="X340" s="193"/>
      <c r="Y340" s="193"/>
      <c r="Z340" s="193"/>
      <c r="AC340" s="193"/>
      <c r="AD340" s="193"/>
      <c r="AE340" s="193"/>
      <c r="AF340" s="193"/>
    </row>
    <row r="341" spans="21:32" x14ac:dyDescent="0.3">
      <c r="U341" s="193"/>
      <c r="V341" s="193"/>
      <c r="W341" s="193"/>
      <c r="X341" s="193"/>
      <c r="Y341" s="193"/>
      <c r="Z341" s="193"/>
      <c r="AC341" s="193"/>
      <c r="AD341" s="193"/>
      <c r="AE341" s="193"/>
      <c r="AF341" s="193"/>
    </row>
    <row r="342" spans="21:32" x14ac:dyDescent="0.3">
      <c r="U342" s="193"/>
      <c r="V342" s="193"/>
      <c r="W342" s="193"/>
      <c r="X342" s="193"/>
      <c r="Y342" s="193"/>
      <c r="Z342" s="193"/>
      <c r="AC342" s="193"/>
      <c r="AD342" s="193"/>
      <c r="AE342" s="193"/>
      <c r="AF342" s="193"/>
    </row>
    <row r="343" spans="21:32" x14ac:dyDescent="0.3">
      <c r="U343" s="193"/>
      <c r="V343" s="193"/>
      <c r="W343" s="193"/>
      <c r="X343" s="193"/>
      <c r="Y343" s="193"/>
      <c r="Z343" s="193"/>
      <c r="AC343" s="193"/>
      <c r="AD343" s="193"/>
      <c r="AE343" s="193"/>
      <c r="AF343" s="193"/>
    </row>
    <row r="344" spans="21:32" x14ac:dyDescent="0.3">
      <c r="U344" s="193"/>
      <c r="V344" s="193"/>
      <c r="W344" s="193"/>
      <c r="X344" s="193"/>
      <c r="Y344" s="193"/>
      <c r="Z344" s="193"/>
      <c r="AC344" s="193"/>
      <c r="AD344" s="193"/>
      <c r="AE344" s="193"/>
      <c r="AF344" s="193"/>
    </row>
    <row r="345" spans="21:32" x14ac:dyDescent="0.3">
      <c r="U345" s="193"/>
      <c r="V345" s="193"/>
      <c r="W345" s="193"/>
      <c r="X345" s="193"/>
      <c r="Y345" s="193"/>
      <c r="Z345" s="193"/>
      <c r="AC345" s="193"/>
      <c r="AD345" s="193"/>
      <c r="AE345" s="193"/>
      <c r="AF345" s="193"/>
    </row>
    <row r="346" spans="21:32" x14ac:dyDescent="0.3">
      <c r="U346" s="193"/>
      <c r="V346" s="193"/>
      <c r="W346" s="193"/>
      <c r="X346" s="193"/>
      <c r="Y346" s="193"/>
      <c r="Z346" s="193"/>
      <c r="AC346" s="193"/>
      <c r="AD346" s="193"/>
      <c r="AE346" s="193"/>
      <c r="AF346" s="193"/>
    </row>
    <row r="347" spans="21:32" x14ac:dyDescent="0.3">
      <c r="U347" s="193"/>
      <c r="V347" s="193"/>
      <c r="W347" s="193"/>
      <c r="X347" s="193"/>
      <c r="Y347" s="193"/>
      <c r="Z347" s="193"/>
      <c r="AC347" s="193"/>
      <c r="AD347" s="193"/>
      <c r="AE347" s="193"/>
      <c r="AF347" s="193"/>
    </row>
    <row r="348" spans="21:32" x14ac:dyDescent="0.3">
      <c r="U348" s="193"/>
      <c r="V348" s="193"/>
      <c r="W348" s="193"/>
      <c r="X348" s="193"/>
      <c r="Y348" s="193"/>
      <c r="Z348" s="193"/>
      <c r="AC348" s="193"/>
      <c r="AD348" s="193"/>
      <c r="AE348" s="193"/>
      <c r="AF348" s="193"/>
    </row>
    <row r="349" spans="21:32" x14ac:dyDescent="0.3">
      <c r="U349" s="193"/>
      <c r="V349" s="193"/>
      <c r="W349" s="193"/>
      <c r="X349" s="193"/>
      <c r="Y349" s="193"/>
      <c r="Z349" s="193"/>
      <c r="AC349" s="193"/>
      <c r="AD349" s="193"/>
      <c r="AE349" s="193"/>
      <c r="AF349" s="193"/>
    </row>
    <row r="350" spans="21:32" x14ac:dyDescent="0.3">
      <c r="U350" s="193"/>
      <c r="V350" s="193"/>
      <c r="W350" s="193"/>
      <c r="X350" s="193"/>
      <c r="Y350" s="193"/>
      <c r="Z350" s="193"/>
      <c r="AC350" s="193"/>
      <c r="AD350" s="193"/>
      <c r="AE350" s="193"/>
      <c r="AF350" s="193"/>
    </row>
    <row r="351" spans="21:32" x14ac:dyDescent="0.3">
      <c r="U351" s="193"/>
      <c r="V351" s="193"/>
      <c r="W351" s="193"/>
      <c r="X351" s="193"/>
      <c r="Y351" s="193"/>
      <c r="Z351" s="193"/>
      <c r="AC351" s="193"/>
      <c r="AD351" s="193"/>
      <c r="AE351" s="193"/>
      <c r="AF351" s="193"/>
    </row>
    <row r="352" spans="21:32" x14ac:dyDescent="0.3">
      <c r="U352" s="193"/>
      <c r="V352" s="193"/>
      <c r="W352" s="193"/>
      <c r="X352" s="193"/>
      <c r="Y352" s="193"/>
      <c r="Z352" s="193"/>
      <c r="AC352" s="193"/>
      <c r="AD352" s="193"/>
      <c r="AE352" s="193"/>
      <c r="AF352" s="193"/>
    </row>
    <row r="353" spans="21:32" x14ac:dyDescent="0.3">
      <c r="U353" s="193"/>
      <c r="V353" s="193"/>
      <c r="W353" s="193"/>
      <c r="X353" s="193"/>
      <c r="Y353" s="193"/>
      <c r="Z353" s="193"/>
      <c r="AC353" s="193"/>
      <c r="AD353" s="193"/>
      <c r="AE353" s="193"/>
      <c r="AF353" s="193"/>
    </row>
    <row r="354" spans="21:32" x14ac:dyDescent="0.3">
      <c r="U354" s="193"/>
      <c r="V354" s="193"/>
      <c r="W354" s="193"/>
      <c r="X354" s="193"/>
      <c r="Y354" s="193"/>
      <c r="Z354" s="193"/>
      <c r="AC354" s="193"/>
      <c r="AD354" s="193"/>
      <c r="AE354" s="193"/>
      <c r="AF354" s="193"/>
    </row>
    <row r="355" spans="21:32" x14ac:dyDescent="0.3">
      <c r="U355" s="193"/>
      <c r="V355" s="193"/>
      <c r="W355" s="193"/>
      <c r="X355" s="193"/>
      <c r="Y355" s="193"/>
      <c r="Z355" s="193"/>
      <c r="AC355" s="193"/>
      <c r="AD355" s="193"/>
      <c r="AE355" s="193"/>
      <c r="AF355" s="193"/>
    </row>
    <row r="356" spans="21:32" x14ac:dyDescent="0.3">
      <c r="U356" s="193"/>
      <c r="V356" s="193"/>
      <c r="W356" s="193"/>
      <c r="X356" s="193"/>
      <c r="Y356" s="193"/>
      <c r="Z356" s="193"/>
      <c r="AC356" s="193"/>
      <c r="AD356" s="193"/>
      <c r="AE356" s="193"/>
      <c r="AF356" s="193"/>
    </row>
    <row r="357" spans="21:32" x14ac:dyDescent="0.3">
      <c r="U357" s="193"/>
      <c r="V357" s="193"/>
      <c r="W357" s="193"/>
      <c r="X357" s="193"/>
      <c r="Y357" s="193"/>
      <c r="Z357" s="193"/>
      <c r="AC357" s="193"/>
      <c r="AD357" s="193"/>
      <c r="AE357" s="193"/>
      <c r="AF357" s="193"/>
    </row>
    <row r="358" spans="21:32" x14ac:dyDescent="0.3">
      <c r="U358" s="193"/>
      <c r="V358" s="193"/>
      <c r="W358" s="193"/>
      <c r="X358" s="193"/>
      <c r="Y358" s="193"/>
      <c r="Z358" s="193"/>
      <c r="AC358" s="193"/>
      <c r="AD358" s="193"/>
      <c r="AE358" s="193"/>
      <c r="AF358" s="193"/>
    </row>
    <row r="359" spans="21:32" x14ac:dyDescent="0.3">
      <c r="U359" s="193"/>
      <c r="V359" s="193"/>
      <c r="W359" s="193"/>
      <c r="X359" s="193"/>
      <c r="Y359" s="193"/>
      <c r="Z359" s="193"/>
      <c r="AC359" s="193"/>
      <c r="AD359" s="193"/>
      <c r="AE359" s="193"/>
      <c r="AF359" s="193"/>
    </row>
    <row r="360" spans="21:32" x14ac:dyDescent="0.3">
      <c r="U360" s="193"/>
      <c r="V360" s="193"/>
      <c r="W360" s="193"/>
      <c r="X360" s="193"/>
      <c r="Y360" s="193"/>
      <c r="Z360" s="193"/>
      <c r="AC360" s="193"/>
      <c r="AD360" s="193"/>
      <c r="AE360" s="193"/>
      <c r="AF360" s="193"/>
    </row>
    <row r="361" spans="21:32" x14ac:dyDescent="0.3">
      <c r="U361" s="193"/>
      <c r="V361" s="193"/>
      <c r="W361" s="193"/>
      <c r="X361" s="193"/>
      <c r="Y361" s="193"/>
      <c r="Z361" s="193"/>
      <c r="AC361" s="193"/>
      <c r="AD361" s="193"/>
      <c r="AE361" s="193"/>
      <c r="AF361" s="193"/>
    </row>
    <row r="362" spans="21:32" x14ac:dyDescent="0.3">
      <c r="U362" s="193"/>
      <c r="V362" s="193"/>
      <c r="W362" s="193"/>
      <c r="X362" s="193"/>
      <c r="Y362" s="193"/>
      <c r="Z362" s="193"/>
      <c r="AC362" s="193"/>
      <c r="AD362" s="193"/>
      <c r="AE362" s="193"/>
      <c r="AF362" s="193"/>
    </row>
    <row r="363" spans="21:32" x14ac:dyDescent="0.3">
      <c r="U363" s="193"/>
      <c r="V363" s="193"/>
      <c r="W363" s="193"/>
      <c r="X363" s="193"/>
      <c r="Y363" s="193"/>
      <c r="Z363" s="193"/>
      <c r="AC363" s="193"/>
      <c r="AD363" s="193"/>
      <c r="AE363" s="193"/>
      <c r="AF363" s="193"/>
    </row>
    <row r="364" spans="21:32" x14ac:dyDescent="0.3">
      <c r="U364" s="193"/>
      <c r="V364" s="193"/>
      <c r="W364" s="193"/>
      <c r="X364" s="193"/>
      <c r="Y364" s="193"/>
      <c r="Z364" s="193"/>
      <c r="AC364" s="193"/>
      <c r="AD364" s="193"/>
      <c r="AE364" s="193"/>
      <c r="AF364" s="193"/>
    </row>
    <row r="365" spans="21:32" x14ac:dyDescent="0.3">
      <c r="U365" s="193"/>
      <c r="V365" s="193"/>
      <c r="W365" s="193"/>
      <c r="X365" s="193"/>
      <c r="Y365" s="193"/>
      <c r="Z365" s="193"/>
      <c r="AC365" s="193"/>
      <c r="AD365" s="193"/>
      <c r="AE365" s="193"/>
      <c r="AF365" s="193"/>
    </row>
    <row r="366" spans="21:32" x14ac:dyDescent="0.3">
      <c r="U366" s="193"/>
      <c r="V366" s="193"/>
      <c r="W366" s="193"/>
      <c r="X366" s="193"/>
      <c r="Y366" s="193"/>
      <c r="Z366" s="193"/>
      <c r="AC366" s="193"/>
      <c r="AD366" s="193"/>
      <c r="AE366" s="193"/>
      <c r="AF366" s="193"/>
    </row>
    <row r="367" spans="21:32" x14ac:dyDescent="0.3">
      <c r="U367" s="193"/>
      <c r="V367" s="193"/>
      <c r="W367" s="193"/>
      <c r="X367" s="193"/>
      <c r="Y367" s="193"/>
      <c r="Z367" s="193"/>
      <c r="AC367" s="193"/>
      <c r="AD367" s="193"/>
      <c r="AE367" s="193"/>
      <c r="AF367" s="193"/>
    </row>
    <row r="368" spans="21:32" x14ac:dyDescent="0.3">
      <c r="U368" s="193"/>
      <c r="V368" s="193"/>
      <c r="W368" s="193"/>
      <c r="X368" s="193"/>
      <c r="Y368" s="193"/>
      <c r="Z368" s="193"/>
      <c r="AC368" s="193"/>
      <c r="AD368" s="193"/>
      <c r="AE368" s="193"/>
      <c r="AF368" s="193"/>
    </row>
    <row r="369" spans="21:32" x14ac:dyDescent="0.3">
      <c r="U369" s="193"/>
      <c r="V369" s="193"/>
      <c r="W369" s="193"/>
      <c r="X369" s="193"/>
      <c r="Y369" s="193"/>
      <c r="Z369" s="193"/>
      <c r="AC369" s="193"/>
      <c r="AD369" s="193"/>
      <c r="AE369" s="193"/>
      <c r="AF369" s="193"/>
    </row>
    <row r="370" spans="21:32" x14ac:dyDescent="0.3">
      <c r="U370" s="193"/>
      <c r="V370" s="193"/>
      <c r="W370" s="193"/>
      <c r="X370" s="193"/>
      <c r="Y370" s="193"/>
      <c r="Z370" s="193"/>
      <c r="AC370" s="193"/>
      <c r="AD370" s="193"/>
      <c r="AE370" s="193"/>
      <c r="AF370" s="193"/>
    </row>
    <row r="371" spans="21:32" x14ac:dyDescent="0.3">
      <c r="U371" s="193"/>
      <c r="V371" s="193"/>
      <c r="W371" s="193"/>
      <c r="X371" s="193"/>
      <c r="Y371" s="193"/>
      <c r="Z371" s="193"/>
      <c r="AC371" s="193"/>
      <c r="AD371" s="193"/>
      <c r="AE371" s="193"/>
      <c r="AF371" s="193"/>
    </row>
    <row r="372" spans="21:32" x14ac:dyDescent="0.3">
      <c r="U372" s="193"/>
      <c r="V372" s="193"/>
      <c r="W372" s="193"/>
      <c r="X372" s="193"/>
      <c r="Y372" s="193"/>
      <c r="Z372" s="193"/>
      <c r="AC372" s="193"/>
      <c r="AD372" s="193"/>
      <c r="AE372" s="193"/>
      <c r="AF372" s="193"/>
    </row>
    <row r="373" spans="21:32" x14ac:dyDescent="0.3">
      <c r="U373" s="193"/>
      <c r="V373" s="193"/>
      <c r="W373" s="193"/>
      <c r="X373" s="193"/>
      <c r="Y373" s="193"/>
      <c r="Z373" s="193"/>
      <c r="AC373" s="193"/>
      <c r="AD373" s="193"/>
      <c r="AE373" s="193"/>
      <c r="AF373" s="193"/>
    </row>
    <row r="374" spans="21:32" x14ac:dyDescent="0.3">
      <c r="U374" s="193"/>
      <c r="V374" s="193"/>
      <c r="W374" s="193"/>
      <c r="X374" s="193"/>
      <c r="Y374" s="193"/>
      <c r="Z374" s="193"/>
      <c r="AC374" s="193"/>
      <c r="AD374" s="193"/>
      <c r="AE374" s="193"/>
      <c r="AF374" s="193"/>
    </row>
    <row r="375" spans="21:32" x14ac:dyDescent="0.3">
      <c r="U375" s="193"/>
      <c r="V375" s="193"/>
      <c r="W375" s="193"/>
      <c r="X375" s="193"/>
      <c r="Y375" s="193"/>
      <c r="Z375" s="193"/>
      <c r="AC375" s="193"/>
      <c r="AD375" s="193"/>
      <c r="AE375" s="193"/>
      <c r="AF375" s="193"/>
    </row>
    <row r="376" spans="21:32" x14ac:dyDescent="0.3">
      <c r="U376" s="193"/>
      <c r="V376" s="193"/>
      <c r="W376" s="193"/>
      <c r="X376" s="193"/>
      <c r="Y376" s="193"/>
      <c r="Z376" s="193"/>
      <c r="AC376" s="193"/>
      <c r="AD376" s="193"/>
      <c r="AE376" s="193"/>
      <c r="AF376" s="193"/>
    </row>
    <row r="377" spans="21:32" x14ac:dyDescent="0.3">
      <c r="U377" s="193"/>
      <c r="V377" s="193"/>
      <c r="W377" s="193"/>
      <c r="X377" s="193"/>
      <c r="Y377" s="193"/>
      <c r="Z377" s="193"/>
      <c r="AC377" s="193"/>
      <c r="AD377" s="193"/>
      <c r="AE377" s="193"/>
      <c r="AF377" s="193"/>
    </row>
    <row r="378" spans="21:32" x14ac:dyDescent="0.3">
      <c r="U378" s="193"/>
      <c r="V378" s="193"/>
      <c r="W378" s="193"/>
      <c r="X378" s="193"/>
      <c r="Y378" s="193"/>
      <c r="Z378" s="193"/>
      <c r="AC378" s="193"/>
      <c r="AD378" s="193"/>
      <c r="AE378" s="193"/>
      <c r="AF378" s="193"/>
    </row>
    <row r="379" spans="21:32" x14ac:dyDescent="0.3">
      <c r="U379" s="193"/>
      <c r="V379" s="193"/>
      <c r="W379" s="193"/>
      <c r="X379" s="193"/>
      <c r="Y379" s="193"/>
      <c r="Z379" s="193"/>
      <c r="AC379" s="193"/>
      <c r="AD379" s="193"/>
      <c r="AE379" s="193"/>
      <c r="AF379" s="193"/>
    </row>
    <row r="380" spans="21:32" x14ac:dyDescent="0.3">
      <c r="U380" s="193"/>
      <c r="V380" s="193"/>
      <c r="W380" s="193"/>
      <c r="X380" s="193"/>
      <c r="Y380" s="193"/>
      <c r="Z380" s="193"/>
      <c r="AC380" s="193"/>
      <c r="AD380" s="193"/>
      <c r="AE380" s="193"/>
      <c r="AF380" s="193"/>
    </row>
    <row r="381" spans="21:32" x14ac:dyDescent="0.3">
      <c r="U381" s="193"/>
      <c r="V381" s="193"/>
      <c r="W381" s="193"/>
      <c r="X381" s="193"/>
      <c r="Y381" s="193"/>
      <c r="Z381" s="193"/>
      <c r="AC381" s="193"/>
      <c r="AD381" s="193"/>
      <c r="AE381" s="193"/>
      <c r="AF381" s="193"/>
    </row>
    <row r="382" spans="21:32" x14ac:dyDescent="0.3">
      <c r="U382" s="193"/>
      <c r="V382" s="193"/>
      <c r="W382" s="193"/>
      <c r="X382" s="193"/>
      <c r="Y382" s="193"/>
      <c r="Z382" s="193"/>
      <c r="AC382" s="193"/>
      <c r="AD382" s="193"/>
      <c r="AE382" s="193"/>
      <c r="AF382" s="193"/>
    </row>
    <row r="383" spans="21:32" x14ac:dyDescent="0.3">
      <c r="U383" s="193"/>
      <c r="V383" s="193"/>
      <c r="W383" s="193"/>
      <c r="X383" s="193"/>
      <c r="Y383" s="193"/>
      <c r="Z383" s="193"/>
      <c r="AC383" s="193"/>
      <c r="AD383" s="193"/>
      <c r="AE383" s="193"/>
      <c r="AF383" s="193"/>
    </row>
    <row r="384" spans="21:32" x14ac:dyDescent="0.3">
      <c r="U384" s="193"/>
      <c r="V384" s="193"/>
      <c r="W384" s="193"/>
      <c r="X384" s="193"/>
      <c r="Y384" s="193"/>
      <c r="Z384" s="193"/>
      <c r="AC384" s="193"/>
      <c r="AD384" s="193"/>
      <c r="AE384" s="193"/>
      <c r="AF384" s="193"/>
    </row>
    <row r="385" spans="21:32" x14ac:dyDescent="0.3">
      <c r="U385" s="193"/>
      <c r="V385" s="193"/>
      <c r="W385" s="193"/>
      <c r="X385" s="193"/>
      <c r="Y385" s="193"/>
      <c r="Z385" s="193"/>
      <c r="AC385" s="193"/>
      <c r="AD385" s="193"/>
      <c r="AE385" s="193"/>
      <c r="AF385" s="193"/>
    </row>
    <row r="386" spans="21:32" x14ac:dyDescent="0.3">
      <c r="U386" s="193"/>
      <c r="V386" s="193"/>
      <c r="W386" s="193"/>
      <c r="X386" s="193"/>
      <c r="Y386" s="193"/>
      <c r="Z386" s="193"/>
      <c r="AC386" s="193"/>
      <c r="AD386" s="193"/>
      <c r="AE386" s="193"/>
      <c r="AF386" s="193"/>
    </row>
    <row r="387" spans="21:32" x14ac:dyDescent="0.3">
      <c r="U387" s="193"/>
      <c r="V387" s="193"/>
      <c r="W387" s="193"/>
      <c r="X387" s="193"/>
      <c r="Y387" s="193"/>
      <c r="Z387" s="193"/>
      <c r="AC387" s="193"/>
      <c r="AD387" s="193"/>
      <c r="AE387" s="193"/>
      <c r="AF387" s="193"/>
    </row>
    <row r="388" spans="21:32" x14ac:dyDescent="0.3">
      <c r="U388" s="193"/>
      <c r="V388" s="193"/>
      <c r="W388" s="193"/>
      <c r="X388" s="193"/>
      <c r="Y388" s="193"/>
      <c r="Z388" s="193"/>
      <c r="AC388" s="193"/>
      <c r="AD388" s="193"/>
      <c r="AE388" s="193"/>
      <c r="AF388" s="193"/>
    </row>
    <row r="389" spans="21:32" x14ac:dyDescent="0.3">
      <c r="U389" s="193"/>
      <c r="V389" s="193"/>
      <c r="W389" s="193"/>
      <c r="X389" s="193"/>
      <c r="Y389" s="193"/>
      <c r="Z389" s="193"/>
      <c r="AC389" s="193"/>
      <c r="AD389" s="193"/>
      <c r="AE389" s="193"/>
      <c r="AF389" s="193"/>
    </row>
    <row r="390" spans="21:32" x14ac:dyDescent="0.3">
      <c r="U390" s="193"/>
      <c r="V390" s="193"/>
      <c r="W390" s="193"/>
      <c r="X390" s="193"/>
      <c r="Y390" s="193"/>
      <c r="Z390" s="193"/>
      <c r="AC390" s="193"/>
      <c r="AD390" s="193"/>
      <c r="AE390" s="193"/>
      <c r="AF390" s="193"/>
    </row>
    <row r="391" spans="21:32" x14ac:dyDescent="0.3">
      <c r="U391" s="193"/>
      <c r="V391" s="193"/>
      <c r="W391" s="193"/>
      <c r="X391" s="193"/>
      <c r="Y391" s="193"/>
      <c r="Z391" s="193"/>
      <c r="AC391" s="193"/>
      <c r="AD391" s="193"/>
      <c r="AE391" s="193"/>
      <c r="AF391" s="193"/>
    </row>
    <row r="392" spans="21:32" x14ac:dyDescent="0.3">
      <c r="U392" s="193"/>
      <c r="V392" s="193"/>
      <c r="W392" s="193"/>
      <c r="X392" s="193"/>
      <c r="Y392" s="193"/>
      <c r="Z392" s="193"/>
      <c r="AC392" s="193"/>
      <c r="AD392" s="193"/>
      <c r="AE392" s="193"/>
      <c r="AF392" s="193"/>
    </row>
    <row r="393" spans="21:32" x14ac:dyDescent="0.3">
      <c r="U393" s="193"/>
      <c r="V393" s="193"/>
      <c r="W393" s="193"/>
      <c r="X393" s="193"/>
      <c r="Y393" s="193"/>
      <c r="Z393" s="193"/>
      <c r="AC393" s="193"/>
      <c r="AD393" s="193"/>
      <c r="AE393" s="193"/>
      <c r="AF393" s="193"/>
    </row>
    <row r="394" spans="21:32" x14ac:dyDescent="0.3">
      <c r="U394" s="193"/>
      <c r="V394" s="193"/>
      <c r="W394" s="193"/>
      <c r="X394" s="193"/>
      <c r="Y394" s="193"/>
      <c r="Z394" s="193"/>
      <c r="AC394" s="193"/>
      <c r="AD394" s="193"/>
      <c r="AE394" s="193"/>
      <c r="AF394" s="193"/>
    </row>
    <row r="395" spans="21:32" x14ac:dyDescent="0.3">
      <c r="U395" s="193"/>
      <c r="V395" s="193"/>
      <c r="W395" s="193"/>
      <c r="X395" s="193"/>
      <c r="Y395" s="193"/>
      <c r="Z395" s="193"/>
      <c r="AC395" s="193"/>
      <c r="AD395" s="193"/>
      <c r="AE395" s="193"/>
      <c r="AF395" s="193"/>
    </row>
    <row r="396" spans="21:32" x14ac:dyDescent="0.3">
      <c r="U396" s="193"/>
      <c r="V396" s="193"/>
      <c r="W396" s="193"/>
      <c r="X396" s="193"/>
      <c r="Y396" s="193"/>
      <c r="Z396" s="193"/>
      <c r="AC396" s="193"/>
      <c r="AD396" s="193"/>
      <c r="AE396" s="193"/>
      <c r="AF396" s="193"/>
    </row>
    <row r="397" spans="21:32" x14ac:dyDescent="0.3">
      <c r="U397" s="193"/>
      <c r="V397" s="193"/>
      <c r="W397" s="193"/>
      <c r="X397" s="193"/>
      <c r="Y397" s="193"/>
      <c r="Z397" s="193"/>
      <c r="AC397" s="193"/>
      <c r="AD397" s="193"/>
      <c r="AE397" s="193"/>
      <c r="AF397" s="193"/>
    </row>
    <row r="398" spans="21:32" x14ac:dyDescent="0.3">
      <c r="U398" s="193"/>
      <c r="V398" s="193"/>
      <c r="W398" s="193"/>
      <c r="X398" s="193"/>
      <c r="Y398" s="193"/>
      <c r="Z398" s="193"/>
      <c r="AC398" s="193"/>
      <c r="AD398" s="193"/>
      <c r="AE398" s="193"/>
      <c r="AF398" s="193"/>
    </row>
    <row r="399" spans="21:32" x14ac:dyDescent="0.3">
      <c r="U399" s="193"/>
      <c r="V399" s="193"/>
      <c r="W399" s="193"/>
      <c r="X399" s="193"/>
      <c r="Y399" s="193"/>
      <c r="Z399" s="193"/>
      <c r="AC399" s="193"/>
      <c r="AD399" s="193"/>
      <c r="AE399" s="193"/>
      <c r="AF399" s="193"/>
    </row>
    <row r="400" spans="21:32" x14ac:dyDescent="0.3">
      <c r="U400" s="193"/>
      <c r="V400" s="193"/>
      <c r="W400" s="193"/>
      <c r="X400" s="193"/>
      <c r="Y400" s="193"/>
      <c r="Z400" s="193"/>
      <c r="AC400" s="193"/>
      <c r="AD400" s="193"/>
      <c r="AE400" s="193"/>
      <c r="AF400" s="193"/>
    </row>
    <row r="401" spans="21:32" x14ac:dyDescent="0.3">
      <c r="U401" s="193"/>
      <c r="V401" s="193"/>
      <c r="W401" s="193"/>
      <c r="X401" s="193"/>
      <c r="Y401" s="193"/>
      <c r="Z401" s="193"/>
      <c r="AC401" s="193"/>
      <c r="AD401" s="193"/>
      <c r="AE401" s="193"/>
      <c r="AF401" s="193"/>
    </row>
    <row r="402" spans="21:32" x14ac:dyDescent="0.3">
      <c r="U402" s="193"/>
      <c r="V402" s="193"/>
      <c r="W402" s="193"/>
      <c r="X402" s="193"/>
      <c r="Y402" s="193"/>
      <c r="Z402" s="193"/>
      <c r="AC402" s="193"/>
      <c r="AD402" s="193"/>
      <c r="AE402" s="193"/>
      <c r="AF402" s="193"/>
    </row>
    <row r="403" spans="21:32" x14ac:dyDescent="0.3">
      <c r="U403" s="193"/>
      <c r="V403" s="193"/>
      <c r="W403" s="193"/>
      <c r="X403" s="193"/>
      <c r="Y403" s="193"/>
      <c r="Z403" s="193"/>
      <c r="AC403" s="193"/>
      <c r="AD403" s="193"/>
      <c r="AE403" s="193"/>
      <c r="AF403" s="193"/>
    </row>
    <row r="404" spans="21:32" x14ac:dyDescent="0.3">
      <c r="U404" s="193"/>
      <c r="V404" s="193"/>
      <c r="W404" s="193"/>
      <c r="X404" s="193"/>
      <c r="Y404" s="193"/>
      <c r="Z404" s="193"/>
      <c r="AC404" s="193"/>
      <c r="AD404" s="193"/>
      <c r="AE404" s="193"/>
      <c r="AF404" s="193"/>
    </row>
    <row r="405" spans="21:32" x14ac:dyDescent="0.3">
      <c r="U405" s="193"/>
      <c r="V405" s="193"/>
      <c r="W405" s="193"/>
      <c r="X405" s="193"/>
      <c r="Y405" s="193"/>
      <c r="Z405" s="193"/>
      <c r="AC405" s="193"/>
      <c r="AD405" s="193"/>
      <c r="AE405" s="193"/>
      <c r="AF405" s="193"/>
    </row>
    <row r="406" spans="21:32" x14ac:dyDescent="0.3">
      <c r="U406" s="193"/>
      <c r="V406" s="193"/>
      <c r="W406" s="193"/>
      <c r="X406" s="193"/>
      <c r="Y406" s="193"/>
      <c r="Z406" s="193"/>
      <c r="AC406" s="193"/>
      <c r="AD406" s="193"/>
      <c r="AE406" s="193"/>
      <c r="AF406" s="193"/>
    </row>
    <row r="407" spans="21:32" x14ac:dyDescent="0.3">
      <c r="U407" s="193"/>
      <c r="V407" s="193"/>
      <c r="W407" s="193"/>
      <c r="X407" s="193"/>
      <c r="Y407" s="193"/>
      <c r="Z407" s="193"/>
      <c r="AC407" s="193"/>
      <c r="AD407" s="193"/>
      <c r="AE407" s="193"/>
      <c r="AF407" s="193"/>
    </row>
    <row r="408" spans="21:32" x14ac:dyDescent="0.3">
      <c r="U408" s="193"/>
      <c r="V408" s="193"/>
      <c r="W408" s="193"/>
      <c r="X408" s="193"/>
      <c r="Y408" s="193"/>
      <c r="Z408" s="193"/>
      <c r="AC408" s="193"/>
      <c r="AD408" s="193"/>
      <c r="AE408" s="193"/>
      <c r="AF408" s="193"/>
    </row>
    <row r="409" spans="21:32" x14ac:dyDescent="0.3">
      <c r="U409" s="193"/>
      <c r="V409" s="193"/>
      <c r="W409" s="193"/>
      <c r="X409" s="193"/>
      <c r="Y409" s="193"/>
      <c r="Z409" s="193"/>
      <c r="AC409" s="193"/>
      <c r="AD409" s="193"/>
      <c r="AE409" s="193"/>
      <c r="AF409" s="193"/>
    </row>
    <row r="410" spans="21:32" x14ac:dyDescent="0.3">
      <c r="U410" s="193"/>
      <c r="V410" s="193"/>
      <c r="W410" s="193"/>
      <c r="X410" s="193"/>
      <c r="Y410" s="193"/>
      <c r="Z410" s="193"/>
      <c r="AC410" s="193"/>
      <c r="AD410" s="193"/>
      <c r="AE410" s="193"/>
      <c r="AF410" s="193"/>
    </row>
    <row r="411" spans="21:32" x14ac:dyDescent="0.3">
      <c r="U411" s="193"/>
      <c r="V411" s="193"/>
      <c r="W411" s="193"/>
      <c r="X411" s="193"/>
      <c r="Y411" s="193"/>
      <c r="Z411" s="193"/>
      <c r="AC411" s="193"/>
      <c r="AD411" s="193"/>
      <c r="AE411" s="193"/>
      <c r="AF411" s="193"/>
    </row>
    <row r="412" spans="21:32" x14ac:dyDescent="0.3">
      <c r="U412" s="193"/>
      <c r="V412" s="193"/>
      <c r="W412" s="193"/>
      <c r="X412" s="193"/>
      <c r="Y412" s="193"/>
      <c r="Z412" s="193"/>
      <c r="AC412" s="193"/>
      <c r="AD412" s="193"/>
      <c r="AE412" s="193"/>
      <c r="AF412" s="193"/>
    </row>
    <row r="413" spans="21:32" x14ac:dyDescent="0.3">
      <c r="U413" s="193"/>
      <c r="V413" s="193"/>
      <c r="W413" s="193"/>
      <c r="X413" s="193"/>
      <c r="Y413" s="193"/>
      <c r="Z413" s="193"/>
      <c r="AC413" s="193"/>
      <c r="AD413" s="193"/>
      <c r="AE413" s="193"/>
      <c r="AF413" s="193"/>
    </row>
    <row r="414" spans="21:32" x14ac:dyDescent="0.3">
      <c r="U414" s="193"/>
      <c r="V414" s="193"/>
      <c r="W414" s="193"/>
      <c r="X414" s="193"/>
      <c r="Y414" s="193"/>
      <c r="Z414" s="193"/>
      <c r="AC414" s="193"/>
      <c r="AD414" s="193"/>
      <c r="AE414" s="193"/>
      <c r="AF414" s="193"/>
    </row>
    <row r="415" spans="21:32" x14ac:dyDescent="0.3">
      <c r="U415" s="193"/>
      <c r="V415" s="193"/>
      <c r="W415" s="193"/>
      <c r="X415" s="193"/>
      <c r="Y415" s="193"/>
      <c r="Z415" s="193"/>
      <c r="AC415" s="193"/>
      <c r="AD415" s="193"/>
      <c r="AE415" s="193"/>
      <c r="AF415" s="193"/>
    </row>
    <row r="416" spans="21:32" x14ac:dyDescent="0.3">
      <c r="U416" s="193"/>
      <c r="V416" s="193"/>
      <c r="W416" s="193"/>
      <c r="X416" s="193"/>
      <c r="Y416" s="193"/>
      <c r="Z416" s="193"/>
      <c r="AC416" s="193"/>
      <c r="AD416" s="193"/>
      <c r="AE416" s="193"/>
      <c r="AF416" s="193"/>
    </row>
    <row r="417" spans="21:32" x14ac:dyDescent="0.3">
      <c r="U417" s="193"/>
      <c r="V417" s="193"/>
      <c r="W417" s="193"/>
      <c r="X417" s="193"/>
      <c r="Y417" s="193"/>
      <c r="Z417" s="193"/>
      <c r="AC417" s="193"/>
      <c r="AD417" s="193"/>
      <c r="AE417" s="193"/>
      <c r="AF417" s="193"/>
    </row>
    <row r="418" spans="21:32" x14ac:dyDescent="0.3">
      <c r="U418" s="193"/>
      <c r="V418" s="193"/>
      <c r="W418" s="193"/>
      <c r="X418" s="193"/>
      <c r="Y418" s="193"/>
      <c r="Z418" s="193"/>
      <c r="AC418" s="193"/>
      <c r="AD418" s="193"/>
      <c r="AE418" s="193"/>
      <c r="AF418" s="193"/>
    </row>
    <row r="419" spans="21:32" x14ac:dyDescent="0.3">
      <c r="U419" s="193"/>
      <c r="V419" s="193"/>
      <c r="W419" s="193"/>
      <c r="X419" s="193"/>
      <c r="Y419" s="193"/>
      <c r="Z419" s="193"/>
      <c r="AC419" s="193"/>
      <c r="AD419" s="193"/>
      <c r="AE419" s="193"/>
      <c r="AF419" s="193"/>
    </row>
    <row r="420" spans="21:32" x14ac:dyDescent="0.3">
      <c r="U420" s="193"/>
      <c r="V420" s="193"/>
      <c r="W420" s="193"/>
      <c r="X420" s="193"/>
      <c r="Y420" s="193"/>
      <c r="Z420" s="193"/>
      <c r="AC420" s="193"/>
      <c r="AD420" s="193"/>
      <c r="AE420" s="193"/>
      <c r="AF420" s="193"/>
    </row>
    <row r="421" spans="21:32" x14ac:dyDescent="0.3">
      <c r="U421" s="193"/>
      <c r="V421" s="193"/>
      <c r="W421" s="193"/>
      <c r="X421" s="193"/>
      <c r="Y421" s="193"/>
      <c r="Z421" s="193"/>
      <c r="AC421" s="193"/>
      <c r="AD421" s="193"/>
      <c r="AE421" s="193"/>
      <c r="AF421" s="193"/>
    </row>
    <row r="422" spans="21:32" x14ac:dyDescent="0.3">
      <c r="U422" s="193"/>
      <c r="V422" s="193"/>
      <c r="W422" s="193"/>
      <c r="X422" s="193"/>
      <c r="Y422" s="193"/>
      <c r="Z422" s="193"/>
      <c r="AC422" s="193"/>
      <c r="AD422" s="193"/>
      <c r="AE422" s="193"/>
      <c r="AF422" s="193"/>
    </row>
    <row r="423" spans="21:32" x14ac:dyDescent="0.3">
      <c r="U423" s="193"/>
      <c r="V423" s="193"/>
      <c r="W423" s="193"/>
      <c r="X423" s="193"/>
      <c r="Y423" s="193"/>
      <c r="Z423" s="193"/>
      <c r="AC423" s="193"/>
      <c r="AD423" s="193"/>
      <c r="AE423" s="193"/>
      <c r="AF423" s="193"/>
    </row>
    <row r="424" spans="21:32" x14ac:dyDescent="0.3">
      <c r="U424" s="193"/>
      <c r="V424" s="193"/>
      <c r="W424" s="193"/>
      <c r="X424" s="193"/>
      <c r="Y424" s="193"/>
      <c r="Z424" s="193"/>
      <c r="AC424" s="193"/>
      <c r="AD424" s="193"/>
      <c r="AE424" s="193"/>
      <c r="AF424" s="193"/>
    </row>
    <row r="425" spans="21:32" x14ac:dyDescent="0.3">
      <c r="U425" s="193"/>
      <c r="V425" s="193"/>
      <c r="W425" s="193"/>
      <c r="X425" s="193"/>
      <c r="Y425" s="193"/>
      <c r="Z425" s="193"/>
      <c r="AC425" s="193"/>
      <c r="AD425" s="193"/>
      <c r="AE425" s="193"/>
      <c r="AF425" s="193"/>
    </row>
    <row r="426" spans="21:32" x14ac:dyDescent="0.3">
      <c r="U426" s="193"/>
      <c r="V426" s="193"/>
      <c r="W426" s="193"/>
      <c r="X426" s="193"/>
      <c r="Y426" s="193"/>
      <c r="Z426" s="193"/>
      <c r="AC426" s="193"/>
      <c r="AD426" s="193"/>
      <c r="AE426" s="193"/>
      <c r="AF426" s="193"/>
    </row>
    <row r="427" spans="21:32" x14ac:dyDescent="0.3">
      <c r="U427" s="193"/>
      <c r="V427" s="193"/>
      <c r="W427" s="193"/>
      <c r="X427" s="193"/>
      <c r="Y427" s="193"/>
      <c r="Z427" s="193"/>
      <c r="AC427" s="193"/>
      <c r="AD427" s="193"/>
      <c r="AE427" s="193"/>
      <c r="AF427" s="193"/>
    </row>
    <row r="428" spans="21:32" x14ac:dyDescent="0.3">
      <c r="U428" s="193"/>
      <c r="V428" s="193"/>
      <c r="W428" s="193"/>
      <c r="X428" s="193"/>
      <c r="Y428" s="193"/>
      <c r="Z428" s="193"/>
      <c r="AC428" s="193"/>
      <c r="AD428" s="193"/>
      <c r="AE428" s="193"/>
      <c r="AF428" s="193"/>
    </row>
    <row r="429" spans="21:32" x14ac:dyDescent="0.3">
      <c r="U429" s="193"/>
      <c r="V429" s="193"/>
      <c r="W429" s="193"/>
      <c r="X429" s="193"/>
      <c r="Y429" s="193"/>
      <c r="Z429" s="193"/>
      <c r="AC429" s="193"/>
      <c r="AD429" s="193"/>
      <c r="AE429" s="193"/>
      <c r="AF429" s="193"/>
    </row>
    <row r="430" spans="21:32" x14ac:dyDescent="0.3">
      <c r="U430" s="193"/>
      <c r="V430" s="193"/>
      <c r="W430" s="193"/>
      <c r="X430" s="193"/>
      <c r="Y430" s="193"/>
      <c r="Z430" s="193"/>
      <c r="AC430" s="193"/>
      <c r="AD430" s="193"/>
      <c r="AE430" s="193"/>
      <c r="AF430" s="193"/>
    </row>
    <row r="431" spans="21:32" x14ac:dyDescent="0.3">
      <c r="U431" s="193"/>
      <c r="V431" s="193"/>
      <c r="W431" s="193"/>
      <c r="X431" s="193"/>
      <c r="Y431" s="193"/>
      <c r="Z431" s="193"/>
      <c r="AC431" s="193"/>
      <c r="AD431" s="193"/>
      <c r="AE431" s="193"/>
      <c r="AF431" s="193"/>
    </row>
    <row r="432" spans="21:32" x14ac:dyDescent="0.3">
      <c r="U432" s="193"/>
      <c r="V432" s="193"/>
      <c r="W432" s="193"/>
      <c r="X432" s="193"/>
      <c r="Y432" s="193"/>
      <c r="Z432" s="193"/>
      <c r="AC432" s="193"/>
      <c r="AD432" s="193"/>
      <c r="AE432" s="193"/>
      <c r="AF432" s="193"/>
    </row>
    <row r="433" spans="21:32" x14ac:dyDescent="0.3">
      <c r="U433" s="193"/>
      <c r="V433" s="193"/>
      <c r="W433" s="193"/>
      <c r="X433" s="193"/>
      <c r="Y433" s="193"/>
      <c r="Z433" s="193"/>
      <c r="AC433" s="193"/>
      <c r="AD433" s="193"/>
      <c r="AE433" s="193"/>
      <c r="AF433" s="193"/>
    </row>
    <row r="434" spans="21:32" x14ac:dyDescent="0.3">
      <c r="U434" s="193"/>
      <c r="V434" s="193"/>
      <c r="W434" s="193"/>
      <c r="X434" s="193"/>
      <c r="Y434" s="193"/>
      <c r="Z434" s="193"/>
      <c r="AC434" s="193"/>
      <c r="AD434" s="193"/>
      <c r="AE434" s="193"/>
      <c r="AF434" s="193"/>
    </row>
    <row r="435" spans="21:32" x14ac:dyDescent="0.3">
      <c r="U435" s="193"/>
      <c r="V435" s="193"/>
      <c r="W435" s="193"/>
      <c r="X435" s="193"/>
      <c r="Y435" s="193"/>
      <c r="Z435" s="193"/>
      <c r="AC435" s="193"/>
      <c r="AD435" s="193"/>
      <c r="AE435" s="193"/>
      <c r="AF435" s="193"/>
    </row>
    <row r="436" spans="21:32" x14ac:dyDescent="0.3">
      <c r="U436" s="193"/>
      <c r="V436" s="193"/>
      <c r="W436" s="193"/>
      <c r="X436" s="193"/>
      <c r="Y436" s="193"/>
      <c r="Z436" s="193"/>
      <c r="AC436" s="193"/>
      <c r="AD436" s="193"/>
      <c r="AE436" s="193"/>
      <c r="AF436" s="193"/>
    </row>
    <row r="437" spans="21:32" x14ac:dyDescent="0.3">
      <c r="U437" s="193"/>
      <c r="V437" s="193"/>
      <c r="W437" s="193"/>
      <c r="X437" s="193"/>
      <c r="Y437" s="193"/>
      <c r="Z437" s="193"/>
      <c r="AC437" s="193"/>
      <c r="AD437" s="193"/>
      <c r="AE437" s="193"/>
      <c r="AF437" s="193"/>
    </row>
    <row r="438" spans="21:32" x14ac:dyDescent="0.3">
      <c r="U438" s="193"/>
      <c r="V438" s="193"/>
      <c r="W438" s="193"/>
      <c r="X438" s="193"/>
      <c r="Y438" s="193"/>
      <c r="Z438" s="193"/>
      <c r="AC438" s="193"/>
      <c r="AD438" s="193"/>
      <c r="AE438" s="193"/>
      <c r="AF438" s="193"/>
    </row>
    <row r="439" spans="21:32" x14ac:dyDescent="0.3">
      <c r="U439" s="193"/>
      <c r="V439" s="193"/>
      <c r="W439" s="193"/>
      <c r="X439" s="193"/>
      <c r="Y439" s="193"/>
      <c r="Z439" s="193"/>
      <c r="AC439" s="193"/>
      <c r="AD439" s="193"/>
      <c r="AE439" s="193"/>
      <c r="AF439" s="193"/>
    </row>
    <row r="440" spans="21:32" x14ac:dyDescent="0.3">
      <c r="U440" s="193"/>
      <c r="V440" s="193"/>
      <c r="W440" s="193"/>
      <c r="X440" s="193"/>
      <c r="Y440" s="193"/>
      <c r="Z440" s="193"/>
      <c r="AC440" s="193"/>
      <c r="AD440" s="193"/>
      <c r="AE440" s="193"/>
      <c r="AF440" s="193"/>
    </row>
    <row r="441" spans="21:32" x14ac:dyDescent="0.3">
      <c r="U441" s="193"/>
      <c r="V441" s="193"/>
      <c r="W441" s="193"/>
      <c r="X441" s="193"/>
      <c r="Y441" s="193"/>
      <c r="Z441" s="193"/>
      <c r="AC441" s="193"/>
      <c r="AD441" s="193"/>
      <c r="AE441" s="193"/>
      <c r="AF441" s="193"/>
    </row>
    <row r="442" spans="21:32" x14ac:dyDescent="0.3">
      <c r="U442" s="193"/>
      <c r="V442" s="193"/>
      <c r="W442" s="193"/>
      <c r="X442" s="193"/>
      <c r="Y442" s="193"/>
      <c r="Z442" s="193"/>
      <c r="AC442" s="193"/>
      <c r="AD442" s="193"/>
      <c r="AE442" s="193"/>
      <c r="AF442" s="193"/>
    </row>
    <row r="443" spans="21:32" x14ac:dyDescent="0.3">
      <c r="U443" s="193"/>
      <c r="V443" s="193"/>
      <c r="W443" s="193"/>
      <c r="X443" s="193"/>
      <c r="Y443" s="193"/>
      <c r="Z443" s="193"/>
      <c r="AC443" s="193"/>
      <c r="AD443" s="193"/>
      <c r="AE443" s="193"/>
      <c r="AF443" s="193"/>
    </row>
    <row r="444" spans="21:32" x14ac:dyDescent="0.3">
      <c r="U444" s="193"/>
      <c r="V444" s="193"/>
      <c r="W444" s="193"/>
      <c r="X444" s="193"/>
      <c r="Y444" s="193"/>
      <c r="Z444" s="193"/>
      <c r="AC444" s="193"/>
      <c r="AD444" s="193"/>
      <c r="AE444" s="193"/>
      <c r="AF444" s="193"/>
    </row>
    <row r="445" spans="21:32" x14ac:dyDescent="0.3">
      <c r="U445" s="193"/>
      <c r="V445" s="193"/>
      <c r="W445" s="193"/>
      <c r="X445" s="193"/>
      <c r="Y445" s="193"/>
      <c r="Z445" s="193"/>
      <c r="AC445" s="193"/>
      <c r="AD445" s="193"/>
      <c r="AE445" s="193"/>
      <c r="AF445" s="193"/>
    </row>
    <row r="446" spans="21:32" x14ac:dyDescent="0.3">
      <c r="U446" s="193"/>
      <c r="V446" s="193"/>
      <c r="W446" s="193"/>
      <c r="X446" s="193"/>
      <c r="Y446" s="193"/>
      <c r="Z446" s="193"/>
      <c r="AC446" s="193"/>
      <c r="AD446" s="193"/>
      <c r="AE446" s="193"/>
      <c r="AF446" s="193"/>
    </row>
    <row r="447" spans="21:32" x14ac:dyDescent="0.3">
      <c r="U447" s="193"/>
      <c r="V447" s="193"/>
      <c r="W447" s="193"/>
      <c r="X447" s="193"/>
      <c r="Y447" s="193"/>
      <c r="Z447" s="193"/>
      <c r="AC447" s="193"/>
      <c r="AD447" s="193"/>
      <c r="AE447" s="193"/>
      <c r="AF447" s="193"/>
    </row>
    <row r="448" spans="21:32" x14ac:dyDescent="0.3">
      <c r="U448" s="193"/>
      <c r="V448" s="193"/>
      <c r="W448" s="193"/>
      <c r="X448" s="193"/>
      <c r="Y448" s="193"/>
      <c r="Z448" s="193"/>
      <c r="AC448" s="193"/>
      <c r="AD448" s="193"/>
      <c r="AE448" s="193"/>
      <c r="AF448" s="193"/>
    </row>
    <row r="449" spans="21:32" x14ac:dyDescent="0.3">
      <c r="U449" s="193"/>
      <c r="V449" s="193"/>
      <c r="W449" s="193"/>
      <c r="X449" s="193"/>
      <c r="Y449" s="193"/>
      <c r="Z449" s="193"/>
      <c r="AC449" s="193"/>
      <c r="AD449" s="193"/>
      <c r="AE449" s="193"/>
      <c r="AF449" s="193"/>
    </row>
    <row r="450" spans="21:32" x14ac:dyDescent="0.3">
      <c r="U450" s="193"/>
      <c r="V450" s="193"/>
      <c r="W450" s="193"/>
      <c r="X450" s="193"/>
      <c r="Y450" s="193"/>
      <c r="Z450" s="193"/>
      <c r="AC450" s="193"/>
      <c r="AD450" s="193"/>
      <c r="AE450" s="193"/>
      <c r="AF450" s="193"/>
    </row>
    <row r="451" spans="21:32" x14ac:dyDescent="0.3">
      <c r="U451" s="193"/>
      <c r="V451" s="193"/>
      <c r="W451" s="193"/>
      <c r="X451" s="193"/>
      <c r="Y451" s="193"/>
      <c r="Z451" s="193"/>
      <c r="AC451" s="193"/>
      <c r="AD451" s="193"/>
      <c r="AE451" s="193"/>
      <c r="AF451" s="193"/>
    </row>
    <row r="452" spans="21:32" x14ac:dyDescent="0.3">
      <c r="U452" s="193"/>
      <c r="V452" s="193"/>
      <c r="W452" s="193"/>
      <c r="X452" s="193"/>
      <c r="Y452" s="193"/>
      <c r="Z452" s="193"/>
      <c r="AC452" s="193"/>
      <c r="AD452" s="193"/>
      <c r="AE452" s="193"/>
      <c r="AF452" s="193"/>
    </row>
    <row r="453" spans="21:32" x14ac:dyDescent="0.3">
      <c r="U453" s="193"/>
      <c r="V453" s="193"/>
      <c r="W453" s="193"/>
      <c r="X453" s="193"/>
      <c r="Y453" s="193"/>
      <c r="Z453" s="193"/>
      <c r="AC453" s="193"/>
      <c r="AD453" s="193"/>
      <c r="AE453" s="193"/>
      <c r="AF453" s="193"/>
    </row>
    <row r="454" spans="21:32" x14ac:dyDescent="0.3">
      <c r="U454" s="193"/>
      <c r="V454" s="193"/>
      <c r="W454" s="193"/>
      <c r="X454" s="193"/>
      <c r="Y454" s="193"/>
      <c r="Z454" s="193"/>
      <c r="AC454" s="193"/>
      <c r="AD454" s="193"/>
      <c r="AE454" s="193"/>
      <c r="AF454" s="193"/>
    </row>
    <row r="455" spans="21:32" x14ac:dyDescent="0.3">
      <c r="U455" s="193"/>
      <c r="V455" s="193"/>
      <c r="W455" s="193"/>
      <c r="X455" s="193"/>
      <c r="Y455" s="193"/>
      <c r="Z455" s="193"/>
      <c r="AC455" s="193"/>
      <c r="AD455" s="193"/>
      <c r="AE455" s="193"/>
      <c r="AF455" s="193"/>
    </row>
    <row r="456" spans="21:32" x14ac:dyDescent="0.3">
      <c r="U456" s="193"/>
      <c r="V456" s="193"/>
      <c r="W456" s="193"/>
      <c r="X456" s="193"/>
      <c r="Y456" s="193"/>
      <c r="Z456" s="193"/>
      <c r="AC456" s="193"/>
      <c r="AD456" s="193"/>
      <c r="AE456" s="193"/>
      <c r="AF456" s="193"/>
    </row>
    <row r="457" spans="21:32" x14ac:dyDescent="0.3">
      <c r="U457" s="193"/>
      <c r="V457" s="193"/>
      <c r="W457" s="193"/>
      <c r="X457" s="193"/>
      <c r="Y457" s="193"/>
      <c r="Z457" s="193"/>
      <c r="AC457" s="193"/>
      <c r="AD457" s="193"/>
      <c r="AE457" s="193"/>
      <c r="AF457" s="193"/>
    </row>
    <row r="458" spans="21:32" x14ac:dyDescent="0.3">
      <c r="U458" s="193"/>
      <c r="V458" s="193"/>
      <c r="W458" s="193"/>
      <c r="X458" s="193"/>
      <c r="Y458" s="193"/>
      <c r="Z458" s="193"/>
      <c r="AC458" s="193"/>
      <c r="AD458" s="193"/>
      <c r="AE458" s="193"/>
      <c r="AF458" s="193"/>
    </row>
    <row r="459" spans="21:32" x14ac:dyDescent="0.3">
      <c r="U459" s="193"/>
      <c r="V459" s="193"/>
      <c r="W459" s="193"/>
      <c r="X459" s="193"/>
      <c r="Y459" s="193"/>
      <c r="Z459" s="193"/>
      <c r="AC459" s="193"/>
      <c r="AD459" s="193"/>
      <c r="AE459" s="193"/>
      <c r="AF459" s="193"/>
    </row>
    <row r="460" spans="21:32" x14ac:dyDescent="0.3">
      <c r="U460" s="193"/>
      <c r="V460" s="193"/>
      <c r="W460" s="193"/>
      <c r="X460" s="193"/>
      <c r="Y460" s="193"/>
      <c r="Z460" s="193"/>
      <c r="AC460" s="193"/>
      <c r="AD460" s="193"/>
      <c r="AE460" s="193"/>
      <c r="AF460" s="193"/>
    </row>
    <row r="461" spans="21:32" x14ac:dyDescent="0.3">
      <c r="U461" s="193"/>
      <c r="V461" s="193"/>
      <c r="W461" s="193"/>
      <c r="X461" s="193"/>
      <c r="Y461" s="193"/>
      <c r="Z461" s="193"/>
      <c r="AC461" s="193"/>
      <c r="AD461" s="193"/>
      <c r="AE461" s="193"/>
      <c r="AF461" s="193"/>
    </row>
    <row r="462" spans="21:32" x14ac:dyDescent="0.3">
      <c r="U462" s="193"/>
      <c r="V462" s="193"/>
      <c r="W462" s="193"/>
      <c r="X462" s="193"/>
      <c r="Y462" s="193"/>
      <c r="Z462" s="193"/>
      <c r="AC462" s="193"/>
      <c r="AD462" s="193"/>
      <c r="AE462" s="193"/>
      <c r="AF462" s="193"/>
    </row>
    <row r="463" spans="21:32" x14ac:dyDescent="0.3">
      <c r="U463" s="193"/>
      <c r="V463" s="193"/>
      <c r="W463" s="193"/>
      <c r="X463" s="193"/>
      <c r="Y463" s="193"/>
      <c r="Z463" s="193"/>
      <c r="AC463" s="193"/>
      <c r="AD463" s="193"/>
      <c r="AE463" s="193"/>
      <c r="AF463" s="193"/>
    </row>
    <row r="464" spans="21:32" x14ac:dyDescent="0.3">
      <c r="U464" s="193"/>
      <c r="V464" s="193"/>
      <c r="W464" s="193"/>
      <c r="X464" s="193"/>
      <c r="Y464" s="193"/>
      <c r="Z464" s="193"/>
      <c r="AC464" s="193"/>
      <c r="AD464" s="193"/>
      <c r="AE464" s="193"/>
      <c r="AF464" s="193"/>
    </row>
    <row r="465" spans="21:32" x14ac:dyDescent="0.3">
      <c r="U465" s="193"/>
      <c r="V465" s="193"/>
      <c r="W465" s="193"/>
      <c r="X465" s="193"/>
      <c r="Y465" s="193"/>
      <c r="Z465" s="193"/>
      <c r="AC465" s="193"/>
      <c r="AD465" s="193"/>
      <c r="AE465" s="193"/>
      <c r="AF465" s="193"/>
    </row>
    <row r="466" spans="21:32" x14ac:dyDescent="0.3">
      <c r="U466" s="193"/>
      <c r="V466" s="193"/>
      <c r="W466" s="193"/>
      <c r="X466" s="193"/>
      <c r="Y466" s="193"/>
      <c r="Z466" s="193"/>
      <c r="AC466" s="193"/>
      <c r="AD466" s="193"/>
      <c r="AE466" s="193"/>
      <c r="AF466" s="193"/>
    </row>
    <row r="467" spans="21:32" x14ac:dyDescent="0.3">
      <c r="U467" s="193"/>
      <c r="V467" s="193"/>
      <c r="W467" s="193"/>
      <c r="X467" s="193"/>
      <c r="Y467" s="193"/>
      <c r="Z467" s="193"/>
      <c r="AC467" s="193"/>
      <c r="AD467" s="193"/>
      <c r="AE467" s="193"/>
      <c r="AF467" s="193"/>
    </row>
    <row r="468" spans="21:32" x14ac:dyDescent="0.3">
      <c r="U468" s="193"/>
      <c r="V468" s="193"/>
      <c r="W468" s="193"/>
      <c r="X468" s="193"/>
      <c r="Y468" s="193"/>
      <c r="Z468" s="193"/>
      <c r="AC468" s="193"/>
      <c r="AD468" s="193"/>
      <c r="AE468" s="193"/>
      <c r="AF468" s="193"/>
    </row>
    <row r="469" spans="21:32" x14ac:dyDescent="0.3">
      <c r="U469" s="193"/>
      <c r="V469" s="193"/>
      <c r="W469" s="193"/>
      <c r="X469" s="193"/>
      <c r="Y469" s="193"/>
      <c r="Z469" s="193"/>
      <c r="AC469" s="193"/>
      <c r="AD469" s="193"/>
      <c r="AE469" s="193"/>
      <c r="AF469" s="193"/>
    </row>
    <row r="470" spans="21:32" x14ac:dyDescent="0.3">
      <c r="U470" s="193"/>
      <c r="V470" s="193"/>
      <c r="W470" s="193"/>
      <c r="X470" s="193"/>
      <c r="Y470" s="193"/>
      <c r="Z470" s="193"/>
      <c r="AC470" s="193"/>
      <c r="AD470" s="193"/>
      <c r="AE470" s="193"/>
      <c r="AF470" s="193"/>
    </row>
    <row r="471" spans="21:32" x14ac:dyDescent="0.3">
      <c r="U471" s="193"/>
      <c r="V471" s="193"/>
      <c r="W471" s="193"/>
      <c r="X471" s="193"/>
      <c r="Y471" s="193"/>
      <c r="Z471" s="193"/>
      <c r="AC471" s="193"/>
      <c r="AD471" s="193"/>
      <c r="AE471" s="193"/>
      <c r="AF471" s="193"/>
    </row>
    <row r="472" spans="21:32" x14ac:dyDescent="0.3">
      <c r="U472" s="193"/>
      <c r="V472" s="193"/>
      <c r="W472" s="193"/>
      <c r="X472" s="193"/>
      <c r="Y472" s="193"/>
      <c r="Z472" s="193"/>
      <c r="AC472" s="193"/>
      <c r="AD472" s="193"/>
      <c r="AE472" s="193"/>
      <c r="AF472" s="193"/>
    </row>
    <row r="473" spans="21:32" x14ac:dyDescent="0.3">
      <c r="U473" s="193"/>
      <c r="V473" s="193"/>
      <c r="W473" s="193"/>
      <c r="X473" s="193"/>
      <c r="Y473" s="193"/>
      <c r="Z473" s="193"/>
      <c r="AC473" s="193"/>
      <c r="AD473" s="193"/>
      <c r="AE473" s="193"/>
      <c r="AF473" s="193"/>
    </row>
    <row r="474" spans="21:32" x14ac:dyDescent="0.3">
      <c r="U474" s="193"/>
      <c r="V474" s="193"/>
      <c r="W474" s="193"/>
      <c r="X474" s="193"/>
      <c r="Y474" s="193"/>
      <c r="Z474" s="193"/>
      <c r="AC474" s="193"/>
      <c r="AD474" s="193"/>
      <c r="AE474" s="193"/>
      <c r="AF474" s="193"/>
    </row>
    <row r="475" spans="21:32" x14ac:dyDescent="0.3">
      <c r="U475" s="193"/>
      <c r="V475" s="193"/>
      <c r="W475" s="193"/>
      <c r="X475" s="193"/>
      <c r="Y475" s="193"/>
      <c r="Z475" s="193"/>
      <c r="AC475" s="193"/>
      <c r="AD475" s="193"/>
      <c r="AE475" s="193"/>
      <c r="AF475" s="193"/>
    </row>
    <row r="476" spans="21:32" x14ac:dyDescent="0.3">
      <c r="U476" s="193"/>
      <c r="V476" s="193"/>
      <c r="W476" s="193"/>
      <c r="X476" s="193"/>
      <c r="Y476" s="193"/>
      <c r="Z476" s="193"/>
      <c r="AC476" s="193"/>
      <c r="AD476" s="193"/>
      <c r="AE476" s="193"/>
      <c r="AF476" s="193"/>
    </row>
    <row r="477" spans="21:32" x14ac:dyDescent="0.3">
      <c r="U477" s="193"/>
      <c r="V477" s="193"/>
      <c r="W477" s="193"/>
      <c r="X477" s="193"/>
      <c r="Y477" s="193"/>
      <c r="Z477" s="193"/>
      <c r="AC477" s="193"/>
      <c r="AD477" s="193"/>
      <c r="AE477" s="193"/>
      <c r="AF477" s="193"/>
    </row>
    <row r="478" spans="21:32" x14ac:dyDescent="0.3">
      <c r="U478" s="193"/>
      <c r="V478" s="193"/>
      <c r="W478" s="193"/>
      <c r="X478" s="193"/>
      <c r="Y478" s="193"/>
      <c r="Z478" s="193"/>
      <c r="AC478" s="193"/>
      <c r="AD478" s="193"/>
      <c r="AE478" s="193"/>
      <c r="AF478" s="193"/>
    </row>
    <row r="479" spans="21:32" x14ac:dyDescent="0.3">
      <c r="U479" s="193"/>
      <c r="V479" s="193"/>
      <c r="W479" s="193"/>
      <c r="X479" s="193"/>
      <c r="Y479" s="193"/>
      <c r="Z479" s="193"/>
      <c r="AC479" s="193"/>
      <c r="AD479" s="193"/>
      <c r="AE479" s="193"/>
      <c r="AF479" s="193"/>
    </row>
    <row r="480" spans="21:32" x14ac:dyDescent="0.3">
      <c r="U480" s="193"/>
      <c r="V480" s="193"/>
      <c r="W480" s="193"/>
      <c r="X480" s="193"/>
      <c r="Y480" s="193"/>
      <c r="Z480" s="193"/>
      <c r="AC480" s="193"/>
      <c r="AD480" s="193"/>
      <c r="AE480" s="193"/>
      <c r="AF480" s="193"/>
    </row>
    <row r="481" spans="21:32" x14ac:dyDescent="0.3">
      <c r="U481" s="193"/>
      <c r="V481" s="193"/>
      <c r="W481" s="193"/>
      <c r="X481" s="193"/>
      <c r="Y481" s="193"/>
      <c r="Z481" s="193"/>
      <c r="AC481" s="193"/>
      <c r="AD481" s="193"/>
      <c r="AE481" s="193"/>
      <c r="AF481" s="193"/>
    </row>
    <row r="482" spans="21:32" x14ac:dyDescent="0.3">
      <c r="U482" s="193"/>
      <c r="V482" s="193"/>
      <c r="W482" s="193"/>
      <c r="X482" s="193"/>
      <c r="Y482" s="193"/>
      <c r="Z482" s="193"/>
      <c r="AC482" s="193"/>
      <c r="AD482" s="193"/>
      <c r="AE482" s="193"/>
      <c r="AF482" s="193"/>
    </row>
    <row r="483" spans="21:32" x14ac:dyDescent="0.3">
      <c r="U483" s="193"/>
      <c r="V483" s="193"/>
      <c r="W483" s="193"/>
      <c r="X483" s="193"/>
      <c r="Y483" s="193"/>
      <c r="Z483" s="193"/>
      <c r="AC483" s="193"/>
      <c r="AD483" s="193"/>
      <c r="AE483" s="193"/>
      <c r="AF483" s="193"/>
    </row>
    <row r="484" spans="21:32" x14ac:dyDescent="0.3">
      <c r="U484" s="193"/>
      <c r="V484" s="193"/>
      <c r="W484" s="193"/>
      <c r="X484" s="193"/>
      <c r="Y484" s="193"/>
      <c r="Z484" s="193"/>
      <c r="AC484" s="193"/>
      <c r="AD484" s="193"/>
      <c r="AE484" s="193"/>
      <c r="AF484" s="193"/>
    </row>
    <row r="485" spans="21:32" x14ac:dyDescent="0.3">
      <c r="U485" s="193"/>
      <c r="V485" s="193"/>
      <c r="W485" s="193"/>
      <c r="X485" s="193"/>
      <c r="Y485" s="193"/>
      <c r="Z485" s="193"/>
      <c r="AC485" s="193"/>
      <c r="AD485" s="193"/>
      <c r="AE485" s="193"/>
      <c r="AF485" s="193"/>
    </row>
    <row r="486" spans="21:32" x14ac:dyDescent="0.3">
      <c r="U486" s="193"/>
      <c r="V486" s="193"/>
      <c r="W486" s="193"/>
      <c r="X486" s="193"/>
      <c r="Y486" s="193"/>
      <c r="Z486" s="193"/>
      <c r="AC486" s="193"/>
      <c r="AD486" s="193"/>
      <c r="AE486" s="193"/>
      <c r="AF486" s="193"/>
    </row>
    <row r="487" spans="21:32" x14ac:dyDescent="0.3">
      <c r="U487" s="193"/>
      <c r="V487" s="193"/>
      <c r="W487" s="193"/>
      <c r="X487" s="193"/>
      <c r="Y487" s="193"/>
      <c r="Z487" s="193"/>
      <c r="AC487" s="193"/>
      <c r="AD487" s="193"/>
      <c r="AE487" s="193"/>
      <c r="AF487" s="193"/>
    </row>
    <row r="488" spans="21:32" x14ac:dyDescent="0.3">
      <c r="U488" s="193"/>
      <c r="V488" s="193"/>
      <c r="W488" s="193"/>
      <c r="X488" s="193"/>
      <c r="Y488" s="193"/>
      <c r="Z488" s="193"/>
      <c r="AC488" s="193"/>
      <c r="AD488" s="193"/>
      <c r="AE488" s="193"/>
      <c r="AF488" s="193"/>
    </row>
    <row r="489" spans="21:32" x14ac:dyDescent="0.3">
      <c r="U489" s="193"/>
      <c r="V489" s="193"/>
      <c r="W489" s="193"/>
      <c r="X489" s="193"/>
      <c r="Y489" s="193"/>
      <c r="Z489" s="193"/>
      <c r="AC489" s="193"/>
      <c r="AD489" s="193"/>
      <c r="AE489" s="193"/>
      <c r="AF489" s="193"/>
    </row>
    <row r="490" spans="21:32" x14ac:dyDescent="0.3">
      <c r="U490" s="193"/>
      <c r="V490" s="193"/>
      <c r="W490" s="193"/>
      <c r="X490" s="193"/>
      <c r="Y490" s="193"/>
      <c r="Z490" s="193"/>
      <c r="AC490" s="193"/>
      <c r="AD490" s="193"/>
      <c r="AE490" s="193"/>
      <c r="AF490" s="193"/>
    </row>
    <row r="491" spans="21:32" x14ac:dyDescent="0.3">
      <c r="U491" s="193"/>
      <c r="V491" s="193"/>
      <c r="W491" s="193"/>
      <c r="X491" s="193"/>
      <c r="Y491" s="193"/>
      <c r="Z491" s="193"/>
      <c r="AC491" s="193"/>
      <c r="AD491" s="193"/>
      <c r="AE491" s="193"/>
      <c r="AF491" s="193"/>
    </row>
    <row r="492" spans="21:32" x14ac:dyDescent="0.3">
      <c r="U492" s="193"/>
      <c r="V492" s="193"/>
      <c r="W492" s="193"/>
      <c r="X492" s="193"/>
      <c r="Y492" s="193"/>
      <c r="Z492" s="193"/>
      <c r="AC492" s="193"/>
      <c r="AD492" s="193"/>
      <c r="AE492" s="193"/>
      <c r="AF492" s="193"/>
    </row>
    <row r="493" spans="21:32" x14ac:dyDescent="0.3">
      <c r="U493" s="193"/>
      <c r="V493" s="193"/>
      <c r="W493" s="193"/>
      <c r="X493" s="193"/>
      <c r="Y493" s="193"/>
      <c r="Z493" s="193"/>
      <c r="AC493" s="193"/>
      <c r="AD493" s="193"/>
      <c r="AE493" s="193"/>
      <c r="AF493" s="193"/>
    </row>
    <row r="494" spans="21:32" x14ac:dyDescent="0.3">
      <c r="U494" s="193"/>
      <c r="V494" s="193"/>
      <c r="W494" s="193"/>
      <c r="X494" s="193"/>
      <c r="Y494" s="193"/>
      <c r="Z494" s="193"/>
      <c r="AC494" s="193"/>
      <c r="AD494" s="193"/>
      <c r="AE494" s="193"/>
      <c r="AF494" s="193"/>
    </row>
    <row r="495" spans="21:32" x14ac:dyDescent="0.3">
      <c r="U495" s="193"/>
      <c r="V495" s="193"/>
      <c r="W495" s="193"/>
      <c r="X495" s="193"/>
      <c r="Y495" s="193"/>
      <c r="Z495" s="193"/>
      <c r="AC495" s="193"/>
      <c r="AD495" s="193"/>
      <c r="AE495" s="193"/>
      <c r="AF495" s="193"/>
    </row>
    <row r="496" spans="21:32" x14ac:dyDescent="0.3">
      <c r="U496" s="193"/>
      <c r="V496" s="193"/>
      <c r="W496" s="193"/>
      <c r="X496" s="193"/>
      <c r="Y496" s="193"/>
      <c r="Z496" s="193"/>
      <c r="AC496" s="193"/>
      <c r="AD496" s="193"/>
      <c r="AE496" s="193"/>
      <c r="AF496" s="193"/>
    </row>
    <row r="497" spans="21:32" x14ac:dyDescent="0.3">
      <c r="U497" s="193"/>
      <c r="V497" s="193"/>
      <c r="W497" s="193"/>
      <c r="X497" s="193"/>
      <c r="Y497" s="193"/>
      <c r="Z497" s="193"/>
      <c r="AC497" s="193"/>
      <c r="AD497" s="193"/>
      <c r="AE497" s="193"/>
      <c r="AF497" s="193"/>
    </row>
    <row r="498" spans="21:32" x14ac:dyDescent="0.3">
      <c r="U498" s="193"/>
      <c r="V498" s="193"/>
      <c r="W498" s="193"/>
      <c r="X498" s="193"/>
      <c r="Y498" s="193"/>
      <c r="Z498" s="193"/>
      <c r="AC498" s="193"/>
      <c r="AD498" s="193"/>
      <c r="AE498" s="193"/>
      <c r="AF498" s="193"/>
    </row>
    <row r="499" spans="21:32" x14ac:dyDescent="0.3">
      <c r="U499" s="193"/>
      <c r="V499" s="193"/>
      <c r="W499" s="193"/>
      <c r="X499" s="193"/>
      <c r="Y499" s="193"/>
      <c r="Z499" s="193"/>
      <c r="AC499" s="193"/>
      <c r="AD499" s="193"/>
      <c r="AE499" s="193"/>
      <c r="AF499" s="193"/>
    </row>
    <row r="500" spans="21:32" x14ac:dyDescent="0.3">
      <c r="U500" s="193"/>
      <c r="V500" s="193"/>
      <c r="W500" s="193"/>
      <c r="X500" s="193"/>
      <c r="Y500" s="193"/>
      <c r="Z500" s="193"/>
      <c r="AC500" s="193"/>
      <c r="AD500" s="193"/>
      <c r="AE500" s="193"/>
      <c r="AF500" s="193"/>
    </row>
    <row r="501" spans="21:32" x14ac:dyDescent="0.3">
      <c r="U501" s="193"/>
      <c r="V501" s="193"/>
      <c r="W501" s="193"/>
      <c r="X501" s="193"/>
      <c r="Y501" s="193"/>
      <c r="Z501" s="193"/>
      <c r="AC501" s="193"/>
      <c r="AD501" s="193"/>
      <c r="AE501" s="193"/>
      <c r="AF501" s="193"/>
    </row>
    <row r="502" spans="21:32" x14ac:dyDescent="0.3">
      <c r="U502" s="193"/>
      <c r="V502" s="193"/>
      <c r="W502" s="193"/>
      <c r="X502" s="193"/>
      <c r="Y502" s="193"/>
      <c r="Z502" s="193"/>
      <c r="AC502" s="193"/>
      <c r="AD502" s="193"/>
      <c r="AE502" s="193"/>
      <c r="AF502" s="193"/>
    </row>
    <row r="503" spans="21:32" x14ac:dyDescent="0.3">
      <c r="U503" s="193"/>
      <c r="V503" s="193"/>
      <c r="W503" s="193"/>
      <c r="X503" s="193"/>
      <c r="Y503" s="193"/>
      <c r="Z503" s="193"/>
      <c r="AC503" s="193"/>
      <c r="AD503" s="193"/>
      <c r="AE503" s="193"/>
      <c r="AF503" s="193"/>
    </row>
    <row r="504" spans="21:32" x14ac:dyDescent="0.3">
      <c r="U504" s="193"/>
      <c r="V504" s="193"/>
      <c r="W504" s="193"/>
      <c r="X504" s="193"/>
      <c r="Y504" s="193"/>
      <c r="Z504" s="193"/>
      <c r="AC504" s="193"/>
      <c r="AD504" s="193"/>
      <c r="AE504" s="193"/>
      <c r="AF504" s="193"/>
    </row>
    <row r="505" spans="21:32" x14ac:dyDescent="0.3">
      <c r="U505" s="193"/>
      <c r="V505" s="193"/>
      <c r="W505" s="193"/>
      <c r="X505" s="193"/>
      <c r="Y505" s="193"/>
      <c r="Z505" s="193"/>
      <c r="AC505" s="193"/>
      <c r="AD505" s="193"/>
      <c r="AE505" s="193"/>
      <c r="AF505" s="193"/>
    </row>
    <row r="506" spans="21:32" x14ac:dyDescent="0.3">
      <c r="U506" s="193"/>
      <c r="V506" s="193"/>
      <c r="W506" s="193"/>
      <c r="X506" s="193"/>
      <c r="Y506" s="193"/>
      <c r="Z506" s="193"/>
      <c r="AC506" s="193"/>
      <c r="AD506" s="193"/>
      <c r="AE506" s="193"/>
      <c r="AF506" s="193"/>
    </row>
    <row r="507" spans="21:32" x14ac:dyDescent="0.3">
      <c r="U507" s="193"/>
      <c r="V507" s="193"/>
      <c r="W507" s="193"/>
      <c r="X507" s="193"/>
      <c r="Y507" s="193"/>
      <c r="Z507" s="193"/>
      <c r="AC507" s="193"/>
      <c r="AD507" s="193"/>
      <c r="AE507" s="193"/>
      <c r="AF507" s="193"/>
    </row>
    <row r="508" spans="21:32" x14ac:dyDescent="0.3">
      <c r="U508" s="193"/>
      <c r="V508" s="193"/>
      <c r="W508" s="193"/>
      <c r="X508" s="193"/>
      <c r="Y508" s="193"/>
      <c r="Z508" s="193"/>
      <c r="AC508" s="193"/>
      <c r="AD508" s="193"/>
      <c r="AE508" s="193"/>
      <c r="AF508" s="193"/>
    </row>
    <row r="509" spans="21:32" x14ac:dyDescent="0.3">
      <c r="U509" s="193"/>
      <c r="V509" s="193"/>
      <c r="W509" s="193"/>
      <c r="X509" s="193"/>
      <c r="Y509" s="193"/>
      <c r="Z509" s="193"/>
      <c r="AC509" s="193"/>
      <c r="AD509" s="193"/>
      <c r="AE509" s="193"/>
      <c r="AF509" s="193"/>
    </row>
    <row r="510" spans="21:32" x14ac:dyDescent="0.3">
      <c r="U510" s="193"/>
      <c r="V510" s="193"/>
      <c r="W510" s="193"/>
      <c r="X510" s="193"/>
      <c r="Y510" s="193"/>
      <c r="Z510" s="193"/>
      <c r="AC510" s="193"/>
      <c r="AD510" s="193"/>
      <c r="AE510" s="193"/>
      <c r="AF510" s="193"/>
    </row>
    <row r="511" spans="21:32" x14ac:dyDescent="0.3">
      <c r="U511" s="193"/>
      <c r="V511" s="193"/>
      <c r="W511" s="193"/>
      <c r="X511" s="193"/>
      <c r="Y511" s="193"/>
      <c r="Z511" s="193"/>
      <c r="AC511" s="193"/>
      <c r="AD511" s="193"/>
      <c r="AE511" s="193"/>
      <c r="AF511" s="193"/>
    </row>
    <row r="512" spans="21:32" x14ac:dyDescent="0.3">
      <c r="U512" s="193"/>
      <c r="V512" s="193"/>
      <c r="W512" s="193"/>
      <c r="X512" s="193"/>
      <c r="Y512" s="193"/>
      <c r="Z512" s="193"/>
      <c r="AC512" s="193"/>
      <c r="AD512" s="193"/>
      <c r="AE512" s="193"/>
      <c r="AF512" s="193"/>
    </row>
    <row r="513" spans="21:32" x14ac:dyDescent="0.3">
      <c r="U513" s="193"/>
      <c r="V513" s="193"/>
      <c r="W513" s="193"/>
      <c r="X513" s="193"/>
      <c r="Y513" s="193"/>
      <c r="Z513" s="193"/>
      <c r="AC513" s="193"/>
      <c r="AD513" s="193"/>
      <c r="AE513" s="193"/>
      <c r="AF513" s="193"/>
    </row>
    <row r="514" spans="21:32" x14ac:dyDescent="0.3">
      <c r="U514" s="193"/>
      <c r="V514" s="193"/>
      <c r="W514" s="193"/>
      <c r="X514" s="193"/>
      <c r="Y514" s="193"/>
      <c r="Z514" s="193"/>
      <c r="AC514" s="193"/>
      <c r="AD514" s="193"/>
      <c r="AE514" s="193"/>
      <c r="AF514" s="193"/>
    </row>
    <row r="515" spans="21:32" x14ac:dyDescent="0.3">
      <c r="U515" s="193"/>
      <c r="V515" s="193"/>
      <c r="W515" s="193"/>
      <c r="X515" s="193"/>
      <c r="Y515" s="193"/>
      <c r="Z515" s="193"/>
      <c r="AC515" s="193"/>
      <c r="AD515" s="193"/>
      <c r="AE515" s="193"/>
      <c r="AF515" s="193"/>
    </row>
    <row r="516" spans="21:32" x14ac:dyDescent="0.3">
      <c r="U516" s="193"/>
      <c r="V516" s="193"/>
      <c r="W516" s="193"/>
      <c r="X516" s="193"/>
      <c r="Y516" s="193"/>
      <c r="Z516" s="193"/>
      <c r="AC516" s="193"/>
      <c r="AD516" s="193"/>
      <c r="AE516" s="193"/>
      <c r="AF516" s="193"/>
    </row>
    <row r="517" spans="21:32" x14ac:dyDescent="0.3">
      <c r="U517" s="193"/>
      <c r="V517" s="193"/>
      <c r="W517" s="193"/>
      <c r="X517" s="193"/>
      <c r="Y517" s="193"/>
      <c r="Z517" s="193"/>
      <c r="AC517" s="193"/>
      <c r="AD517" s="193"/>
      <c r="AE517" s="193"/>
      <c r="AF517" s="193"/>
    </row>
    <row r="518" spans="21:32" x14ac:dyDescent="0.3">
      <c r="U518" s="193"/>
      <c r="V518" s="193"/>
      <c r="W518" s="193"/>
      <c r="X518" s="193"/>
      <c r="Y518" s="193"/>
      <c r="Z518" s="193"/>
      <c r="AC518" s="193"/>
      <c r="AD518" s="193"/>
      <c r="AE518" s="193"/>
      <c r="AF518" s="193"/>
    </row>
    <row r="519" spans="21:32" x14ac:dyDescent="0.3">
      <c r="U519" s="193"/>
      <c r="V519" s="193"/>
      <c r="W519" s="193"/>
      <c r="X519" s="193"/>
      <c r="Y519" s="193"/>
      <c r="Z519" s="193"/>
      <c r="AC519" s="193"/>
      <c r="AD519" s="193"/>
      <c r="AE519" s="193"/>
      <c r="AF519" s="193"/>
    </row>
    <row r="520" spans="21:32" x14ac:dyDescent="0.3">
      <c r="U520" s="193"/>
      <c r="V520" s="193"/>
      <c r="W520" s="193"/>
      <c r="X520" s="193"/>
      <c r="Y520" s="193"/>
      <c r="Z520" s="193"/>
      <c r="AC520" s="193"/>
      <c r="AD520" s="193"/>
      <c r="AE520" s="193"/>
      <c r="AF520" s="193"/>
    </row>
    <row r="521" spans="21:32" x14ac:dyDescent="0.3">
      <c r="U521" s="193"/>
      <c r="V521" s="193"/>
      <c r="W521" s="193"/>
      <c r="X521" s="193"/>
      <c r="Y521" s="193"/>
      <c r="Z521" s="193"/>
      <c r="AC521" s="193"/>
      <c r="AD521" s="193"/>
      <c r="AE521" s="193"/>
      <c r="AF521" s="193"/>
    </row>
    <row r="522" spans="21:32" x14ac:dyDescent="0.3">
      <c r="U522" s="193"/>
      <c r="V522" s="193"/>
      <c r="W522" s="193"/>
      <c r="X522" s="193"/>
      <c r="Y522" s="193"/>
      <c r="Z522" s="193"/>
      <c r="AC522" s="193"/>
      <c r="AD522" s="193"/>
      <c r="AE522" s="193"/>
      <c r="AF522" s="193"/>
    </row>
    <row r="523" spans="21:32" x14ac:dyDescent="0.3">
      <c r="U523" s="193"/>
      <c r="V523" s="193"/>
      <c r="W523" s="193"/>
      <c r="X523" s="193"/>
      <c r="Y523" s="193"/>
      <c r="Z523" s="193"/>
      <c r="AC523" s="193"/>
      <c r="AD523" s="193"/>
      <c r="AE523" s="193"/>
      <c r="AF523" s="193"/>
    </row>
    <row r="524" spans="21:32" x14ac:dyDescent="0.3">
      <c r="U524" s="193"/>
      <c r="V524" s="193"/>
      <c r="W524" s="193"/>
      <c r="X524" s="193"/>
      <c r="Y524" s="193"/>
      <c r="Z524" s="193"/>
      <c r="AC524" s="193"/>
      <c r="AD524" s="193"/>
      <c r="AE524" s="193"/>
      <c r="AF524" s="193"/>
    </row>
    <row r="525" spans="21:32" x14ac:dyDescent="0.3">
      <c r="U525" s="193"/>
      <c r="V525" s="193"/>
      <c r="W525" s="193"/>
      <c r="X525" s="193"/>
      <c r="Y525" s="193"/>
      <c r="Z525" s="193"/>
      <c r="AC525" s="193"/>
      <c r="AD525" s="193"/>
      <c r="AE525" s="193"/>
      <c r="AF525" s="193"/>
    </row>
    <row r="526" spans="21:32" x14ac:dyDescent="0.3">
      <c r="U526" s="193"/>
      <c r="V526" s="193"/>
      <c r="W526" s="193"/>
      <c r="X526" s="193"/>
      <c r="Y526" s="193"/>
      <c r="Z526" s="193"/>
      <c r="AC526" s="193"/>
      <c r="AD526" s="193"/>
      <c r="AE526" s="193"/>
      <c r="AF526" s="193"/>
    </row>
    <row r="527" spans="21:32" x14ac:dyDescent="0.3">
      <c r="U527" s="193"/>
      <c r="V527" s="193"/>
      <c r="W527" s="193"/>
      <c r="X527" s="193"/>
      <c r="Y527" s="193"/>
      <c r="Z527" s="193"/>
      <c r="AC527" s="193"/>
      <c r="AD527" s="193"/>
      <c r="AE527" s="193"/>
      <c r="AF527" s="193"/>
    </row>
    <row r="528" spans="21:32" x14ac:dyDescent="0.3">
      <c r="U528" s="193"/>
      <c r="V528" s="193"/>
      <c r="W528" s="193"/>
      <c r="X528" s="193"/>
      <c r="Y528" s="193"/>
      <c r="Z528" s="193"/>
      <c r="AC528" s="193"/>
      <c r="AD528" s="193"/>
      <c r="AE528" s="193"/>
      <c r="AF528" s="193"/>
    </row>
    <row r="529" spans="21:32" x14ac:dyDescent="0.3">
      <c r="U529" s="193"/>
      <c r="V529" s="193"/>
      <c r="W529" s="193"/>
      <c r="X529" s="193"/>
      <c r="Y529" s="193"/>
      <c r="Z529" s="193"/>
      <c r="AC529" s="193"/>
      <c r="AD529" s="193"/>
      <c r="AE529" s="193"/>
      <c r="AF529" s="193"/>
    </row>
    <row r="530" spans="21:32" x14ac:dyDescent="0.3">
      <c r="U530" s="193"/>
      <c r="V530" s="193"/>
      <c r="W530" s="193"/>
      <c r="X530" s="193"/>
      <c r="Y530" s="193"/>
      <c r="Z530" s="193"/>
      <c r="AC530" s="193"/>
      <c r="AD530" s="193"/>
      <c r="AE530" s="193"/>
      <c r="AF530" s="193"/>
    </row>
    <row r="531" spans="21:32" x14ac:dyDescent="0.3">
      <c r="U531" s="193"/>
      <c r="V531" s="193"/>
      <c r="W531" s="193"/>
      <c r="X531" s="193"/>
      <c r="Y531" s="193"/>
      <c r="Z531" s="193"/>
      <c r="AC531" s="193"/>
      <c r="AD531" s="193"/>
      <c r="AE531" s="193"/>
      <c r="AF531" s="193"/>
    </row>
    <row r="532" spans="21:32" x14ac:dyDescent="0.3">
      <c r="U532" s="193"/>
      <c r="V532" s="193"/>
      <c r="W532" s="193"/>
      <c r="X532" s="193"/>
      <c r="Y532" s="193"/>
      <c r="Z532" s="193"/>
      <c r="AC532" s="193"/>
      <c r="AD532" s="193"/>
      <c r="AE532" s="193"/>
      <c r="AF532" s="193"/>
    </row>
    <row r="533" spans="21:32" x14ac:dyDescent="0.3">
      <c r="U533" s="193"/>
      <c r="V533" s="193"/>
      <c r="W533" s="193"/>
      <c r="X533" s="193"/>
      <c r="Y533" s="193"/>
      <c r="Z533" s="193"/>
      <c r="AC533" s="193"/>
      <c r="AD533" s="193"/>
      <c r="AE533" s="193"/>
      <c r="AF533" s="193"/>
    </row>
    <row r="534" spans="21:32" x14ac:dyDescent="0.3">
      <c r="U534" s="193"/>
      <c r="V534" s="193"/>
      <c r="W534" s="193"/>
      <c r="X534" s="193"/>
      <c r="Y534" s="193"/>
      <c r="Z534" s="193"/>
      <c r="AC534" s="193"/>
      <c r="AD534" s="193"/>
      <c r="AE534" s="193"/>
      <c r="AF534" s="193"/>
    </row>
    <row r="535" spans="21:32" x14ac:dyDescent="0.3">
      <c r="U535" s="193"/>
      <c r="V535" s="193"/>
      <c r="W535" s="193"/>
      <c r="X535" s="193"/>
      <c r="Y535" s="193"/>
      <c r="Z535" s="193"/>
      <c r="AC535" s="193"/>
      <c r="AD535" s="193"/>
      <c r="AE535" s="193"/>
      <c r="AF535" s="193"/>
    </row>
    <row r="536" spans="21:32" x14ac:dyDescent="0.3">
      <c r="U536" s="193"/>
      <c r="V536" s="193"/>
      <c r="W536" s="193"/>
      <c r="X536" s="193"/>
      <c r="Y536" s="193"/>
      <c r="Z536" s="193"/>
      <c r="AC536" s="193"/>
      <c r="AD536" s="193"/>
      <c r="AE536" s="193"/>
      <c r="AF536" s="193"/>
    </row>
    <row r="537" spans="21:32" x14ac:dyDescent="0.3">
      <c r="U537" s="193"/>
      <c r="V537" s="193"/>
      <c r="W537" s="193"/>
      <c r="X537" s="193"/>
      <c r="Y537" s="193"/>
      <c r="Z537" s="193"/>
      <c r="AC537" s="193"/>
      <c r="AD537" s="193"/>
      <c r="AE537" s="193"/>
      <c r="AF537" s="193"/>
    </row>
    <row r="538" spans="21:32" x14ac:dyDescent="0.3">
      <c r="U538" s="193"/>
      <c r="V538" s="193"/>
      <c r="W538" s="193"/>
      <c r="X538" s="193"/>
      <c r="Y538" s="193"/>
      <c r="Z538" s="193"/>
      <c r="AC538" s="193"/>
      <c r="AD538" s="193"/>
      <c r="AE538" s="193"/>
      <c r="AF538" s="193"/>
    </row>
    <row r="539" spans="21:32" x14ac:dyDescent="0.3">
      <c r="U539" s="193"/>
      <c r="V539" s="193"/>
      <c r="W539" s="193"/>
      <c r="X539" s="193"/>
      <c r="Y539" s="193"/>
      <c r="Z539" s="193"/>
      <c r="AC539" s="193"/>
      <c r="AD539" s="193"/>
      <c r="AE539" s="193"/>
      <c r="AF539" s="193"/>
    </row>
    <row r="540" spans="21:32" x14ac:dyDescent="0.3">
      <c r="U540" s="193"/>
      <c r="V540" s="193"/>
      <c r="W540" s="193"/>
      <c r="X540" s="193"/>
      <c r="Y540" s="193"/>
      <c r="Z540" s="193"/>
      <c r="AC540" s="193"/>
      <c r="AD540" s="193"/>
      <c r="AE540" s="193"/>
      <c r="AF540" s="193"/>
    </row>
    <row r="541" spans="21:32" x14ac:dyDescent="0.3">
      <c r="U541" s="193"/>
      <c r="V541" s="193"/>
      <c r="W541" s="193"/>
      <c r="X541" s="193"/>
      <c r="Y541" s="193"/>
      <c r="Z541" s="193"/>
      <c r="AC541" s="193"/>
      <c r="AD541" s="193"/>
      <c r="AE541" s="193"/>
      <c r="AF541" s="193"/>
    </row>
    <row r="542" spans="21:32" x14ac:dyDescent="0.3">
      <c r="U542" s="193"/>
      <c r="V542" s="193"/>
      <c r="W542" s="193"/>
      <c r="X542" s="193"/>
      <c r="Y542" s="193"/>
      <c r="Z542" s="193"/>
      <c r="AC542" s="193"/>
      <c r="AD542" s="193"/>
      <c r="AE542" s="193"/>
      <c r="AF542" s="193"/>
    </row>
    <row r="543" spans="21:32" x14ac:dyDescent="0.3">
      <c r="U543" s="193"/>
      <c r="V543" s="193"/>
      <c r="W543" s="193"/>
      <c r="X543" s="193"/>
      <c r="Y543" s="193"/>
      <c r="Z543" s="193"/>
      <c r="AC543" s="193"/>
      <c r="AD543" s="193"/>
      <c r="AE543" s="193"/>
      <c r="AF543" s="193"/>
    </row>
    <row r="544" spans="21:32" x14ac:dyDescent="0.3">
      <c r="U544" s="193"/>
      <c r="V544" s="193"/>
      <c r="W544" s="193"/>
      <c r="X544" s="193"/>
      <c r="Y544" s="193"/>
      <c r="Z544" s="193"/>
      <c r="AC544" s="193"/>
      <c r="AD544" s="193"/>
      <c r="AE544" s="193"/>
      <c r="AF544" s="193"/>
    </row>
    <row r="545" spans="21:32" x14ac:dyDescent="0.3">
      <c r="U545" s="193"/>
      <c r="V545" s="193"/>
      <c r="W545" s="193"/>
      <c r="X545" s="193"/>
      <c r="Y545" s="193"/>
      <c r="Z545" s="193"/>
      <c r="AC545" s="193"/>
      <c r="AD545" s="193"/>
      <c r="AE545" s="193"/>
      <c r="AF545" s="193"/>
    </row>
    <row r="546" spans="21:32" x14ac:dyDescent="0.3">
      <c r="U546" s="193"/>
      <c r="V546" s="193"/>
      <c r="W546" s="193"/>
      <c r="X546" s="193"/>
      <c r="Y546" s="193"/>
      <c r="Z546" s="193"/>
      <c r="AC546" s="193"/>
      <c r="AD546" s="193"/>
      <c r="AE546" s="193"/>
      <c r="AF546" s="193"/>
    </row>
    <row r="547" spans="21:32" x14ac:dyDescent="0.3">
      <c r="U547" s="193"/>
      <c r="V547" s="193"/>
      <c r="W547" s="193"/>
      <c r="X547" s="193"/>
      <c r="Y547" s="193"/>
      <c r="Z547" s="193"/>
      <c r="AC547" s="193"/>
      <c r="AD547" s="193"/>
      <c r="AE547" s="193"/>
      <c r="AF547" s="193"/>
    </row>
    <row r="548" spans="21:32" x14ac:dyDescent="0.3">
      <c r="U548" s="193"/>
      <c r="V548" s="193"/>
      <c r="W548" s="193"/>
      <c r="X548" s="193"/>
      <c r="Y548" s="193"/>
      <c r="Z548" s="193"/>
      <c r="AC548" s="193"/>
      <c r="AD548" s="193"/>
      <c r="AE548" s="193"/>
      <c r="AF548" s="193"/>
    </row>
    <row r="549" spans="21:32" x14ac:dyDescent="0.3">
      <c r="U549" s="193"/>
      <c r="V549" s="193"/>
      <c r="W549" s="193"/>
      <c r="X549" s="193"/>
      <c r="Y549" s="193"/>
      <c r="Z549" s="193"/>
      <c r="AC549" s="193"/>
      <c r="AD549" s="193"/>
      <c r="AE549" s="193"/>
      <c r="AF549" s="193"/>
    </row>
    <row r="550" spans="21:32" x14ac:dyDescent="0.3">
      <c r="U550" s="193"/>
      <c r="V550" s="193"/>
      <c r="W550" s="193"/>
      <c r="X550" s="193"/>
      <c r="Y550" s="193"/>
      <c r="Z550" s="193"/>
      <c r="AC550" s="193"/>
      <c r="AD550" s="193"/>
      <c r="AE550" s="193"/>
      <c r="AF550" s="193"/>
    </row>
    <row r="551" spans="21:32" x14ac:dyDescent="0.3">
      <c r="U551" s="193"/>
      <c r="V551" s="193"/>
      <c r="W551" s="193"/>
      <c r="X551" s="193"/>
      <c r="Y551" s="193"/>
      <c r="Z551" s="193"/>
      <c r="AC551" s="193"/>
      <c r="AD551" s="193"/>
      <c r="AE551" s="193"/>
      <c r="AF551" s="193"/>
    </row>
    <row r="552" spans="21:32" x14ac:dyDescent="0.3">
      <c r="U552" s="193"/>
      <c r="V552" s="193"/>
      <c r="W552" s="193"/>
      <c r="X552" s="193"/>
      <c r="Y552" s="193"/>
      <c r="Z552" s="193"/>
      <c r="AC552" s="193"/>
      <c r="AD552" s="193"/>
      <c r="AE552" s="193"/>
      <c r="AF552" s="193"/>
    </row>
    <row r="553" spans="21:32" x14ac:dyDescent="0.3">
      <c r="U553" s="193"/>
      <c r="V553" s="193"/>
      <c r="W553" s="193"/>
      <c r="X553" s="193"/>
      <c r="Y553" s="193"/>
      <c r="Z553" s="193"/>
      <c r="AC553" s="193"/>
      <c r="AD553" s="193"/>
      <c r="AE553" s="193"/>
      <c r="AF553" s="193"/>
    </row>
    <row r="554" spans="21:32" x14ac:dyDescent="0.3">
      <c r="U554" s="193"/>
      <c r="V554" s="193"/>
      <c r="W554" s="193"/>
      <c r="X554" s="193"/>
      <c r="Y554" s="193"/>
      <c r="Z554" s="193"/>
      <c r="AC554" s="193"/>
      <c r="AD554" s="193"/>
      <c r="AE554" s="193"/>
      <c r="AF554" s="193"/>
    </row>
    <row r="555" spans="21:32" x14ac:dyDescent="0.3">
      <c r="U555" s="193"/>
      <c r="V555" s="193"/>
      <c r="W555" s="193"/>
      <c r="X555" s="193"/>
      <c r="Y555" s="193"/>
      <c r="Z555" s="193"/>
      <c r="AC555" s="193"/>
      <c r="AD555" s="193"/>
      <c r="AE555" s="193"/>
      <c r="AF555" s="193"/>
    </row>
    <row r="556" spans="21:32" x14ac:dyDescent="0.3">
      <c r="U556" s="193"/>
      <c r="V556" s="193"/>
      <c r="W556" s="193"/>
      <c r="X556" s="193"/>
      <c r="Y556" s="193"/>
      <c r="Z556" s="193"/>
      <c r="AC556" s="193"/>
      <c r="AD556" s="193"/>
      <c r="AE556" s="193"/>
      <c r="AF556" s="193"/>
    </row>
    <row r="557" spans="21:32" x14ac:dyDescent="0.3">
      <c r="U557" s="193"/>
      <c r="V557" s="193"/>
      <c r="W557" s="193"/>
      <c r="X557" s="193"/>
      <c r="Y557" s="193"/>
      <c r="Z557" s="193"/>
      <c r="AC557" s="193"/>
      <c r="AD557" s="193"/>
      <c r="AE557" s="193"/>
      <c r="AF557" s="193"/>
    </row>
    <row r="558" spans="21:32" x14ac:dyDescent="0.3">
      <c r="U558" s="193"/>
      <c r="V558" s="193"/>
      <c r="W558" s="193"/>
      <c r="X558" s="193"/>
      <c r="Y558" s="193"/>
      <c r="Z558" s="193"/>
      <c r="AC558" s="193"/>
      <c r="AD558" s="193"/>
      <c r="AE558" s="193"/>
      <c r="AF558" s="193"/>
    </row>
    <row r="559" spans="21:32" x14ac:dyDescent="0.3">
      <c r="U559" s="193"/>
      <c r="V559" s="193"/>
      <c r="W559" s="193"/>
      <c r="X559" s="193"/>
      <c r="Y559" s="193"/>
      <c r="Z559" s="193"/>
      <c r="AC559" s="193"/>
      <c r="AD559" s="193"/>
      <c r="AE559" s="193"/>
      <c r="AF559" s="193"/>
    </row>
    <row r="560" spans="21:32" x14ac:dyDescent="0.3">
      <c r="U560" s="193"/>
      <c r="V560" s="193"/>
      <c r="W560" s="193"/>
      <c r="X560" s="193"/>
      <c r="Y560" s="193"/>
      <c r="Z560" s="193"/>
      <c r="AC560" s="193"/>
      <c r="AD560" s="193"/>
      <c r="AE560" s="193"/>
      <c r="AF560" s="193"/>
    </row>
    <row r="561" spans="21:32" x14ac:dyDescent="0.3">
      <c r="U561" s="193"/>
      <c r="V561" s="193"/>
      <c r="W561" s="193"/>
      <c r="X561" s="193"/>
      <c r="Y561" s="193"/>
      <c r="Z561" s="193"/>
      <c r="AC561" s="193"/>
      <c r="AD561" s="193"/>
      <c r="AE561" s="193"/>
      <c r="AF561" s="193"/>
    </row>
    <row r="562" spans="21:32" x14ac:dyDescent="0.3">
      <c r="U562" s="193"/>
      <c r="V562" s="193"/>
      <c r="W562" s="193"/>
      <c r="X562" s="193"/>
      <c r="Y562" s="193"/>
      <c r="Z562" s="193"/>
      <c r="AC562" s="193"/>
      <c r="AD562" s="193"/>
      <c r="AE562" s="193"/>
      <c r="AF562" s="193"/>
    </row>
    <row r="563" spans="21:32" x14ac:dyDescent="0.3">
      <c r="U563" s="193"/>
      <c r="V563" s="193"/>
      <c r="W563" s="193"/>
      <c r="X563" s="193"/>
      <c r="Y563" s="193"/>
      <c r="Z563" s="193"/>
      <c r="AC563" s="193"/>
      <c r="AD563" s="193"/>
      <c r="AE563" s="193"/>
      <c r="AF563" s="193"/>
    </row>
    <row r="564" spans="21:32" x14ac:dyDescent="0.3">
      <c r="U564" s="193"/>
      <c r="V564" s="193"/>
      <c r="W564" s="193"/>
      <c r="X564" s="193"/>
      <c r="Y564" s="193"/>
      <c r="Z564" s="193"/>
      <c r="AC564" s="193"/>
      <c r="AD564" s="193"/>
      <c r="AE564" s="193"/>
      <c r="AF564" s="193"/>
    </row>
    <row r="565" spans="21:32" x14ac:dyDescent="0.3">
      <c r="U565" s="193"/>
      <c r="V565" s="193"/>
      <c r="W565" s="193"/>
      <c r="X565" s="193"/>
      <c r="Y565" s="193"/>
      <c r="Z565" s="193"/>
      <c r="AC565" s="193"/>
      <c r="AD565" s="193"/>
      <c r="AE565" s="193"/>
      <c r="AF565" s="193"/>
    </row>
    <row r="566" spans="21:32" x14ac:dyDescent="0.3">
      <c r="U566" s="193"/>
      <c r="V566" s="193"/>
      <c r="W566" s="193"/>
      <c r="X566" s="193"/>
      <c r="Y566" s="193"/>
      <c r="Z566" s="193"/>
      <c r="AC566" s="193"/>
      <c r="AD566" s="193"/>
      <c r="AE566" s="193"/>
      <c r="AF566" s="193"/>
    </row>
    <row r="567" spans="21:32" x14ac:dyDescent="0.3">
      <c r="U567" s="193"/>
      <c r="V567" s="193"/>
      <c r="W567" s="193"/>
      <c r="X567" s="193"/>
      <c r="Y567" s="193"/>
      <c r="Z567" s="193"/>
      <c r="AC567" s="193"/>
      <c r="AD567" s="193"/>
      <c r="AE567" s="193"/>
      <c r="AF567" s="193"/>
    </row>
    <row r="568" spans="21:32" x14ac:dyDescent="0.3">
      <c r="U568" s="193"/>
      <c r="V568" s="193"/>
      <c r="W568" s="193"/>
      <c r="X568" s="193"/>
      <c r="Y568" s="193"/>
      <c r="Z568" s="193"/>
      <c r="AC568" s="193"/>
      <c r="AD568" s="193"/>
      <c r="AE568" s="193"/>
      <c r="AF568" s="193"/>
    </row>
    <row r="569" spans="21:32" x14ac:dyDescent="0.3">
      <c r="U569" s="193"/>
      <c r="V569" s="193"/>
      <c r="W569" s="193"/>
      <c r="X569" s="193"/>
      <c r="Y569" s="193"/>
      <c r="Z569" s="193"/>
      <c r="AC569" s="193"/>
      <c r="AD569" s="193"/>
      <c r="AE569" s="193"/>
      <c r="AF569" s="193"/>
    </row>
    <row r="570" spans="21:32" x14ac:dyDescent="0.3">
      <c r="U570" s="193"/>
      <c r="V570" s="193"/>
      <c r="W570" s="193"/>
      <c r="X570" s="193"/>
      <c r="Y570" s="193"/>
      <c r="Z570" s="193"/>
      <c r="AC570" s="193"/>
      <c r="AD570" s="193"/>
      <c r="AE570" s="193"/>
      <c r="AF570" s="193"/>
    </row>
    <row r="571" spans="21:32" x14ac:dyDescent="0.3">
      <c r="U571" s="193"/>
      <c r="V571" s="193"/>
      <c r="W571" s="193"/>
      <c r="X571" s="193"/>
      <c r="Y571" s="193"/>
      <c r="Z571" s="193"/>
      <c r="AC571" s="193"/>
      <c r="AD571" s="193"/>
      <c r="AE571" s="193"/>
      <c r="AF571" s="193"/>
    </row>
    <row r="572" spans="21:32" x14ac:dyDescent="0.3">
      <c r="U572" s="193"/>
      <c r="V572" s="193"/>
      <c r="W572" s="193"/>
      <c r="X572" s="193"/>
      <c r="Y572" s="193"/>
      <c r="Z572" s="193"/>
      <c r="AC572" s="193"/>
      <c r="AD572" s="193"/>
      <c r="AE572" s="193"/>
      <c r="AF572" s="193"/>
    </row>
    <row r="573" spans="21:32" x14ac:dyDescent="0.3">
      <c r="U573" s="193"/>
      <c r="V573" s="193"/>
      <c r="W573" s="193"/>
      <c r="X573" s="193"/>
      <c r="Y573" s="193"/>
      <c r="Z573" s="193"/>
      <c r="AC573" s="193"/>
      <c r="AD573" s="193"/>
      <c r="AE573" s="193"/>
      <c r="AF573" s="193"/>
    </row>
    <row r="574" spans="21:32" x14ac:dyDescent="0.3">
      <c r="U574" s="193"/>
      <c r="V574" s="193"/>
      <c r="W574" s="193"/>
      <c r="X574" s="193"/>
      <c r="Y574" s="193"/>
      <c r="Z574" s="193"/>
      <c r="AC574" s="193"/>
      <c r="AD574" s="193"/>
      <c r="AE574" s="193"/>
      <c r="AF574" s="193"/>
    </row>
    <row r="575" spans="21:32" x14ac:dyDescent="0.3">
      <c r="U575" s="193"/>
      <c r="V575" s="193"/>
      <c r="W575" s="193"/>
      <c r="X575" s="193"/>
      <c r="Y575" s="193"/>
      <c r="Z575" s="193"/>
      <c r="AC575" s="193"/>
      <c r="AD575" s="193"/>
      <c r="AE575" s="193"/>
      <c r="AF575" s="193"/>
    </row>
    <row r="576" spans="21:32" x14ac:dyDescent="0.3">
      <c r="U576" s="193"/>
      <c r="V576" s="193"/>
      <c r="W576" s="193"/>
      <c r="X576" s="193"/>
      <c r="Y576" s="193"/>
      <c r="Z576" s="193"/>
      <c r="AC576" s="193"/>
      <c r="AD576" s="193"/>
      <c r="AE576" s="193"/>
      <c r="AF576" s="193"/>
    </row>
    <row r="577" spans="21:32" x14ac:dyDescent="0.3">
      <c r="U577" s="193"/>
      <c r="V577" s="193"/>
      <c r="W577" s="193"/>
      <c r="X577" s="193"/>
      <c r="Y577" s="193"/>
      <c r="Z577" s="193"/>
      <c r="AC577" s="193"/>
      <c r="AD577" s="193"/>
      <c r="AE577" s="193"/>
      <c r="AF577" s="193"/>
    </row>
    <row r="578" spans="21:32" x14ac:dyDescent="0.3">
      <c r="U578" s="193"/>
      <c r="V578" s="193"/>
      <c r="W578" s="193"/>
      <c r="X578" s="193"/>
      <c r="Y578" s="193"/>
      <c r="Z578" s="193"/>
      <c r="AC578" s="193"/>
      <c r="AD578" s="193"/>
      <c r="AE578" s="193"/>
      <c r="AF578" s="193"/>
    </row>
    <row r="579" spans="21:32" x14ac:dyDescent="0.3">
      <c r="U579" s="193"/>
      <c r="V579" s="193"/>
      <c r="W579" s="193"/>
      <c r="X579" s="193"/>
      <c r="Y579" s="193"/>
      <c r="Z579" s="193"/>
      <c r="AC579" s="193"/>
      <c r="AD579" s="193"/>
      <c r="AE579" s="193"/>
      <c r="AF579" s="193"/>
    </row>
    <row r="580" spans="21:32" x14ac:dyDescent="0.3">
      <c r="U580" s="193"/>
      <c r="V580" s="193"/>
      <c r="W580" s="193"/>
      <c r="X580" s="193"/>
      <c r="Y580" s="193"/>
      <c r="Z580" s="193"/>
      <c r="AC580" s="193"/>
      <c r="AD580" s="193"/>
      <c r="AE580" s="193"/>
      <c r="AF580" s="193"/>
    </row>
    <row r="581" spans="21:32" x14ac:dyDescent="0.3">
      <c r="U581" s="193"/>
      <c r="V581" s="193"/>
      <c r="W581" s="193"/>
      <c r="X581" s="193"/>
      <c r="Y581" s="193"/>
      <c r="Z581" s="193"/>
      <c r="AC581" s="193"/>
      <c r="AD581" s="193"/>
      <c r="AE581" s="193"/>
      <c r="AF581" s="193"/>
    </row>
    <row r="582" spans="21:32" x14ac:dyDescent="0.3">
      <c r="U582" s="193"/>
      <c r="V582" s="193"/>
      <c r="W582" s="193"/>
      <c r="X582" s="193"/>
      <c r="Y582" s="193"/>
      <c r="Z582" s="193"/>
      <c r="AC582" s="193"/>
      <c r="AD582" s="193"/>
      <c r="AE582" s="193"/>
      <c r="AF582" s="193"/>
    </row>
    <row r="583" spans="21:32" x14ac:dyDescent="0.3">
      <c r="U583" s="193"/>
      <c r="V583" s="193"/>
      <c r="W583" s="193"/>
      <c r="X583" s="193"/>
      <c r="Y583" s="193"/>
      <c r="Z583" s="193"/>
      <c r="AC583" s="193"/>
      <c r="AD583" s="193"/>
      <c r="AE583" s="193"/>
      <c r="AF583" s="193"/>
    </row>
    <row r="584" spans="21:32" x14ac:dyDescent="0.3">
      <c r="U584" s="193"/>
      <c r="V584" s="193"/>
      <c r="W584" s="193"/>
      <c r="X584" s="193"/>
      <c r="Y584" s="193"/>
      <c r="Z584" s="193"/>
      <c r="AC584" s="193"/>
      <c r="AD584" s="193"/>
      <c r="AE584" s="193"/>
      <c r="AF584" s="193"/>
    </row>
    <row r="585" spans="21:32" x14ac:dyDescent="0.3">
      <c r="U585" s="193"/>
      <c r="V585" s="193"/>
      <c r="W585" s="193"/>
      <c r="X585" s="193"/>
      <c r="Y585" s="193"/>
      <c r="Z585" s="193"/>
      <c r="AC585" s="193"/>
      <c r="AD585" s="193"/>
      <c r="AE585" s="193"/>
      <c r="AF585" s="193"/>
    </row>
    <row r="586" spans="21:32" x14ac:dyDescent="0.3">
      <c r="U586" s="193"/>
      <c r="V586" s="193"/>
      <c r="W586" s="193"/>
      <c r="X586" s="193"/>
      <c r="Y586" s="193"/>
      <c r="Z586" s="193"/>
      <c r="AC586" s="193"/>
      <c r="AD586" s="193"/>
      <c r="AE586" s="193"/>
      <c r="AF586" s="193"/>
    </row>
    <row r="587" spans="21:32" x14ac:dyDescent="0.3">
      <c r="U587" s="193"/>
      <c r="V587" s="193"/>
      <c r="W587" s="193"/>
      <c r="X587" s="193"/>
      <c r="Y587" s="193"/>
      <c r="Z587" s="193"/>
      <c r="AC587" s="193"/>
      <c r="AD587" s="193"/>
      <c r="AE587" s="193"/>
      <c r="AF587" s="193"/>
    </row>
    <row r="588" spans="21:32" x14ac:dyDescent="0.3">
      <c r="U588" s="193"/>
      <c r="V588" s="193"/>
      <c r="W588" s="193"/>
      <c r="X588" s="193"/>
      <c r="Y588" s="193"/>
      <c r="Z588" s="193"/>
      <c r="AC588" s="193"/>
      <c r="AD588" s="193"/>
      <c r="AE588" s="193"/>
      <c r="AF588" s="193"/>
    </row>
    <row r="589" spans="21:32" x14ac:dyDescent="0.3">
      <c r="U589" s="193"/>
      <c r="V589" s="193"/>
      <c r="W589" s="193"/>
      <c r="X589" s="193"/>
      <c r="Y589" s="193"/>
      <c r="Z589" s="193"/>
      <c r="AC589" s="193"/>
      <c r="AD589" s="193"/>
      <c r="AE589" s="193"/>
      <c r="AF589" s="193"/>
    </row>
    <row r="590" spans="21:32" x14ac:dyDescent="0.3">
      <c r="U590" s="193"/>
      <c r="V590" s="193"/>
      <c r="W590" s="193"/>
      <c r="X590" s="193"/>
      <c r="Y590" s="193"/>
      <c r="Z590" s="193"/>
      <c r="AC590" s="193"/>
      <c r="AD590" s="193"/>
      <c r="AE590" s="193"/>
      <c r="AF590" s="193"/>
    </row>
    <row r="591" spans="21:32" x14ac:dyDescent="0.3">
      <c r="U591" s="193"/>
      <c r="V591" s="193"/>
      <c r="W591" s="193"/>
      <c r="X591" s="193"/>
      <c r="Y591" s="193"/>
      <c r="Z591" s="193"/>
      <c r="AC591" s="193"/>
      <c r="AD591" s="193"/>
      <c r="AE591" s="193"/>
      <c r="AF591" s="193"/>
    </row>
    <row r="592" spans="21:32" x14ac:dyDescent="0.3">
      <c r="U592" s="193"/>
      <c r="V592" s="193"/>
      <c r="W592" s="193"/>
      <c r="X592" s="193"/>
      <c r="Y592" s="193"/>
      <c r="Z592" s="193"/>
      <c r="AC592" s="193"/>
      <c r="AD592" s="193"/>
      <c r="AE592" s="193"/>
      <c r="AF592" s="193"/>
    </row>
    <row r="593" spans="21:32" x14ac:dyDescent="0.3">
      <c r="U593" s="193"/>
      <c r="V593" s="193"/>
      <c r="W593" s="193"/>
      <c r="X593" s="193"/>
      <c r="Y593" s="193"/>
      <c r="Z593" s="193"/>
      <c r="AC593" s="193"/>
      <c r="AD593" s="193"/>
      <c r="AE593" s="193"/>
      <c r="AF593" s="193"/>
    </row>
    <row r="594" spans="21:32" x14ac:dyDescent="0.3">
      <c r="U594" s="193"/>
      <c r="V594" s="193"/>
      <c r="W594" s="193"/>
      <c r="X594" s="193"/>
      <c r="Y594" s="193"/>
      <c r="Z594" s="193"/>
      <c r="AC594" s="193"/>
      <c r="AD594" s="193"/>
      <c r="AE594" s="193"/>
      <c r="AF594" s="193"/>
    </row>
    <row r="595" spans="21:32" x14ac:dyDescent="0.3">
      <c r="U595" s="193"/>
      <c r="V595" s="193"/>
      <c r="W595" s="193"/>
      <c r="X595" s="193"/>
      <c r="Y595" s="193"/>
      <c r="Z595" s="193"/>
      <c r="AC595" s="193"/>
      <c r="AD595" s="193"/>
      <c r="AE595" s="193"/>
      <c r="AF595" s="193"/>
    </row>
    <row r="596" spans="21:32" x14ac:dyDescent="0.3">
      <c r="U596" s="193"/>
      <c r="V596" s="193"/>
      <c r="W596" s="193"/>
      <c r="X596" s="193"/>
      <c r="Y596" s="193"/>
      <c r="Z596" s="193"/>
      <c r="AC596" s="193"/>
      <c r="AD596" s="193"/>
      <c r="AE596" s="193"/>
      <c r="AF596" s="193"/>
    </row>
    <row r="597" spans="21:32" x14ac:dyDescent="0.3">
      <c r="U597" s="193"/>
      <c r="V597" s="193"/>
      <c r="W597" s="193"/>
      <c r="X597" s="193"/>
      <c r="Y597" s="193"/>
      <c r="Z597" s="193"/>
      <c r="AC597" s="193"/>
      <c r="AD597" s="193"/>
      <c r="AE597" s="193"/>
      <c r="AF597" s="193"/>
    </row>
    <row r="598" spans="21:32" x14ac:dyDescent="0.3">
      <c r="U598" s="193"/>
      <c r="V598" s="193"/>
      <c r="W598" s="193"/>
      <c r="X598" s="193"/>
      <c r="Y598" s="193"/>
      <c r="Z598" s="193"/>
      <c r="AC598" s="193"/>
      <c r="AD598" s="193"/>
      <c r="AE598" s="193"/>
      <c r="AF598" s="193"/>
    </row>
    <row r="599" spans="21:32" x14ac:dyDescent="0.3">
      <c r="U599" s="193"/>
      <c r="V599" s="193"/>
      <c r="W599" s="193"/>
      <c r="X599" s="193"/>
      <c r="Y599" s="193"/>
      <c r="Z599" s="193"/>
      <c r="AC599" s="193"/>
      <c r="AD599" s="193"/>
      <c r="AE599" s="193"/>
      <c r="AF599" s="193"/>
    </row>
    <row r="600" spans="21:32" x14ac:dyDescent="0.3">
      <c r="U600" s="193"/>
      <c r="V600" s="193"/>
      <c r="W600" s="193"/>
      <c r="X600" s="193"/>
      <c r="Y600" s="193"/>
      <c r="Z600" s="193"/>
      <c r="AC600" s="193"/>
      <c r="AD600" s="193"/>
      <c r="AE600" s="193"/>
      <c r="AF600" s="193"/>
    </row>
    <row r="601" spans="21:32" x14ac:dyDescent="0.3">
      <c r="U601" s="193"/>
      <c r="V601" s="193"/>
      <c r="W601" s="193"/>
      <c r="X601" s="193"/>
      <c r="Y601" s="193"/>
      <c r="Z601" s="193"/>
      <c r="AC601" s="193"/>
      <c r="AD601" s="193"/>
      <c r="AE601" s="193"/>
      <c r="AF601" s="193"/>
    </row>
    <row r="602" spans="21:32" x14ac:dyDescent="0.3">
      <c r="U602" s="193"/>
      <c r="V602" s="193"/>
      <c r="W602" s="193"/>
      <c r="X602" s="193"/>
      <c r="Y602" s="193"/>
      <c r="Z602" s="193"/>
      <c r="AC602" s="193"/>
      <c r="AD602" s="193"/>
      <c r="AE602" s="193"/>
      <c r="AF602" s="193"/>
    </row>
    <row r="603" spans="21:32" x14ac:dyDescent="0.3">
      <c r="U603" s="193"/>
      <c r="V603" s="193"/>
      <c r="W603" s="193"/>
      <c r="X603" s="193"/>
      <c r="Y603" s="193"/>
      <c r="Z603" s="193"/>
      <c r="AC603" s="193"/>
      <c r="AD603" s="193"/>
      <c r="AE603" s="193"/>
      <c r="AF603" s="193"/>
    </row>
    <row r="604" spans="21:32" x14ac:dyDescent="0.3">
      <c r="U604" s="193"/>
      <c r="V604" s="193"/>
      <c r="W604" s="193"/>
      <c r="X604" s="193"/>
      <c r="Y604" s="193"/>
      <c r="Z604" s="193"/>
      <c r="AC604" s="193"/>
      <c r="AD604" s="193"/>
      <c r="AE604" s="193"/>
      <c r="AF604" s="193"/>
    </row>
    <row r="605" spans="21:32" x14ac:dyDescent="0.3">
      <c r="U605" s="193"/>
      <c r="V605" s="193"/>
      <c r="W605" s="193"/>
      <c r="X605" s="193"/>
      <c r="Y605" s="193"/>
      <c r="Z605" s="193"/>
      <c r="AC605" s="193"/>
      <c r="AD605" s="193"/>
      <c r="AE605" s="193"/>
      <c r="AF605" s="193"/>
    </row>
    <row r="606" spans="21:32" x14ac:dyDescent="0.3">
      <c r="U606" s="193"/>
      <c r="V606" s="193"/>
      <c r="W606" s="193"/>
      <c r="X606" s="193"/>
      <c r="Y606" s="193"/>
      <c r="Z606" s="193"/>
      <c r="AC606" s="193"/>
      <c r="AD606" s="193"/>
      <c r="AE606" s="193"/>
      <c r="AF606" s="193"/>
    </row>
    <row r="607" spans="21:32" x14ac:dyDescent="0.3">
      <c r="U607" s="193"/>
      <c r="V607" s="193"/>
      <c r="W607" s="193"/>
      <c r="X607" s="193"/>
      <c r="Y607" s="193"/>
      <c r="Z607" s="193"/>
      <c r="AC607" s="193"/>
      <c r="AD607" s="193"/>
      <c r="AE607" s="193"/>
      <c r="AF607" s="193"/>
    </row>
    <row r="608" spans="21:32" x14ac:dyDescent="0.3">
      <c r="U608" s="193"/>
      <c r="V608" s="193"/>
      <c r="W608" s="193"/>
      <c r="X608" s="193"/>
      <c r="Y608" s="193"/>
      <c r="Z608" s="193"/>
      <c r="AC608" s="193"/>
      <c r="AD608" s="193"/>
      <c r="AE608" s="193"/>
      <c r="AF608" s="193"/>
    </row>
    <row r="609" spans="21:32" x14ac:dyDescent="0.3">
      <c r="U609" s="193"/>
      <c r="V609" s="193"/>
      <c r="W609" s="193"/>
      <c r="X609" s="193"/>
      <c r="Y609" s="193"/>
      <c r="Z609" s="193"/>
      <c r="AC609" s="193"/>
      <c r="AD609" s="193"/>
      <c r="AE609" s="193"/>
      <c r="AF609" s="193"/>
    </row>
    <row r="610" spans="21:32" x14ac:dyDescent="0.3">
      <c r="U610" s="193"/>
      <c r="V610" s="193"/>
      <c r="W610" s="193"/>
      <c r="X610" s="193"/>
      <c r="Y610" s="193"/>
      <c r="Z610" s="193"/>
      <c r="AC610" s="193"/>
      <c r="AD610" s="193"/>
      <c r="AE610" s="193"/>
      <c r="AF610" s="193"/>
    </row>
    <row r="611" spans="21:32" x14ac:dyDescent="0.3">
      <c r="U611" s="193"/>
      <c r="V611" s="193"/>
      <c r="W611" s="193"/>
      <c r="X611" s="193"/>
      <c r="Y611" s="193"/>
      <c r="Z611" s="193"/>
      <c r="AC611" s="193"/>
      <c r="AD611" s="193"/>
      <c r="AE611" s="193"/>
      <c r="AF611" s="193"/>
    </row>
    <row r="612" spans="21:32" x14ac:dyDescent="0.3">
      <c r="U612" s="193"/>
      <c r="V612" s="193"/>
      <c r="W612" s="193"/>
      <c r="X612" s="193"/>
      <c r="Y612" s="193"/>
      <c r="Z612" s="193"/>
      <c r="AC612" s="193"/>
      <c r="AD612" s="193"/>
      <c r="AE612" s="193"/>
      <c r="AF612" s="193"/>
    </row>
    <row r="613" spans="21:32" x14ac:dyDescent="0.3">
      <c r="U613" s="193"/>
      <c r="V613" s="193"/>
      <c r="W613" s="193"/>
      <c r="X613" s="193"/>
      <c r="Y613" s="193"/>
      <c r="Z613" s="193"/>
      <c r="AC613" s="193"/>
      <c r="AD613" s="193"/>
      <c r="AE613" s="193"/>
      <c r="AF613" s="193"/>
    </row>
    <row r="614" spans="21:32" x14ac:dyDescent="0.3">
      <c r="U614" s="193"/>
      <c r="V614" s="193"/>
      <c r="W614" s="193"/>
      <c r="X614" s="193"/>
      <c r="Y614" s="193"/>
      <c r="Z614" s="193"/>
      <c r="AC614" s="193"/>
      <c r="AD614" s="193"/>
      <c r="AE614" s="193"/>
      <c r="AF614" s="193"/>
    </row>
    <row r="615" spans="21:32" x14ac:dyDescent="0.3">
      <c r="U615" s="193"/>
      <c r="V615" s="193"/>
      <c r="W615" s="193"/>
      <c r="X615" s="193"/>
      <c r="Y615" s="193"/>
      <c r="Z615" s="193"/>
      <c r="AC615" s="193"/>
      <c r="AD615" s="193"/>
      <c r="AE615" s="193"/>
      <c r="AF615" s="193"/>
    </row>
    <row r="616" spans="21:32" x14ac:dyDescent="0.3">
      <c r="U616" s="193"/>
      <c r="V616" s="193"/>
      <c r="W616" s="193"/>
      <c r="X616" s="193"/>
      <c r="Y616" s="193"/>
      <c r="Z616" s="193"/>
      <c r="AC616" s="193"/>
      <c r="AD616" s="193"/>
      <c r="AE616" s="193"/>
      <c r="AF616" s="193"/>
    </row>
    <row r="617" spans="21:32" x14ac:dyDescent="0.3">
      <c r="U617" s="193"/>
      <c r="V617" s="193"/>
      <c r="W617" s="193"/>
      <c r="X617" s="193"/>
      <c r="Y617" s="193"/>
      <c r="Z617" s="193"/>
      <c r="AC617" s="193"/>
      <c r="AD617" s="193"/>
      <c r="AE617" s="193"/>
      <c r="AF617" s="193"/>
    </row>
    <row r="618" spans="21:32" x14ac:dyDescent="0.3">
      <c r="U618" s="193"/>
      <c r="V618" s="193"/>
      <c r="W618" s="193"/>
      <c r="X618" s="193"/>
      <c r="Y618" s="193"/>
      <c r="Z618" s="193"/>
      <c r="AC618" s="193"/>
      <c r="AD618" s="193"/>
      <c r="AE618" s="193"/>
      <c r="AF618" s="193"/>
    </row>
    <row r="619" spans="21:32" x14ac:dyDescent="0.3">
      <c r="U619" s="193"/>
      <c r="V619" s="193"/>
      <c r="W619" s="193"/>
      <c r="X619" s="193"/>
      <c r="Y619" s="193"/>
      <c r="Z619" s="193"/>
      <c r="AC619" s="193"/>
      <c r="AD619" s="193"/>
      <c r="AE619" s="193"/>
      <c r="AF619" s="193"/>
    </row>
    <row r="620" spans="21:32" x14ac:dyDescent="0.3">
      <c r="U620" s="193"/>
      <c r="V620" s="193"/>
      <c r="W620" s="193"/>
      <c r="X620" s="193"/>
      <c r="Y620" s="193"/>
      <c r="Z620" s="193"/>
      <c r="AC620" s="193"/>
      <c r="AD620" s="193"/>
      <c r="AE620" s="193"/>
      <c r="AF620" s="193"/>
    </row>
    <row r="621" spans="21:32" x14ac:dyDescent="0.3">
      <c r="U621" s="193"/>
      <c r="V621" s="193"/>
      <c r="W621" s="193"/>
      <c r="X621" s="193"/>
      <c r="Y621" s="193"/>
      <c r="Z621" s="193"/>
      <c r="AC621" s="193"/>
      <c r="AD621" s="193"/>
      <c r="AE621" s="193"/>
      <c r="AF621" s="193"/>
    </row>
    <row r="622" spans="21:32" x14ac:dyDescent="0.3">
      <c r="U622" s="193"/>
      <c r="V622" s="193"/>
      <c r="W622" s="193"/>
      <c r="X622" s="193"/>
      <c r="Y622" s="193"/>
      <c r="Z622" s="193"/>
      <c r="AC622" s="193"/>
      <c r="AD622" s="193"/>
      <c r="AE622" s="193"/>
      <c r="AF622" s="193"/>
    </row>
    <row r="623" spans="21:32" x14ac:dyDescent="0.3">
      <c r="U623" s="193"/>
      <c r="V623" s="193"/>
      <c r="W623" s="193"/>
      <c r="X623" s="193"/>
      <c r="Y623" s="193"/>
      <c r="Z623" s="193"/>
      <c r="AC623" s="193"/>
      <c r="AD623" s="193"/>
      <c r="AE623" s="193"/>
      <c r="AF623" s="193"/>
    </row>
    <row r="624" spans="21:32" x14ac:dyDescent="0.3">
      <c r="U624" s="193"/>
      <c r="V624" s="193"/>
      <c r="W624" s="193"/>
      <c r="X624" s="193"/>
      <c r="Y624" s="193"/>
      <c r="Z624" s="193"/>
      <c r="AC624" s="193"/>
      <c r="AD624" s="193"/>
      <c r="AE624" s="193"/>
      <c r="AF624" s="193"/>
    </row>
    <row r="625" spans="21:32" x14ac:dyDescent="0.3">
      <c r="U625" s="193"/>
      <c r="V625" s="193"/>
      <c r="W625" s="193"/>
      <c r="X625" s="193"/>
      <c r="Y625" s="193"/>
      <c r="Z625" s="193"/>
      <c r="AC625" s="193"/>
      <c r="AD625" s="193"/>
      <c r="AE625" s="193"/>
      <c r="AF625" s="193"/>
    </row>
    <row r="626" spans="21:32" x14ac:dyDescent="0.3">
      <c r="U626" s="193"/>
      <c r="V626" s="193"/>
      <c r="W626" s="193"/>
      <c r="X626" s="193"/>
      <c r="Y626" s="193"/>
      <c r="Z626" s="193"/>
      <c r="AC626" s="193"/>
      <c r="AD626" s="193"/>
      <c r="AE626" s="193"/>
      <c r="AF626" s="193"/>
    </row>
    <row r="627" spans="21:32" x14ac:dyDescent="0.3">
      <c r="U627" s="193"/>
      <c r="V627" s="193"/>
      <c r="W627" s="193"/>
      <c r="X627" s="193"/>
      <c r="Y627" s="193"/>
      <c r="Z627" s="193"/>
      <c r="AC627" s="193"/>
      <c r="AD627" s="193"/>
      <c r="AE627" s="193"/>
      <c r="AF627" s="193"/>
    </row>
    <row r="628" spans="21:32" x14ac:dyDescent="0.3">
      <c r="U628" s="193"/>
      <c r="V628" s="193"/>
      <c r="W628" s="193"/>
      <c r="X628" s="193"/>
      <c r="Y628" s="193"/>
      <c r="Z628" s="193"/>
      <c r="AC628" s="193"/>
      <c r="AD628" s="193"/>
      <c r="AE628" s="193"/>
      <c r="AF628" s="193"/>
    </row>
    <row r="629" spans="21:32" x14ac:dyDescent="0.3">
      <c r="U629" s="193"/>
      <c r="V629" s="193"/>
      <c r="W629" s="193"/>
      <c r="X629" s="193"/>
      <c r="Y629" s="193"/>
      <c r="Z629" s="193"/>
      <c r="AC629" s="193"/>
      <c r="AD629" s="193"/>
      <c r="AE629" s="193"/>
      <c r="AF629" s="193"/>
    </row>
    <row r="630" spans="21:32" x14ac:dyDescent="0.3">
      <c r="U630" s="193"/>
      <c r="V630" s="193"/>
      <c r="W630" s="193"/>
      <c r="X630" s="193"/>
      <c r="Y630" s="193"/>
      <c r="Z630" s="193"/>
      <c r="AC630" s="193"/>
      <c r="AD630" s="193"/>
      <c r="AE630" s="193"/>
      <c r="AF630" s="193"/>
    </row>
    <row r="631" spans="21:32" x14ac:dyDescent="0.3">
      <c r="U631" s="193"/>
      <c r="V631" s="193"/>
      <c r="W631" s="193"/>
      <c r="X631" s="193"/>
      <c r="Y631" s="193"/>
      <c r="Z631" s="193"/>
      <c r="AC631" s="193"/>
      <c r="AD631" s="193"/>
      <c r="AE631" s="193"/>
      <c r="AF631" s="193"/>
    </row>
    <row r="632" spans="21:32" x14ac:dyDescent="0.3">
      <c r="U632" s="193"/>
      <c r="V632" s="193"/>
      <c r="W632" s="193"/>
      <c r="X632" s="193"/>
      <c r="Y632" s="193"/>
      <c r="Z632" s="193"/>
      <c r="AC632" s="193"/>
      <c r="AD632" s="193"/>
      <c r="AE632" s="193"/>
      <c r="AF632" s="193"/>
    </row>
    <row r="633" spans="21:32" x14ac:dyDescent="0.3">
      <c r="U633" s="193"/>
      <c r="V633" s="193"/>
      <c r="W633" s="193"/>
      <c r="X633" s="193"/>
      <c r="Y633" s="193"/>
      <c r="Z633" s="193"/>
      <c r="AC633" s="193"/>
      <c r="AD633" s="193"/>
      <c r="AE633" s="193"/>
      <c r="AF633" s="193"/>
    </row>
    <row r="634" spans="21:32" x14ac:dyDescent="0.3">
      <c r="U634" s="193"/>
      <c r="V634" s="193"/>
      <c r="W634" s="193"/>
      <c r="X634" s="193"/>
      <c r="Y634" s="193"/>
      <c r="Z634" s="193"/>
      <c r="AC634" s="193"/>
      <c r="AD634" s="193"/>
      <c r="AE634" s="193"/>
      <c r="AF634" s="193"/>
    </row>
    <row r="635" spans="21:32" x14ac:dyDescent="0.3">
      <c r="U635" s="193"/>
      <c r="V635" s="193"/>
      <c r="W635" s="193"/>
      <c r="X635" s="193"/>
      <c r="Y635" s="193"/>
      <c r="Z635" s="193"/>
      <c r="AC635" s="193"/>
      <c r="AD635" s="193"/>
      <c r="AE635" s="193"/>
      <c r="AF635" s="193"/>
    </row>
    <row r="636" spans="21:32" x14ac:dyDescent="0.3">
      <c r="U636" s="193"/>
      <c r="V636" s="193"/>
      <c r="W636" s="193"/>
      <c r="X636" s="193"/>
      <c r="Y636" s="193"/>
      <c r="Z636" s="193"/>
      <c r="AC636" s="193"/>
      <c r="AD636" s="193"/>
      <c r="AE636" s="193"/>
      <c r="AF636" s="193"/>
    </row>
    <row r="637" spans="21:32" x14ac:dyDescent="0.3">
      <c r="U637" s="193"/>
      <c r="V637" s="193"/>
      <c r="W637" s="193"/>
      <c r="X637" s="193"/>
      <c r="Y637" s="193"/>
      <c r="Z637" s="193"/>
      <c r="AC637" s="193"/>
      <c r="AD637" s="193"/>
      <c r="AE637" s="193"/>
      <c r="AF637" s="193"/>
    </row>
    <row r="638" spans="21:32" x14ac:dyDescent="0.3">
      <c r="U638" s="193"/>
      <c r="V638" s="193"/>
      <c r="W638" s="193"/>
      <c r="X638" s="193"/>
      <c r="Y638" s="193"/>
      <c r="Z638" s="193"/>
      <c r="AC638" s="193"/>
      <c r="AD638" s="193"/>
      <c r="AE638" s="193"/>
      <c r="AF638" s="193"/>
    </row>
    <row r="639" spans="21:32" x14ac:dyDescent="0.3">
      <c r="U639" s="193"/>
      <c r="V639" s="193"/>
      <c r="W639" s="193"/>
      <c r="X639" s="193"/>
      <c r="Y639" s="193"/>
      <c r="Z639" s="193"/>
      <c r="AC639" s="193"/>
      <c r="AD639" s="193"/>
      <c r="AE639" s="193"/>
      <c r="AF639" s="193"/>
    </row>
    <row r="640" spans="21:32" x14ac:dyDescent="0.3">
      <c r="U640" s="193"/>
      <c r="V640" s="193"/>
      <c r="W640" s="193"/>
      <c r="X640" s="193"/>
      <c r="Y640" s="193"/>
      <c r="Z640" s="193"/>
      <c r="AC640" s="193"/>
      <c r="AD640" s="193"/>
      <c r="AE640" s="193"/>
      <c r="AF640" s="193"/>
    </row>
    <row r="641" spans="21:32" x14ac:dyDescent="0.3">
      <c r="U641" s="193"/>
      <c r="V641" s="193"/>
      <c r="W641" s="193"/>
      <c r="X641" s="193"/>
      <c r="Y641" s="193"/>
      <c r="Z641" s="193"/>
      <c r="AC641" s="193"/>
      <c r="AD641" s="193"/>
      <c r="AE641" s="193"/>
      <c r="AF641" s="193"/>
    </row>
    <row r="642" spans="21:32" x14ac:dyDescent="0.3">
      <c r="U642" s="193"/>
      <c r="V642" s="193"/>
      <c r="W642" s="193"/>
      <c r="X642" s="193"/>
      <c r="Y642" s="193"/>
      <c r="Z642" s="193"/>
      <c r="AC642" s="193"/>
      <c r="AD642" s="193"/>
      <c r="AE642" s="193"/>
      <c r="AF642" s="193"/>
    </row>
    <row r="643" spans="21:32" x14ac:dyDescent="0.3">
      <c r="U643" s="193"/>
      <c r="V643" s="193"/>
      <c r="W643" s="193"/>
      <c r="X643" s="193"/>
      <c r="Y643" s="193"/>
      <c r="Z643" s="193"/>
      <c r="AC643" s="193"/>
      <c r="AD643" s="193"/>
      <c r="AE643" s="193"/>
      <c r="AF643" s="193"/>
    </row>
    <row r="644" spans="21:32" x14ac:dyDescent="0.3">
      <c r="U644" s="193"/>
      <c r="V644" s="193"/>
      <c r="W644" s="193"/>
      <c r="X644" s="193"/>
      <c r="Y644" s="193"/>
      <c r="Z644" s="193"/>
      <c r="AC644" s="193"/>
      <c r="AD644" s="193"/>
      <c r="AE644" s="193"/>
      <c r="AF644" s="193"/>
    </row>
    <row r="645" spans="21:32" x14ac:dyDescent="0.3">
      <c r="U645" s="193"/>
      <c r="V645" s="193"/>
      <c r="W645" s="193"/>
      <c r="X645" s="193"/>
      <c r="Y645" s="193"/>
      <c r="Z645" s="193"/>
      <c r="AC645" s="193"/>
      <c r="AD645" s="193"/>
      <c r="AE645" s="193"/>
      <c r="AF645" s="193"/>
    </row>
    <row r="646" spans="21:32" x14ac:dyDescent="0.3">
      <c r="U646" s="193"/>
      <c r="V646" s="193"/>
      <c r="W646" s="193"/>
      <c r="X646" s="193"/>
      <c r="Y646" s="193"/>
      <c r="Z646" s="193"/>
      <c r="AC646" s="193"/>
      <c r="AD646" s="193"/>
      <c r="AE646" s="193"/>
      <c r="AF646" s="193"/>
    </row>
    <row r="647" spans="21:32" x14ac:dyDescent="0.3">
      <c r="U647" s="193"/>
      <c r="V647" s="193"/>
      <c r="W647" s="193"/>
      <c r="X647" s="193"/>
      <c r="Y647" s="193"/>
      <c r="Z647" s="193"/>
      <c r="AC647" s="193"/>
      <c r="AD647" s="193"/>
      <c r="AE647" s="193"/>
      <c r="AF647" s="193"/>
    </row>
    <row r="648" spans="21:32" x14ac:dyDescent="0.3">
      <c r="U648" s="193"/>
      <c r="V648" s="193"/>
      <c r="W648" s="193"/>
      <c r="X648" s="193"/>
      <c r="Y648" s="193"/>
      <c r="Z648" s="193"/>
      <c r="AC648" s="193"/>
      <c r="AD648" s="193"/>
      <c r="AE648" s="193"/>
      <c r="AF648" s="193"/>
    </row>
    <row r="649" spans="21:32" x14ac:dyDescent="0.3">
      <c r="U649" s="193"/>
      <c r="V649" s="193"/>
      <c r="W649" s="193"/>
      <c r="X649" s="193"/>
      <c r="Y649" s="193"/>
      <c r="Z649" s="193"/>
      <c r="AC649" s="193"/>
      <c r="AD649" s="193"/>
      <c r="AE649" s="193"/>
      <c r="AF649" s="193"/>
    </row>
    <row r="650" spans="21:32" x14ac:dyDescent="0.3">
      <c r="U650" s="193"/>
      <c r="V650" s="193"/>
      <c r="W650" s="193"/>
      <c r="X650" s="193"/>
      <c r="Y650" s="193"/>
      <c r="Z650" s="193"/>
      <c r="AC650" s="193"/>
      <c r="AD650" s="193"/>
      <c r="AE650" s="193"/>
      <c r="AF650" s="193"/>
    </row>
    <row r="651" spans="21:32" x14ac:dyDescent="0.3">
      <c r="U651" s="193"/>
      <c r="V651" s="193"/>
      <c r="W651" s="193"/>
      <c r="X651" s="193"/>
      <c r="Y651" s="193"/>
      <c r="Z651" s="193"/>
      <c r="AC651" s="193"/>
      <c r="AD651" s="193"/>
      <c r="AE651" s="193"/>
      <c r="AF651" s="193"/>
    </row>
    <row r="652" spans="21:32" x14ac:dyDescent="0.3">
      <c r="U652" s="193"/>
      <c r="V652" s="193"/>
      <c r="W652" s="193"/>
      <c r="X652" s="193"/>
      <c r="Y652" s="193"/>
      <c r="Z652" s="193"/>
      <c r="AC652" s="193"/>
      <c r="AD652" s="193"/>
      <c r="AE652" s="193"/>
      <c r="AF652" s="193"/>
    </row>
    <row r="653" spans="21:32" x14ac:dyDescent="0.3">
      <c r="U653" s="193"/>
      <c r="V653" s="193"/>
      <c r="W653" s="193"/>
      <c r="X653" s="193"/>
      <c r="Y653" s="193"/>
      <c r="Z653" s="193"/>
      <c r="AC653" s="193"/>
      <c r="AD653" s="193"/>
      <c r="AE653" s="193"/>
      <c r="AF653" s="193"/>
    </row>
    <row r="654" spans="21:32" x14ac:dyDescent="0.3">
      <c r="U654" s="193"/>
      <c r="V654" s="193"/>
      <c r="W654" s="193"/>
      <c r="X654" s="193"/>
      <c r="Y654" s="193"/>
      <c r="Z654" s="193"/>
      <c r="AC654" s="193"/>
      <c r="AD654" s="193"/>
      <c r="AE654" s="193"/>
      <c r="AF654" s="193"/>
    </row>
    <row r="655" spans="21:32" x14ac:dyDescent="0.3">
      <c r="U655" s="193"/>
      <c r="V655" s="193"/>
      <c r="W655" s="193"/>
      <c r="X655" s="193"/>
      <c r="Y655" s="193"/>
      <c r="Z655" s="193"/>
      <c r="AC655" s="193"/>
      <c r="AD655" s="193"/>
      <c r="AE655" s="193"/>
      <c r="AF655" s="193"/>
    </row>
    <row r="656" spans="21:32" x14ac:dyDescent="0.3">
      <c r="U656" s="193"/>
      <c r="V656" s="193"/>
      <c r="W656" s="193"/>
      <c r="X656" s="193"/>
      <c r="Y656" s="193"/>
      <c r="Z656" s="193"/>
      <c r="AC656" s="193"/>
      <c r="AD656" s="193"/>
      <c r="AE656" s="193"/>
      <c r="AF656" s="193"/>
    </row>
    <row r="657" spans="21:32" x14ac:dyDescent="0.3">
      <c r="U657" s="193"/>
      <c r="V657" s="193"/>
      <c r="W657" s="193"/>
      <c r="X657" s="193"/>
      <c r="Y657" s="193"/>
      <c r="Z657" s="193"/>
      <c r="AC657" s="193"/>
      <c r="AD657" s="193"/>
      <c r="AE657" s="193"/>
      <c r="AF657" s="193"/>
    </row>
    <row r="658" spans="21:32" x14ac:dyDescent="0.3">
      <c r="U658" s="193"/>
      <c r="V658" s="193"/>
      <c r="W658" s="193"/>
      <c r="X658" s="193"/>
      <c r="Y658" s="193"/>
      <c r="Z658" s="193"/>
      <c r="AC658" s="193"/>
      <c r="AD658" s="193"/>
      <c r="AE658" s="193"/>
      <c r="AF658" s="193"/>
    </row>
    <row r="659" spans="21:32" x14ac:dyDescent="0.3">
      <c r="U659" s="193"/>
      <c r="V659" s="193"/>
      <c r="W659" s="193"/>
      <c r="X659" s="193"/>
      <c r="Y659" s="193"/>
      <c r="Z659" s="193"/>
      <c r="AC659" s="193"/>
      <c r="AD659" s="193"/>
      <c r="AE659" s="193"/>
      <c r="AF659" s="193"/>
    </row>
    <row r="660" spans="21:32" x14ac:dyDescent="0.3">
      <c r="U660" s="193"/>
      <c r="V660" s="193"/>
      <c r="W660" s="193"/>
      <c r="X660" s="193"/>
      <c r="Y660" s="193"/>
      <c r="Z660" s="193"/>
      <c r="AC660" s="193"/>
      <c r="AD660" s="193"/>
      <c r="AE660" s="193"/>
      <c r="AF660" s="193"/>
    </row>
    <row r="661" spans="21:32" x14ac:dyDescent="0.3">
      <c r="U661" s="193"/>
      <c r="V661" s="193"/>
      <c r="W661" s="193"/>
      <c r="X661" s="193"/>
      <c r="Y661" s="193"/>
      <c r="Z661" s="193"/>
      <c r="AC661" s="193"/>
      <c r="AD661" s="193"/>
      <c r="AE661" s="193"/>
      <c r="AF661" s="193"/>
    </row>
    <row r="662" spans="21:32" x14ac:dyDescent="0.3">
      <c r="U662" s="193"/>
      <c r="V662" s="193"/>
      <c r="W662" s="193"/>
      <c r="X662" s="193"/>
      <c r="Y662" s="193"/>
      <c r="Z662" s="193"/>
      <c r="AC662" s="193"/>
      <c r="AD662" s="193"/>
      <c r="AE662" s="193"/>
      <c r="AF662" s="193"/>
    </row>
    <row r="663" spans="21:32" x14ac:dyDescent="0.3">
      <c r="U663" s="193"/>
      <c r="V663" s="193"/>
      <c r="W663" s="193"/>
      <c r="X663" s="193"/>
      <c r="Y663" s="193"/>
      <c r="Z663" s="193"/>
      <c r="AC663" s="193"/>
      <c r="AD663" s="193"/>
      <c r="AE663" s="193"/>
      <c r="AF663" s="193"/>
    </row>
    <row r="664" spans="21:32" x14ac:dyDescent="0.3">
      <c r="U664" s="193"/>
      <c r="V664" s="193"/>
      <c r="W664" s="193"/>
      <c r="X664" s="193"/>
      <c r="Y664" s="193"/>
      <c r="Z664" s="193"/>
      <c r="AC664" s="193"/>
      <c r="AD664" s="193"/>
      <c r="AE664" s="193"/>
      <c r="AF664" s="193"/>
    </row>
    <row r="665" spans="21:32" x14ac:dyDescent="0.3">
      <c r="U665" s="193"/>
      <c r="V665" s="193"/>
      <c r="W665" s="193"/>
      <c r="X665" s="193"/>
      <c r="Y665" s="193"/>
      <c r="Z665" s="193"/>
      <c r="AC665" s="193"/>
      <c r="AD665" s="193"/>
      <c r="AE665" s="193"/>
      <c r="AF665" s="193"/>
    </row>
    <row r="666" spans="21:32" x14ac:dyDescent="0.3">
      <c r="U666" s="193"/>
      <c r="V666" s="193"/>
      <c r="W666" s="193"/>
      <c r="X666" s="193"/>
      <c r="Y666" s="193"/>
      <c r="Z666" s="193"/>
      <c r="AC666" s="193"/>
      <c r="AD666" s="193"/>
      <c r="AE666" s="193"/>
      <c r="AF666" s="193"/>
    </row>
    <row r="667" spans="21:32" x14ac:dyDescent="0.3">
      <c r="U667" s="193"/>
      <c r="V667" s="193"/>
      <c r="W667" s="193"/>
      <c r="X667" s="193"/>
      <c r="Y667" s="193"/>
      <c r="Z667" s="193"/>
      <c r="AC667" s="193"/>
      <c r="AD667" s="193"/>
      <c r="AE667" s="193"/>
      <c r="AF667" s="193"/>
    </row>
    <row r="668" spans="21:32" x14ac:dyDescent="0.3">
      <c r="U668" s="193"/>
      <c r="V668" s="193"/>
      <c r="W668" s="193"/>
      <c r="X668" s="193"/>
      <c r="Y668" s="193"/>
      <c r="Z668" s="193"/>
      <c r="AC668" s="193"/>
      <c r="AD668" s="193"/>
      <c r="AE668" s="193"/>
      <c r="AF668" s="193"/>
    </row>
    <row r="669" spans="21:32" x14ac:dyDescent="0.3">
      <c r="U669" s="193"/>
      <c r="V669" s="193"/>
      <c r="W669" s="193"/>
      <c r="X669" s="193"/>
      <c r="Y669" s="193"/>
      <c r="Z669" s="193"/>
      <c r="AC669" s="193"/>
      <c r="AD669" s="193"/>
      <c r="AE669" s="193"/>
      <c r="AF669" s="193"/>
    </row>
    <row r="670" spans="21:32" x14ac:dyDescent="0.3">
      <c r="U670" s="193"/>
      <c r="V670" s="193"/>
      <c r="W670" s="193"/>
      <c r="X670" s="193"/>
      <c r="Y670" s="193"/>
      <c r="Z670" s="193"/>
      <c r="AC670" s="193"/>
      <c r="AD670" s="193"/>
      <c r="AE670" s="193"/>
      <c r="AF670" s="193"/>
    </row>
    <row r="671" spans="21:32" x14ac:dyDescent="0.3">
      <c r="U671" s="193"/>
      <c r="V671" s="193"/>
      <c r="W671" s="193"/>
      <c r="X671" s="193"/>
      <c r="Y671" s="193"/>
      <c r="Z671" s="193"/>
      <c r="AC671" s="193"/>
      <c r="AD671" s="193"/>
      <c r="AE671" s="193"/>
      <c r="AF671" s="193"/>
    </row>
    <row r="672" spans="21:32" x14ac:dyDescent="0.3">
      <c r="U672" s="193"/>
      <c r="V672" s="193"/>
      <c r="W672" s="193"/>
      <c r="X672" s="193"/>
      <c r="Y672" s="193"/>
      <c r="Z672" s="193"/>
      <c r="AC672" s="193"/>
      <c r="AD672" s="193"/>
      <c r="AE672" s="193"/>
      <c r="AF672" s="193"/>
    </row>
    <row r="673" spans="21:32" x14ac:dyDescent="0.3">
      <c r="U673" s="193"/>
      <c r="V673" s="193"/>
      <c r="W673" s="193"/>
      <c r="X673" s="193"/>
      <c r="Y673" s="193"/>
      <c r="Z673" s="193"/>
      <c r="AC673" s="193"/>
      <c r="AD673" s="193"/>
      <c r="AE673" s="193"/>
      <c r="AF673" s="193"/>
    </row>
    <row r="674" spans="21:32" x14ac:dyDescent="0.3">
      <c r="U674" s="193"/>
      <c r="V674" s="193"/>
      <c r="W674" s="193"/>
      <c r="X674" s="193"/>
      <c r="Y674" s="193"/>
      <c r="Z674" s="193"/>
      <c r="AC674" s="193"/>
      <c r="AD674" s="193"/>
      <c r="AE674" s="193"/>
      <c r="AF674" s="193"/>
    </row>
    <row r="675" spans="21:32" x14ac:dyDescent="0.3">
      <c r="U675" s="193"/>
      <c r="V675" s="193"/>
      <c r="W675" s="193"/>
      <c r="X675" s="193"/>
      <c r="Y675" s="193"/>
      <c r="Z675" s="193"/>
      <c r="AC675" s="193"/>
      <c r="AD675" s="193"/>
      <c r="AE675" s="193"/>
      <c r="AF675" s="193"/>
    </row>
    <row r="676" spans="21:32" x14ac:dyDescent="0.3">
      <c r="U676" s="193"/>
      <c r="V676" s="193"/>
      <c r="W676" s="193"/>
      <c r="X676" s="193"/>
      <c r="Y676" s="193"/>
      <c r="Z676" s="193"/>
      <c r="AC676" s="193"/>
      <c r="AD676" s="193"/>
      <c r="AE676" s="193"/>
      <c r="AF676" s="193"/>
    </row>
    <row r="677" spans="21:32" x14ac:dyDescent="0.3">
      <c r="U677" s="193"/>
      <c r="V677" s="193"/>
      <c r="W677" s="193"/>
      <c r="X677" s="193"/>
      <c r="Y677" s="193"/>
      <c r="Z677" s="193"/>
      <c r="AC677" s="193"/>
      <c r="AD677" s="193"/>
      <c r="AE677" s="193"/>
      <c r="AF677" s="193"/>
    </row>
    <row r="678" spans="21:32" x14ac:dyDescent="0.3">
      <c r="U678" s="193"/>
      <c r="V678" s="193"/>
      <c r="W678" s="193"/>
      <c r="X678" s="193"/>
      <c r="Y678" s="193"/>
      <c r="Z678" s="193"/>
      <c r="AC678" s="193"/>
      <c r="AD678" s="193"/>
      <c r="AE678" s="193"/>
      <c r="AF678" s="193"/>
    </row>
    <row r="679" spans="21:32" x14ac:dyDescent="0.3">
      <c r="U679" s="193"/>
      <c r="V679" s="193"/>
      <c r="W679" s="193"/>
      <c r="X679" s="193"/>
      <c r="Y679" s="193"/>
      <c r="Z679" s="193"/>
      <c r="AC679" s="193"/>
      <c r="AD679" s="193"/>
      <c r="AE679" s="193"/>
      <c r="AF679" s="193"/>
    </row>
    <row r="680" spans="21:32" x14ac:dyDescent="0.3">
      <c r="U680" s="193"/>
      <c r="V680" s="193"/>
      <c r="W680" s="193"/>
      <c r="X680" s="193"/>
      <c r="Y680" s="193"/>
      <c r="Z680" s="193"/>
      <c r="AC680" s="193"/>
      <c r="AD680" s="193"/>
      <c r="AE680" s="193"/>
      <c r="AF680" s="193"/>
    </row>
    <row r="681" spans="21:32" x14ac:dyDescent="0.3">
      <c r="U681" s="193"/>
      <c r="V681" s="193"/>
      <c r="W681" s="193"/>
      <c r="X681" s="193"/>
      <c r="Y681" s="193"/>
      <c r="Z681" s="193"/>
      <c r="AC681" s="193"/>
      <c r="AD681" s="193"/>
      <c r="AE681" s="193"/>
      <c r="AF681" s="193"/>
    </row>
    <row r="682" spans="21:32" x14ac:dyDescent="0.3">
      <c r="U682" s="193"/>
      <c r="V682" s="193"/>
      <c r="W682" s="193"/>
      <c r="X682" s="193"/>
      <c r="Y682" s="193"/>
      <c r="Z682" s="193"/>
      <c r="AC682" s="193"/>
      <c r="AD682" s="193"/>
      <c r="AE682" s="193"/>
      <c r="AF682" s="193"/>
    </row>
    <row r="683" spans="21:32" x14ac:dyDescent="0.3">
      <c r="U683" s="193"/>
      <c r="V683" s="193"/>
      <c r="W683" s="193"/>
      <c r="X683" s="193"/>
      <c r="Y683" s="193"/>
      <c r="Z683" s="193"/>
      <c r="AC683" s="193"/>
      <c r="AD683" s="193"/>
      <c r="AE683" s="193"/>
      <c r="AF683" s="193"/>
    </row>
    <row r="684" spans="21:32" x14ac:dyDescent="0.3">
      <c r="U684" s="193"/>
      <c r="V684" s="193"/>
      <c r="W684" s="193"/>
      <c r="X684" s="193"/>
      <c r="Y684" s="193"/>
      <c r="Z684" s="193"/>
      <c r="AC684" s="193"/>
      <c r="AD684" s="193"/>
      <c r="AE684" s="193"/>
      <c r="AF684" s="193"/>
    </row>
    <row r="685" spans="21:32" x14ac:dyDescent="0.3">
      <c r="U685" s="193"/>
      <c r="V685" s="193"/>
      <c r="W685" s="193"/>
      <c r="X685" s="193"/>
      <c r="Y685" s="193"/>
      <c r="Z685" s="193"/>
      <c r="AC685" s="193"/>
      <c r="AD685" s="193"/>
      <c r="AE685" s="193"/>
      <c r="AF685" s="193"/>
    </row>
    <row r="686" spans="21:32" x14ac:dyDescent="0.3">
      <c r="U686" s="193"/>
      <c r="V686" s="193"/>
      <c r="W686" s="193"/>
      <c r="X686" s="193"/>
      <c r="Y686" s="193"/>
      <c r="Z686" s="193"/>
      <c r="AC686" s="193"/>
      <c r="AD686" s="193"/>
      <c r="AE686" s="193"/>
      <c r="AF686" s="193"/>
    </row>
    <row r="687" spans="21:32" x14ac:dyDescent="0.3">
      <c r="U687" s="193"/>
      <c r="V687" s="193"/>
      <c r="W687" s="193"/>
      <c r="X687" s="193"/>
      <c r="Y687" s="193"/>
      <c r="Z687" s="193"/>
      <c r="AC687" s="193"/>
      <c r="AD687" s="193"/>
      <c r="AE687" s="193"/>
      <c r="AF687" s="193"/>
    </row>
    <row r="688" spans="21:32" x14ac:dyDescent="0.3">
      <c r="U688" s="193"/>
      <c r="V688" s="193"/>
      <c r="W688" s="193"/>
      <c r="X688" s="193"/>
      <c r="Y688" s="193"/>
      <c r="Z688" s="193"/>
      <c r="AC688" s="193"/>
      <c r="AD688" s="193"/>
      <c r="AE688" s="193"/>
      <c r="AF688" s="193"/>
    </row>
    <row r="689" spans="21:32" x14ac:dyDescent="0.3">
      <c r="U689" s="193"/>
      <c r="V689" s="193"/>
      <c r="W689" s="193"/>
      <c r="X689" s="193"/>
      <c r="Y689" s="193"/>
      <c r="Z689" s="193"/>
      <c r="AC689" s="193"/>
      <c r="AD689" s="193"/>
      <c r="AE689" s="193"/>
      <c r="AF689" s="193"/>
    </row>
    <row r="690" spans="21:32" x14ac:dyDescent="0.3">
      <c r="U690" s="193"/>
      <c r="V690" s="193"/>
      <c r="W690" s="193"/>
      <c r="X690" s="193"/>
      <c r="Y690" s="193"/>
      <c r="Z690" s="193"/>
      <c r="AC690" s="193"/>
      <c r="AD690" s="193"/>
      <c r="AE690" s="193"/>
      <c r="AF690" s="193"/>
    </row>
    <row r="691" spans="21:32" x14ac:dyDescent="0.3">
      <c r="U691" s="193"/>
      <c r="V691" s="193"/>
      <c r="W691" s="193"/>
      <c r="X691" s="193"/>
      <c r="Y691" s="193"/>
      <c r="Z691" s="193"/>
      <c r="AC691" s="193"/>
      <c r="AD691" s="193"/>
      <c r="AE691" s="193"/>
      <c r="AF691" s="193"/>
    </row>
    <row r="692" spans="21:32" x14ac:dyDescent="0.3">
      <c r="U692" s="193"/>
      <c r="V692" s="193"/>
      <c r="W692" s="193"/>
      <c r="X692" s="193"/>
      <c r="Y692" s="193"/>
      <c r="Z692" s="193"/>
      <c r="AC692" s="193"/>
      <c r="AD692" s="193"/>
      <c r="AE692" s="193"/>
      <c r="AF692" s="193"/>
    </row>
    <row r="693" spans="21:32" x14ac:dyDescent="0.3">
      <c r="U693" s="193"/>
      <c r="V693" s="193"/>
      <c r="W693" s="193"/>
      <c r="X693" s="193"/>
      <c r="Y693" s="193"/>
      <c r="Z693" s="193"/>
      <c r="AC693" s="193"/>
      <c r="AD693" s="193"/>
      <c r="AE693" s="193"/>
      <c r="AF693" s="193"/>
    </row>
    <row r="694" spans="21:32" x14ac:dyDescent="0.3">
      <c r="U694" s="193"/>
      <c r="V694" s="193"/>
      <c r="W694" s="193"/>
      <c r="X694" s="193"/>
      <c r="Y694" s="193"/>
      <c r="Z694" s="193"/>
      <c r="AC694" s="193"/>
      <c r="AD694" s="193"/>
      <c r="AE694" s="193"/>
      <c r="AF694" s="193"/>
    </row>
    <row r="695" spans="21:32" x14ac:dyDescent="0.3">
      <c r="U695" s="193"/>
      <c r="V695" s="193"/>
      <c r="W695" s="193"/>
      <c r="X695" s="193"/>
      <c r="Y695" s="193"/>
      <c r="Z695" s="193"/>
      <c r="AC695" s="193"/>
      <c r="AD695" s="193"/>
      <c r="AE695" s="193"/>
      <c r="AF695" s="193"/>
    </row>
    <row r="696" spans="21:32" x14ac:dyDescent="0.3">
      <c r="U696" s="193"/>
      <c r="V696" s="193"/>
      <c r="W696" s="193"/>
      <c r="X696" s="193"/>
      <c r="Y696" s="193"/>
      <c r="Z696" s="193"/>
      <c r="AC696" s="193"/>
      <c r="AD696" s="193"/>
      <c r="AE696" s="193"/>
      <c r="AF696" s="193"/>
    </row>
    <row r="697" spans="21:32" x14ac:dyDescent="0.3">
      <c r="U697" s="193"/>
      <c r="V697" s="193"/>
      <c r="W697" s="193"/>
      <c r="X697" s="193"/>
      <c r="Y697" s="193"/>
      <c r="Z697" s="193"/>
      <c r="AC697" s="193"/>
      <c r="AD697" s="193"/>
      <c r="AE697" s="193"/>
      <c r="AF697" s="193"/>
    </row>
    <row r="698" spans="21:32" x14ac:dyDescent="0.3">
      <c r="U698" s="193"/>
      <c r="V698" s="193"/>
      <c r="W698" s="193"/>
      <c r="X698" s="193"/>
      <c r="Y698" s="193"/>
      <c r="Z698" s="193"/>
      <c r="AC698" s="193"/>
      <c r="AD698" s="193"/>
      <c r="AE698" s="193"/>
      <c r="AF698" s="193"/>
    </row>
    <row r="699" spans="21:32" x14ac:dyDescent="0.3">
      <c r="U699" s="193"/>
      <c r="V699" s="193"/>
      <c r="W699" s="193"/>
      <c r="X699" s="193"/>
      <c r="Y699" s="193"/>
      <c r="Z699" s="193"/>
      <c r="AC699" s="193"/>
      <c r="AD699" s="193"/>
      <c r="AE699" s="193"/>
      <c r="AF699" s="193"/>
    </row>
    <row r="700" spans="21:32" x14ac:dyDescent="0.3">
      <c r="U700" s="193"/>
      <c r="V700" s="193"/>
      <c r="W700" s="193"/>
      <c r="X700" s="193"/>
      <c r="Y700" s="193"/>
      <c r="Z700" s="193"/>
      <c r="AC700" s="193"/>
      <c r="AD700" s="193"/>
      <c r="AE700" s="193"/>
      <c r="AF700" s="193"/>
    </row>
    <row r="701" spans="21:32" x14ac:dyDescent="0.3">
      <c r="U701" s="193"/>
      <c r="V701" s="193"/>
      <c r="W701" s="193"/>
      <c r="X701" s="193"/>
      <c r="Y701" s="193"/>
      <c r="Z701" s="193"/>
      <c r="AC701" s="193"/>
      <c r="AD701" s="193"/>
      <c r="AE701" s="193"/>
      <c r="AF701" s="193"/>
    </row>
    <row r="702" spans="21:32" x14ac:dyDescent="0.3">
      <c r="U702" s="193"/>
      <c r="V702" s="193"/>
      <c r="W702" s="193"/>
      <c r="X702" s="193"/>
      <c r="Y702" s="193"/>
      <c r="Z702" s="193"/>
      <c r="AC702" s="193"/>
      <c r="AD702" s="193"/>
      <c r="AE702" s="193"/>
      <c r="AF702" s="193"/>
    </row>
    <row r="703" spans="21:32" x14ac:dyDescent="0.3">
      <c r="U703" s="193"/>
      <c r="V703" s="193"/>
      <c r="W703" s="193"/>
      <c r="X703" s="193"/>
      <c r="Y703" s="193"/>
      <c r="Z703" s="193"/>
      <c r="AC703" s="193"/>
      <c r="AD703" s="193"/>
      <c r="AE703" s="193"/>
      <c r="AF703" s="193"/>
    </row>
    <row r="704" spans="21:32" x14ac:dyDescent="0.3">
      <c r="U704" s="193"/>
      <c r="V704" s="193"/>
      <c r="W704" s="193"/>
      <c r="X704" s="193"/>
      <c r="Y704" s="193"/>
      <c r="Z704" s="193"/>
      <c r="AC704" s="193"/>
      <c r="AD704" s="193"/>
      <c r="AE704" s="193"/>
      <c r="AF704" s="193"/>
    </row>
    <row r="705" spans="21:32" x14ac:dyDescent="0.3">
      <c r="U705" s="193"/>
      <c r="V705" s="193"/>
      <c r="W705" s="193"/>
      <c r="X705" s="193"/>
      <c r="Y705" s="193"/>
      <c r="Z705" s="193"/>
      <c r="AC705" s="193"/>
      <c r="AD705" s="193"/>
      <c r="AE705" s="193"/>
      <c r="AF705" s="193"/>
    </row>
    <row r="706" spans="21:32" x14ac:dyDescent="0.3">
      <c r="U706" s="193"/>
      <c r="V706" s="193"/>
      <c r="W706" s="193"/>
      <c r="X706" s="193"/>
      <c r="Y706" s="193"/>
      <c r="Z706" s="193"/>
      <c r="AC706" s="193"/>
      <c r="AD706" s="193"/>
      <c r="AE706" s="193"/>
      <c r="AF706" s="193"/>
    </row>
    <row r="707" spans="21:32" x14ac:dyDescent="0.3">
      <c r="U707" s="193"/>
      <c r="V707" s="193"/>
      <c r="W707" s="193"/>
      <c r="X707" s="193"/>
      <c r="Y707" s="193"/>
      <c r="Z707" s="193"/>
      <c r="AC707" s="193"/>
      <c r="AD707" s="193"/>
      <c r="AE707" s="193"/>
      <c r="AF707" s="193"/>
    </row>
    <row r="708" spans="21:32" x14ac:dyDescent="0.3">
      <c r="U708" s="193"/>
      <c r="V708" s="193"/>
      <c r="W708" s="193"/>
      <c r="X708" s="193"/>
      <c r="Y708" s="193"/>
      <c r="Z708" s="193"/>
      <c r="AC708" s="193"/>
      <c r="AD708" s="193"/>
      <c r="AE708" s="193"/>
      <c r="AF708" s="193"/>
    </row>
    <row r="709" spans="21:32" x14ac:dyDescent="0.3">
      <c r="U709" s="193"/>
      <c r="V709" s="193"/>
      <c r="W709" s="193"/>
      <c r="X709" s="193"/>
      <c r="Y709" s="193"/>
      <c r="Z709" s="193"/>
      <c r="AC709" s="193"/>
      <c r="AD709" s="193"/>
      <c r="AE709" s="193"/>
      <c r="AF709" s="193"/>
    </row>
    <row r="710" spans="21:32" x14ac:dyDescent="0.3">
      <c r="U710" s="193"/>
      <c r="V710" s="193"/>
      <c r="W710" s="193"/>
      <c r="X710" s="193"/>
      <c r="Y710" s="193"/>
      <c r="Z710" s="193"/>
      <c r="AC710" s="193"/>
      <c r="AD710" s="193"/>
      <c r="AE710" s="193"/>
      <c r="AF710" s="193"/>
    </row>
    <row r="711" spans="21:32" x14ac:dyDescent="0.3">
      <c r="U711" s="193"/>
      <c r="V711" s="193"/>
      <c r="W711" s="193"/>
      <c r="X711" s="193"/>
      <c r="Y711" s="193"/>
      <c r="Z711" s="193"/>
      <c r="AC711" s="193"/>
      <c r="AD711" s="193"/>
      <c r="AE711" s="193"/>
      <c r="AF711" s="193"/>
    </row>
    <row r="712" spans="21:32" x14ac:dyDescent="0.3">
      <c r="U712" s="193"/>
      <c r="V712" s="193"/>
      <c r="W712" s="193"/>
      <c r="X712" s="193"/>
      <c r="Y712" s="193"/>
      <c r="Z712" s="193"/>
      <c r="AC712" s="193"/>
      <c r="AD712" s="193"/>
      <c r="AE712" s="193"/>
      <c r="AF712" s="193"/>
    </row>
    <row r="713" spans="21:32" x14ac:dyDescent="0.3">
      <c r="U713" s="193"/>
      <c r="V713" s="193"/>
      <c r="W713" s="193"/>
      <c r="X713" s="193"/>
      <c r="Y713" s="193"/>
      <c r="Z713" s="193"/>
      <c r="AC713" s="193"/>
      <c r="AD713" s="193"/>
      <c r="AE713" s="193"/>
      <c r="AF713" s="193"/>
    </row>
    <row r="714" spans="21:32" x14ac:dyDescent="0.3">
      <c r="U714" s="193"/>
      <c r="V714" s="193"/>
      <c r="W714" s="193"/>
      <c r="X714" s="193"/>
      <c r="Y714" s="193"/>
      <c r="Z714" s="193"/>
      <c r="AC714" s="193"/>
      <c r="AD714" s="193"/>
      <c r="AE714" s="193"/>
      <c r="AF714" s="193"/>
    </row>
    <row r="715" spans="21:32" x14ac:dyDescent="0.3">
      <c r="U715" s="193"/>
      <c r="V715" s="193"/>
      <c r="W715" s="193"/>
      <c r="X715" s="193"/>
      <c r="Y715" s="193"/>
      <c r="Z715" s="193"/>
      <c r="AC715" s="193"/>
      <c r="AD715" s="193"/>
      <c r="AE715" s="193"/>
      <c r="AF715" s="193"/>
    </row>
    <row r="716" spans="21:32" x14ac:dyDescent="0.3">
      <c r="U716" s="193"/>
      <c r="V716" s="193"/>
      <c r="W716" s="193"/>
      <c r="X716" s="193"/>
      <c r="Y716" s="193"/>
      <c r="Z716" s="193"/>
      <c r="AC716" s="193"/>
      <c r="AD716" s="193"/>
      <c r="AE716" s="193"/>
      <c r="AF716" s="193"/>
    </row>
    <row r="717" spans="21:32" x14ac:dyDescent="0.3">
      <c r="U717" s="193"/>
      <c r="V717" s="193"/>
      <c r="W717" s="193"/>
      <c r="X717" s="193"/>
      <c r="Y717" s="193"/>
      <c r="Z717" s="193"/>
      <c r="AC717" s="193"/>
      <c r="AD717" s="193"/>
      <c r="AE717" s="193"/>
      <c r="AF717" s="193"/>
    </row>
    <row r="718" spans="21:32" x14ac:dyDescent="0.3">
      <c r="U718" s="193"/>
      <c r="V718" s="193"/>
      <c r="W718" s="193"/>
      <c r="X718" s="193"/>
      <c r="Y718" s="193"/>
      <c r="Z718" s="193"/>
      <c r="AC718" s="193"/>
      <c r="AD718" s="193"/>
      <c r="AE718" s="193"/>
      <c r="AF718" s="193"/>
    </row>
    <row r="719" spans="21:32" x14ac:dyDescent="0.3">
      <c r="U719" s="193"/>
      <c r="V719" s="193"/>
      <c r="W719" s="193"/>
      <c r="X719" s="193"/>
      <c r="Y719" s="193"/>
      <c r="Z719" s="193"/>
      <c r="AC719" s="193"/>
      <c r="AD719" s="193"/>
      <c r="AE719" s="193"/>
      <c r="AF719" s="193"/>
    </row>
    <row r="720" spans="21:32" x14ac:dyDescent="0.3">
      <c r="U720" s="193"/>
      <c r="V720" s="193"/>
      <c r="W720" s="193"/>
      <c r="X720" s="193"/>
      <c r="Y720" s="193"/>
      <c r="Z720" s="193"/>
      <c r="AC720" s="193"/>
      <c r="AD720" s="193"/>
      <c r="AE720" s="193"/>
      <c r="AF720" s="193"/>
    </row>
    <row r="721" spans="21:32" x14ac:dyDescent="0.3">
      <c r="U721" s="193"/>
      <c r="V721" s="193"/>
      <c r="W721" s="193"/>
      <c r="X721" s="193"/>
      <c r="Y721" s="193"/>
      <c r="Z721" s="193"/>
      <c r="AC721" s="193"/>
      <c r="AD721" s="193"/>
      <c r="AE721" s="193"/>
      <c r="AF721" s="193"/>
    </row>
    <row r="722" spans="21:32" x14ac:dyDescent="0.3">
      <c r="U722" s="193"/>
      <c r="V722" s="193"/>
      <c r="W722" s="193"/>
      <c r="X722" s="193"/>
      <c r="Y722" s="193"/>
      <c r="Z722" s="193"/>
      <c r="AC722" s="193"/>
      <c r="AD722" s="193"/>
      <c r="AE722" s="193"/>
      <c r="AF722" s="193"/>
    </row>
    <row r="723" spans="21:32" x14ac:dyDescent="0.3">
      <c r="U723" s="193"/>
      <c r="V723" s="193"/>
      <c r="W723" s="193"/>
      <c r="X723" s="193"/>
      <c r="Y723" s="193"/>
      <c r="Z723" s="193"/>
      <c r="AC723" s="193"/>
      <c r="AD723" s="193"/>
      <c r="AE723" s="193"/>
      <c r="AF723" s="193"/>
    </row>
    <row r="724" spans="21:32" x14ac:dyDescent="0.3">
      <c r="U724" s="193"/>
      <c r="V724" s="193"/>
      <c r="W724" s="193"/>
      <c r="X724" s="193"/>
      <c r="Y724" s="193"/>
      <c r="Z724" s="193"/>
      <c r="AC724" s="193"/>
      <c r="AD724" s="193"/>
      <c r="AE724" s="193"/>
      <c r="AF724" s="193"/>
    </row>
    <row r="725" spans="21:32" x14ac:dyDescent="0.3">
      <c r="U725" s="193"/>
      <c r="V725" s="193"/>
      <c r="W725" s="193"/>
      <c r="X725" s="193"/>
      <c r="Y725" s="193"/>
      <c r="Z725" s="193"/>
      <c r="AC725" s="193"/>
      <c r="AD725" s="193"/>
      <c r="AE725" s="193"/>
      <c r="AF725" s="193"/>
    </row>
    <row r="726" spans="21:32" x14ac:dyDescent="0.3">
      <c r="U726" s="193"/>
      <c r="V726" s="193"/>
      <c r="W726" s="193"/>
      <c r="X726" s="193"/>
      <c r="Y726" s="193"/>
      <c r="Z726" s="193"/>
      <c r="AC726" s="193"/>
      <c r="AD726" s="193"/>
      <c r="AE726" s="193"/>
      <c r="AF726" s="193"/>
    </row>
    <row r="727" spans="21:32" x14ac:dyDescent="0.3">
      <c r="U727" s="193"/>
      <c r="V727" s="193"/>
      <c r="W727" s="193"/>
      <c r="X727" s="193"/>
      <c r="Y727" s="193"/>
      <c r="Z727" s="193"/>
      <c r="AC727" s="193"/>
      <c r="AD727" s="193"/>
      <c r="AE727" s="193"/>
      <c r="AF727" s="193"/>
    </row>
    <row r="728" spans="21:32" x14ac:dyDescent="0.3">
      <c r="U728" s="193"/>
      <c r="V728" s="193"/>
      <c r="W728" s="193"/>
      <c r="X728" s="193"/>
      <c r="Y728" s="193"/>
      <c r="Z728" s="193"/>
      <c r="AC728" s="193"/>
      <c r="AD728" s="193"/>
      <c r="AE728" s="193"/>
      <c r="AF728" s="193"/>
    </row>
    <row r="729" spans="21:32" x14ac:dyDescent="0.3">
      <c r="U729" s="193"/>
      <c r="V729" s="193"/>
      <c r="W729" s="193"/>
      <c r="X729" s="193"/>
      <c r="Y729" s="193"/>
      <c r="Z729" s="193"/>
      <c r="AC729" s="193"/>
      <c r="AD729" s="193"/>
      <c r="AE729" s="193"/>
      <c r="AF729" s="193"/>
    </row>
    <row r="730" spans="21:32" x14ac:dyDescent="0.3">
      <c r="U730" s="193"/>
      <c r="V730" s="193"/>
      <c r="W730" s="193"/>
      <c r="X730" s="193"/>
      <c r="Y730" s="193"/>
      <c r="Z730" s="193"/>
      <c r="AC730" s="193"/>
      <c r="AD730" s="193"/>
      <c r="AE730" s="193"/>
      <c r="AF730" s="193"/>
    </row>
    <row r="731" spans="21:32" x14ac:dyDescent="0.3">
      <c r="U731" s="193"/>
      <c r="V731" s="193"/>
      <c r="W731" s="193"/>
      <c r="X731" s="193"/>
      <c r="Y731" s="193"/>
      <c r="Z731" s="193"/>
      <c r="AC731" s="193"/>
      <c r="AD731" s="193"/>
      <c r="AE731" s="193"/>
      <c r="AF731" s="193"/>
    </row>
    <row r="732" spans="21:32" x14ac:dyDescent="0.3">
      <c r="U732" s="193"/>
      <c r="V732" s="193"/>
      <c r="W732" s="193"/>
      <c r="X732" s="193"/>
      <c r="Y732" s="193"/>
      <c r="Z732" s="193"/>
      <c r="AC732" s="193"/>
      <c r="AD732" s="193"/>
      <c r="AE732" s="193"/>
      <c r="AF732" s="193"/>
    </row>
    <row r="733" spans="21:32" x14ac:dyDescent="0.3">
      <c r="U733" s="193"/>
      <c r="V733" s="193"/>
      <c r="W733" s="193"/>
      <c r="X733" s="193"/>
      <c r="Y733" s="193"/>
      <c r="Z733" s="193"/>
      <c r="AC733" s="193"/>
      <c r="AD733" s="193"/>
      <c r="AE733" s="193"/>
      <c r="AF733" s="193"/>
    </row>
    <row r="734" spans="21:32" x14ac:dyDescent="0.3">
      <c r="U734" s="193"/>
      <c r="V734" s="193"/>
      <c r="W734" s="193"/>
      <c r="X734" s="193"/>
      <c r="Y734" s="193"/>
      <c r="Z734" s="193"/>
      <c r="AC734" s="193"/>
      <c r="AD734" s="193"/>
      <c r="AE734" s="193"/>
      <c r="AF734" s="193"/>
    </row>
    <row r="735" spans="21:32" x14ac:dyDescent="0.3">
      <c r="U735" s="193"/>
      <c r="V735" s="193"/>
      <c r="W735" s="193"/>
      <c r="X735" s="193"/>
      <c r="Y735" s="193"/>
      <c r="Z735" s="193"/>
      <c r="AC735" s="193"/>
      <c r="AD735" s="193"/>
      <c r="AE735" s="193"/>
      <c r="AF735" s="193"/>
    </row>
    <row r="736" spans="21:32" x14ac:dyDescent="0.3">
      <c r="U736" s="193"/>
      <c r="V736" s="193"/>
      <c r="W736" s="193"/>
      <c r="X736" s="193"/>
      <c r="Y736" s="193"/>
      <c r="Z736" s="193"/>
      <c r="AC736" s="193"/>
      <c r="AD736" s="193"/>
      <c r="AE736" s="193"/>
      <c r="AF736" s="193"/>
    </row>
    <row r="737" spans="21:32" x14ac:dyDescent="0.3">
      <c r="U737" s="193"/>
      <c r="V737" s="193"/>
      <c r="W737" s="193"/>
      <c r="X737" s="193"/>
      <c r="Y737" s="193"/>
      <c r="Z737" s="193"/>
      <c r="AC737" s="193"/>
      <c r="AD737" s="193"/>
      <c r="AE737" s="193"/>
      <c r="AF737" s="193"/>
    </row>
    <row r="738" spans="21:32" x14ac:dyDescent="0.3">
      <c r="U738" s="193"/>
      <c r="V738" s="193"/>
      <c r="W738" s="193"/>
      <c r="X738" s="193"/>
      <c r="Y738" s="193"/>
      <c r="Z738" s="193"/>
      <c r="AC738" s="193"/>
      <c r="AD738" s="193"/>
      <c r="AE738" s="193"/>
      <c r="AF738" s="193"/>
    </row>
    <row r="739" spans="21:32" x14ac:dyDescent="0.3">
      <c r="U739" s="193"/>
      <c r="V739" s="193"/>
      <c r="W739" s="193"/>
      <c r="X739" s="193"/>
      <c r="Y739" s="193"/>
      <c r="Z739" s="193"/>
      <c r="AC739" s="193"/>
      <c r="AD739" s="193"/>
      <c r="AE739" s="193"/>
      <c r="AF739" s="193"/>
    </row>
    <row r="740" spans="21:32" x14ac:dyDescent="0.3">
      <c r="U740" s="193"/>
      <c r="V740" s="193"/>
      <c r="W740" s="193"/>
      <c r="X740" s="193"/>
      <c r="Y740" s="193"/>
      <c r="Z740" s="193"/>
      <c r="AC740" s="193"/>
      <c r="AD740" s="193"/>
      <c r="AE740" s="193"/>
      <c r="AF740" s="193"/>
    </row>
    <row r="741" spans="21:32" x14ac:dyDescent="0.3">
      <c r="U741" s="193"/>
      <c r="V741" s="193"/>
      <c r="W741" s="193"/>
      <c r="X741" s="193"/>
      <c r="Y741" s="193"/>
      <c r="Z741" s="193"/>
      <c r="AC741" s="193"/>
      <c r="AD741" s="193"/>
      <c r="AE741" s="193"/>
      <c r="AF741" s="193"/>
    </row>
    <row r="742" spans="21:32" x14ac:dyDescent="0.3">
      <c r="U742" s="193"/>
      <c r="V742" s="193"/>
      <c r="W742" s="193"/>
      <c r="X742" s="193"/>
      <c r="Y742" s="193"/>
      <c r="Z742" s="193"/>
      <c r="AC742" s="193"/>
      <c r="AD742" s="193"/>
      <c r="AE742" s="193"/>
      <c r="AF742" s="193"/>
    </row>
    <row r="743" spans="21:32" x14ac:dyDescent="0.3">
      <c r="U743" s="193"/>
      <c r="V743" s="193"/>
      <c r="W743" s="193"/>
      <c r="X743" s="193"/>
      <c r="Y743" s="193"/>
      <c r="Z743" s="193"/>
      <c r="AC743" s="193"/>
      <c r="AD743" s="193"/>
      <c r="AE743" s="193"/>
      <c r="AF743" s="193"/>
    </row>
    <row r="744" spans="21:32" x14ac:dyDescent="0.3">
      <c r="U744" s="193"/>
      <c r="V744" s="193"/>
      <c r="W744" s="193"/>
      <c r="X744" s="193"/>
      <c r="Y744" s="193"/>
      <c r="Z744" s="193"/>
      <c r="AC744" s="193"/>
      <c r="AD744" s="193"/>
      <c r="AE744" s="193"/>
      <c r="AF744" s="193"/>
    </row>
    <row r="745" spans="21:32" x14ac:dyDescent="0.3">
      <c r="U745" s="193"/>
      <c r="V745" s="193"/>
      <c r="W745" s="193"/>
      <c r="X745" s="193"/>
      <c r="Y745" s="193"/>
      <c r="Z745" s="193"/>
      <c r="AC745" s="193"/>
      <c r="AD745" s="193"/>
      <c r="AE745" s="193"/>
      <c r="AF745" s="193"/>
    </row>
    <row r="746" spans="21:32" x14ac:dyDescent="0.3">
      <c r="U746" s="193"/>
      <c r="V746" s="193"/>
      <c r="W746" s="193"/>
      <c r="X746" s="193"/>
      <c r="Y746" s="193"/>
      <c r="Z746" s="193"/>
      <c r="AC746" s="193"/>
      <c r="AD746" s="193"/>
      <c r="AE746" s="193"/>
      <c r="AF746" s="193"/>
    </row>
    <row r="747" spans="21:32" x14ac:dyDescent="0.3">
      <c r="U747" s="193"/>
      <c r="V747" s="193"/>
      <c r="W747" s="193"/>
      <c r="X747" s="193"/>
      <c r="Y747" s="193"/>
      <c r="Z747" s="193"/>
      <c r="AC747" s="193"/>
      <c r="AD747" s="193"/>
      <c r="AE747" s="193"/>
      <c r="AF747" s="193"/>
    </row>
    <row r="748" spans="21:32" x14ac:dyDescent="0.3">
      <c r="U748" s="193"/>
      <c r="V748" s="193"/>
      <c r="W748" s="193"/>
      <c r="X748" s="193"/>
      <c r="Y748" s="193"/>
      <c r="Z748" s="193"/>
      <c r="AC748" s="193"/>
      <c r="AD748" s="193"/>
      <c r="AE748" s="193"/>
      <c r="AF748" s="193"/>
    </row>
    <row r="749" spans="21:32" x14ac:dyDescent="0.3">
      <c r="U749" s="193"/>
      <c r="V749" s="193"/>
      <c r="W749" s="193"/>
      <c r="X749" s="193"/>
      <c r="Y749" s="193"/>
      <c r="Z749" s="193"/>
      <c r="AC749" s="193"/>
      <c r="AD749" s="193"/>
      <c r="AE749" s="193"/>
      <c r="AF749" s="193"/>
    </row>
    <row r="750" spans="21:32" x14ac:dyDescent="0.3">
      <c r="U750" s="193"/>
      <c r="V750" s="193"/>
      <c r="W750" s="193"/>
      <c r="X750" s="193"/>
      <c r="Y750" s="193"/>
      <c r="Z750" s="193"/>
      <c r="AC750" s="193"/>
      <c r="AD750" s="193"/>
      <c r="AE750" s="193"/>
      <c r="AF750" s="193"/>
    </row>
    <row r="751" spans="21:32" x14ac:dyDescent="0.3">
      <c r="U751" s="193"/>
      <c r="V751" s="193"/>
      <c r="W751" s="193"/>
      <c r="X751" s="193"/>
      <c r="Y751" s="193"/>
      <c r="Z751" s="193"/>
      <c r="AC751" s="193"/>
      <c r="AD751" s="193"/>
      <c r="AE751" s="193"/>
      <c r="AF751" s="193"/>
    </row>
    <row r="752" spans="21:32" x14ac:dyDescent="0.3">
      <c r="U752" s="193"/>
      <c r="V752" s="193"/>
      <c r="W752" s="193"/>
      <c r="X752" s="193"/>
      <c r="Y752" s="193"/>
      <c r="Z752" s="193"/>
      <c r="AC752" s="193"/>
      <c r="AD752" s="193"/>
      <c r="AE752" s="193"/>
      <c r="AF752" s="193"/>
    </row>
    <row r="753" spans="21:32" x14ac:dyDescent="0.3">
      <c r="U753" s="193"/>
      <c r="V753" s="193"/>
      <c r="W753" s="193"/>
      <c r="X753" s="193"/>
      <c r="Y753" s="193"/>
      <c r="Z753" s="193"/>
      <c r="AC753" s="193"/>
      <c r="AD753" s="193"/>
      <c r="AE753" s="193"/>
      <c r="AF753" s="193"/>
    </row>
    <row r="754" spans="21:32" x14ac:dyDescent="0.3">
      <c r="U754" s="193"/>
      <c r="V754" s="193"/>
      <c r="W754" s="193"/>
      <c r="X754" s="193"/>
      <c r="Y754" s="193"/>
      <c r="Z754" s="193"/>
      <c r="AC754" s="193"/>
      <c r="AD754" s="193"/>
      <c r="AE754" s="193"/>
      <c r="AF754" s="193"/>
    </row>
    <row r="755" spans="21:32" x14ac:dyDescent="0.3">
      <c r="U755" s="193"/>
      <c r="V755" s="193"/>
      <c r="W755" s="193"/>
      <c r="X755" s="193"/>
      <c r="Y755" s="193"/>
      <c r="Z755" s="193"/>
      <c r="AC755" s="193"/>
      <c r="AD755" s="193"/>
      <c r="AE755" s="193"/>
      <c r="AF755" s="193"/>
    </row>
    <row r="756" spans="21:32" x14ac:dyDescent="0.3">
      <c r="U756" s="193"/>
      <c r="V756" s="193"/>
      <c r="W756" s="193"/>
      <c r="X756" s="193"/>
      <c r="Y756" s="193"/>
      <c r="Z756" s="193"/>
      <c r="AC756" s="193"/>
      <c r="AD756" s="193"/>
      <c r="AE756" s="193"/>
      <c r="AF756" s="193"/>
    </row>
    <row r="757" spans="21:32" x14ac:dyDescent="0.3">
      <c r="U757" s="193"/>
      <c r="V757" s="193"/>
      <c r="W757" s="193"/>
      <c r="X757" s="193"/>
      <c r="Y757" s="193"/>
      <c r="Z757" s="193"/>
      <c r="AC757" s="193"/>
      <c r="AD757" s="193"/>
      <c r="AE757" s="193"/>
      <c r="AF757" s="193"/>
    </row>
    <row r="758" spans="21:32" x14ac:dyDescent="0.3">
      <c r="U758" s="193"/>
      <c r="V758" s="193"/>
      <c r="W758" s="193"/>
      <c r="X758" s="193"/>
      <c r="Y758" s="193"/>
      <c r="Z758" s="193"/>
      <c r="AC758" s="193"/>
      <c r="AD758" s="193"/>
      <c r="AE758" s="193"/>
      <c r="AF758" s="193"/>
    </row>
    <row r="759" spans="21:32" x14ac:dyDescent="0.3">
      <c r="U759" s="193"/>
      <c r="V759" s="193"/>
      <c r="W759" s="193"/>
      <c r="X759" s="193"/>
      <c r="Y759" s="193"/>
      <c r="Z759" s="193"/>
      <c r="AC759" s="193"/>
      <c r="AD759" s="193"/>
      <c r="AE759" s="193"/>
      <c r="AF759" s="193"/>
    </row>
    <row r="760" spans="21:32" x14ac:dyDescent="0.3">
      <c r="U760" s="193"/>
      <c r="V760" s="193"/>
      <c r="W760" s="193"/>
      <c r="X760" s="193"/>
      <c r="Y760" s="193"/>
      <c r="Z760" s="193"/>
      <c r="AC760" s="193"/>
      <c r="AD760" s="193"/>
      <c r="AE760" s="193"/>
      <c r="AF760" s="193"/>
    </row>
    <row r="761" spans="21:32" x14ac:dyDescent="0.3">
      <c r="U761" s="193"/>
      <c r="V761" s="193"/>
      <c r="W761" s="193"/>
      <c r="X761" s="193"/>
      <c r="Y761" s="193"/>
      <c r="Z761" s="193"/>
      <c r="AC761" s="193"/>
      <c r="AD761" s="193"/>
      <c r="AE761" s="193"/>
      <c r="AF761" s="193"/>
    </row>
    <row r="762" spans="21:32" x14ac:dyDescent="0.3">
      <c r="U762" s="193"/>
      <c r="V762" s="193"/>
      <c r="W762" s="193"/>
      <c r="X762" s="193"/>
      <c r="Y762" s="193"/>
      <c r="Z762" s="193"/>
      <c r="AC762" s="193"/>
      <c r="AD762" s="193"/>
      <c r="AE762" s="193"/>
      <c r="AF762" s="193"/>
    </row>
    <row r="763" spans="21:32" x14ac:dyDescent="0.3">
      <c r="U763" s="193"/>
      <c r="V763" s="193"/>
      <c r="W763" s="193"/>
      <c r="X763" s="193"/>
      <c r="Y763" s="193"/>
      <c r="Z763" s="193"/>
      <c r="AC763" s="193"/>
      <c r="AD763" s="193"/>
      <c r="AE763" s="193"/>
      <c r="AF763" s="193"/>
    </row>
    <row r="764" spans="21:32" x14ac:dyDescent="0.3">
      <c r="U764" s="193"/>
      <c r="V764" s="193"/>
      <c r="W764" s="193"/>
      <c r="X764" s="193"/>
      <c r="Y764" s="193"/>
      <c r="Z764" s="193"/>
      <c r="AC764" s="193"/>
      <c r="AD764" s="193"/>
      <c r="AE764" s="193"/>
      <c r="AF764" s="193"/>
    </row>
    <row r="765" spans="21:32" x14ac:dyDescent="0.3">
      <c r="U765" s="193"/>
      <c r="V765" s="193"/>
      <c r="W765" s="193"/>
      <c r="X765" s="193"/>
      <c r="Y765" s="193"/>
      <c r="Z765" s="193"/>
      <c r="AC765" s="193"/>
      <c r="AD765" s="193"/>
      <c r="AE765" s="193"/>
      <c r="AF765" s="193"/>
    </row>
    <row r="766" spans="21:32" x14ac:dyDescent="0.3">
      <c r="U766" s="193"/>
      <c r="V766" s="193"/>
      <c r="W766" s="193"/>
      <c r="X766" s="193"/>
      <c r="Y766" s="193"/>
      <c r="Z766" s="193"/>
      <c r="AC766" s="193"/>
      <c r="AD766" s="193"/>
      <c r="AE766" s="193"/>
      <c r="AF766" s="193"/>
    </row>
    <row r="767" spans="21:32" x14ac:dyDescent="0.3">
      <c r="U767" s="193"/>
      <c r="V767" s="193"/>
      <c r="W767" s="193"/>
      <c r="X767" s="193"/>
      <c r="Y767" s="193"/>
      <c r="Z767" s="193"/>
      <c r="AC767" s="193"/>
      <c r="AD767" s="193"/>
      <c r="AE767" s="193"/>
      <c r="AF767" s="193"/>
    </row>
    <row r="768" spans="21:32" x14ac:dyDescent="0.3">
      <c r="U768" s="193"/>
      <c r="V768" s="193"/>
      <c r="W768" s="193"/>
      <c r="X768" s="193"/>
      <c r="Y768" s="193"/>
      <c r="Z768" s="193"/>
      <c r="AC768" s="193"/>
      <c r="AD768" s="193"/>
      <c r="AE768" s="193"/>
      <c r="AF768" s="193"/>
    </row>
    <row r="769" spans="21:32" x14ac:dyDescent="0.3">
      <c r="U769" s="193"/>
      <c r="V769" s="193"/>
      <c r="W769" s="193"/>
      <c r="X769" s="193"/>
      <c r="Y769" s="193"/>
      <c r="Z769" s="193"/>
      <c r="AC769" s="193"/>
      <c r="AD769" s="193"/>
      <c r="AE769" s="193"/>
      <c r="AF769" s="193"/>
    </row>
    <row r="770" spans="21:32" x14ac:dyDescent="0.3">
      <c r="U770" s="193"/>
      <c r="V770" s="193"/>
      <c r="W770" s="193"/>
      <c r="X770" s="193"/>
      <c r="Y770" s="193"/>
      <c r="Z770" s="193"/>
      <c r="AC770" s="193"/>
      <c r="AD770" s="193"/>
      <c r="AE770" s="193"/>
      <c r="AF770" s="193"/>
    </row>
    <row r="771" spans="21:32" x14ac:dyDescent="0.3">
      <c r="U771" s="193"/>
      <c r="V771" s="193"/>
      <c r="W771" s="193"/>
      <c r="X771" s="193"/>
      <c r="Y771" s="193"/>
      <c r="Z771" s="193"/>
      <c r="AC771" s="193"/>
      <c r="AD771" s="193"/>
      <c r="AE771" s="193"/>
      <c r="AF771" s="193"/>
    </row>
    <row r="772" spans="21:32" x14ac:dyDescent="0.3">
      <c r="U772" s="193"/>
      <c r="V772" s="193"/>
      <c r="W772" s="193"/>
      <c r="X772" s="193"/>
      <c r="Y772" s="193"/>
      <c r="Z772" s="193"/>
      <c r="AC772" s="193"/>
      <c r="AD772" s="193"/>
      <c r="AE772" s="193"/>
      <c r="AF772" s="193"/>
    </row>
    <row r="773" spans="21:32" x14ac:dyDescent="0.3">
      <c r="U773" s="193"/>
      <c r="V773" s="193"/>
      <c r="W773" s="193"/>
      <c r="X773" s="193"/>
      <c r="Y773" s="193"/>
      <c r="Z773" s="193"/>
      <c r="AC773" s="193"/>
      <c r="AD773" s="193"/>
      <c r="AE773" s="193"/>
      <c r="AF773" s="193"/>
    </row>
    <row r="774" spans="21:32" x14ac:dyDescent="0.3">
      <c r="U774" s="193"/>
      <c r="V774" s="193"/>
      <c r="W774" s="193"/>
      <c r="X774" s="193"/>
      <c r="Y774" s="193"/>
      <c r="Z774" s="193"/>
      <c r="AC774" s="193"/>
      <c r="AD774" s="193"/>
      <c r="AE774" s="193"/>
      <c r="AF774" s="193"/>
    </row>
    <row r="775" spans="21:32" x14ac:dyDescent="0.3">
      <c r="U775" s="193"/>
      <c r="V775" s="193"/>
      <c r="W775" s="193"/>
      <c r="X775" s="193"/>
      <c r="Y775" s="193"/>
      <c r="Z775" s="193"/>
      <c r="AC775" s="193"/>
      <c r="AD775" s="193"/>
      <c r="AE775" s="193"/>
      <c r="AF775" s="193"/>
    </row>
    <row r="776" spans="21:32" x14ac:dyDescent="0.3">
      <c r="U776" s="193"/>
      <c r="V776" s="193"/>
      <c r="W776" s="193"/>
      <c r="X776" s="193"/>
      <c r="Y776" s="193"/>
      <c r="Z776" s="193"/>
      <c r="AC776" s="193"/>
      <c r="AD776" s="193"/>
      <c r="AE776" s="193"/>
      <c r="AF776" s="193"/>
    </row>
    <row r="777" spans="21:32" x14ac:dyDescent="0.3">
      <c r="U777" s="193"/>
      <c r="V777" s="193"/>
      <c r="W777" s="193"/>
      <c r="X777" s="193"/>
      <c r="Y777" s="193"/>
      <c r="Z777" s="193"/>
      <c r="AC777" s="193"/>
      <c r="AD777" s="193"/>
      <c r="AE777" s="193"/>
      <c r="AF777" s="193"/>
    </row>
    <row r="778" spans="21:32" x14ac:dyDescent="0.3">
      <c r="U778" s="193"/>
      <c r="V778" s="193"/>
      <c r="W778" s="193"/>
      <c r="X778" s="193"/>
      <c r="Y778" s="193"/>
      <c r="Z778" s="193"/>
      <c r="AC778" s="193"/>
      <c r="AD778" s="193"/>
      <c r="AE778" s="193"/>
      <c r="AF778" s="193"/>
    </row>
    <row r="779" spans="21:32" x14ac:dyDescent="0.3">
      <c r="U779" s="193"/>
      <c r="V779" s="193"/>
      <c r="W779" s="193"/>
      <c r="X779" s="193"/>
      <c r="Y779" s="193"/>
      <c r="Z779" s="193"/>
      <c r="AC779" s="193"/>
      <c r="AD779" s="193"/>
      <c r="AE779" s="193"/>
      <c r="AF779" s="193"/>
    </row>
    <row r="780" spans="21:32" x14ac:dyDescent="0.3">
      <c r="U780" s="193"/>
      <c r="V780" s="193"/>
      <c r="W780" s="193"/>
      <c r="X780" s="193"/>
      <c r="Y780" s="193"/>
      <c r="Z780" s="193"/>
      <c r="AC780" s="193"/>
      <c r="AD780" s="193"/>
      <c r="AE780" s="193"/>
      <c r="AF780" s="193"/>
    </row>
    <row r="781" spans="21:32" x14ac:dyDescent="0.3">
      <c r="U781" s="193"/>
      <c r="V781" s="193"/>
      <c r="W781" s="193"/>
      <c r="X781" s="193"/>
      <c r="Y781" s="193"/>
      <c r="Z781" s="193"/>
      <c r="AC781" s="193"/>
      <c r="AD781" s="193"/>
      <c r="AE781" s="193"/>
      <c r="AF781" s="193"/>
    </row>
    <row r="782" spans="21:32" x14ac:dyDescent="0.3">
      <c r="U782" s="193"/>
      <c r="V782" s="193"/>
      <c r="W782" s="193"/>
      <c r="X782" s="193"/>
      <c r="Y782" s="193"/>
      <c r="Z782" s="193"/>
      <c r="AC782" s="193"/>
      <c r="AD782" s="193"/>
      <c r="AE782" s="193"/>
      <c r="AF782" s="193"/>
    </row>
    <row r="783" spans="21:32" x14ac:dyDescent="0.3">
      <c r="U783" s="193"/>
      <c r="V783" s="193"/>
      <c r="W783" s="193"/>
      <c r="X783" s="193"/>
      <c r="Y783" s="193"/>
      <c r="Z783" s="193"/>
      <c r="AC783" s="193"/>
      <c r="AD783" s="193"/>
      <c r="AE783" s="193"/>
      <c r="AF783" s="193"/>
    </row>
    <row r="784" spans="21:32" x14ac:dyDescent="0.3">
      <c r="U784" s="193"/>
      <c r="V784" s="193"/>
      <c r="W784" s="193"/>
      <c r="X784" s="193"/>
      <c r="Y784" s="193"/>
      <c r="Z784" s="193"/>
      <c r="AC784" s="193"/>
      <c r="AD784" s="193"/>
      <c r="AE784" s="193"/>
      <c r="AF784" s="193"/>
    </row>
    <row r="785" spans="21:32" x14ac:dyDescent="0.3">
      <c r="U785" s="193"/>
      <c r="V785" s="193"/>
      <c r="W785" s="193"/>
      <c r="X785" s="193"/>
      <c r="Y785" s="193"/>
      <c r="Z785" s="193"/>
      <c r="AC785" s="193"/>
      <c r="AD785" s="193"/>
      <c r="AE785" s="193"/>
      <c r="AF785" s="193"/>
    </row>
    <row r="786" spans="21:32" x14ac:dyDescent="0.3">
      <c r="U786" s="193"/>
      <c r="V786" s="193"/>
      <c r="W786" s="193"/>
      <c r="X786" s="193"/>
      <c r="Y786" s="193"/>
      <c r="Z786" s="193"/>
      <c r="AC786" s="193"/>
      <c r="AD786" s="193"/>
      <c r="AE786" s="193"/>
      <c r="AF786" s="193"/>
    </row>
    <row r="787" spans="21:32" x14ac:dyDescent="0.3">
      <c r="U787" s="193"/>
      <c r="V787" s="193"/>
      <c r="W787" s="193"/>
      <c r="X787" s="193"/>
      <c r="Y787" s="193"/>
      <c r="Z787" s="193"/>
      <c r="AC787" s="193"/>
      <c r="AD787" s="193"/>
      <c r="AE787" s="193"/>
      <c r="AF787" s="193"/>
    </row>
    <row r="788" spans="21:32" x14ac:dyDescent="0.3">
      <c r="U788" s="193"/>
      <c r="V788" s="193"/>
      <c r="W788" s="193"/>
      <c r="X788" s="193"/>
      <c r="Y788" s="193"/>
      <c r="Z788" s="193"/>
      <c r="AC788" s="193"/>
      <c r="AD788" s="193"/>
      <c r="AE788" s="193"/>
      <c r="AF788" s="193"/>
    </row>
    <row r="789" spans="21:32" x14ac:dyDescent="0.3">
      <c r="U789" s="193"/>
      <c r="V789" s="193"/>
      <c r="W789" s="193"/>
      <c r="X789" s="193"/>
      <c r="Y789" s="193"/>
      <c r="Z789" s="193"/>
      <c r="AC789" s="193"/>
      <c r="AD789" s="193"/>
      <c r="AE789" s="193"/>
      <c r="AF789" s="193"/>
    </row>
    <row r="790" spans="21:32" x14ac:dyDescent="0.3">
      <c r="U790" s="193"/>
      <c r="V790" s="193"/>
      <c r="W790" s="193"/>
      <c r="X790" s="193"/>
      <c r="Y790" s="193"/>
      <c r="Z790" s="193"/>
      <c r="AC790" s="193"/>
      <c r="AD790" s="193"/>
      <c r="AE790" s="193"/>
      <c r="AF790" s="193"/>
    </row>
    <row r="791" spans="21:32" x14ac:dyDescent="0.3">
      <c r="U791" s="193"/>
      <c r="V791" s="193"/>
      <c r="W791" s="193"/>
      <c r="X791" s="193"/>
      <c r="Y791" s="193"/>
      <c r="Z791" s="193"/>
      <c r="AC791" s="193"/>
      <c r="AD791" s="193"/>
      <c r="AE791" s="193"/>
      <c r="AF791" s="193"/>
    </row>
    <row r="792" spans="21:32" x14ac:dyDescent="0.3">
      <c r="U792" s="193"/>
      <c r="V792" s="193"/>
      <c r="W792" s="193"/>
      <c r="X792" s="193"/>
      <c r="Y792" s="193"/>
      <c r="Z792" s="193"/>
      <c r="AC792" s="193"/>
      <c r="AD792" s="193"/>
      <c r="AE792" s="193"/>
      <c r="AF792" s="193"/>
    </row>
    <row r="793" spans="21:32" x14ac:dyDescent="0.3">
      <c r="U793" s="193"/>
      <c r="V793" s="193"/>
      <c r="W793" s="193"/>
      <c r="X793" s="193"/>
      <c r="Y793" s="193"/>
      <c r="Z793" s="193"/>
      <c r="AC793" s="193"/>
      <c r="AD793" s="193"/>
      <c r="AE793" s="193"/>
      <c r="AF793" s="193"/>
    </row>
    <row r="794" spans="21:32" x14ac:dyDescent="0.3">
      <c r="U794" s="193"/>
      <c r="V794" s="193"/>
      <c r="W794" s="193"/>
      <c r="X794" s="193"/>
      <c r="Y794" s="193"/>
      <c r="Z794" s="193"/>
      <c r="AC794" s="193"/>
      <c r="AD794" s="193"/>
      <c r="AE794" s="193"/>
      <c r="AF794" s="193"/>
    </row>
    <row r="795" spans="21:32" x14ac:dyDescent="0.3">
      <c r="U795" s="193"/>
      <c r="V795" s="193"/>
      <c r="W795" s="193"/>
      <c r="X795" s="193"/>
      <c r="Y795" s="193"/>
      <c r="Z795" s="193"/>
      <c r="AC795" s="193"/>
      <c r="AD795" s="193"/>
      <c r="AE795" s="193"/>
      <c r="AF795" s="193"/>
    </row>
    <row r="796" spans="21:32" x14ac:dyDescent="0.3">
      <c r="U796" s="193"/>
      <c r="V796" s="193"/>
      <c r="W796" s="193"/>
      <c r="X796" s="193"/>
      <c r="Y796" s="193"/>
      <c r="Z796" s="193"/>
      <c r="AC796" s="193"/>
      <c r="AD796" s="193"/>
      <c r="AE796" s="193"/>
      <c r="AF796" s="193"/>
    </row>
    <row r="797" spans="21:32" x14ac:dyDescent="0.3">
      <c r="U797" s="193"/>
      <c r="V797" s="193"/>
      <c r="W797" s="193"/>
      <c r="X797" s="193"/>
      <c r="Y797" s="193"/>
      <c r="Z797" s="193"/>
      <c r="AC797" s="193"/>
      <c r="AD797" s="193"/>
      <c r="AE797" s="193"/>
      <c r="AF797" s="193"/>
    </row>
    <row r="798" spans="21:32" x14ac:dyDescent="0.3">
      <c r="U798" s="193"/>
      <c r="V798" s="193"/>
      <c r="W798" s="193"/>
      <c r="X798" s="193"/>
      <c r="Y798" s="193"/>
      <c r="Z798" s="193"/>
      <c r="AC798" s="193"/>
      <c r="AD798" s="193"/>
      <c r="AE798" s="193"/>
      <c r="AF798" s="193"/>
    </row>
    <row r="799" spans="21:32" x14ac:dyDescent="0.3">
      <c r="U799" s="193"/>
      <c r="V799" s="193"/>
      <c r="W799" s="193"/>
      <c r="X799" s="193"/>
      <c r="Y799" s="193"/>
      <c r="Z799" s="193"/>
      <c r="AC799" s="193"/>
      <c r="AD799" s="193"/>
      <c r="AE799" s="193"/>
      <c r="AF799" s="193"/>
    </row>
    <row r="800" spans="21:32" x14ac:dyDescent="0.3">
      <c r="U800" s="193"/>
      <c r="V800" s="193"/>
      <c r="W800" s="193"/>
      <c r="X800" s="193"/>
      <c r="Y800" s="193"/>
      <c r="Z800" s="193"/>
      <c r="AC800" s="193"/>
      <c r="AD800" s="193"/>
      <c r="AE800" s="193"/>
      <c r="AF800" s="193"/>
    </row>
    <row r="801" spans="21:32" x14ac:dyDescent="0.3">
      <c r="U801" s="193"/>
      <c r="V801" s="193"/>
      <c r="W801" s="193"/>
      <c r="X801" s="193"/>
      <c r="Y801" s="193"/>
      <c r="Z801" s="193"/>
      <c r="AC801" s="193"/>
      <c r="AD801" s="193"/>
      <c r="AE801" s="193"/>
      <c r="AF801" s="193"/>
    </row>
    <row r="802" spans="21:32" x14ac:dyDescent="0.3">
      <c r="U802" s="193"/>
      <c r="V802" s="193"/>
      <c r="W802" s="193"/>
      <c r="X802" s="193"/>
      <c r="Y802" s="193"/>
      <c r="Z802" s="193"/>
      <c r="AC802" s="193"/>
      <c r="AD802" s="193"/>
      <c r="AE802" s="193"/>
      <c r="AF802" s="193"/>
    </row>
    <row r="803" spans="21:32" x14ac:dyDescent="0.3">
      <c r="U803" s="193"/>
      <c r="V803" s="193"/>
      <c r="W803" s="193"/>
      <c r="X803" s="193"/>
      <c r="Y803" s="193"/>
      <c r="Z803" s="193"/>
      <c r="AC803" s="193"/>
      <c r="AD803" s="193"/>
      <c r="AE803" s="193"/>
      <c r="AF803" s="193"/>
    </row>
    <row r="804" spans="21:32" x14ac:dyDescent="0.3">
      <c r="U804" s="193"/>
      <c r="V804" s="193"/>
      <c r="W804" s="193"/>
      <c r="X804" s="193"/>
      <c r="Y804" s="193"/>
      <c r="Z804" s="193"/>
      <c r="AC804" s="193"/>
      <c r="AD804" s="193"/>
      <c r="AE804" s="193"/>
      <c r="AF804" s="193"/>
    </row>
    <row r="805" spans="21:32" x14ac:dyDescent="0.3">
      <c r="U805" s="193"/>
      <c r="V805" s="193"/>
      <c r="W805" s="193"/>
      <c r="X805" s="193"/>
      <c r="Y805" s="193"/>
      <c r="Z805" s="193"/>
      <c r="AC805" s="193"/>
      <c r="AD805" s="193"/>
      <c r="AE805" s="193"/>
      <c r="AF805" s="193"/>
    </row>
    <row r="806" spans="21:32" x14ac:dyDescent="0.3">
      <c r="U806" s="193"/>
      <c r="V806" s="193"/>
      <c r="W806" s="193"/>
      <c r="X806" s="193"/>
      <c r="Y806" s="193"/>
      <c r="Z806" s="193"/>
      <c r="AC806" s="193"/>
      <c r="AD806" s="193"/>
      <c r="AE806" s="193"/>
      <c r="AF806" s="193"/>
    </row>
    <row r="807" spans="21:32" x14ac:dyDescent="0.3">
      <c r="U807" s="193"/>
      <c r="V807" s="193"/>
      <c r="W807" s="193"/>
      <c r="X807" s="193"/>
      <c r="Y807" s="193"/>
      <c r="Z807" s="193"/>
      <c r="AC807" s="193"/>
      <c r="AD807" s="193"/>
      <c r="AE807" s="193"/>
      <c r="AF807" s="193"/>
    </row>
    <row r="808" spans="21:32" x14ac:dyDescent="0.3">
      <c r="U808" s="193"/>
      <c r="V808" s="193"/>
      <c r="W808" s="193"/>
      <c r="X808" s="193"/>
      <c r="Y808" s="193"/>
      <c r="Z808" s="193"/>
      <c r="AC808" s="193"/>
      <c r="AD808" s="193"/>
      <c r="AE808" s="193"/>
      <c r="AF808" s="193"/>
    </row>
    <row r="809" spans="21:32" x14ac:dyDescent="0.3">
      <c r="U809" s="193"/>
      <c r="V809" s="193"/>
      <c r="W809" s="193"/>
      <c r="X809" s="193"/>
      <c r="Y809" s="193"/>
      <c r="Z809" s="193"/>
      <c r="AC809" s="193"/>
      <c r="AD809" s="193"/>
      <c r="AE809" s="193"/>
      <c r="AF809" s="193"/>
    </row>
    <row r="810" spans="21:32" x14ac:dyDescent="0.3">
      <c r="U810" s="193"/>
      <c r="V810" s="193"/>
      <c r="W810" s="193"/>
      <c r="X810" s="193"/>
      <c r="Y810" s="193"/>
      <c r="Z810" s="193"/>
      <c r="AC810" s="193"/>
      <c r="AD810" s="193"/>
      <c r="AE810" s="193"/>
      <c r="AF810" s="193"/>
    </row>
    <row r="811" spans="21:32" x14ac:dyDescent="0.3">
      <c r="U811" s="193"/>
      <c r="V811" s="193"/>
      <c r="W811" s="193"/>
      <c r="X811" s="193"/>
      <c r="Y811" s="193"/>
      <c r="Z811" s="193"/>
      <c r="AC811" s="193"/>
      <c r="AD811" s="193"/>
      <c r="AE811" s="193"/>
      <c r="AF811" s="193"/>
    </row>
    <row r="812" spans="21:32" x14ac:dyDescent="0.3">
      <c r="U812" s="193"/>
      <c r="V812" s="193"/>
      <c r="W812" s="193"/>
      <c r="X812" s="193"/>
      <c r="Y812" s="193"/>
      <c r="Z812" s="193"/>
      <c r="AC812" s="193"/>
      <c r="AD812" s="193"/>
      <c r="AE812" s="193"/>
      <c r="AF812" s="193"/>
    </row>
    <row r="813" spans="21:32" x14ac:dyDescent="0.3">
      <c r="U813" s="193"/>
      <c r="V813" s="193"/>
      <c r="W813" s="193"/>
      <c r="X813" s="193"/>
      <c r="Y813" s="193"/>
      <c r="Z813" s="193"/>
      <c r="AC813" s="193"/>
      <c r="AD813" s="193"/>
      <c r="AE813" s="193"/>
      <c r="AF813" s="193"/>
    </row>
    <row r="814" spans="21:32" x14ac:dyDescent="0.3">
      <c r="U814" s="193"/>
      <c r="V814" s="193"/>
      <c r="W814" s="193"/>
      <c r="X814" s="193"/>
      <c r="Y814" s="193"/>
      <c r="Z814" s="193"/>
      <c r="AC814" s="193"/>
      <c r="AD814" s="193"/>
      <c r="AE814" s="193"/>
      <c r="AF814" s="193"/>
    </row>
    <row r="815" spans="21:32" x14ac:dyDescent="0.3">
      <c r="U815" s="193"/>
      <c r="V815" s="193"/>
      <c r="W815" s="193"/>
      <c r="X815" s="193"/>
      <c r="Y815" s="193"/>
      <c r="Z815" s="193"/>
      <c r="AC815" s="193"/>
      <c r="AD815" s="193"/>
      <c r="AE815" s="193"/>
      <c r="AF815" s="193"/>
    </row>
    <row r="816" spans="21:32" x14ac:dyDescent="0.3">
      <c r="U816" s="193"/>
      <c r="V816" s="193"/>
      <c r="W816" s="193"/>
      <c r="X816" s="193"/>
      <c r="Y816" s="193"/>
      <c r="Z816" s="193"/>
      <c r="AC816" s="193"/>
      <c r="AD816" s="193"/>
      <c r="AE816" s="193"/>
      <c r="AF816" s="193"/>
    </row>
    <row r="817" spans="21:32" x14ac:dyDescent="0.3">
      <c r="U817" s="193"/>
      <c r="V817" s="193"/>
      <c r="W817" s="193"/>
      <c r="X817" s="193"/>
      <c r="Y817" s="193"/>
      <c r="Z817" s="193"/>
      <c r="AC817" s="193"/>
      <c r="AD817" s="193"/>
      <c r="AE817" s="193"/>
      <c r="AF817" s="193"/>
    </row>
    <row r="818" spans="21:32" x14ac:dyDescent="0.3">
      <c r="U818" s="193"/>
      <c r="V818" s="193"/>
      <c r="W818" s="193"/>
      <c r="X818" s="193"/>
      <c r="Y818" s="193"/>
      <c r="Z818" s="193"/>
      <c r="AC818" s="193"/>
      <c r="AD818" s="193"/>
      <c r="AE818" s="193"/>
      <c r="AF818" s="193"/>
    </row>
    <row r="819" spans="21:32" x14ac:dyDescent="0.3">
      <c r="U819" s="193"/>
      <c r="V819" s="193"/>
      <c r="W819" s="193"/>
      <c r="X819" s="193"/>
      <c r="Y819" s="193"/>
      <c r="Z819" s="193"/>
      <c r="AC819" s="193"/>
      <c r="AD819" s="193"/>
      <c r="AE819" s="193"/>
      <c r="AF819" s="193"/>
    </row>
    <row r="820" spans="21:32" x14ac:dyDescent="0.3">
      <c r="U820" s="193"/>
      <c r="V820" s="193"/>
      <c r="W820" s="193"/>
      <c r="X820" s="193"/>
      <c r="Y820" s="193"/>
      <c r="Z820" s="193"/>
      <c r="AC820" s="193"/>
      <c r="AD820" s="193"/>
      <c r="AE820" s="193"/>
      <c r="AF820" s="193"/>
    </row>
    <row r="821" spans="21:32" x14ac:dyDescent="0.3">
      <c r="U821" s="193"/>
      <c r="V821" s="193"/>
      <c r="W821" s="193"/>
      <c r="X821" s="193"/>
      <c r="Y821" s="193"/>
      <c r="Z821" s="193"/>
      <c r="AC821" s="193"/>
      <c r="AD821" s="193"/>
      <c r="AE821" s="193"/>
      <c r="AF821" s="193"/>
    </row>
    <row r="822" spans="21:32" x14ac:dyDescent="0.3">
      <c r="U822" s="193"/>
      <c r="V822" s="193"/>
      <c r="W822" s="193"/>
      <c r="X822" s="193"/>
      <c r="Y822" s="193"/>
      <c r="Z822" s="193"/>
      <c r="AC822" s="193"/>
      <c r="AD822" s="193"/>
      <c r="AE822" s="193"/>
      <c r="AF822" s="193"/>
    </row>
    <row r="823" spans="21:32" x14ac:dyDescent="0.3">
      <c r="U823" s="193"/>
      <c r="V823" s="193"/>
      <c r="W823" s="193"/>
      <c r="X823" s="193"/>
      <c r="Y823" s="193"/>
      <c r="Z823" s="193"/>
      <c r="AC823" s="193"/>
      <c r="AD823" s="193"/>
      <c r="AE823" s="193"/>
      <c r="AF823" s="193"/>
    </row>
    <row r="824" spans="21:32" x14ac:dyDescent="0.3">
      <c r="U824" s="193"/>
      <c r="V824" s="193"/>
      <c r="W824" s="193"/>
      <c r="X824" s="193"/>
      <c r="Y824" s="193"/>
      <c r="Z824" s="193"/>
      <c r="AC824" s="193"/>
      <c r="AD824" s="193"/>
      <c r="AE824" s="193"/>
      <c r="AF824" s="193"/>
    </row>
    <row r="825" spans="21:32" x14ac:dyDescent="0.3">
      <c r="U825" s="193"/>
      <c r="V825" s="193"/>
      <c r="W825" s="193"/>
      <c r="X825" s="193"/>
      <c r="Y825" s="193"/>
      <c r="Z825" s="193"/>
      <c r="AC825" s="193"/>
      <c r="AD825" s="193"/>
      <c r="AE825" s="193"/>
      <c r="AF825" s="193"/>
    </row>
    <row r="826" spans="21:32" x14ac:dyDescent="0.3">
      <c r="U826" s="193"/>
      <c r="V826" s="193"/>
      <c r="W826" s="193"/>
      <c r="X826" s="193"/>
      <c r="Y826" s="193"/>
      <c r="Z826" s="193"/>
      <c r="AC826" s="193"/>
      <c r="AD826" s="193"/>
      <c r="AE826" s="193"/>
      <c r="AF826" s="193"/>
    </row>
    <row r="827" spans="21:32" x14ac:dyDescent="0.3">
      <c r="U827" s="193"/>
      <c r="V827" s="193"/>
      <c r="W827" s="193"/>
      <c r="X827" s="193"/>
      <c r="Y827" s="193"/>
      <c r="Z827" s="193"/>
      <c r="AC827" s="193"/>
      <c r="AD827" s="193"/>
      <c r="AE827" s="193"/>
      <c r="AF827" s="193"/>
    </row>
    <row r="828" spans="21:32" x14ac:dyDescent="0.3">
      <c r="U828" s="193"/>
      <c r="V828" s="193"/>
      <c r="W828" s="193"/>
      <c r="X828" s="193"/>
      <c r="Y828" s="193"/>
      <c r="Z828" s="193"/>
      <c r="AC828" s="193"/>
      <c r="AD828" s="193"/>
      <c r="AE828" s="193"/>
      <c r="AF828" s="193"/>
    </row>
    <row r="829" spans="21:32" x14ac:dyDescent="0.3">
      <c r="U829" s="193"/>
      <c r="V829" s="193"/>
      <c r="W829" s="193"/>
      <c r="X829" s="193"/>
      <c r="Y829" s="193"/>
      <c r="Z829" s="193"/>
      <c r="AC829" s="193"/>
      <c r="AD829" s="193"/>
      <c r="AE829" s="193"/>
      <c r="AF829" s="193"/>
    </row>
    <row r="830" spans="21:32" x14ac:dyDescent="0.3">
      <c r="U830" s="193"/>
      <c r="V830" s="193"/>
      <c r="W830" s="193"/>
      <c r="X830" s="193"/>
      <c r="Y830" s="193"/>
      <c r="Z830" s="193"/>
      <c r="AC830" s="193"/>
      <c r="AD830" s="193"/>
      <c r="AE830" s="193"/>
      <c r="AF830" s="193"/>
    </row>
    <row r="831" spans="21:32" x14ac:dyDescent="0.3">
      <c r="U831" s="193"/>
      <c r="V831" s="193"/>
      <c r="W831" s="193"/>
      <c r="X831" s="193"/>
      <c r="Y831" s="193"/>
      <c r="Z831" s="193"/>
      <c r="AC831" s="193"/>
      <c r="AD831" s="193"/>
      <c r="AE831" s="193"/>
      <c r="AF831" s="193"/>
    </row>
    <row r="832" spans="21:32" x14ac:dyDescent="0.3">
      <c r="U832" s="193"/>
      <c r="V832" s="193"/>
      <c r="W832" s="193"/>
      <c r="X832" s="193"/>
      <c r="Y832" s="193"/>
      <c r="Z832" s="193"/>
      <c r="AC832" s="193"/>
      <c r="AD832" s="193"/>
      <c r="AE832" s="193"/>
      <c r="AF832" s="193"/>
    </row>
    <row r="833" spans="21:32" x14ac:dyDescent="0.3">
      <c r="U833" s="193"/>
      <c r="V833" s="193"/>
      <c r="W833" s="193"/>
      <c r="X833" s="193"/>
      <c r="Y833" s="193"/>
      <c r="Z833" s="193"/>
      <c r="AC833" s="193"/>
      <c r="AD833" s="193"/>
      <c r="AE833" s="193"/>
      <c r="AF833" s="193"/>
    </row>
    <row r="834" spans="21:32" x14ac:dyDescent="0.3">
      <c r="U834" s="193"/>
      <c r="V834" s="193"/>
      <c r="W834" s="193"/>
      <c r="X834" s="193"/>
      <c r="Y834" s="193"/>
      <c r="Z834" s="193"/>
      <c r="AC834" s="193"/>
      <c r="AD834" s="193"/>
      <c r="AE834" s="193"/>
      <c r="AF834" s="193"/>
    </row>
    <row r="835" spans="21:32" x14ac:dyDescent="0.3">
      <c r="U835" s="193"/>
      <c r="V835" s="193"/>
      <c r="W835" s="193"/>
      <c r="X835" s="193"/>
      <c r="Y835" s="193"/>
      <c r="Z835" s="193"/>
      <c r="AC835" s="193"/>
      <c r="AD835" s="193"/>
      <c r="AE835" s="193"/>
      <c r="AF835" s="193"/>
    </row>
    <row r="836" spans="21:32" x14ac:dyDescent="0.3">
      <c r="U836" s="193"/>
      <c r="V836" s="193"/>
      <c r="W836" s="193"/>
      <c r="X836" s="193"/>
      <c r="Y836" s="193"/>
      <c r="Z836" s="193"/>
      <c r="AC836" s="193"/>
      <c r="AD836" s="193"/>
      <c r="AE836" s="193"/>
      <c r="AF836" s="193"/>
    </row>
    <row r="837" spans="21:32" x14ac:dyDescent="0.3">
      <c r="U837" s="193"/>
      <c r="V837" s="193"/>
      <c r="W837" s="193"/>
      <c r="X837" s="193"/>
      <c r="Y837" s="193"/>
      <c r="Z837" s="193"/>
      <c r="AC837" s="193"/>
      <c r="AD837" s="193"/>
      <c r="AE837" s="193"/>
      <c r="AF837" s="193"/>
    </row>
    <row r="838" spans="21:32" x14ac:dyDescent="0.3">
      <c r="U838" s="193"/>
      <c r="V838" s="193"/>
      <c r="W838" s="193"/>
      <c r="X838" s="193"/>
      <c r="Y838" s="193"/>
      <c r="Z838" s="193"/>
      <c r="AC838" s="193"/>
      <c r="AD838" s="193"/>
      <c r="AE838" s="193"/>
      <c r="AF838" s="193"/>
    </row>
    <row r="839" spans="21:32" x14ac:dyDescent="0.3">
      <c r="U839" s="193"/>
      <c r="V839" s="193"/>
      <c r="W839" s="193"/>
      <c r="X839" s="193"/>
      <c r="Y839" s="193"/>
      <c r="Z839" s="193"/>
      <c r="AC839" s="193"/>
      <c r="AD839" s="193"/>
      <c r="AE839" s="193"/>
      <c r="AF839" s="193"/>
    </row>
    <row r="840" spans="21:32" x14ac:dyDescent="0.3">
      <c r="U840" s="193"/>
      <c r="V840" s="193"/>
      <c r="W840" s="193"/>
      <c r="X840" s="193"/>
      <c r="Y840" s="193"/>
      <c r="Z840" s="193"/>
      <c r="AC840" s="193"/>
      <c r="AD840" s="193"/>
      <c r="AE840" s="193"/>
      <c r="AF840" s="193"/>
    </row>
    <row r="841" spans="21:32" x14ac:dyDescent="0.3">
      <c r="U841" s="193"/>
      <c r="V841" s="193"/>
      <c r="W841" s="193"/>
      <c r="X841" s="193"/>
      <c r="Y841" s="193"/>
      <c r="Z841" s="193"/>
      <c r="AC841" s="193"/>
      <c r="AD841" s="193"/>
      <c r="AE841" s="193"/>
      <c r="AF841" s="193"/>
    </row>
    <row r="842" spans="21:32" x14ac:dyDescent="0.3">
      <c r="U842" s="193"/>
      <c r="V842" s="193"/>
      <c r="W842" s="193"/>
      <c r="X842" s="193"/>
      <c r="Y842" s="193"/>
      <c r="Z842" s="193"/>
      <c r="AC842" s="193"/>
      <c r="AD842" s="193"/>
      <c r="AE842" s="193"/>
      <c r="AF842" s="193"/>
    </row>
    <row r="843" spans="21:32" x14ac:dyDescent="0.3">
      <c r="U843" s="193"/>
      <c r="V843" s="193"/>
      <c r="W843" s="193"/>
      <c r="X843" s="193"/>
      <c r="Y843" s="193"/>
      <c r="Z843" s="193"/>
      <c r="AC843" s="193"/>
      <c r="AD843" s="193"/>
      <c r="AE843" s="193"/>
      <c r="AF843" s="193"/>
    </row>
    <row r="844" spans="21:32" x14ac:dyDescent="0.3">
      <c r="U844" s="193"/>
      <c r="V844" s="193"/>
      <c r="W844" s="193"/>
      <c r="X844" s="193"/>
      <c r="Y844" s="193"/>
      <c r="Z844" s="193"/>
      <c r="AC844" s="193"/>
      <c r="AD844" s="193"/>
      <c r="AE844" s="193"/>
      <c r="AF844" s="193"/>
    </row>
    <row r="845" spans="21:32" x14ac:dyDescent="0.3">
      <c r="U845" s="193"/>
      <c r="V845" s="193"/>
      <c r="W845" s="193"/>
      <c r="X845" s="193"/>
      <c r="Y845" s="193"/>
      <c r="Z845" s="193"/>
      <c r="AC845" s="193"/>
      <c r="AD845" s="193"/>
      <c r="AE845" s="193"/>
      <c r="AF845" s="193"/>
    </row>
    <row r="846" spans="21:32" x14ac:dyDescent="0.3">
      <c r="U846" s="193"/>
      <c r="V846" s="193"/>
      <c r="W846" s="193"/>
      <c r="X846" s="193"/>
      <c r="Y846" s="193"/>
      <c r="Z846" s="193"/>
      <c r="AC846" s="193"/>
      <c r="AD846" s="193"/>
      <c r="AE846" s="193"/>
      <c r="AF846" s="193"/>
    </row>
    <row r="847" spans="21:32" x14ac:dyDescent="0.3">
      <c r="U847" s="193"/>
      <c r="V847" s="193"/>
      <c r="W847" s="193"/>
      <c r="X847" s="193"/>
      <c r="Y847" s="193"/>
      <c r="Z847" s="193"/>
      <c r="AC847" s="193"/>
      <c r="AD847" s="193"/>
      <c r="AE847" s="193"/>
      <c r="AF847" s="193"/>
    </row>
    <row r="848" spans="21:32" x14ac:dyDescent="0.3">
      <c r="U848" s="193"/>
      <c r="V848" s="193"/>
      <c r="W848" s="193"/>
      <c r="X848" s="193"/>
      <c r="Y848" s="193"/>
      <c r="Z848" s="193"/>
      <c r="AC848" s="193"/>
      <c r="AD848" s="193"/>
      <c r="AE848" s="193"/>
      <c r="AF848" s="193"/>
    </row>
    <row r="849" spans="21:32" x14ac:dyDescent="0.3">
      <c r="U849" s="193"/>
      <c r="V849" s="193"/>
      <c r="W849" s="193"/>
      <c r="X849" s="193"/>
      <c r="Y849" s="193"/>
      <c r="Z849" s="193"/>
      <c r="AC849" s="193"/>
      <c r="AD849" s="193"/>
      <c r="AE849" s="193"/>
      <c r="AF849" s="193"/>
    </row>
    <row r="850" spans="21:32" x14ac:dyDescent="0.3">
      <c r="U850" s="193"/>
      <c r="V850" s="193"/>
      <c r="W850" s="193"/>
      <c r="X850" s="193"/>
      <c r="Y850" s="193"/>
      <c r="Z850" s="193"/>
      <c r="AC850" s="193"/>
      <c r="AD850" s="193"/>
      <c r="AE850" s="193"/>
      <c r="AF850" s="193"/>
    </row>
    <row r="851" spans="21:32" x14ac:dyDescent="0.3">
      <c r="U851" s="193"/>
      <c r="V851" s="193"/>
      <c r="W851" s="193"/>
      <c r="X851" s="193"/>
      <c r="Y851" s="193"/>
      <c r="Z851" s="193"/>
      <c r="AC851" s="193"/>
      <c r="AD851" s="193"/>
      <c r="AE851" s="193"/>
      <c r="AF851" s="193"/>
    </row>
    <row r="852" spans="21:32" x14ac:dyDescent="0.3">
      <c r="U852" s="193"/>
      <c r="V852" s="193"/>
      <c r="W852" s="193"/>
      <c r="X852" s="193"/>
      <c r="Y852" s="193"/>
      <c r="Z852" s="193"/>
      <c r="AC852" s="193"/>
      <c r="AD852" s="193"/>
      <c r="AE852" s="193"/>
      <c r="AF852" s="193"/>
    </row>
    <row r="853" spans="21:32" x14ac:dyDescent="0.3">
      <c r="U853" s="193"/>
      <c r="V853" s="193"/>
      <c r="W853" s="193"/>
      <c r="X853" s="193"/>
      <c r="Y853" s="193"/>
      <c r="Z853" s="193"/>
      <c r="AC853" s="193"/>
      <c r="AD853" s="193"/>
      <c r="AE853" s="193"/>
      <c r="AF853" s="193"/>
    </row>
    <row r="854" spans="21:32" x14ac:dyDescent="0.3">
      <c r="U854" s="193"/>
      <c r="V854" s="193"/>
      <c r="W854" s="193"/>
      <c r="X854" s="193"/>
      <c r="Y854" s="193"/>
      <c r="Z854" s="193"/>
      <c r="AC854" s="193"/>
      <c r="AD854" s="193"/>
      <c r="AE854" s="193"/>
      <c r="AF854" s="193"/>
    </row>
    <row r="855" spans="21:32" x14ac:dyDescent="0.3">
      <c r="U855" s="193"/>
      <c r="V855" s="193"/>
      <c r="W855" s="193"/>
      <c r="X855" s="193"/>
      <c r="Y855" s="193"/>
      <c r="Z855" s="193"/>
      <c r="AC855" s="193"/>
      <c r="AD855" s="193"/>
      <c r="AE855" s="193"/>
      <c r="AF855" s="193"/>
    </row>
    <row r="856" spans="21:32" x14ac:dyDescent="0.3">
      <c r="U856" s="193"/>
      <c r="V856" s="193"/>
      <c r="W856" s="193"/>
      <c r="X856" s="193"/>
      <c r="Y856" s="193"/>
      <c r="Z856" s="193"/>
      <c r="AC856" s="193"/>
      <c r="AD856" s="193"/>
      <c r="AE856" s="193"/>
      <c r="AF856" s="193"/>
    </row>
    <row r="857" spans="21:32" x14ac:dyDescent="0.3">
      <c r="U857" s="193"/>
      <c r="V857" s="193"/>
      <c r="W857" s="193"/>
      <c r="X857" s="193"/>
      <c r="Y857" s="193"/>
      <c r="Z857" s="193"/>
      <c r="AC857" s="193"/>
      <c r="AD857" s="193"/>
      <c r="AE857" s="193"/>
      <c r="AF857" s="193"/>
    </row>
    <row r="858" spans="21:32" x14ac:dyDescent="0.3">
      <c r="U858" s="193"/>
      <c r="V858" s="193"/>
      <c r="W858" s="193"/>
      <c r="X858" s="193"/>
      <c r="Y858" s="193"/>
      <c r="Z858" s="193"/>
      <c r="AC858" s="193"/>
      <c r="AD858" s="193"/>
      <c r="AE858" s="193"/>
      <c r="AF858" s="193"/>
    </row>
    <row r="859" spans="21:32" x14ac:dyDescent="0.3">
      <c r="U859" s="193"/>
      <c r="V859" s="193"/>
      <c r="W859" s="193"/>
      <c r="X859" s="193"/>
      <c r="Y859" s="193"/>
      <c r="Z859" s="193"/>
      <c r="AC859" s="193"/>
      <c r="AD859" s="193"/>
      <c r="AE859" s="193"/>
      <c r="AF859" s="193"/>
    </row>
    <row r="860" spans="21:32" x14ac:dyDescent="0.3">
      <c r="U860" s="193"/>
      <c r="V860" s="193"/>
      <c r="W860" s="193"/>
      <c r="X860" s="193"/>
      <c r="Y860" s="193"/>
      <c r="Z860" s="193"/>
      <c r="AC860" s="193"/>
      <c r="AD860" s="193"/>
      <c r="AE860" s="193"/>
      <c r="AF860" s="193"/>
    </row>
    <row r="861" spans="21:32" x14ac:dyDescent="0.3">
      <c r="U861" s="193"/>
      <c r="V861" s="193"/>
      <c r="W861" s="193"/>
      <c r="X861" s="193"/>
      <c r="Y861" s="193"/>
      <c r="Z861" s="193"/>
      <c r="AC861" s="193"/>
      <c r="AD861" s="193"/>
      <c r="AE861" s="193"/>
      <c r="AF861" s="193"/>
    </row>
    <row r="862" spans="21:32" x14ac:dyDescent="0.3">
      <c r="U862" s="193"/>
      <c r="V862" s="193"/>
      <c r="W862" s="193"/>
      <c r="X862" s="193"/>
      <c r="Y862" s="193"/>
      <c r="Z862" s="193"/>
      <c r="AC862" s="193"/>
      <c r="AD862" s="193"/>
      <c r="AE862" s="193"/>
      <c r="AF862" s="193"/>
    </row>
    <row r="863" spans="21:32" x14ac:dyDescent="0.3">
      <c r="U863" s="193"/>
      <c r="V863" s="193"/>
      <c r="W863" s="193"/>
      <c r="X863" s="193"/>
      <c r="Y863" s="193"/>
      <c r="Z863" s="193"/>
      <c r="AC863" s="193"/>
      <c r="AD863" s="193"/>
      <c r="AE863" s="193"/>
      <c r="AF863" s="193"/>
    </row>
    <row r="864" spans="21:32" x14ac:dyDescent="0.3">
      <c r="U864" s="193"/>
      <c r="V864" s="193"/>
      <c r="W864" s="193"/>
      <c r="X864" s="193"/>
      <c r="Y864" s="193"/>
      <c r="Z864" s="193"/>
      <c r="AC864" s="193"/>
      <c r="AD864" s="193"/>
      <c r="AE864" s="193"/>
      <c r="AF864" s="193"/>
    </row>
    <row r="865" spans="21:32" x14ac:dyDescent="0.3">
      <c r="U865" s="193"/>
      <c r="V865" s="193"/>
      <c r="W865" s="193"/>
      <c r="X865" s="193"/>
      <c r="Y865" s="193"/>
      <c r="Z865" s="193"/>
      <c r="AC865" s="193"/>
      <c r="AD865" s="193"/>
      <c r="AE865" s="193"/>
      <c r="AF865" s="193"/>
    </row>
    <row r="866" spans="21:32" x14ac:dyDescent="0.3">
      <c r="U866" s="193"/>
      <c r="V866" s="193"/>
      <c r="W866" s="193"/>
      <c r="X866" s="193"/>
      <c r="Y866" s="193"/>
      <c r="Z866" s="193"/>
      <c r="AC866" s="193"/>
      <c r="AD866" s="193"/>
      <c r="AE866" s="193"/>
      <c r="AF866" s="193"/>
    </row>
    <row r="867" spans="21:32" x14ac:dyDescent="0.3">
      <c r="U867" s="193"/>
      <c r="V867" s="193"/>
      <c r="W867" s="193"/>
      <c r="X867" s="193"/>
      <c r="Y867" s="193"/>
      <c r="Z867" s="193"/>
      <c r="AC867" s="193"/>
      <c r="AD867" s="193"/>
      <c r="AE867" s="193"/>
      <c r="AF867" s="193"/>
    </row>
    <row r="868" spans="21:32" x14ac:dyDescent="0.3">
      <c r="U868" s="193"/>
      <c r="V868" s="193"/>
      <c r="W868" s="193"/>
      <c r="X868" s="193"/>
      <c r="Y868" s="193"/>
      <c r="Z868" s="193"/>
      <c r="AC868" s="193"/>
      <c r="AD868" s="193"/>
      <c r="AE868" s="193"/>
      <c r="AF868" s="193"/>
    </row>
    <row r="869" spans="21:32" x14ac:dyDescent="0.3">
      <c r="U869" s="193"/>
      <c r="V869" s="193"/>
      <c r="W869" s="193"/>
      <c r="X869" s="193"/>
      <c r="Y869" s="193"/>
      <c r="Z869" s="193"/>
      <c r="AC869" s="193"/>
      <c r="AD869" s="193"/>
      <c r="AE869" s="193"/>
      <c r="AF869" s="193"/>
    </row>
    <row r="870" spans="21:32" x14ac:dyDescent="0.3">
      <c r="U870" s="193"/>
      <c r="V870" s="193"/>
      <c r="W870" s="193"/>
      <c r="X870" s="193"/>
      <c r="Y870" s="193"/>
      <c r="Z870" s="193"/>
      <c r="AC870" s="193"/>
      <c r="AD870" s="193"/>
      <c r="AE870" s="193"/>
      <c r="AF870" s="193"/>
    </row>
    <row r="871" spans="21:32" x14ac:dyDescent="0.3">
      <c r="U871" s="193"/>
      <c r="V871" s="193"/>
      <c r="W871" s="193"/>
      <c r="X871" s="193"/>
      <c r="Y871" s="193"/>
      <c r="Z871" s="193"/>
      <c r="AC871" s="193"/>
      <c r="AD871" s="193"/>
      <c r="AE871" s="193"/>
      <c r="AF871" s="193"/>
    </row>
    <row r="872" spans="21:32" x14ac:dyDescent="0.3">
      <c r="U872" s="193"/>
      <c r="V872" s="193"/>
      <c r="W872" s="193"/>
      <c r="X872" s="193"/>
      <c r="Y872" s="193"/>
      <c r="Z872" s="193"/>
      <c r="AC872" s="193"/>
      <c r="AD872" s="193"/>
      <c r="AE872" s="193"/>
      <c r="AF872" s="193"/>
    </row>
    <row r="873" spans="21:32" x14ac:dyDescent="0.3">
      <c r="U873" s="193"/>
      <c r="V873" s="193"/>
      <c r="W873" s="193"/>
      <c r="X873" s="193"/>
      <c r="Y873" s="193"/>
      <c r="Z873" s="193"/>
      <c r="AC873" s="193"/>
      <c r="AD873" s="193"/>
      <c r="AE873" s="193"/>
      <c r="AF873" s="193"/>
    </row>
    <row r="874" spans="21:32" x14ac:dyDescent="0.3">
      <c r="U874" s="193"/>
      <c r="V874" s="193"/>
      <c r="W874" s="193"/>
      <c r="X874" s="193"/>
      <c r="Y874" s="193"/>
      <c r="Z874" s="193"/>
      <c r="AC874" s="193"/>
      <c r="AD874" s="193"/>
      <c r="AE874" s="193"/>
      <c r="AF874" s="193"/>
    </row>
    <row r="875" spans="21:32" x14ac:dyDescent="0.3">
      <c r="U875" s="193"/>
      <c r="V875" s="193"/>
      <c r="W875" s="193"/>
      <c r="X875" s="193"/>
      <c r="Y875" s="193"/>
      <c r="Z875" s="193"/>
      <c r="AC875" s="193"/>
      <c r="AD875" s="193"/>
      <c r="AE875" s="193"/>
      <c r="AF875" s="193"/>
    </row>
    <row r="876" spans="21:32" x14ac:dyDescent="0.3">
      <c r="U876" s="193"/>
      <c r="V876" s="193"/>
      <c r="W876" s="193"/>
      <c r="X876" s="193"/>
      <c r="Y876" s="193"/>
      <c r="Z876" s="193"/>
      <c r="AC876" s="193"/>
      <c r="AD876" s="193"/>
      <c r="AE876" s="193"/>
      <c r="AF876" s="193"/>
    </row>
    <row r="877" spans="21:32" x14ac:dyDescent="0.3">
      <c r="U877" s="193"/>
      <c r="V877" s="193"/>
      <c r="W877" s="193"/>
      <c r="X877" s="193"/>
      <c r="Y877" s="193"/>
      <c r="Z877" s="193"/>
      <c r="AC877" s="193"/>
      <c r="AD877" s="193"/>
      <c r="AE877" s="193"/>
      <c r="AF877" s="193"/>
    </row>
    <row r="878" spans="21:32" x14ac:dyDescent="0.3">
      <c r="U878" s="193"/>
      <c r="V878" s="193"/>
      <c r="W878" s="193"/>
      <c r="X878" s="193"/>
      <c r="Y878" s="193"/>
      <c r="Z878" s="193"/>
      <c r="AC878" s="193"/>
      <c r="AD878" s="193"/>
      <c r="AE878" s="193"/>
      <c r="AF878" s="193"/>
    </row>
    <row r="879" spans="21:32" x14ac:dyDescent="0.3">
      <c r="U879" s="193"/>
      <c r="V879" s="193"/>
      <c r="W879" s="193"/>
      <c r="X879" s="193"/>
      <c r="Y879" s="193"/>
      <c r="Z879" s="193"/>
      <c r="AC879" s="193"/>
      <c r="AD879" s="193"/>
      <c r="AE879" s="193"/>
      <c r="AF879" s="193"/>
    </row>
    <row r="880" spans="21:32" x14ac:dyDescent="0.3">
      <c r="U880" s="193"/>
      <c r="V880" s="193"/>
      <c r="W880" s="193"/>
      <c r="X880" s="193"/>
      <c r="Y880" s="193"/>
      <c r="Z880" s="193"/>
      <c r="AC880" s="193"/>
      <c r="AD880" s="193"/>
      <c r="AE880" s="193"/>
      <c r="AF880" s="193"/>
    </row>
    <row r="881" spans="21:32" x14ac:dyDescent="0.3">
      <c r="U881" s="193"/>
      <c r="V881" s="193"/>
      <c r="W881" s="193"/>
      <c r="X881" s="193"/>
      <c r="Y881" s="193"/>
      <c r="Z881" s="193"/>
      <c r="AC881" s="193"/>
      <c r="AD881" s="193"/>
      <c r="AE881" s="193"/>
      <c r="AF881" s="193"/>
    </row>
    <row r="882" spans="21:32" x14ac:dyDescent="0.3">
      <c r="U882" s="193"/>
      <c r="V882" s="193"/>
      <c r="W882" s="193"/>
      <c r="X882" s="193"/>
      <c r="Y882" s="193"/>
      <c r="Z882" s="193"/>
      <c r="AC882" s="193"/>
      <c r="AD882" s="193"/>
      <c r="AE882" s="193"/>
      <c r="AF882" s="193"/>
    </row>
    <row r="883" spans="21:32" x14ac:dyDescent="0.3">
      <c r="U883" s="193"/>
      <c r="V883" s="193"/>
      <c r="W883" s="193"/>
      <c r="X883" s="193"/>
      <c r="Y883" s="193"/>
      <c r="Z883" s="193"/>
      <c r="AC883" s="193"/>
      <c r="AD883" s="193"/>
      <c r="AE883" s="193"/>
      <c r="AF883" s="193"/>
    </row>
    <row r="884" spans="21:32" x14ac:dyDescent="0.3">
      <c r="U884" s="193"/>
      <c r="V884" s="193"/>
      <c r="W884" s="193"/>
      <c r="X884" s="193"/>
      <c r="Y884" s="193"/>
      <c r="Z884" s="193"/>
      <c r="AC884" s="193"/>
      <c r="AD884" s="193"/>
      <c r="AE884" s="193"/>
      <c r="AF884" s="193"/>
    </row>
    <row r="885" spans="21:32" x14ac:dyDescent="0.3">
      <c r="U885" s="193"/>
      <c r="V885" s="193"/>
      <c r="W885" s="193"/>
      <c r="X885" s="193"/>
      <c r="Y885" s="193"/>
      <c r="Z885" s="193"/>
      <c r="AC885" s="193"/>
      <c r="AD885" s="193"/>
      <c r="AE885" s="193"/>
      <c r="AF885" s="193"/>
    </row>
    <row r="886" spans="21:32" x14ac:dyDescent="0.3">
      <c r="U886" s="193"/>
      <c r="V886" s="193"/>
      <c r="W886" s="193"/>
      <c r="X886" s="193"/>
      <c r="Y886" s="193"/>
      <c r="Z886" s="193"/>
      <c r="AC886" s="193"/>
      <c r="AD886" s="193"/>
      <c r="AE886" s="193"/>
      <c r="AF886" s="193"/>
    </row>
    <row r="887" spans="21:32" x14ac:dyDescent="0.3">
      <c r="U887" s="193"/>
      <c r="V887" s="193"/>
      <c r="W887" s="193"/>
      <c r="X887" s="193"/>
      <c r="Y887" s="193"/>
      <c r="Z887" s="193"/>
      <c r="AC887" s="193"/>
      <c r="AD887" s="193"/>
      <c r="AE887" s="193"/>
      <c r="AF887" s="193"/>
    </row>
    <row r="888" spans="21:32" x14ac:dyDescent="0.3">
      <c r="U888" s="193"/>
      <c r="V888" s="193"/>
      <c r="W888" s="193"/>
      <c r="X888" s="193"/>
      <c r="Y888" s="193"/>
      <c r="Z888" s="193"/>
      <c r="AC888" s="193"/>
      <c r="AD888" s="193"/>
      <c r="AE888" s="193"/>
      <c r="AF888" s="193"/>
    </row>
    <row r="889" spans="21:32" x14ac:dyDescent="0.3">
      <c r="U889" s="193"/>
      <c r="V889" s="193"/>
      <c r="W889" s="193"/>
      <c r="X889" s="193"/>
      <c r="Y889" s="193"/>
      <c r="Z889" s="193"/>
      <c r="AC889" s="193"/>
      <c r="AD889" s="193"/>
      <c r="AE889" s="193"/>
      <c r="AF889" s="193"/>
    </row>
    <row r="890" spans="21:32" x14ac:dyDescent="0.3">
      <c r="U890" s="193"/>
      <c r="V890" s="193"/>
      <c r="W890" s="193"/>
      <c r="X890" s="193"/>
      <c r="Y890" s="193"/>
      <c r="Z890" s="193"/>
      <c r="AC890" s="193"/>
      <c r="AD890" s="193"/>
      <c r="AE890" s="193"/>
      <c r="AF890" s="193"/>
    </row>
    <row r="891" spans="21:32" x14ac:dyDescent="0.3">
      <c r="U891" s="193"/>
      <c r="V891" s="193"/>
      <c r="W891" s="193"/>
      <c r="X891" s="193"/>
      <c r="Y891" s="193"/>
      <c r="Z891" s="193"/>
      <c r="AC891" s="193"/>
      <c r="AD891" s="193"/>
      <c r="AE891" s="193"/>
      <c r="AF891" s="193"/>
    </row>
    <row r="892" spans="21:32" x14ac:dyDescent="0.3">
      <c r="U892" s="193"/>
      <c r="V892" s="193"/>
      <c r="W892" s="193"/>
      <c r="X892" s="193"/>
      <c r="Y892" s="193"/>
      <c r="Z892" s="193"/>
      <c r="AC892" s="193"/>
      <c r="AD892" s="193"/>
      <c r="AE892" s="193"/>
      <c r="AF892" s="193"/>
    </row>
    <row r="893" spans="21:32" x14ac:dyDescent="0.3">
      <c r="U893" s="193"/>
      <c r="V893" s="193"/>
      <c r="W893" s="193"/>
      <c r="X893" s="193"/>
      <c r="Y893" s="193"/>
      <c r="Z893" s="193"/>
      <c r="AC893" s="193"/>
      <c r="AD893" s="193"/>
      <c r="AE893" s="193"/>
      <c r="AF893" s="193"/>
    </row>
    <row r="894" spans="21:32" x14ac:dyDescent="0.3">
      <c r="U894" s="193"/>
      <c r="V894" s="193"/>
      <c r="W894" s="193"/>
      <c r="X894" s="193"/>
      <c r="Y894" s="193"/>
      <c r="Z894" s="193"/>
      <c r="AC894" s="193"/>
      <c r="AD894" s="193"/>
      <c r="AE894" s="193"/>
      <c r="AF894" s="193"/>
    </row>
    <row r="895" spans="21:32" x14ac:dyDescent="0.3">
      <c r="U895" s="193"/>
      <c r="V895" s="193"/>
      <c r="W895" s="193"/>
      <c r="X895" s="193"/>
      <c r="Y895" s="193"/>
      <c r="Z895" s="193"/>
      <c r="AC895" s="193"/>
      <c r="AD895" s="193"/>
      <c r="AE895" s="193"/>
      <c r="AF895" s="193"/>
    </row>
    <row r="896" spans="21:32" x14ac:dyDescent="0.3">
      <c r="U896" s="193"/>
      <c r="V896" s="193"/>
      <c r="W896" s="193"/>
      <c r="X896" s="193"/>
      <c r="Y896" s="193"/>
      <c r="Z896" s="193"/>
      <c r="AC896" s="193"/>
      <c r="AD896" s="193"/>
      <c r="AE896" s="193"/>
      <c r="AF896" s="193"/>
    </row>
    <row r="897" spans="21:32" x14ac:dyDescent="0.3">
      <c r="U897" s="193"/>
      <c r="V897" s="193"/>
      <c r="W897" s="193"/>
      <c r="X897" s="193"/>
      <c r="Y897" s="193"/>
      <c r="Z897" s="193"/>
      <c r="AC897" s="193"/>
      <c r="AD897" s="193"/>
      <c r="AE897" s="193"/>
      <c r="AF897" s="193"/>
    </row>
    <row r="898" spans="21:32" x14ac:dyDescent="0.3">
      <c r="U898" s="193"/>
      <c r="V898" s="193"/>
      <c r="W898" s="193"/>
      <c r="X898" s="193"/>
      <c r="Y898" s="193"/>
      <c r="Z898" s="193"/>
      <c r="AC898" s="193"/>
      <c r="AD898" s="193"/>
      <c r="AE898" s="193"/>
      <c r="AF898" s="193"/>
    </row>
    <row r="899" spans="21:32" x14ac:dyDescent="0.3">
      <c r="U899" s="193"/>
      <c r="V899" s="193"/>
      <c r="W899" s="193"/>
      <c r="X899" s="193"/>
      <c r="Y899" s="193"/>
      <c r="Z899" s="193"/>
      <c r="AC899" s="193"/>
      <c r="AD899" s="193"/>
      <c r="AE899" s="193"/>
      <c r="AF899" s="193"/>
    </row>
    <row r="900" spans="21:32" x14ac:dyDescent="0.3">
      <c r="U900" s="193"/>
      <c r="V900" s="193"/>
      <c r="W900" s="193"/>
      <c r="X900" s="193"/>
      <c r="Y900" s="193"/>
      <c r="Z900" s="193"/>
      <c r="AC900" s="193"/>
      <c r="AD900" s="193"/>
      <c r="AE900" s="193"/>
      <c r="AF900" s="193"/>
    </row>
    <row r="901" spans="21:32" x14ac:dyDescent="0.3">
      <c r="U901" s="193"/>
      <c r="V901" s="193"/>
      <c r="W901" s="193"/>
      <c r="X901" s="193"/>
      <c r="Y901" s="193"/>
      <c r="Z901" s="193"/>
      <c r="AC901" s="193"/>
      <c r="AD901" s="193"/>
      <c r="AE901" s="193"/>
      <c r="AF901" s="193"/>
    </row>
    <row r="902" spans="21:32" x14ac:dyDescent="0.3">
      <c r="U902" s="193"/>
      <c r="V902" s="193"/>
      <c r="W902" s="193"/>
      <c r="X902" s="193"/>
      <c r="Y902" s="193"/>
      <c r="Z902" s="193"/>
      <c r="AC902" s="193"/>
      <c r="AD902" s="193"/>
      <c r="AE902" s="193"/>
      <c r="AF902" s="193"/>
    </row>
    <row r="903" spans="21:32" x14ac:dyDescent="0.3">
      <c r="U903" s="193"/>
      <c r="V903" s="193"/>
      <c r="W903" s="193"/>
      <c r="X903" s="193"/>
      <c r="Y903" s="193"/>
      <c r="Z903" s="193"/>
      <c r="AC903" s="193"/>
      <c r="AD903" s="193"/>
      <c r="AE903" s="193"/>
      <c r="AF903" s="193"/>
    </row>
    <row r="904" spans="21:32" x14ac:dyDescent="0.3">
      <c r="U904" s="193"/>
      <c r="V904" s="193"/>
      <c r="W904" s="193"/>
      <c r="X904" s="193"/>
      <c r="Y904" s="193"/>
      <c r="Z904" s="193"/>
      <c r="AC904" s="193"/>
      <c r="AD904" s="193"/>
      <c r="AE904" s="193"/>
      <c r="AF904" s="193"/>
    </row>
    <row r="905" spans="21:32" x14ac:dyDescent="0.3">
      <c r="U905" s="193"/>
      <c r="V905" s="193"/>
      <c r="W905" s="193"/>
      <c r="X905" s="193"/>
      <c r="Y905" s="193"/>
      <c r="Z905" s="193"/>
      <c r="AC905" s="193"/>
      <c r="AD905" s="193"/>
      <c r="AE905" s="193"/>
      <c r="AF905" s="193"/>
    </row>
    <row r="906" spans="21:32" x14ac:dyDescent="0.3">
      <c r="U906" s="193"/>
      <c r="V906" s="193"/>
      <c r="W906" s="193"/>
      <c r="X906" s="193"/>
      <c r="Y906" s="193"/>
      <c r="Z906" s="193"/>
      <c r="AC906" s="193"/>
      <c r="AD906" s="193"/>
      <c r="AE906" s="193"/>
      <c r="AF906" s="193"/>
    </row>
    <row r="907" spans="21:32" x14ac:dyDescent="0.3">
      <c r="U907" s="193"/>
      <c r="V907" s="193"/>
      <c r="W907" s="193"/>
      <c r="X907" s="193"/>
      <c r="Y907" s="193"/>
      <c r="Z907" s="193"/>
      <c r="AC907" s="193"/>
      <c r="AD907" s="193"/>
      <c r="AE907" s="193"/>
      <c r="AF907" s="193"/>
    </row>
    <row r="908" spans="21:32" x14ac:dyDescent="0.3">
      <c r="U908" s="193"/>
      <c r="V908" s="193"/>
      <c r="W908" s="193"/>
      <c r="X908" s="193"/>
      <c r="Y908" s="193"/>
      <c r="Z908" s="193"/>
      <c r="AC908" s="193"/>
      <c r="AD908" s="193"/>
      <c r="AE908" s="193"/>
      <c r="AF908" s="193"/>
    </row>
    <row r="909" spans="21:32" x14ac:dyDescent="0.3">
      <c r="U909" s="193"/>
      <c r="V909" s="193"/>
      <c r="W909" s="193"/>
      <c r="X909" s="193"/>
      <c r="Y909" s="193"/>
      <c r="Z909" s="193"/>
      <c r="AC909" s="193"/>
      <c r="AD909" s="193"/>
      <c r="AE909" s="193"/>
      <c r="AF909" s="193"/>
    </row>
    <row r="910" spans="21:32" x14ac:dyDescent="0.3">
      <c r="U910" s="193"/>
      <c r="V910" s="193"/>
      <c r="W910" s="193"/>
      <c r="X910" s="193"/>
      <c r="Y910" s="193"/>
      <c r="Z910" s="193"/>
      <c r="AC910" s="193"/>
      <c r="AD910" s="193"/>
      <c r="AE910" s="193"/>
      <c r="AF910" s="193"/>
    </row>
    <row r="911" spans="21:32" x14ac:dyDescent="0.3">
      <c r="U911" s="193"/>
      <c r="V911" s="193"/>
      <c r="W911" s="193"/>
      <c r="X911" s="193"/>
      <c r="Y911" s="193"/>
      <c r="Z911" s="193"/>
      <c r="AC911" s="193"/>
      <c r="AD911" s="193"/>
      <c r="AE911" s="193"/>
      <c r="AF911" s="193"/>
    </row>
    <row r="912" spans="21:32" x14ac:dyDescent="0.3">
      <c r="U912" s="193"/>
      <c r="V912" s="193"/>
      <c r="W912" s="193"/>
      <c r="X912" s="193"/>
      <c r="Y912" s="193"/>
      <c r="Z912" s="193"/>
      <c r="AC912" s="193"/>
      <c r="AD912" s="193"/>
      <c r="AE912" s="193"/>
      <c r="AF912" s="193"/>
    </row>
    <row r="913" spans="21:32" x14ac:dyDescent="0.3">
      <c r="U913" s="193"/>
      <c r="V913" s="193"/>
      <c r="W913" s="193"/>
      <c r="X913" s="193"/>
      <c r="Y913" s="193"/>
      <c r="Z913" s="193"/>
      <c r="AC913" s="193"/>
      <c r="AD913" s="193"/>
      <c r="AE913" s="193"/>
      <c r="AF913" s="193"/>
    </row>
    <row r="914" spans="21:32" x14ac:dyDescent="0.3">
      <c r="U914" s="193"/>
      <c r="V914" s="193"/>
      <c r="W914" s="193"/>
      <c r="X914" s="193"/>
      <c r="Y914" s="193"/>
      <c r="Z914" s="193"/>
      <c r="AC914" s="193"/>
      <c r="AD914" s="193"/>
      <c r="AE914" s="193"/>
      <c r="AF914" s="193"/>
    </row>
    <row r="915" spans="21:32" x14ac:dyDescent="0.3">
      <c r="U915" s="193"/>
      <c r="V915" s="193"/>
      <c r="W915" s="193"/>
      <c r="X915" s="193"/>
      <c r="Y915" s="193"/>
      <c r="Z915" s="193"/>
      <c r="AC915" s="193"/>
      <c r="AD915" s="193"/>
      <c r="AE915" s="193"/>
      <c r="AF915" s="193"/>
    </row>
    <row r="916" spans="21:32" x14ac:dyDescent="0.3">
      <c r="U916" s="193"/>
      <c r="V916" s="193"/>
      <c r="W916" s="193"/>
      <c r="X916" s="193"/>
      <c r="Y916" s="193"/>
      <c r="Z916" s="193"/>
      <c r="AC916" s="193"/>
      <c r="AD916" s="193"/>
      <c r="AE916" s="193"/>
      <c r="AF916" s="193"/>
    </row>
    <row r="917" spans="21:32" x14ac:dyDescent="0.3">
      <c r="U917" s="193"/>
      <c r="V917" s="193"/>
      <c r="W917" s="193"/>
      <c r="X917" s="193"/>
      <c r="Y917" s="193"/>
      <c r="Z917" s="193"/>
      <c r="AC917" s="193"/>
      <c r="AD917" s="193"/>
      <c r="AE917" s="193"/>
      <c r="AF917" s="193"/>
    </row>
    <row r="918" spans="21:32" x14ac:dyDescent="0.3">
      <c r="U918" s="193"/>
      <c r="V918" s="193"/>
      <c r="W918" s="193"/>
      <c r="X918" s="193"/>
      <c r="Y918" s="193"/>
      <c r="Z918" s="193"/>
      <c r="AC918" s="193"/>
      <c r="AD918" s="193"/>
      <c r="AE918" s="193"/>
      <c r="AF918" s="193"/>
    </row>
    <row r="919" spans="21:32" x14ac:dyDescent="0.3">
      <c r="U919" s="193"/>
      <c r="V919" s="193"/>
      <c r="W919" s="193"/>
      <c r="X919" s="193"/>
      <c r="Y919" s="193"/>
      <c r="Z919" s="193"/>
      <c r="AC919" s="193"/>
      <c r="AD919" s="193"/>
      <c r="AE919" s="193"/>
      <c r="AF919" s="193"/>
    </row>
    <row r="920" spans="21:32" x14ac:dyDescent="0.3">
      <c r="U920" s="193"/>
      <c r="V920" s="193"/>
      <c r="W920" s="193"/>
      <c r="X920" s="193"/>
      <c r="Y920" s="193"/>
      <c r="Z920" s="193"/>
      <c r="AC920" s="193"/>
      <c r="AD920" s="193"/>
      <c r="AE920" s="193"/>
      <c r="AF920" s="193"/>
    </row>
    <row r="921" spans="21:32" x14ac:dyDescent="0.3">
      <c r="U921" s="193"/>
      <c r="V921" s="193"/>
      <c r="W921" s="193"/>
      <c r="X921" s="193"/>
      <c r="Y921" s="193"/>
      <c r="Z921" s="193"/>
      <c r="AC921" s="193"/>
      <c r="AD921" s="193"/>
      <c r="AE921" s="193"/>
      <c r="AF921" s="193"/>
    </row>
    <row r="922" spans="21:32" x14ac:dyDescent="0.3">
      <c r="U922" s="193"/>
      <c r="V922" s="193"/>
      <c r="W922" s="193"/>
      <c r="X922" s="193"/>
      <c r="Y922" s="193"/>
      <c r="Z922" s="193"/>
      <c r="AC922" s="193"/>
      <c r="AD922" s="193"/>
      <c r="AE922" s="193"/>
      <c r="AF922" s="193"/>
    </row>
    <row r="923" spans="21:32" x14ac:dyDescent="0.3">
      <c r="U923" s="193"/>
      <c r="V923" s="193"/>
      <c r="W923" s="193"/>
      <c r="X923" s="193"/>
      <c r="Y923" s="193"/>
      <c r="Z923" s="193"/>
      <c r="AC923" s="193"/>
      <c r="AD923" s="193"/>
      <c r="AE923" s="193"/>
      <c r="AF923" s="193"/>
    </row>
    <row r="924" spans="21:32" x14ac:dyDescent="0.3">
      <c r="U924" s="193"/>
      <c r="V924" s="193"/>
      <c r="W924" s="193"/>
      <c r="X924" s="193"/>
      <c r="Y924" s="193"/>
      <c r="Z924" s="193"/>
      <c r="AC924" s="193"/>
      <c r="AD924" s="193"/>
      <c r="AE924" s="193"/>
      <c r="AF924" s="193"/>
    </row>
    <row r="925" spans="21:32" x14ac:dyDescent="0.3">
      <c r="U925" s="193"/>
      <c r="V925" s="193"/>
      <c r="W925" s="193"/>
      <c r="X925" s="193"/>
      <c r="Y925" s="193"/>
      <c r="Z925" s="193"/>
      <c r="AC925" s="193"/>
      <c r="AD925" s="193"/>
      <c r="AE925" s="193"/>
      <c r="AF925" s="193"/>
    </row>
    <row r="926" spans="21:32" x14ac:dyDescent="0.3">
      <c r="U926" s="193"/>
      <c r="V926" s="193"/>
      <c r="W926" s="193"/>
      <c r="X926" s="193"/>
      <c r="Y926" s="193"/>
      <c r="Z926" s="193"/>
      <c r="AC926" s="193"/>
      <c r="AD926" s="193"/>
      <c r="AE926" s="193"/>
      <c r="AF926" s="193"/>
    </row>
    <row r="927" spans="21:32" x14ac:dyDescent="0.3">
      <c r="U927" s="193"/>
      <c r="V927" s="193"/>
      <c r="W927" s="193"/>
      <c r="X927" s="193"/>
      <c r="Y927" s="193"/>
      <c r="Z927" s="193"/>
      <c r="AC927" s="193"/>
      <c r="AD927" s="193"/>
      <c r="AE927" s="193"/>
      <c r="AF927" s="193"/>
    </row>
    <row r="928" spans="21:32" x14ac:dyDescent="0.3">
      <c r="U928" s="193"/>
      <c r="V928" s="193"/>
      <c r="W928" s="193"/>
      <c r="X928" s="193"/>
      <c r="Y928" s="193"/>
      <c r="Z928" s="193"/>
      <c r="AC928" s="193"/>
      <c r="AD928" s="193"/>
      <c r="AE928" s="193"/>
      <c r="AF928" s="193"/>
    </row>
    <row r="929" spans="21:32" x14ac:dyDescent="0.3">
      <c r="U929" s="193"/>
      <c r="V929" s="193"/>
      <c r="W929" s="193"/>
      <c r="X929" s="193"/>
      <c r="Y929" s="193"/>
      <c r="Z929" s="193"/>
      <c r="AC929" s="193"/>
      <c r="AD929" s="193"/>
      <c r="AE929" s="193"/>
      <c r="AF929" s="193"/>
    </row>
    <row r="930" spans="21:32" x14ac:dyDescent="0.3">
      <c r="U930" s="193"/>
      <c r="V930" s="193"/>
      <c r="W930" s="193"/>
      <c r="X930" s="193"/>
      <c r="Y930" s="193"/>
      <c r="Z930" s="193"/>
      <c r="AC930" s="193"/>
      <c r="AD930" s="193"/>
      <c r="AE930" s="193"/>
      <c r="AF930" s="193"/>
    </row>
    <row r="931" spans="21:32" x14ac:dyDescent="0.3">
      <c r="U931" s="193"/>
      <c r="V931" s="193"/>
      <c r="W931" s="193"/>
      <c r="X931" s="193"/>
      <c r="Y931" s="193"/>
      <c r="Z931" s="193"/>
      <c r="AC931" s="193"/>
      <c r="AD931" s="193"/>
      <c r="AE931" s="193"/>
      <c r="AF931" s="193"/>
    </row>
    <row r="932" spans="21:32" x14ac:dyDescent="0.3">
      <c r="U932" s="193"/>
      <c r="V932" s="193"/>
      <c r="W932" s="193"/>
      <c r="X932" s="193"/>
      <c r="Y932" s="193"/>
      <c r="Z932" s="193"/>
      <c r="AC932" s="193"/>
      <c r="AD932" s="193"/>
      <c r="AE932" s="193"/>
      <c r="AF932" s="193"/>
    </row>
    <row r="933" spans="21:32" x14ac:dyDescent="0.3">
      <c r="U933" s="193"/>
      <c r="V933" s="193"/>
      <c r="W933" s="193"/>
      <c r="X933" s="193"/>
      <c r="Y933" s="193"/>
      <c r="Z933" s="193"/>
      <c r="AC933" s="193"/>
      <c r="AD933" s="193"/>
      <c r="AE933" s="193"/>
      <c r="AF933" s="193"/>
    </row>
    <row r="934" spans="21:32" x14ac:dyDescent="0.3">
      <c r="U934" s="193"/>
      <c r="V934" s="193"/>
      <c r="W934" s="193"/>
      <c r="X934" s="193"/>
      <c r="Y934" s="193"/>
      <c r="Z934" s="193"/>
      <c r="AC934" s="193"/>
      <c r="AD934" s="193"/>
      <c r="AE934" s="193"/>
      <c r="AF934" s="193"/>
    </row>
    <row r="935" spans="21:32" x14ac:dyDescent="0.3">
      <c r="U935" s="193"/>
      <c r="V935" s="193"/>
      <c r="W935" s="193"/>
      <c r="X935" s="193"/>
      <c r="Y935" s="193"/>
      <c r="Z935" s="193"/>
      <c r="AC935" s="193"/>
      <c r="AD935" s="193"/>
      <c r="AE935" s="193"/>
      <c r="AF935" s="193"/>
    </row>
    <row r="936" spans="21:32" x14ac:dyDescent="0.3">
      <c r="U936" s="193"/>
      <c r="V936" s="193"/>
      <c r="W936" s="193"/>
      <c r="X936" s="193"/>
      <c r="Y936" s="193"/>
      <c r="Z936" s="193"/>
      <c r="AC936" s="193"/>
      <c r="AD936" s="193"/>
      <c r="AE936" s="193"/>
      <c r="AF936" s="193"/>
    </row>
    <row r="937" spans="21:32" x14ac:dyDescent="0.3">
      <c r="U937" s="193"/>
      <c r="V937" s="193"/>
      <c r="W937" s="193"/>
      <c r="X937" s="193"/>
      <c r="Y937" s="193"/>
      <c r="Z937" s="193"/>
      <c r="AC937" s="193"/>
      <c r="AD937" s="193"/>
      <c r="AE937" s="193"/>
      <c r="AF937" s="193"/>
    </row>
    <row r="938" spans="21:32" x14ac:dyDescent="0.3">
      <c r="U938" s="193"/>
      <c r="V938" s="193"/>
      <c r="W938" s="193"/>
      <c r="X938" s="193"/>
      <c r="Y938" s="193"/>
      <c r="Z938" s="193"/>
      <c r="AC938" s="193"/>
      <c r="AD938" s="193"/>
      <c r="AE938" s="193"/>
      <c r="AF938" s="193"/>
    </row>
    <row r="939" spans="21:32" x14ac:dyDescent="0.3">
      <c r="U939" s="193"/>
      <c r="V939" s="193"/>
      <c r="W939" s="193"/>
      <c r="X939" s="193"/>
      <c r="Y939" s="193"/>
      <c r="Z939" s="193"/>
      <c r="AC939" s="193"/>
      <c r="AD939" s="193"/>
      <c r="AE939" s="193"/>
      <c r="AF939" s="193"/>
    </row>
    <row r="940" spans="21:32" x14ac:dyDescent="0.3">
      <c r="U940" s="193"/>
      <c r="V940" s="193"/>
      <c r="W940" s="193"/>
      <c r="X940" s="193"/>
      <c r="Y940" s="193"/>
      <c r="Z940" s="193"/>
      <c r="AC940" s="193"/>
      <c r="AD940" s="193"/>
      <c r="AE940" s="193"/>
      <c r="AF940" s="193"/>
    </row>
    <row r="941" spans="21:32" x14ac:dyDescent="0.3">
      <c r="U941" s="193"/>
      <c r="V941" s="193"/>
      <c r="W941" s="193"/>
      <c r="X941" s="193"/>
      <c r="Y941" s="193"/>
      <c r="Z941" s="193"/>
      <c r="AC941" s="193"/>
      <c r="AD941" s="193"/>
      <c r="AE941" s="193"/>
      <c r="AF941" s="193"/>
    </row>
    <row r="942" spans="21:32" x14ac:dyDescent="0.3">
      <c r="U942" s="193"/>
      <c r="V942" s="193"/>
      <c r="W942" s="193"/>
      <c r="X942" s="193"/>
      <c r="Y942" s="193"/>
      <c r="Z942" s="193"/>
      <c r="AC942" s="193"/>
      <c r="AD942" s="193"/>
      <c r="AE942" s="193"/>
      <c r="AF942" s="193"/>
    </row>
    <row r="943" spans="21:32" x14ac:dyDescent="0.3">
      <c r="U943" s="193"/>
      <c r="V943" s="193"/>
      <c r="W943" s="193"/>
      <c r="X943" s="193"/>
      <c r="Y943" s="193"/>
      <c r="Z943" s="193"/>
      <c r="AC943" s="193"/>
      <c r="AD943" s="193"/>
      <c r="AE943" s="193"/>
      <c r="AF943" s="193"/>
    </row>
    <row r="944" spans="21:32" x14ac:dyDescent="0.3">
      <c r="U944" s="193"/>
      <c r="V944" s="193"/>
      <c r="W944" s="193"/>
      <c r="X944" s="193"/>
      <c r="Y944" s="193"/>
      <c r="Z944" s="193"/>
      <c r="AC944" s="193"/>
      <c r="AD944" s="193"/>
      <c r="AE944" s="193"/>
      <c r="AF944" s="193"/>
    </row>
    <row r="945" spans="21:32" x14ac:dyDescent="0.3">
      <c r="U945" s="193"/>
      <c r="V945" s="193"/>
      <c r="W945" s="193"/>
      <c r="X945" s="193"/>
      <c r="Y945" s="193"/>
      <c r="Z945" s="193"/>
      <c r="AC945" s="193"/>
      <c r="AD945" s="193"/>
      <c r="AE945" s="193"/>
      <c r="AF945" s="193"/>
    </row>
    <row r="946" spans="21:32" x14ac:dyDescent="0.3">
      <c r="U946" s="193"/>
      <c r="V946" s="193"/>
      <c r="W946" s="193"/>
      <c r="X946" s="193"/>
      <c r="Y946" s="193"/>
      <c r="Z946" s="193"/>
      <c r="AC946" s="193"/>
      <c r="AD946" s="193"/>
      <c r="AE946" s="193"/>
      <c r="AF946" s="193"/>
    </row>
    <row r="947" spans="21:32" x14ac:dyDescent="0.3">
      <c r="U947" s="193"/>
      <c r="V947" s="193"/>
      <c r="W947" s="193"/>
      <c r="X947" s="193"/>
      <c r="Y947" s="193"/>
      <c r="Z947" s="193"/>
      <c r="AC947" s="193"/>
      <c r="AD947" s="193"/>
      <c r="AE947" s="193"/>
      <c r="AF947" s="193"/>
    </row>
    <row r="948" spans="21:32" x14ac:dyDescent="0.3">
      <c r="U948" s="193"/>
      <c r="V948" s="193"/>
      <c r="W948" s="193"/>
      <c r="X948" s="193"/>
      <c r="Y948" s="193"/>
      <c r="Z948" s="193"/>
      <c r="AC948" s="193"/>
      <c r="AD948" s="193"/>
      <c r="AE948" s="193"/>
      <c r="AF948" s="193"/>
    </row>
    <row r="949" spans="21:32" x14ac:dyDescent="0.3">
      <c r="U949" s="193"/>
      <c r="V949" s="193"/>
      <c r="W949" s="193"/>
      <c r="X949" s="193"/>
      <c r="Y949" s="193"/>
      <c r="Z949" s="193"/>
      <c r="AC949" s="193"/>
      <c r="AD949" s="193"/>
      <c r="AE949" s="193"/>
      <c r="AF949" s="193"/>
    </row>
    <row r="950" spans="21:32" x14ac:dyDescent="0.3">
      <c r="U950" s="193"/>
      <c r="V950" s="193"/>
      <c r="W950" s="193"/>
      <c r="X950" s="193"/>
      <c r="Y950" s="193"/>
      <c r="Z950" s="193"/>
      <c r="AC950" s="193"/>
      <c r="AD950" s="193"/>
      <c r="AE950" s="193"/>
      <c r="AF950" s="193"/>
    </row>
    <row r="951" spans="21:32" x14ac:dyDescent="0.3">
      <c r="U951" s="193"/>
      <c r="V951" s="193"/>
      <c r="W951" s="193"/>
      <c r="X951" s="193"/>
      <c r="Y951" s="193"/>
      <c r="Z951" s="193"/>
      <c r="AC951" s="193"/>
      <c r="AD951" s="193"/>
      <c r="AE951" s="193"/>
      <c r="AF951" s="193"/>
    </row>
    <row r="952" spans="21:32" x14ac:dyDescent="0.3">
      <c r="U952" s="193"/>
      <c r="V952" s="193"/>
      <c r="W952" s="193"/>
      <c r="X952" s="193"/>
      <c r="Y952" s="193"/>
      <c r="Z952" s="193"/>
      <c r="AC952" s="193"/>
      <c r="AD952" s="193"/>
      <c r="AE952" s="193"/>
      <c r="AF952" s="193"/>
    </row>
    <row r="953" spans="21:32" x14ac:dyDescent="0.3">
      <c r="U953" s="193"/>
      <c r="V953" s="193"/>
      <c r="W953" s="193"/>
      <c r="X953" s="193"/>
      <c r="Y953" s="193"/>
      <c r="Z953" s="193"/>
      <c r="AC953" s="193"/>
      <c r="AD953" s="193"/>
      <c r="AE953" s="193"/>
      <c r="AF953" s="193"/>
    </row>
    <row r="954" spans="21:32" x14ac:dyDescent="0.3">
      <c r="U954" s="193"/>
      <c r="V954" s="193"/>
      <c r="W954" s="193"/>
      <c r="X954" s="193"/>
      <c r="Y954" s="193"/>
      <c r="Z954" s="193"/>
      <c r="AC954" s="193"/>
      <c r="AD954" s="193"/>
      <c r="AE954" s="193"/>
      <c r="AF954" s="193"/>
    </row>
    <row r="955" spans="21:32" x14ac:dyDescent="0.3">
      <c r="U955" s="193"/>
      <c r="V955" s="193"/>
      <c r="W955" s="193"/>
      <c r="X955" s="193"/>
      <c r="Y955" s="193"/>
      <c r="Z955" s="193"/>
      <c r="AC955" s="193"/>
      <c r="AD955" s="193"/>
      <c r="AE955" s="193"/>
      <c r="AF955" s="193"/>
    </row>
    <row r="956" spans="21:32" x14ac:dyDescent="0.3">
      <c r="U956" s="193"/>
      <c r="V956" s="193"/>
      <c r="W956" s="193"/>
      <c r="X956" s="193"/>
      <c r="Y956" s="193"/>
      <c r="Z956" s="193"/>
      <c r="AC956" s="193"/>
      <c r="AD956" s="193"/>
      <c r="AE956" s="193"/>
      <c r="AF956" s="193"/>
    </row>
    <row r="957" spans="21:32" x14ac:dyDescent="0.3">
      <c r="U957" s="193"/>
      <c r="V957" s="193"/>
      <c r="W957" s="193"/>
      <c r="X957" s="193"/>
      <c r="Y957" s="193"/>
      <c r="Z957" s="193"/>
      <c r="AC957" s="193"/>
      <c r="AD957" s="193"/>
      <c r="AE957" s="193"/>
      <c r="AF957" s="193"/>
    </row>
    <row r="958" spans="21:32" x14ac:dyDescent="0.3">
      <c r="U958" s="193"/>
      <c r="V958" s="193"/>
      <c r="W958" s="193"/>
      <c r="X958" s="193"/>
      <c r="Y958" s="193"/>
      <c r="Z958" s="193"/>
      <c r="AC958" s="193"/>
      <c r="AD958" s="193"/>
      <c r="AE958" s="193"/>
      <c r="AF958" s="193"/>
    </row>
    <row r="959" spans="21:32" x14ac:dyDescent="0.3">
      <c r="U959" s="193"/>
      <c r="V959" s="193"/>
      <c r="W959" s="193"/>
      <c r="X959" s="193"/>
      <c r="Y959" s="193"/>
      <c r="Z959" s="193"/>
      <c r="AC959" s="193"/>
      <c r="AD959" s="193"/>
      <c r="AE959" s="193"/>
      <c r="AF959" s="193"/>
    </row>
    <row r="960" spans="21:32" x14ac:dyDescent="0.3">
      <c r="U960" s="193"/>
      <c r="V960" s="193"/>
      <c r="W960" s="193"/>
      <c r="X960" s="193"/>
      <c r="Y960" s="193"/>
      <c r="Z960" s="193"/>
      <c r="AC960" s="193"/>
      <c r="AD960" s="193"/>
      <c r="AE960" s="193"/>
      <c r="AF960" s="193"/>
    </row>
    <row r="961" spans="21:32" x14ac:dyDescent="0.3">
      <c r="U961" s="193"/>
      <c r="V961" s="193"/>
      <c r="W961" s="193"/>
      <c r="X961" s="193"/>
      <c r="Y961" s="193"/>
      <c r="Z961" s="193"/>
      <c r="AC961" s="193"/>
      <c r="AD961" s="193"/>
      <c r="AE961" s="193"/>
      <c r="AF961" s="193"/>
    </row>
    <row r="962" spans="21:32" x14ac:dyDescent="0.3">
      <c r="U962" s="193"/>
      <c r="V962" s="193"/>
      <c r="W962" s="193"/>
      <c r="X962" s="193"/>
      <c r="Y962" s="193"/>
      <c r="Z962" s="193"/>
      <c r="AC962" s="193"/>
      <c r="AD962" s="193"/>
      <c r="AE962" s="193"/>
      <c r="AF962" s="193"/>
    </row>
    <row r="963" spans="21:32" x14ac:dyDescent="0.3">
      <c r="U963" s="193"/>
      <c r="V963" s="193"/>
      <c r="W963" s="193"/>
      <c r="X963" s="193"/>
      <c r="Y963" s="193"/>
      <c r="Z963" s="193"/>
      <c r="AC963" s="193"/>
      <c r="AD963" s="193"/>
      <c r="AE963" s="193"/>
      <c r="AF963" s="193"/>
    </row>
    <row r="964" spans="21:32" x14ac:dyDescent="0.3">
      <c r="U964" s="193"/>
      <c r="V964" s="193"/>
      <c r="W964" s="193"/>
      <c r="X964" s="193"/>
      <c r="Y964" s="193"/>
      <c r="Z964" s="193"/>
      <c r="AC964" s="193"/>
      <c r="AD964" s="193"/>
      <c r="AE964" s="193"/>
      <c r="AF964" s="193"/>
    </row>
    <row r="965" spans="21:32" x14ac:dyDescent="0.3">
      <c r="U965" s="193"/>
      <c r="V965" s="193"/>
      <c r="W965" s="193"/>
      <c r="X965" s="193"/>
      <c r="Y965" s="193"/>
      <c r="Z965" s="193"/>
      <c r="AC965" s="193"/>
      <c r="AD965" s="193"/>
      <c r="AE965" s="193"/>
      <c r="AF965" s="193"/>
    </row>
    <row r="966" spans="21:32" x14ac:dyDescent="0.3">
      <c r="U966" s="193"/>
      <c r="V966" s="193"/>
      <c r="W966" s="193"/>
      <c r="X966" s="193"/>
      <c r="Y966" s="193"/>
      <c r="Z966" s="193"/>
      <c r="AC966" s="193"/>
      <c r="AD966" s="193"/>
      <c r="AE966" s="193"/>
      <c r="AF966" s="193"/>
    </row>
    <row r="967" spans="21:32" x14ac:dyDescent="0.3">
      <c r="U967" s="193"/>
      <c r="V967" s="193"/>
      <c r="W967" s="193"/>
      <c r="X967" s="193"/>
      <c r="Y967" s="193"/>
      <c r="Z967" s="193"/>
      <c r="AC967" s="193"/>
      <c r="AD967" s="193"/>
      <c r="AE967" s="193"/>
      <c r="AF967" s="193"/>
    </row>
    <row r="968" spans="21:32" x14ac:dyDescent="0.3">
      <c r="U968" s="193"/>
      <c r="V968" s="193"/>
      <c r="W968" s="193"/>
      <c r="X968" s="193"/>
      <c r="Y968" s="193"/>
      <c r="Z968" s="193"/>
      <c r="AC968" s="193"/>
      <c r="AD968" s="193"/>
      <c r="AE968" s="193"/>
      <c r="AF968" s="193"/>
    </row>
    <row r="969" spans="21:32" x14ac:dyDescent="0.3">
      <c r="U969" s="193"/>
      <c r="V969" s="193"/>
      <c r="W969" s="193"/>
      <c r="X969" s="193"/>
      <c r="Y969" s="193"/>
      <c r="Z969" s="193"/>
      <c r="AC969" s="193"/>
      <c r="AD969" s="193"/>
      <c r="AE969" s="193"/>
      <c r="AF969" s="193"/>
    </row>
    <row r="970" spans="21:32" x14ac:dyDescent="0.3">
      <c r="U970" s="193"/>
      <c r="V970" s="193"/>
      <c r="W970" s="193"/>
      <c r="X970" s="193"/>
      <c r="Y970" s="193"/>
      <c r="Z970" s="193"/>
      <c r="AC970" s="193"/>
      <c r="AD970" s="193"/>
      <c r="AE970" s="193"/>
      <c r="AF970" s="193"/>
    </row>
    <row r="971" spans="21:32" x14ac:dyDescent="0.3">
      <c r="U971" s="193"/>
      <c r="V971" s="193"/>
      <c r="W971" s="193"/>
      <c r="X971" s="193"/>
      <c r="Y971" s="193"/>
      <c r="Z971" s="193"/>
      <c r="AC971" s="193"/>
      <c r="AD971" s="193"/>
      <c r="AE971" s="193"/>
      <c r="AF971" s="193"/>
    </row>
    <row r="972" spans="21:32" x14ac:dyDescent="0.3">
      <c r="U972" s="193"/>
      <c r="V972" s="193"/>
      <c r="W972" s="193"/>
      <c r="X972" s="193"/>
      <c r="Y972" s="193"/>
      <c r="Z972" s="193"/>
      <c r="AC972" s="193"/>
      <c r="AD972" s="193"/>
      <c r="AE972" s="193"/>
      <c r="AF972" s="193"/>
    </row>
    <row r="973" spans="21:32" x14ac:dyDescent="0.3">
      <c r="U973" s="193"/>
      <c r="V973" s="193"/>
      <c r="W973" s="193"/>
      <c r="X973" s="193"/>
      <c r="Y973" s="193"/>
      <c r="Z973" s="193"/>
      <c r="AC973" s="193"/>
      <c r="AD973" s="193"/>
      <c r="AE973" s="193"/>
      <c r="AF973" s="193"/>
    </row>
    <row r="974" spans="21:32" x14ac:dyDescent="0.3">
      <c r="U974" s="193"/>
      <c r="V974" s="193"/>
      <c r="W974" s="193"/>
      <c r="X974" s="193"/>
      <c r="Y974" s="193"/>
      <c r="Z974" s="193"/>
      <c r="AC974" s="193"/>
      <c r="AD974" s="193"/>
      <c r="AE974" s="193"/>
      <c r="AF974" s="193"/>
    </row>
    <row r="975" spans="21:32" x14ac:dyDescent="0.3">
      <c r="U975" s="193"/>
      <c r="V975" s="193"/>
      <c r="W975" s="193"/>
      <c r="X975" s="193"/>
      <c r="Y975" s="193"/>
      <c r="Z975" s="193"/>
      <c r="AC975" s="193"/>
      <c r="AD975" s="193"/>
      <c r="AE975" s="193"/>
      <c r="AF975" s="193"/>
    </row>
    <row r="976" spans="21:32" x14ac:dyDescent="0.3">
      <c r="U976" s="193"/>
      <c r="V976" s="193"/>
      <c r="W976" s="193"/>
      <c r="X976" s="193"/>
      <c r="Y976" s="193"/>
      <c r="Z976" s="193"/>
      <c r="AC976" s="193"/>
      <c r="AD976" s="193"/>
      <c r="AE976" s="193"/>
      <c r="AF976" s="193"/>
    </row>
    <row r="977" spans="21:32" x14ac:dyDescent="0.3">
      <c r="U977" s="193"/>
      <c r="V977" s="193"/>
      <c r="W977" s="193"/>
      <c r="X977" s="193"/>
      <c r="Y977" s="193"/>
      <c r="Z977" s="193"/>
      <c r="AC977" s="193"/>
      <c r="AD977" s="193"/>
      <c r="AE977" s="193"/>
      <c r="AF977" s="193"/>
    </row>
    <row r="978" spans="21:32" x14ac:dyDescent="0.3">
      <c r="U978" s="193"/>
      <c r="V978" s="193"/>
      <c r="W978" s="193"/>
      <c r="X978" s="193"/>
      <c r="Y978" s="193"/>
      <c r="Z978" s="193"/>
      <c r="AC978" s="193"/>
      <c r="AD978" s="193"/>
      <c r="AE978" s="193"/>
      <c r="AF978" s="193"/>
    </row>
    <row r="979" spans="21:32" x14ac:dyDescent="0.3">
      <c r="U979" s="193"/>
      <c r="V979" s="193"/>
      <c r="W979" s="193"/>
      <c r="X979" s="193"/>
      <c r="Y979" s="193"/>
      <c r="Z979" s="193"/>
      <c r="AC979" s="193"/>
      <c r="AD979" s="193"/>
      <c r="AE979" s="193"/>
      <c r="AF979" s="193"/>
    </row>
    <row r="980" spans="21:32" x14ac:dyDescent="0.3">
      <c r="U980" s="193"/>
      <c r="V980" s="193"/>
      <c r="W980" s="193"/>
      <c r="X980" s="193"/>
      <c r="Y980" s="193"/>
      <c r="Z980" s="193"/>
      <c r="AC980" s="193"/>
      <c r="AD980" s="193"/>
      <c r="AE980" s="193"/>
      <c r="AF980" s="193"/>
    </row>
    <row r="981" spans="21:32" x14ac:dyDescent="0.3">
      <c r="U981" s="193"/>
      <c r="V981" s="193"/>
      <c r="W981" s="193"/>
      <c r="X981" s="193"/>
      <c r="Y981" s="193"/>
      <c r="Z981" s="193"/>
      <c r="AC981" s="193"/>
      <c r="AD981" s="193"/>
      <c r="AE981" s="193"/>
      <c r="AF981" s="193"/>
    </row>
    <row r="982" spans="21:32" x14ac:dyDescent="0.3">
      <c r="U982" s="193"/>
      <c r="V982" s="193"/>
      <c r="W982" s="193"/>
      <c r="X982" s="193"/>
      <c r="Y982" s="193"/>
      <c r="Z982" s="193"/>
      <c r="AC982" s="193"/>
      <c r="AD982" s="193"/>
      <c r="AE982" s="193"/>
      <c r="AF982" s="193"/>
    </row>
    <row r="983" spans="21:32" x14ac:dyDescent="0.3">
      <c r="U983" s="193"/>
      <c r="V983" s="193"/>
      <c r="W983" s="193"/>
      <c r="X983" s="193"/>
      <c r="Y983" s="193"/>
      <c r="Z983" s="193"/>
      <c r="AC983" s="193"/>
      <c r="AD983" s="193"/>
      <c r="AE983" s="193"/>
      <c r="AF983" s="193"/>
    </row>
    <row r="984" spans="21:32" x14ac:dyDescent="0.3">
      <c r="U984" s="193"/>
      <c r="V984" s="193"/>
      <c r="W984" s="193"/>
      <c r="X984" s="193"/>
      <c r="Y984" s="193"/>
      <c r="Z984" s="193"/>
      <c r="AC984" s="193"/>
      <c r="AD984" s="193"/>
      <c r="AE984" s="193"/>
      <c r="AF984" s="193"/>
    </row>
    <row r="985" spans="21:32" x14ac:dyDescent="0.3">
      <c r="U985" s="193"/>
      <c r="V985" s="193"/>
      <c r="W985" s="193"/>
      <c r="X985" s="193"/>
      <c r="Y985" s="193"/>
      <c r="Z985" s="193"/>
      <c r="AC985" s="193"/>
      <c r="AD985" s="193"/>
      <c r="AE985" s="193"/>
      <c r="AF985" s="193"/>
    </row>
    <row r="986" spans="21:32" x14ac:dyDescent="0.3">
      <c r="U986" s="193"/>
      <c r="V986" s="193"/>
      <c r="W986" s="193"/>
      <c r="X986" s="193"/>
      <c r="Y986" s="193"/>
      <c r="Z986" s="193"/>
      <c r="AC986" s="193"/>
      <c r="AD986" s="193"/>
      <c r="AE986" s="193"/>
      <c r="AF986" s="193"/>
    </row>
    <row r="987" spans="21:32" x14ac:dyDescent="0.3">
      <c r="U987" s="193"/>
      <c r="V987" s="193"/>
      <c r="W987" s="193"/>
      <c r="X987" s="193"/>
      <c r="Y987" s="193"/>
      <c r="Z987" s="193"/>
      <c r="AC987" s="193"/>
      <c r="AD987" s="193"/>
      <c r="AE987" s="193"/>
      <c r="AF987" s="193"/>
    </row>
    <row r="988" spans="21:32" x14ac:dyDescent="0.3">
      <c r="U988" s="193"/>
      <c r="V988" s="193"/>
      <c r="W988" s="193"/>
      <c r="X988" s="193"/>
      <c r="Y988" s="193"/>
      <c r="Z988" s="193"/>
      <c r="AC988" s="193"/>
      <c r="AD988" s="193"/>
      <c r="AE988" s="193"/>
      <c r="AF988" s="193"/>
    </row>
    <row r="989" spans="21:32" x14ac:dyDescent="0.3">
      <c r="U989" s="193"/>
      <c r="V989" s="193"/>
      <c r="W989" s="193"/>
      <c r="X989" s="193"/>
      <c r="Y989" s="193"/>
      <c r="Z989" s="193"/>
      <c r="AC989" s="193"/>
      <c r="AD989" s="193"/>
      <c r="AE989" s="193"/>
      <c r="AF989" s="193"/>
    </row>
    <row r="990" spans="21:32" x14ac:dyDescent="0.3">
      <c r="U990" s="193"/>
      <c r="V990" s="193"/>
      <c r="W990" s="193"/>
      <c r="X990" s="193"/>
      <c r="Y990" s="193"/>
      <c r="Z990" s="193"/>
      <c r="AC990" s="193"/>
      <c r="AD990" s="193"/>
      <c r="AE990" s="193"/>
      <c r="AF990" s="193"/>
    </row>
    <row r="991" spans="21:32" x14ac:dyDescent="0.3">
      <c r="U991" s="193"/>
      <c r="V991" s="193"/>
      <c r="W991" s="193"/>
      <c r="X991" s="193"/>
      <c r="Y991" s="193"/>
      <c r="Z991" s="193"/>
      <c r="AC991" s="193"/>
      <c r="AD991" s="193"/>
      <c r="AE991" s="193"/>
      <c r="AF991" s="193"/>
    </row>
    <row r="992" spans="21:32" x14ac:dyDescent="0.3">
      <c r="U992" s="193"/>
      <c r="V992" s="193"/>
      <c r="W992" s="193"/>
      <c r="X992" s="193"/>
      <c r="Y992" s="193"/>
      <c r="Z992" s="193"/>
      <c r="AC992" s="193"/>
      <c r="AD992" s="193"/>
      <c r="AE992" s="193"/>
      <c r="AF992" s="193"/>
    </row>
    <row r="993" spans="21:32" x14ac:dyDescent="0.3">
      <c r="U993" s="193"/>
      <c r="V993" s="193"/>
      <c r="W993" s="193"/>
      <c r="X993" s="193"/>
      <c r="Y993" s="193"/>
      <c r="Z993" s="193"/>
      <c r="AC993" s="193"/>
      <c r="AD993" s="193"/>
      <c r="AE993" s="193"/>
      <c r="AF993" s="193"/>
    </row>
    <row r="994" spans="21:32" x14ac:dyDescent="0.3">
      <c r="U994" s="193"/>
      <c r="V994" s="193"/>
      <c r="W994" s="193"/>
      <c r="X994" s="193"/>
      <c r="Y994" s="193"/>
      <c r="Z994" s="193"/>
      <c r="AC994" s="193"/>
      <c r="AD994" s="193"/>
      <c r="AE994" s="193"/>
      <c r="AF994" s="193"/>
    </row>
    <row r="995" spans="21:32" x14ac:dyDescent="0.3">
      <c r="U995" s="193"/>
      <c r="V995" s="193"/>
      <c r="W995" s="193"/>
      <c r="X995" s="193"/>
      <c r="Y995" s="193"/>
      <c r="Z995" s="193"/>
      <c r="AC995" s="193"/>
      <c r="AD995" s="193"/>
      <c r="AE995" s="193"/>
      <c r="AF995" s="193"/>
    </row>
    <row r="996" spans="21:32" x14ac:dyDescent="0.3">
      <c r="U996" s="193"/>
      <c r="V996" s="193"/>
      <c r="W996" s="193"/>
      <c r="X996" s="193"/>
      <c r="Y996" s="193"/>
      <c r="Z996" s="193"/>
      <c r="AC996" s="193"/>
      <c r="AD996" s="193"/>
      <c r="AE996" s="193"/>
      <c r="AF996" s="193"/>
    </row>
    <row r="997" spans="21:32" x14ac:dyDescent="0.3">
      <c r="U997" s="193"/>
      <c r="V997" s="193"/>
      <c r="W997" s="193"/>
      <c r="X997" s="193"/>
      <c r="Y997" s="193"/>
      <c r="Z997" s="193"/>
      <c r="AC997" s="193"/>
      <c r="AD997" s="193"/>
      <c r="AE997" s="193"/>
      <c r="AF997" s="193"/>
    </row>
    <row r="998" spans="21:32" x14ac:dyDescent="0.3">
      <c r="U998" s="193"/>
      <c r="V998" s="193"/>
      <c r="W998" s="193"/>
      <c r="X998" s="193"/>
      <c r="Y998" s="193"/>
      <c r="Z998" s="193"/>
      <c r="AC998" s="193"/>
      <c r="AD998" s="193"/>
      <c r="AE998" s="193"/>
      <c r="AF998" s="193"/>
    </row>
    <row r="999" spans="21:32" x14ac:dyDescent="0.3">
      <c r="U999" s="193"/>
      <c r="V999" s="193"/>
      <c r="W999" s="193"/>
      <c r="X999" s="193"/>
      <c r="Y999" s="193"/>
      <c r="Z999" s="193"/>
      <c r="AC999" s="193"/>
      <c r="AD999" s="193"/>
      <c r="AE999" s="193"/>
      <c r="AF999" s="193"/>
    </row>
    <row r="1000" spans="21:32" x14ac:dyDescent="0.3">
      <c r="U1000" s="193"/>
      <c r="V1000" s="193"/>
      <c r="W1000" s="193"/>
      <c r="X1000" s="193"/>
      <c r="Y1000" s="193"/>
      <c r="Z1000" s="193"/>
      <c r="AC1000" s="193"/>
      <c r="AD1000" s="193"/>
      <c r="AE1000" s="193"/>
      <c r="AF1000" s="193"/>
    </row>
    <row r="1001" spans="21:32" x14ac:dyDescent="0.3">
      <c r="U1001" s="193"/>
      <c r="V1001" s="193"/>
      <c r="W1001" s="193"/>
      <c r="X1001" s="193"/>
      <c r="Y1001" s="193"/>
      <c r="Z1001" s="193"/>
      <c r="AC1001" s="193"/>
      <c r="AD1001" s="193"/>
      <c r="AE1001" s="193"/>
      <c r="AF1001" s="193"/>
    </row>
    <row r="1002" spans="21:32" x14ac:dyDescent="0.3">
      <c r="U1002" s="193"/>
      <c r="V1002" s="193"/>
      <c r="W1002" s="193"/>
      <c r="X1002" s="193"/>
      <c r="Y1002" s="193"/>
      <c r="Z1002" s="193"/>
      <c r="AC1002" s="193"/>
      <c r="AD1002" s="193"/>
      <c r="AE1002" s="193"/>
      <c r="AF1002" s="193"/>
    </row>
    <row r="1003" spans="21:32" x14ac:dyDescent="0.3">
      <c r="U1003" s="193"/>
      <c r="V1003" s="193"/>
      <c r="W1003" s="193"/>
      <c r="X1003" s="193"/>
      <c r="Y1003" s="193"/>
      <c r="Z1003" s="193"/>
      <c r="AC1003" s="193"/>
      <c r="AD1003" s="193"/>
      <c r="AE1003" s="193"/>
      <c r="AF1003" s="193"/>
    </row>
    <row r="1004" spans="21:32" x14ac:dyDescent="0.3">
      <c r="U1004" s="193"/>
      <c r="V1004" s="193"/>
      <c r="W1004" s="193"/>
      <c r="X1004" s="193"/>
      <c r="Y1004" s="193"/>
      <c r="Z1004" s="193"/>
      <c r="AC1004" s="193"/>
      <c r="AD1004" s="193"/>
      <c r="AE1004" s="193"/>
      <c r="AF1004" s="193"/>
    </row>
    <row r="1005" spans="21:32" x14ac:dyDescent="0.3">
      <c r="U1005" s="193"/>
      <c r="V1005" s="193"/>
      <c r="W1005" s="193"/>
      <c r="X1005" s="193"/>
      <c r="Y1005" s="193"/>
      <c r="Z1005" s="193"/>
      <c r="AC1005" s="193"/>
      <c r="AD1005" s="193"/>
      <c r="AE1005" s="193"/>
      <c r="AF1005" s="193"/>
    </row>
    <row r="1006" spans="21:32" x14ac:dyDescent="0.3">
      <c r="U1006" s="193"/>
      <c r="V1006" s="193"/>
      <c r="W1006" s="193"/>
      <c r="X1006" s="193"/>
      <c r="Y1006" s="193"/>
      <c r="Z1006" s="193"/>
      <c r="AC1006" s="193"/>
      <c r="AD1006" s="193"/>
      <c r="AE1006" s="193"/>
      <c r="AF1006" s="193"/>
    </row>
    <row r="1007" spans="21:32" x14ac:dyDescent="0.3">
      <c r="U1007" s="193"/>
      <c r="V1007" s="193"/>
      <c r="W1007" s="193"/>
      <c r="X1007" s="193"/>
      <c r="Y1007" s="193"/>
      <c r="Z1007" s="193"/>
      <c r="AC1007" s="193"/>
      <c r="AD1007" s="193"/>
      <c r="AE1007" s="193"/>
      <c r="AF1007" s="193"/>
    </row>
    <row r="1008" spans="21:32" x14ac:dyDescent="0.3">
      <c r="U1008" s="193"/>
      <c r="V1008" s="193"/>
      <c r="W1008" s="193"/>
      <c r="X1008" s="193"/>
      <c r="Y1008" s="193"/>
      <c r="Z1008" s="193"/>
      <c r="AC1008" s="193"/>
      <c r="AD1008" s="193"/>
      <c r="AE1008" s="193"/>
      <c r="AF1008" s="193"/>
    </row>
    <row r="1009" spans="21:32" x14ac:dyDescent="0.3">
      <c r="U1009" s="193"/>
      <c r="V1009" s="193"/>
      <c r="W1009" s="193"/>
      <c r="X1009" s="193"/>
      <c r="Y1009" s="193"/>
      <c r="Z1009" s="193"/>
      <c r="AC1009" s="193"/>
      <c r="AD1009" s="193"/>
      <c r="AE1009" s="193"/>
      <c r="AF1009" s="193"/>
    </row>
    <row r="1010" spans="21:32" x14ac:dyDescent="0.3">
      <c r="U1010" s="193"/>
      <c r="V1010" s="193"/>
      <c r="W1010" s="193"/>
      <c r="X1010" s="193"/>
      <c r="Y1010" s="193"/>
      <c r="Z1010" s="193"/>
      <c r="AC1010" s="193"/>
      <c r="AD1010" s="193"/>
      <c r="AE1010" s="193"/>
      <c r="AF1010" s="193"/>
    </row>
    <row r="1011" spans="21:32" x14ac:dyDescent="0.3">
      <c r="U1011" s="193"/>
      <c r="V1011" s="193"/>
      <c r="W1011" s="193"/>
      <c r="X1011" s="193"/>
      <c r="Y1011" s="193"/>
      <c r="Z1011" s="193"/>
      <c r="AC1011" s="193"/>
      <c r="AD1011" s="193"/>
      <c r="AE1011" s="193"/>
      <c r="AF1011" s="193"/>
    </row>
    <row r="1012" spans="21:32" x14ac:dyDescent="0.3">
      <c r="U1012" s="193"/>
      <c r="V1012" s="193"/>
      <c r="W1012" s="193"/>
      <c r="X1012" s="193"/>
      <c r="Y1012" s="193"/>
      <c r="Z1012" s="193"/>
      <c r="AC1012" s="193"/>
      <c r="AD1012" s="193"/>
      <c r="AE1012" s="193"/>
      <c r="AF1012" s="193"/>
    </row>
    <row r="1013" spans="21:32" x14ac:dyDescent="0.3">
      <c r="U1013" s="193"/>
      <c r="V1013" s="193"/>
      <c r="W1013" s="193"/>
      <c r="X1013" s="193"/>
      <c r="Y1013" s="193"/>
      <c r="Z1013" s="193"/>
      <c r="AC1013" s="193"/>
      <c r="AD1013" s="193"/>
      <c r="AE1013" s="193"/>
      <c r="AF1013" s="193"/>
    </row>
    <row r="1014" spans="21:32" x14ac:dyDescent="0.3">
      <c r="U1014" s="193"/>
      <c r="V1014" s="193"/>
      <c r="W1014" s="193"/>
      <c r="X1014" s="193"/>
      <c r="Y1014" s="193"/>
      <c r="Z1014" s="193"/>
      <c r="AC1014" s="193"/>
      <c r="AD1014" s="193"/>
      <c r="AE1014" s="193"/>
      <c r="AF1014" s="193"/>
    </row>
    <row r="1015" spans="21:32" x14ac:dyDescent="0.3">
      <c r="U1015" s="193"/>
      <c r="V1015" s="193"/>
      <c r="W1015" s="193"/>
      <c r="X1015" s="193"/>
      <c r="Y1015" s="193"/>
      <c r="Z1015" s="193"/>
      <c r="AC1015" s="193"/>
      <c r="AD1015" s="193"/>
      <c r="AE1015" s="193"/>
      <c r="AF1015" s="193"/>
    </row>
    <row r="1016" spans="21:32" x14ac:dyDescent="0.3">
      <c r="U1016" s="193"/>
      <c r="V1016" s="193"/>
      <c r="W1016" s="193"/>
      <c r="X1016" s="193"/>
      <c r="Y1016" s="193"/>
      <c r="Z1016" s="193"/>
      <c r="AC1016" s="193"/>
      <c r="AD1016" s="193"/>
      <c r="AE1016" s="193"/>
      <c r="AF1016" s="193"/>
    </row>
    <row r="1017" spans="21:32" x14ac:dyDescent="0.3">
      <c r="U1017" s="193"/>
      <c r="V1017" s="193"/>
      <c r="W1017" s="193"/>
      <c r="X1017" s="193"/>
      <c r="Y1017" s="193"/>
      <c r="Z1017" s="193"/>
      <c r="AC1017" s="193"/>
      <c r="AD1017" s="193"/>
      <c r="AE1017" s="193"/>
      <c r="AF1017" s="193"/>
    </row>
    <row r="1018" spans="21:32" x14ac:dyDescent="0.3">
      <c r="U1018" s="193"/>
      <c r="V1018" s="193"/>
      <c r="W1018" s="193"/>
      <c r="X1018" s="193"/>
      <c r="Y1018" s="193"/>
      <c r="Z1018" s="193"/>
      <c r="AC1018" s="193"/>
      <c r="AD1018" s="193"/>
      <c r="AE1018" s="193"/>
      <c r="AF1018" s="193"/>
    </row>
    <row r="1019" spans="21:32" x14ac:dyDescent="0.3">
      <c r="U1019" s="193"/>
      <c r="V1019" s="193"/>
      <c r="W1019" s="193"/>
      <c r="X1019" s="193"/>
      <c r="Y1019" s="193"/>
      <c r="Z1019" s="193"/>
      <c r="AC1019" s="193"/>
      <c r="AD1019" s="193"/>
      <c r="AE1019" s="193"/>
      <c r="AF1019" s="193"/>
    </row>
    <row r="1020" spans="21:32" x14ac:dyDescent="0.3">
      <c r="U1020" s="193"/>
      <c r="V1020" s="193"/>
      <c r="W1020" s="193"/>
      <c r="X1020" s="193"/>
      <c r="Y1020" s="193"/>
      <c r="Z1020" s="193"/>
      <c r="AC1020" s="193"/>
      <c r="AD1020" s="193"/>
      <c r="AE1020" s="193"/>
      <c r="AF1020" s="193"/>
    </row>
    <row r="1021" spans="21:32" x14ac:dyDescent="0.3">
      <c r="U1021" s="193"/>
      <c r="V1021" s="193"/>
      <c r="W1021" s="193"/>
      <c r="X1021" s="193"/>
      <c r="Y1021" s="193"/>
      <c r="Z1021" s="193"/>
      <c r="AC1021" s="193"/>
      <c r="AD1021" s="193"/>
      <c r="AE1021" s="193"/>
      <c r="AF1021" s="193"/>
    </row>
    <row r="1022" spans="21:32" x14ac:dyDescent="0.3">
      <c r="U1022" s="193"/>
      <c r="V1022" s="193"/>
      <c r="W1022" s="193"/>
      <c r="X1022" s="193"/>
      <c r="Y1022" s="193"/>
      <c r="Z1022" s="193"/>
      <c r="AC1022" s="193"/>
      <c r="AD1022" s="193"/>
      <c r="AE1022" s="193"/>
      <c r="AF1022" s="193"/>
    </row>
    <row r="1023" spans="21:32" x14ac:dyDescent="0.3">
      <c r="U1023" s="193"/>
      <c r="V1023" s="193"/>
      <c r="W1023" s="193"/>
      <c r="X1023" s="193"/>
      <c r="Y1023" s="193"/>
      <c r="Z1023" s="193"/>
      <c r="AC1023" s="193"/>
      <c r="AD1023" s="193"/>
      <c r="AE1023" s="193"/>
      <c r="AF1023" s="193"/>
    </row>
    <row r="1024" spans="21:32" x14ac:dyDescent="0.3">
      <c r="U1024" s="193"/>
      <c r="V1024" s="193"/>
      <c r="W1024" s="193"/>
      <c r="X1024" s="193"/>
      <c r="Y1024" s="193"/>
      <c r="Z1024" s="193"/>
      <c r="AC1024" s="193"/>
      <c r="AD1024" s="193"/>
      <c r="AE1024" s="193"/>
      <c r="AF1024" s="193"/>
    </row>
    <row r="1025" spans="21:32" x14ac:dyDescent="0.3">
      <c r="U1025" s="193"/>
      <c r="V1025" s="193"/>
      <c r="W1025" s="193"/>
      <c r="X1025" s="193"/>
      <c r="Y1025" s="193"/>
      <c r="Z1025" s="193"/>
      <c r="AC1025" s="193"/>
      <c r="AD1025" s="193"/>
      <c r="AE1025" s="193"/>
      <c r="AF1025" s="193"/>
    </row>
    <row r="1026" spans="21:32" x14ac:dyDescent="0.3">
      <c r="U1026" s="193"/>
      <c r="V1026" s="193"/>
      <c r="W1026" s="193"/>
      <c r="X1026" s="193"/>
      <c r="Y1026" s="193"/>
      <c r="Z1026" s="193"/>
      <c r="AC1026" s="193"/>
      <c r="AD1026" s="193"/>
      <c r="AE1026" s="193"/>
      <c r="AF1026" s="193"/>
    </row>
    <row r="1027" spans="21:32" x14ac:dyDescent="0.3">
      <c r="U1027" s="193"/>
      <c r="V1027" s="193"/>
      <c r="W1027" s="193"/>
      <c r="X1027" s="193"/>
      <c r="Y1027" s="193"/>
      <c r="Z1027" s="193"/>
      <c r="AC1027" s="193"/>
      <c r="AD1027" s="193"/>
      <c r="AE1027" s="193"/>
      <c r="AF1027" s="193"/>
    </row>
    <row r="1028" spans="21:32" x14ac:dyDescent="0.3">
      <c r="U1028" s="193"/>
      <c r="V1028" s="193"/>
      <c r="W1028" s="193"/>
      <c r="X1028" s="193"/>
      <c r="Y1028" s="193"/>
      <c r="Z1028" s="193"/>
      <c r="AC1028" s="193"/>
      <c r="AD1028" s="193"/>
      <c r="AE1028" s="193"/>
      <c r="AF1028" s="193"/>
    </row>
    <row r="1029" spans="21:32" x14ac:dyDescent="0.3">
      <c r="U1029" s="193"/>
      <c r="V1029" s="193"/>
      <c r="W1029" s="193"/>
      <c r="X1029" s="193"/>
      <c r="Y1029" s="193"/>
      <c r="Z1029" s="193"/>
      <c r="AC1029" s="193"/>
      <c r="AD1029" s="193"/>
      <c r="AE1029" s="193"/>
      <c r="AF1029" s="193"/>
    </row>
    <row r="1030" spans="21:32" x14ac:dyDescent="0.3">
      <c r="U1030" s="193"/>
      <c r="V1030" s="193"/>
      <c r="W1030" s="193"/>
      <c r="X1030" s="193"/>
      <c r="Y1030" s="193"/>
      <c r="Z1030" s="193"/>
      <c r="AC1030" s="193"/>
      <c r="AD1030" s="193"/>
      <c r="AE1030" s="193"/>
      <c r="AF1030" s="193"/>
    </row>
    <row r="1031" spans="21:32" x14ac:dyDescent="0.3">
      <c r="U1031" s="193"/>
      <c r="V1031" s="193"/>
      <c r="W1031" s="193"/>
      <c r="X1031" s="193"/>
      <c r="Y1031" s="193"/>
      <c r="Z1031" s="193"/>
      <c r="AC1031" s="193"/>
      <c r="AD1031" s="193"/>
      <c r="AE1031" s="193"/>
      <c r="AF1031" s="193"/>
    </row>
    <row r="1032" spans="21:32" x14ac:dyDescent="0.3">
      <c r="U1032" s="193"/>
      <c r="V1032" s="193"/>
      <c r="W1032" s="193"/>
      <c r="X1032" s="193"/>
      <c r="Y1032" s="193"/>
      <c r="Z1032" s="193"/>
      <c r="AC1032" s="193"/>
      <c r="AD1032" s="193"/>
      <c r="AE1032" s="193"/>
      <c r="AF1032" s="193"/>
    </row>
    <row r="1033" spans="21:32" x14ac:dyDescent="0.3">
      <c r="U1033" s="193"/>
      <c r="V1033" s="193"/>
      <c r="W1033" s="193"/>
      <c r="X1033" s="193"/>
      <c r="Y1033" s="193"/>
      <c r="Z1033" s="193"/>
      <c r="AC1033" s="193"/>
      <c r="AD1033" s="193"/>
      <c r="AE1033" s="193"/>
      <c r="AF1033" s="193"/>
    </row>
    <row r="1034" spans="21:32" x14ac:dyDescent="0.3">
      <c r="U1034" s="193"/>
      <c r="V1034" s="193"/>
      <c r="W1034" s="193"/>
      <c r="X1034" s="193"/>
      <c r="Y1034" s="193"/>
      <c r="Z1034" s="193"/>
      <c r="AC1034" s="193"/>
      <c r="AD1034" s="193"/>
      <c r="AE1034" s="193"/>
      <c r="AF1034" s="193"/>
    </row>
    <row r="1035" spans="21:32" x14ac:dyDescent="0.3">
      <c r="U1035" s="193"/>
      <c r="V1035" s="193"/>
      <c r="W1035" s="193"/>
      <c r="X1035" s="193"/>
      <c r="Y1035" s="193"/>
      <c r="Z1035" s="193"/>
      <c r="AC1035" s="193"/>
      <c r="AD1035" s="193"/>
      <c r="AE1035" s="193"/>
      <c r="AF1035" s="193"/>
    </row>
    <row r="1036" spans="21:32" x14ac:dyDescent="0.3">
      <c r="U1036" s="193"/>
      <c r="V1036" s="193"/>
      <c r="W1036" s="193"/>
      <c r="X1036" s="193"/>
      <c r="Y1036" s="193"/>
      <c r="Z1036" s="193"/>
      <c r="AC1036" s="193"/>
      <c r="AD1036" s="193"/>
      <c r="AE1036" s="193"/>
      <c r="AF1036" s="193"/>
    </row>
    <row r="1037" spans="21:32" x14ac:dyDescent="0.3">
      <c r="U1037" s="193"/>
      <c r="V1037" s="193"/>
      <c r="W1037" s="193"/>
      <c r="X1037" s="193"/>
      <c r="Y1037" s="193"/>
      <c r="Z1037" s="193"/>
      <c r="AC1037" s="193"/>
      <c r="AD1037" s="193"/>
      <c r="AE1037" s="193"/>
      <c r="AF1037" s="193"/>
    </row>
    <row r="1038" spans="21:32" x14ac:dyDescent="0.3">
      <c r="U1038" s="193"/>
      <c r="V1038" s="193"/>
      <c r="W1038" s="193"/>
      <c r="X1038" s="193"/>
      <c r="Y1038" s="193"/>
      <c r="Z1038" s="193"/>
      <c r="AC1038" s="193"/>
      <c r="AD1038" s="193"/>
      <c r="AE1038" s="193"/>
      <c r="AF1038" s="193"/>
    </row>
    <row r="1039" spans="21:32" x14ac:dyDescent="0.3">
      <c r="U1039" s="193"/>
      <c r="V1039" s="193"/>
      <c r="W1039" s="193"/>
      <c r="X1039" s="193"/>
      <c r="Y1039" s="193"/>
      <c r="Z1039" s="193"/>
      <c r="AC1039" s="193"/>
      <c r="AD1039" s="193"/>
      <c r="AE1039" s="193"/>
      <c r="AF1039" s="193"/>
    </row>
    <row r="1040" spans="21:32" x14ac:dyDescent="0.3">
      <c r="U1040" s="193"/>
      <c r="V1040" s="193"/>
      <c r="W1040" s="193"/>
      <c r="X1040" s="193"/>
      <c r="Y1040" s="193"/>
      <c r="Z1040" s="193"/>
      <c r="AC1040" s="193"/>
      <c r="AD1040" s="193"/>
      <c r="AE1040" s="193"/>
      <c r="AF1040" s="193"/>
    </row>
    <row r="1041" spans="21:32" x14ac:dyDescent="0.3">
      <c r="U1041" s="193"/>
      <c r="V1041" s="193"/>
      <c r="W1041" s="193"/>
      <c r="X1041" s="193"/>
      <c r="Y1041" s="193"/>
      <c r="Z1041" s="193"/>
      <c r="AC1041" s="193"/>
      <c r="AD1041" s="193"/>
      <c r="AE1041" s="193"/>
      <c r="AF1041" s="193"/>
    </row>
    <row r="1042" spans="21:32" x14ac:dyDescent="0.3">
      <c r="U1042" s="193"/>
      <c r="V1042" s="193"/>
      <c r="W1042" s="193"/>
      <c r="X1042" s="193"/>
      <c r="Y1042" s="193"/>
      <c r="Z1042" s="193"/>
      <c r="AC1042" s="193"/>
      <c r="AD1042" s="193"/>
      <c r="AE1042" s="193"/>
      <c r="AF1042" s="193"/>
    </row>
    <row r="1043" spans="21:32" x14ac:dyDescent="0.3">
      <c r="U1043" s="193"/>
      <c r="V1043" s="193"/>
      <c r="W1043" s="193"/>
      <c r="X1043" s="193"/>
      <c r="Y1043" s="193"/>
      <c r="Z1043" s="193"/>
      <c r="AC1043" s="193"/>
      <c r="AD1043" s="193"/>
      <c r="AE1043" s="193"/>
      <c r="AF1043" s="193"/>
    </row>
    <row r="1044" spans="21:32" x14ac:dyDescent="0.3">
      <c r="U1044" s="193"/>
      <c r="V1044" s="193"/>
      <c r="W1044" s="193"/>
      <c r="X1044" s="193"/>
      <c r="Y1044" s="193"/>
      <c r="Z1044" s="193"/>
      <c r="AC1044" s="193"/>
      <c r="AD1044" s="193"/>
      <c r="AE1044" s="193"/>
      <c r="AF1044" s="193"/>
    </row>
    <row r="1045" spans="21:32" x14ac:dyDescent="0.3">
      <c r="U1045" s="193"/>
      <c r="V1045" s="193"/>
      <c r="W1045" s="193"/>
      <c r="X1045" s="193"/>
      <c r="Y1045" s="193"/>
      <c r="Z1045" s="193"/>
      <c r="AC1045" s="193"/>
      <c r="AD1045" s="193"/>
      <c r="AE1045" s="193"/>
      <c r="AF1045" s="193"/>
    </row>
    <row r="1046" spans="21:32" x14ac:dyDescent="0.3">
      <c r="U1046" s="193"/>
      <c r="V1046" s="193"/>
      <c r="W1046" s="193"/>
      <c r="X1046" s="193"/>
      <c r="Y1046" s="193"/>
      <c r="Z1046" s="193"/>
      <c r="AC1046" s="193"/>
      <c r="AD1046" s="193"/>
      <c r="AE1046" s="193"/>
      <c r="AF1046" s="193"/>
    </row>
    <row r="1047" spans="21:32" x14ac:dyDescent="0.3">
      <c r="U1047" s="193"/>
      <c r="V1047" s="193"/>
      <c r="W1047" s="193"/>
      <c r="X1047" s="193"/>
      <c r="Y1047" s="193"/>
      <c r="Z1047" s="193"/>
      <c r="AC1047" s="193"/>
      <c r="AD1047" s="193"/>
      <c r="AE1047" s="193"/>
      <c r="AF1047" s="193"/>
    </row>
    <row r="1048" spans="21:32" x14ac:dyDescent="0.3">
      <c r="U1048" s="193"/>
      <c r="V1048" s="193"/>
      <c r="W1048" s="193"/>
      <c r="X1048" s="193"/>
      <c r="Y1048" s="193"/>
      <c r="Z1048" s="193"/>
      <c r="AC1048" s="193"/>
      <c r="AD1048" s="193"/>
      <c r="AE1048" s="193"/>
      <c r="AF1048" s="193"/>
    </row>
    <row r="1049" spans="21:32" x14ac:dyDescent="0.3">
      <c r="U1049" s="193"/>
      <c r="V1049" s="193"/>
      <c r="W1049" s="193"/>
      <c r="X1049" s="193"/>
      <c r="Y1049" s="193"/>
      <c r="Z1049" s="193"/>
      <c r="AC1049" s="193"/>
      <c r="AD1049" s="193"/>
      <c r="AE1049" s="193"/>
      <c r="AF1049" s="193"/>
    </row>
    <row r="1050" spans="21:32" x14ac:dyDescent="0.3">
      <c r="U1050" s="193"/>
      <c r="V1050" s="193"/>
      <c r="W1050" s="193"/>
      <c r="X1050" s="193"/>
      <c r="Y1050" s="193"/>
      <c r="Z1050" s="193"/>
      <c r="AC1050" s="193"/>
      <c r="AD1050" s="193"/>
      <c r="AE1050" s="193"/>
      <c r="AF1050" s="193"/>
    </row>
    <row r="1051" spans="21:32" x14ac:dyDescent="0.3">
      <c r="U1051" s="193"/>
      <c r="V1051" s="193"/>
      <c r="W1051" s="193"/>
      <c r="X1051" s="193"/>
      <c r="Y1051" s="193"/>
      <c r="Z1051" s="193"/>
      <c r="AC1051" s="193"/>
      <c r="AD1051" s="193"/>
      <c r="AE1051" s="193"/>
      <c r="AF1051" s="193"/>
    </row>
    <row r="1052" spans="21:32" x14ac:dyDescent="0.3">
      <c r="U1052" s="193"/>
      <c r="V1052" s="193"/>
      <c r="W1052" s="193"/>
      <c r="X1052" s="193"/>
      <c r="Y1052" s="193"/>
      <c r="Z1052" s="193"/>
      <c r="AC1052" s="193"/>
      <c r="AD1052" s="193"/>
      <c r="AE1052" s="193"/>
      <c r="AF1052" s="193"/>
    </row>
    <row r="1053" spans="21:32" x14ac:dyDescent="0.3">
      <c r="U1053" s="193"/>
      <c r="V1053" s="193"/>
      <c r="W1053" s="193"/>
      <c r="X1053" s="193"/>
      <c r="Y1053" s="193"/>
      <c r="Z1053" s="193"/>
      <c r="AC1053" s="193"/>
      <c r="AD1053" s="193"/>
      <c r="AE1053" s="193"/>
      <c r="AF1053" s="193"/>
    </row>
    <row r="1054" spans="21:32" x14ac:dyDescent="0.3">
      <c r="U1054" s="193"/>
      <c r="V1054" s="193"/>
      <c r="W1054" s="193"/>
      <c r="X1054" s="193"/>
      <c r="Y1054" s="193"/>
      <c r="Z1054" s="193"/>
      <c r="AC1054" s="193"/>
      <c r="AD1054" s="193"/>
      <c r="AE1054" s="193"/>
      <c r="AF1054" s="193"/>
    </row>
    <row r="1055" spans="21:32" x14ac:dyDescent="0.3">
      <c r="U1055" s="193"/>
      <c r="V1055" s="193"/>
      <c r="W1055" s="193"/>
      <c r="X1055" s="193"/>
      <c r="Y1055" s="193"/>
      <c r="Z1055" s="193"/>
      <c r="AC1055" s="193"/>
      <c r="AD1055" s="193"/>
      <c r="AE1055" s="193"/>
      <c r="AF1055" s="193"/>
    </row>
    <row r="1056" spans="21:32" x14ac:dyDescent="0.3">
      <c r="U1056" s="193"/>
      <c r="V1056" s="193"/>
      <c r="W1056" s="193"/>
      <c r="X1056" s="193"/>
      <c r="Y1056" s="193"/>
      <c r="Z1056" s="193"/>
      <c r="AC1056" s="193"/>
      <c r="AD1056" s="193"/>
      <c r="AE1056" s="193"/>
      <c r="AF1056" s="193"/>
    </row>
    <row r="1057" spans="21:32" x14ac:dyDescent="0.3">
      <c r="U1057" s="193"/>
      <c r="V1057" s="193"/>
      <c r="W1057" s="193"/>
      <c r="X1057" s="193"/>
      <c r="Y1057" s="193"/>
      <c r="Z1057" s="193"/>
      <c r="AC1057" s="193"/>
      <c r="AD1057" s="193"/>
      <c r="AE1057" s="193"/>
      <c r="AF1057" s="193"/>
    </row>
    <row r="1058" spans="21:32" x14ac:dyDescent="0.3">
      <c r="U1058" s="193"/>
      <c r="V1058" s="193"/>
      <c r="W1058" s="193"/>
      <c r="X1058" s="193"/>
      <c r="Y1058" s="193"/>
      <c r="Z1058" s="193"/>
      <c r="AC1058" s="193"/>
      <c r="AD1058" s="193"/>
      <c r="AE1058" s="193"/>
      <c r="AF1058" s="193"/>
    </row>
    <row r="1059" spans="21:32" x14ac:dyDescent="0.3">
      <c r="U1059" s="193"/>
      <c r="V1059" s="193"/>
      <c r="W1059" s="193"/>
      <c r="X1059" s="193"/>
      <c r="Y1059" s="193"/>
      <c r="Z1059" s="193"/>
      <c r="AC1059" s="193"/>
      <c r="AD1059" s="193"/>
      <c r="AE1059" s="193"/>
      <c r="AF1059" s="193"/>
    </row>
    <row r="1060" spans="21:32" x14ac:dyDescent="0.3">
      <c r="U1060" s="193"/>
      <c r="V1060" s="193"/>
      <c r="W1060" s="193"/>
      <c r="X1060" s="193"/>
      <c r="Y1060" s="193"/>
      <c r="Z1060" s="193"/>
      <c r="AC1060" s="193"/>
      <c r="AD1060" s="193"/>
      <c r="AE1060" s="193"/>
      <c r="AF1060" s="193"/>
    </row>
    <row r="1061" spans="21:32" x14ac:dyDescent="0.3">
      <c r="U1061" s="193"/>
      <c r="V1061" s="193"/>
      <c r="W1061" s="193"/>
      <c r="X1061" s="193"/>
      <c r="Y1061" s="193"/>
      <c r="Z1061" s="193"/>
      <c r="AC1061" s="193"/>
      <c r="AD1061" s="193"/>
      <c r="AE1061" s="193"/>
      <c r="AF1061" s="193"/>
    </row>
    <row r="1062" spans="21:32" x14ac:dyDescent="0.3">
      <c r="U1062" s="193"/>
      <c r="V1062" s="193"/>
      <c r="W1062" s="193"/>
      <c r="X1062" s="193"/>
      <c r="Y1062" s="193"/>
      <c r="Z1062" s="193"/>
      <c r="AC1062" s="193"/>
      <c r="AD1062" s="193"/>
      <c r="AE1062" s="193"/>
      <c r="AF1062" s="193"/>
    </row>
    <row r="1063" spans="21:32" x14ac:dyDescent="0.3">
      <c r="U1063" s="193"/>
      <c r="V1063" s="193"/>
      <c r="W1063" s="193"/>
      <c r="X1063" s="193"/>
      <c r="Y1063" s="193"/>
      <c r="Z1063" s="193"/>
      <c r="AC1063" s="193"/>
      <c r="AD1063" s="193"/>
      <c r="AE1063" s="193"/>
      <c r="AF1063" s="193"/>
    </row>
    <row r="1064" spans="21:32" x14ac:dyDescent="0.3">
      <c r="U1064" s="193"/>
      <c r="V1064" s="193"/>
      <c r="W1064" s="193"/>
      <c r="X1064" s="193"/>
      <c r="Y1064" s="193"/>
      <c r="Z1064" s="193"/>
      <c r="AC1064" s="193"/>
      <c r="AD1064" s="193"/>
      <c r="AE1064" s="193"/>
      <c r="AF1064" s="193"/>
    </row>
    <row r="1065" spans="21:32" x14ac:dyDescent="0.3">
      <c r="U1065" s="193"/>
      <c r="V1065" s="193"/>
      <c r="W1065" s="193"/>
      <c r="X1065" s="193"/>
      <c r="Y1065" s="193"/>
      <c r="Z1065" s="193"/>
      <c r="AC1065" s="193"/>
      <c r="AD1065" s="193"/>
      <c r="AE1065" s="193"/>
      <c r="AF1065" s="193"/>
    </row>
    <row r="1066" spans="21:32" x14ac:dyDescent="0.3">
      <c r="U1066" s="193"/>
      <c r="V1066" s="193"/>
      <c r="W1066" s="193"/>
      <c r="X1066" s="193"/>
      <c r="Y1066" s="193"/>
      <c r="Z1066" s="193"/>
      <c r="AC1066" s="193"/>
      <c r="AD1066" s="193"/>
      <c r="AE1066" s="193"/>
      <c r="AF1066" s="193"/>
    </row>
    <row r="1067" spans="21:32" x14ac:dyDescent="0.3">
      <c r="U1067" s="193"/>
      <c r="V1067" s="193"/>
      <c r="W1067" s="193"/>
      <c r="X1067" s="193"/>
      <c r="Y1067" s="193"/>
      <c r="Z1067" s="193"/>
      <c r="AC1067" s="193"/>
      <c r="AD1067" s="193"/>
      <c r="AE1067" s="193"/>
      <c r="AF1067" s="193"/>
    </row>
    <row r="1068" spans="21:32" x14ac:dyDescent="0.3">
      <c r="U1068" s="193"/>
      <c r="V1068" s="193"/>
      <c r="W1068" s="193"/>
      <c r="X1068" s="193"/>
      <c r="Y1068" s="193"/>
      <c r="Z1068" s="193"/>
      <c r="AC1068" s="193"/>
      <c r="AD1068" s="193"/>
      <c r="AE1068" s="193"/>
      <c r="AF1068" s="193"/>
    </row>
    <row r="1069" spans="21:32" x14ac:dyDescent="0.3">
      <c r="U1069" s="193"/>
      <c r="V1069" s="193"/>
      <c r="W1069" s="193"/>
      <c r="X1069" s="193"/>
      <c r="Y1069" s="193"/>
      <c r="Z1069" s="193"/>
      <c r="AC1069" s="193"/>
      <c r="AD1069" s="193"/>
      <c r="AE1069" s="193"/>
      <c r="AF1069" s="193"/>
    </row>
    <row r="1070" spans="21:32" x14ac:dyDescent="0.3">
      <c r="U1070" s="193"/>
      <c r="V1070" s="193"/>
      <c r="W1070" s="193"/>
      <c r="X1070" s="193"/>
      <c r="Y1070" s="193"/>
      <c r="Z1070" s="193"/>
      <c r="AC1070" s="193"/>
      <c r="AD1070" s="193"/>
      <c r="AE1070" s="193"/>
      <c r="AF1070" s="193"/>
    </row>
    <row r="1071" spans="21:32" x14ac:dyDescent="0.3">
      <c r="U1071" s="193"/>
      <c r="V1071" s="193"/>
      <c r="W1071" s="193"/>
      <c r="X1071" s="193"/>
      <c r="Y1071" s="193"/>
      <c r="Z1071" s="193"/>
      <c r="AC1071" s="193"/>
      <c r="AD1071" s="193"/>
      <c r="AE1071" s="193"/>
      <c r="AF1071" s="193"/>
    </row>
    <row r="1072" spans="21:32" x14ac:dyDescent="0.3">
      <c r="U1072" s="193"/>
      <c r="V1072" s="193"/>
      <c r="W1072" s="193"/>
      <c r="X1072" s="193"/>
      <c r="Y1072" s="193"/>
      <c r="Z1072" s="193"/>
      <c r="AC1072" s="193"/>
      <c r="AD1072" s="193"/>
      <c r="AE1072" s="193"/>
      <c r="AF1072" s="193"/>
    </row>
    <row r="1073" spans="21:32" x14ac:dyDescent="0.3">
      <c r="U1073" s="193"/>
      <c r="V1073" s="193"/>
      <c r="W1073" s="193"/>
      <c r="X1073" s="193"/>
      <c r="Y1073" s="193"/>
      <c r="Z1073" s="193"/>
      <c r="AC1073" s="193"/>
      <c r="AD1073" s="193"/>
      <c r="AE1073" s="193"/>
      <c r="AF1073" s="193"/>
    </row>
    <row r="1074" spans="21:32" x14ac:dyDescent="0.3">
      <c r="U1074" s="193"/>
      <c r="V1074" s="193"/>
      <c r="W1074" s="193"/>
      <c r="X1074" s="193"/>
      <c r="Y1074" s="193"/>
      <c r="Z1074" s="193"/>
      <c r="AC1074" s="193"/>
      <c r="AD1074" s="193"/>
      <c r="AE1074" s="193"/>
      <c r="AF1074" s="193"/>
    </row>
    <row r="1075" spans="21:32" x14ac:dyDescent="0.3">
      <c r="U1075" s="193"/>
      <c r="V1075" s="193"/>
      <c r="W1075" s="193"/>
      <c r="X1075" s="193"/>
      <c r="Y1075" s="193"/>
      <c r="Z1075" s="193"/>
      <c r="AC1075" s="193"/>
      <c r="AD1075" s="193"/>
      <c r="AE1075" s="193"/>
      <c r="AF1075" s="193"/>
    </row>
    <row r="1076" spans="21:32" x14ac:dyDescent="0.3">
      <c r="U1076" s="193"/>
      <c r="V1076" s="193"/>
      <c r="W1076" s="193"/>
      <c r="X1076" s="193"/>
      <c r="Y1076" s="193"/>
      <c r="Z1076" s="193"/>
      <c r="AC1076" s="193"/>
      <c r="AD1076" s="193"/>
      <c r="AE1076" s="193"/>
      <c r="AF1076" s="193"/>
    </row>
    <row r="1077" spans="21:32" x14ac:dyDescent="0.3">
      <c r="U1077" s="193"/>
      <c r="V1077" s="193"/>
      <c r="W1077" s="193"/>
      <c r="X1077" s="193"/>
      <c r="Y1077" s="193"/>
      <c r="Z1077" s="193"/>
      <c r="AC1077" s="193"/>
      <c r="AD1077" s="193"/>
      <c r="AE1077" s="193"/>
      <c r="AF1077" s="193"/>
    </row>
    <row r="1078" spans="21:32" x14ac:dyDescent="0.3">
      <c r="U1078" s="193"/>
      <c r="V1078" s="193"/>
      <c r="W1078" s="193"/>
      <c r="X1078" s="193"/>
      <c r="Y1078" s="193"/>
      <c r="Z1078" s="193"/>
      <c r="AC1078" s="193"/>
      <c r="AD1078" s="193"/>
      <c r="AE1078" s="193"/>
      <c r="AF1078" s="193"/>
    </row>
    <row r="1079" spans="21:32" x14ac:dyDescent="0.3">
      <c r="U1079" s="193"/>
      <c r="V1079" s="193"/>
      <c r="W1079" s="193"/>
      <c r="X1079" s="193"/>
      <c r="Y1079" s="193"/>
      <c r="Z1079" s="193"/>
      <c r="AC1079" s="193"/>
      <c r="AD1079" s="193"/>
      <c r="AE1079" s="193"/>
      <c r="AF1079" s="193"/>
    </row>
    <row r="1080" spans="21:32" x14ac:dyDescent="0.3">
      <c r="U1080" s="193"/>
      <c r="V1080" s="193"/>
      <c r="W1080" s="193"/>
      <c r="X1080" s="193"/>
      <c r="Y1080" s="193"/>
      <c r="Z1080" s="193"/>
      <c r="AC1080" s="193"/>
      <c r="AD1080" s="193"/>
      <c r="AE1080" s="193"/>
      <c r="AF1080" s="193"/>
    </row>
    <row r="1081" spans="21:32" x14ac:dyDescent="0.3">
      <c r="U1081" s="193"/>
      <c r="V1081" s="193"/>
      <c r="W1081" s="193"/>
      <c r="X1081" s="193"/>
      <c r="Y1081" s="193"/>
      <c r="Z1081" s="193"/>
      <c r="AC1081" s="193"/>
      <c r="AD1081" s="193"/>
      <c r="AE1081" s="193"/>
      <c r="AF1081" s="193"/>
    </row>
    <row r="1082" spans="21:32" x14ac:dyDescent="0.3">
      <c r="U1082" s="193"/>
      <c r="V1082" s="193"/>
      <c r="W1082" s="193"/>
      <c r="X1082" s="193"/>
      <c r="Y1082" s="193"/>
      <c r="Z1082" s="193"/>
      <c r="AC1082" s="193"/>
      <c r="AD1082" s="193"/>
      <c r="AE1082" s="193"/>
      <c r="AF1082" s="193"/>
    </row>
    <row r="1083" spans="21:32" x14ac:dyDescent="0.3">
      <c r="U1083" s="193"/>
      <c r="V1083" s="193"/>
      <c r="W1083" s="193"/>
      <c r="X1083" s="193"/>
      <c r="Y1083" s="193"/>
      <c r="Z1083" s="193"/>
      <c r="AC1083" s="193"/>
      <c r="AD1083" s="193"/>
      <c r="AE1083" s="193"/>
      <c r="AF1083" s="193"/>
    </row>
    <row r="1084" spans="21:32" x14ac:dyDescent="0.3">
      <c r="U1084" s="193"/>
      <c r="V1084" s="193"/>
      <c r="W1084" s="193"/>
      <c r="X1084" s="193"/>
      <c r="Y1084" s="193"/>
      <c r="Z1084" s="193"/>
      <c r="AC1084" s="193"/>
      <c r="AD1084" s="193"/>
      <c r="AE1084" s="193"/>
      <c r="AF1084" s="193"/>
    </row>
    <row r="1085" spans="21:32" x14ac:dyDescent="0.3">
      <c r="U1085" s="193"/>
      <c r="V1085" s="193"/>
      <c r="W1085" s="193"/>
      <c r="X1085" s="193"/>
      <c r="Y1085" s="193"/>
      <c r="Z1085" s="193"/>
      <c r="AC1085" s="193"/>
      <c r="AD1085" s="193"/>
      <c r="AE1085" s="193"/>
      <c r="AF1085" s="193"/>
    </row>
    <row r="1086" spans="21:32" x14ac:dyDescent="0.3">
      <c r="U1086" s="193"/>
      <c r="V1086" s="193"/>
      <c r="W1086" s="193"/>
      <c r="X1086" s="193"/>
      <c r="Y1086" s="193"/>
      <c r="Z1086" s="193"/>
      <c r="AC1086" s="193"/>
      <c r="AD1086" s="193"/>
      <c r="AE1086" s="193"/>
      <c r="AF1086" s="193"/>
    </row>
    <row r="1087" spans="21:32" x14ac:dyDescent="0.3">
      <c r="U1087" s="193"/>
      <c r="V1087" s="193"/>
      <c r="W1087" s="193"/>
      <c r="X1087" s="193"/>
      <c r="Y1087" s="193"/>
      <c r="Z1087" s="193"/>
      <c r="AC1087" s="193"/>
      <c r="AD1087" s="193"/>
      <c r="AE1087" s="193"/>
      <c r="AF1087" s="193"/>
    </row>
    <row r="1088" spans="21:32" x14ac:dyDescent="0.3">
      <c r="U1088" s="193"/>
      <c r="V1088" s="193"/>
      <c r="W1088" s="193"/>
      <c r="X1088" s="193"/>
      <c r="Y1088" s="193"/>
      <c r="Z1088" s="193"/>
      <c r="AC1088" s="193"/>
      <c r="AD1088" s="193"/>
      <c r="AE1088" s="193"/>
      <c r="AF1088" s="193"/>
    </row>
    <row r="1089" spans="21:32" x14ac:dyDescent="0.3">
      <c r="U1089" s="193"/>
      <c r="V1089" s="193"/>
      <c r="W1089" s="193"/>
      <c r="X1089" s="193"/>
      <c r="Y1089" s="193"/>
      <c r="Z1089" s="193"/>
      <c r="AC1089" s="193"/>
      <c r="AD1089" s="193"/>
      <c r="AE1089" s="193"/>
      <c r="AF1089" s="193"/>
    </row>
    <row r="1090" spans="21:32" x14ac:dyDescent="0.3">
      <c r="U1090" s="193"/>
      <c r="V1090" s="193"/>
      <c r="W1090" s="193"/>
      <c r="X1090" s="193"/>
      <c r="Y1090" s="193"/>
      <c r="Z1090" s="193"/>
      <c r="AC1090" s="193"/>
      <c r="AD1090" s="193"/>
      <c r="AE1090" s="193"/>
      <c r="AF1090" s="193"/>
    </row>
    <row r="1091" spans="21:32" x14ac:dyDescent="0.3">
      <c r="U1091" s="193"/>
      <c r="V1091" s="193"/>
      <c r="W1091" s="193"/>
      <c r="X1091" s="193"/>
      <c r="Y1091" s="193"/>
      <c r="Z1091" s="193"/>
      <c r="AC1091" s="193"/>
      <c r="AD1091" s="193"/>
      <c r="AE1091" s="193"/>
      <c r="AF1091" s="193"/>
    </row>
    <row r="1092" spans="21:32" x14ac:dyDescent="0.3">
      <c r="U1092" s="193"/>
      <c r="V1092" s="193"/>
      <c r="W1092" s="193"/>
      <c r="X1092" s="193"/>
      <c r="Y1092" s="193"/>
      <c r="Z1092" s="193"/>
      <c r="AC1092" s="193"/>
      <c r="AD1092" s="193"/>
      <c r="AE1092" s="193"/>
      <c r="AF1092" s="193"/>
    </row>
    <row r="1093" spans="21:32" x14ac:dyDescent="0.3">
      <c r="U1093" s="193"/>
      <c r="V1093" s="193"/>
      <c r="W1093" s="193"/>
      <c r="X1093" s="193"/>
      <c r="Y1093" s="193"/>
      <c r="Z1093" s="193"/>
      <c r="AC1093" s="193"/>
      <c r="AD1093" s="193"/>
      <c r="AE1093" s="193"/>
      <c r="AF1093" s="193"/>
    </row>
    <row r="1094" spans="21:32" x14ac:dyDescent="0.3">
      <c r="U1094" s="193"/>
      <c r="V1094" s="193"/>
      <c r="W1094" s="193"/>
      <c r="X1094" s="193"/>
      <c r="Y1094" s="193"/>
      <c r="Z1094" s="193"/>
      <c r="AC1094" s="193"/>
      <c r="AD1094" s="193"/>
      <c r="AE1094" s="193"/>
      <c r="AF1094" s="193"/>
    </row>
    <row r="1095" spans="21:32" x14ac:dyDescent="0.3">
      <c r="U1095" s="193"/>
      <c r="V1095" s="193"/>
      <c r="W1095" s="193"/>
      <c r="X1095" s="193"/>
      <c r="Y1095" s="193"/>
      <c r="Z1095" s="193"/>
      <c r="AC1095" s="193"/>
      <c r="AD1095" s="193"/>
      <c r="AE1095" s="193"/>
      <c r="AF1095" s="193"/>
    </row>
    <row r="1096" spans="21:32" x14ac:dyDescent="0.3">
      <c r="U1096" s="193"/>
      <c r="V1096" s="193"/>
      <c r="W1096" s="193"/>
      <c r="X1096" s="193"/>
      <c r="Y1096" s="193"/>
      <c r="Z1096" s="193"/>
      <c r="AC1096" s="193"/>
      <c r="AD1096" s="193"/>
      <c r="AE1096" s="193"/>
      <c r="AF1096" s="193"/>
    </row>
    <row r="1097" spans="21:32" x14ac:dyDescent="0.3">
      <c r="U1097" s="193"/>
      <c r="V1097" s="193"/>
      <c r="W1097" s="193"/>
      <c r="X1097" s="193"/>
      <c r="Y1097" s="193"/>
      <c r="Z1097" s="193"/>
      <c r="AC1097" s="193"/>
      <c r="AD1097" s="193"/>
      <c r="AE1097" s="193"/>
      <c r="AF1097" s="193"/>
    </row>
    <row r="1098" spans="21:32" x14ac:dyDescent="0.3">
      <c r="U1098" s="193"/>
      <c r="V1098" s="193"/>
      <c r="W1098" s="193"/>
      <c r="X1098" s="193"/>
      <c r="Y1098" s="193"/>
      <c r="Z1098" s="193"/>
      <c r="AC1098" s="193"/>
      <c r="AD1098" s="193"/>
      <c r="AE1098" s="193"/>
      <c r="AF1098" s="193"/>
    </row>
    <row r="1099" spans="21:32" x14ac:dyDescent="0.3">
      <c r="U1099" s="193"/>
      <c r="V1099" s="193"/>
      <c r="W1099" s="193"/>
      <c r="X1099" s="193"/>
      <c r="Y1099" s="193"/>
      <c r="Z1099" s="193"/>
      <c r="AC1099" s="193"/>
      <c r="AD1099" s="193"/>
      <c r="AE1099" s="193"/>
      <c r="AF1099" s="193"/>
    </row>
    <row r="1100" spans="21:32" x14ac:dyDescent="0.3">
      <c r="U1100" s="193"/>
      <c r="V1100" s="193"/>
      <c r="W1100" s="193"/>
      <c r="X1100" s="193"/>
      <c r="Y1100" s="193"/>
      <c r="Z1100" s="193"/>
      <c r="AC1100" s="193"/>
      <c r="AD1100" s="193"/>
      <c r="AE1100" s="193"/>
      <c r="AF1100" s="193"/>
    </row>
    <row r="1101" spans="21:32" x14ac:dyDescent="0.3">
      <c r="U1101" s="193"/>
      <c r="V1101" s="193"/>
      <c r="W1101" s="193"/>
      <c r="X1101" s="193"/>
      <c r="Y1101" s="193"/>
      <c r="Z1101" s="193"/>
      <c r="AC1101" s="193"/>
      <c r="AD1101" s="193"/>
      <c r="AE1101" s="193"/>
      <c r="AF1101" s="193"/>
    </row>
    <row r="1102" spans="21:32" x14ac:dyDescent="0.3">
      <c r="U1102" s="193"/>
      <c r="V1102" s="193"/>
      <c r="W1102" s="193"/>
      <c r="X1102" s="193"/>
      <c r="Y1102" s="193"/>
      <c r="Z1102" s="193"/>
      <c r="AC1102" s="193"/>
      <c r="AD1102" s="193"/>
      <c r="AE1102" s="193"/>
      <c r="AF1102" s="193"/>
    </row>
    <row r="1103" spans="21:32" x14ac:dyDescent="0.3">
      <c r="U1103" s="193"/>
      <c r="V1103" s="193"/>
      <c r="W1103" s="193"/>
      <c r="X1103" s="193"/>
      <c r="Y1103" s="193"/>
      <c r="Z1103" s="193"/>
      <c r="AC1103" s="193"/>
      <c r="AD1103" s="193"/>
      <c r="AE1103" s="193"/>
      <c r="AF1103" s="193"/>
    </row>
    <row r="1104" spans="21:32" x14ac:dyDescent="0.3">
      <c r="U1104" s="193"/>
      <c r="V1104" s="193"/>
      <c r="W1104" s="193"/>
      <c r="X1104" s="193"/>
      <c r="Y1104" s="193"/>
      <c r="Z1104" s="193"/>
      <c r="AC1104" s="193"/>
      <c r="AD1104" s="193"/>
      <c r="AE1104" s="193"/>
      <c r="AF1104" s="193"/>
    </row>
    <row r="1105" spans="21:32" x14ac:dyDescent="0.3">
      <c r="U1105" s="193"/>
      <c r="V1105" s="193"/>
      <c r="W1105" s="193"/>
      <c r="X1105" s="193"/>
      <c r="Y1105" s="193"/>
      <c r="Z1105" s="193"/>
      <c r="AC1105" s="193"/>
      <c r="AD1105" s="193"/>
      <c r="AE1105" s="193"/>
      <c r="AF1105" s="193"/>
    </row>
    <row r="1106" spans="21:32" x14ac:dyDescent="0.3">
      <c r="U1106" s="193"/>
      <c r="V1106" s="193"/>
      <c r="W1106" s="193"/>
      <c r="X1106" s="193"/>
      <c r="Y1106" s="193"/>
      <c r="Z1106" s="193"/>
      <c r="AC1106" s="193"/>
      <c r="AD1106" s="193"/>
      <c r="AE1106" s="193"/>
      <c r="AF1106" s="193"/>
    </row>
    <row r="1107" spans="21:32" x14ac:dyDescent="0.3">
      <c r="U1107" s="193"/>
      <c r="V1107" s="193"/>
      <c r="W1107" s="193"/>
      <c r="X1107" s="193"/>
      <c r="Y1107" s="193"/>
      <c r="Z1107" s="193"/>
      <c r="AC1107" s="193"/>
      <c r="AD1107" s="193"/>
      <c r="AE1107" s="193"/>
      <c r="AF1107" s="193"/>
    </row>
    <row r="1108" spans="21:32" x14ac:dyDescent="0.3">
      <c r="U1108" s="193"/>
      <c r="V1108" s="193"/>
      <c r="W1108" s="193"/>
      <c r="X1108" s="193"/>
      <c r="Y1108" s="193"/>
      <c r="Z1108" s="193"/>
      <c r="AC1108" s="193"/>
      <c r="AD1108" s="193"/>
      <c r="AE1108" s="193"/>
      <c r="AF1108" s="193"/>
    </row>
    <row r="1109" spans="21:32" x14ac:dyDescent="0.3">
      <c r="U1109" s="193"/>
      <c r="V1109" s="193"/>
      <c r="W1109" s="193"/>
      <c r="X1109" s="193"/>
      <c r="Y1109" s="193"/>
      <c r="Z1109" s="193"/>
      <c r="AC1109" s="193"/>
      <c r="AD1109" s="193"/>
      <c r="AE1109" s="193"/>
      <c r="AF1109" s="193"/>
    </row>
    <row r="1110" spans="21:32" x14ac:dyDescent="0.3">
      <c r="U1110" s="193"/>
      <c r="V1110" s="193"/>
      <c r="W1110" s="193"/>
      <c r="X1110" s="193"/>
      <c r="Y1110" s="193"/>
      <c r="Z1110" s="193"/>
      <c r="AC1110" s="193"/>
      <c r="AD1110" s="193"/>
      <c r="AE1110" s="193"/>
      <c r="AF1110" s="193"/>
    </row>
    <row r="1111" spans="21:32" x14ac:dyDescent="0.3">
      <c r="U1111" s="193"/>
      <c r="V1111" s="193"/>
      <c r="W1111" s="193"/>
      <c r="X1111" s="193"/>
      <c r="Y1111" s="193"/>
      <c r="Z1111" s="193"/>
      <c r="AC1111" s="193"/>
      <c r="AD1111" s="193"/>
      <c r="AE1111" s="193"/>
      <c r="AF1111" s="193"/>
    </row>
    <row r="1112" spans="21:32" x14ac:dyDescent="0.3">
      <c r="U1112" s="193"/>
      <c r="V1112" s="193"/>
      <c r="W1112" s="193"/>
      <c r="X1112" s="193"/>
      <c r="Y1112" s="193"/>
      <c r="Z1112" s="193"/>
      <c r="AC1112" s="193"/>
      <c r="AD1112" s="193"/>
      <c r="AE1112" s="193"/>
      <c r="AF1112" s="193"/>
    </row>
    <row r="1113" spans="21:32" x14ac:dyDescent="0.3">
      <c r="U1113" s="193"/>
      <c r="V1113" s="193"/>
      <c r="W1113" s="193"/>
      <c r="X1113" s="193"/>
      <c r="Y1113" s="193"/>
      <c r="Z1113" s="193"/>
      <c r="AC1113" s="193"/>
      <c r="AD1113" s="193"/>
      <c r="AE1113" s="193"/>
      <c r="AF1113" s="193"/>
    </row>
    <row r="1114" spans="21:32" x14ac:dyDescent="0.3">
      <c r="U1114" s="193"/>
      <c r="V1114" s="193"/>
      <c r="W1114" s="193"/>
      <c r="X1114" s="193"/>
      <c r="Y1114" s="193"/>
      <c r="Z1114" s="193"/>
      <c r="AC1114" s="193"/>
      <c r="AD1114" s="193"/>
      <c r="AE1114" s="193"/>
      <c r="AF1114" s="193"/>
    </row>
    <row r="1115" spans="21:32" x14ac:dyDescent="0.3">
      <c r="U1115" s="193"/>
      <c r="V1115" s="193"/>
      <c r="W1115" s="193"/>
      <c r="X1115" s="193"/>
      <c r="Y1115" s="193"/>
      <c r="Z1115" s="193"/>
      <c r="AC1115" s="193"/>
      <c r="AD1115" s="193"/>
      <c r="AE1115" s="193"/>
      <c r="AF1115" s="193"/>
    </row>
    <row r="1116" spans="21:32" x14ac:dyDescent="0.3">
      <c r="U1116" s="193"/>
      <c r="V1116" s="193"/>
      <c r="W1116" s="193"/>
      <c r="X1116" s="193"/>
      <c r="Y1116" s="193"/>
      <c r="Z1116" s="193"/>
      <c r="AC1116" s="193"/>
      <c r="AD1116" s="193"/>
      <c r="AE1116" s="193"/>
      <c r="AF1116" s="193"/>
    </row>
    <row r="1117" spans="21:32" x14ac:dyDescent="0.3">
      <c r="U1117" s="193"/>
      <c r="V1117" s="193"/>
      <c r="W1117" s="193"/>
      <c r="X1117" s="193"/>
      <c r="Y1117" s="193"/>
      <c r="Z1117" s="193"/>
      <c r="AC1117" s="193"/>
      <c r="AD1117" s="193"/>
      <c r="AE1117" s="193"/>
      <c r="AF1117" s="193"/>
    </row>
    <row r="1118" spans="21:32" x14ac:dyDescent="0.3">
      <c r="U1118" s="193"/>
      <c r="V1118" s="193"/>
      <c r="W1118" s="193"/>
      <c r="X1118" s="193"/>
      <c r="Y1118" s="193"/>
      <c r="Z1118" s="193"/>
      <c r="AC1118" s="193"/>
      <c r="AD1118" s="193"/>
      <c r="AE1118" s="193"/>
      <c r="AF1118" s="193"/>
    </row>
    <row r="1119" spans="21:32" x14ac:dyDescent="0.3">
      <c r="U1119" s="193"/>
      <c r="V1119" s="193"/>
      <c r="W1119" s="193"/>
      <c r="X1119" s="193"/>
      <c r="Y1119" s="193"/>
      <c r="Z1119" s="193"/>
      <c r="AC1119" s="193"/>
      <c r="AD1119" s="193"/>
      <c r="AE1119" s="193"/>
      <c r="AF1119" s="193"/>
    </row>
    <row r="1120" spans="21:32" x14ac:dyDescent="0.3">
      <c r="U1120" s="193"/>
      <c r="V1120" s="193"/>
      <c r="W1120" s="193"/>
      <c r="X1120" s="193"/>
      <c r="Y1120" s="193"/>
      <c r="Z1120" s="193"/>
      <c r="AC1120" s="193"/>
      <c r="AD1120" s="193"/>
      <c r="AE1120" s="193"/>
      <c r="AF1120" s="193"/>
    </row>
    <row r="1121" spans="21:32" x14ac:dyDescent="0.3">
      <c r="U1121" s="193"/>
      <c r="V1121" s="193"/>
      <c r="W1121" s="193"/>
      <c r="X1121" s="193"/>
      <c r="Y1121" s="193"/>
      <c r="Z1121" s="193"/>
      <c r="AC1121" s="193"/>
      <c r="AD1121" s="193"/>
      <c r="AE1121" s="193"/>
      <c r="AF1121" s="193"/>
    </row>
    <row r="1122" spans="21:32" x14ac:dyDescent="0.3">
      <c r="U1122" s="193"/>
      <c r="V1122" s="193"/>
      <c r="W1122" s="193"/>
      <c r="X1122" s="193"/>
      <c r="Y1122" s="193"/>
      <c r="Z1122" s="193"/>
      <c r="AC1122" s="193"/>
      <c r="AD1122" s="193"/>
      <c r="AE1122" s="193"/>
      <c r="AF1122" s="193"/>
    </row>
    <row r="1123" spans="21:32" x14ac:dyDescent="0.3">
      <c r="U1123" s="193"/>
      <c r="V1123" s="193"/>
      <c r="W1123" s="193"/>
      <c r="X1123" s="193"/>
      <c r="Y1123" s="193"/>
      <c r="Z1123" s="193"/>
      <c r="AC1123" s="193"/>
      <c r="AD1123" s="193"/>
      <c r="AE1123" s="193"/>
      <c r="AF1123" s="193"/>
    </row>
    <row r="1124" spans="21:32" x14ac:dyDescent="0.3">
      <c r="U1124" s="193"/>
      <c r="V1124" s="193"/>
      <c r="W1124" s="193"/>
      <c r="X1124" s="193"/>
      <c r="Y1124" s="193"/>
      <c r="Z1124" s="193"/>
      <c r="AC1124" s="193"/>
      <c r="AD1124" s="193"/>
      <c r="AE1124" s="193"/>
      <c r="AF1124" s="193"/>
    </row>
    <row r="1125" spans="21:32" x14ac:dyDescent="0.3">
      <c r="U1125" s="193"/>
      <c r="V1125" s="193"/>
      <c r="W1125" s="193"/>
      <c r="X1125" s="193"/>
      <c r="Y1125" s="193"/>
      <c r="Z1125" s="193"/>
      <c r="AC1125" s="193"/>
      <c r="AD1125" s="193"/>
      <c r="AE1125" s="193"/>
      <c r="AF1125" s="193"/>
    </row>
    <row r="1126" spans="21:32" x14ac:dyDescent="0.3">
      <c r="U1126" s="193"/>
      <c r="V1126" s="193"/>
      <c r="W1126" s="193"/>
      <c r="X1126" s="193"/>
      <c r="Y1126" s="193"/>
      <c r="Z1126" s="193"/>
      <c r="AC1126" s="193"/>
      <c r="AD1126" s="193"/>
      <c r="AE1126" s="193"/>
      <c r="AF1126" s="193"/>
    </row>
    <row r="1127" spans="21:32" x14ac:dyDescent="0.3">
      <c r="U1127" s="193"/>
      <c r="V1127" s="193"/>
      <c r="W1127" s="193"/>
      <c r="X1127" s="193"/>
      <c r="Y1127" s="193"/>
      <c r="Z1127" s="193"/>
      <c r="AC1127" s="193"/>
      <c r="AD1127" s="193"/>
      <c r="AE1127" s="193"/>
      <c r="AF1127" s="193"/>
    </row>
    <row r="1128" spans="21:32" x14ac:dyDescent="0.3">
      <c r="U1128" s="193"/>
      <c r="V1128" s="193"/>
      <c r="W1128" s="193"/>
      <c r="X1128" s="193"/>
      <c r="Y1128" s="193"/>
      <c r="Z1128" s="193"/>
      <c r="AC1128" s="193"/>
      <c r="AD1128" s="193"/>
      <c r="AE1128" s="193"/>
      <c r="AF1128" s="193"/>
    </row>
    <row r="1129" spans="21:32" x14ac:dyDescent="0.3">
      <c r="U1129" s="193"/>
      <c r="V1129" s="193"/>
      <c r="W1129" s="193"/>
      <c r="X1129" s="193"/>
      <c r="Y1129" s="193"/>
      <c r="Z1129" s="193"/>
      <c r="AC1129" s="193"/>
      <c r="AD1129" s="193"/>
      <c r="AE1129" s="193"/>
      <c r="AF1129" s="193"/>
    </row>
    <row r="1130" spans="21:32" x14ac:dyDescent="0.3">
      <c r="U1130" s="193"/>
      <c r="V1130" s="193"/>
      <c r="W1130" s="193"/>
      <c r="X1130" s="193"/>
      <c r="Y1130" s="193"/>
      <c r="Z1130" s="193"/>
      <c r="AC1130" s="193"/>
      <c r="AD1130" s="193"/>
      <c r="AE1130" s="193"/>
      <c r="AF1130" s="193"/>
    </row>
    <row r="1131" spans="21:32" x14ac:dyDescent="0.3">
      <c r="U1131" s="193"/>
      <c r="V1131" s="193"/>
      <c r="W1131" s="193"/>
      <c r="X1131" s="193"/>
      <c r="Y1131" s="193"/>
      <c r="Z1131" s="193"/>
      <c r="AC1131" s="193"/>
      <c r="AD1131" s="193"/>
      <c r="AE1131" s="193"/>
      <c r="AF1131" s="193"/>
    </row>
    <row r="1132" spans="21:32" x14ac:dyDescent="0.3">
      <c r="U1132" s="193"/>
      <c r="V1132" s="193"/>
      <c r="W1132" s="193"/>
      <c r="X1132" s="193"/>
      <c r="Y1132" s="193"/>
      <c r="Z1132" s="193"/>
      <c r="AC1132" s="193"/>
      <c r="AD1132" s="193"/>
      <c r="AE1132" s="193"/>
      <c r="AF1132" s="193"/>
    </row>
    <row r="1133" spans="21:32" x14ac:dyDescent="0.3">
      <c r="U1133" s="193"/>
      <c r="V1133" s="193"/>
      <c r="W1133" s="193"/>
      <c r="X1133" s="193"/>
      <c r="Y1133" s="193"/>
      <c r="Z1133" s="193"/>
      <c r="AC1133" s="193"/>
      <c r="AD1133" s="193"/>
      <c r="AE1133" s="193"/>
      <c r="AF1133" s="193"/>
    </row>
    <row r="1134" spans="21:32" x14ac:dyDescent="0.3">
      <c r="U1134" s="193"/>
      <c r="V1134" s="193"/>
      <c r="W1134" s="193"/>
      <c r="X1134" s="193"/>
      <c r="Y1134" s="193"/>
      <c r="Z1134" s="193"/>
      <c r="AC1134" s="193"/>
      <c r="AD1134" s="193"/>
      <c r="AE1134" s="193"/>
      <c r="AF1134" s="193"/>
    </row>
    <row r="1135" spans="21:32" x14ac:dyDescent="0.3">
      <c r="U1135" s="193"/>
      <c r="V1135" s="193"/>
      <c r="W1135" s="193"/>
      <c r="X1135" s="193"/>
      <c r="Y1135" s="193"/>
      <c r="Z1135" s="193"/>
      <c r="AC1135" s="193"/>
      <c r="AD1135" s="193"/>
      <c r="AE1135" s="193"/>
      <c r="AF1135" s="193"/>
    </row>
    <row r="1136" spans="21:32" x14ac:dyDescent="0.3">
      <c r="U1136" s="193"/>
      <c r="V1136" s="193"/>
      <c r="W1136" s="193"/>
      <c r="X1136" s="193"/>
      <c r="Y1136" s="193"/>
      <c r="Z1136" s="193"/>
      <c r="AC1136" s="193"/>
      <c r="AD1136" s="193"/>
      <c r="AE1136" s="193"/>
      <c r="AF1136" s="193"/>
    </row>
    <row r="1137" spans="21:32" x14ac:dyDescent="0.3">
      <c r="U1137" s="193"/>
      <c r="V1137" s="193"/>
      <c r="W1137" s="193"/>
      <c r="X1137" s="193"/>
      <c r="Y1137" s="193"/>
      <c r="Z1137" s="193"/>
      <c r="AC1137" s="193"/>
      <c r="AD1137" s="193"/>
      <c r="AE1137" s="193"/>
      <c r="AF1137" s="193"/>
    </row>
    <row r="1138" spans="21:32" x14ac:dyDescent="0.3">
      <c r="U1138" s="193"/>
      <c r="V1138" s="193"/>
      <c r="W1138" s="193"/>
      <c r="X1138" s="193"/>
      <c r="Y1138" s="193"/>
      <c r="Z1138" s="193"/>
      <c r="AC1138" s="193"/>
      <c r="AD1138" s="193"/>
      <c r="AE1138" s="193"/>
      <c r="AF1138" s="193"/>
    </row>
    <row r="1139" spans="21:32" x14ac:dyDescent="0.3">
      <c r="U1139" s="193"/>
      <c r="V1139" s="193"/>
      <c r="W1139" s="193"/>
      <c r="X1139" s="193"/>
      <c r="Y1139" s="193"/>
      <c r="Z1139" s="193"/>
      <c r="AC1139" s="193"/>
      <c r="AD1139" s="193"/>
      <c r="AE1139" s="193"/>
      <c r="AF1139" s="193"/>
    </row>
    <row r="1140" spans="21:32" x14ac:dyDescent="0.3">
      <c r="U1140" s="193"/>
      <c r="V1140" s="193"/>
      <c r="W1140" s="193"/>
      <c r="X1140" s="193"/>
      <c r="Y1140" s="193"/>
      <c r="Z1140" s="193"/>
      <c r="AC1140" s="193"/>
      <c r="AD1140" s="193"/>
      <c r="AE1140" s="193"/>
      <c r="AF1140" s="193"/>
    </row>
    <row r="1141" spans="21:32" x14ac:dyDescent="0.3">
      <c r="U1141" s="193"/>
      <c r="V1141" s="193"/>
      <c r="W1141" s="193"/>
      <c r="X1141" s="193"/>
      <c r="Y1141" s="193"/>
      <c r="Z1141" s="193"/>
      <c r="AC1141" s="193"/>
      <c r="AD1141" s="193"/>
      <c r="AE1141" s="193"/>
      <c r="AF1141" s="193"/>
    </row>
    <row r="1142" spans="21:32" x14ac:dyDescent="0.3">
      <c r="U1142" s="193"/>
      <c r="V1142" s="193"/>
      <c r="W1142" s="193"/>
      <c r="X1142" s="193"/>
      <c r="Y1142" s="193"/>
      <c r="Z1142" s="193"/>
      <c r="AC1142" s="193"/>
      <c r="AD1142" s="193"/>
      <c r="AE1142" s="193"/>
      <c r="AF1142" s="193"/>
    </row>
    <row r="1143" spans="21:32" x14ac:dyDescent="0.3">
      <c r="U1143" s="193"/>
      <c r="V1143" s="193"/>
      <c r="W1143" s="193"/>
      <c r="X1143" s="193"/>
      <c r="Y1143" s="193"/>
      <c r="Z1143" s="193"/>
      <c r="AC1143" s="193"/>
      <c r="AD1143" s="193"/>
      <c r="AE1143" s="193"/>
      <c r="AF1143" s="193"/>
    </row>
    <row r="1144" spans="21:32" x14ac:dyDescent="0.3">
      <c r="U1144" s="193"/>
      <c r="V1144" s="193"/>
      <c r="W1144" s="193"/>
      <c r="X1144" s="193"/>
      <c r="Y1144" s="193"/>
      <c r="Z1144" s="193"/>
      <c r="AC1144" s="193"/>
      <c r="AD1144" s="193"/>
      <c r="AE1144" s="193"/>
      <c r="AF1144" s="193"/>
    </row>
    <row r="1145" spans="21:32" x14ac:dyDescent="0.3">
      <c r="U1145" s="193"/>
      <c r="V1145" s="193"/>
      <c r="W1145" s="193"/>
      <c r="X1145" s="193"/>
      <c r="Y1145" s="193"/>
      <c r="Z1145" s="193"/>
      <c r="AC1145" s="193"/>
      <c r="AD1145" s="193"/>
      <c r="AE1145" s="193"/>
      <c r="AF1145" s="193"/>
    </row>
    <row r="1146" spans="21:32" x14ac:dyDescent="0.3">
      <c r="U1146" s="193"/>
      <c r="V1146" s="193"/>
      <c r="W1146" s="193"/>
      <c r="X1146" s="193"/>
      <c r="Y1146" s="193"/>
      <c r="Z1146" s="193"/>
      <c r="AC1146" s="193"/>
      <c r="AD1146" s="193"/>
      <c r="AE1146" s="193"/>
      <c r="AF1146" s="193"/>
    </row>
    <row r="1147" spans="21:32" x14ac:dyDescent="0.3">
      <c r="U1147" s="193"/>
      <c r="V1147" s="193"/>
      <c r="W1147" s="193"/>
      <c r="X1147" s="193"/>
      <c r="Y1147" s="193"/>
      <c r="Z1147" s="193"/>
      <c r="AC1147" s="193"/>
      <c r="AD1147" s="193"/>
      <c r="AE1147" s="193"/>
      <c r="AF1147" s="193"/>
    </row>
    <row r="1148" spans="21:32" x14ac:dyDescent="0.3">
      <c r="U1148" s="193"/>
      <c r="V1148" s="193"/>
      <c r="W1148" s="193"/>
      <c r="X1148" s="193"/>
      <c r="Y1148" s="193"/>
      <c r="Z1148" s="193"/>
      <c r="AC1148" s="193"/>
      <c r="AD1148" s="193"/>
      <c r="AE1148" s="193"/>
      <c r="AF1148" s="193"/>
    </row>
    <row r="1149" spans="21:32" x14ac:dyDescent="0.3">
      <c r="U1149" s="193"/>
      <c r="V1149" s="193"/>
      <c r="W1149" s="193"/>
      <c r="X1149" s="193"/>
      <c r="Y1149" s="193"/>
      <c r="Z1149" s="193"/>
      <c r="AC1149" s="193"/>
      <c r="AD1149" s="193"/>
      <c r="AE1149" s="193"/>
      <c r="AF1149" s="193"/>
    </row>
    <row r="1150" spans="21:32" x14ac:dyDescent="0.3">
      <c r="U1150" s="193"/>
      <c r="V1150" s="193"/>
      <c r="W1150" s="193"/>
      <c r="X1150" s="193"/>
      <c r="Y1150" s="193"/>
      <c r="Z1150" s="193"/>
      <c r="AC1150" s="193"/>
      <c r="AD1150" s="193"/>
      <c r="AE1150" s="193"/>
      <c r="AF1150" s="193"/>
    </row>
    <row r="1151" spans="21:32" x14ac:dyDescent="0.3">
      <c r="U1151" s="193"/>
      <c r="V1151" s="193"/>
      <c r="W1151" s="193"/>
      <c r="X1151" s="193"/>
      <c r="Y1151" s="193"/>
      <c r="Z1151" s="193"/>
      <c r="AC1151" s="193"/>
      <c r="AD1151" s="193"/>
      <c r="AE1151" s="193"/>
      <c r="AF1151" s="193"/>
    </row>
    <row r="1152" spans="21:32" x14ac:dyDescent="0.3">
      <c r="U1152" s="193"/>
      <c r="V1152" s="193"/>
      <c r="W1152" s="193"/>
      <c r="X1152" s="193"/>
      <c r="Y1152" s="193"/>
      <c r="Z1152" s="193"/>
      <c r="AC1152" s="193"/>
      <c r="AD1152" s="193"/>
      <c r="AE1152" s="193"/>
      <c r="AF1152" s="193"/>
    </row>
    <row r="1153" spans="21:32" x14ac:dyDescent="0.3">
      <c r="U1153" s="193"/>
      <c r="V1153" s="193"/>
      <c r="W1153" s="193"/>
      <c r="X1153" s="193"/>
      <c r="Y1153" s="193"/>
      <c r="Z1153" s="193"/>
      <c r="AC1153" s="193"/>
      <c r="AD1153" s="193"/>
      <c r="AE1153" s="193"/>
      <c r="AF1153" s="193"/>
    </row>
    <row r="1154" spans="21:32" x14ac:dyDescent="0.3">
      <c r="U1154" s="193"/>
      <c r="V1154" s="193"/>
      <c r="W1154" s="193"/>
      <c r="X1154" s="193"/>
      <c r="Y1154" s="193"/>
      <c r="Z1154" s="193"/>
      <c r="AC1154" s="193"/>
      <c r="AD1154" s="193"/>
      <c r="AE1154" s="193"/>
      <c r="AF1154" s="193"/>
    </row>
    <row r="1155" spans="21:32" x14ac:dyDescent="0.3">
      <c r="U1155" s="193"/>
      <c r="V1155" s="193"/>
      <c r="W1155" s="193"/>
      <c r="X1155" s="193"/>
      <c r="Y1155" s="193"/>
      <c r="Z1155" s="193"/>
      <c r="AC1155" s="193"/>
      <c r="AD1155" s="193"/>
      <c r="AE1155" s="193"/>
      <c r="AF1155" s="193"/>
    </row>
    <row r="1156" spans="21:32" x14ac:dyDescent="0.3">
      <c r="U1156" s="193"/>
      <c r="V1156" s="193"/>
      <c r="W1156" s="193"/>
      <c r="X1156" s="193"/>
      <c r="Y1156" s="193"/>
      <c r="Z1156" s="193"/>
      <c r="AC1156" s="193"/>
      <c r="AD1156" s="193"/>
      <c r="AE1156" s="193"/>
      <c r="AF1156" s="193"/>
    </row>
    <row r="1157" spans="21:32" x14ac:dyDescent="0.3">
      <c r="U1157" s="193"/>
      <c r="V1157" s="193"/>
      <c r="W1157" s="193"/>
      <c r="X1157" s="193"/>
      <c r="Y1157" s="193"/>
      <c r="Z1157" s="193"/>
      <c r="AC1157" s="193"/>
      <c r="AD1157" s="193"/>
      <c r="AE1157" s="193"/>
      <c r="AF1157" s="193"/>
    </row>
    <row r="1158" spans="21:32" x14ac:dyDescent="0.3">
      <c r="U1158" s="193"/>
      <c r="V1158" s="193"/>
      <c r="W1158" s="193"/>
      <c r="X1158" s="193"/>
      <c r="Y1158" s="193"/>
      <c r="Z1158" s="193"/>
      <c r="AC1158" s="193"/>
      <c r="AD1158" s="193"/>
      <c r="AE1158" s="193"/>
      <c r="AF1158" s="193"/>
    </row>
    <row r="1159" spans="21:32" x14ac:dyDescent="0.3">
      <c r="U1159" s="193"/>
      <c r="V1159" s="193"/>
      <c r="W1159" s="193"/>
      <c r="X1159" s="193"/>
      <c r="Y1159" s="193"/>
      <c r="Z1159" s="193"/>
      <c r="AC1159" s="193"/>
      <c r="AD1159" s="193"/>
      <c r="AE1159" s="193"/>
      <c r="AF1159" s="193"/>
    </row>
    <row r="1160" spans="21:32" x14ac:dyDescent="0.3">
      <c r="U1160" s="193"/>
      <c r="V1160" s="193"/>
      <c r="W1160" s="193"/>
      <c r="X1160" s="193"/>
      <c r="Y1160" s="193"/>
      <c r="Z1160" s="193"/>
      <c r="AC1160" s="193"/>
      <c r="AD1160" s="193"/>
      <c r="AE1160" s="193"/>
      <c r="AF1160" s="193"/>
    </row>
    <row r="1161" spans="21:32" x14ac:dyDescent="0.3">
      <c r="U1161" s="193"/>
      <c r="V1161" s="193"/>
      <c r="W1161" s="193"/>
      <c r="X1161" s="193"/>
      <c r="Y1161" s="193"/>
      <c r="Z1161" s="193"/>
      <c r="AC1161" s="193"/>
      <c r="AD1161" s="193"/>
      <c r="AE1161" s="193"/>
      <c r="AF1161" s="193"/>
    </row>
    <row r="1162" spans="21:32" x14ac:dyDescent="0.3">
      <c r="U1162" s="193"/>
      <c r="V1162" s="193"/>
      <c r="W1162" s="193"/>
      <c r="X1162" s="193"/>
      <c r="Y1162" s="193"/>
      <c r="Z1162" s="193"/>
      <c r="AC1162" s="193"/>
      <c r="AD1162" s="193"/>
      <c r="AE1162" s="193"/>
      <c r="AF1162" s="193"/>
    </row>
    <row r="1163" spans="21:32" x14ac:dyDescent="0.3">
      <c r="U1163" s="193"/>
      <c r="V1163" s="193"/>
      <c r="W1163" s="193"/>
      <c r="X1163" s="193"/>
      <c r="Y1163" s="193"/>
      <c r="Z1163" s="193"/>
      <c r="AC1163" s="193"/>
      <c r="AD1163" s="193"/>
      <c r="AE1163" s="193"/>
      <c r="AF1163" s="193"/>
    </row>
    <row r="1164" spans="21:32" x14ac:dyDescent="0.3">
      <c r="U1164" s="193"/>
      <c r="V1164" s="193"/>
      <c r="W1164" s="193"/>
      <c r="X1164" s="193"/>
      <c r="Y1164" s="193"/>
      <c r="Z1164" s="193"/>
      <c r="AC1164" s="193"/>
      <c r="AD1164" s="193"/>
      <c r="AE1164" s="193"/>
      <c r="AF1164" s="193"/>
    </row>
    <row r="1165" spans="21:32" x14ac:dyDescent="0.3">
      <c r="U1165" s="193"/>
      <c r="V1165" s="193"/>
      <c r="W1165" s="193"/>
      <c r="X1165" s="193"/>
      <c r="Y1165" s="193"/>
      <c r="Z1165" s="193"/>
      <c r="AC1165" s="193"/>
      <c r="AD1165" s="193"/>
      <c r="AE1165" s="193"/>
      <c r="AF1165" s="193"/>
    </row>
    <row r="1166" spans="21:32" x14ac:dyDescent="0.3">
      <c r="U1166" s="193"/>
      <c r="V1166" s="193"/>
      <c r="W1166" s="193"/>
      <c r="X1166" s="193"/>
      <c r="Y1166" s="193"/>
      <c r="Z1166" s="193"/>
      <c r="AC1166" s="193"/>
      <c r="AD1166" s="193"/>
      <c r="AE1166" s="193"/>
      <c r="AF1166" s="193"/>
    </row>
    <row r="1167" spans="21:32" x14ac:dyDescent="0.3">
      <c r="U1167" s="193"/>
      <c r="V1167" s="193"/>
      <c r="W1167" s="193"/>
      <c r="X1167" s="193"/>
      <c r="Y1167" s="193"/>
      <c r="Z1167" s="193"/>
      <c r="AC1167" s="193"/>
      <c r="AD1167" s="193"/>
      <c r="AE1167" s="193"/>
      <c r="AF1167" s="193"/>
    </row>
    <row r="1168" spans="21:32" x14ac:dyDescent="0.3">
      <c r="U1168" s="193"/>
      <c r="V1168" s="193"/>
      <c r="W1168" s="193"/>
      <c r="X1168" s="193"/>
      <c r="Y1168" s="193"/>
      <c r="Z1168" s="193"/>
      <c r="AC1168" s="193"/>
      <c r="AD1168" s="193"/>
      <c r="AE1168" s="193"/>
      <c r="AF1168" s="193"/>
    </row>
    <row r="1169" spans="21:32" x14ac:dyDescent="0.3">
      <c r="U1169" s="193"/>
      <c r="V1169" s="193"/>
      <c r="W1169" s="193"/>
      <c r="X1169" s="193"/>
      <c r="Y1169" s="193"/>
      <c r="Z1169" s="193"/>
      <c r="AC1169" s="193"/>
      <c r="AD1169" s="193"/>
      <c r="AE1169" s="193"/>
      <c r="AF1169" s="193"/>
    </row>
    <row r="1170" spans="21:32" x14ac:dyDescent="0.3">
      <c r="U1170" s="193"/>
      <c r="V1170" s="193"/>
      <c r="W1170" s="193"/>
      <c r="X1170" s="193"/>
      <c r="Y1170" s="193"/>
      <c r="Z1170" s="193"/>
      <c r="AC1170" s="193"/>
      <c r="AD1170" s="193"/>
      <c r="AE1170" s="193"/>
      <c r="AF1170" s="193"/>
    </row>
    <row r="1171" spans="21:32" x14ac:dyDescent="0.3">
      <c r="U1171" s="193"/>
      <c r="V1171" s="193"/>
      <c r="W1171" s="193"/>
      <c r="X1171" s="193"/>
      <c r="Y1171" s="193"/>
      <c r="Z1171" s="193"/>
      <c r="AC1171" s="193"/>
      <c r="AD1171" s="193"/>
      <c r="AE1171" s="193"/>
      <c r="AF1171" s="193"/>
    </row>
    <row r="1172" spans="21:32" x14ac:dyDescent="0.3">
      <c r="U1172" s="193"/>
      <c r="V1172" s="193"/>
      <c r="W1172" s="193"/>
      <c r="X1172" s="193"/>
      <c r="Y1172" s="193"/>
      <c r="Z1172" s="193"/>
      <c r="AC1172" s="193"/>
      <c r="AD1172" s="193"/>
      <c r="AE1172" s="193"/>
      <c r="AF1172" s="193"/>
    </row>
    <row r="1173" spans="21:32" x14ac:dyDescent="0.3">
      <c r="U1173" s="193"/>
      <c r="V1173" s="193"/>
      <c r="W1173" s="193"/>
      <c r="X1173" s="193"/>
      <c r="Y1173" s="193"/>
      <c r="Z1173" s="193"/>
      <c r="AC1173" s="193"/>
      <c r="AD1173" s="193"/>
      <c r="AE1173" s="193"/>
      <c r="AF1173" s="193"/>
    </row>
    <row r="1174" spans="21:32" x14ac:dyDescent="0.3">
      <c r="U1174" s="193"/>
      <c r="V1174" s="193"/>
      <c r="W1174" s="193"/>
      <c r="X1174" s="193"/>
      <c r="Y1174" s="193"/>
      <c r="Z1174" s="193"/>
      <c r="AC1174" s="193"/>
      <c r="AD1174" s="193"/>
      <c r="AE1174" s="193"/>
      <c r="AF1174" s="193"/>
    </row>
    <row r="1175" spans="21:32" x14ac:dyDescent="0.3">
      <c r="U1175" s="193"/>
      <c r="V1175" s="193"/>
      <c r="W1175" s="193"/>
      <c r="X1175" s="193"/>
      <c r="Y1175" s="193"/>
      <c r="Z1175" s="193"/>
      <c r="AC1175" s="193"/>
      <c r="AD1175" s="193"/>
      <c r="AE1175" s="193"/>
      <c r="AF1175" s="193"/>
    </row>
    <row r="1176" spans="21:32" x14ac:dyDescent="0.3">
      <c r="U1176" s="193"/>
      <c r="V1176" s="193"/>
      <c r="W1176" s="193"/>
      <c r="X1176" s="193"/>
      <c r="Y1176" s="193"/>
      <c r="Z1176" s="193"/>
      <c r="AC1176" s="193"/>
      <c r="AD1176" s="193"/>
      <c r="AE1176" s="193"/>
      <c r="AF1176" s="193"/>
    </row>
    <row r="1177" spans="21:32" x14ac:dyDescent="0.3">
      <c r="U1177" s="193"/>
      <c r="V1177" s="193"/>
      <c r="W1177" s="193"/>
      <c r="X1177" s="193"/>
      <c r="Y1177" s="193"/>
      <c r="Z1177" s="193"/>
      <c r="AC1177" s="193"/>
      <c r="AD1177" s="193"/>
      <c r="AE1177" s="193"/>
      <c r="AF1177" s="193"/>
    </row>
    <row r="1178" spans="21:32" x14ac:dyDescent="0.3">
      <c r="U1178" s="193"/>
      <c r="V1178" s="193"/>
      <c r="W1178" s="193"/>
      <c r="X1178" s="193"/>
      <c r="Y1178" s="193"/>
      <c r="Z1178" s="193"/>
      <c r="AC1178" s="193"/>
      <c r="AD1178" s="193"/>
      <c r="AE1178" s="193"/>
      <c r="AF1178" s="193"/>
    </row>
    <row r="1179" spans="21:32" x14ac:dyDescent="0.3">
      <c r="U1179" s="193"/>
      <c r="V1179" s="193"/>
      <c r="W1179" s="193"/>
      <c r="X1179" s="193"/>
      <c r="Y1179" s="193"/>
      <c r="Z1179" s="193"/>
      <c r="AC1179" s="193"/>
      <c r="AD1179" s="193"/>
      <c r="AE1179" s="193"/>
      <c r="AF1179" s="193"/>
    </row>
    <row r="1180" spans="21:32" x14ac:dyDescent="0.3">
      <c r="U1180" s="193"/>
      <c r="V1180" s="193"/>
      <c r="W1180" s="193"/>
      <c r="X1180" s="193"/>
      <c r="Y1180" s="193"/>
      <c r="Z1180" s="193"/>
      <c r="AC1180" s="193"/>
      <c r="AD1180" s="193"/>
      <c r="AE1180" s="193"/>
      <c r="AF1180" s="193"/>
    </row>
    <row r="1181" spans="21:32" x14ac:dyDescent="0.3">
      <c r="U1181" s="193"/>
      <c r="V1181" s="193"/>
      <c r="W1181" s="193"/>
      <c r="X1181" s="193"/>
      <c r="Y1181" s="193"/>
      <c r="Z1181" s="193"/>
      <c r="AC1181" s="193"/>
      <c r="AD1181" s="193"/>
      <c r="AE1181" s="193"/>
      <c r="AF1181" s="193"/>
    </row>
    <row r="1182" spans="21:32" x14ac:dyDescent="0.3">
      <c r="U1182" s="193"/>
      <c r="V1182" s="193"/>
      <c r="W1182" s="193"/>
      <c r="X1182" s="193"/>
      <c r="Y1182" s="193"/>
      <c r="Z1182" s="193"/>
      <c r="AC1182" s="193"/>
      <c r="AD1182" s="193"/>
      <c r="AE1182" s="193"/>
      <c r="AF1182" s="193"/>
    </row>
    <row r="1183" spans="21:32" x14ac:dyDescent="0.3">
      <c r="U1183" s="193"/>
      <c r="V1183" s="193"/>
      <c r="W1183" s="193"/>
      <c r="X1183" s="193"/>
      <c r="Y1183" s="193"/>
      <c r="Z1183" s="193"/>
      <c r="AC1183" s="193"/>
      <c r="AD1183" s="193"/>
      <c r="AE1183" s="193"/>
      <c r="AF1183" s="193"/>
    </row>
    <row r="1184" spans="21:32" x14ac:dyDescent="0.3">
      <c r="U1184" s="193"/>
      <c r="V1184" s="193"/>
      <c r="W1184" s="193"/>
      <c r="X1184" s="193"/>
      <c r="Y1184" s="193"/>
      <c r="Z1184" s="193"/>
      <c r="AC1184" s="193"/>
      <c r="AD1184" s="193"/>
      <c r="AE1184" s="193"/>
      <c r="AF1184" s="193"/>
    </row>
    <row r="1185" spans="21:32" x14ac:dyDescent="0.3">
      <c r="U1185" s="193"/>
      <c r="V1185" s="193"/>
      <c r="W1185" s="193"/>
      <c r="X1185" s="193"/>
      <c r="Y1185" s="193"/>
      <c r="Z1185" s="193"/>
      <c r="AC1185" s="193"/>
      <c r="AD1185" s="193"/>
      <c r="AE1185" s="193"/>
      <c r="AF1185" s="193"/>
    </row>
    <row r="1186" spans="21:32" x14ac:dyDescent="0.3">
      <c r="U1186" s="193"/>
      <c r="V1186" s="193"/>
      <c r="W1186" s="193"/>
      <c r="X1186" s="193"/>
      <c r="Y1186" s="193"/>
      <c r="Z1186" s="193"/>
      <c r="AC1186" s="193"/>
      <c r="AD1186" s="193"/>
      <c r="AE1186" s="193"/>
      <c r="AF1186" s="193"/>
    </row>
    <row r="1187" spans="21:32" x14ac:dyDescent="0.3">
      <c r="U1187" s="193"/>
      <c r="V1187" s="193"/>
      <c r="W1187" s="193"/>
      <c r="X1187" s="193"/>
      <c r="Y1187" s="193"/>
      <c r="Z1187" s="193"/>
      <c r="AC1187" s="193"/>
      <c r="AD1187" s="193"/>
      <c r="AE1187" s="193"/>
      <c r="AF1187" s="193"/>
    </row>
    <row r="1188" spans="21:32" x14ac:dyDescent="0.3">
      <c r="U1188" s="193"/>
      <c r="V1188" s="193"/>
      <c r="W1188" s="193"/>
      <c r="X1188" s="193"/>
      <c r="Y1188" s="193"/>
      <c r="Z1188" s="193"/>
      <c r="AC1188" s="193"/>
      <c r="AD1188" s="193"/>
      <c r="AE1188" s="193"/>
      <c r="AF1188" s="193"/>
    </row>
    <row r="1189" spans="21:32" x14ac:dyDescent="0.3">
      <c r="U1189" s="193"/>
      <c r="V1189" s="193"/>
      <c r="W1189" s="193"/>
      <c r="X1189" s="193"/>
      <c r="Y1189" s="193"/>
      <c r="Z1189" s="193"/>
      <c r="AC1189" s="193"/>
      <c r="AD1189" s="193"/>
      <c r="AE1189" s="193"/>
      <c r="AF1189" s="193"/>
    </row>
    <row r="1190" spans="21:32" x14ac:dyDescent="0.3">
      <c r="U1190" s="193"/>
      <c r="V1190" s="193"/>
      <c r="W1190" s="193"/>
      <c r="X1190" s="193"/>
      <c r="Y1190" s="193"/>
      <c r="Z1190" s="193"/>
      <c r="AC1190" s="193"/>
      <c r="AD1190" s="193"/>
      <c r="AE1190" s="193"/>
      <c r="AF1190" s="193"/>
    </row>
    <row r="1191" spans="21:32" x14ac:dyDescent="0.3">
      <c r="U1191" s="193"/>
      <c r="V1191" s="193"/>
      <c r="W1191" s="193"/>
      <c r="X1191" s="193"/>
      <c r="Y1191" s="193"/>
      <c r="Z1191" s="193"/>
      <c r="AC1191" s="193"/>
      <c r="AD1191" s="193"/>
      <c r="AE1191" s="193"/>
      <c r="AF1191" s="193"/>
    </row>
    <row r="1192" spans="21:32" x14ac:dyDescent="0.3">
      <c r="U1192" s="193"/>
      <c r="V1192" s="193"/>
      <c r="W1192" s="193"/>
      <c r="X1192" s="193"/>
      <c r="Y1192" s="193"/>
      <c r="Z1192" s="193"/>
      <c r="AC1192" s="193"/>
      <c r="AD1192" s="193"/>
      <c r="AE1192" s="193"/>
      <c r="AF1192" s="193"/>
    </row>
    <row r="1193" spans="21:32" x14ac:dyDescent="0.3">
      <c r="U1193" s="193"/>
      <c r="V1193" s="193"/>
      <c r="W1193" s="193"/>
      <c r="X1193" s="193"/>
      <c r="Y1193" s="193"/>
      <c r="Z1193" s="193"/>
      <c r="AC1193" s="193"/>
      <c r="AD1193" s="193"/>
      <c r="AE1193" s="193"/>
      <c r="AF1193" s="193"/>
    </row>
    <row r="1194" spans="21:32" x14ac:dyDescent="0.3">
      <c r="U1194" s="193"/>
      <c r="V1194" s="193"/>
      <c r="W1194" s="193"/>
      <c r="X1194" s="193"/>
      <c r="Y1194" s="193"/>
      <c r="Z1194" s="193"/>
      <c r="AC1194" s="193"/>
      <c r="AD1194" s="193"/>
      <c r="AE1194" s="193"/>
      <c r="AF1194" s="193"/>
    </row>
    <row r="1195" spans="21:32" x14ac:dyDescent="0.3">
      <c r="U1195" s="193"/>
      <c r="V1195" s="193"/>
      <c r="W1195" s="193"/>
      <c r="X1195" s="193"/>
      <c r="Y1195" s="193"/>
      <c r="Z1195" s="193"/>
      <c r="AC1195" s="193"/>
      <c r="AD1195" s="193"/>
      <c r="AE1195" s="193"/>
      <c r="AF1195" s="193"/>
    </row>
    <row r="1196" spans="21:32" x14ac:dyDescent="0.3">
      <c r="U1196" s="193"/>
      <c r="V1196" s="193"/>
      <c r="W1196" s="193"/>
      <c r="X1196" s="193"/>
      <c r="Y1196" s="193"/>
      <c r="Z1196" s="193"/>
      <c r="AC1196" s="193"/>
      <c r="AD1196" s="193"/>
      <c r="AE1196" s="193"/>
      <c r="AF1196" s="193"/>
    </row>
    <row r="1197" spans="21:32" x14ac:dyDescent="0.3">
      <c r="U1197" s="193"/>
      <c r="V1197" s="193"/>
      <c r="W1197" s="193"/>
      <c r="X1197" s="193"/>
      <c r="Y1197" s="193"/>
      <c r="Z1197" s="193"/>
      <c r="AC1197" s="193"/>
      <c r="AD1197" s="193"/>
      <c r="AE1197" s="193"/>
      <c r="AF1197" s="193"/>
    </row>
    <row r="1198" spans="21:32" x14ac:dyDescent="0.3">
      <c r="U1198" s="193"/>
      <c r="V1198" s="193"/>
      <c r="W1198" s="193"/>
      <c r="X1198" s="193"/>
      <c r="Y1198" s="193"/>
      <c r="Z1198" s="193"/>
      <c r="AC1198" s="193"/>
      <c r="AD1198" s="193"/>
      <c r="AE1198" s="193"/>
      <c r="AF1198" s="193"/>
    </row>
    <row r="1199" spans="21:32" x14ac:dyDescent="0.3">
      <c r="U1199" s="193"/>
      <c r="V1199" s="193"/>
      <c r="W1199" s="193"/>
      <c r="X1199" s="193"/>
      <c r="Y1199" s="193"/>
      <c r="Z1199" s="193"/>
      <c r="AC1199" s="193"/>
      <c r="AD1199" s="193"/>
      <c r="AE1199" s="193"/>
      <c r="AF1199" s="193"/>
    </row>
    <row r="1200" spans="21:32" x14ac:dyDescent="0.3">
      <c r="U1200" s="193"/>
      <c r="V1200" s="193"/>
      <c r="W1200" s="193"/>
      <c r="X1200" s="193"/>
      <c r="Y1200" s="193"/>
      <c r="Z1200" s="193"/>
      <c r="AC1200" s="193"/>
      <c r="AD1200" s="193"/>
      <c r="AE1200" s="193"/>
      <c r="AF1200" s="193"/>
    </row>
    <row r="1201" spans="21:32" x14ac:dyDescent="0.3">
      <c r="U1201" s="193"/>
      <c r="V1201" s="193"/>
      <c r="W1201" s="193"/>
      <c r="X1201" s="193"/>
      <c r="Y1201" s="193"/>
      <c r="Z1201" s="193"/>
      <c r="AC1201" s="193"/>
      <c r="AD1201" s="193"/>
      <c r="AE1201" s="193"/>
      <c r="AF1201" s="193"/>
    </row>
    <row r="1202" spans="21:32" x14ac:dyDescent="0.3">
      <c r="U1202" s="193"/>
      <c r="V1202" s="193"/>
      <c r="W1202" s="193"/>
      <c r="X1202" s="193"/>
      <c r="Y1202" s="193"/>
      <c r="Z1202" s="193"/>
      <c r="AC1202" s="193"/>
      <c r="AD1202" s="193"/>
      <c r="AE1202" s="193"/>
      <c r="AF1202" s="193"/>
    </row>
    <row r="1203" spans="21:32" x14ac:dyDescent="0.3">
      <c r="U1203" s="193"/>
      <c r="V1203" s="193"/>
      <c r="W1203" s="193"/>
      <c r="X1203" s="193"/>
      <c r="Y1203" s="193"/>
      <c r="Z1203" s="193"/>
      <c r="AC1203" s="193"/>
      <c r="AD1203" s="193"/>
      <c r="AE1203" s="193"/>
      <c r="AF1203" s="193"/>
    </row>
    <row r="1204" spans="21:32" x14ac:dyDescent="0.3">
      <c r="U1204" s="193"/>
      <c r="V1204" s="193"/>
      <c r="W1204" s="193"/>
      <c r="X1204" s="193"/>
      <c r="Y1204" s="193"/>
      <c r="Z1204" s="193"/>
      <c r="AC1204" s="193"/>
      <c r="AD1204" s="193"/>
      <c r="AE1204" s="193"/>
      <c r="AF1204" s="193"/>
    </row>
    <row r="1205" spans="21:32" x14ac:dyDescent="0.3">
      <c r="U1205" s="193"/>
      <c r="V1205" s="193"/>
      <c r="W1205" s="193"/>
      <c r="X1205" s="193"/>
      <c r="Y1205" s="193"/>
      <c r="Z1205" s="193"/>
      <c r="AC1205" s="193"/>
      <c r="AD1205" s="193"/>
      <c r="AE1205" s="193"/>
      <c r="AF1205" s="193"/>
    </row>
    <row r="1206" spans="21:32" x14ac:dyDescent="0.3">
      <c r="U1206" s="193"/>
      <c r="V1206" s="193"/>
      <c r="W1206" s="193"/>
      <c r="X1206" s="193"/>
      <c r="Y1206" s="193"/>
      <c r="Z1206" s="193"/>
      <c r="AC1206" s="193"/>
      <c r="AD1206" s="193"/>
      <c r="AE1206" s="193"/>
      <c r="AF1206" s="193"/>
    </row>
    <row r="1207" spans="21:32" x14ac:dyDescent="0.3">
      <c r="U1207" s="193"/>
      <c r="V1207" s="193"/>
      <c r="W1207" s="193"/>
      <c r="X1207" s="193"/>
      <c r="Y1207" s="193"/>
      <c r="Z1207" s="193"/>
      <c r="AC1207" s="193"/>
      <c r="AD1207" s="193"/>
      <c r="AE1207" s="193"/>
      <c r="AF1207" s="193"/>
    </row>
    <row r="1208" spans="21:32" x14ac:dyDescent="0.3">
      <c r="U1208" s="193"/>
      <c r="V1208" s="193"/>
      <c r="W1208" s="193"/>
      <c r="X1208" s="193"/>
      <c r="Y1208" s="193"/>
      <c r="Z1208" s="193"/>
      <c r="AC1208" s="193"/>
      <c r="AD1208" s="193"/>
      <c r="AE1208" s="193"/>
      <c r="AF1208" s="193"/>
    </row>
    <row r="1209" spans="21:32" x14ac:dyDescent="0.3">
      <c r="U1209" s="193"/>
      <c r="V1209" s="193"/>
      <c r="W1209" s="193"/>
      <c r="X1209" s="193"/>
      <c r="Y1209" s="193"/>
      <c r="Z1209" s="193"/>
      <c r="AC1209" s="193"/>
      <c r="AD1209" s="193"/>
      <c r="AE1209" s="193"/>
      <c r="AF1209" s="193"/>
    </row>
    <row r="1210" spans="21:32" x14ac:dyDescent="0.3">
      <c r="U1210" s="193"/>
      <c r="V1210" s="193"/>
      <c r="W1210" s="193"/>
      <c r="X1210" s="193"/>
      <c r="Y1210" s="193"/>
      <c r="Z1210" s="193"/>
      <c r="AC1210" s="193"/>
      <c r="AD1210" s="193"/>
      <c r="AE1210" s="193"/>
      <c r="AF1210" s="193"/>
    </row>
    <row r="1211" spans="21:32" x14ac:dyDescent="0.3">
      <c r="U1211" s="193"/>
      <c r="V1211" s="193"/>
      <c r="W1211" s="193"/>
      <c r="X1211" s="193"/>
      <c r="Y1211" s="193"/>
      <c r="Z1211" s="193"/>
      <c r="AC1211" s="193"/>
      <c r="AD1211" s="193"/>
      <c r="AE1211" s="193"/>
      <c r="AF1211" s="193"/>
    </row>
    <row r="1212" spans="21:32" x14ac:dyDescent="0.3">
      <c r="U1212" s="193"/>
      <c r="V1212" s="193"/>
      <c r="W1212" s="193"/>
      <c r="X1212" s="193"/>
      <c r="Y1212" s="193"/>
      <c r="Z1212" s="193"/>
      <c r="AC1212" s="193"/>
      <c r="AD1212" s="193"/>
      <c r="AE1212" s="193"/>
      <c r="AF1212" s="193"/>
    </row>
    <row r="1213" spans="21:32" x14ac:dyDescent="0.3">
      <c r="U1213" s="193"/>
      <c r="V1213" s="193"/>
      <c r="W1213" s="193"/>
      <c r="X1213" s="193"/>
      <c r="Y1213" s="193"/>
      <c r="Z1213" s="193"/>
      <c r="AC1213" s="193"/>
      <c r="AD1213" s="193"/>
      <c r="AE1213" s="193"/>
      <c r="AF1213" s="193"/>
    </row>
    <row r="1214" spans="21:32" x14ac:dyDescent="0.3">
      <c r="U1214" s="193"/>
      <c r="V1214" s="193"/>
      <c r="W1214" s="193"/>
      <c r="X1214" s="193"/>
      <c r="Y1214" s="193"/>
      <c r="Z1214" s="193"/>
      <c r="AC1214" s="193"/>
      <c r="AD1214" s="193"/>
      <c r="AE1214" s="193"/>
      <c r="AF1214" s="193"/>
    </row>
    <row r="1215" spans="21:32" x14ac:dyDescent="0.3">
      <c r="U1215" s="193"/>
      <c r="V1215" s="193"/>
      <c r="W1215" s="193"/>
      <c r="X1215" s="193"/>
      <c r="Y1215" s="193"/>
      <c r="Z1215" s="193"/>
      <c r="AC1215" s="193"/>
      <c r="AD1215" s="193"/>
      <c r="AE1215" s="193"/>
      <c r="AF1215" s="193"/>
    </row>
    <row r="1216" spans="21:32" x14ac:dyDescent="0.3">
      <c r="U1216" s="193"/>
      <c r="V1216" s="193"/>
      <c r="W1216" s="193"/>
      <c r="X1216" s="193"/>
      <c r="Y1216" s="193"/>
      <c r="Z1216" s="193"/>
      <c r="AC1216" s="193"/>
      <c r="AD1216" s="193"/>
      <c r="AE1216" s="193"/>
      <c r="AF1216" s="193"/>
    </row>
    <row r="1217" spans="21:32" x14ac:dyDescent="0.3">
      <c r="U1217" s="193"/>
      <c r="V1217" s="193"/>
      <c r="W1217" s="193"/>
      <c r="X1217" s="193"/>
      <c r="Y1217" s="193"/>
      <c r="Z1217" s="193"/>
      <c r="AC1217" s="193"/>
      <c r="AD1217" s="193"/>
      <c r="AE1217" s="193"/>
      <c r="AF1217" s="193"/>
    </row>
    <row r="1218" spans="21:32" x14ac:dyDescent="0.3">
      <c r="U1218" s="193"/>
      <c r="V1218" s="193"/>
      <c r="W1218" s="193"/>
      <c r="X1218" s="193"/>
      <c r="Y1218" s="193"/>
      <c r="Z1218" s="193"/>
      <c r="AC1218" s="193"/>
      <c r="AD1218" s="193"/>
      <c r="AE1218" s="193"/>
      <c r="AF1218" s="193"/>
    </row>
    <row r="1219" spans="21:32" x14ac:dyDescent="0.3">
      <c r="U1219" s="193"/>
      <c r="V1219" s="193"/>
      <c r="W1219" s="193"/>
      <c r="X1219" s="193"/>
      <c r="Y1219" s="193"/>
      <c r="Z1219" s="193"/>
      <c r="AC1219" s="193"/>
      <c r="AD1219" s="193"/>
      <c r="AE1219" s="193"/>
      <c r="AF1219" s="193"/>
    </row>
    <row r="1220" spans="21:32" x14ac:dyDescent="0.3">
      <c r="U1220" s="193"/>
      <c r="V1220" s="193"/>
      <c r="W1220" s="193"/>
      <c r="X1220" s="193"/>
      <c r="Y1220" s="193"/>
      <c r="Z1220" s="193"/>
      <c r="AC1220" s="193"/>
      <c r="AD1220" s="193"/>
      <c r="AE1220" s="193"/>
      <c r="AF1220" s="193"/>
    </row>
    <row r="1221" spans="21:32" x14ac:dyDescent="0.3">
      <c r="U1221" s="193"/>
      <c r="V1221" s="193"/>
      <c r="W1221" s="193"/>
      <c r="X1221" s="193"/>
      <c r="Y1221" s="193"/>
      <c r="Z1221" s="193"/>
      <c r="AC1221" s="193"/>
      <c r="AD1221" s="193"/>
      <c r="AE1221" s="193"/>
      <c r="AF1221" s="193"/>
    </row>
    <row r="1222" spans="21:32" x14ac:dyDescent="0.3">
      <c r="U1222" s="193"/>
      <c r="V1222" s="193"/>
      <c r="W1222" s="193"/>
      <c r="X1222" s="193"/>
      <c r="Y1222" s="193"/>
      <c r="Z1222" s="193"/>
      <c r="AC1222" s="193"/>
      <c r="AD1222" s="193"/>
      <c r="AE1222" s="193"/>
      <c r="AF1222" s="193"/>
    </row>
    <row r="1223" spans="21:32" x14ac:dyDescent="0.3">
      <c r="U1223" s="193"/>
      <c r="V1223" s="193"/>
      <c r="W1223" s="193"/>
      <c r="X1223" s="193"/>
      <c r="Y1223" s="193"/>
      <c r="Z1223" s="193"/>
      <c r="AC1223" s="193"/>
      <c r="AD1223" s="193"/>
      <c r="AE1223" s="193"/>
      <c r="AF1223" s="193"/>
    </row>
    <row r="1224" spans="21:32" x14ac:dyDescent="0.3">
      <c r="U1224" s="193"/>
      <c r="V1224" s="193"/>
      <c r="W1224" s="193"/>
      <c r="X1224" s="193"/>
      <c r="Y1224" s="193"/>
      <c r="Z1224" s="193"/>
      <c r="AC1224" s="193"/>
      <c r="AD1224" s="193"/>
      <c r="AE1224" s="193"/>
      <c r="AF1224" s="193"/>
    </row>
    <row r="1225" spans="21:32" x14ac:dyDescent="0.3">
      <c r="U1225" s="193"/>
      <c r="V1225" s="193"/>
      <c r="W1225" s="193"/>
      <c r="X1225" s="193"/>
      <c r="Y1225" s="193"/>
      <c r="Z1225" s="193"/>
      <c r="AC1225" s="193"/>
      <c r="AD1225" s="193"/>
      <c r="AE1225" s="193"/>
      <c r="AF1225" s="193"/>
    </row>
    <row r="1226" spans="21:32" x14ac:dyDescent="0.3">
      <c r="U1226" s="193"/>
      <c r="V1226" s="193"/>
      <c r="W1226" s="193"/>
      <c r="X1226" s="193"/>
      <c r="Y1226" s="193"/>
      <c r="Z1226" s="193"/>
      <c r="AC1226" s="193"/>
      <c r="AD1226" s="193"/>
      <c r="AE1226" s="193"/>
      <c r="AF1226" s="193"/>
    </row>
    <row r="1227" spans="21:32" x14ac:dyDescent="0.3">
      <c r="U1227" s="193"/>
      <c r="V1227" s="193"/>
      <c r="W1227" s="193"/>
      <c r="X1227" s="193"/>
      <c r="Y1227" s="193"/>
      <c r="Z1227" s="193"/>
      <c r="AC1227" s="193"/>
      <c r="AD1227" s="193"/>
      <c r="AE1227" s="193"/>
      <c r="AF1227" s="193"/>
    </row>
    <row r="1228" spans="21:32" x14ac:dyDescent="0.3">
      <c r="U1228" s="193"/>
      <c r="V1228" s="193"/>
      <c r="W1228" s="193"/>
      <c r="X1228" s="193"/>
      <c r="Y1228" s="193"/>
      <c r="Z1228" s="193"/>
      <c r="AC1228" s="193"/>
      <c r="AD1228" s="193"/>
      <c r="AE1228" s="193"/>
      <c r="AF1228" s="193"/>
    </row>
    <row r="1229" spans="21:32" x14ac:dyDescent="0.3">
      <c r="U1229" s="193"/>
      <c r="V1229" s="193"/>
      <c r="W1229" s="193"/>
      <c r="X1229" s="193"/>
      <c r="Y1229" s="193"/>
      <c r="Z1229" s="193"/>
      <c r="AC1229" s="193"/>
      <c r="AD1229" s="193"/>
      <c r="AE1229" s="193"/>
      <c r="AF1229" s="193"/>
    </row>
    <row r="1230" spans="21:32" x14ac:dyDescent="0.3">
      <c r="U1230" s="193"/>
      <c r="V1230" s="193"/>
      <c r="W1230" s="193"/>
      <c r="X1230" s="193"/>
      <c r="Y1230" s="193"/>
      <c r="Z1230" s="193"/>
      <c r="AC1230" s="193"/>
      <c r="AD1230" s="193"/>
      <c r="AE1230" s="193"/>
      <c r="AF1230" s="193"/>
    </row>
    <row r="1231" spans="21:32" x14ac:dyDescent="0.3">
      <c r="U1231" s="193"/>
      <c r="V1231" s="193"/>
      <c r="W1231" s="193"/>
      <c r="X1231" s="193"/>
      <c r="Y1231" s="193"/>
      <c r="Z1231" s="193"/>
      <c r="AC1231" s="193"/>
      <c r="AD1231" s="193"/>
      <c r="AE1231" s="193"/>
      <c r="AF1231" s="193"/>
    </row>
    <row r="1232" spans="21:32" x14ac:dyDescent="0.3">
      <c r="U1232" s="193"/>
      <c r="V1232" s="193"/>
      <c r="W1232" s="193"/>
      <c r="X1232" s="193"/>
      <c r="Y1232" s="193"/>
      <c r="Z1232" s="193"/>
      <c r="AC1232" s="193"/>
      <c r="AD1232" s="193"/>
      <c r="AE1232" s="193"/>
      <c r="AF1232" s="193"/>
    </row>
    <row r="1233" spans="21:32" x14ac:dyDescent="0.3">
      <c r="U1233" s="193"/>
      <c r="V1233" s="193"/>
      <c r="W1233" s="193"/>
      <c r="X1233" s="193"/>
      <c r="Y1233" s="193"/>
      <c r="Z1233" s="193"/>
      <c r="AC1233" s="193"/>
      <c r="AD1233" s="193"/>
      <c r="AE1233" s="193"/>
      <c r="AF1233" s="193"/>
    </row>
    <row r="1234" spans="21:32" x14ac:dyDescent="0.3">
      <c r="U1234" s="193"/>
      <c r="V1234" s="193"/>
      <c r="W1234" s="193"/>
      <c r="X1234" s="193"/>
      <c r="Y1234" s="193"/>
      <c r="Z1234" s="193"/>
      <c r="AC1234" s="193"/>
      <c r="AD1234" s="193"/>
      <c r="AE1234" s="193"/>
      <c r="AF1234" s="193"/>
    </row>
    <row r="1235" spans="21:32" x14ac:dyDescent="0.3">
      <c r="U1235" s="193"/>
      <c r="V1235" s="193"/>
      <c r="W1235" s="193"/>
      <c r="X1235" s="193"/>
      <c r="Y1235" s="193"/>
      <c r="Z1235" s="193"/>
      <c r="AC1235" s="193"/>
      <c r="AD1235" s="193"/>
      <c r="AE1235" s="193"/>
      <c r="AF1235" s="193"/>
    </row>
    <row r="1236" spans="21:32" x14ac:dyDescent="0.3">
      <c r="U1236" s="193"/>
      <c r="V1236" s="193"/>
      <c r="W1236" s="193"/>
      <c r="X1236" s="193"/>
      <c r="Y1236" s="193"/>
      <c r="Z1236" s="193"/>
      <c r="AC1236" s="193"/>
      <c r="AD1236" s="193"/>
      <c r="AE1236" s="193"/>
      <c r="AF1236" s="193"/>
    </row>
    <row r="1237" spans="21:32" x14ac:dyDescent="0.3">
      <c r="U1237" s="193"/>
      <c r="V1237" s="193"/>
      <c r="W1237" s="193"/>
      <c r="X1237" s="193"/>
      <c r="Y1237" s="193"/>
      <c r="Z1237" s="193"/>
      <c r="AC1237" s="193"/>
      <c r="AD1237" s="193"/>
      <c r="AE1237" s="193"/>
      <c r="AF1237" s="193"/>
    </row>
    <row r="1238" spans="21:32" x14ac:dyDescent="0.3">
      <c r="U1238" s="193"/>
      <c r="V1238" s="193"/>
      <c r="W1238" s="193"/>
      <c r="X1238" s="193"/>
      <c r="Y1238" s="193"/>
      <c r="Z1238" s="193"/>
      <c r="AC1238" s="193"/>
      <c r="AD1238" s="193"/>
      <c r="AE1238" s="193"/>
      <c r="AF1238" s="193"/>
    </row>
    <row r="1239" spans="21:32" x14ac:dyDescent="0.3">
      <c r="U1239" s="193"/>
      <c r="V1239" s="193"/>
      <c r="W1239" s="193"/>
      <c r="X1239" s="193"/>
      <c r="Y1239" s="193"/>
      <c r="Z1239" s="193"/>
      <c r="AC1239" s="193"/>
      <c r="AD1239" s="193"/>
      <c r="AE1239" s="193"/>
      <c r="AF1239" s="193"/>
    </row>
    <row r="1240" spans="21:32" x14ac:dyDescent="0.3">
      <c r="U1240" s="193"/>
      <c r="V1240" s="193"/>
      <c r="W1240" s="193"/>
      <c r="X1240" s="193"/>
      <c r="Y1240" s="193"/>
      <c r="Z1240" s="193"/>
      <c r="AC1240" s="193"/>
      <c r="AD1240" s="193"/>
      <c r="AE1240" s="193"/>
      <c r="AF1240" s="193"/>
    </row>
    <row r="1241" spans="21:32" x14ac:dyDescent="0.3">
      <c r="U1241" s="193"/>
      <c r="V1241" s="193"/>
      <c r="W1241" s="193"/>
      <c r="X1241" s="193"/>
      <c r="Y1241" s="193"/>
      <c r="Z1241" s="193"/>
      <c r="AC1241" s="193"/>
      <c r="AD1241" s="193"/>
      <c r="AE1241" s="193"/>
      <c r="AF1241" s="193"/>
    </row>
    <row r="1242" spans="21:32" x14ac:dyDescent="0.3">
      <c r="U1242" s="193"/>
      <c r="V1242" s="193"/>
      <c r="W1242" s="193"/>
      <c r="X1242" s="193"/>
      <c r="Y1242" s="193"/>
      <c r="Z1242" s="193"/>
      <c r="AC1242" s="193"/>
      <c r="AD1242" s="193"/>
      <c r="AE1242" s="193"/>
      <c r="AF1242" s="193"/>
    </row>
    <row r="1243" spans="21:32" x14ac:dyDescent="0.3">
      <c r="U1243" s="193"/>
      <c r="V1243" s="193"/>
      <c r="W1243" s="193"/>
      <c r="X1243" s="193"/>
      <c r="Y1243" s="193"/>
      <c r="Z1243" s="193"/>
      <c r="AC1243" s="193"/>
      <c r="AD1243" s="193"/>
      <c r="AE1243" s="193"/>
      <c r="AF1243" s="193"/>
    </row>
    <row r="1244" spans="21:32" x14ac:dyDescent="0.3">
      <c r="U1244" s="193"/>
      <c r="V1244" s="193"/>
      <c r="W1244" s="193"/>
      <c r="X1244" s="193"/>
      <c r="Y1244" s="193"/>
      <c r="Z1244" s="193"/>
      <c r="AC1244" s="193"/>
      <c r="AD1244" s="193"/>
      <c r="AE1244" s="193"/>
      <c r="AF1244" s="193"/>
    </row>
    <row r="1245" spans="21:32" x14ac:dyDescent="0.3">
      <c r="U1245" s="193"/>
      <c r="V1245" s="193"/>
      <c r="W1245" s="193"/>
      <c r="X1245" s="193"/>
      <c r="Y1245" s="193"/>
      <c r="Z1245" s="193"/>
      <c r="AC1245" s="193"/>
      <c r="AD1245" s="193"/>
      <c r="AE1245" s="193"/>
      <c r="AF1245" s="193"/>
    </row>
    <row r="1246" spans="21:32" x14ac:dyDescent="0.3">
      <c r="U1246" s="193"/>
      <c r="V1246" s="193"/>
      <c r="W1246" s="193"/>
      <c r="X1246" s="193"/>
      <c r="Y1246" s="193"/>
      <c r="Z1246" s="193"/>
      <c r="AC1246" s="193"/>
      <c r="AD1246" s="193"/>
      <c r="AE1246" s="193"/>
      <c r="AF1246" s="193"/>
    </row>
    <row r="1247" spans="21:32" x14ac:dyDescent="0.3">
      <c r="U1247" s="193"/>
      <c r="V1247" s="193"/>
      <c r="W1247" s="193"/>
      <c r="X1247" s="193"/>
      <c r="Y1247" s="193"/>
      <c r="Z1247" s="193"/>
      <c r="AC1247" s="193"/>
      <c r="AD1247" s="193"/>
      <c r="AE1247" s="193"/>
      <c r="AF1247" s="193"/>
    </row>
    <row r="1248" spans="21:32" x14ac:dyDescent="0.3">
      <c r="U1248" s="193"/>
      <c r="V1248" s="193"/>
      <c r="W1248" s="193"/>
      <c r="X1248" s="193"/>
      <c r="Y1248" s="193"/>
      <c r="Z1248" s="193"/>
      <c r="AC1248" s="193"/>
      <c r="AD1248" s="193"/>
      <c r="AE1248" s="193"/>
      <c r="AF1248" s="193"/>
    </row>
    <row r="1249" spans="21:32" x14ac:dyDescent="0.3">
      <c r="U1249" s="193"/>
      <c r="V1249" s="193"/>
      <c r="W1249" s="193"/>
      <c r="X1249" s="193"/>
      <c r="Y1249" s="193"/>
      <c r="Z1249" s="193"/>
      <c r="AC1249" s="193"/>
      <c r="AD1249" s="193"/>
      <c r="AE1249" s="193"/>
      <c r="AF1249" s="193"/>
    </row>
    <row r="1250" spans="21:32" x14ac:dyDescent="0.3">
      <c r="U1250" s="193"/>
      <c r="V1250" s="193"/>
      <c r="W1250" s="193"/>
      <c r="X1250" s="193"/>
      <c r="Y1250" s="193"/>
      <c r="Z1250" s="193"/>
      <c r="AC1250" s="193"/>
      <c r="AD1250" s="193"/>
      <c r="AE1250" s="193"/>
      <c r="AF1250" s="193"/>
    </row>
    <row r="1251" spans="21:32" x14ac:dyDescent="0.3">
      <c r="U1251" s="193"/>
      <c r="V1251" s="193"/>
      <c r="W1251" s="193"/>
      <c r="X1251" s="193"/>
      <c r="Y1251" s="193"/>
      <c r="Z1251" s="193"/>
      <c r="AC1251" s="193"/>
      <c r="AD1251" s="193"/>
      <c r="AE1251" s="193"/>
      <c r="AF1251" s="193"/>
    </row>
    <row r="1252" spans="21:32" x14ac:dyDescent="0.3">
      <c r="U1252" s="193"/>
      <c r="V1252" s="193"/>
      <c r="W1252" s="193"/>
      <c r="X1252" s="193"/>
      <c r="Y1252" s="193"/>
      <c r="Z1252" s="193"/>
      <c r="AC1252" s="193"/>
      <c r="AD1252" s="193"/>
      <c r="AE1252" s="193"/>
      <c r="AF1252" s="193"/>
    </row>
    <row r="1253" spans="21:32" x14ac:dyDescent="0.3">
      <c r="U1253" s="193"/>
      <c r="V1253" s="193"/>
      <c r="W1253" s="193"/>
      <c r="X1253" s="193"/>
      <c r="Y1253" s="193"/>
      <c r="Z1253" s="193"/>
      <c r="AC1253" s="193"/>
      <c r="AD1253" s="193"/>
      <c r="AE1253" s="193"/>
      <c r="AF1253" s="193"/>
    </row>
    <row r="1254" spans="21:32" x14ac:dyDescent="0.3">
      <c r="U1254" s="193"/>
      <c r="V1254" s="193"/>
      <c r="W1254" s="193"/>
      <c r="X1254" s="193"/>
      <c r="Y1254" s="193"/>
      <c r="Z1254" s="193"/>
      <c r="AC1254" s="193"/>
      <c r="AD1254" s="193"/>
      <c r="AE1254" s="193"/>
      <c r="AF1254" s="193"/>
    </row>
    <row r="1255" spans="21:32" x14ac:dyDescent="0.3">
      <c r="U1255" s="193"/>
      <c r="V1255" s="193"/>
      <c r="W1255" s="193"/>
      <c r="X1255" s="193"/>
      <c r="Y1255" s="193"/>
      <c r="Z1255" s="193"/>
      <c r="AC1255" s="193"/>
      <c r="AD1255" s="193"/>
      <c r="AE1255" s="193"/>
      <c r="AF1255" s="193"/>
    </row>
    <row r="1256" spans="21:32" x14ac:dyDescent="0.3">
      <c r="U1256" s="193"/>
      <c r="V1256" s="193"/>
      <c r="W1256" s="193"/>
      <c r="X1256" s="193"/>
      <c r="Y1256" s="193"/>
      <c r="Z1256" s="193"/>
      <c r="AC1256" s="193"/>
      <c r="AD1256" s="193"/>
      <c r="AE1256" s="193"/>
      <c r="AF1256" s="193"/>
    </row>
    <row r="1257" spans="21:32" x14ac:dyDescent="0.3">
      <c r="U1257" s="193"/>
      <c r="V1257" s="193"/>
      <c r="W1257" s="193"/>
      <c r="X1257" s="193"/>
      <c r="Y1257" s="193"/>
      <c r="Z1257" s="193"/>
      <c r="AC1257" s="193"/>
      <c r="AD1257" s="193"/>
      <c r="AE1257" s="193"/>
      <c r="AF1257" s="193"/>
    </row>
    <row r="1258" spans="21:32" x14ac:dyDescent="0.3">
      <c r="U1258" s="193"/>
      <c r="V1258" s="193"/>
      <c r="W1258" s="193"/>
      <c r="X1258" s="193"/>
      <c r="Y1258" s="193"/>
      <c r="Z1258" s="193"/>
      <c r="AC1258" s="193"/>
      <c r="AD1258" s="193"/>
      <c r="AE1258" s="193"/>
      <c r="AF1258" s="193"/>
    </row>
    <row r="1259" spans="21:32" x14ac:dyDescent="0.3">
      <c r="U1259" s="193"/>
      <c r="V1259" s="193"/>
      <c r="W1259" s="193"/>
      <c r="X1259" s="193"/>
      <c r="Y1259" s="193"/>
      <c r="Z1259" s="193"/>
      <c r="AC1259" s="193"/>
      <c r="AD1259" s="193"/>
      <c r="AE1259" s="193"/>
      <c r="AF1259" s="193"/>
    </row>
    <row r="1260" spans="21:32" x14ac:dyDescent="0.3">
      <c r="U1260" s="193"/>
      <c r="V1260" s="193"/>
      <c r="W1260" s="193"/>
      <c r="X1260" s="193"/>
      <c r="Y1260" s="193"/>
      <c r="Z1260" s="193"/>
      <c r="AC1260" s="193"/>
      <c r="AD1260" s="193"/>
      <c r="AE1260" s="193"/>
      <c r="AF1260" s="193"/>
    </row>
    <row r="1261" spans="21:32" x14ac:dyDescent="0.3">
      <c r="U1261" s="193"/>
      <c r="V1261" s="193"/>
      <c r="W1261" s="193"/>
      <c r="X1261" s="193"/>
      <c r="Y1261" s="193"/>
      <c r="Z1261" s="193"/>
      <c r="AC1261" s="193"/>
      <c r="AD1261" s="193"/>
      <c r="AE1261" s="193"/>
      <c r="AF1261" s="193"/>
    </row>
    <row r="1262" spans="21:32" x14ac:dyDescent="0.3">
      <c r="U1262" s="193"/>
      <c r="V1262" s="193"/>
      <c r="W1262" s="193"/>
      <c r="X1262" s="193"/>
      <c r="Y1262" s="193"/>
      <c r="Z1262" s="193"/>
      <c r="AC1262" s="193"/>
      <c r="AD1262" s="193"/>
      <c r="AE1262" s="193"/>
      <c r="AF1262" s="193"/>
    </row>
    <row r="1263" spans="21:32" x14ac:dyDescent="0.3">
      <c r="U1263" s="193"/>
      <c r="V1263" s="193"/>
      <c r="W1263" s="193"/>
      <c r="X1263" s="193"/>
      <c r="Y1263" s="193"/>
      <c r="Z1263" s="193"/>
      <c r="AC1263" s="193"/>
      <c r="AD1263" s="193"/>
      <c r="AE1263" s="193"/>
      <c r="AF1263" s="193"/>
    </row>
    <row r="1264" spans="21:32" x14ac:dyDescent="0.3">
      <c r="U1264" s="193"/>
      <c r="V1264" s="193"/>
      <c r="W1264" s="193"/>
      <c r="X1264" s="193"/>
      <c r="Y1264" s="193"/>
      <c r="Z1264" s="193"/>
      <c r="AC1264" s="193"/>
      <c r="AD1264" s="193"/>
      <c r="AE1264" s="193"/>
      <c r="AF1264" s="193"/>
    </row>
    <row r="1265" spans="21:32" x14ac:dyDescent="0.3">
      <c r="U1265" s="193"/>
      <c r="V1265" s="193"/>
      <c r="W1265" s="193"/>
      <c r="X1265" s="193"/>
      <c r="Y1265" s="193"/>
      <c r="Z1265" s="193"/>
      <c r="AC1265" s="193"/>
      <c r="AD1265" s="193"/>
      <c r="AE1265" s="193"/>
      <c r="AF1265" s="193"/>
    </row>
    <row r="1266" spans="21:32" x14ac:dyDescent="0.3">
      <c r="U1266" s="193"/>
      <c r="V1266" s="193"/>
      <c r="W1266" s="193"/>
      <c r="X1266" s="193"/>
      <c r="Y1266" s="193"/>
      <c r="Z1266" s="193"/>
      <c r="AC1266" s="193"/>
      <c r="AD1266" s="193"/>
      <c r="AE1266" s="193"/>
      <c r="AF1266" s="193"/>
    </row>
    <row r="1267" spans="21:32" x14ac:dyDescent="0.3">
      <c r="U1267" s="193"/>
      <c r="V1267" s="193"/>
      <c r="W1267" s="193"/>
      <c r="X1267" s="193"/>
      <c r="Y1267" s="193"/>
      <c r="Z1267" s="193"/>
      <c r="AC1267" s="193"/>
      <c r="AD1267" s="193"/>
      <c r="AE1267" s="193"/>
      <c r="AF1267" s="193"/>
    </row>
    <row r="1268" spans="21:32" x14ac:dyDescent="0.3">
      <c r="U1268" s="193"/>
      <c r="V1268" s="193"/>
      <c r="W1268" s="193"/>
      <c r="X1268" s="193"/>
      <c r="Y1268" s="193"/>
      <c r="Z1268" s="193"/>
      <c r="AC1268" s="193"/>
      <c r="AD1268" s="193"/>
      <c r="AE1268" s="193"/>
      <c r="AF1268" s="193"/>
    </row>
    <row r="1269" spans="21:32" x14ac:dyDescent="0.3">
      <c r="U1269" s="193"/>
      <c r="V1269" s="193"/>
      <c r="W1269" s="193"/>
      <c r="X1269" s="193"/>
      <c r="Y1269" s="193"/>
      <c r="Z1269" s="193"/>
      <c r="AC1269" s="193"/>
      <c r="AD1269" s="193"/>
      <c r="AE1269" s="193"/>
      <c r="AF1269" s="193"/>
    </row>
    <row r="1270" spans="21:32" x14ac:dyDescent="0.3">
      <c r="U1270" s="193"/>
      <c r="V1270" s="193"/>
      <c r="W1270" s="193"/>
      <c r="X1270" s="193"/>
      <c r="Y1270" s="193"/>
      <c r="Z1270" s="193"/>
      <c r="AC1270" s="193"/>
      <c r="AD1270" s="193"/>
      <c r="AE1270" s="193"/>
      <c r="AF1270" s="193"/>
    </row>
    <row r="1271" spans="21:32" x14ac:dyDescent="0.3">
      <c r="U1271" s="193"/>
      <c r="V1271" s="193"/>
      <c r="W1271" s="193"/>
      <c r="X1271" s="193"/>
      <c r="Y1271" s="193"/>
      <c r="Z1271" s="193"/>
      <c r="AC1271" s="193"/>
      <c r="AD1271" s="193"/>
      <c r="AE1271" s="193"/>
      <c r="AF1271" s="193"/>
    </row>
    <row r="1272" spans="21:32" x14ac:dyDescent="0.3">
      <c r="U1272" s="193"/>
      <c r="V1272" s="193"/>
      <c r="W1272" s="193"/>
      <c r="X1272" s="193"/>
      <c r="Y1272" s="193"/>
      <c r="Z1272" s="193"/>
      <c r="AC1272" s="193"/>
      <c r="AD1272" s="193"/>
      <c r="AE1272" s="193"/>
      <c r="AF1272" s="193"/>
    </row>
    <row r="1273" spans="21:32" x14ac:dyDescent="0.3">
      <c r="U1273" s="193"/>
      <c r="V1273" s="193"/>
      <c r="W1273" s="193"/>
      <c r="X1273" s="193"/>
      <c r="Y1273" s="193"/>
      <c r="Z1273" s="193"/>
      <c r="AC1273" s="193"/>
      <c r="AD1273" s="193"/>
      <c r="AE1273" s="193"/>
      <c r="AF1273" s="193"/>
    </row>
    <row r="1274" spans="21:32" x14ac:dyDescent="0.3">
      <c r="U1274" s="193"/>
      <c r="V1274" s="193"/>
      <c r="W1274" s="193"/>
      <c r="X1274" s="193"/>
      <c r="Y1274" s="193"/>
      <c r="Z1274" s="193"/>
      <c r="AC1274" s="193"/>
      <c r="AD1274" s="193"/>
      <c r="AE1274" s="193"/>
      <c r="AF1274" s="193"/>
    </row>
    <row r="1275" spans="21:32" x14ac:dyDescent="0.3">
      <c r="U1275" s="193"/>
      <c r="V1275" s="193"/>
      <c r="W1275" s="193"/>
      <c r="X1275" s="193"/>
      <c r="Y1275" s="193"/>
      <c r="Z1275" s="193"/>
      <c r="AC1275" s="193"/>
      <c r="AD1275" s="193"/>
      <c r="AE1275" s="193"/>
      <c r="AF1275" s="193"/>
    </row>
    <row r="1276" spans="21:32" x14ac:dyDescent="0.3">
      <c r="U1276" s="193"/>
      <c r="V1276" s="193"/>
      <c r="W1276" s="193"/>
      <c r="X1276" s="193"/>
      <c r="Y1276" s="193"/>
      <c r="Z1276" s="193"/>
      <c r="AC1276" s="193"/>
      <c r="AD1276" s="193"/>
      <c r="AE1276" s="193"/>
      <c r="AF1276" s="193"/>
    </row>
    <row r="1277" spans="21:32" x14ac:dyDescent="0.3">
      <c r="U1277" s="193"/>
      <c r="V1277" s="193"/>
      <c r="W1277" s="193"/>
      <c r="X1277" s="193"/>
      <c r="Y1277" s="193"/>
      <c r="Z1277" s="193"/>
      <c r="AC1277" s="193"/>
      <c r="AD1277" s="193"/>
      <c r="AE1277" s="193"/>
      <c r="AF1277" s="193"/>
    </row>
    <row r="1278" spans="21:32" x14ac:dyDescent="0.3">
      <c r="U1278" s="193"/>
      <c r="V1278" s="193"/>
      <c r="W1278" s="193"/>
      <c r="X1278" s="193"/>
      <c r="Y1278" s="193"/>
      <c r="Z1278" s="193"/>
      <c r="AC1278" s="193"/>
      <c r="AD1278" s="193"/>
      <c r="AE1278" s="193"/>
      <c r="AF1278" s="193"/>
    </row>
    <row r="1279" spans="21:32" x14ac:dyDescent="0.3">
      <c r="U1279" s="193"/>
      <c r="V1279" s="193"/>
      <c r="W1279" s="193"/>
      <c r="X1279" s="193"/>
      <c r="Y1279" s="193"/>
      <c r="Z1279" s="193"/>
      <c r="AC1279" s="193"/>
      <c r="AD1279" s="193"/>
      <c r="AE1279" s="193"/>
      <c r="AF1279" s="193"/>
    </row>
    <row r="1280" spans="21:32" x14ac:dyDescent="0.3">
      <c r="U1280" s="193"/>
      <c r="V1280" s="193"/>
      <c r="W1280" s="193"/>
      <c r="X1280" s="193"/>
      <c r="Y1280" s="193"/>
      <c r="Z1280" s="193"/>
      <c r="AC1280" s="193"/>
      <c r="AD1280" s="193"/>
      <c r="AE1280" s="193"/>
      <c r="AF1280" s="193"/>
    </row>
    <row r="1281" spans="21:32" x14ac:dyDescent="0.3">
      <c r="U1281" s="193"/>
      <c r="V1281" s="193"/>
      <c r="W1281" s="193"/>
      <c r="X1281" s="193"/>
      <c r="Y1281" s="193"/>
      <c r="Z1281" s="193"/>
      <c r="AC1281" s="193"/>
      <c r="AD1281" s="193"/>
      <c r="AE1281" s="193"/>
      <c r="AF1281" s="193"/>
    </row>
    <row r="1282" spans="21:32" x14ac:dyDescent="0.3">
      <c r="U1282" s="193"/>
      <c r="V1282" s="193"/>
      <c r="W1282" s="193"/>
      <c r="X1282" s="193"/>
      <c r="Y1282" s="193"/>
      <c r="Z1282" s="193"/>
      <c r="AC1282" s="193"/>
      <c r="AD1282" s="193"/>
      <c r="AE1282" s="193"/>
      <c r="AF1282" s="193"/>
    </row>
    <row r="1283" spans="21:32" x14ac:dyDescent="0.3">
      <c r="U1283" s="193"/>
      <c r="V1283" s="193"/>
      <c r="W1283" s="193"/>
      <c r="X1283" s="193"/>
      <c r="Y1283" s="193"/>
      <c r="Z1283" s="193"/>
      <c r="AC1283" s="193"/>
      <c r="AD1283" s="193"/>
      <c r="AE1283" s="193"/>
      <c r="AF1283" s="193"/>
    </row>
    <row r="1284" spans="21:32" x14ac:dyDescent="0.3">
      <c r="U1284" s="193"/>
      <c r="V1284" s="193"/>
      <c r="W1284" s="193"/>
      <c r="X1284" s="193"/>
      <c r="Y1284" s="193"/>
      <c r="Z1284" s="193"/>
      <c r="AC1284" s="193"/>
      <c r="AD1284" s="193"/>
      <c r="AE1284" s="193"/>
      <c r="AF1284" s="193"/>
    </row>
    <row r="1285" spans="21:32" x14ac:dyDescent="0.3">
      <c r="U1285" s="193"/>
      <c r="V1285" s="193"/>
      <c r="W1285" s="193"/>
      <c r="X1285" s="193"/>
      <c r="Y1285" s="193"/>
      <c r="Z1285" s="193"/>
      <c r="AC1285" s="193"/>
      <c r="AD1285" s="193"/>
      <c r="AE1285" s="193"/>
      <c r="AF1285" s="193"/>
    </row>
    <row r="1286" spans="21:32" x14ac:dyDescent="0.3">
      <c r="U1286" s="193"/>
      <c r="V1286" s="193"/>
      <c r="W1286" s="193"/>
      <c r="X1286" s="193"/>
      <c r="Y1286" s="193"/>
      <c r="Z1286" s="193"/>
      <c r="AC1286" s="193"/>
      <c r="AD1286" s="193"/>
      <c r="AE1286" s="193"/>
      <c r="AF1286" s="193"/>
    </row>
    <row r="1287" spans="21:32" x14ac:dyDescent="0.3">
      <c r="U1287" s="193"/>
      <c r="V1287" s="193"/>
      <c r="W1287" s="193"/>
      <c r="X1287" s="193"/>
      <c r="Y1287" s="193"/>
      <c r="Z1287" s="193"/>
      <c r="AC1287" s="193"/>
      <c r="AD1287" s="193"/>
      <c r="AE1287" s="193"/>
      <c r="AF1287" s="193"/>
    </row>
    <row r="1288" spans="21:32" x14ac:dyDescent="0.3">
      <c r="U1288" s="193"/>
      <c r="V1288" s="193"/>
      <c r="W1288" s="193"/>
      <c r="X1288" s="193"/>
      <c r="Y1288" s="193"/>
      <c r="Z1288" s="193"/>
      <c r="AC1288" s="193"/>
      <c r="AD1288" s="193"/>
      <c r="AE1288" s="193"/>
      <c r="AF1288" s="193"/>
    </row>
    <row r="1289" spans="21:32" x14ac:dyDescent="0.3">
      <c r="U1289" s="193"/>
      <c r="V1289" s="193"/>
      <c r="W1289" s="193"/>
      <c r="X1289" s="193"/>
      <c r="Y1289" s="193"/>
      <c r="Z1289" s="193"/>
      <c r="AC1289" s="193"/>
      <c r="AD1289" s="193"/>
      <c r="AE1289" s="193"/>
      <c r="AF1289" s="193"/>
    </row>
    <row r="1290" spans="21:32" x14ac:dyDescent="0.3">
      <c r="U1290" s="193"/>
      <c r="V1290" s="193"/>
      <c r="W1290" s="193"/>
      <c r="X1290" s="193"/>
      <c r="Y1290" s="193"/>
      <c r="Z1290" s="193"/>
      <c r="AC1290" s="193"/>
      <c r="AD1290" s="193"/>
      <c r="AE1290" s="193"/>
      <c r="AF1290" s="193"/>
    </row>
    <row r="1291" spans="21:32" x14ac:dyDescent="0.3">
      <c r="U1291" s="193"/>
      <c r="V1291" s="193"/>
      <c r="W1291" s="193"/>
      <c r="X1291" s="193"/>
      <c r="Y1291" s="193"/>
      <c r="Z1291" s="193"/>
      <c r="AC1291" s="193"/>
      <c r="AD1291" s="193"/>
      <c r="AE1291" s="193"/>
      <c r="AF1291" s="193"/>
    </row>
    <row r="1292" spans="21:32" x14ac:dyDescent="0.3">
      <c r="U1292" s="193"/>
      <c r="V1292" s="193"/>
      <c r="W1292" s="193"/>
      <c r="X1292" s="193"/>
      <c r="Y1292" s="193"/>
      <c r="Z1292" s="193"/>
      <c r="AC1292" s="193"/>
      <c r="AD1292" s="193"/>
      <c r="AE1292" s="193"/>
      <c r="AF1292" s="193"/>
    </row>
    <row r="1293" spans="21:32" x14ac:dyDescent="0.3">
      <c r="U1293" s="193"/>
      <c r="V1293" s="193"/>
      <c r="W1293" s="193"/>
      <c r="X1293" s="193"/>
      <c r="Y1293" s="193"/>
      <c r="Z1293" s="193"/>
      <c r="AC1293" s="193"/>
      <c r="AD1293" s="193"/>
      <c r="AE1293" s="193"/>
      <c r="AF1293" s="193"/>
    </row>
    <row r="1294" spans="21:32" x14ac:dyDescent="0.3">
      <c r="U1294" s="193"/>
      <c r="V1294" s="193"/>
      <c r="W1294" s="193"/>
      <c r="X1294" s="193"/>
      <c r="Y1294" s="193"/>
      <c r="Z1294" s="193"/>
      <c r="AC1294" s="193"/>
      <c r="AD1294" s="193"/>
      <c r="AE1294" s="193"/>
      <c r="AF1294" s="193"/>
    </row>
    <row r="1295" spans="21:32" x14ac:dyDescent="0.3">
      <c r="U1295" s="193"/>
      <c r="V1295" s="193"/>
      <c r="W1295" s="193"/>
      <c r="X1295" s="193"/>
      <c r="Y1295" s="193"/>
      <c r="Z1295" s="193"/>
      <c r="AC1295" s="193"/>
      <c r="AD1295" s="193"/>
      <c r="AE1295" s="193"/>
      <c r="AF1295" s="193"/>
    </row>
    <row r="1296" spans="21:32" x14ac:dyDescent="0.3">
      <c r="U1296" s="193"/>
      <c r="V1296" s="193"/>
      <c r="W1296" s="193"/>
      <c r="X1296" s="193"/>
      <c r="Y1296" s="193"/>
      <c r="Z1296" s="193"/>
      <c r="AC1296" s="193"/>
      <c r="AD1296" s="193"/>
      <c r="AE1296" s="193"/>
      <c r="AF1296" s="193"/>
    </row>
    <row r="1297" spans="21:32" x14ac:dyDescent="0.3">
      <c r="U1297" s="193"/>
      <c r="V1297" s="193"/>
      <c r="W1297" s="193"/>
      <c r="X1297" s="193"/>
      <c r="Y1297" s="193"/>
      <c r="Z1297" s="193"/>
      <c r="AC1297" s="193"/>
      <c r="AD1297" s="193"/>
      <c r="AE1297" s="193"/>
      <c r="AF1297" s="193"/>
    </row>
    <row r="1298" spans="21:32" x14ac:dyDescent="0.3">
      <c r="U1298" s="193"/>
      <c r="V1298" s="193"/>
      <c r="W1298" s="193"/>
      <c r="X1298" s="193"/>
      <c r="Y1298" s="193"/>
      <c r="Z1298" s="193"/>
      <c r="AC1298" s="193"/>
      <c r="AD1298" s="193"/>
      <c r="AE1298" s="193"/>
      <c r="AF1298" s="193"/>
    </row>
    <row r="1299" spans="21:32" x14ac:dyDescent="0.3">
      <c r="U1299" s="193"/>
      <c r="V1299" s="193"/>
      <c r="W1299" s="193"/>
      <c r="X1299" s="193"/>
      <c r="Y1299" s="193"/>
      <c r="Z1299" s="193"/>
      <c r="AC1299" s="193"/>
      <c r="AD1299" s="193"/>
      <c r="AE1299" s="193"/>
      <c r="AF1299" s="193"/>
    </row>
    <row r="1300" spans="21:32" x14ac:dyDescent="0.3">
      <c r="U1300" s="193"/>
      <c r="V1300" s="193"/>
      <c r="W1300" s="193"/>
      <c r="X1300" s="193"/>
      <c r="Y1300" s="193"/>
      <c r="Z1300" s="193"/>
      <c r="AC1300" s="193"/>
      <c r="AD1300" s="193"/>
      <c r="AE1300" s="193"/>
      <c r="AF1300" s="193"/>
    </row>
    <row r="1301" spans="21:32" x14ac:dyDescent="0.3">
      <c r="U1301" s="193"/>
      <c r="V1301" s="193"/>
      <c r="W1301" s="193"/>
      <c r="X1301" s="193"/>
      <c r="Y1301" s="193"/>
      <c r="Z1301" s="193"/>
      <c r="AC1301" s="193"/>
      <c r="AD1301" s="193"/>
      <c r="AE1301" s="193"/>
      <c r="AF1301" s="193"/>
    </row>
    <row r="1302" spans="21:32" x14ac:dyDescent="0.3">
      <c r="U1302" s="193"/>
      <c r="V1302" s="193"/>
      <c r="W1302" s="193"/>
      <c r="X1302" s="193"/>
      <c r="Y1302" s="193"/>
      <c r="Z1302" s="193"/>
      <c r="AC1302" s="193"/>
      <c r="AD1302" s="193"/>
      <c r="AE1302" s="193"/>
      <c r="AF1302" s="193"/>
    </row>
    <row r="1303" spans="21:32" x14ac:dyDescent="0.3">
      <c r="U1303" s="193"/>
      <c r="V1303" s="193"/>
      <c r="W1303" s="193"/>
      <c r="X1303" s="193"/>
      <c r="Y1303" s="193"/>
      <c r="Z1303" s="193"/>
      <c r="AC1303" s="193"/>
      <c r="AD1303" s="193"/>
      <c r="AE1303" s="193"/>
      <c r="AF1303" s="193"/>
    </row>
    <row r="1304" spans="21:32" x14ac:dyDescent="0.3">
      <c r="U1304" s="193"/>
      <c r="V1304" s="193"/>
      <c r="W1304" s="193"/>
      <c r="X1304" s="193"/>
      <c r="Y1304" s="193"/>
      <c r="Z1304" s="193"/>
      <c r="AC1304" s="193"/>
      <c r="AD1304" s="193"/>
      <c r="AE1304" s="193"/>
      <c r="AF1304" s="193"/>
    </row>
    <row r="1305" spans="21:32" x14ac:dyDescent="0.3">
      <c r="U1305" s="193"/>
      <c r="V1305" s="193"/>
      <c r="W1305" s="193"/>
      <c r="X1305" s="193"/>
      <c r="Y1305" s="193"/>
      <c r="Z1305" s="193"/>
      <c r="AC1305" s="193"/>
      <c r="AD1305" s="193"/>
      <c r="AE1305" s="193"/>
      <c r="AF1305" s="193"/>
    </row>
    <row r="1306" spans="21:32" x14ac:dyDescent="0.3">
      <c r="U1306" s="193"/>
      <c r="V1306" s="193"/>
      <c r="W1306" s="193"/>
      <c r="X1306" s="193"/>
      <c r="Y1306" s="193"/>
      <c r="Z1306" s="193"/>
      <c r="AC1306" s="193"/>
      <c r="AD1306" s="193"/>
      <c r="AE1306" s="193"/>
      <c r="AF1306" s="193"/>
    </row>
    <row r="1307" spans="21:32" x14ac:dyDescent="0.3">
      <c r="U1307" s="193"/>
      <c r="V1307" s="193"/>
      <c r="W1307" s="193"/>
      <c r="X1307" s="193"/>
      <c r="Y1307" s="193"/>
      <c r="Z1307" s="193"/>
      <c r="AC1307" s="193"/>
      <c r="AD1307" s="193"/>
      <c r="AE1307" s="193"/>
      <c r="AF1307" s="193"/>
    </row>
    <row r="1308" spans="21:32" x14ac:dyDescent="0.3">
      <c r="U1308" s="193"/>
      <c r="V1308" s="193"/>
      <c r="W1308" s="193"/>
      <c r="X1308" s="193"/>
      <c r="Y1308" s="193"/>
      <c r="Z1308" s="193"/>
      <c r="AC1308" s="193"/>
      <c r="AD1308" s="193"/>
      <c r="AE1308" s="193"/>
      <c r="AF1308" s="193"/>
    </row>
    <row r="1309" spans="21:32" x14ac:dyDescent="0.3">
      <c r="U1309" s="193"/>
      <c r="V1309" s="193"/>
      <c r="W1309" s="193"/>
      <c r="X1309" s="193"/>
      <c r="Y1309" s="193"/>
      <c r="Z1309" s="193"/>
      <c r="AC1309" s="193"/>
      <c r="AD1309" s="193"/>
      <c r="AE1309" s="193"/>
      <c r="AF1309" s="193"/>
    </row>
    <row r="1310" spans="21:32" x14ac:dyDescent="0.3">
      <c r="U1310" s="193"/>
      <c r="V1310" s="193"/>
      <c r="W1310" s="193"/>
      <c r="X1310" s="193"/>
      <c r="Y1310" s="193"/>
      <c r="Z1310" s="193"/>
      <c r="AC1310" s="193"/>
      <c r="AD1310" s="193"/>
      <c r="AE1310" s="193"/>
      <c r="AF1310" s="193"/>
    </row>
    <row r="1311" spans="21:32" x14ac:dyDescent="0.3">
      <c r="U1311" s="193"/>
      <c r="V1311" s="193"/>
      <c r="W1311" s="193"/>
      <c r="X1311" s="193"/>
      <c r="Y1311" s="193"/>
      <c r="Z1311" s="193"/>
      <c r="AC1311" s="193"/>
      <c r="AD1311" s="193"/>
      <c r="AE1311" s="193"/>
      <c r="AF1311" s="193"/>
    </row>
    <row r="1312" spans="21:32" x14ac:dyDescent="0.3">
      <c r="U1312" s="193"/>
      <c r="V1312" s="193"/>
      <c r="W1312" s="193"/>
      <c r="X1312" s="193"/>
      <c r="Y1312" s="193"/>
      <c r="Z1312" s="193"/>
      <c r="AC1312" s="193"/>
      <c r="AD1312" s="193"/>
      <c r="AE1312" s="193"/>
      <c r="AF1312" s="193"/>
    </row>
    <row r="1313" spans="21:32" x14ac:dyDescent="0.3">
      <c r="U1313" s="193"/>
      <c r="V1313" s="193"/>
      <c r="W1313" s="193"/>
      <c r="X1313" s="193"/>
      <c r="Y1313" s="193"/>
      <c r="Z1313" s="193"/>
      <c r="AC1313" s="193"/>
      <c r="AD1313" s="193"/>
      <c r="AE1313" s="193"/>
      <c r="AF1313" s="193"/>
    </row>
    <row r="1314" spans="21:32" x14ac:dyDescent="0.3">
      <c r="U1314" s="193"/>
      <c r="V1314" s="193"/>
      <c r="W1314" s="193"/>
      <c r="X1314" s="193"/>
      <c r="Y1314" s="193"/>
      <c r="Z1314" s="193"/>
      <c r="AC1314" s="193"/>
      <c r="AD1314" s="193"/>
      <c r="AE1314" s="193"/>
      <c r="AF1314" s="193"/>
    </row>
    <row r="1315" spans="21:32" x14ac:dyDescent="0.3">
      <c r="U1315" s="193"/>
      <c r="V1315" s="193"/>
      <c r="W1315" s="193"/>
      <c r="X1315" s="193"/>
      <c r="Y1315" s="193"/>
      <c r="Z1315" s="193"/>
      <c r="AC1315" s="193"/>
      <c r="AD1315" s="193"/>
      <c r="AE1315" s="193"/>
      <c r="AF1315" s="193"/>
    </row>
    <row r="1316" spans="21:32" x14ac:dyDescent="0.3">
      <c r="U1316" s="193"/>
      <c r="V1316" s="193"/>
      <c r="W1316" s="193"/>
      <c r="X1316" s="193"/>
      <c r="Y1316" s="193"/>
      <c r="Z1316" s="193"/>
      <c r="AC1316" s="193"/>
      <c r="AD1316" s="193"/>
      <c r="AE1316" s="193"/>
      <c r="AF1316" s="193"/>
    </row>
    <row r="1317" spans="21:32" x14ac:dyDescent="0.3">
      <c r="U1317" s="193"/>
      <c r="V1317" s="193"/>
      <c r="W1317" s="193"/>
      <c r="X1317" s="193"/>
      <c r="Y1317" s="193"/>
      <c r="Z1317" s="193"/>
      <c r="AC1317" s="193"/>
      <c r="AD1317" s="193"/>
      <c r="AE1317" s="193"/>
      <c r="AF1317" s="193"/>
    </row>
    <row r="1318" spans="21:32" x14ac:dyDescent="0.3">
      <c r="U1318" s="193"/>
      <c r="V1318" s="193"/>
      <c r="W1318" s="193"/>
      <c r="X1318" s="193"/>
      <c r="Y1318" s="193"/>
      <c r="Z1318" s="193"/>
      <c r="AC1318" s="193"/>
      <c r="AD1318" s="193"/>
      <c r="AE1318" s="193"/>
      <c r="AF1318" s="193"/>
    </row>
    <row r="1319" spans="21:32" x14ac:dyDescent="0.3">
      <c r="U1319" s="193"/>
      <c r="V1319" s="193"/>
      <c r="W1319" s="193"/>
      <c r="X1319" s="193"/>
      <c r="Y1319" s="193"/>
      <c r="Z1319" s="193"/>
      <c r="AC1319" s="193"/>
      <c r="AD1319" s="193"/>
      <c r="AE1319" s="193"/>
      <c r="AF1319" s="193"/>
    </row>
    <row r="1320" spans="21:32" x14ac:dyDescent="0.3">
      <c r="U1320" s="193"/>
      <c r="V1320" s="193"/>
      <c r="W1320" s="193"/>
      <c r="X1320" s="193"/>
      <c r="Y1320" s="193"/>
      <c r="Z1320" s="193"/>
      <c r="AC1320" s="193"/>
      <c r="AD1320" s="193"/>
      <c r="AE1320" s="193"/>
      <c r="AF1320" s="193"/>
    </row>
    <row r="1321" spans="21:32" x14ac:dyDescent="0.3">
      <c r="U1321" s="193"/>
      <c r="V1321" s="193"/>
      <c r="W1321" s="193"/>
      <c r="X1321" s="193"/>
      <c r="Y1321" s="193"/>
      <c r="Z1321" s="193"/>
      <c r="AC1321" s="193"/>
      <c r="AD1321" s="193"/>
      <c r="AE1321" s="193"/>
      <c r="AF1321" s="193"/>
    </row>
    <row r="1322" spans="21:32" x14ac:dyDescent="0.3">
      <c r="U1322" s="193"/>
      <c r="V1322" s="193"/>
      <c r="W1322" s="193"/>
      <c r="X1322" s="193"/>
      <c r="Y1322" s="193"/>
      <c r="Z1322" s="193"/>
      <c r="AC1322" s="193"/>
      <c r="AD1322" s="193"/>
      <c r="AE1322" s="193"/>
      <c r="AF1322" s="193"/>
    </row>
    <row r="1323" spans="21:32" x14ac:dyDescent="0.3">
      <c r="U1323" s="193"/>
      <c r="V1323" s="193"/>
      <c r="W1323" s="193"/>
      <c r="X1323" s="193"/>
      <c r="Y1323" s="193"/>
      <c r="Z1323" s="193"/>
      <c r="AC1323" s="193"/>
      <c r="AD1323" s="193"/>
      <c r="AE1323" s="193"/>
      <c r="AF1323" s="193"/>
    </row>
    <row r="1324" spans="21:32" x14ac:dyDescent="0.3">
      <c r="U1324" s="193"/>
      <c r="V1324" s="193"/>
      <c r="W1324" s="193"/>
      <c r="X1324" s="193"/>
      <c r="Y1324" s="193"/>
      <c r="Z1324" s="193"/>
      <c r="AC1324" s="193"/>
      <c r="AD1324" s="193"/>
      <c r="AE1324" s="193"/>
      <c r="AF1324" s="193"/>
    </row>
    <row r="1325" spans="21:32" x14ac:dyDescent="0.3">
      <c r="U1325" s="193"/>
      <c r="V1325" s="193"/>
      <c r="W1325" s="193"/>
      <c r="X1325" s="193"/>
      <c r="Y1325" s="193"/>
      <c r="Z1325" s="193"/>
      <c r="AC1325" s="193"/>
      <c r="AD1325" s="193"/>
      <c r="AE1325" s="193"/>
      <c r="AF1325" s="193"/>
    </row>
    <row r="1326" spans="21:32" x14ac:dyDescent="0.3">
      <c r="U1326" s="193"/>
      <c r="V1326" s="193"/>
      <c r="W1326" s="193"/>
      <c r="X1326" s="193"/>
      <c r="Y1326" s="193"/>
      <c r="Z1326" s="193"/>
      <c r="AC1326" s="193"/>
      <c r="AD1326" s="193"/>
      <c r="AE1326" s="193"/>
      <c r="AF1326" s="193"/>
    </row>
    <row r="1327" spans="21:32" x14ac:dyDescent="0.3">
      <c r="U1327" s="193"/>
      <c r="V1327" s="193"/>
      <c r="W1327" s="193"/>
      <c r="X1327" s="193"/>
      <c r="Y1327" s="193"/>
      <c r="Z1327" s="193"/>
      <c r="AC1327" s="193"/>
      <c r="AD1327" s="193"/>
      <c r="AE1327" s="193"/>
      <c r="AF1327" s="193"/>
    </row>
    <row r="1328" spans="21:32" x14ac:dyDescent="0.3">
      <c r="U1328" s="193"/>
      <c r="V1328" s="193"/>
      <c r="W1328" s="193"/>
      <c r="X1328" s="193"/>
      <c r="Y1328" s="193"/>
      <c r="Z1328" s="193"/>
      <c r="AC1328" s="193"/>
      <c r="AD1328" s="193"/>
      <c r="AE1328" s="193"/>
      <c r="AF1328" s="193"/>
    </row>
    <row r="1329" spans="21:32" x14ac:dyDescent="0.3">
      <c r="U1329" s="193"/>
      <c r="V1329" s="193"/>
      <c r="W1329" s="193"/>
      <c r="X1329" s="193"/>
      <c r="Y1329" s="193"/>
      <c r="Z1329" s="193"/>
      <c r="AC1329" s="193"/>
      <c r="AD1329" s="193"/>
      <c r="AE1329" s="193"/>
      <c r="AF1329" s="193"/>
    </row>
    <row r="1330" spans="21:32" x14ac:dyDescent="0.3">
      <c r="U1330" s="193"/>
      <c r="V1330" s="193"/>
      <c r="W1330" s="193"/>
      <c r="X1330" s="193"/>
      <c r="Y1330" s="193"/>
      <c r="Z1330" s="193"/>
      <c r="AC1330" s="193"/>
      <c r="AD1330" s="193"/>
      <c r="AE1330" s="193"/>
      <c r="AF1330" s="193"/>
    </row>
    <row r="1331" spans="21:32" x14ac:dyDescent="0.3">
      <c r="U1331" s="193"/>
      <c r="V1331" s="193"/>
      <c r="W1331" s="193"/>
      <c r="X1331" s="193"/>
      <c r="Y1331" s="193"/>
      <c r="Z1331" s="193"/>
      <c r="AC1331" s="193"/>
      <c r="AD1331" s="193"/>
      <c r="AE1331" s="193"/>
      <c r="AF1331" s="193"/>
    </row>
    <row r="1332" spans="21:32" x14ac:dyDescent="0.3">
      <c r="U1332" s="193"/>
      <c r="V1332" s="193"/>
      <c r="W1332" s="193"/>
      <c r="X1332" s="193"/>
      <c r="Y1332" s="193"/>
      <c r="Z1332" s="193"/>
      <c r="AC1332" s="193"/>
      <c r="AD1332" s="193"/>
      <c r="AE1332" s="193"/>
      <c r="AF1332" s="193"/>
    </row>
    <row r="1333" spans="21:32" x14ac:dyDescent="0.3">
      <c r="U1333" s="193"/>
      <c r="V1333" s="193"/>
      <c r="W1333" s="193"/>
      <c r="X1333" s="193"/>
      <c r="Y1333" s="193"/>
      <c r="Z1333" s="193"/>
      <c r="AC1333" s="193"/>
      <c r="AD1333" s="193"/>
      <c r="AE1333" s="193"/>
      <c r="AF1333" s="193"/>
    </row>
    <row r="1334" spans="21:32" x14ac:dyDescent="0.3">
      <c r="U1334" s="193"/>
      <c r="V1334" s="193"/>
      <c r="W1334" s="193"/>
      <c r="X1334" s="193"/>
      <c r="Y1334" s="193"/>
      <c r="Z1334" s="193"/>
      <c r="AC1334" s="193"/>
      <c r="AD1334" s="193"/>
      <c r="AE1334" s="193"/>
      <c r="AF1334" s="193"/>
    </row>
    <row r="1335" spans="21:32" x14ac:dyDescent="0.3">
      <c r="U1335" s="193"/>
      <c r="V1335" s="193"/>
      <c r="W1335" s="193"/>
      <c r="X1335" s="193"/>
      <c r="Y1335" s="193"/>
      <c r="Z1335" s="193"/>
      <c r="AC1335" s="193"/>
      <c r="AD1335" s="193"/>
      <c r="AE1335" s="193"/>
      <c r="AF1335" s="193"/>
    </row>
    <row r="1336" spans="21:32" x14ac:dyDescent="0.3">
      <c r="U1336" s="193"/>
      <c r="V1336" s="193"/>
      <c r="W1336" s="193"/>
      <c r="X1336" s="193"/>
      <c r="Y1336" s="193"/>
      <c r="Z1336" s="193"/>
      <c r="AC1336" s="193"/>
      <c r="AD1336" s="193"/>
      <c r="AE1336" s="193"/>
      <c r="AF1336" s="193"/>
    </row>
    <row r="1337" spans="21:32" x14ac:dyDescent="0.3">
      <c r="U1337" s="193"/>
      <c r="V1337" s="193"/>
      <c r="W1337" s="193"/>
      <c r="X1337" s="193"/>
      <c r="Y1337" s="193"/>
      <c r="Z1337" s="193"/>
      <c r="AC1337" s="193"/>
      <c r="AD1337" s="193"/>
      <c r="AE1337" s="193"/>
      <c r="AF1337" s="193"/>
    </row>
    <row r="1338" spans="21:32" x14ac:dyDescent="0.3">
      <c r="U1338" s="193"/>
      <c r="V1338" s="193"/>
      <c r="W1338" s="193"/>
      <c r="X1338" s="193"/>
      <c r="Y1338" s="193"/>
      <c r="Z1338" s="193"/>
      <c r="AC1338" s="193"/>
      <c r="AD1338" s="193"/>
      <c r="AE1338" s="193"/>
      <c r="AF1338" s="193"/>
    </row>
    <row r="1339" spans="21:32" x14ac:dyDescent="0.3">
      <c r="U1339" s="193"/>
      <c r="V1339" s="193"/>
      <c r="W1339" s="193"/>
      <c r="X1339" s="193"/>
      <c r="Y1339" s="193"/>
      <c r="Z1339" s="193"/>
      <c r="AC1339" s="193"/>
      <c r="AD1339" s="193"/>
      <c r="AE1339" s="193"/>
      <c r="AF1339" s="193"/>
    </row>
    <row r="1340" spans="21:32" x14ac:dyDescent="0.3">
      <c r="U1340" s="193"/>
      <c r="V1340" s="193"/>
      <c r="W1340" s="193"/>
      <c r="X1340" s="193"/>
      <c r="Y1340" s="193"/>
      <c r="Z1340" s="193"/>
      <c r="AC1340" s="193"/>
      <c r="AD1340" s="193"/>
      <c r="AE1340" s="193"/>
      <c r="AF1340" s="193"/>
    </row>
    <row r="1341" spans="21:32" x14ac:dyDescent="0.3">
      <c r="U1341" s="193"/>
      <c r="V1341" s="193"/>
      <c r="W1341" s="193"/>
      <c r="X1341" s="193"/>
      <c r="Y1341" s="193"/>
      <c r="Z1341" s="193"/>
      <c r="AC1341" s="193"/>
      <c r="AD1341" s="193"/>
      <c r="AE1341" s="193"/>
      <c r="AF1341" s="193"/>
    </row>
    <row r="1342" spans="21:32" x14ac:dyDescent="0.3">
      <c r="U1342" s="193"/>
      <c r="V1342" s="193"/>
      <c r="W1342" s="193"/>
      <c r="X1342" s="193"/>
      <c r="Y1342" s="193"/>
      <c r="Z1342" s="193"/>
      <c r="AC1342" s="193"/>
      <c r="AD1342" s="193"/>
      <c r="AE1342" s="193"/>
      <c r="AF1342" s="193"/>
    </row>
    <row r="1343" spans="21:32" x14ac:dyDescent="0.3">
      <c r="U1343" s="193"/>
      <c r="V1343" s="193"/>
      <c r="W1343" s="193"/>
      <c r="X1343" s="193"/>
      <c r="Y1343" s="193"/>
      <c r="Z1343" s="193"/>
      <c r="AC1343" s="193"/>
      <c r="AD1343" s="193"/>
      <c r="AE1343" s="193"/>
      <c r="AF1343" s="193"/>
    </row>
    <row r="1344" spans="21:32" x14ac:dyDescent="0.3">
      <c r="U1344" s="193"/>
      <c r="V1344" s="193"/>
      <c r="W1344" s="193"/>
      <c r="X1344" s="193"/>
      <c r="Y1344" s="193"/>
      <c r="Z1344" s="193"/>
      <c r="AC1344" s="193"/>
      <c r="AD1344" s="193"/>
      <c r="AE1344" s="193"/>
      <c r="AF1344" s="193"/>
    </row>
    <row r="1345" spans="21:32" x14ac:dyDescent="0.3">
      <c r="U1345" s="193"/>
      <c r="V1345" s="193"/>
      <c r="W1345" s="193"/>
      <c r="X1345" s="193"/>
      <c r="Y1345" s="193"/>
      <c r="Z1345" s="193"/>
      <c r="AC1345" s="193"/>
      <c r="AD1345" s="193"/>
      <c r="AE1345" s="193"/>
      <c r="AF1345" s="193"/>
    </row>
    <row r="1346" spans="21:32" x14ac:dyDescent="0.3">
      <c r="U1346" s="193"/>
      <c r="V1346" s="193"/>
      <c r="W1346" s="193"/>
      <c r="X1346" s="193"/>
      <c r="Y1346" s="193"/>
      <c r="Z1346" s="193"/>
      <c r="AC1346" s="193"/>
      <c r="AD1346" s="193"/>
      <c r="AE1346" s="193"/>
      <c r="AF1346" s="193"/>
    </row>
    <row r="1347" spans="21:32" x14ac:dyDescent="0.3">
      <c r="U1347" s="193"/>
      <c r="V1347" s="193"/>
      <c r="W1347" s="193"/>
      <c r="X1347" s="193"/>
      <c r="Y1347" s="193"/>
      <c r="Z1347" s="193"/>
      <c r="AC1347" s="193"/>
      <c r="AD1347" s="193"/>
      <c r="AE1347" s="193"/>
      <c r="AF1347" s="193"/>
    </row>
    <row r="1348" spans="21:32" x14ac:dyDescent="0.3">
      <c r="U1348" s="193"/>
      <c r="V1348" s="193"/>
      <c r="W1348" s="193"/>
      <c r="X1348" s="193"/>
      <c r="Y1348" s="193"/>
      <c r="Z1348" s="193"/>
      <c r="AC1348" s="193"/>
      <c r="AD1348" s="193"/>
      <c r="AE1348" s="193"/>
      <c r="AF1348" s="193"/>
    </row>
    <row r="1349" spans="21:32" x14ac:dyDescent="0.3">
      <c r="U1349" s="193"/>
      <c r="V1349" s="193"/>
      <c r="W1349" s="193"/>
      <c r="X1349" s="193"/>
      <c r="Y1349" s="193"/>
      <c r="Z1349" s="193"/>
      <c r="AC1349" s="193"/>
      <c r="AD1349" s="193"/>
      <c r="AE1349" s="193"/>
      <c r="AF1349" s="193"/>
    </row>
    <row r="1350" spans="21:32" x14ac:dyDescent="0.3">
      <c r="U1350" s="193"/>
      <c r="V1350" s="193"/>
      <c r="W1350" s="193"/>
      <c r="X1350" s="193"/>
      <c r="Y1350" s="193"/>
      <c r="Z1350" s="193"/>
      <c r="AC1350" s="193"/>
      <c r="AD1350" s="193"/>
      <c r="AE1350" s="193"/>
      <c r="AF1350" s="193"/>
    </row>
    <row r="1351" spans="21:32" x14ac:dyDescent="0.3">
      <c r="U1351" s="193"/>
      <c r="V1351" s="193"/>
      <c r="W1351" s="193"/>
      <c r="X1351" s="193"/>
      <c r="Y1351" s="193"/>
      <c r="Z1351" s="193"/>
      <c r="AC1351" s="193"/>
      <c r="AD1351" s="193"/>
      <c r="AE1351" s="193"/>
      <c r="AF1351" s="193"/>
    </row>
    <row r="1352" spans="21:32" x14ac:dyDescent="0.3">
      <c r="U1352" s="193"/>
      <c r="V1352" s="193"/>
      <c r="W1352" s="193"/>
      <c r="X1352" s="193"/>
      <c r="Y1352" s="193"/>
      <c r="Z1352" s="193"/>
      <c r="AC1352" s="193"/>
      <c r="AD1352" s="193"/>
      <c r="AE1352" s="193"/>
      <c r="AF1352" s="193"/>
    </row>
    <row r="1353" spans="21:32" x14ac:dyDescent="0.3">
      <c r="U1353" s="193"/>
      <c r="V1353" s="193"/>
      <c r="W1353" s="193"/>
      <c r="X1353" s="193"/>
      <c r="Y1353" s="193"/>
      <c r="Z1353" s="193"/>
      <c r="AC1353" s="193"/>
      <c r="AD1353" s="193"/>
      <c r="AE1353" s="193"/>
      <c r="AF1353" s="193"/>
    </row>
    <row r="1354" spans="21:32" x14ac:dyDescent="0.3">
      <c r="U1354" s="193"/>
      <c r="V1354" s="193"/>
      <c r="W1354" s="193"/>
      <c r="X1354" s="193"/>
      <c r="Y1354" s="193"/>
      <c r="Z1354" s="193"/>
      <c r="AC1354" s="193"/>
      <c r="AD1354" s="193"/>
      <c r="AE1354" s="193"/>
      <c r="AF1354" s="193"/>
    </row>
    <row r="1355" spans="21:32" x14ac:dyDescent="0.3">
      <c r="U1355" s="193"/>
      <c r="V1355" s="193"/>
      <c r="W1355" s="193"/>
      <c r="X1355" s="193"/>
      <c r="Y1355" s="193"/>
      <c r="Z1355" s="193"/>
      <c r="AC1355" s="193"/>
      <c r="AD1355" s="193"/>
      <c r="AE1355" s="193"/>
      <c r="AF1355" s="193"/>
    </row>
    <row r="1356" spans="21:32" x14ac:dyDescent="0.3">
      <c r="U1356" s="193"/>
      <c r="V1356" s="193"/>
      <c r="W1356" s="193"/>
      <c r="X1356" s="193"/>
      <c r="Y1356" s="193"/>
      <c r="Z1356" s="193"/>
      <c r="AC1356" s="193"/>
      <c r="AD1356" s="193"/>
      <c r="AE1356" s="193"/>
      <c r="AF1356" s="193"/>
    </row>
    <row r="1357" spans="21:32" x14ac:dyDescent="0.3">
      <c r="U1357" s="193"/>
      <c r="V1357" s="193"/>
      <c r="W1357" s="193"/>
      <c r="X1357" s="193"/>
      <c r="Y1357" s="193"/>
      <c r="Z1357" s="193"/>
      <c r="AC1357" s="193"/>
      <c r="AD1357" s="193"/>
      <c r="AE1357" s="193"/>
      <c r="AF1357" s="193"/>
    </row>
    <row r="1358" spans="21:32" x14ac:dyDescent="0.3">
      <c r="U1358" s="193"/>
      <c r="V1358" s="193"/>
      <c r="W1358" s="193"/>
      <c r="X1358" s="193"/>
      <c r="Y1358" s="193"/>
      <c r="Z1358" s="193"/>
      <c r="AC1358" s="193"/>
      <c r="AD1358" s="193"/>
      <c r="AE1358" s="193"/>
      <c r="AF1358" s="193"/>
    </row>
    <row r="1359" spans="21:32" x14ac:dyDescent="0.3">
      <c r="U1359" s="193"/>
      <c r="V1359" s="193"/>
      <c r="W1359" s="193"/>
      <c r="X1359" s="193"/>
      <c r="Y1359" s="193"/>
      <c r="Z1359" s="193"/>
      <c r="AC1359" s="193"/>
      <c r="AD1359" s="193"/>
      <c r="AE1359" s="193"/>
      <c r="AF1359" s="193"/>
    </row>
    <row r="1360" spans="21:32" x14ac:dyDescent="0.3">
      <c r="U1360" s="193"/>
      <c r="V1360" s="193"/>
      <c r="W1360" s="193"/>
      <c r="X1360" s="193"/>
      <c r="Y1360" s="193"/>
      <c r="Z1360" s="193"/>
      <c r="AC1360" s="193"/>
      <c r="AD1360" s="193"/>
      <c r="AE1360" s="193"/>
      <c r="AF1360" s="193"/>
    </row>
    <row r="1361" spans="21:32" x14ac:dyDescent="0.3">
      <c r="U1361" s="193"/>
      <c r="V1361" s="193"/>
      <c r="W1361" s="193"/>
      <c r="X1361" s="193"/>
      <c r="Y1361" s="193"/>
      <c r="Z1361" s="193"/>
      <c r="AC1361" s="193"/>
      <c r="AD1361" s="193"/>
      <c r="AE1361" s="193"/>
      <c r="AF1361" s="193"/>
    </row>
    <row r="1362" spans="21:32" x14ac:dyDescent="0.3">
      <c r="U1362" s="193"/>
      <c r="V1362" s="193"/>
      <c r="W1362" s="193"/>
      <c r="X1362" s="193"/>
      <c r="Y1362" s="193"/>
      <c r="Z1362" s="193"/>
      <c r="AC1362" s="193"/>
      <c r="AD1362" s="193"/>
      <c r="AE1362" s="193"/>
      <c r="AF1362" s="193"/>
    </row>
    <row r="1363" spans="21:32" x14ac:dyDescent="0.3">
      <c r="U1363" s="193"/>
      <c r="V1363" s="193"/>
      <c r="W1363" s="193"/>
      <c r="X1363" s="193"/>
      <c r="Y1363" s="193"/>
      <c r="Z1363" s="193"/>
      <c r="AC1363" s="193"/>
      <c r="AD1363" s="193"/>
      <c r="AE1363" s="193"/>
      <c r="AF1363" s="193"/>
    </row>
    <row r="1364" spans="21:32" x14ac:dyDescent="0.3">
      <c r="U1364" s="193"/>
      <c r="V1364" s="193"/>
      <c r="W1364" s="193"/>
      <c r="X1364" s="193"/>
      <c r="Y1364" s="193"/>
      <c r="Z1364" s="193"/>
      <c r="AC1364" s="193"/>
      <c r="AD1364" s="193"/>
      <c r="AE1364" s="193"/>
      <c r="AF1364" s="193"/>
    </row>
    <row r="1365" spans="21:32" x14ac:dyDescent="0.3">
      <c r="U1365" s="193"/>
      <c r="V1365" s="193"/>
      <c r="W1365" s="193"/>
      <c r="X1365" s="193"/>
      <c r="Y1365" s="193"/>
      <c r="Z1365" s="193"/>
      <c r="AC1365" s="193"/>
      <c r="AD1365" s="193"/>
      <c r="AE1365" s="193"/>
      <c r="AF1365" s="193"/>
    </row>
    <row r="1366" spans="21:32" x14ac:dyDescent="0.3">
      <c r="U1366" s="193"/>
      <c r="V1366" s="193"/>
      <c r="W1366" s="193"/>
      <c r="X1366" s="193"/>
      <c r="Y1366" s="193"/>
      <c r="Z1366" s="193"/>
      <c r="AC1366" s="193"/>
      <c r="AD1366" s="193"/>
      <c r="AE1366" s="193"/>
      <c r="AF1366" s="193"/>
    </row>
    <row r="1367" spans="21:32" x14ac:dyDescent="0.3">
      <c r="U1367" s="193"/>
      <c r="V1367" s="193"/>
      <c r="W1367" s="193"/>
      <c r="X1367" s="193"/>
      <c r="Y1367" s="193"/>
      <c r="Z1367" s="193"/>
      <c r="AC1367" s="193"/>
      <c r="AD1367" s="193"/>
      <c r="AE1367" s="193"/>
      <c r="AF1367" s="193"/>
    </row>
    <row r="1368" spans="21:32" x14ac:dyDescent="0.3">
      <c r="U1368" s="193"/>
      <c r="V1368" s="193"/>
      <c r="W1368" s="193"/>
      <c r="X1368" s="193"/>
      <c r="Y1368" s="193"/>
      <c r="Z1368" s="193"/>
      <c r="AC1368" s="193"/>
      <c r="AD1368" s="193"/>
      <c r="AE1368" s="193"/>
      <c r="AF1368" s="193"/>
    </row>
    <row r="1369" spans="21:32" x14ac:dyDescent="0.3">
      <c r="U1369" s="193"/>
      <c r="V1369" s="193"/>
      <c r="W1369" s="193"/>
      <c r="X1369" s="193"/>
      <c r="Y1369" s="193"/>
      <c r="Z1369" s="193"/>
      <c r="AC1369" s="193"/>
      <c r="AD1369" s="193"/>
      <c r="AE1369" s="193"/>
      <c r="AF1369" s="193"/>
    </row>
    <row r="1370" spans="21:32" x14ac:dyDescent="0.3">
      <c r="U1370" s="193"/>
      <c r="V1370" s="193"/>
      <c r="W1370" s="193"/>
      <c r="X1370" s="193"/>
      <c r="Y1370" s="193"/>
      <c r="Z1370" s="193"/>
      <c r="AC1370" s="193"/>
      <c r="AD1370" s="193"/>
      <c r="AE1370" s="193"/>
      <c r="AF1370" s="193"/>
    </row>
    <row r="1371" spans="21:32" x14ac:dyDescent="0.3">
      <c r="U1371" s="193"/>
      <c r="V1371" s="193"/>
      <c r="W1371" s="193"/>
      <c r="X1371" s="193"/>
      <c r="Y1371" s="193"/>
      <c r="Z1371" s="193"/>
      <c r="AC1371" s="193"/>
      <c r="AD1371" s="193"/>
      <c r="AE1371" s="193"/>
      <c r="AF1371" s="193"/>
    </row>
    <row r="1372" spans="21:32" x14ac:dyDescent="0.3">
      <c r="U1372" s="193"/>
      <c r="V1372" s="193"/>
      <c r="W1372" s="193"/>
      <c r="X1372" s="193"/>
      <c r="Y1372" s="193"/>
      <c r="Z1372" s="193"/>
      <c r="AC1372" s="193"/>
      <c r="AD1372" s="193"/>
      <c r="AE1372" s="193"/>
      <c r="AF1372" s="193"/>
    </row>
    <row r="1373" spans="21:32" x14ac:dyDescent="0.3">
      <c r="U1373" s="193"/>
      <c r="V1373" s="193"/>
      <c r="W1373" s="193"/>
      <c r="X1373" s="193"/>
      <c r="Y1373" s="193"/>
      <c r="Z1373" s="193"/>
      <c r="AC1373" s="193"/>
      <c r="AD1373" s="193"/>
      <c r="AE1373" s="193"/>
      <c r="AF1373" s="193"/>
    </row>
    <row r="1374" spans="21:32" x14ac:dyDescent="0.3">
      <c r="U1374" s="193"/>
      <c r="V1374" s="193"/>
      <c r="W1374" s="193"/>
      <c r="X1374" s="193"/>
      <c r="Y1374" s="193"/>
      <c r="Z1374" s="193"/>
      <c r="AC1374" s="193"/>
      <c r="AD1374" s="193"/>
      <c r="AE1374" s="193"/>
      <c r="AF1374" s="193"/>
    </row>
    <row r="1375" spans="21:32" x14ac:dyDescent="0.3">
      <c r="U1375" s="193"/>
      <c r="V1375" s="193"/>
      <c r="W1375" s="193"/>
      <c r="X1375" s="193"/>
      <c r="Y1375" s="193"/>
      <c r="Z1375" s="193"/>
      <c r="AC1375" s="193"/>
      <c r="AD1375" s="193"/>
      <c r="AE1375" s="193"/>
      <c r="AF1375" s="193"/>
    </row>
    <row r="1376" spans="21:32" x14ac:dyDescent="0.3">
      <c r="U1376" s="193"/>
      <c r="V1376" s="193"/>
      <c r="W1376" s="193"/>
      <c r="X1376" s="193"/>
      <c r="Y1376" s="193"/>
      <c r="Z1376" s="193"/>
      <c r="AC1376" s="193"/>
      <c r="AD1376" s="193"/>
      <c r="AE1376" s="193"/>
      <c r="AF1376" s="193"/>
    </row>
    <row r="1377" spans="21:32" x14ac:dyDescent="0.3">
      <c r="U1377" s="193"/>
      <c r="V1377" s="193"/>
      <c r="W1377" s="193"/>
      <c r="X1377" s="193"/>
      <c r="Y1377" s="193"/>
      <c r="Z1377" s="193"/>
      <c r="AC1377" s="193"/>
      <c r="AD1377" s="193"/>
      <c r="AE1377" s="193"/>
      <c r="AF1377" s="193"/>
    </row>
    <row r="1378" spans="21:32" x14ac:dyDescent="0.3">
      <c r="U1378" s="193"/>
      <c r="V1378" s="193"/>
      <c r="W1378" s="193"/>
      <c r="X1378" s="193"/>
      <c r="Y1378" s="193"/>
      <c r="Z1378" s="193"/>
      <c r="AC1378" s="193"/>
      <c r="AD1378" s="193"/>
      <c r="AE1378" s="193"/>
      <c r="AF1378" s="193"/>
    </row>
    <row r="1379" spans="21:32" x14ac:dyDescent="0.3">
      <c r="U1379" s="193"/>
      <c r="V1379" s="193"/>
      <c r="W1379" s="193"/>
      <c r="X1379" s="193"/>
      <c r="Y1379" s="193"/>
      <c r="Z1379" s="193"/>
      <c r="AC1379" s="193"/>
      <c r="AD1379" s="193"/>
      <c r="AE1379" s="193"/>
      <c r="AF1379" s="193"/>
    </row>
    <row r="1380" spans="21:32" x14ac:dyDescent="0.3">
      <c r="U1380" s="193"/>
      <c r="V1380" s="193"/>
      <c r="W1380" s="193"/>
      <c r="X1380" s="193"/>
      <c r="Y1380" s="193"/>
      <c r="Z1380" s="193"/>
      <c r="AC1380" s="193"/>
      <c r="AD1380" s="193"/>
      <c r="AE1380" s="193"/>
      <c r="AF1380" s="193"/>
    </row>
    <row r="1381" spans="21:32" x14ac:dyDescent="0.3">
      <c r="U1381" s="193"/>
      <c r="V1381" s="193"/>
      <c r="W1381" s="193"/>
      <c r="X1381" s="193"/>
      <c r="Y1381" s="193"/>
      <c r="Z1381" s="193"/>
      <c r="AC1381" s="193"/>
      <c r="AD1381" s="193"/>
      <c r="AE1381" s="193"/>
      <c r="AF1381" s="193"/>
    </row>
    <row r="1382" spans="21:32" x14ac:dyDescent="0.3">
      <c r="U1382" s="193"/>
      <c r="V1382" s="193"/>
      <c r="W1382" s="193"/>
      <c r="X1382" s="193"/>
      <c r="Y1382" s="193"/>
      <c r="Z1382" s="193"/>
      <c r="AC1382" s="193"/>
      <c r="AD1382" s="193"/>
      <c r="AE1382" s="193"/>
      <c r="AF1382" s="193"/>
    </row>
    <row r="1383" spans="21:32" x14ac:dyDescent="0.3">
      <c r="U1383" s="193"/>
      <c r="V1383" s="193"/>
      <c r="W1383" s="193"/>
      <c r="X1383" s="193"/>
      <c r="Y1383" s="193"/>
      <c r="Z1383" s="193"/>
      <c r="AC1383" s="193"/>
      <c r="AD1383" s="193"/>
      <c r="AE1383" s="193"/>
      <c r="AF1383" s="193"/>
    </row>
    <row r="1384" spans="21:32" x14ac:dyDescent="0.3">
      <c r="U1384" s="193"/>
      <c r="V1384" s="193"/>
      <c r="W1384" s="193"/>
      <c r="X1384" s="193"/>
      <c r="Y1384" s="193"/>
      <c r="Z1384" s="193"/>
      <c r="AC1384" s="193"/>
      <c r="AD1384" s="193"/>
      <c r="AE1384" s="193"/>
      <c r="AF1384" s="193"/>
    </row>
    <row r="1385" spans="21:32" x14ac:dyDescent="0.3">
      <c r="U1385" s="193"/>
      <c r="V1385" s="193"/>
      <c r="W1385" s="193"/>
      <c r="X1385" s="193"/>
      <c r="Y1385" s="193"/>
      <c r="Z1385" s="193"/>
      <c r="AC1385" s="193"/>
      <c r="AD1385" s="193"/>
      <c r="AE1385" s="193"/>
      <c r="AF1385" s="193"/>
    </row>
    <row r="1386" spans="21:32" x14ac:dyDescent="0.3">
      <c r="U1386" s="193"/>
      <c r="V1386" s="193"/>
      <c r="W1386" s="193"/>
      <c r="X1386" s="193"/>
      <c r="Y1386" s="193"/>
      <c r="Z1386" s="193"/>
      <c r="AC1386" s="193"/>
      <c r="AD1386" s="193"/>
      <c r="AE1386" s="193"/>
      <c r="AF1386" s="193"/>
    </row>
    <row r="1387" spans="21:32" x14ac:dyDescent="0.3">
      <c r="U1387" s="193"/>
      <c r="V1387" s="193"/>
      <c r="W1387" s="193"/>
      <c r="X1387" s="193"/>
      <c r="Y1387" s="193"/>
      <c r="Z1387" s="193"/>
      <c r="AC1387" s="193"/>
      <c r="AD1387" s="193"/>
      <c r="AE1387" s="193"/>
      <c r="AF1387" s="193"/>
    </row>
    <row r="1388" spans="21:32" x14ac:dyDescent="0.3">
      <c r="U1388" s="193"/>
      <c r="V1388" s="193"/>
      <c r="W1388" s="193"/>
      <c r="X1388" s="193"/>
      <c r="Y1388" s="193"/>
      <c r="Z1388" s="193"/>
      <c r="AC1388" s="193"/>
      <c r="AD1388" s="193"/>
      <c r="AE1388" s="193"/>
      <c r="AF1388" s="193"/>
    </row>
    <row r="1389" spans="21:32" x14ac:dyDescent="0.3">
      <c r="U1389" s="193"/>
      <c r="V1389" s="193"/>
      <c r="W1389" s="193"/>
      <c r="X1389" s="193"/>
      <c r="Y1389" s="193"/>
      <c r="Z1389" s="193"/>
      <c r="AC1389" s="193"/>
      <c r="AD1389" s="193"/>
      <c r="AE1389" s="193"/>
      <c r="AF1389" s="193"/>
    </row>
    <row r="1390" spans="21:32" x14ac:dyDescent="0.3">
      <c r="U1390" s="193"/>
      <c r="V1390" s="193"/>
      <c r="W1390" s="193"/>
      <c r="X1390" s="193"/>
      <c r="Y1390" s="193"/>
      <c r="Z1390" s="193"/>
      <c r="AC1390" s="193"/>
      <c r="AD1390" s="193"/>
      <c r="AE1390" s="193"/>
      <c r="AF1390" s="193"/>
    </row>
    <row r="1391" spans="21:32" x14ac:dyDescent="0.3">
      <c r="U1391" s="193"/>
      <c r="V1391" s="193"/>
      <c r="W1391" s="193"/>
      <c r="X1391" s="193"/>
      <c r="Y1391" s="193"/>
      <c r="Z1391" s="193"/>
      <c r="AC1391" s="193"/>
      <c r="AD1391" s="193"/>
      <c r="AE1391" s="193"/>
      <c r="AF1391" s="193"/>
    </row>
    <row r="1392" spans="21:32" x14ac:dyDescent="0.3">
      <c r="U1392" s="193"/>
      <c r="V1392" s="193"/>
      <c r="W1392" s="193"/>
      <c r="X1392" s="193"/>
      <c r="Y1392" s="193"/>
      <c r="Z1392" s="193"/>
      <c r="AC1392" s="193"/>
      <c r="AD1392" s="193"/>
      <c r="AE1392" s="193"/>
      <c r="AF1392" s="193"/>
    </row>
    <row r="1393" spans="21:32" x14ac:dyDescent="0.3">
      <c r="U1393" s="193"/>
      <c r="V1393" s="193"/>
      <c r="W1393" s="193"/>
      <c r="X1393" s="193"/>
      <c r="Y1393" s="193"/>
      <c r="Z1393" s="193"/>
      <c r="AC1393" s="193"/>
      <c r="AD1393" s="193"/>
      <c r="AE1393" s="193"/>
      <c r="AF1393" s="193"/>
    </row>
    <row r="1394" spans="21:32" x14ac:dyDescent="0.3">
      <c r="U1394" s="193"/>
      <c r="V1394" s="193"/>
      <c r="W1394" s="193"/>
      <c r="X1394" s="193"/>
      <c r="Y1394" s="193"/>
      <c r="Z1394" s="193"/>
      <c r="AC1394" s="193"/>
      <c r="AD1394" s="193"/>
      <c r="AE1394" s="193"/>
      <c r="AF1394" s="193"/>
    </row>
    <row r="1395" spans="21:32" x14ac:dyDescent="0.3">
      <c r="U1395" s="193"/>
      <c r="V1395" s="193"/>
      <c r="W1395" s="193"/>
      <c r="X1395" s="193"/>
      <c r="Y1395" s="193"/>
      <c r="Z1395" s="193"/>
      <c r="AC1395" s="193"/>
      <c r="AD1395" s="193"/>
      <c r="AE1395" s="193"/>
      <c r="AF1395" s="193"/>
    </row>
    <row r="1396" spans="21:32" x14ac:dyDescent="0.3">
      <c r="U1396" s="193"/>
      <c r="V1396" s="193"/>
      <c r="W1396" s="193"/>
      <c r="X1396" s="193"/>
      <c r="Y1396" s="193"/>
      <c r="Z1396" s="193"/>
      <c r="AC1396" s="193"/>
      <c r="AD1396" s="193"/>
      <c r="AE1396" s="193"/>
      <c r="AF1396" s="193"/>
    </row>
    <row r="1397" spans="21:32" x14ac:dyDescent="0.3">
      <c r="U1397" s="193"/>
      <c r="V1397" s="193"/>
      <c r="W1397" s="193"/>
      <c r="X1397" s="193"/>
      <c r="Y1397" s="193"/>
      <c r="Z1397" s="193"/>
      <c r="AC1397" s="193"/>
      <c r="AD1397" s="193"/>
      <c r="AE1397" s="193"/>
      <c r="AF1397" s="193"/>
    </row>
    <row r="1398" spans="21:32" x14ac:dyDescent="0.3">
      <c r="U1398" s="193"/>
      <c r="V1398" s="193"/>
      <c r="W1398" s="193"/>
      <c r="X1398" s="193"/>
      <c r="Y1398" s="193"/>
      <c r="Z1398" s="193"/>
      <c r="AC1398" s="193"/>
      <c r="AD1398" s="193"/>
      <c r="AE1398" s="193"/>
      <c r="AF1398" s="193"/>
    </row>
    <row r="1399" spans="21:32" x14ac:dyDescent="0.3">
      <c r="U1399" s="193"/>
      <c r="V1399" s="193"/>
      <c r="W1399" s="193"/>
      <c r="X1399" s="193"/>
      <c r="Y1399" s="193"/>
      <c r="Z1399" s="193"/>
      <c r="AC1399" s="193"/>
      <c r="AD1399" s="193"/>
      <c r="AE1399" s="193"/>
      <c r="AF1399" s="193"/>
    </row>
    <row r="1400" spans="21:32" x14ac:dyDescent="0.3">
      <c r="U1400" s="193"/>
      <c r="V1400" s="193"/>
      <c r="W1400" s="193"/>
      <c r="X1400" s="193"/>
      <c r="Y1400" s="193"/>
      <c r="Z1400" s="193"/>
      <c r="AC1400" s="193"/>
      <c r="AD1400" s="193"/>
      <c r="AE1400" s="193"/>
      <c r="AF1400" s="193"/>
    </row>
    <row r="1401" spans="21:32" x14ac:dyDescent="0.3">
      <c r="U1401" s="193"/>
      <c r="V1401" s="193"/>
      <c r="W1401" s="193"/>
      <c r="X1401" s="193"/>
      <c r="Y1401" s="193"/>
      <c r="Z1401" s="193"/>
      <c r="AC1401" s="193"/>
      <c r="AD1401" s="193"/>
      <c r="AE1401" s="193"/>
      <c r="AF1401" s="193"/>
    </row>
    <row r="1402" spans="21:32" x14ac:dyDescent="0.3">
      <c r="U1402" s="193"/>
      <c r="V1402" s="193"/>
      <c r="W1402" s="193"/>
      <c r="X1402" s="193"/>
      <c r="Y1402" s="193"/>
      <c r="Z1402" s="193"/>
      <c r="AC1402" s="193"/>
      <c r="AD1402" s="193"/>
      <c r="AE1402" s="193"/>
      <c r="AF1402" s="193"/>
    </row>
    <row r="1403" spans="21:32" x14ac:dyDescent="0.3">
      <c r="U1403" s="193"/>
      <c r="V1403" s="193"/>
      <c r="W1403" s="193"/>
      <c r="X1403" s="193"/>
      <c r="Y1403" s="193"/>
      <c r="Z1403" s="193"/>
      <c r="AC1403" s="193"/>
      <c r="AD1403" s="193"/>
      <c r="AE1403" s="193"/>
      <c r="AF1403" s="193"/>
    </row>
    <row r="1404" spans="21:32" x14ac:dyDescent="0.3">
      <c r="U1404" s="193"/>
      <c r="V1404" s="193"/>
      <c r="W1404" s="193"/>
      <c r="X1404" s="193"/>
      <c r="Y1404" s="193"/>
      <c r="Z1404" s="193"/>
      <c r="AC1404" s="193"/>
      <c r="AD1404" s="193"/>
      <c r="AE1404" s="193"/>
      <c r="AF1404" s="193"/>
    </row>
    <row r="1405" spans="21:32" x14ac:dyDescent="0.3">
      <c r="U1405" s="193"/>
      <c r="V1405" s="193"/>
      <c r="W1405" s="193"/>
      <c r="X1405" s="193"/>
      <c r="Y1405" s="193"/>
      <c r="Z1405" s="193"/>
      <c r="AC1405" s="193"/>
      <c r="AD1405" s="193"/>
      <c r="AE1405" s="193"/>
      <c r="AF1405" s="193"/>
    </row>
    <row r="1406" spans="21:32" x14ac:dyDescent="0.3">
      <c r="U1406" s="193"/>
      <c r="V1406" s="193"/>
      <c r="W1406" s="193"/>
      <c r="X1406" s="193"/>
      <c r="Y1406" s="193"/>
      <c r="Z1406" s="193"/>
      <c r="AC1406" s="193"/>
      <c r="AD1406" s="193"/>
      <c r="AE1406" s="193"/>
      <c r="AF1406" s="193"/>
    </row>
    <row r="1407" spans="21:32" x14ac:dyDescent="0.3">
      <c r="U1407" s="193"/>
      <c r="V1407" s="193"/>
      <c r="W1407" s="193"/>
      <c r="X1407" s="193"/>
      <c r="Y1407" s="193"/>
      <c r="Z1407" s="193"/>
      <c r="AC1407" s="193"/>
      <c r="AD1407" s="193"/>
      <c r="AE1407" s="193"/>
      <c r="AF1407" s="193"/>
    </row>
    <row r="1408" spans="21:32" x14ac:dyDescent="0.3">
      <c r="U1408" s="193"/>
      <c r="V1408" s="193"/>
      <c r="W1408" s="193"/>
      <c r="X1408" s="193"/>
      <c r="Y1408" s="193"/>
      <c r="Z1408" s="193"/>
      <c r="AC1408" s="193"/>
      <c r="AD1408" s="193"/>
      <c r="AE1408" s="193"/>
      <c r="AF1408" s="193"/>
    </row>
    <row r="1409" spans="21:32" x14ac:dyDescent="0.3">
      <c r="U1409" s="193"/>
      <c r="V1409" s="193"/>
      <c r="W1409" s="193"/>
      <c r="X1409" s="193"/>
      <c r="Y1409" s="193"/>
      <c r="Z1409" s="193"/>
      <c r="AC1409" s="193"/>
      <c r="AD1409" s="193"/>
      <c r="AE1409" s="193"/>
      <c r="AF1409" s="193"/>
    </row>
    <row r="1410" spans="21:32" x14ac:dyDescent="0.3">
      <c r="U1410" s="193"/>
      <c r="V1410" s="193"/>
      <c r="W1410" s="193"/>
      <c r="X1410" s="193"/>
      <c r="Y1410" s="193"/>
      <c r="Z1410" s="193"/>
      <c r="AC1410" s="193"/>
      <c r="AD1410" s="193"/>
      <c r="AE1410" s="193"/>
      <c r="AF1410" s="193"/>
    </row>
    <row r="1411" spans="21:32" x14ac:dyDescent="0.3">
      <c r="U1411" s="193"/>
      <c r="V1411" s="193"/>
      <c r="W1411" s="193"/>
      <c r="X1411" s="193"/>
      <c r="Y1411" s="193"/>
      <c r="Z1411" s="193"/>
      <c r="AC1411" s="193"/>
      <c r="AD1411" s="193"/>
      <c r="AE1411" s="193"/>
      <c r="AF1411" s="193"/>
    </row>
    <row r="1412" spans="21:32" x14ac:dyDescent="0.3">
      <c r="U1412" s="193"/>
      <c r="V1412" s="193"/>
      <c r="W1412" s="193"/>
      <c r="X1412" s="193"/>
      <c r="Y1412" s="193"/>
      <c r="Z1412" s="193"/>
      <c r="AC1412" s="193"/>
      <c r="AD1412" s="193"/>
      <c r="AE1412" s="193"/>
      <c r="AF1412" s="193"/>
    </row>
    <row r="1413" spans="21:32" x14ac:dyDescent="0.3">
      <c r="U1413" s="193"/>
      <c r="V1413" s="193"/>
      <c r="W1413" s="193"/>
      <c r="X1413" s="193"/>
      <c r="Y1413" s="193"/>
      <c r="Z1413" s="193"/>
      <c r="AC1413" s="193"/>
      <c r="AD1413" s="193"/>
      <c r="AE1413" s="193"/>
      <c r="AF1413" s="193"/>
    </row>
    <row r="1414" spans="21:32" x14ac:dyDescent="0.3">
      <c r="U1414" s="193"/>
      <c r="V1414" s="193"/>
      <c r="W1414" s="193"/>
      <c r="X1414" s="193"/>
      <c r="Y1414" s="193"/>
      <c r="Z1414" s="193"/>
      <c r="AC1414" s="193"/>
      <c r="AD1414" s="193"/>
      <c r="AE1414" s="193"/>
      <c r="AF1414" s="193"/>
    </row>
    <row r="1415" spans="21:32" x14ac:dyDescent="0.3">
      <c r="U1415" s="193"/>
      <c r="V1415" s="193"/>
      <c r="W1415" s="193"/>
      <c r="X1415" s="193"/>
      <c r="Y1415" s="193"/>
      <c r="Z1415" s="193"/>
      <c r="AC1415" s="193"/>
      <c r="AD1415" s="193"/>
      <c r="AE1415" s="193"/>
      <c r="AF1415" s="193"/>
    </row>
    <row r="1416" spans="21:32" x14ac:dyDescent="0.3">
      <c r="U1416" s="193"/>
      <c r="V1416" s="193"/>
      <c r="W1416" s="193"/>
      <c r="X1416" s="193"/>
      <c r="Y1416" s="193"/>
      <c r="Z1416" s="193"/>
      <c r="AC1416" s="193"/>
      <c r="AD1416" s="193"/>
      <c r="AE1416" s="193"/>
      <c r="AF1416" s="193"/>
    </row>
    <row r="1417" spans="21:32" x14ac:dyDescent="0.3">
      <c r="U1417" s="193"/>
      <c r="V1417" s="193"/>
      <c r="W1417" s="193"/>
      <c r="X1417" s="193"/>
      <c r="Y1417" s="193"/>
      <c r="Z1417" s="193"/>
      <c r="AC1417" s="193"/>
      <c r="AD1417" s="193"/>
      <c r="AE1417" s="193"/>
      <c r="AF1417" s="193"/>
    </row>
    <row r="1418" spans="21:32" x14ac:dyDescent="0.3">
      <c r="U1418" s="193"/>
      <c r="V1418" s="193"/>
      <c r="W1418" s="193"/>
      <c r="X1418" s="193"/>
      <c r="Y1418" s="193"/>
      <c r="Z1418" s="193"/>
      <c r="AC1418" s="193"/>
      <c r="AD1418" s="193"/>
      <c r="AE1418" s="193"/>
      <c r="AF1418" s="193"/>
    </row>
    <row r="1419" spans="21:32" x14ac:dyDescent="0.3">
      <c r="U1419" s="193"/>
      <c r="V1419" s="193"/>
      <c r="W1419" s="193"/>
      <c r="X1419" s="193"/>
      <c r="Y1419" s="193"/>
      <c r="Z1419" s="193"/>
      <c r="AC1419" s="193"/>
      <c r="AD1419" s="193"/>
      <c r="AE1419" s="193"/>
      <c r="AF1419" s="193"/>
    </row>
    <row r="1420" spans="21:32" x14ac:dyDescent="0.3">
      <c r="U1420" s="193"/>
      <c r="V1420" s="193"/>
      <c r="W1420" s="193"/>
      <c r="X1420" s="193"/>
      <c r="Y1420" s="193"/>
      <c r="Z1420" s="193"/>
      <c r="AC1420" s="193"/>
      <c r="AD1420" s="193"/>
      <c r="AE1420" s="193"/>
      <c r="AF1420" s="193"/>
    </row>
    <row r="1421" spans="21:32" x14ac:dyDescent="0.3">
      <c r="U1421" s="193"/>
      <c r="V1421" s="193"/>
      <c r="W1421" s="193"/>
      <c r="X1421" s="193"/>
      <c r="Y1421" s="193"/>
      <c r="Z1421" s="193"/>
      <c r="AC1421" s="193"/>
      <c r="AD1421" s="193"/>
      <c r="AE1421" s="193"/>
      <c r="AF1421" s="193"/>
    </row>
    <row r="1422" spans="21:32" x14ac:dyDescent="0.3">
      <c r="U1422" s="193"/>
      <c r="V1422" s="193"/>
      <c r="W1422" s="193"/>
      <c r="X1422" s="193"/>
      <c r="Y1422" s="193"/>
      <c r="Z1422" s="193"/>
      <c r="AC1422" s="193"/>
      <c r="AD1422" s="193"/>
      <c r="AE1422" s="193"/>
      <c r="AF1422" s="193"/>
    </row>
    <row r="1423" spans="21:32" x14ac:dyDescent="0.3">
      <c r="U1423" s="193"/>
      <c r="V1423" s="193"/>
      <c r="W1423" s="193"/>
      <c r="X1423" s="193"/>
      <c r="Y1423" s="193"/>
      <c r="Z1423" s="193"/>
      <c r="AC1423" s="193"/>
      <c r="AD1423" s="193"/>
      <c r="AE1423" s="193"/>
      <c r="AF1423" s="193"/>
    </row>
    <row r="1424" spans="21:32" x14ac:dyDescent="0.3">
      <c r="U1424" s="193"/>
      <c r="V1424" s="193"/>
      <c r="W1424" s="193"/>
      <c r="X1424" s="193"/>
      <c r="Y1424" s="193"/>
      <c r="Z1424" s="193"/>
      <c r="AC1424" s="193"/>
      <c r="AD1424" s="193"/>
      <c r="AE1424" s="193"/>
      <c r="AF1424" s="193"/>
    </row>
    <row r="1425" spans="21:32" x14ac:dyDescent="0.3">
      <c r="U1425" s="193"/>
      <c r="V1425" s="193"/>
      <c r="W1425" s="193"/>
      <c r="X1425" s="193"/>
      <c r="Y1425" s="193"/>
      <c r="Z1425" s="193"/>
      <c r="AC1425" s="193"/>
      <c r="AD1425" s="193"/>
      <c r="AE1425" s="193"/>
      <c r="AF1425" s="193"/>
    </row>
    <row r="1426" spans="21:32" x14ac:dyDescent="0.3">
      <c r="U1426" s="193"/>
      <c r="V1426" s="193"/>
      <c r="W1426" s="193"/>
      <c r="X1426" s="193"/>
      <c r="Y1426" s="193"/>
      <c r="Z1426" s="193"/>
      <c r="AC1426" s="193"/>
      <c r="AD1426" s="193"/>
      <c r="AE1426" s="193"/>
      <c r="AF1426" s="193"/>
    </row>
    <row r="1427" spans="21:32" x14ac:dyDescent="0.3">
      <c r="U1427" s="193"/>
      <c r="V1427" s="193"/>
      <c r="W1427" s="193"/>
      <c r="X1427" s="193"/>
      <c r="Y1427" s="193"/>
      <c r="Z1427" s="193"/>
      <c r="AC1427" s="193"/>
      <c r="AD1427" s="193"/>
      <c r="AE1427" s="193"/>
      <c r="AF1427" s="193"/>
    </row>
    <row r="1428" spans="21:32" x14ac:dyDescent="0.3">
      <c r="U1428" s="193"/>
      <c r="V1428" s="193"/>
      <c r="W1428" s="193"/>
      <c r="X1428" s="193"/>
      <c r="Y1428" s="193"/>
      <c r="Z1428" s="193"/>
      <c r="AC1428" s="193"/>
      <c r="AD1428" s="193"/>
      <c r="AE1428" s="193"/>
      <c r="AF1428" s="193"/>
    </row>
    <row r="1429" spans="21:32" x14ac:dyDescent="0.3">
      <c r="U1429" s="193"/>
      <c r="V1429" s="193"/>
      <c r="W1429" s="193"/>
      <c r="X1429" s="193"/>
      <c r="Y1429" s="193"/>
      <c r="Z1429" s="193"/>
      <c r="AC1429" s="193"/>
      <c r="AD1429" s="193"/>
      <c r="AE1429" s="193"/>
      <c r="AF1429" s="193"/>
    </row>
    <row r="1430" spans="21:32" x14ac:dyDescent="0.3">
      <c r="U1430" s="193"/>
      <c r="V1430" s="193"/>
      <c r="W1430" s="193"/>
      <c r="X1430" s="193"/>
      <c r="Y1430" s="193"/>
      <c r="Z1430" s="193"/>
      <c r="AC1430" s="193"/>
      <c r="AD1430" s="193"/>
      <c r="AE1430" s="193"/>
      <c r="AF1430" s="193"/>
    </row>
    <row r="1431" spans="21:32" x14ac:dyDescent="0.3">
      <c r="U1431" s="193"/>
      <c r="V1431" s="193"/>
      <c r="W1431" s="193"/>
      <c r="X1431" s="193"/>
      <c r="Y1431" s="193"/>
      <c r="Z1431" s="193"/>
      <c r="AC1431" s="193"/>
      <c r="AD1431" s="193"/>
      <c r="AE1431" s="193"/>
      <c r="AF1431" s="193"/>
    </row>
    <row r="1432" spans="21:32" x14ac:dyDescent="0.3">
      <c r="U1432" s="193"/>
      <c r="V1432" s="193"/>
      <c r="W1432" s="193"/>
      <c r="X1432" s="193"/>
      <c r="Y1432" s="193"/>
      <c r="Z1432" s="193"/>
      <c r="AC1432" s="193"/>
      <c r="AD1432" s="193"/>
      <c r="AE1432" s="193"/>
      <c r="AF1432" s="193"/>
    </row>
    <row r="1433" spans="21:32" x14ac:dyDescent="0.3">
      <c r="U1433" s="193"/>
      <c r="V1433" s="193"/>
      <c r="W1433" s="193"/>
      <c r="X1433" s="193"/>
      <c r="Y1433" s="193"/>
      <c r="Z1433" s="193"/>
      <c r="AC1433" s="193"/>
      <c r="AD1433" s="193"/>
      <c r="AE1433" s="193"/>
      <c r="AF1433" s="193"/>
    </row>
    <row r="1434" spans="21:32" x14ac:dyDescent="0.3">
      <c r="U1434" s="193"/>
      <c r="V1434" s="193"/>
      <c r="W1434" s="193"/>
      <c r="X1434" s="193"/>
      <c r="Y1434" s="193"/>
      <c r="Z1434" s="193"/>
      <c r="AC1434" s="193"/>
      <c r="AD1434" s="193"/>
      <c r="AE1434" s="193"/>
      <c r="AF1434" s="193"/>
    </row>
    <row r="1435" spans="21:32" x14ac:dyDescent="0.3">
      <c r="U1435" s="193"/>
      <c r="V1435" s="193"/>
      <c r="W1435" s="193"/>
      <c r="X1435" s="193"/>
      <c r="Y1435" s="193"/>
      <c r="Z1435" s="193"/>
      <c r="AC1435" s="193"/>
      <c r="AD1435" s="193"/>
      <c r="AE1435" s="193"/>
      <c r="AF1435" s="193"/>
    </row>
    <row r="1436" spans="21:32" x14ac:dyDescent="0.3">
      <c r="U1436" s="193"/>
      <c r="V1436" s="193"/>
      <c r="W1436" s="193"/>
      <c r="X1436" s="193"/>
      <c r="Y1436" s="193"/>
      <c r="Z1436" s="193"/>
      <c r="AC1436" s="193"/>
      <c r="AD1436" s="193"/>
      <c r="AE1436" s="193"/>
      <c r="AF1436" s="193"/>
    </row>
    <row r="1437" spans="21:32" x14ac:dyDescent="0.3">
      <c r="U1437" s="193"/>
      <c r="V1437" s="193"/>
      <c r="W1437" s="193"/>
      <c r="X1437" s="193"/>
      <c r="Y1437" s="193"/>
      <c r="Z1437" s="193"/>
      <c r="AC1437" s="193"/>
      <c r="AD1437" s="193"/>
      <c r="AE1437" s="193"/>
      <c r="AF1437" s="193"/>
    </row>
    <row r="1438" spans="21:32" x14ac:dyDescent="0.3">
      <c r="U1438" s="193"/>
      <c r="V1438" s="193"/>
      <c r="W1438" s="193"/>
      <c r="X1438" s="193"/>
      <c r="Y1438" s="193"/>
      <c r="Z1438" s="193"/>
      <c r="AC1438" s="193"/>
      <c r="AD1438" s="193"/>
      <c r="AE1438" s="193"/>
      <c r="AF1438" s="193"/>
    </row>
    <row r="1439" spans="21:32" x14ac:dyDescent="0.3">
      <c r="U1439" s="193"/>
      <c r="V1439" s="193"/>
      <c r="W1439" s="193"/>
      <c r="X1439" s="193"/>
      <c r="Y1439" s="193"/>
      <c r="Z1439" s="193"/>
      <c r="AC1439" s="193"/>
      <c r="AD1439" s="193"/>
      <c r="AE1439" s="193"/>
      <c r="AF1439" s="193"/>
    </row>
    <row r="1440" spans="21:32" x14ac:dyDescent="0.3">
      <c r="U1440" s="193"/>
      <c r="V1440" s="193"/>
      <c r="W1440" s="193"/>
      <c r="X1440" s="193"/>
      <c r="Y1440" s="193"/>
      <c r="Z1440" s="193"/>
      <c r="AC1440" s="193"/>
      <c r="AD1440" s="193"/>
      <c r="AE1440" s="193"/>
      <c r="AF1440" s="193"/>
    </row>
    <row r="1441" spans="21:32" x14ac:dyDescent="0.3">
      <c r="U1441" s="193"/>
      <c r="V1441" s="193"/>
      <c r="W1441" s="193"/>
      <c r="X1441" s="193"/>
      <c r="Y1441" s="193"/>
      <c r="Z1441" s="193"/>
      <c r="AC1441" s="193"/>
      <c r="AD1441" s="193"/>
      <c r="AE1441" s="193"/>
      <c r="AF1441" s="193"/>
    </row>
    <row r="1442" spans="21:32" x14ac:dyDescent="0.3">
      <c r="U1442" s="193"/>
      <c r="V1442" s="193"/>
      <c r="W1442" s="193"/>
      <c r="X1442" s="193"/>
      <c r="Y1442" s="193"/>
      <c r="Z1442" s="193"/>
      <c r="AC1442" s="193"/>
      <c r="AD1442" s="193"/>
      <c r="AE1442" s="193"/>
      <c r="AF1442" s="193"/>
    </row>
    <row r="1443" spans="21:32" x14ac:dyDescent="0.3">
      <c r="U1443" s="193"/>
      <c r="V1443" s="193"/>
      <c r="W1443" s="193"/>
      <c r="X1443" s="193"/>
      <c r="Y1443" s="193"/>
      <c r="Z1443" s="193"/>
      <c r="AC1443" s="193"/>
      <c r="AD1443" s="193"/>
      <c r="AE1443" s="193"/>
      <c r="AF1443" s="193"/>
    </row>
    <row r="1444" spans="21:32" x14ac:dyDescent="0.3">
      <c r="U1444" s="193"/>
      <c r="V1444" s="193"/>
      <c r="W1444" s="193"/>
      <c r="X1444" s="193"/>
      <c r="Y1444" s="193"/>
      <c r="Z1444" s="193"/>
      <c r="AC1444" s="193"/>
      <c r="AD1444" s="193"/>
      <c r="AE1444" s="193"/>
      <c r="AF1444" s="193"/>
    </row>
    <row r="1445" spans="21:32" x14ac:dyDescent="0.3">
      <c r="U1445" s="193"/>
      <c r="V1445" s="193"/>
      <c r="W1445" s="193"/>
      <c r="X1445" s="193"/>
      <c r="Y1445" s="193"/>
      <c r="Z1445" s="193"/>
      <c r="AC1445" s="193"/>
      <c r="AD1445" s="193"/>
      <c r="AE1445" s="193"/>
      <c r="AF1445" s="193"/>
    </row>
    <row r="1446" spans="21:32" x14ac:dyDescent="0.3">
      <c r="U1446" s="193"/>
      <c r="V1446" s="193"/>
      <c r="W1446" s="193"/>
      <c r="X1446" s="193"/>
      <c r="Y1446" s="193"/>
      <c r="Z1446" s="193"/>
      <c r="AC1446" s="193"/>
      <c r="AD1446" s="193"/>
      <c r="AE1446" s="193"/>
      <c r="AF1446" s="193"/>
    </row>
    <row r="1447" spans="21:32" x14ac:dyDescent="0.3">
      <c r="U1447" s="193"/>
      <c r="V1447" s="193"/>
      <c r="W1447" s="193"/>
      <c r="X1447" s="193"/>
      <c r="Y1447" s="193"/>
      <c r="Z1447" s="193"/>
      <c r="AC1447" s="193"/>
      <c r="AD1447" s="193"/>
      <c r="AE1447" s="193"/>
      <c r="AF1447" s="193"/>
    </row>
    <row r="1448" spans="21:32" x14ac:dyDescent="0.3">
      <c r="U1448" s="193"/>
      <c r="V1448" s="193"/>
      <c r="W1448" s="193"/>
      <c r="X1448" s="193"/>
      <c r="Y1448" s="193"/>
      <c r="Z1448" s="193"/>
      <c r="AC1448" s="193"/>
      <c r="AD1448" s="193"/>
      <c r="AE1448" s="193"/>
      <c r="AF1448" s="193"/>
    </row>
    <row r="1449" spans="21:32" x14ac:dyDescent="0.3">
      <c r="U1449" s="193"/>
      <c r="V1449" s="193"/>
      <c r="W1449" s="193"/>
      <c r="X1449" s="193"/>
      <c r="Y1449" s="193"/>
      <c r="Z1449" s="193"/>
      <c r="AC1449" s="193"/>
      <c r="AD1449" s="193"/>
      <c r="AE1449" s="193"/>
      <c r="AF1449" s="193"/>
    </row>
    <row r="1450" spans="21:32" x14ac:dyDescent="0.3">
      <c r="U1450" s="193"/>
      <c r="V1450" s="193"/>
      <c r="W1450" s="193"/>
      <c r="X1450" s="193"/>
      <c r="Y1450" s="193"/>
      <c r="Z1450" s="193"/>
      <c r="AC1450" s="193"/>
      <c r="AD1450" s="193"/>
      <c r="AE1450" s="193"/>
      <c r="AF1450" s="193"/>
    </row>
    <row r="1451" spans="21:32" x14ac:dyDescent="0.3">
      <c r="U1451" s="193"/>
      <c r="V1451" s="193"/>
      <c r="W1451" s="193"/>
      <c r="X1451" s="193"/>
      <c r="Y1451" s="193"/>
      <c r="Z1451" s="193"/>
      <c r="AC1451" s="193"/>
      <c r="AD1451" s="193"/>
      <c r="AE1451" s="193"/>
      <c r="AF1451" s="193"/>
    </row>
    <row r="1452" spans="21:32" x14ac:dyDescent="0.3">
      <c r="U1452" s="193"/>
      <c r="V1452" s="193"/>
      <c r="W1452" s="193"/>
      <c r="X1452" s="193"/>
      <c r="Y1452" s="193"/>
      <c r="Z1452" s="193"/>
      <c r="AC1452" s="193"/>
      <c r="AD1452" s="193"/>
      <c r="AE1452" s="193"/>
      <c r="AF1452" s="193"/>
    </row>
    <row r="1453" spans="21:32" x14ac:dyDescent="0.3">
      <c r="U1453" s="193"/>
      <c r="V1453" s="193"/>
      <c r="W1453" s="193"/>
      <c r="X1453" s="193"/>
      <c r="Y1453" s="193"/>
      <c r="Z1453" s="193"/>
      <c r="AC1453" s="193"/>
      <c r="AD1453" s="193"/>
      <c r="AE1453" s="193"/>
      <c r="AF1453" s="193"/>
    </row>
    <row r="1454" spans="21:32" x14ac:dyDescent="0.3">
      <c r="U1454" s="193"/>
      <c r="V1454" s="193"/>
      <c r="W1454" s="193"/>
      <c r="X1454" s="193"/>
      <c r="Y1454" s="193"/>
      <c r="Z1454" s="193"/>
      <c r="AC1454" s="193"/>
      <c r="AD1454" s="193"/>
      <c r="AE1454" s="193"/>
      <c r="AF1454" s="193"/>
    </row>
    <row r="1455" spans="21:32" x14ac:dyDescent="0.3">
      <c r="U1455" s="193"/>
      <c r="V1455" s="193"/>
      <c r="W1455" s="193"/>
      <c r="X1455" s="193"/>
      <c r="Y1455" s="193"/>
      <c r="Z1455" s="193"/>
      <c r="AC1455" s="193"/>
      <c r="AD1455" s="193"/>
      <c r="AE1455" s="193"/>
      <c r="AF1455" s="193"/>
    </row>
    <row r="1456" spans="21:32" x14ac:dyDescent="0.3">
      <c r="U1456" s="193"/>
      <c r="V1456" s="193"/>
      <c r="W1456" s="193"/>
      <c r="X1456" s="193"/>
      <c r="Y1456" s="193"/>
      <c r="Z1456" s="193"/>
      <c r="AC1456" s="193"/>
      <c r="AD1456" s="193"/>
      <c r="AE1456" s="193"/>
      <c r="AF1456" s="193"/>
    </row>
    <row r="1457" spans="21:32" x14ac:dyDescent="0.3">
      <c r="U1457" s="193"/>
      <c r="V1457" s="193"/>
      <c r="W1457" s="193"/>
      <c r="X1457" s="193"/>
      <c r="Y1457" s="193"/>
      <c r="Z1457" s="193"/>
      <c r="AC1457" s="193"/>
      <c r="AD1457" s="193"/>
      <c r="AE1457" s="193"/>
      <c r="AF1457" s="193"/>
    </row>
    <row r="1458" spans="21:32" x14ac:dyDescent="0.3">
      <c r="U1458" s="193"/>
      <c r="V1458" s="193"/>
      <c r="W1458" s="193"/>
      <c r="X1458" s="193"/>
      <c r="Y1458" s="193"/>
      <c r="Z1458" s="193"/>
      <c r="AC1458" s="193"/>
      <c r="AD1458" s="193"/>
      <c r="AE1458" s="193"/>
      <c r="AF1458" s="193"/>
    </row>
    <row r="1459" spans="21:32" x14ac:dyDescent="0.3">
      <c r="U1459" s="193"/>
      <c r="V1459" s="193"/>
      <c r="W1459" s="193"/>
      <c r="X1459" s="193"/>
      <c r="Y1459" s="193"/>
      <c r="Z1459" s="193"/>
      <c r="AC1459" s="193"/>
      <c r="AD1459" s="193"/>
      <c r="AE1459" s="193"/>
      <c r="AF1459" s="193"/>
    </row>
    <row r="1460" spans="21:32" x14ac:dyDescent="0.3">
      <c r="U1460" s="193"/>
      <c r="V1460" s="193"/>
      <c r="W1460" s="193"/>
      <c r="X1460" s="193"/>
      <c r="Y1460" s="193"/>
      <c r="Z1460" s="193"/>
      <c r="AC1460" s="193"/>
      <c r="AD1460" s="193"/>
      <c r="AE1460" s="193"/>
      <c r="AF1460" s="193"/>
    </row>
    <row r="1461" spans="21:32" x14ac:dyDescent="0.3">
      <c r="U1461" s="193"/>
      <c r="V1461" s="193"/>
      <c r="W1461" s="193"/>
      <c r="X1461" s="193"/>
      <c r="Y1461" s="193"/>
      <c r="Z1461" s="193"/>
      <c r="AC1461" s="193"/>
      <c r="AD1461" s="193"/>
      <c r="AE1461" s="193"/>
      <c r="AF1461" s="193"/>
    </row>
    <row r="1462" spans="21:32" x14ac:dyDescent="0.3">
      <c r="U1462" s="193"/>
      <c r="V1462" s="193"/>
      <c r="W1462" s="193"/>
      <c r="X1462" s="193"/>
      <c r="Y1462" s="193"/>
      <c r="Z1462" s="193"/>
      <c r="AC1462" s="193"/>
      <c r="AD1462" s="193"/>
      <c r="AE1462" s="193"/>
      <c r="AF1462" s="193"/>
    </row>
    <row r="1463" spans="21:32" x14ac:dyDescent="0.3">
      <c r="U1463" s="193"/>
      <c r="V1463" s="193"/>
      <c r="W1463" s="193"/>
      <c r="X1463" s="193"/>
      <c r="Y1463" s="193"/>
      <c r="Z1463" s="193"/>
      <c r="AC1463" s="193"/>
      <c r="AD1463" s="193"/>
      <c r="AE1463" s="193"/>
      <c r="AF1463" s="193"/>
    </row>
    <row r="1464" spans="21:32" x14ac:dyDescent="0.3">
      <c r="U1464" s="193"/>
      <c r="V1464" s="193"/>
      <c r="W1464" s="193"/>
      <c r="X1464" s="193"/>
      <c r="Y1464" s="193"/>
      <c r="Z1464" s="193"/>
      <c r="AC1464" s="193"/>
      <c r="AD1464" s="193"/>
      <c r="AE1464" s="193"/>
      <c r="AF1464" s="193"/>
    </row>
    <row r="1465" spans="21:32" x14ac:dyDescent="0.3">
      <c r="U1465" s="193"/>
      <c r="V1465" s="193"/>
      <c r="W1465" s="193"/>
      <c r="X1465" s="193"/>
      <c r="Y1465" s="193"/>
      <c r="Z1465" s="193"/>
      <c r="AC1465" s="193"/>
      <c r="AD1465" s="193"/>
      <c r="AE1465" s="193"/>
      <c r="AF1465" s="193"/>
    </row>
    <row r="1466" spans="21:32" x14ac:dyDescent="0.3">
      <c r="U1466" s="193"/>
      <c r="V1466" s="193"/>
      <c r="W1466" s="193"/>
      <c r="X1466" s="193"/>
      <c r="Y1466" s="193"/>
      <c r="Z1466" s="193"/>
      <c r="AC1466" s="193"/>
      <c r="AD1466" s="193"/>
      <c r="AE1466" s="193"/>
      <c r="AF1466" s="193"/>
    </row>
    <row r="1467" spans="21:32" x14ac:dyDescent="0.3">
      <c r="U1467" s="193"/>
      <c r="V1467" s="193"/>
      <c r="W1467" s="193"/>
      <c r="X1467" s="193"/>
      <c r="Y1467" s="193"/>
      <c r="Z1467" s="193"/>
      <c r="AC1467" s="193"/>
      <c r="AD1467" s="193"/>
      <c r="AE1467" s="193"/>
      <c r="AF1467" s="193"/>
    </row>
    <row r="1468" spans="21:32" x14ac:dyDescent="0.3">
      <c r="U1468" s="193"/>
      <c r="V1468" s="193"/>
      <c r="W1468" s="193"/>
      <c r="X1468" s="193"/>
      <c r="Y1468" s="193"/>
      <c r="Z1468" s="193"/>
      <c r="AC1468" s="193"/>
      <c r="AD1468" s="193"/>
      <c r="AE1468" s="193"/>
      <c r="AF1468" s="193"/>
    </row>
    <row r="1469" spans="21:32" x14ac:dyDescent="0.3">
      <c r="U1469" s="193"/>
      <c r="V1469" s="193"/>
      <c r="W1469" s="193"/>
      <c r="X1469" s="193"/>
      <c r="Y1469" s="193"/>
      <c r="Z1469" s="193"/>
      <c r="AC1469" s="193"/>
      <c r="AD1469" s="193"/>
      <c r="AE1469" s="193"/>
      <c r="AF1469" s="193"/>
    </row>
    <row r="1470" spans="21:32" x14ac:dyDescent="0.3">
      <c r="U1470" s="193"/>
      <c r="V1470" s="193"/>
      <c r="W1470" s="193"/>
      <c r="X1470" s="193"/>
      <c r="Y1470" s="193"/>
      <c r="Z1470" s="193"/>
      <c r="AC1470" s="193"/>
      <c r="AD1470" s="193"/>
      <c r="AE1470" s="193"/>
      <c r="AF1470" s="193"/>
    </row>
    <row r="1471" spans="21:32" x14ac:dyDescent="0.3">
      <c r="U1471" s="193"/>
      <c r="V1471" s="193"/>
      <c r="W1471" s="193"/>
      <c r="X1471" s="193"/>
      <c r="Y1471" s="193"/>
      <c r="Z1471" s="193"/>
      <c r="AC1471" s="193"/>
      <c r="AD1471" s="193"/>
      <c r="AE1471" s="193"/>
      <c r="AF1471" s="193"/>
    </row>
    <row r="1472" spans="21:32" x14ac:dyDescent="0.3">
      <c r="U1472" s="193"/>
      <c r="V1472" s="193"/>
      <c r="W1472" s="193"/>
      <c r="X1472" s="193"/>
      <c r="Y1472" s="193"/>
      <c r="Z1472" s="193"/>
      <c r="AC1472" s="193"/>
      <c r="AD1472" s="193"/>
      <c r="AE1472" s="193"/>
      <c r="AF1472" s="193"/>
    </row>
    <row r="1473" spans="21:32" x14ac:dyDescent="0.3">
      <c r="U1473" s="193"/>
      <c r="V1473" s="193"/>
      <c r="W1473" s="193"/>
      <c r="X1473" s="193"/>
      <c r="Y1473" s="193"/>
      <c r="Z1473" s="193"/>
      <c r="AC1473" s="193"/>
      <c r="AD1473" s="193"/>
      <c r="AE1473" s="193"/>
      <c r="AF1473" s="193"/>
    </row>
    <row r="1474" spans="21:32" x14ac:dyDescent="0.3">
      <c r="U1474" s="193"/>
      <c r="V1474" s="193"/>
      <c r="W1474" s="193"/>
      <c r="X1474" s="193"/>
      <c r="Y1474" s="193"/>
      <c r="Z1474" s="193"/>
      <c r="AC1474" s="193"/>
      <c r="AD1474" s="193"/>
      <c r="AE1474" s="193"/>
      <c r="AF1474" s="193"/>
    </row>
    <row r="1475" spans="21:32" x14ac:dyDescent="0.3">
      <c r="U1475" s="193"/>
      <c r="V1475" s="193"/>
      <c r="W1475" s="193"/>
      <c r="X1475" s="193"/>
      <c r="Y1475" s="193"/>
      <c r="Z1475" s="193"/>
      <c r="AC1475" s="193"/>
      <c r="AD1475" s="193"/>
      <c r="AE1475" s="193"/>
      <c r="AF1475" s="193"/>
    </row>
    <row r="1476" spans="21:32" x14ac:dyDescent="0.3">
      <c r="U1476" s="193"/>
      <c r="V1476" s="193"/>
      <c r="W1476" s="193"/>
      <c r="X1476" s="193"/>
      <c r="Y1476" s="193"/>
      <c r="Z1476" s="193"/>
      <c r="AC1476" s="193"/>
      <c r="AD1476" s="193"/>
      <c r="AE1476" s="193"/>
      <c r="AF1476" s="193"/>
    </row>
    <row r="1477" spans="21:32" x14ac:dyDescent="0.3">
      <c r="U1477" s="193"/>
      <c r="V1477" s="193"/>
      <c r="W1477" s="193"/>
      <c r="X1477" s="193"/>
      <c r="Y1477" s="193"/>
      <c r="Z1477" s="193"/>
      <c r="AC1477" s="193"/>
      <c r="AD1477" s="193"/>
      <c r="AE1477" s="193"/>
      <c r="AF1477" s="193"/>
    </row>
    <row r="1478" spans="21:32" x14ac:dyDescent="0.3">
      <c r="U1478" s="193"/>
      <c r="V1478" s="193"/>
      <c r="W1478" s="193"/>
      <c r="X1478" s="193"/>
      <c r="Y1478" s="193"/>
      <c r="Z1478" s="193"/>
      <c r="AC1478" s="193"/>
      <c r="AD1478" s="193"/>
      <c r="AE1478" s="193"/>
      <c r="AF1478" s="193"/>
    </row>
    <row r="1479" spans="21:32" x14ac:dyDescent="0.3">
      <c r="U1479" s="193"/>
      <c r="V1479" s="193"/>
      <c r="W1479" s="193"/>
      <c r="X1479" s="193"/>
      <c r="Y1479" s="193"/>
      <c r="Z1479" s="193"/>
      <c r="AC1479" s="193"/>
      <c r="AD1479" s="193"/>
      <c r="AE1479" s="193"/>
      <c r="AF1479" s="193"/>
    </row>
    <row r="1480" spans="21:32" x14ac:dyDescent="0.3">
      <c r="U1480" s="193"/>
      <c r="V1480" s="193"/>
      <c r="W1480" s="193"/>
      <c r="X1480" s="193"/>
      <c r="Y1480" s="193"/>
      <c r="Z1480" s="193"/>
      <c r="AC1480" s="193"/>
      <c r="AD1480" s="193"/>
      <c r="AE1480" s="193"/>
      <c r="AF1480" s="193"/>
    </row>
    <row r="1481" spans="21:32" x14ac:dyDescent="0.3">
      <c r="U1481" s="193"/>
      <c r="V1481" s="193"/>
      <c r="W1481" s="193"/>
      <c r="X1481" s="193"/>
      <c r="Y1481" s="193"/>
      <c r="Z1481" s="193"/>
      <c r="AC1481" s="193"/>
      <c r="AD1481" s="193"/>
      <c r="AE1481" s="193"/>
      <c r="AF1481" s="193"/>
    </row>
    <row r="1482" spans="21:32" x14ac:dyDescent="0.3">
      <c r="U1482" s="193"/>
      <c r="V1482" s="193"/>
      <c r="W1482" s="193"/>
      <c r="X1482" s="193"/>
      <c r="Y1482" s="193"/>
      <c r="Z1482" s="193"/>
      <c r="AC1482" s="193"/>
      <c r="AD1482" s="193"/>
      <c r="AE1482" s="193"/>
      <c r="AF1482" s="193"/>
    </row>
    <row r="1483" spans="21:32" x14ac:dyDescent="0.3">
      <c r="U1483" s="193"/>
      <c r="V1483" s="193"/>
      <c r="W1483" s="193"/>
      <c r="X1483" s="193"/>
      <c r="Y1483" s="193"/>
      <c r="Z1483" s="193"/>
      <c r="AC1483" s="193"/>
      <c r="AD1483" s="193"/>
      <c r="AE1483" s="193"/>
      <c r="AF1483" s="193"/>
    </row>
    <row r="1484" spans="21:32" x14ac:dyDescent="0.3">
      <c r="U1484" s="193"/>
      <c r="V1484" s="193"/>
      <c r="W1484" s="193"/>
      <c r="X1484" s="193"/>
      <c r="Y1484" s="193"/>
      <c r="Z1484" s="193"/>
      <c r="AC1484" s="193"/>
      <c r="AD1484" s="193"/>
      <c r="AE1484" s="193"/>
      <c r="AF1484" s="193"/>
    </row>
    <row r="1485" spans="21:32" x14ac:dyDescent="0.3">
      <c r="U1485" s="193"/>
      <c r="V1485" s="193"/>
      <c r="W1485" s="193"/>
      <c r="X1485" s="193"/>
      <c r="Y1485" s="193"/>
      <c r="Z1485" s="193"/>
      <c r="AC1485" s="193"/>
      <c r="AD1485" s="193"/>
      <c r="AE1485" s="193"/>
      <c r="AF1485" s="193"/>
    </row>
    <row r="1486" spans="21:32" x14ac:dyDescent="0.3">
      <c r="U1486" s="193"/>
      <c r="V1486" s="193"/>
      <c r="W1486" s="193"/>
      <c r="X1486" s="193"/>
      <c r="Y1486" s="193"/>
      <c r="Z1486" s="193"/>
      <c r="AC1486" s="193"/>
      <c r="AD1486" s="193"/>
      <c r="AE1486" s="193"/>
      <c r="AF1486" s="193"/>
    </row>
    <row r="1487" spans="21:32" x14ac:dyDescent="0.3">
      <c r="U1487" s="193"/>
      <c r="V1487" s="193"/>
      <c r="W1487" s="193"/>
      <c r="X1487" s="193"/>
      <c r="Y1487" s="193"/>
      <c r="Z1487" s="193"/>
      <c r="AC1487" s="193"/>
      <c r="AD1487" s="193"/>
      <c r="AE1487" s="193"/>
      <c r="AF1487" s="193"/>
    </row>
    <row r="1488" spans="21:32" x14ac:dyDescent="0.3">
      <c r="U1488" s="193"/>
      <c r="V1488" s="193"/>
      <c r="W1488" s="193"/>
      <c r="X1488" s="193"/>
      <c r="Y1488" s="193"/>
      <c r="Z1488" s="193"/>
      <c r="AC1488" s="193"/>
      <c r="AD1488" s="193"/>
      <c r="AE1488" s="193"/>
      <c r="AF1488" s="193"/>
    </row>
    <row r="1489" spans="21:32" x14ac:dyDescent="0.3">
      <c r="U1489" s="193"/>
      <c r="V1489" s="193"/>
      <c r="W1489" s="193"/>
      <c r="X1489" s="193"/>
      <c r="Y1489" s="193"/>
      <c r="Z1489" s="193"/>
      <c r="AC1489" s="193"/>
      <c r="AD1489" s="193"/>
      <c r="AE1489" s="193"/>
      <c r="AF1489" s="193"/>
    </row>
    <row r="1490" spans="21:32" x14ac:dyDescent="0.3">
      <c r="U1490" s="193"/>
      <c r="V1490" s="193"/>
      <c r="W1490" s="193"/>
      <c r="X1490" s="193"/>
      <c r="Y1490" s="193"/>
      <c r="Z1490" s="193"/>
      <c r="AC1490" s="193"/>
      <c r="AD1490" s="193"/>
      <c r="AE1490" s="193"/>
      <c r="AF1490" s="193"/>
    </row>
    <row r="1491" spans="21:32" x14ac:dyDescent="0.3">
      <c r="U1491" s="193"/>
      <c r="V1491" s="193"/>
      <c r="W1491" s="193"/>
      <c r="X1491" s="193"/>
      <c r="Y1491" s="193"/>
      <c r="Z1491" s="193"/>
      <c r="AC1491" s="193"/>
      <c r="AD1491" s="193"/>
      <c r="AE1491" s="193"/>
      <c r="AF1491" s="193"/>
    </row>
    <row r="1492" spans="21:32" x14ac:dyDescent="0.3">
      <c r="U1492" s="193"/>
      <c r="V1492" s="193"/>
      <c r="W1492" s="193"/>
      <c r="X1492" s="193"/>
      <c r="Y1492" s="193"/>
      <c r="Z1492" s="193"/>
      <c r="AC1492" s="193"/>
      <c r="AD1492" s="193"/>
      <c r="AE1492" s="193"/>
      <c r="AF1492" s="193"/>
    </row>
    <row r="1493" spans="21:32" x14ac:dyDescent="0.3">
      <c r="U1493" s="193"/>
      <c r="V1493" s="193"/>
      <c r="W1493" s="193"/>
      <c r="X1493" s="193"/>
      <c r="Y1493" s="193"/>
      <c r="Z1493" s="193"/>
      <c r="AC1493" s="193"/>
      <c r="AD1493" s="193"/>
      <c r="AE1493" s="193"/>
      <c r="AF1493" s="193"/>
    </row>
    <row r="1494" spans="21:32" x14ac:dyDescent="0.3">
      <c r="U1494" s="193"/>
      <c r="V1494" s="193"/>
      <c r="W1494" s="193"/>
      <c r="X1494" s="193"/>
      <c r="Y1494" s="193"/>
      <c r="Z1494" s="193"/>
      <c r="AC1494" s="193"/>
      <c r="AD1494" s="193"/>
      <c r="AE1494" s="193"/>
      <c r="AF1494" s="193"/>
    </row>
    <row r="1495" spans="21:32" x14ac:dyDescent="0.3">
      <c r="U1495" s="193"/>
      <c r="V1495" s="193"/>
      <c r="W1495" s="193"/>
      <c r="X1495" s="193"/>
      <c r="Y1495" s="193"/>
      <c r="Z1495" s="193"/>
      <c r="AC1495" s="193"/>
      <c r="AD1495" s="193"/>
      <c r="AE1495" s="193"/>
      <c r="AF1495" s="193"/>
    </row>
    <row r="1496" spans="21:32" x14ac:dyDescent="0.3">
      <c r="U1496" s="193"/>
      <c r="V1496" s="193"/>
      <c r="W1496" s="193"/>
      <c r="X1496" s="193"/>
      <c r="Y1496" s="193"/>
      <c r="Z1496" s="193"/>
      <c r="AC1496" s="193"/>
      <c r="AD1496" s="193"/>
      <c r="AE1496" s="193"/>
      <c r="AF1496" s="193"/>
    </row>
    <row r="1497" spans="21:32" x14ac:dyDescent="0.3">
      <c r="U1497" s="193"/>
      <c r="V1497" s="193"/>
      <c r="W1497" s="193"/>
      <c r="X1497" s="193"/>
      <c r="Y1497" s="193"/>
      <c r="Z1497" s="193"/>
      <c r="AC1497" s="193"/>
      <c r="AD1497" s="193"/>
      <c r="AE1497" s="193"/>
      <c r="AF1497" s="193"/>
    </row>
    <row r="1498" spans="21:32" x14ac:dyDescent="0.3">
      <c r="U1498" s="193"/>
      <c r="V1498" s="193"/>
      <c r="W1498" s="193"/>
      <c r="X1498" s="193"/>
      <c r="Y1498" s="193"/>
      <c r="Z1498" s="193"/>
      <c r="AC1498" s="193"/>
      <c r="AD1498" s="193"/>
      <c r="AE1498" s="193"/>
      <c r="AF1498" s="193"/>
    </row>
    <row r="1499" spans="21:32" x14ac:dyDescent="0.3">
      <c r="U1499" s="193"/>
      <c r="V1499" s="193"/>
      <c r="W1499" s="193"/>
      <c r="X1499" s="193"/>
      <c r="Y1499" s="193"/>
      <c r="Z1499" s="193"/>
      <c r="AC1499" s="193"/>
      <c r="AD1499" s="193"/>
      <c r="AE1499" s="193"/>
      <c r="AF1499" s="193"/>
    </row>
    <row r="1500" spans="21:32" x14ac:dyDescent="0.3">
      <c r="U1500" s="193"/>
      <c r="V1500" s="193"/>
      <c r="W1500" s="193"/>
      <c r="X1500" s="193"/>
      <c r="Y1500" s="193"/>
      <c r="Z1500" s="193"/>
      <c r="AC1500" s="193"/>
      <c r="AD1500" s="193"/>
      <c r="AE1500" s="193"/>
      <c r="AF1500" s="193"/>
    </row>
    <row r="1501" spans="21:32" x14ac:dyDescent="0.3">
      <c r="U1501" s="193"/>
      <c r="V1501" s="193"/>
      <c r="W1501" s="193"/>
      <c r="X1501" s="193"/>
      <c r="Y1501" s="193"/>
      <c r="Z1501" s="193"/>
      <c r="AC1501" s="193"/>
      <c r="AD1501" s="193"/>
      <c r="AE1501" s="193"/>
      <c r="AF1501" s="193"/>
    </row>
    <row r="1502" spans="21:32" x14ac:dyDescent="0.3">
      <c r="U1502" s="193"/>
      <c r="V1502" s="193"/>
      <c r="W1502" s="193"/>
      <c r="X1502" s="193"/>
      <c r="Y1502" s="193"/>
      <c r="Z1502" s="193"/>
      <c r="AC1502" s="193"/>
      <c r="AD1502" s="193"/>
      <c r="AE1502" s="193"/>
      <c r="AF1502" s="193"/>
    </row>
    <row r="1503" spans="21:32" x14ac:dyDescent="0.3">
      <c r="U1503" s="193"/>
      <c r="V1503" s="193"/>
      <c r="W1503" s="193"/>
      <c r="X1503" s="193"/>
      <c r="Y1503" s="193"/>
      <c r="Z1503" s="193"/>
      <c r="AC1503" s="193"/>
      <c r="AD1503" s="193"/>
      <c r="AE1503" s="193"/>
      <c r="AF1503" s="193"/>
    </row>
    <row r="1504" spans="21:32" x14ac:dyDescent="0.3">
      <c r="U1504" s="193"/>
      <c r="V1504" s="193"/>
      <c r="W1504" s="193"/>
      <c r="X1504" s="193"/>
      <c r="Y1504" s="193"/>
      <c r="Z1504" s="193"/>
      <c r="AC1504" s="193"/>
      <c r="AD1504" s="193"/>
      <c r="AE1504" s="193"/>
      <c r="AF1504" s="193"/>
    </row>
    <row r="1505" spans="21:32" x14ac:dyDescent="0.3">
      <c r="U1505" s="193"/>
      <c r="V1505" s="193"/>
      <c r="W1505" s="193"/>
      <c r="X1505" s="193"/>
      <c r="Y1505" s="193"/>
      <c r="Z1505" s="193"/>
      <c r="AC1505" s="193"/>
      <c r="AD1505" s="193"/>
      <c r="AE1505" s="193"/>
      <c r="AF1505" s="193"/>
    </row>
    <row r="1506" spans="21:32" x14ac:dyDescent="0.3">
      <c r="U1506" s="193"/>
      <c r="V1506" s="193"/>
      <c r="W1506" s="193"/>
      <c r="X1506" s="193"/>
      <c r="Y1506" s="193"/>
      <c r="Z1506" s="193"/>
      <c r="AC1506" s="193"/>
      <c r="AD1506" s="193"/>
      <c r="AE1506" s="193"/>
      <c r="AF1506" s="193"/>
    </row>
    <row r="1507" spans="21:32" x14ac:dyDescent="0.3">
      <c r="U1507" s="193"/>
      <c r="V1507" s="193"/>
      <c r="W1507" s="193"/>
      <c r="X1507" s="193"/>
      <c r="Y1507" s="193"/>
      <c r="Z1507" s="193"/>
      <c r="AC1507" s="193"/>
      <c r="AD1507" s="193"/>
      <c r="AE1507" s="193"/>
      <c r="AF1507" s="193"/>
    </row>
    <row r="1508" spans="21:32" x14ac:dyDescent="0.3">
      <c r="U1508" s="193"/>
      <c r="V1508" s="193"/>
      <c r="W1508" s="193"/>
      <c r="X1508" s="193"/>
      <c r="Y1508" s="193"/>
      <c r="Z1508" s="193"/>
      <c r="AC1508" s="193"/>
      <c r="AD1508" s="193"/>
      <c r="AE1508" s="193"/>
      <c r="AF1508" s="193"/>
    </row>
    <row r="1509" spans="21:32" x14ac:dyDescent="0.3">
      <c r="U1509" s="193"/>
      <c r="V1509" s="193"/>
      <c r="W1509" s="193"/>
      <c r="X1509" s="193"/>
      <c r="Y1509" s="193"/>
      <c r="Z1509" s="193"/>
      <c r="AC1509" s="193"/>
      <c r="AD1509" s="193"/>
      <c r="AE1509" s="193"/>
      <c r="AF1509" s="193"/>
    </row>
    <row r="1510" spans="21:32" x14ac:dyDescent="0.3">
      <c r="U1510" s="193"/>
      <c r="V1510" s="193"/>
      <c r="W1510" s="193"/>
      <c r="X1510" s="193"/>
      <c r="Y1510" s="193"/>
      <c r="Z1510" s="193"/>
      <c r="AC1510" s="193"/>
      <c r="AD1510" s="193"/>
      <c r="AE1510" s="193"/>
      <c r="AF1510" s="193"/>
    </row>
    <row r="1511" spans="21:32" x14ac:dyDescent="0.3">
      <c r="U1511" s="193"/>
      <c r="V1511" s="193"/>
      <c r="W1511" s="193"/>
      <c r="X1511" s="193"/>
      <c r="Y1511" s="193"/>
      <c r="Z1511" s="193"/>
      <c r="AC1511" s="193"/>
      <c r="AD1511" s="193"/>
      <c r="AE1511" s="193"/>
      <c r="AF1511" s="193"/>
    </row>
    <row r="1512" spans="21:32" x14ac:dyDescent="0.3">
      <c r="U1512" s="193"/>
      <c r="V1512" s="193"/>
      <c r="W1512" s="193"/>
      <c r="X1512" s="193"/>
      <c r="Y1512" s="193"/>
      <c r="Z1512" s="193"/>
      <c r="AC1512" s="193"/>
      <c r="AD1512" s="193"/>
      <c r="AE1512" s="193"/>
      <c r="AF1512" s="193"/>
    </row>
    <row r="1513" spans="21:32" x14ac:dyDescent="0.3">
      <c r="U1513" s="193"/>
      <c r="V1513" s="193"/>
      <c r="W1513" s="193"/>
      <c r="X1513" s="193"/>
      <c r="Y1513" s="193"/>
      <c r="Z1513" s="193"/>
      <c r="AC1513" s="193"/>
      <c r="AD1513" s="193"/>
      <c r="AE1513" s="193"/>
      <c r="AF1513" s="193"/>
    </row>
    <row r="1514" spans="21:32" x14ac:dyDescent="0.3">
      <c r="U1514" s="193"/>
      <c r="V1514" s="193"/>
      <c r="W1514" s="193"/>
      <c r="X1514" s="193"/>
      <c r="Y1514" s="193"/>
      <c r="Z1514" s="193"/>
      <c r="AC1514" s="193"/>
      <c r="AD1514" s="193"/>
      <c r="AE1514" s="193"/>
      <c r="AF1514" s="193"/>
    </row>
    <row r="1515" spans="21:32" x14ac:dyDescent="0.3">
      <c r="U1515" s="193"/>
      <c r="V1515" s="193"/>
      <c r="W1515" s="193"/>
      <c r="X1515" s="193"/>
      <c r="Y1515" s="193"/>
      <c r="Z1515" s="193"/>
      <c r="AC1515" s="193"/>
      <c r="AD1515" s="193"/>
      <c r="AE1515" s="193"/>
      <c r="AF1515" s="193"/>
    </row>
    <row r="1516" spans="21:32" x14ac:dyDescent="0.3">
      <c r="U1516" s="193"/>
      <c r="V1516" s="193"/>
      <c r="W1516" s="193"/>
      <c r="X1516" s="193"/>
      <c r="Y1516" s="193"/>
      <c r="Z1516" s="193"/>
      <c r="AC1516" s="193"/>
      <c r="AD1516" s="193"/>
      <c r="AE1516" s="193"/>
      <c r="AF1516" s="193"/>
    </row>
    <row r="1517" spans="21:32" x14ac:dyDescent="0.3">
      <c r="U1517" s="193"/>
      <c r="V1517" s="193"/>
      <c r="W1517" s="193"/>
      <c r="X1517" s="193"/>
      <c r="Y1517" s="193"/>
      <c r="Z1517" s="193"/>
      <c r="AC1517" s="193"/>
      <c r="AD1517" s="193"/>
      <c r="AE1517" s="193"/>
      <c r="AF1517" s="193"/>
    </row>
    <row r="1518" spans="21:32" x14ac:dyDescent="0.3">
      <c r="U1518" s="193"/>
      <c r="V1518" s="193"/>
      <c r="W1518" s="193"/>
      <c r="X1518" s="193"/>
      <c r="Y1518" s="193"/>
      <c r="Z1518" s="193"/>
      <c r="AC1518" s="193"/>
      <c r="AD1518" s="193"/>
      <c r="AE1518" s="193"/>
      <c r="AF1518" s="193"/>
    </row>
    <row r="1519" spans="21:32" x14ac:dyDescent="0.3">
      <c r="U1519" s="193"/>
      <c r="V1519" s="193"/>
      <c r="W1519" s="193"/>
      <c r="X1519" s="193"/>
      <c r="Y1519" s="193"/>
      <c r="Z1519" s="193"/>
      <c r="AC1519" s="193"/>
      <c r="AD1519" s="193"/>
      <c r="AE1519" s="193"/>
      <c r="AF1519" s="193"/>
    </row>
    <row r="1520" spans="21:32" x14ac:dyDescent="0.3">
      <c r="U1520" s="193"/>
      <c r="V1520" s="193"/>
      <c r="W1520" s="193"/>
      <c r="X1520" s="193"/>
      <c r="Y1520" s="193"/>
      <c r="Z1520" s="193"/>
      <c r="AC1520" s="193"/>
      <c r="AD1520" s="193"/>
      <c r="AE1520" s="193"/>
      <c r="AF1520" s="193"/>
    </row>
    <row r="1521" spans="21:32" x14ac:dyDescent="0.3">
      <c r="U1521" s="193"/>
      <c r="V1521" s="193"/>
      <c r="W1521" s="193"/>
      <c r="X1521" s="193"/>
      <c r="Y1521" s="193"/>
      <c r="Z1521" s="193"/>
      <c r="AC1521" s="193"/>
      <c r="AD1521" s="193"/>
      <c r="AE1521" s="193"/>
      <c r="AF1521" s="193"/>
    </row>
    <row r="1522" spans="21:32" x14ac:dyDescent="0.3">
      <c r="U1522" s="193"/>
      <c r="V1522" s="193"/>
      <c r="W1522" s="193"/>
      <c r="X1522" s="193"/>
      <c r="Y1522" s="193"/>
      <c r="Z1522" s="193"/>
      <c r="AC1522" s="193"/>
      <c r="AD1522" s="193"/>
      <c r="AE1522" s="193"/>
      <c r="AF1522" s="193"/>
    </row>
    <row r="1523" spans="21:32" x14ac:dyDescent="0.3">
      <c r="U1523" s="193"/>
      <c r="V1523" s="193"/>
      <c r="W1523" s="193"/>
      <c r="X1523" s="193"/>
      <c r="Y1523" s="193"/>
      <c r="Z1523" s="193"/>
      <c r="AC1523" s="193"/>
      <c r="AD1523" s="193"/>
      <c r="AE1523" s="193"/>
      <c r="AF1523" s="193"/>
    </row>
    <row r="1524" spans="21:32" x14ac:dyDescent="0.3">
      <c r="U1524" s="193"/>
      <c r="V1524" s="193"/>
      <c r="W1524" s="193"/>
      <c r="X1524" s="193"/>
      <c r="Y1524" s="193"/>
      <c r="Z1524" s="193"/>
      <c r="AC1524" s="193"/>
      <c r="AD1524" s="193"/>
      <c r="AE1524" s="193"/>
      <c r="AF1524" s="193"/>
    </row>
    <row r="1525" spans="21:32" x14ac:dyDescent="0.3">
      <c r="U1525" s="193"/>
      <c r="V1525" s="193"/>
      <c r="W1525" s="193"/>
      <c r="X1525" s="193"/>
      <c r="Y1525" s="193"/>
      <c r="Z1525" s="193"/>
      <c r="AC1525" s="193"/>
      <c r="AD1525" s="193"/>
      <c r="AE1525" s="193"/>
      <c r="AF1525" s="193"/>
    </row>
    <row r="1526" spans="21:32" x14ac:dyDescent="0.3">
      <c r="U1526" s="193"/>
      <c r="V1526" s="193"/>
      <c r="W1526" s="193"/>
      <c r="X1526" s="193"/>
      <c r="Y1526" s="193"/>
      <c r="Z1526" s="193"/>
      <c r="AC1526" s="193"/>
      <c r="AD1526" s="193"/>
      <c r="AE1526" s="193"/>
      <c r="AF1526" s="193"/>
    </row>
    <row r="1527" spans="21:32" x14ac:dyDescent="0.3">
      <c r="U1527" s="193"/>
      <c r="V1527" s="193"/>
      <c r="W1527" s="193"/>
      <c r="X1527" s="193"/>
      <c r="Y1527" s="193"/>
      <c r="Z1527" s="193"/>
      <c r="AC1527" s="193"/>
      <c r="AD1527" s="193"/>
      <c r="AE1527" s="193"/>
      <c r="AF1527" s="193"/>
    </row>
    <row r="1528" spans="21:32" x14ac:dyDescent="0.3">
      <c r="U1528" s="193"/>
      <c r="V1528" s="193"/>
      <c r="W1528" s="193"/>
      <c r="X1528" s="193"/>
      <c r="Y1528" s="193"/>
      <c r="Z1528" s="193"/>
      <c r="AC1528" s="193"/>
      <c r="AD1528" s="193"/>
      <c r="AE1528" s="193"/>
      <c r="AF1528" s="193"/>
    </row>
    <row r="1529" spans="21:32" x14ac:dyDescent="0.3">
      <c r="U1529" s="193"/>
      <c r="V1529" s="193"/>
      <c r="W1529" s="193"/>
      <c r="X1529" s="193"/>
      <c r="Y1529" s="193"/>
      <c r="Z1529" s="193"/>
      <c r="AC1529" s="193"/>
      <c r="AD1529" s="193"/>
      <c r="AE1529" s="193"/>
      <c r="AF1529" s="193"/>
    </row>
    <row r="1530" spans="21:32" x14ac:dyDescent="0.3">
      <c r="U1530" s="193"/>
      <c r="V1530" s="193"/>
      <c r="W1530" s="193"/>
      <c r="X1530" s="193"/>
      <c r="Y1530" s="193"/>
      <c r="Z1530" s="193"/>
      <c r="AC1530" s="193"/>
      <c r="AD1530" s="193"/>
      <c r="AE1530" s="193"/>
      <c r="AF1530" s="193"/>
    </row>
    <row r="1531" spans="21:32" x14ac:dyDescent="0.3">
      <c r="U1531" s="193"/>
      <c r="V1531" s="193"/>
      <c r="W1531" s="193"/>
      <c r="X1531" s="193"/>
      <c r="Y1531" s="193"/>
      <c r="Z1531" s="193"/>
      <c r="AC1531" s="193"/>
      <c r="AD1531" s="193"/>
      <c r="AE1531" s="193"/>
      <c r="AF1531" s="193"/>
    </row>
    <row r="1532" spans="21:32" x14ac:dyDescent="0.3">
      <c r="U1532" s="193"/>
      <c r="V1532" s="193"/>
      <c r="W1532" s="193"/>
      <c r="X1532" s="193"/>
      <c r="Y1532" s="193"/>
      <c r="Z1532" s="193"/>
      <c r="AC1532" s="193"/>
      <c r="AD1532" s="193"/>
      <c r="AE1532" s="193"/>
      <c r="AF1532" s="193"/>
    </row>
    <row r="1533" spans="21:32" x14ac:dyDescent="0.3">
      <c r="U1533" s="193"/>
      <c r="V1533" s="193"/>
      <c r="W1533" s="193"/>
      <c r="X1533" s="193"/>
      <c r="Y1533" s="193"/>
      <c r="Z1533" s="193"/>
      <c r="AC1533" s="193"/>
      <c r="AD1533" s="193"/>
      <c r="AE1533" s="193"/>
      <c r="AF1533" s="193"/>
    </row>
    <row r="1534" spans="21:32" x14ac:dyDescent="0.3">
      <c r="U1534" s="193"/>
      <c r="V1534" s="193"/>
      <c r="W1534" s="193"/>
      <c r="X1534" s="193"/>
      <c r="Y1534" s="193"/>
      <c r="Z1534" s="193"/>
      <c r="AC1534" s="193"/>
      <c r="AD1534" s="193"/>
      <c r="AE1534" s="193"/>
      <c r="AF1534" s="193"/>
    </row>
    <row r="1535" spans="21:32" x14ac:dyDescent="0.3">
      <c r="U1535" s="193"/>
      <c r="V1535" s="193"/>
      <c r="W1535" s="193"/>
      <c r="X1535" s="193"/>
      <c r="Y1535" s="193"/>
      <c r="Z1535" s="193"/>
      <c r="AC1535" s="193"/>
      <c r="AD1535" s="193"/>
      <c r="AE1535" s="193"/>
      <c r="AF1535" s="193"/>
    </row>
    <row r="1536" spans="21:32" x14ac:dyDescent="0.3">
      <c r="U1536" s="193"/>
      <c r="V1536" s="193"/>
      <c r="W1536" s="193"/>
      <c r="X1536" s="193"/>
      <c r="Y1536" s="193"/>
      <c r="Z1536" s="193"/>
      <c r="AC1536" s="193"/>
      <c r="AD1536" s="193"/>
      <c r="AE1536" s="193"/>
      <c r="AF1536" s="193"/>
    </row>
    <row r="1537" spans="21:32" x14ac:dyDescent="0.3">
      <c r="U1537" s="193"/>
      <c r="V1537" s="193"/>
      <c r="W1537" s="193"/>
      <c r="X1537" s="193"/>
      <c r="Y1537" s="193"/>
      <c r="Z1537" s="193"/>
      <c r="AC1537" s="193"/>
      <c r="AD1537" s="193"/>
      <c r="AE1537" s="193"/>
      <c r="AF1537" s="193"/>
    </row>
    <row r="1538" spans="21:32" x14ac:dyDescent="0.3">
      <c r="U1538" s="193"/>
      <c r="V1538" s="193"/>
      <c r="W1538" s="193"/>
      <c r="X1538" s="193"/>
      <c r="Y1538" s="193"/>
      <c r="Z1538" s="193"/>
      <c r="AC1538" s="193"/>
      <c r="AD1538" s="193"/>
      <c r="AE1538" s="193"/>
      <c r="AF1538" s="193"/>
    </row>
    <row r="1539" spans="21:32" x14ac:dyDescent="0.3">
      <c r="U1539" s="193"/>
      <c r="V1539" s="193"/>
      <c r="W1539" s="193"/>
      <c r="X1539" s="193"/>
      <c r="Y1539" s="193"/>
      <c r="Z1539" s="193"/>
      <c r="AC1539" s="193"/>
      <c r="AD1539" s="193"/>
      <c r="AE1539" s="193"/>
      <c r="AF1539" s="193"/>
    </row>
    <row r="1540" spans="21:32" x14ac:dyDescent="0.3">
      <c r="U1540" s="193"/>
      <c r="V1540" s="193"/>
      <c r="W1540" s="193"/>
      <c r="X1540" s="193"/>
      <c r="Y1540" s="193"/>
      <c r="Z1540" s="193"/>
      <c r="AC1540" s="193"/>
      <c r="AD1540" s="193"/>
      <c r="AE1540" s="193"/>
      <c r="AF1540" s="193"/>
    </row>
    <row r="1541" spans="21:32" x14ac:dyDescent="0.3">
      <c r="U1541" s="193"/>
      <c r="V1541" s="193"/>
      <c r="W1541" s="193"/>
      <c r="X1541" s="193"/>
      <c r="Y1541" s="193"/>
      <c r="Z1541" s="193"/>
      <c r="AC1541" s="193"/>
      <c r="AD1541" s="193"/>
      <c r="AE1541" s="193"/>
      <c r="AF1541" s="193"/>
    </row>
    <row r="1542" spans="21:32" x14ac:dyDescent="0.3">
      <c r="U1542" s="193"/>
      <c r="V1542" s="193"/>
      <c r="W1542" s="193"/>
      <c r="X1542" s="193"/>
      <c r="Y1542" s="193"/>
      <c r="Z1542" s="193"/>
      <c r="AC1542" s="193"/>
      <c r="AD1542" s="193"/>
      <c r="AE1542" s="193"/>
      <c r="AF1542" s="193"/>
    </row>
    <row r="1543" spans="21:32" x14ac:dyDescent="0.3">
      <c r="U1543" s="193"/>
      <c r="V1543" s="193"/>
      <c r="W1543" s="193"/>
      <c r="X1543" s="193"/>
      <c r="Y1543" s="193"/>
      <c r="Z1543" s="193"/>
      <c r="AC1543" s="193"/>
      <c r="AD1543" s="193"/>
      <c r="AE1543" s="193"/>
      <c r="AF1543" s="193"/>
    </row>
    <row r="1544" spans="21:32" x14ac:dyDescent="0.3">
      <c r="U1544" s="193"/>
      <c r="V1544" s="193"/>
      <c r="W1544" s="193"/>
      <c r="X1544" s="193"/>
      <c r="Y1544" s="193"/>
      <c r="Z1544" s="193"/>
      <c r="AC1544" s="193"/>
      <c r="AD1544" s="193"/>
      <c r="AE1544" s="193"/>
      <c r="AF1544" s="193"/>
    </row>
    <row r="1545" spans="21:32" x14ac:dyDescent="0.3">
      <c r="U1545" s="193"/>
      <c r="V1545" s="193"/>
      <c r="W1545" s="193"/>
      <c r="X1545" s="193"/>
      <c r="Y1545" s="193"/>
      <c r="Z1545" s="193"/>
      <c r="AC1545" s="193"/>
      <c r="AD1545" s="193"/>
      <c r="AE1545" s="193"/>
      <c r="AF1545" s="193"/>
    </row>
    <row r="1546" spans="21:32" x14ac:dyDescent="0.3">
      <c r="U1546" s="193"/>
      <c r="V1546" s="193"/>
      <c r="W1546" s="193"/>
      <c r="X1546" s="193"/>
      <c r="Y1546" s="193"/>
      <c r="Z1546" s="193"/>
      <c r="AC1546" s="193"/>
      <c r="AD1546" s="193"/>
      <c r="AE1546" s="193"/>
      <c r="AF1546" s="193"/>
    </row>
    <row r="1547" spans="21:32" x14ac:dyDescent="0.3">
      <c r="U1547" s="193"/>
      <c r="V1547" s="193"/>
      <c r="W1547" s="193"/>
      <c r="X1547" s="193"/>
      <c r="Y1547" s="193"/>
      <c r="Z1547" s="193"/>
      <c r="AC1547" s="193"/>
      <c r="AD1547" s="193"/>
      <c r="AE1547" s="193"/>
      <c r="AF1547" s="193"/>
    </row>
    <row r="1548" spans="21:32" x14ac:dyDescent="0.3">
      <c r="U1548" s="193"/>
      <c r="V1548" s="193"/>
      <c r="W1548" s="193"/>
      <c r="X1548" s="193"/>
      <c r="Y1548" s="193"/>
      <c r="Z1548" s="193"/>
      <c r="AC1548" s="193"/>
      <c r="AD1548" s="193"/>
      <c r="AE1548" s="193"/>
      <c r="AF1548" s="193"/>
    </row>
    <row r="1549" spans="21:32" x14ac:dyDescent="0.3">
      <c r="U1549" s="193"/>
      <c r="V1549" s="193"/>
      <c r="W1549" s="193"/>
      <c r="X1549" s="193"/>
      <c r="Y1549" s="193"/>
      <c r="Z1549" s="193"/>
      <c r="AC1549" s="193"/>
      <c r="AD1549" s="193"/>
      <c r="AE1549" s="193"/>
      <c r="AF1549" s="193"/>
    </row>
    <row r="1550" spans="21:32" x14ac:dyDescent="0.3">
      <c r="U1550" s="193"/>
      <c r="V1550" s="193"/>
      <c r="W1550" s="193"/>
      <c r="X1550" s="193"/>
      <c r="Y1550" s="193"/>
      <c r="Z1550" s="193"/>
      <c r="AC1550" s="193"/>
      <c r="AD1550" s="193"/>
      <c r="AE1550" s="193"/>
      <c r="AF1550" s="193"/>
    </row>
    <row r="1551" spans="21:32" x14ac:dyDescent="0.3">
      <c r="U1551" s="193"/>
      <c r="V1551" s="193"/>
      <c r="W1551" s="193"/>
      <c r="X1551" s="193"/>
      <c r="Y1551" s="193"/>
      <c r="Z1551" s="193"/>
      <c r="AC1551" s="193"/>
      <c r="AD1551" s="193"/>
      <c r="AE1551" s="193"/>
      <c r="AF1551" s="193"/>
    </row>
    <row r="1552" spans="21:32" x14ac:dyDescent="0.3">
      <c r="U1552" s="193"/>
      <c r="V1552" s="193"/>
      <c r="W1552" s="193"/>
      <c r="X1552" s="193"/>
      <c r="Y1552" s="193"/>
      <c r="Z1552" s="193"/>
      <c r="AC1552" s="193"/>
      <c r="AD1552" s="193"/>
      <c r="AE1552" s="193"/>
      <c r="AF1552" s="193"/>
    </row>
    <row r="1553" spans="21:32" x14ac:dyDescent="0.3">
      <c r="U1553" s="193"/>
      <c r="V1553" s="193"/>
      <c r="W1553" s="193"/>
      <c r="X1553" s="193"/>
      <c r="Y1553" s="193"/>
      <c r="Z1553" s="193"/>
      <c r="AC1553" s="193"/>
      <c r="AD1553" s="193"/>
      <c r="AE1553" s="193"/>
      <c r="AF1553" s="193"/>
    </row>
    <row r="1554" spans="21:32" x14ac:dyDescent="0.3">
      <c r="U1554" s="193"/>
      <c r="V1554" s="193"/>
      <c r="W1554" s="193"/>
      <c r="X1554" s="193"/>
      <c r="Y1554" s="193"/>
      <c r="Z1554" s="193"/>
      <c r="AC1554" s="193"/>
      <c r="AD1554" s="193"/>
      <c r="AE1554" s="193"/>
      <c r="AF1554" s="193"/>
    </row>
    <row r="1555" spans="21:32" x14ac:dyDescent="0.3">
      <c r="U1555" s="193"/>
      <c r="V1555" s="193"/>
      <c r="W1555" s="193"/>
      <c r="X1555" s="193"/>
      <c r="Y1555" s="193"/>
      <c r="Z1555" s="193"/>
      <c r="AC1555" s="193"/>
      <c r="AD1555" s="193"/>
      <c r="AE1555" s="193"/>
      <c r="AF1555" s="193"/>
    </row>
    <row r="1556" spans="21:32" x14ac:dyDescent="0.3">
      <c r="U1556" s="193"/>
      <c r="V1556" s="193"/>
      <c r="W1556" s="193"/>
      <c r="X1556" s="193"/>
      <c r="Y1556" s="193"/>
      <c r="Z1556" s="193"/>
      <c r="AC1556" s="193"/>
      <c r="AD1556" s="193"/>
      <c r="AE1556" s="193"/>
      <c r="AF1556" s="193"/>
    </row>
    <row r="1557" spans="21:32" x14ac:dyDescent="0.3">
      <c r="U1557" s="193"/>
      <c r="V1557" s="193"/>
      <c r="W1557" s="193"/>
      <c r="X1557" s="193"/>
      <c r="Y1557" s="193"/>
      <c r="Z1557" s="193"/>
      <c r="AC1557" s="193"/>
      <c r="AD1557" s="193"/>
      <c r="AE1557" s="193"/>
      <c r="AF1557" s="193"/>
    </row>
    <row r="1558" spans="21:32" x14ac:dyDescent="0.3">
      <c r="U1558" s="193"/>
      <c r="V1558" s="193"/>
      <c r="W1558" s="193"/>
      <c r="X1558" s="193"/>
      <c r="Y1558" s="193"/>
      <c r="Z1558" s="193"/>
      <c r="AC1558" s="193"/>
      <c r="AD1558" s="193"/>
      <c r="AE1558" s="193"/>
      <c r="AF1558" s="193"/>
    </row>
    <row r="1559" spans="21:32" x14ac:dyDescent="0.3">
      <c r="U1559" s="193"/>
      <c r="V1559" s="193"/>
      <c r="W1559" s="193"/>
      <c r="X1559" s="193"/>
      <c r="Y1559" s="193"/>
      <c r="Z1559" s="193"/>
      <c r="AC1559" s="193"/>
      <c r="AD1559" s="193"/>
      <c r="AE1559" s="193"/>
      <c r="AF1559" s="193"/>
    </row>
    <row r="1560" spans="21:32" x14ac:dyDescent="0.3">
      <c r="U1560" s="193"/>
      <c r="V1560" s="193"/>
      <c r="W1560" s="193"/>
      <c r="X1560" s="193"/>
      <c r="Y1560" s="193"/>
      <c r="Z1560" s="193"/>
      <c r="AC1560" s="193"/>
      <c r="AD1560" s="193"/>
      <c r="AE1560" s="193"/>
      <c r="AF1560" s="193"/>
    </row>
    <row r="1561" spans="21:32" x14ac:dyDescent="0.3">
      <c r="U1561" s="193"/>
      <c r="V1561" s="193"/>
      <c r="W1561" s="193"/>
      <c r="X1561" s="193"/>
      <c r="Y1561" s="193"/>
      <c r="Z1561" s="193"/>
      <c r="AC1561" s="193"/>
      <c r="AD1561" s="193"/>
      <c r="AE1561" s="193"/>
      <c r="AF1561" s="193"/>
    </row>
    <row r="1562" spans="21:32" x14ac:dyDescent="0.3">
      <c r="U1562" s="193"/>
      <c r="V1562" s="193"/>
      <c r="W1562" s="193"/>
      <c r="X1562" s="193"/>
      <c r="Y1562" s="193"/>
      <c r="Z1562" s="193"/>
      <c r="AC1562" s="193"/>
      <c r="AD1562" s="193"/>
      <c r="AE1562" s="193"/>
      <c r="AF1562" s="193"/>
    </row>
    <row r="1563" spans="21:32" x14ac:dyDescent="0.3">
      <c r="U1563" s="193"/>
      <c r="V1563" s="193"/>
      <c r="W1563" s="193"/>
      <c r="X1563" s="193"/>
      <c r="Y1563" s="193"/>
      <c r="Z1563" s="193"/>
      <c r="AC1563" s="193"/>
      <c r="AD1563" s="193"/>
      <c r="AE1563" s="193"/>
      <c r="AF1563" s="193"/>
    </row>
    <row r="1564" spans="21:32" x14ac:dyDescent="0.3">
      <c r="U1564" s="193"/>
      <c r="V1564" s="193"/>
      <c r="W1564" s="193"/>
      <c r="X1564" s="193"/>
      <c r="Y1564" s="193"/>
      <c r="Z1564" s="193"/>
      <c r="AC1564" s="193"/>
      <c r="AD1564" s="193"/>
      <c r="AE1564" s="193"/>
      <c r="AF1564" s="193"/>
    </row>
    <row r="1565" spans="21:32" x14ac:dyDescent="0.3">
      <c r="U1565" s="193"/>
      <c r="V1565" s="193"/>
      <c r="W1565" s="193"/>
      <c r="X1565" s="193"/>
      <c r="Y1565" s="193"/>
      <c r="Z1565" s="193"/>
      <c r="AC1565" s="193"/>
      <c r="AD1565" s="193"/>
      <c r="AE1565" s="193"/>
      <c r="AF1565" s="193"/>
    </row>
    <row r="1566" spans="21:32" x14ac:dyDescent="0.3">
      <c r="U1566" s="193"/>
      <c r="V1566" s="193"/>
      <c r="W1566" s="193"/>
      <c r="X1566" s="193"/>
      <c r="Y1566" s="193"/>
      <c r="Z1566" s="193"/>
      <c r="AC1566" s="193"/>
      <c r="AD1566" s="193"/>
      <c r="AE1566" s="193"/>
      <c r="AF1566" s="193"/>
    </row>
    <row r="1567" spans="21:32" x14ac:dyDescent="0.3">
      <c r="U1567" s="193"/>
      <c r="V1567" s="193"/>
      <c r="W1567" s="193"/>
      <c r="X1567" s="193"/>
      <c r="Y1567" s="193"/>
      <c r="Z1567" s="193"/>
      <c r="AC1567" s="193"/>
      <c r="AD1567" s="193"/>
      <c r="AE1567" s="193"/>
      <c r="AF1567" s="193"/>
    </row>
    <row r="1568" spans="21:32" x14ac:dyDescent="0.3">
      <c r="U1568" s="193"/>
      <c r="V1568" s="193"/>
      <c r="W1568" s="193"/>
      <c r="X1568" s="193"/>
      <c r="Y1568" s="193"/>
      <c r="Z1568" s="193"/>
      <c r="AC1568" s="193"/>
      <c r="AD1568" s="193"/>
      <c r="AE1568" s="193"/>
      <c r="AF1568" s="193"/>
    </row>
    <row r="1569" spans="21:32" x14ac:dyDescent="0.3">
      <c r="U1569" s="193"/>
      <c r="V1569" s="193"/>
      <c r="W1569" s="193"/>
      <c r="X1569" s="193"/>
      <c r="Y1569" s="193"/>
      <c r="Z1569" s="193"/>
      <c r="AC1569" s="193"/>
      <c r="AD1569" s="193"/>
      <c r="AE1569" s="193"/>
      <c r="AF1569" s="193"/>
    </row>
    <row r="1570" spans="21:32" x14ac:dyDescent="0.3">
      <c r="U1570" s="193"/>
      <c r="V1570" s="193"/>
      <c r="W1570" s="193"/>
      <c r="X1570" s="193"/>
      <c r="Y1570" s="193"/>
      <c r="Z1570" s="193"/>
      <c r="AC1570" s="193"/>
      <c r="AD1570" s="193"/>
      <c r="AE1570" s="193"/>
      <c r="AF1570" s="193"/>
    </row>
    <row r="1571" spans="21:32" x14ac:dyDescent="0.3">
      <c r="U1571" s="193"/>
      <c r="V1571" s="193"/>
      <c r="W1571" s="193"/>
      <c r="X1571" s="193"/>
      <c r="Y1571" s="193"/>
      <c r="Z1571" s="193"/>
      <c r="AC1571" s="193"/>
      <c r="AD1571" s="193"/>
      <c r="AE1571" s="193"/>
      <c r="AF1571" s="193"/>
    </row>
    <row r="1572" spans="21:32" x14ac:dyDescent="0.3">
      <c r="U1572" s="193"/>
      <c r="V1572" s="193"/>
      <c r="W1572" s="193"/>
      <c r="X1572" s="193"/>
      <c r="Y1572" s="193"/>
      <c r="Z1572" s="193"/>
      <c r="AC1572" s="193"/>
      <c r="AD1572" s="193"/>
      <c r="AE1572" s="193"/>
      <c r="AF1572" s="193"/>
    </row>
    <row r="1573" spans="21:32" x14ac:dyDescent="0.3">
      <c r="U1573" s="193"/>
      <c r="V1573" s="193"/>
      <c r="W1573" s="193"/>
      <c r="X1573" s="193"/>
      <c r="Y1573" s="193"/>
      <c r="Z1573" s="193"/>
      <c r="AC1573" s="193"/>
      <c r="AD1573" s="193"/>
      <c r="AE1573" s="193"/>
      <c r="AF1573" s="193"/>
    </row>
    <row r="1574" spans="21:32" x14ac:dyDescent="0.3">
      <c r="U1574" s="193"/>
      <c r="V1574" s="193"/>
      <c r="W1574" s="193"/>
      <c r="X1574" s="193"/>
      <c r="Y1574" s="193"/>
      <c r="Z1574" s="193"/>
      <c r="AC1574" s="193"/>
      <c r="AD1574" s="193"/>
      <c r="AE1574" s="193"/>
      <c r="AF1574" s="193"/>
    </row>
    <row r="1575" spans="21:32" x14ac:dyDescent="0.3">
      <c r="U1575" s="193"/>
      <c r="V1575" s="193"/>
      <c r="W1575" s="193"/>
      <c r="X1575" s="193"/>
      <c r="Y1575" s="193"/>
      <c r="Z1575" s="193"/>
      <c r="AC1575" s="193"/>
      <c r="AD1575" s="193"/>
      <c r="AE1575" s="193"/>
      <c r="AF1575" s="193"/>
    </row>
    <row r="1576" spans="21:32" x14ac:dyDescent="0.3">
      <c r="U1576" s="193"/>
      <c r="V1576" s="193"/>
      <c r="W1576" s="193"/>
      <c r="X1576" s="193"/>
      <c r="Y1576" s="193"/>
      <c r="Z1576" s="193"/>
      <c r="AC1576" s="193"/>
      <c r="AD1576" s="193"/>
      <c r="AE1576" s="193"/>
      <c r="AF1576" s="193"/>
    </row>
    <row r="1577" spans="21:32" x14ac:dyDescent="0.3">
      <c r="U1577" s="193"/>
      <c r="V1577" s="193"/>
      <c r="W1577" s="193"/>
      <c r="X1577" s="193"/>
      <c r="Y1577" s="193"/>
      <c r="Z1577" s="193"/>
      <c r="AC1577" s="193"/>
      <c r="AD1577" s="193"/>
      <c r="AE1577" s="193"/>
      <c r="AF1577" s="193"/>
    </row>
    <row r="1578" spans="21:32" x14ac:dyDescent="0.3">
      <c r="U1578" s="193"/>
      <c r="V1578" s="193"/>
      <c r="W1578" s="193"/>
      <c r="X1578" s="193"/>
      <c r="Y1578" s="193"/>
      <c r="Z1578" s="193"/>
      <c r="AC1578" s="193"/>
      <c r="AD1578" s="193"/>
      <c r="AE1578" s="193"/>
      <c r="AF1578" s="193"/>
    </row>
    <row r="1579" spans="21:32" x14ac:dyDescent="0.3">
      <c r="U1579" s="193"/>
      <c r="V1579" s="193"/>
      <c r="W1579" s="193"/>
      <c r="X1579" s="193"/>
      <c r="Y1579" s="193"/>
      <c r="Z1579" s="193"/>
      <c r="AC1579" s="193"/>
      <c r="AD1579" s="193"/>
      <c r="AE1579" s="193"/>
      <c r="AF1579" s="193"/>
    </row>
    <row r="1580" spans="21:32" x14ac:dyDescent="0.3">
      <c r="U1580" s="193"/>
      <c r="V1580" s="193"/>
      <c r="W1580" s="193"/>
      <c r="X1580" s="193"/>
      <c r="Y1580" s="193"/>
      <c r="Z1580" s="193"/>
      <c r="AC1580" s="193"/>
      <c r="AD1580" s="193"/>
      <c r="AE1580" s="193"/>
      <c r="AF1580" s="193"/>
    </row>
    <row r="1581" spans="21:32" x14ac:dyDescent="0.3">
      <c r="U1581" s="193"/>
      <c r="V1581" s="193"/>
      <c r="W1581" s="193"/>
      <c r="X1581" s="193"/>
      <c r="Y1581" s="193"/>
      <c r="Z1581" s="193"/>
      <c r="AC1581" s="193"/>
      <c r="AD1581" s="193"/>
      <c r="AE1581" s="193"/>
      <c r="AF1581" s="193"/>
    </row>
    <row r="1582" spans="21:32" x14ac:dyDescent="0.3">
      <c r="U1582" s="193"/>
      <c r="V1582" s="193"/>
      <c r="W1582" s="193"/>
      <c r="X1582" s="193"/>
      <c r="Y1582" s="193"/>
      <c r="Z1582" s="193"/>
      <c r="AC1582" s="193"/>
      <c r="AD1582" s="193"/>
      <c r="AE1582" s="193"/>
      <c r="AF1582" s="193"/>
    </row>
    <row r="1583" spans="21:32" x14ac:dyDescent="0.3">
      <c r="U1583" s="193"/>
      <c r="V1583" s="193"/>
      <c r="W1583" s="193"/>
      <c r="X1583" s="193"/>
      <c r="Y1583" s="193"/>
      <c r="Z1583" s="193"/>
      <c r="AC1583" s="193"/>
      <c r="AD1583" s="193"/>
      <c r="AE1583" s="193"/>
      <c r="AF1583" s="193"/>
    </row>
    <row r="1584" spans="21:32" x14ac:dyDescent="0.3">
      <c r="U1584" s="193"/>
      <c r="V1584" s="193"/>
      <c r="W1584" s="193"/>
      <c r="X1584" s="193"/>
      <c r="Y1584" s="193"/>
      <c r="Z1584" s="193"/>
      <c r="AC1584" s="193"/>
      <c r="AD1584" s="193"/>
      <c r="AE1584" s="193"/>
      <c r="AF1584" s="193"/>
    </row>
    <row r="1585" spans="21:32" x14ac:dyDescent="0.3">
      <c r="U1585" s="193"/>
      <c r="V1585" s="193"/>
      <c r="W1585" s="193"/>
      <c r="X1585" s="193"/>
      <c r="Y1585" s="193"/>
      <c r="Z1585" s="193"/>
      <c r="AC1585" s="193"/>
      <c r="AD1585" s="193"/>
      <c r="AE1585" s="193"/>
      <c r="AF1585" s="193"/>
    </row>
    <row r="1586" spans="21:32" x14ac:dyDescent="0.3">
      <c r="U1586" s="193"/>
      <c r="V1586" s="193"/>
      <c r="W1586" s="193"/>
      <c r="X1586" s="193"/>
      <c r="Y1586" s="193"/>
      <c r="Z1586" s="193"/>
      <c r="AC1586" s="193"/>
      <c r="AD1586" s="193"/>
      <c r="AE1586" s="193"/>
      <c r="AF1586" s="193"/>
    </row>
    <row r="1587" spans="21:32" x14ac:dyDescent="0.3">
      <c r="U1587" s="193"/>
      <c r="V1587" s="193"/>
      <c r="W1587" s="193"/>
      <c r="X1587" s="193"/>
      <c r="Y1587" s="193"/>
      <c r="Z1587" s="193"/>
      <c r="AC1587" s="193"/>
      <c r="AD1587" s="193"/>
      <c r="AE1587" s="193"/>
      <c r="AF1587" s="193"/>
    </row>
    <row r="1588" spans="21:32" x14ac:dyDescent="0.3">
      <c r="U1588" s="193"/>
      <c r="V1588" s="193"/>
      <c r="W1588" s="193"/>
      <c r="X1588" s="193"/>
      <c r="Y1588" s="193"/>
      <c r="Z1588" s="193"/>
      <c r="AC1588" s="193"/>
      <c r="AD1588" s="193"/>
      <c r="AE1588" s="193"/>
      <c r="AF1588" s="193"/>
    </row>
    <row r="1589" spans="21:32" x14ac:dyDescent="0.3">
      <c r="U1589" s="193"/>
      <c r="V1589" s="193"/>
      <c r="W1589" s="193"/>
      <c r="X1589" s="193"/>
      <c r="Y1589" s="193"/>
      <c r="Z1589" s="193"/>
      <c r="AC1589" s="193"/>
      <c r="AD1589" s="193"/>
      <c r="AE1589" s="193"/>
      <c r="AF1589" s="193"/>
    </row>
    <row r="1590" spans="21:32" x14ac:dyDescent="0.3">
      <c r="U1590" s="193"/>
      <c r="V1590" s="193"/>
      <c r="W1590" s="193"/>
      <c r="X1590" s="193"/>
      <c r="Y1590" s="193"/>
      <c r="Z1590" s="193"/>
      <c r="AC1590" s="193"/>
      <c r="AD1590" s="193"/>
      <c r="AE1590" s="193"/>
      <c r="AF1590" s="193"/>
    </row>
    <row r="1591" spans="21:32" x14ac:dyDescent="0.3">
      <c r="U1591" s="193"/>
      <c r="V1591" s="193"/>
      <c r="W1591" s="193"/>
      <c r="X1591" s="193"/>
      <c r="Y1591" s="193"/>
      <c r="Z1591" s="193"/>
      <c r="AC1591" s="193"/>
      <c r="AD1591" s="193"/>
      <c r="AE1591" s="193"/>
      <c r="AF1591" s="193"/>
    </row>
    <row r="1592" spans="21:32" x14ac:dyDescent="0.3">
      <c r="U1592" s="193"/>
      <c r="V1592" s="193"/>
      <c r="W1592" s="193"/>
      <c r="X1592" s="193"/>
      <c r="Y1592" s="193"/>
      <c r="Z1592" s="193"/>
      <c r="AC1592" s="193"/>
      <c r="AD1592" s="193"/>
      <c r="AE1592" s="193"/>
      <c r="AF1592" s="193"/>
    </row>
    <row r="1593" spans="21:32" x14ac:dyDescent="0.3">
      <c r="U1593" s="193"/>
      <c r="V1593" s="193"/>
      <c r="W1593" s="193"/>
      <c r="X1593" s="193"/>
      <c r="Y1593" s="193"/>
      <c r="Z1593" s="193"/>
      <c r="AC1593" s="193"/>
      <c r="AD1593" s="193"/>
      <c r="AE1593" s="193"/>
      <c r="AF1593" s="193"/>
    </row>
    <row r="1594" spans="21:32" x14ac:dyDescent="0.3">
      <c r="U1594" s="193"/>
      <c r="V1594" s="193"/>
      <c r="W1594" s="193"/>
      <c r="X1594" s="193"/>
      <c r="Y1594" s="193"/>
      <c r="Z1594" s="193"/>
      <c r="AC1594" s="193"/>
      <c r="AD1594" s="193"/>
      <c r="AE1594" s="193"/>
      <c r="AF1594" s="193"/>
    </row>
    <row r="1595" spans="21:32" x14ac:dyDescent="0.3">
      <c r="U1595" s="193"/>
      <c r="V1595" s="193"/>
      <c r="W1595" s="193"/>
      <c r="X1595" s="193"/>
      <c r="Y1595" s="193"/>
      <c r="Z1595" s="193"/>
      <c r="AC1595" s="193"/>
      <c r="AD1595" s="193"/>
      <c r="AE1595" s="193"/>
      <c r="AF1595" s="193"/>
    </row>
    <row r="1596" spans="21:32" x14ac:dyDescent="0.3">
      <c r="U1596" s="193"/>
      <c r="V1596" s="193"/>
      <c r="W1596" s="193"/>
      <c r="X1596" s="193"/>
      <c r="Y1596" s="193"/>
      <c r="Z1596" s="193"/>
      <c r="AC1596" s="193"/>
      <c r="AD1596" s="193"/>
      <c r="AE1596" s="193"/>
      <c r="AF1596" s="193"/>
    </row>
    <row r="1597" spans="21:32" x14ac:dyDescent="0.3">
      <c r="U1597" s="193"/>
      <c r="V1597" s="193"/>
      <c r="W1597" s="193"/>
      <c r="X1597" s="193"/>
      <c r="Y1597" s="193"/>
      <c r="Z1597" s="193"/>
      <c r="AC1597" s="193"/>
      <c r="AD1597" s="193"/>
      <c r="AE1597" s="193"/>
      <c r="AF1597" s="193"/>
    </row>
    <row r="1598" spans="21:32" x14ac:dyDescent="0.3">
      <c r="U1598" s="193"/>
      <c r="V1598" s="193"/>
      <c r="W1598" s="193"/>
      <c r="X1598" s="193"/>
      <c r="Y1598" s="193"/>
      <c r="Z1598" s="193"/>
      <c r="AC1598" s="193"/>
      <c r="AD1598" s="193"/>
      <c r="AE1598" s="193"/>
      <c r="AF1598" s="193"/>
    </row>
    <row r="1599" spans="21:32" x14ac:dyDescent="0.3">
      <c r="U1599" s="193"/>
      <c r="V1599" s="193"/>
      <c r="W1599" s="193"/>
      <c r="X1599" s="193"/>
      <c r="Y1599" s="193"/>
      <c r="Z1599" s="193"/>
      <c r="AC1599" s="193"/>
      <c r="AD1599" s="193"/>
      <c r="AE1599" s="193"/>
      <c r="AF1599" s="193"/>
    </row>
    <row r="1600" spans="21:32" x14ac:dyDescent="0.3">
      <c r="U1600" s="193"/>
      <c r="V1600" s="193"/>
      <c r="W1600" s="193"/>
      <c r="X1600" s="193"/>
      <c r="Y1600" s="193"/>
      <c r="Z1600" s="193"/>
      <c r="AC1600" s="193"/>
      <c r="AD1600" s="193"/>
      <c r="AE1600" s="193"/>
      <c r="AF1600" s="193"/>
    </row>
    <row r="1601" spans="21:32" x14ac:dyDescent="0.3">
      <c r="U1601" s="193"/>
      <c r="V1601" s="193"/>
      <c r="W1601" s="193"/>
      <c r="X1601" s="193"/>
      <c r="Y1601" s="193"/>
      <c r="Z1601" s="193"/>
      <c r="AC1601" s="193"/>
      <c r="AD1601" s="193"/>
      <c r="AE1601" s="193"/>
      <c r="AF1601" s="193"/>
    </row>
    <row r="1602" spans="21:32" x14ac:dyDescent="0.3">
      <c r="U1602" s="193"/>
      <c r="V1602" s="193"/>
      <c r="W1602" s="193"/>
      <c r="X1602" s="193"/>
      <c r="Y1602" s="193"/>
      <c r="Z1602" s="193"/>
      <c r="AC1602" s="193"/>
      <c r="AD1602" s="193"/>
      <c r="AE1602" s="193"/>
      <c r="AF1602" s="193"/>
    </row>
    <row r="1603" spans="21:32" x14ac:dyDescent="0.3">
      <c r="U1603" s="193"/>
      <c r="V1603" s="193"/>
      <c r="W1603" s="193"/>
      <c r="X1603" s="193"/>
      <c r="Y1603" s="193"/>
      <c r="Z1603" s="193"/>
      <c r="AC1603" s="193"/>
      <c r="AD1603" s="193"/>
      <c r="AE1603" s="193"/>
      <c r="AF1603" s="193"/>
    </row>
    <row r="1604" spans="21:32" x14ac:dyDescent="0.3">
      <c r="U1604" s="193"/>
      <c r="V1604" s="193"/>
      <c r="W1604" s="193"/>
      <c r="X1604" s="193"/>
      <c r="Y1604" s="193"/>
      <c r="Z1604" s="193"/>
      <c r="AC1604" s="193"/>
      <c r="AD1604" s="193"/>
      <c r="AE1604" s="193"/>
      <c r="AF1604" s="193"/>
    </row>
    <row r="1605" spans="21:32" x14ac:dyDescent="0.3">
      <c r="U1605" s="193"/>
      <c r="V1605" s="193"/>
      <c r="W1605" s="193"/>
      <c r="X1605" s="193"/>
      <c r="Y1605" s="193"/>
      <c r="Z1605" s="193"/>
      <c r="AC1605" s="193"/>
      <c r="AD1605" s="193"/>
      <c r="AE1605" s="193"/>
      <c r="AF1605" s="193"/>
    </row>
    <row r="1606" spans="21:32" x14ac:dyDescent="0.3">
      <c r="U1606" s="193"/>
      <c r="V1606" s="193"/>
      <c r="W1606" s="193"/>
      <c r="X1606" s="193"/>
      <c r="Y1606" s="193"/>
      <c r="Z1606" s="193"/>
      <c r="AC1606" s="193"/>
      <c r="AD1606" s="193"/>
      <c r="AE1606" s="193"/>
      <c r="AF1606" s="193"/>
    </row>
    <row r="1607" spans="21:32" x14ac:dyDescent="0.3">
      <c r="U1607" s="193"/>
      <c r="V1607" s="193"/>
      <c r="W1607" s="193"/>
      <c r="X1607" s="193"/>
      <c r="Y1607" s="193"/>
      <c r="Z1607" s="193"/>
      <c r="AC1607" s="193"/>
      <c r="AD1607" s="193"/>
      <c r="AE1607" s="193"/>
      <c r="AF1607" s="193"/>
    </row>
    <row r="1608" spans="21:32" x14ac:dyDescent="0.3">
      <c r="U1608" s="193"/>
      <c r="V1608" s="193"/>
      <c r="W1608" s="193"/>
      <c r="X1608" s="193"/>
      <c r="Y1608" s="193"/>
      <c r="Z1608" s="193"/>
      <c r="AC1608" s="193"/>
      <c r="AD1608" s="193"/>
      <c r="AE1608" s="193"/>
      <c r="AF1608" s="193"/>
    </row>
    <row r="1609" spans="21:32" x14ac:dyDescent="0.3">
      <c r="U1609" s="193"/>
      <c r="V1609" s="193"/>
      <c r="W1609" s="193"/>
      <c r="X1609" s="193"/>
      <c r="Y1609" s="193"/>
      <c r="Z1609" s="193"/>
      <c r="AC1609" s="193"/>
      <c r="AD1609" s="193"/>
      <c r="AE1609" s="193"/>
      <c r="AF1609" s="193"/>
    </row>
    <row r="1610" spans="21:32" x14ac:dyDescent="0.3">
      <c r="U1610" s="193"/>
      <c r="V1610" s="193"/>
      <c r="W1610" s="193"/>
      <c r="X1610" s="193"/>
      <c r="Y1610" s="193"/>
      <c r="Z1610" s="193"/>
      <c r="AC1610" s="193"/>
      <c r="AD1610" s="193"/>
      <c r="AE1610" s="193"/>
      <c r="AF1610" s="193"/>
    </row>
    <row r="1611" spans="21:32" x14ac:dyDescent="0.3">
      <c r="U1611" s="193"/>
      <c r="V1611" s="193"/>
      <c r="W1611" s="193"/>
      <c r="X1611" s="193"/>
      <c r="Y1611" s="193"/>
      <c r="Z1611" s="193"/>
      <c r="AC1611" s="193"/>
      <c r="AD1611" s="193"/>
      <c r="AE1611" s="193"/>
      <c r="AF1611" s="193"/>
    </row>
    <row r="1612" spans="21:32" x14ac:dyDescent="0.3">
      <c r="U1612" s="193"/>
      <c r="V1612" s="193"/>
      <c r="W1612" s="193"/>
      <c r="X1612" s="193"/>
      <c r="Y1612" s="193"/>
      <c r="Z1612" s="193"/>
      <c r="AC1612" s="193"/>
      <c r="AD1612" s="193"/>
      <c r="AE1612" s="193"/>
      <c r="AF1612" s="193"/>
    </row>
    <row r="1613" spans="21:32" x14ac:dyDescent="0.3">
      <c r="U1613" s="193"/>
      <c r="V1613" s="193"/>
      <c r="W1613" s="193"/>
      <c r="X1613" s="193"/>
      <c r="Y1613" s="193"/>
      <c r="Z1613" s="193"/>
      <c r="AC1613" s="193"/>
      <c r="AD1613" s="193"/>
      <c r="AE1613" s="193"/>
      <c r="AF1613" s="193"/>
    </row>
    <row r="1614" spans="21:32" x14ac:dyDescent="0.3">
      <c r="U1614" s="193"/>
      <c r="V1614" s="193"/>
      <c r="W1614" s="193"/>
      <c r="X1614" s="193"/>
      <c r="Y1614" s="193"/>
      <c r="Z1614" s="193"/>
      <c r="AC1614" s="193"/>
      <c r="AD1614" s="193"/>
      <c r="AE1614" s="193"/>
      <c r="AF1614" s="193"/>
    </row>
    <row r="1615" spans="21:32" x14ac:dyDescent="0.3">
      <c r="U1615" s="193"/>
      <c r="V1615" s="193"/>
      <c r="W1615" s="193"/>
      <c r="X1615" s="193"/>
      <c r="Y1615" s="193"/>
      <c r="Z1615" s="193"/>
      <c r="AC1615" s="193"/>
      <c r="AD1615" s="193"/>
      <c r="AE1615" s="193"/>
      <c r="AF1615" s="193"/>
    </row>
    <row r="1616" spans="21:32" x14ac:dyDescent="0.3">
      <c r="U1616" s="193"/>
      <c r="V1616" s="193"/>
      <c r="W1616" s="193"/>
      <c r="X1616" s="193"/>
      <c r="Y1616" s="193"/>
      <c r="Z1616" s="193"/>
      <c r="AC1616" s="193"/>
      <c r="AD1616" s="193"/>
      <c r="AE1616" s="193"/>
      <c r="AF1616" s="193"/>
    </row>
    <row r="1617" spans="21:32" x14ac:dyDescent="0.3">
      <c r="U1617" s="193"/>
      <c r="V1617" s="193"/>
      <c r="W1617" s="193"/>
      <c r="X1617" s="193"/>
      <c r="Y1617" s="193"/>
      <c r="Z1617" s="193"/>
      <c r="AC1617" s="193"/>
      <c r="AD1617" s="193"/>
      <c r="AE1617" s="193"/>
      <c r="AF1617" s="193"/>
    </row>
    <row r="1618" spans="21:32" x14ac:dyDescent="0.3">
      <c r="U1618" s="193"/>
      <c r="V1618" s="193"/>
      <c r="W1618" s="193"/>
      <c r="X1618" s="193"/>
      <c r="Y1618" s="193"/>
      <c r="Z1618" s="193"/>
      <c r="AC1618" s="193"/>
      <c r="AD1618" s="193"/>
      <c r="AE1618" s="193"/>
      <c r="AF1618" s="193"/>
    </row>
    <row r="1619" spans="21:32" x14ac:dyDescent="0.3">
      <c r="U1619" s="193"/>
      <c r="V1619" s="193"/>
      <c r="W1619" s="193"/>
      <c r="X1619" s="193"/>
      <c r="Y1619" s="193"/>
      <c r="Z1619" s="193"/>
      <c r="AC1619" s="193"/>
      <c r="AD1619" s="193"/>
      <c r="AE1619" s="193"/>
      <c r="AF1619" s="193"/>
    </row>
    <row r="1620" spans="21:32" x14ac:dyDescent="0.3">
      <c r="U1620" s="193"/>
      <c r="V1620" s="193"/>
      <c r="W1620" s="193"/>
      <c r="X1620" s="193"/>
      <c r="Y1620" s="193"/>
      <c r="Z1620" s="193"/>
      <c r="AC1620" s="193"/>
      <c r="AD1620" s="193"/>
      <c r="AE1620" s="193"/>
      <c r="AF1620" s="193"/>
    </row>
    <row r="1621" spans="21:32" x14ac:dyDescent="0.3">
      <c r="U1621" s="193"/>
      <c r="V1621" s="193"/>
      <c r="W1621" s="193"/>
      <c r="X1621" s="193"/>
      <c r="Y1621" s="193"/>
      <c r="Z1621" s="193"/>
      <c r="AC1621" s="193"/>
      <c r="AD1621" s="193"/>
      <c r="AE1621" s="193"/>
      <c r="AF1621" s="193"/>
    </row>
    <row r="1622" spans="21:32" x14ac:dyDescent="0.3">
      <c r="U1622" s="193"/>
      <c r="V1622" s="193"/>
      <c r="W1622" s="193"/>
      <c r="X1622" s="193"/>
      <c r="Y1622" s="193"/>
      <c r="Z1622" s="193"/>
      <c r="AC1622" s="193"/>
      <c r="AD1622" s="193"/>
      <c r="AE1622" s="193"/>
      <c r="AF1622" s="193"/>
    </row>
    <row r="1623" spans="21:32" x14ac:dyDescent="0.3">
      <c r="U1623" s="193"/>
      <c r="V1623" s="193"/>
      <c r="W1623" s="193"/>
      <c r="X1623" s="193"/>
      <c r="Y1623" s="193"/>
      <c r="Z1623" s="193"/>
      <c r="AC1623" s="193"/>
      <c r="AD1623" s="193"/>
      <c r="AE1623" s="193"/>
      <c r="AF1623" s="193"/>
    </row>
    <row r="1624" spans="21:32" x14ac:dyDescent="0.3">
      <c r="U1624" s="193"/>
      <c r="V1624" s="193"/>
      <c r="W1624" s="193"/>
      <c r="X1624" s="193"/>
      <c r="Y1624" s="193"/>
      <c r="Z1624" s="193"/>
      <c r="AC1624" s="193"/>
      <c r="AD1624" s="193"/>
      <c r="AE1624" s="193"/>
      <c r="AF1624" s="193"/>
    </row>
    <row r="1625" spans="21:32" x14ac:dyDescent="0.3">
      <c r="U1625" s="193"/>
      <c r="V1625" s="193"/>
      <c r="W1625" s="193"/>
      <c r="X1625" s="193"/>
      <c r="Y1625" s="193"/>
      <c r="Z1625" s="193"/>
      <c r="AC1625" s="193"/>
      <c r="AD1625" s="193"/>
      <c r="AE1625" s="193"/>
      <c r="AF1625" s="193"/>
    </row>
    <row r="1626" spans="21:32" x14ac:dyDescent="0.3">
      <c r="U1626" s="193"/>
      <c r="V1626" s="193"/>
      <c r="W1626" s="193"/>
      <c r="X1626" s="193"/>
      <c r="Y1626" s="193"/>
      <c r="Z1626" s="193"/>
      <c r="AC1626" s="193"/>
      <c r="AD1626" s="193"/>
      <c r="AE1626" s="193"/>
      <c r="AF1626" s="193"/>
    </row>
    <row r="1627" spans="21:32" x14ac:dyDescent="0.3">
      <c r="U1627" s="193"/>
      <c r="V1627" s="193"/>
      <c r="W1627" s="193"/>
      <c r="X1627" s="193"/>
      <c r="Y1627" s="193"/>
      <c r="Z1627" s="193"/>
      <c r="AC1627" s="193"/>
      <c r="AD1627" s="193"/>
      <c r="AE1627" s="193"/>
      <c r="AF1627" s="193"/>
    </row>
    <row r="1628" spans="21:32" x14ac:dyDescent="0.3">
      <c r="U1628" s="193"/>
      <c r="V1628" s="193"/>
      <c r="W1628" s="193"/>
      <c r="X1628" s="193"/>
      <c r="Y1628" s="193"/>
      <c r="Z1628" s="193"/>
      <c r="AC1628" s="193"/>
      <c r="AD1628" s="193"/>
      <c r="AE1628" s="193"/>
      <c r="AF1628" s="193"/>
    </row>
    <row r="1629" spans="21:32" x14ac:dyDescent="0.3">
      <c r="U1629" s="193"/>
      <c r="V1629" s="193"/>
      <c r="W1629" s="193"/>
      <c r="X1629" s="193"/>
      <c r="Y1629" s="193"/>
      <c r="Z1629" s="193"/>
      <c r="AC1629" s="193"/>
      <c r="AD1629" s="193"/>
      <c r="AE1629" s="193"/>
      <c r="AF1629" s="193"/>
    </row>
    <row r="1630" spans="21:32" x14ac:dyDescent="0.3">
      <c r="U1630" s="193"/>
      <c r="V1630" s="193"/>
      <c r="W1630" s="193"/>
      <c r="X1630" s="193"/>
      <c r="Y1630" s="193"/>
      <c r="Z1630" s="193"/>
      <c r="AC1630" s="193"/>
      <c r="AD1630" s="193"/>
      <c r="AE1630" s="193"/>
      <c r="AF1630" s="193"/>
    </row>
    <row r="1631" spans="21:32" x14ac:dyDescent="0.3">
      <c r="U1631" s="193"/>
      <c r="V1631" s="193"/>
      <c r="W1631" s="193"/>
      <c r="X1631" s="193"/>
      <c r="Y1631" s="193"/>
      <c r="Z1631" s="193"/>
      <c r="AC1631" s="193"/>
      <c r="AD1631" s="193"/>
      <c r="AE1631" s="193"/>
      <c r="AF1631" s="193"/>
    </row>
    <row r="1632" spans="21:32" x14ac:dyDescent="0.3">
      <c r="U1632" s="193"/>
      <c r="V1632" s="193"/>
      <c r="W1632" s="193"/>
      <c r="X1632" s="193"/>
      <c r="Y1632" s="193"/>
      <c r="Z1632" s="193"/>
      <c r="AC1632" s="193"/>
      <c r="AD1632" s="193"/>
      <c r="AE1632" s="193"/>
      <c r="AF1632" s="193"/>
    </row>
    <row r="1633" spans="21:32" x14ac:dyDescent="0.3">
      <c r="U1633" s="193"/>
      <c r="V1633" s="193"/>
      <c r="W1633" s="193"/>
      <c r="X1633" s="193"/>
      <c r="Y1633" s="193"/>
      <c r="Z1633" s="193"/>
      <c r="AC1633" s="193"/>
      <c r="AD1633" s="193"/>
      <c r="AE1633" s="193"/>
      <c r="AF1633" s="193"/>
    </row>
    <row r="1634" spans="21:32" x14ac:dyDescent="0.3">
      <c r="U1634" s="193"/>
      <c r="V1634" s="193"/>
      <c r="W1634" s="193"/>
      <c r="X1634" s="193"/>
      <c r="Y1634" s="193"/>
      <c r="Z1634" s="193"/>
      <c r="AC1634" s="193"/>
      <c r="AD1634" s="193"/>
      <c r="AE1634" s="193"/>
      <c r="AF1634" s="193"/>
    </row>
    <row r="1635" spans="21:32" x14ac:dyDescent="0.3">
      <c r="U1635" s="193"/>
      <c r="V1635" s="193"/>
      <c r="W1635" s="193"/>
      <c r="X1635" s="193"/>
      <c r="Y1635" s="193"/>
      <c r="Z1635" s="193"/>
      <c r="AC1635" s="193"/>
      <c r="AD1635" s="193"/>
      <c r="AE1635" s="193"/>
      <c r="AF1635" s="193"/>
    </row>
    <row r="1636" spans="21:32" x14ac:dyDescent="0.3">
      <c r="U1636" s="193"/>
      <c r="V1636" s="193"/>
      <c r="W1636" s="193"/>
      <c r="X1636" s="193"/>
      <c r="Y1636" s="193"/>
      <c r="Z1636" s="193"/>
      <c r="AC1636" s="193"/>
      <c r="AD1636" s="193"/>
      <c r="AE1636" s="193"/>
      <c r="AF1636" s="193"/>
    </row>
    <row r="1637" spans="21:32" x14ac:dyDescent="0.3">
      <c r="U1637" s="193"/>
      <c r="V1637" s="193"/>
      <c r="W1637" s="193"/>
      <c r="X1637" s="193"/>
      <c r="Y1637" s="193"/>
      <c r="Z1637" s="193"/>
      <c r="AC1637" s="193"/>
      <c r="AD1637" s="193"/>
      <c r="AE1637" s="193"/>
      <c r="AF1637" s="193"/>
    </row>
    <row r="1638" spans="21:32" x14ac:dyDescent="0.3">
      <c r="U1638" s="193"/>
      <c r="V1638" s="193"/>
      <c r="W1638" s="193"/>
      <c r="X1638" s="193"/>
      <c r="Y1638" s="193"/>
      <c r="Z1638" s="193"/>
      <c r="AC1638" s="193"/>
      <c r="AD1638" s="193"/>
      <c r="AE1638" s="193"/>
      <c r="AF1638" s="193"/>
    </row>
    <row r="1639" spans="21:32" x14ac:dyDescent="0.3">
      <c r="U1639" s="193"/>
      <c r="V1639" s="193"/>
      <c r="W1639" s="193"/>
      <c r="X1639" s="193"/>
      <c r="Y1639" s="193"/>
      <c r="Z1639" s="193"/>
      <c r="AC1639" s="193"/>
      <c r="AD1639" s="193"/>
      <c r="AE1639" s="193"/>
      <c r="AF1639" s="193"/>
    </row>
    <row r="1640" spans="21:32" x14ac:dyDescent="0.3">
      <c r="U1640" s="193"/>
      <c r="V1640" s="193"/>
      <c r="W1640" s="193"/>
      <c r="X1640" s="193"/>
      <c r="Y1640" s="193"/>
      <c r="Z1640" s="193"/>
      <c r="AC1640" s="193"/>
      <c r="AD1640" s="193"/>
      <c r="AE1640" s="193"/>
      <c r="AF1640" s="193"/>
    </row>
    <row r="1641" spans="21:32" x14ac:dyDescent="0.3">
      <c r="U1641" s="193"/>
      <c r="V1641" s="193"/>
      <c r="W1641" s="193"/>
      <c r="X1641" s="193"/>
      <c r="Y1641" s="193"/>
      <c r="Z1641" s="193"/>
      <c r="AC1641" s="193"/>
      <c r="AD1641" s="193"/>
      <c r="AE1641" s="193"/>
      <c r="AF1641" s="193"/>
    </row>
    <row r="1642" spans="21:32" x14ac:dyDescent="0.3">
      <c r="U1642" s="193"/>
      <c r="V1642" s="193"/>
      <c r="W1642" s="193"/>
      <c r="X1642" s="193"/>
      <c r="Y1642" s="193"/>
      <c r="Z1642" s="193"/>
      <c r="AC1642" s="193"/>
      <c r="AD1642" s="193"/>
      <c r="AE1642" s="193"/>
      <c r="AF1642" s="193"/>
    </row>
    <row r="1643" spans="21:32" x14ac:dyDescent="0.3">
      <c r="U1643" s="193"/>
      <c r="V1643" s="193"/>
      <c r="W1643" s="193"/>
      <c r="X1643" s="193"/>
      <c r="Y1643" s="193"/>
      <c r="Z1643" s="193"/>
      <c r="AC1643" s="193"/>
      <c r="AD1643" s="193"/>
      <c r="AE1643" s="193"/>
      <c r="AF1643" s="193"/>
    </row>
    <row r="1644" spans="21:32" x14ac:dyDescent="0.3">
      <c r="U1644" s="193"/>
      <c r="V1644" s="193"/>
      <c r="W1644" s="193"/>
      <c r="X1644" s="193"/>
      <c r="Y1644" s="193"/>
      <c r="Z1644" s="193"/>
      <c r="AC1644" s="193"/>
      <c r="AD1644" s="193"/>
      <c r="AE1644" s="193"/>
      <c r="AF1644" s="193"/>
    </row>
    <row r="1645" spans="21:32" x14ac:dyDescent="0.3">
      <c r="U1645" s="193"/>
      <c r="V1645" s="193"/>
      <c r="W1645" s="193"/>
      <c r="X1645" s="193"/>
      <c r="Y1645" s="193"/>
      <c r="Z1645" s="193"/>
      <c r="AC1645" s="193"/>
      <c r="AD1645" s="193"/>
      <c r="AE1645" s="193"/>
      <c r="AF1645" s="193"/>
    </row>
    <row r="1646" spans="21:32" x14ac:dyDescent="0.3">
      <c r="U1646" s="193"/>
      <c r="V1646" s="193"/>
      <c r="W1646" s="193"/>
      <c r="X1646" s="193"/>
      <c r="Y1646" s="193"/>
      <c r="Z1646" s="193"/>
      <c r="AC1646" s="193"/>
      <c r="AD1646" s="193"/>
      <c r="AE1646" s="193"/>
      <c r="AF1646" s="193"/>
    </row>
    <row r="1647" spans="21:32" x14ac:dyDescent="0.3">
      <c r="U1647" s="193"/>
      <c r="V1647" s="193"/>
      <c r="W1647" s="193"/>
      <c r="X1647" s="193"/>
      <c r="Y1647" s="193"/>
      <c r="Z1647" s="193"/>
      <c r="AC1647" s="193"/>
      <c r="AD1647" s="193"/>
      <c r="AE1647" s="193"/>
      <c r="AF1647" s="193"/>
    </row>
    <row r="1648" spans="21:32" x14ac:dyDescent="0.3">
      <c r="U1648" s="193"/>
      <c r="V1648" s="193"/>
      <c r="W1648" s="193"/>
      <c r="X1648" s="193"/>
      <c r="Y1648" s="193"/>
      <c r="Z1648" s="193"/>
      <c r="AC1648" s="193"/>
      <c r="AD1648" s="193"/>
      <c r="AE1648" s="193"/>
      <c r="AF1648" s="193"/>
    </row>
    <row r="1649" spans="21:32" x14ac:dyDescent="0.3">
      <c r="U1649" s="193"/>
      <c r="V1649" s="193"/>
      <c r="W1649" s="193"/>
      <c r="X1649" s="193"/>
      <c r="Y1649" s="193"/>
      <c r="Z1649" s="193"/>
      <c r="AC1649" s="193"/>
      <c r="AD1649" s="193"/>
      <c r="AE1649" s="193"/>
      <c r="AF1649" s="193"/>
    </row>
    <row r="1650" spans="21:32" x14ac:dyDescent="0.3">
      <c r="U1650" s="193"/>
      <c r="V1650" s="193"/>
      <c r="W1650" s="193"/>
      <c r="X1650" s="193"/>
      <c r="Y1650" s="193"/>
      <c r="Z1650" s="193"/>
      <c r="AC1650" s="193"/>
      <c r="AD1650" s="193"/>
      <c r="AE1650" s="193"/>
      <c r="AF1650" s="193"/>
    </row>
    <row r="1651" spans="21:32" x14ac:dyDescent="0.3">
      <c r="U1651" s="193"/>
      <c r="V1651" s="193"/>
      <c r="W1651" s="193"/>
      <c r="X1651" s="193"/>
      <c r="Y1651" s="193"/>
      <c r="Z1651" s="193"/>
      <c r="AC1651" s="193"/>
      <c r="AD1651" s="193"/>
      <c r="AE1651" s="193"/>
      <c r="AF1651" s="193"/>
    </row>
    <row r="1652" spans="21:32" x14ac:dyDescent="0.3">
      <c r="U1652" s="193"/>
      <c r="V1652" s="193"/>
      <c r="W1652" s="193"/>
      <c r="X1652" s="193"/>
      <c r="Y1652" s="193"/>
      <c r="Z1652" s="193"/>
      <c r="AC1652" s="193"/>
      <c r="AD1652" s="193"/>
      <c r="AE1652" s="193"/>
      <c r="AF1652" s="193"/>
    </row>
    <row r="1653" spans="21:32" x14ac:dyDescent="0.3">
      <c r="U1653" s="193"/>
      <c r="V1653" s="193"/>
      <c r="W1653" s="193"/>
      <c r="X1653" s="193"/>
      <c r="Y1653" s="193"/>
      <c r="Z1653" s="193"/>
      <c r="AC1653" s="193"/>
      <c r="AD1653" s="193"/>
      <c r="AE1653" s="193"/>
      <c r="AF1653" s="193"/>
    </row>
    <row r="1654" spans="21:32" x14ac:dyDescent="0.3">
      <c r="U1654" s="193"/>
      <c r="V1654" s="193"/>
      <c r="W1654" s="193"/>
      <c r="X1654" s="193"/>
      <c r="Y1654" s="193"/>
      <c r="Z1654" s="193"/>
      <c r="AC1654" s="193"/>
      <c r="AD1654" s="193"/>
      <c r="AE1654" s="193"/>
      <c r="AF1654" s="193"/>
    </row>
    <row r="1655" spans="21:32" x14ac:dyDescent="0.3">
      <c r="U1655" s="193"/>
      <c r="V1655" s="193"/>
      <c r="W1655" s="193"/>
      <c r="X1655" s="193"/>
      <c r="Y1655" s="193"/>
      <c r="Z1655" s="193"/>
      <c r="AC1655" s="193"/>
      <c r="AD1655" s="193"/>
      <c r="AE1655" s="193"/>
      <c r="AF1655" s="193"/>
    </row>
    <row r="1656" spans="21:32" x14ac:dyDescent="0.3">
      <c r="U1656" s="193"/>
      <c r="V1656" s="193"/>
      <c r="W1656" s="193"/>
      <c r="X1656" s="193"/>
      <c r="Y1656" s="193"/>
      <c r="Z1656" s="193"/>
      <c r="AC1656" s="193"/>
      <c r="AD1656" s="193"/>
      <c r="AE1656" s="193"/>
      <c r="AF1656" s="193"/>
    </row>
    <row r="1657" spans="21:32" x14ac:dyDescent="0.3">
      <c r="U1657" s="193"/>
      <c r="V1657" s="193"/>
      <c r="W1657" s="193"/>
      <c r="X1657" s="193"/>
      <c r="Y1657" s="193"/>
      <c r="Z1657" s="193"/>
      <c r="AC1657" s="193"/>
      <c r="AD1657" s="193"/>
      <c r="AE1657" s="193"/>
      <c r="AF1657" s="193"/>
    </row>
    <row r="1658" spans="21:32" x14ac:dyDescent="0.3">
      <c r="U1658" s="193"/>
      <c r="V1658" s="193"/>
      <c r="W1658" s="193"/>
      <c r="X1658" s="193"/>
      <c r="Y1658" s="193"/>
      <c r="Z1658" s="193"/>
      <c r="AC1658" s="193"/>
      <c r="AD1658" s="193"/>
      <c r="AE1658" s="193"/>
      <c r="AF1658" s="193"/>
    </row>
    <row r="1659" spans="21:32" x14ac:dyDescent="0.3">
      <c r="U1659" s="193"/>
      <c r="V1659" s="193"/>
      <c r="W1659" s="193"/>
      <c r="X1659" s="193"/>
      <c r="Y1659" s="193"/>
      <c r="Z1659" s="193"/>
      <c r="AC1659" s="193"/>
      <c r="AD1659" s="193"/>
      <c r="AE1659" s="193"/>
      <c r="AF1659" s="193"/>
    </row>
    <row r="1660" spans="21:32" x14ac:dyDescent="0.3">
      <c r="U1660" s="193"/>
      <c r="V1660" s="193"/>
      <c r="W1660" s="193"/>
      <c r="X1660" s="193"/>
      <c r="Y1660" s="193"/>
      <c r="Z1660" s="193"/>
      <c r="AC1660" s="193"/>
      <c r="AD1660" s="193"/>
      <c r="AE1660" s="193"/>
      <c r="AF1660" s="193"/>
    </row>
    <row r="1661" spans="21:32" x14ac:dyDescent="0.3">
      <c r="U1661" s="193"/>
      <c r="V1661" s="193"/>
      <c r="W1661" s="193"/>
      <c r="X1661" s="193"/>
      <c r="Y1661" s="193"/>
      <c r="Z1661" s="193"/>
      <c r="AC1661" s="193"/>
      <c r="AD1661" s="193"/>
      <c r="AE1661" s="193"/>
      <c r="AF1661" s="193"/>
    </row>
    <row r="1662" spans="21:32" x14ac:dyDescent="0.3">
      <c r="U1662" s="193"/>
      <c r="V1662" s="193"/>
      <c r="W1662" s="193"/>
      <c r="X1662" s="193"/>
      <c r="Y1662" s="193"/>
      <c r="Z1662" s="193"/>
      <c r="AC1662" s="193"/>
      <c r="AD1662" s="193"/>
      <c r="AE1662" s="193"/>
      <c r="AF1662" s="193"/>
    </row>
    <row r="1663" spans="21:32" x14ac:dyDescent="0.3">
      <c r="U1663" s="193"/>
      <c r="V1663" s="193"/>
      <c r="W1663" s="193"/>
      <c r="X1663" s="193"/>
      <c r="Y1663" s="193"/>
      <c r="Z1663" s="193"/>
      <c r="AC1663" s="193"/>
      <c r="AD1663" s="193"/>
      <c r="AE1663" s="193"/>
      <c r="AF1663" s="193"/>
    </row>
    <row r="1664" spans="21:32" x14ac:dyDescent="0.3">
      <c r="U1664" s="193"/>
      <c r="V1664" s="193"/>
      <c r="W1664" s="193"/>
      <c r="X1664" s="193"/>
      <c r="Y1664" s="193"/>
      <c r="Z1664" s="193"/>
      <c r="AC1664" s="193"/>
      <c r="AD1664" s="193"/>
      <c r="AE1664" s="193"/>
      <c r="AF1664" s="193"/>
    </row>
    <row r="1665" spans="21:32" x14ac:dyDescent="0.3">
      <c r="U1665" s="193"/>
      <c r="V1665" s="193"/>
      <c r="W1665" s="193"/>
      <c r="X1665" s="193"/>
      <c r="Y1665" s="193"/>
      <c r="Z1665" s="193"/>
      <c r="AC1665" s="193"/>
      <c r="AD1665" s="193"/>
      <c r="AE1665" s="193"/>
      <c r="AF1665" s="193"/>
    </row>
    <row r="1666" spans="21:32" x14ac:dyDescent="0.3">
      <c r="U1666" s="193"/>
      <c r="V1666" s="193"/>
      <c r="W1666" s="193"/>
      <c r="X1666" s="193"/>
      <c r="Y1666" s="193"/>
      <c r="Z1666" s="193"/>
      <c r="AC1666" s="193"/>
      <c r="AD1666" s="193"/>
      <c r="AE1666" s="193"/>
      <c r="AF1666" s="193"/>
    </row>
    <row r="1667" spans="21:32" x14ac:dyDescent="0.3">
      <c r="U1667" s="193"/>
      <c r="V1667" s="193"/>
      <c r="W1667" s="193"/>
      <c r="X1667" s="193"/>
      <c r="Y1667" s="193"/>
      <c r="Z1667" s="193"/>
      <c r="AC1667" s="193"/>
      <c r="AD1667" s="193"/>
      <c r="AE1667" s="193"/>
      <c r="AF1667" s="193"/>
    </row>
    <row r="1668" spans="21:32" x14ac:dyDescent="0.3">
      <c r="U1668" s="193"/>
      <c r="V1668" s="193"/>
      <c r="W1668" s="193"/>
      <c r="X1668" s="193"/>
      <c r="Y1668" s="193"/>
      <c r="Z1668" s="193"/>
      <c r="AC1668" s="193"/>
      <c r="AD1668" s="193"/>
      <c r="AE1668" s="193"/>
      <c r="AF1668" s="193"/>
    </row>
    <row r="1669" spans="21:32" x14ac:dyDescent="0.3">
      <c r="U1669" s="193"/>
      <c r="V1669" s="193"/>
      <c r="W1669" s="193"/>
      <c r="X1669" s="193"/>
      <c r="Y1669" s="193"/>
      <c r="Z1669" s="193"/>
      <c r="AC1669" s="193"/>
      <c r="AD1669" s="193"/>
      <c r="AE1669" s="193"/>
      <c r="AF1669" s="193"/>
    </row>
    <row r="1670" spans="21:32" x14ac:dyDescent="0.3">
      <c r="U1670" s="193"/>
      <c r="V1670" s="193"/>
      <c r="W1670" s="193"/>
      <c r="X1670" s="193"/>
      <c r="Y1670" s="193"/>
      <c r="Z1670" s="193"/>
      <c r="AC1670" s="193"/>
      <c r="AD1670" s="193"/>
      <c r="AE1670" s="193"/>
      <c r="AF1670" s="193"/>
    </row>
    <row r="1671" spans="21:32" x14ac:dyDescent="0.3">
      <c r="U1671" s="193"/>
      <c r="V1671" s="193"/>
      <c r="W1671" s="193"/>
      <c r="X1671" s="193"/>
      <c r="Y1671" s="193"/>
      <c r="Z1671" s="193"/>
      <c r="AC1671" s="193"/>
      <c r="AD1671" s="193"/>
      <c r="AE1671" s="193"/>
      <c r="AF1671" s="193"/>
    </row>
    <row r="1672" spans="21:32" x14ac:dyDescent="0.3">
      <c r="U1672" s="193"/>
      <c r="V1672" s="193"/>
      <c r="W1672" s="193"/>
      <c r="X1672" s="193"/>
      <c r="Y1672" s="193"/>
      <c r="Z1672" s="193"/>
      <c r="AC1672" s="193"/>
      <c r="AD1672" s="193"/>
      <c r="AE1672" s="193"/>
      <c r="AF1672" s="193"/>
    </row>
    <row r="1673" spans="21:32" x14ac:dyDescent="0.3">
      <c r="U1673" s="193"/>
      <c r="V1673" s="193"/>
      <c r="W1673" s="193"/>
      <c r="X1673" s="193"/>
      <c r="Y1673" s="193"/>
      <c r="Z1673" s="193"/>
      <c r="AC1673" s="193"/>
      <c r="AD1673" s="193"/>
      <c r="AE1673" s="193"/>
      <c r="AF1673" s="193"/>
    </row>
    <row r="1674" spans="21:32" x14ac:dyDescent="0.3">
      <c r="U1674" s="193"/>
      <c r="V1674" s="193"/>
      <c r="W1674" s="193"/>
      <c r="X1674" s="193"/>
      <c r="Y1674" s="193"/>
      <c r="Z1674" s="193"/>
      <c r="AC1674" s="193"/>
      <c r="AD1674" s="193"/>
      <c r="AE1674" s="193"/>
      <c r="AF1674" s="193"/>
    </row>
    <row r="1675" spans="21:32" x14ac:dyDescent="0.3">
      <c r="U1675" s="193"/>
      <c r="V1675" s="193"/>
      <c r="W1675" s="193"/>
      <c r="X1675" s="193"/>
      <c r="Y1675" s="193"/>
      <c r="Z1675" s="193"/>
      <c r="AC1675" s="193"/>
      <c r="AD1675" s="193"/>
      <c r="AE1675" s="193"/>
      <c r="AF1675" s="193"/>
    </row>
    <row r="1676" spans="21:32" x14ac:dyDescent="0.3">
      <c r="U1676" s="193"/>
      <c r="V1676" s="193"/>
      <c r="W1676" s="193"/>
      <c r="X1676" s="193"/>
      <c r="Y1676" s="193"/>
      <c r="Z1676" s="193"/>
      <c r="AC1676" s="193"/>
      <c r="AD1676" s="193"/>
      <c r="AE1676" s="193"/>
      <c r="AF1676" s="193"/>
    </row>
    <row r="1677" spans="21:32" x14ac:dyDescent="0.3">
      <c r="U1677" s="193"/>
      <c r="V1677" s="193"/>
      <c r="W1677" s="193"/>
      <c r="X1677" s="193"/>
      <c r="Y1677" s="193"/>
      <c r="Z1677" s="193"/>
      <c r="AC1677" s="193"/>
      <c r="AD1677" s="193"/>
      <c r="AE1677" s="193"/>
      <c r="AF1677" s="193"/>
    </row>
    <row r="1678" spans="21:32" x14ac:dyDescent="0.3">
      <c r="U1678" s="193"/>
      <c r="V1678" s="193"/>
      <c r="W1678" s="193"/>
      <c r="X1678" s="193"/>
      <c r="Y1678" s="193"/>
      <c r="Z1678" s="193"/>
      <c r="AC1678" s="193"/>
      <c r="AD1678" s="193"/>
      <c r="AE1678" s="193"/>
      <c r="AF1678" s="193"/>
    </row>
    <row r="1679" spans="21:32" x14ac:dyDescent="0.3">
      <c r="U1679" s="193"/>
      <c r="V1679" s="193"/>
      <c r="W1679" s="193"/>
      <c r="X1679" s="193"/>
      <c r="Y1679" s="193"/>
      <c r="Z1679" s="193"/>
      <c r="AC1679" s="193"/>
      <c r="AD1679" s="193"/>
      <c r="AE1679" s="193"/>
      <c r="AF1679" s="193"/>
    </row>
    <row r="1680" spans="21:32" x14ac:dyDescent="0.3">
      <c r="U1680" s="193"/>
      <c r="V1680" s="193"/>
      <c r="W1680" s="193"/>
      <c r="X1680" s="193"/>
      <c r="Y1680" s="193"/>
      <c r="Z1680" s="193"/>
      <c r="AC1680" s="193"/>
      <c r="AD1680" s="193"/>
      <c r="AE1680" s="193"/>
      <c r="AF1680" s="193"/>
    </row>
    <row r="1681" spans="21:32" x14ac:dyDescent="0.3">
      <c r="U1681" s="193"/>
      <c r="V1681" s="193"/>
      <c r="W1681" s="193"/>
      <c r="X1681" s="193"/>
      <c r="Y1681" s="193"/>
      <c r="Z1681" s="193"/>
      <c r="AC1681" s="193"/>
      <c r="AD1681" s="193"/>
      <c r="AE1681" s="193"/>
      <c r="AF1681" s="193"/>
    </row>
    <row r="1682" spans="21:32" x14ac:dyDescent="0.3">
      <c r="U1682" s="193"/>
      <c r="V1682" s="193"/>
      <c r="W1682" s="193"/>
      <c r="X1682" s="193"/>
      <c r="Y1682" s="193"/>
      <c r="Z1682" s="193"/>
      <c r="AC1682" s="193"/>
      <c r="AD1682" s="193"/>
      <c r="AE1682" s="193"/>
      <c r="AF1682" s="193"/>
    </row>
    <row r="1683" spans="21:32" x14ac:dyDescent="0.3">
      <c r="U1683" s="193"/>
      <c r="V1683" s="193"/>
      <c r="W1683" s="193"/>
      <c r="X1683" s="193"/>
      <c r="Y1683" s="193"/>
      <c r="Z1683" s="193"/>
      <c r="AC1683" s="193"/>
      <c r="AD1683" s="193"/>
      <c r="AE1683" s="193"/>
      <c r="AF1683" s="193"/>
    </row>
    <row r="1684" spans="21:32" x14ac:dyDescent="0.3">
      <c r="U1684" s="193"/>
      <c r="V1684" s="193"/>
      <c r="W1684" s="193"/>
      <c r="X1684" s="193"/>
      <c r="Y1684" s="193"/>
      <c r="Z1684" s="193"/>
      <c r="AC1684" s="193"/>
      <c r="AD1684" s="193"/>
      <c r="AE1684" s="193"/>
      <c r="AF1684" s="193"/>
    </row>
    <row r="1685" spans="21:32" x14ac:dyDescent="0.3">
      <c r="U1685" s="193"/>
      <c r="V1685" s="193"/>
      <c r="W1685" s="193"/>
      <c r="X1685" s="193"/>
      <c r="Y1685" s="193"/>
      <c r="Z1685" s="193"/>
      <c r="AC1685" s="193"/>
      <c r="AD1685" s="193"/>
      <c r="AE1685" s="193"/>
      <c r="AF1685" s="193"/>
    </row>
    <row r="1686" spans="21:32" x14ac:dyDescent="0.3">
      <c r="U1686" s="193"/>
      <c r="V1686" s="193"/>
      <c r="W1686" s="193"/>
      <c r="X1686" s="193"/>
      <c r="Y1686" s="193"/>
      <c r="Z1686" s="193"/>
      <c r="AC1686" s="193"/>
      <c r="AD1686" s="193"/>
      <c r="AE1686" s="193"/>
      <c r="AF1686" s="193"/>
    </row>
    <row r="1687" spans="21:32" x14ac:dyDescent="0.3">
      <c r="U1687" s="193"/>
      <c r="V1687" s="193"/>
      <c r="W1687" s="193"/>
      <c r="X1687" s="193"/>
      <c r="Y1687" s="193"/>
      <c r="Z1687" s="193"/>
      <c r="AC1687" s="193"/>
      <c r="AD1687" s="193"/>
      <c r="AE1687" s="193"/>
      <c r="AF1687" s="193"/>
    </row>
    <row r="1688" spans="21:32" x14ac:dyDescent="0.3">
      <c r="U1688" s="193"/>
      <c r="V1688" s="193"/>
      <c r="W1688" s="193"/>
      <c r="X1688" s="193"/>
      <c r="Y1688" s="193"/>
      <c r="Z1688" s="193"/>
      <c r="AC1688" s="193"/>
      <c r="AD1688" s="193"/>
      <c r="AE1688" s="193"/>
      <c r="AF1688" s="193"/>
    </row>
    <row r="1689" spans="21:32" x14ac:dyDescent="0.3">
      <c r="U1689" s="193"/>
      <c r="V1689" s="193"/>
      <c r="W1689" s="193"/>
      <c r="X1689" s="193"/>
      <c r="Y1689" s="193"/>
      <c r="Z1689" s="193"/>
      <c r="AC1689" s="193"/>
      <c r="AD1689" s="193"/>
      <c r="AE1689" s="193"/>
      <c r="AF1689" s="193"/>
    </row>
    <row r="1690" spans="21:32" x14ac:dyDescent="0.3">
      <c r="U1690" s="193"/>
      <c r="V1690" s="193"/>
      <c r="W1690" s="193"/>
      <c r="X1690" s="193"/>
      <c r="Y1690" s="193"/>
      <c r="Z1690" s="193"/>
      <c r="AC1690" s="193"/>
      <c r="AD1690" s="193"/>
      <c r="AE1690" s="193"/>
      <c r="AF1690" s="193"/>
    </row>
    <row r="1691" spans="21:32" x14ac:dyDescent="0.3">
      <c r="U1691" s="193"/>
      <c r="V1691" s="193"/>
      <c r="W1691" s="193"/>
      <c r="X1691" s="193"/>
      <c r="Y1691" s="193"/>
      <c r="Z1691" s="193"/>
      <c r="AC1691" s="193"/>
      <c r="AD1691" s="193"/>
      <c r="AE1691" s="193"/>
      <c r="AF1691" s="193"/>
    </row>
    <row r="1692" spans="21:32" x14ac:dyDescent="0.3">
      <c r="U1692" s="193"/>
      <c r="V1692" s="193"/>
      <c r="W1692" s="193"/>
      <c r="X1692" s="193"/>
      <c r="Y1692" s="193"/>
      <c r="Z1692" s="193"/>
      <c r="AC1692" s="193"/>
      <c r="AD1692" s="193"/>
      <c r="AE1692" s="193"/>
      <c r="AF1692" s="193"/>
    </row>
    <row r="1693" spans="21:32" x14ac:dyDescent="0.3">
      <c r="U1693" s="193"/>
      <c r="V1693" s="193"/>
      <c r="W1693" s="193"/>
      <c r="X1693" s="193"/>
      <c r="Y1693" s="193"/>
      <c r="Z1693" s="193"/>
      <c r="AC1693" s="193"/>
      <c r="AD1693" s="193"/>
      <c r="AE1693" s="193"/>
      <c r="AF1693" s="193"/>
    </row>
    <row r="1694" spans="21:32" x14ac:dyDescent="0.3">
      <c r="U1694" s="193"/>
      <c r="V1694" s="193"/>
      <c r="W1694" s="193"/>
      <c r="X1694" s="193"/>
      <c r="Y1694" s="193"/>
      <c r="Z1694" s="193"/>
      <c r="AC1694" s="193"/>
      <c r="AD1694" s="193"/>
      <c r="AE1694" s="193"/>
      <c r="AF1694" s="193"/>
    </row>
    <row r="1695" spans="21:32" x14ac:dyDescent="0.3">
      <c r="U1695" s="193"/>
      <c r="V1695" s="193"/>
      <c r="W1695" s="193"/>
      <c r="X1695" s="193"/>
      <c r="Y1695" s="193"/>
      <c r="Z1695" s="193"/>
      <c r="AC1695" s="193"/>
      <c r="AD1695" s="193"/>
      <c r="AE1695" s="193"/>
      <c r="AF1695" s="193"/>
    </row>
    <row r="1696" spans="21:32" x14ac:dyDescent="0.3">
      <c r="U1696" s="193"/>
      <c r="V1696" s="193"/>
      <c r="W1696" s="193"/>
      <c r="X1696" s="193"/>
      <c r="Y1696" s="193"/>
      <c r="Z1696" s="193"/>
      <c r="AC1696" s="193"/>
      <c r="AD1696" s="193"/>
      <c r="AE1696" s="193"/>
      <c r="AF1696" s="193"/>
    </row>
    <row r="1697" spans="21:32" x14ac:dyDescent="0.3">
      <c r="U1697" s="193"/>
      <c r="V1697" s="193"/>
      <c r="W1697" s="193"/>
      <c r="X1697" s="193"/>
      <c r="Y1697" s="193"/>
      <c r="Z1697" s="193"/>
      <c r="AC1697" s="193"/>
      <c r="AD1697" s="193"/>
      <c r="AE1697" s="193"/>
      <c r="AF1697" s="193"/>
    </row>
    <row r="1698" spans="21:32" x14ac:dyDescent="0.3">
      <c r="U1698" s="193"/>
      <c r="V1698" s="193"/>
      <c r="W1698" s="193"/>
      <c r="X1698" s="193"/>
      <c r="Y1698" s="193"/>
      <c r="Z1698" s="193"/>
      <c r="AC1698" s="193"/>
      <c r="AD1698" s="193"/>
      <c r="AE1698" s="193"/>
      <c r="AF1698" s="193"/>
    </row>
    <row r="1699" spans="21:32" x14ac:dyDescent="0.3">
      <c r="U1699" s="193"/>
      <c r="V1699" s="193"/>
      <c r="W1699" s="193"/>
      <c r="X1699" s="193"/>
      <c r="Y1699" s="193"/>
      <c r="Z1699" s="193"/>
      <c r="AC1699" s="193"/>
      <c r="AD1699" s="193"/>
      <c r="AE1699" s="193"/>
      <c r="AF1699" s="193"/>
    </row>
    <row r="1700" spans="21:32" x14ac:dyDescent="0.3">
      <c r="U1700" s="193"/>
      <c r="V1700" s="193"/>
      <c r="W1700" s="193"/>
      <c r="X1700" s="193"/>
      <c r="Y1700" s="193"/>
      <c r="Z1700" s="193"/>
      <c r="AC1700" s="193"/>
      <c r="AD1700" s="193"/>
      <c r="AE1700" s="193"/>
      <c r="AF1700" s="193"/>
    </row>
    <row r="1701" spans="21:32" x14ac:dyDescent="0.3">
      <c r="U1701" s="193"/>
      <c r="V1701" s="193"/>
      <c r="W1701" s="193"/>
      <c r="X1701" s="193"/>
      <c r="Y1701" s="193"/>
      <c r="Z1701" s="193"/>
      <c r="AC1701" s="193"/>
      <c r="AD1701" s="193"/>
      <c r="AE1701" s="193"/>
      <c r="AF1701" s="193"/>
    </row>
    <row r="1702" spans="21:32" x14ac:dyDescent="0.3">
      <c r="U1702" s="193"/>
      <c r="V1702" s="193"/>
      <c r="W1702" s="193"/>
      <c r="X1702" s="193"/>
      <c r="Y1702" s="193"/>
      <c r="Z1702" s="193"/>
      <c r="AC1702" s="193"/>
      <c r="AD1702" s="193"/>
      <c r="AE1702" s="193"/>
      <c r="AF1702" s="193"/>
    </row>
    <row r="1703" spans="21:32" x14ac:dyDescent="0.3">
      <c r="U1703" s="193"/>
      <c r="V1703" s="193"/>
      <c r="W1703" s="193"/>
      <c r="X1703" s="193"/>
      <c r="Y1703" s="193"/>
      <c r="Z1703" s="193"/>
      <c r="AC1703" s="193"/>
      <c r="AD1703" s="193"/>
      <c r="AE1703" s="193"/>
      <c r="AF1703" s="193"/>
    </row>
    <row r="1704" spans="21:32" x14ac:dyDescent="0.3">
      <c r="U1704" s="193"/>
      <c r="V1704" s="193"/>
      <c r="W1704" s="193"/>
      <c r="X1704" s="193"/>
      <c r="Y1704" s="193"/>
      <c r="Z1704" s="193"/>
      <c r="AC1704" s="193"/>
      <c r="AD1704" s="193"/>
      <c r="AE1704" s="193"/>
      <c r="AF1704" s="193"/>
    </row>
    <row r="1705" spans="21:32" x14ac:dyDescent="0.3">
      <c r="U1705" s="193"/>
      <c r="V1705" s="193"/>
      <c r="W1705" s="193"/>
      <c r="X1705" s="193"/>
      <c r="Y1705" s="193"/>
      <c r="Z1705" s="193"/>
      <c r="AC1705" s="193"/>
      <c r="AD1705" s="193"/>
      <c r="AE1705" s="193"/>
      <c r="AF1705" s="193"/>
    </row>
    <row r="1706" spans="21:32" x14ac:dyDescent="0.3">
      <c r="U1706" s="193"/>
      <c r="V1706" s="193"/>
      <c r="W1706" s="193"/>
      <c r="X1706" s="193"/>
      <c r="Y1706" s="193"/>
      <c r="Z1706" s="193"/>
      <c r="AC1706" s="193"/>
      <c r="AD1706" s="193"/>
      <c r="AE1706" s="193"/>
      <c r="AF1706" s="193"/>
    </row>
    <row r="1707" spans="21:32" x14ac:dyDescent="0.3">
      <c r="U1707" s="193"/>
      <c r="V1707" s="193"/>
      <c r="W1707" s="193"/>
      <c r="X1707" s="193"/>
      <c r="Y1707" s="193"/>
      <c r="Z1707" s="193"/>
      <c r="AC1707" s="193"/>
      <c r="AD1707" s="193"/>
      <c r="AE1707" s="193"/>
      <c r="AF1707" s="193"/>
    </row>
    <row r="1708" spans="21:32" x14ac:dyDescent="0.3">
      <c r="U1708" s="193"/>
      <c r="V1708" s="193"/>
      <c r="W1708" s="193"/>
      <c r="X1708" s="193"/>
      <c r="Y1708" s="193"/>
      <c r="Z1708" s="193"/>
      <c r="AC1708" s="193"/>
      <c r="AD1708" s="193"/>
      <c r="AE1708" s="193"/>
      <c r="AF1708" s="193"/>
    </row>
    <row r="1709" spans="21:32" x14ac:dyDescent="0.3">
      <c r="U1709" s="193"/>
      <c r="V1709" s="193"/>
      <c r="W1709" s="193"/>
      <c r="X1709" s="193"/>
      <c r="Y1709" s="193"/>
      <c r="Z1709" s="193"/>
      <c r="AC1709" s="193"/>
      <c r="AD1709" s="193"/>
      <c r="AE1709" s="193"/>
      <c r="AF1709" s="193"/>
    </row>
    <row r="1710" spans="21:32" x14ac:dyDescent="0.3">
      <c r="U1710" s="193"/>
      <c r="V1710" s="193"/>
      <c r="W1710" s="193"/>
      <c r="X1710" s="193"/>
      <c r="Y1710" s="193"/>
      <c r="Z1710" s="193"/>
      <c r="AC1710" s="193"/>
      <c r="AD1710" s="193"/>
      <c r="AE1710" s="193"/>
      <c r="AF1710" s="193"/>
    </row>
    <row r="1711" spans="21:32" x14ac:dyDescent="0.3">
      <c r="U1711" s="193"/>
      <c r="V1711" s="193"/>
      <c r="W1711" s="193"/>
      <c r="X1711" s="193"/>
      <c r="Y1711" s="193"/>
      <c r="Z1711" s="193"/>
      <c r="AC1711" s="193"/>
      <c r="AD1711" s="193"/>
      <c r="AE1711" s="193"/>
      <c r="AF1711" s="193"/>
    </row>
    <row r="1712" spans="21:32" x14ac:dyDescent="0.3">
      <c r="U1712" s="193"/>
      <c r="V1712" s="193"/>
      <c r="W1712" s="193"/>
      <c r="X1712" s="193"/>
      <c r="Y1712" s="193"/>
      <c r="Z1712" s="193"/>
      <c r="AC1712" s="193"/>
      <c r="AD1712" s="193"/>
      <c r="AE1712" s="193"/>
      <c r="AF1712" s="193"/>
    </row>
    <row r="1713" spans="21:32" x14ac:dyDescent="0.3">
      <c r="U1713" s="193"/>
      <c r="V1713" s="193"/>
      <c r="W1713" s="193"/>
      <c r="X1713" s="193"/>
      <c r="Y1713" s="193"/>
      <c r="Z1713" s="193"/>
      <c r="AC1713" s="193"/>
      <c r="AD1713" s="193"/>
      <c r="AE1713" s="193"/>
      <c r="AF1713" s="193"/>
    </row>
    <row r="1714" spans="21:32" x14ac:dyDescent="0.3">
      <c r="U1714" s="193"/>
      <c r="V1714" s="193"/>
      <c r="W1714" s="193"/>
      <c r="X1714" s="193"/>
      <c r="Y1714" s="193"/>
      <c r="Z1714" s="193"/>
      <c r="AC1714" s="193"/>
      <c r="AD1714" s="193"/>
      <c r="AE1714" s="193"/>
      <c r="AF1714" s="193"/>
    </row>
    <row r="1715" spans="21:32" x14ac:dyDescent="0.3">
      <c r="U1715" s="193"/>
      <c r="V1715" s="193"/>
      <c r="W1715" s="193"/>
      <c r="X1715" s="193"/>
      <c r="Y1715" s="193"/>
      <c r="Z1715" s="193"/>
      <c r="AC1715" s="193"/>
      <c r="AD1715" s="193"/>
      <c r="AE1715" s="193"/>
      <c r="AF1715" s="193"/>
    </row>
    <row r="1716" spans="21:32" x14ac:dyDescent="0.3">
      <c r="U1716" s="193"/>
      <c r="V1716" s="193"/>
      <c r="W1716" s="193"/>
      <c r="X1716" s="193"/>
      <c r="Y1716" s="193"/>
      <c r="Z1716" s="193"/>
      <c r="AC1716" s="193"/>
      <c r="AD1716" s="193"/>
      <c r="AE1716" s="193"/>
      <c r="AF1716" s="193"/>
    </row>
    <row r="1717" spans="21:32" x14ac:dyDescent="0.3">
      <c r="U1717" s="193"/>
      <c r="V1717" s="193"/>
      <c r="W1717" s="193"/>
      <c r="X1717" s="193"/>
      <c r="Y1717" s="193"/>
      <c r="Z1717" s="193"/>
      <c r="AC1717" s="193"/>
      <c r="AD1717" s="193"/>
      <c r="AE1717" s="193"/>
      <c r="AF1717" s="193"/>
    </row>
    <row r="1718" spans="21:32" x14ac:dyDescent="0.3">
      <c r="U1718" s="193"/>
      <c r="V1718" s="193"/>
      <c r="W1718" s="193"/>
      <c r="X1718" s="193"/>
      <c r="Y1718" s="193"/>
      <c r="Z1718" s="193"/>
      <c r="AC1718" s="193"/>
      <c r="AD1718" s="193"/>
      <c r="AE1718" s="193"/>
      <c r="AF1718" s="193"/>
    </row>
    <row r="1719" spans="21:32" x14ac:dyDescent="0.3">
      <c r="U1719" s="193"/>
      <c r="V1719" s="193"/>
      <c r="W1719" s="193"/>
      <c r="X1719" s="193"/>
      <c r="Y1719" s="193"/>
      <c r="Z1719" s="193"/>
      <c r="AC1719" s="193"/>
      <c r="AD1719" s="193"/>
      <c r="AE1719" s="193"/>
      <c r="AF1719" s="193"/>
    </row>
    <row r="1720" spans="21:32" x14ac:dyDescent="0.3">
      <c r="U1720" s="193"/>
      <c r="V1720" s="193"/>
      <c r="W1720" s="193"/>
      <c r="X1720" s="193"/>
      <c r="Y1720" s="193"/>
      <c r="Z1720" s="193"/>
      <c r="AC1720" s="193"/>
      <c r="AD1720" s="193"/>
      <c r="AE1720" s="193"/>
      <c r="AF1720" s="193"/>
    </row>
    <row r="1721" spans="21:32" x14ac:dyDescent="0.3">
      <c r="U1721" s="193"/>
      <c r="V1721" s="193"/>
      <c r="W1721" s="193"/>
      <c r="X1721" s="193"/>
      <c r="Y1721" s="193"/>
      <c r="Z1721" s="193"/>
      <c r="AC1721" s="193"/>
      <c r="AD1721" s="193"/>
      <c r="AE1721" s="193"/>
      <c r="AF1721" s="193"/>
    </row>
    <row r="1722" spans="21:32" x14ac:dyDescent="0.3">
      <c r="U1722" s="193"/>
      <c r="V1722" s="193"/>
      <c r="W1722" s="193"/>
      <c r="X1722" s="193"/>
      <c r="Y1722" s="193"/>
      <c r="Z1722" s="193"/>
      <c r="AC1722" s="193"/>
      <c r="AD1722" s="193"/>
      <c r="AE1722" s="193"/>
      <c r="AF1722" s="193"/>
    </row>
    <row r="1723" spans="21:32" x14ac:dyDescent="0.3">
      <c r="U1723" s="193"/>
      <c r="V1723" s="193"/>
      <c r="W1723" s="193"/>
      <c r="X1723" s="193"/>
      <c r="Y1723" s="193"/>
      <c r="Z1723" s="193"/>
      <c r="AC1723" s="193"/>
      <c r="AD1723" s="193"/>
      <c r="AE1723" s="193"/>
      <c r="AF1723" s="193"/>
    </row>
    <row r="1724" spans="21:32" x14ac:dyDescent="0.3">
      <c r="U1724" s="193"/>
      <c r="V1724" s="193"/>
      <c r="W1724" s="193"/>
      <c r="X1724" s="193"/>
      <c r="Y1724" s="193"/>
      <c r="Z1724" s="193"/>
      <c r="AC1724" s="193"/>
      <c r="AD1724" s="193"/>
      <c r="AE1724" s="193"/>
      <c r="AF1724" s="193"/>
    </row>
    <row r="1725" spans="21:32" x14ac:dyDescent="0.3">
      <c r="U1725" s="193"/>
      <c r="V1725" s="193"/>
      <c r="W1725" s="193"/>
      <c r="X1725" s="193"/>
      <c r="Y1725" s="193"/>
      <c r="Z1725" s="193"/>
      <c r="AC1725" s="193"/>
      <c r="AD1725" s="193"/>
      <c r="AE1725" s="193"/>
      <c r="AF1725" s="193"/>
    </row>
    <row r="1726" spans="21:32" x14ac:dyDescent="0.3">
      <c r="U1726" s="193"/>
      <c r="V1726" s="193"/>
      <c r="W1726" s="193"/>
      <c r="X1726" s="193"/>
      <c r="Y1726" s="193"/>
      <c r="Z1726" s="193"/>
      <c r="AC1726" s="193"/>
      <c r="AD1726" s="193"/>
      <c r="AE1726" s="193"/>
      <c r="AF1726" s="193"/>
    </row>
    <row r="1727" spans="21:32" x14ac:dyDescent="0.3">
      <c r="U1727" s="193"/>
      <c r="V1727" s="193"/>
      <c r="W1727" s="193"/>
      <c r="X1727" s="193"/>
      <c r="Y1727" s="193"/>
      <c r="Z1727" s="193"/>
      <c r="AC1727" s="193"/>
      <c r="AD1727" s="193"/>
      <c r="AE1727" s="193"/>
      <c r="AF1727" s="193"/>
    </row>
    <row r="1728" spans="21:32" x14ac:dyDescent="0.3">
      <c r="U1728" s="193"/>
      <c r="V1728" s="193"/>
      <c r="W1728" s="193"/>
      <c r="X1728" s="193"/>
      <c r="Y1728" s="193"/>
      <c r="Z1728" s="193"/>
      <c r="AC1728" s="193"/>
      <c r="AD1728" s="193"/>
      <c r="AE1728" s="193"/>
      <c r="AF1728" s="193"/>
    </row>
    <row r="1729" spans="21:32" x14ac:dyDescent="0.3">
      <c r="U1729" s="193"/>
      <c r="V1729" s="193"/>
      <c r="W1729" s="193"/>
      <c r="X1729" s="193"/>
      <c r="Y1729" s="193"/>
      <c r="Z1729" s="193"/>
      <c r="AC1729" s="193"/>
      <c r="AD1729" s="193"/>
      <c r="AE1729" s="193"/>
      <c r="AF1729" s="193"/>
    </row>
    <row r="1730" spans="21:32" x14ac:dyDescent="0.3">
      <c r="U1730" s="193"/>
      <c r="V1730" s="193"/>
      <c r="W1730" s="193"/>
      <c r="X1730" s="193"/>
      <c r="Y1730" s="193"/>
      <c r="Z1730" s="193"/>
      <c r="AC1730" s="193"/>
      <c r="AD1730" s="193"/>
      <c r="AE1730" s="193"/>
      <c r="AF1730" s="193"/>
    </row>
    <row r="1731" spans="21:32" x14ac:dyDescent="0.3">
      <c r="U1731" s="193"/>
      <c r="V1731" s="193"/>
      <c r="W1731" s="193"/>
      <c r="X1731" s="193"/>
      <c r="Y1731" s="193"/>
      <c r="Z1731" s="193"/>
      <c r="AC1731" s="193"/>
      <c r="AD1731" s="193"/>
      <c r="AE1731" s="193"/>
      <c r="AF1731" s="193"/>
    </row>
    <row r="1732" spans="21:32" x14ac:dyDescent="0.3">
      <c r="U1732" s="193"/>
      <c r="V1732" s="193"/>
      <c r="W1732" s="193"/>
      <c r="X1732" s="193"/>
      <c r="Y1732" s="193"/>
      <c r="Z1732" s="193"/>
      <c r="AC1732" s="193"/>
      <c r="AD1732" s="193"/>
      <c r="AE1732" s="193"/>
      <c r="AF1732" s="193"/>
    </row>
    <row r="1733" spans="21:32" x14ac:dyDescent="0.3">
      <c r="U1733" s="193"/>
      <c r="V1733" s="193"/>
      <c r="W1733" s="193"/>
      <c r="X1733" s="193"/>
      <c r="Y1733" s="193"/>
      <c r="Z1733" s="193"/>
      <c r="AC1733" s="193"/>
      <c r="AD1733" s="193"/>
      <c r="AE1733" s="193"/>
      <c r="AF1733" s="193"/>
    </row>
    <row r="1734" spans="21:32" x14ac:dyDescent="0.3">
      <c r="U1734" s="193"/>
      <c r="V1734" s="193"/>
      <c r="W1734" s="193"/>
      <c r="X1734" s="193"/>
      <c r="Y1734" s="193"/>
      <c r="Z1734" s="193"/>
      <c r="AC1734" s="193"/>
      <c r="AD1734" s="193"/>
      <c r="AE1734" s="193"/>
      <c r="AF1734" s="193"/>
    </row>
    <row r="1735" spans="21:32" x14ac:dyDescent="0.3">
      <c r="U1735" s="193"/>
      <c r="V1735" s="193"/>
      <c r="W1735" s="193"/>
      <c r="X1735" s="193"/>
      <c r="Y1735" s="193"/>
      <c r="Z1735" s="193"/>
      <c r="AC1735" s="193"/>
      <c r="AD1735" s="193"/>
      <c r="AE1735" s="193"/>
      <c r="AF1735" s="193"/>
    </row>
    <row r="1736" spans="21:32" x14ac:dyDescent="0.3">
      <c r="U1736" s="193"/>
      <c r="V1736" s="193"/>
      <c r="W1736" s="193"/>
      <c r="X1736" s="193"/>
      <c r="Y1736" s="193"/>
      <c r="Z1736" s="193"/>
      <c r="AC1736" s="193"/>
      <c r="AD1736" s="193"/>
      <c r="AE1736" s="193"/>
      <c r="AF1736" s="193"/>
    </row>
    <row r="1737" spans="21:32" x14ac:dyDescent="0.3">
      <c r="U1737" s="193"/>
      <c r="V1737" s="193"/>
      <c r="W1737" s="193"/>
      <c r="X1737" s="193"/>
      <c r="Y1737" s="193"/>
      <c r="Z1737" s="193"/>
      <c r="AC1737" s="193"/>
      <c r="AD1737" s="193"/>
      <c r="AE1737" s="193"/>
      <c r="AF1737" s="193"/>
    </row>
    <row r="1738" spans="21:32" x14ac:dyDescent="0.3">
      <c r="U1738" s="193"/>
      <c r="V1738" s="193"/>
      <c r="W1738" s="193"/>
      <c r="X1738" s="193"/>
      <c r="Y1738" s="193"/>
      <c r="Z1738" s="193"/>
      <c r="AC1738" s="193"/>
      <c r="AD1738" s="193"/>
      <c r="AE1738" s="193"/>
      <c r="AF1738" s="193"/>
    </row>
    <row r="1739" spans="21:32" x14ac:dyDescent="0.3">
      <c r="U1739" s="193"/>
      <c r="V1739" s="193"/>
      <c r="W1739" s="193"/>
      <c r="X1739" s="193"/>
      <c r="Y1739" s="193"/>
      <c r="Z1739" s="193"/>
      <c r="AC1739" s="193"/>
      <c r="AD1739" s="193"/>
      <c r="AE1739" s="193"/>
      <c r="AF1739" s="193"/>
    </row>
    <row r="1740" spans="21:32" x14ac:dyDescent="0.3">
      <c r="U1740" s="193"/>
      <c r="V1740" s="193"/>
      <c r="W1740" s="193"/>
      <c r="X1740" s="193"/>
      <c r="Y1740" s="193"/>
      <c r="Z1740" s="193"/>
      <c r="AC1740" s="193"/>
      <c r="AD1740" s="193"/>
      <c r="AE1740" s="193"/>
      <c r="AF1740" s="193"/>
    </row>
    <row r="1741" spans="21:32" x14ac:dyDescent="0.3">
      <c r="U1741" s="193"/>
      <c r="V1741" s="193"/>
      <c r="W1741" s="193"/>
      <c r="X1741" s="193"/>
      <c r="Y1741" s="193"/>
      <c r="Z1741" s="193"/>
      <c r="AC1741" s="193"/>
      <c r="AD1741" s="193"/>
      <c r="AE1741" s="193"/>
      <c r="AF1741" s="193"/>
    </row>
    <row r="1742" spans="21:32" x14ac:dyDescent="0.3">
      <c r="U1742" s="193"/>
      <c r="V1742" s="193"/>
      <c r="W1742" s="193"/>
      <c r="X1742" s="193"/>
      <c r="Y1742" s="193"/>
      <c r="Z1742" s="193"/>
      <c r="AC1742" s="193"/>
      <c r="AD1742" s="193"/>
      <c r="AE1742" s="193"/>
      <c r="AF1742" s="193"/>
    </row>
    <row r="1743" spans="21:32" x14ac:dyDescent="0.3">
      <c r="U1743" s="193"/>
      <c r="V1743" s="193"/>
      <c r="W1743" s="193"/>
      <c r="X1743" s="193"/>
      <c r="Y1743" s="193"/>
      <c r="Z1743" s="193"/>
      <c r="AC1743" s="193"/>
      <c r="AD1743" s="193"/>
      <c r="AE1743" s="193"/>
      <c r="AF1743" s="193"/>
    </row>
    <row r="1744" spans="21:32" x14ac:dyDescent="0.3">
      <c r="U1744" s="193"/>
      <c r="V1744" s="193"/>
      <c r="W1744" s="193"/>
      <c r="X1744" s="193"/>
      <c r="Y1744" s="193"/>
      <c r="Z1744" s="193"/>
      <c r="AC1744" s="193"/>
      <c r="AD1744" s="193"/>
      <c r="AE1744" s="193"/>
      <c r="AF1744" s="193"/>
    </row>
    <row r="1745" spans="21:32" x14ac:dyDescent="0.3">
      <c r="U1745" s="193"/>
      <c r="V1745" s="193"/>
      <c r="W1745" s="193"/>
      <c r="X1745" s="193"/>
      <c r="Y1745" s="193"/>
      <c r="Z1745" s="193"/>
      <c r="AC1745" s="193"/>
      <c r="AD1745" s="193"/>
      <c r="AE1745" s="193"/>
      <c r="AF1745" s="193"/>
    </row>
    <row r="1746" spans="21:32" x14ac:dyDescent="0.3">
      <c r="U1746" s="193"/>
      <c r="V1746" s="193"/>
      <c r="W1746" s="193"/>
      <c r="X1746" s="193"/>
      <c r="Y1746" s="193"/>
      <c r="Z1746" s="193"/>
      <c r="AC1746" s="193"/>
      <c r="AD1746" s="193"/>
      <c r="AE1746" s="193"/>
      <c r="AF1746" s="193"/>
    </row>
    <row r="1747" spans="21:32" x14ac:dyDescent="0.3">
      <c r="U1747" s="193"/>
      <c r="V1747" s="193"/>
      <c r="W1747" s="193"/>
      <c r="X1747" s="193"/>
      <c r="Y1747" s="193"/>
      <c r="Z1747" s="193"/>
      <c r="AC1747" s="193"/>
      <c r="AD1747" s="193"/>
      <c r="AE1747" s="193"/>
      <c r="AF1747" s="193"/>
    </row>
    <row r="1748" spans="21:32" x14ac:dyDescent="0.3">
      <c r="U1748" s="193"/>
      <c r="V1748" s="193"/>
      <c r="W1748" s="193"/>
      <c r="X1748" s="193"/>
      <c r="Y1748" s="193"/>
      <c r="Z1748" s="193"/>
      <c r="AC1748" s="193"/>
      <c r="AD1748" s="193"/>
      <c r="AE1748" s="193"/>
      <c r="AF1748" s="193"/>
    </row>
    <row r="1749" spans="21:32" x14ac:dyDescent="0.3">
      <c r="U1749" s="193"/>
      <c r="V1749" s="193"/>
      <c r="W1749" s="193"/>
      <c r="X1749" s="193"/>
      <c r="Y1749" s="193"/>
      <c r="Z1749" s="193"/>
      <c r="AC1749" s="193"/>
      <c r="AD1749" s="193"/>
      <c r="AE1749" s="193"/>
      <c r="AF1749" s="193"/>
    </row>
    <row r="1750" spans="21:32" x14ac:dyDescent="0.3">
      <c r="U1750" s="193"/>
      <c r="V1750" s="193"/>
      <c r="W1750" s="193"/>
      <c r="X1750" s="193"/>
      <c r="Y1750" s="193"/>
      <c r="Z1750" s="193"/>
      <c r="AC1750" s="193"/>
      <c r="AD1750" s="193"/>
      <c r="AE1750" s="193"/>
      <c r="AF1750" s="193"/>
    </row>
    <row r="1751" spans="21:32" x14ac:dyDescent="0.3">
      <c r="U1751" s="193"/>
      <c r="V1751" s="193"/>
      <c r="W1751" s="193"/>
      <c r="X1751" s="193"/>
      <c r="Y1751" s="193"/>
      <c r="Z1751" s="193"/>
      <c r="AC1751" s="193"/>
      <c r="AD1751" s="193"/>
      <c r="AE1751" s="193"/>
      <c r="AF1751" s="193"/>
    </row>
    <row r="1752" spans="21:32" x14ac:dyDescent="0.3">
      <c r="U1752" s="193"/>
      <c r="V1752" s="193"/>
      <c r="W1752" s="193"/>
      <c r="X1752" s="193"/>
      <c r="Y1752" s="193"/>
      <c r="Z1752" s="193"/>
      <c r="AC1752" s="193"/>
      <c r="AD1752" s="193"/>
      <c r="AE1752" s="193"/>
      <c r="AF1752" s="193"/>
    </row>
    <row r="1753" spans="21:32" x14ac:dyDescent="0.3">
      <c r="U1753" s="193"/>
      <c r="V1753" s="193"/>
      <c r="W1753" s="193"/>
      <c r="X1753" s="193"/>
      <c r="Y1753" s="193"/>
      <c r="Z1753" s="193"/>
      <c r="AC1753" s="193"/>
      <c r="AD1753" s="193"/>
      <c r="AE1753" s="193"/>
      <c r="AF1753" s="193"/>
    </row>
    <row r="1754" spans="21:32" x14ac:dyDescent="0.3">
      <c r="U1754" s="193"/>
      <c r="V1754" s="193"/>
      <c r="W1754" s="193"/>
      <c r="X1754" s="193"/>
      <c r="Y1754" s="193"/>
      <c r="Z1754" s="193"/>
      <c r="AC1754" s="193"/>
      <c r="AD1754" s="193"/>
      <c r="AE1754" s="193"/>
      <c r="AF1754" s="193"/>
    </row>
    <row r="1755" spans="21:32" x14ac:dyDescent="0.3">
      <c r="U1755" s="193"/>
      <c r="V1755" s="193"/>
      <c r="W1755" s="193"/>
      <c r="X1755" s="193"/>
      <c r="Y1755" s="193"/>
      <c r="Z1755" s="193"/>
      <c r="AC1755" s="193"/>
      <c r="AD1755" s="193"/>
      <c r="AE1755" s="193"/>
      <c r="AF1755" s="193"/>
    </row>
    <row r="1756" spans="21:32" x14ac:dyDescent="0.3">
      <c r="U1756" s="193"/>
      <c r="V1756" s="193"/>
      <c r="W1756" s="193"/>
      <c r="X1756" s="193"/>
      <c r="Y1756" s="193"/>
      <c r="Z1756" s="193"/>
      <c r="AC1756" s="193"/>
      <c r="AD1756" s="193"/>
      <c r="AE1756" s="193"/>
      <c r="AF1756" s="193"/>
    </row>
    <row r="1757" spans="21:32" x14ac:dyDescent="0.3">
      <c r="U1757" s="193"/>
      <c r="V1757" s="193"/>
      <c r="W1757" s="193"/>
      <c r="X1757" s="193"/>
      <c r="Y1757" s="193"/>
      <c r="Z1757" s="193"/>
      <c r="AC1757" s="193"/>
      <c r="AD1757" s="193"/>
      <c r="AE1757" s="193"/>
      <c r="AF1757" s="193"/>
    </row>
    <row r="1758" spans="21:32" x14ac:dyDescent="0.3">
      <c r="U1758" s="193"/>
      <c r="V1758" s="193"/>
      <c r="W1758" s="193"/>
      <c r="X1758" s="193"/>
      <c r="Y1758" s="193"/>
      <c r="Z1758" s="193"/>
      <c r="AC1758" s="193"/>
      <c r="AD1758" s="193"/>
      <c r="AE1758" s="193"/>
      <c r="AF1758" s="193"/>
    </row>
    <row r="1759" spans="21:32" x14ac:dyDescent="0.3">
      <c r="U1759" s="193"/>
      <c r="V1759" s="193"/>
      <c r="W1759" s="193"/>
      <c r="X1759" s="193"/>
      <c r="Y1759" s="193"/>
      <c r="Z1759" s="193"/>
      <c r="AC1759" s="193"/>
      <c r="AD1759" s="193"/>
      <c r="AE1759" s="193"/>
      <c r="AF1759" s="193"/>
    </row>
    <row r="1760" spans="21:32" x14ac:dyDescent="0.3">
      <c r="U1760" s="193"/>
      <c r="V1760" s="193"/>
      <c r="W1760" s="193"/>
      <c r="X1760" s="193"/>
      <c r="Y1760" s="193"/>
      <c r="Z1760" s="193"/>
      <c r="AC1760" s="193"/>
      <c r="AD1760" s="193"/>
      <c r="AE1760" s="193"/>
      <c r="AF1760" s="193"/>
    </row>
    <row r="1761" spans="21:32" x14ac:dyDescent="0.3">
      <c r="U1761" s="193"/>
      <c r="V1761" s="193"/>
      <c r="W1761" s="193"/>
      <c r="X1761" s="193"/>
      <c r="Y1761" s="193"/>
      <c r="Z1761" s="193"/>
      <c r="AC1761" s="193"/>
      <c r="AD1761" s="193"/>
      <c r="AE1761" s="193"/>
      <c r="AF1761" s="193"/>
    </row>
    <row r="1762" spans="21:32" x14ac:dyDescent="0.3">
      <c r="U1762" s="193"/>
      <c r="V1762" s="193"/>
      <c r="W1762" s="193"/>
      <c r="X1762" s="193"/>
      <c r="Y1762" s="193"/>
      <c r="Z1762" s="193"/>
      <c r="AC1762" s="193"/>
      <c r="AD1762" s="193"/>
      <c r="AE1762" s="193"/>
      <c r="AF1762" s="193"/>
    </row>
    <row r="1763" spans="21:32" x14ac:dyDescent="0.3">
      <c r="U1763" s="193"/>
      <c r="V1763" s="193"/>
      <c r="W1763" s="193"/>
      <c r="X1763" s="193"/>
      <c r="Y1763" s="193"/>
      <c r="Z1763" s="193"/>
      <c r="AC1763" s="193"/>
      <c r="AD1763" s="193"/>
      <c r="AE1763" s="193"/>
      <c r="AF1763" s="193"/>
    </row>
    <row r="1764" spans="21:32" x14ac:dyDescent="0.3">
      <c r="U1764" s="193"/>
      <c r="V1764" s="193"/>
      <c r="W1764" s="193"/>
      <c r="X1764" s="193"/>
      <c r="Y1764" s="193"/>
      <c r="Z1764" s="193"/>
      <c r="AC1764" s="193"/>
      <c r="AD1764" s="193"/>
      <c r="AE1764" s="193"/>
      <c r="AF1764" s="193"/>
    </row>
    <row r="1765" spans="21:32" x14ac:dyDescent="0.3">
      <c r="U1765" s="193"/>
      <c r="V1765" s="193"/>
      <c r="W1765" s="193"/>
      <c r="X1765" s="193"/>
      <c r="Y1765" s="193"/>
      <c r="Z1765" s="193"/>
      <c r="AC1765" s="193"/>
      <c r="AD1765" s="193"/>
      <c r="AE1765" s="193"/>
      <c r="AF1765" s="193"/>
    </row>
    <row r="1766" spans="21:32" x14ac:dyDescent="0.3">
      <c r="U1766" s="193"/>
      <c r="V1766" s="193"/>
      <c r="W1766" s="193"/>
      <c r="X1766" s="193"/>
      <c r="Y1766" s="193"/>
      <c r="Z1766" s="193"/>
      <c r="AC1766" s="193"/>
      <c r="AD1766" s="193"/>
      <c r="AE1766" s="193"/>
      <c r="AF1766" s="193"/>
    </row>
    <row r="1767" spans="21:32" x14ac:dyDescent="0.3">
      <c r="U1767" s="193"/>
      <c r="V1767" s="193"/>
      <c r="W1767" s="193"/>
      <c r="X1767" s="193"/>
      <c r="Y1767" s="193"/>
      <c r="Z1767" s="193"/>
      <c r="AC1767" s="193"/>
      <c r="AD1767" s="193"/>
      <c r="AE1767" s="193"/>
      <c r="AF1767" s="193"/>
    </row>
    <row r="1768" spans="21:32" x14ac:dyDescent="0.3">
      <c r="U1768" s="193"/>
      <c r="V1768" s="193"/>
      <c r="W1768" s="193"/>
      <c r="X1768" s="193"/>
      <c r="Y1768" s="193"/>
      <c r="Z1768" s="193"/>
      <c r="AC1768" s="193"/>
      <c r="AD1768" s="193"/>
      <c r="AE1768" s="193"/>
      <c r="AF1768" s="193"/>
    </row>
    <row r="1769" spans="21:32" x14ac:dyDescent="0.3">
      <c r="U1769" s="193"/>
      <c r="V1769" s="193"/>
      <c r="W1769" s="193"/>
      <c r="X1769" s="193"/>
      <c r="Y1769" s="193"/>
      <c r="Z1769" s="193"/>
      <c r="AC1769" s="193"/>
      <c r="AD1769" s="193"/>
      <c r="AE1769" s="193"/>
      <c r="AF1769" s="193"/>
    </row>
    <row r="1770" spans="21:32" x14ac:dyDescent="0.3">
      <c r="U1770" s="193"/>
      <c r="V1770" s="193"/>
      <c r="W1770" s="193"/>
      <c r="X1770" s="193"/>
      <c r="Y1770" s="193"/>
      <c r="Z1770" s="193"/>
      <c r="AC1770" s="193"/>
      <c r="AD1770" s="193"/>
      <c r="AE1770" s="193"/>
      <c r="AF1770" s="193"/>
    </row>
    <row r="1771" spans="21:32" x14ac:dyDescent="0.3">
      <c r="U1771" s="193"/>
      <c r="V1771" s="193"/>
      <c r="W1771" s="193"/>
      <c r="X1771" s="193"/>
      <c r="Y1771" s="193"/>
      <c r="Z1771" s="193"/>
      <c r="AC1771" s="193"/>
      <c r="AD1771" s="193"/>
      <c r="AE1771" s="193"/>
      <c r="AF1771" s="193"/>
    </row>
    <row r="1772" spans="21:32" x14ac:dyDescent="0.3">
      <c r="U1772" s="193"/>
      <c r="V1772" s="193"/>
      <c r="W1772" s="193"/>
      <c r="X1772" s="193"/>
      <c r="Y1772" s="193"/>
      <c r="Z1772" s="193"/>
      <c r="AC1772" s="193"/>
      <c r="AD1772" s="193"/>
      <c r="AE1772" s="193"/>
      <c r="AF1772" s="193"/>
    </row>
    <row r="1773" spans="21:32" x14ac:dyDescent="0.3">
      <c r="U1773" s="193"/>
      <c r="V1773" s="193"/>
      <c r="W1773" s="193"/>
      <c r="X1773" s="193"/>
      <c r="Y1773" s="193"/>
      <c r="Z1773" s="193"/>
      <c r="AC1773" s="193"/>
      <c r="AD1773" s="193"/>
      <c r="AE1773" s="193"/>
      <c r="AF1773" s="193"/>
    </row>
    <row r="1774" spans="21:32" x14ac:dyDescent="0.3">
      <c r="U1774" s="193"/>
      <c r="V1774" s="193"/>
      <c r="W1774" s="193"/>
      <c r="X1774" s="193"/>
      <c r="Y1774" s="193"/>
      <c r="Z1774" s="193"/>
      <c r="AC1774" s="193"/>
      <c r="AD1774" s="193"/>
      <c r="AE1774" s="193"/>
      <c r="AF1774" s="193"/>
    </row>
    <row r="1775" spans="21:32" x14ac:dyDescent="0.3">
      <c r="U1775" s="193"/>
      <c r="V1775" s="193"/>
      <c r="W1775" s="193"/>
      <c r="X1775" s="193"/>
      <c r="Y1775" s="193"/>
      <c r="Z1775" s="193"/>
      <c r="AC1775" s="193"/>
      <c r="AD1775" s="193"/>
      <c r="AE1775" s="193"/>
      <c r="AF1775" s="193"/>
    </row>
    <row r="1776" spans="21:32" x14ac:dyDescent="0.3">
      <c r="U1776" s="193"/>
      <c r="V1776" s="193"/>
      <c r="W1776" s="193"/>
      <c r="X1776" s="193"/>
      <c r="Y1776" s="193"/>
      <c r="Z1776" s="193"/>
      <c r="AC1776" s="193"/>
      <c r="AD1776" s="193"/>
      <c r="AE1776" s="193"/>
      <c r="AF1776" s="193"/>
    </row>
    <row r="1777" spans="21:32" x14ac:dyDescent="0.3">
      <c r="U1777" s="193"/>
      <c r="V1777" s="193"/>
      <c r="W1777" s="193"/>
      <c r="X1777" s="193"/>
      <c r="Y1777" s="193"/>
      <c r="Z1777" s="193"/>
      <c r="AC1777" s="193"/>
      <c r="AD1777" s="193"/>
      <c r="AE1777" s="193"/>
      <c r="AF1777" s="193"/>
    </row>
    <row r="1778" spans="21:32" x14ac:dyDescent="0.3">
      <c r="U1778" s="193"/>
      <c r="V1778" s="193"/>
      <c r="W1778" s="193"/>
      <c r="X1778" s="193"/>
      <c r="Y1778" s="193"/>
      <c r="Z1778" s="193"/>
      <c r="AC1778" s="193"/>
      <c r="AD1778" s="193"/>
      <c r="AE1778" s="193"/>
      <c r="AF1778" s="193"/>
    </row>
    <row r="1779" spans="21:32" x14ac:dyDescent="0.3">
      <c r="U1779" s="193"/>
      <c r="V1779" s="193"/>
      <c r="W1779" s="193"/>
      <c r="X1779" s="193"/>
      <c r="Y1779" s="193"/>
      <c r="Z1779" s="193"/>
      <c r="AC1779" s="193"/>
      <c r="AD1779" s="193"/>
      <c r="AE1779" s="193"/>
      <c r="AF1779" s="193"/>
    </row>
    <row r="1780" spans="21:32" x14ac:dyDescent="0.3">
      <c r="U1780" s="193"/>
      <c r="V1780" s="193"/>
      <c r="W1780" s="193"/>
      <c r="X1780" s="193"/>
      <c r="Y1780" s="193"/>
      <c r="Z1780" s="193"/>
      <c r="AC1780" s="193"/>
      <c r="AD1780" s="193"/>
      <c r="AE1780" s="193"/>
      <c r="AF1780" s="193"/>
    </row>
    <row r="1781" spans="21:32" x14ac:dyDescent="0.3">
      <c r="U1781" s="193"/>
      <c r="V1781" s="193"/>
      <c r="W1781" s="193"/>
      <c r="X1781" s="193"/>
      <c r="Y1781" s="193"/>
      <c r="Z1781" s="193"/>
      <c r="AC1781" s="193"/>
      <c r="AD1781" s="193"/>
      <c r="AE1781" s="193"/>
      <c r="AF1781" s="193"/>
    </row>
    <row r="1782" spans="21:32" x14ac:dyDescent="0.3">
      <c r="U1782" s="193"/>
      <c r="V1782" s="193"/>
      <c r="W1782" s="193"/>
      <c r="X1782" s="193"/>
      <c r="Y1782" s="193"/>
      <c r="Z1782" s="193"/>
      <c r="AC1782" s="193"/>
      <c r="AD1782" s="193"/>
      <c r="AE1782" s="193"/>
      <c r="AF1782" s="193"/>
    </row>
    <row r="1783" spans="21:32" x14ac:dyDescent="0.3">
      <c r="U1783" s="193"/>
      <c r="V1783" s="193"/>
      <c r="W1783" s="193"/>
      <c r="X1783" s="193"/>
      <c r="Y1783" s="193"/>
      <c r="Z1783" s="193"/>
      <c r="AC1783" s="193"/>
      <c r="AD1783" s="193"/>
      <c r="AE1783" s="193"/>
      <c r="AF1783" s="193"/>
    </row>
    <row r="1784" spans="21:32" x14ac:dyDescent="0.3">
      <c r="U1784" s="193"/>
      <c r="V1784" s="193"/>
      <c r="W1784" s="193"/>
      <c r="X1784" s="193"/>
      <c r="Y1784" s="193"/>
      <c r="Z1784" s="193"/>
      <c r="AC1784" s="193"/>
      <c r="AD1784" s="193"/>
      <c r="AE1784" s="193"/>
      <c r="AF1784" s="193"/>
    </row>
    <row r="1785" spans="21:32" x14ac:dyDescent="0.3">
      <c r="U1785" s="193"/>
      <c r="V1785" s="193"/>
      <c r="W1785" s="193"/>
      <c r="X1785" s="193"/>
      <c r="Y1785" s="193"/>
      <c r="Z1785" s="193"/>
      <c r="AC1785" s="193"/>
      <c r="AD1785" s="193"/>
      <c r="AE1785" s="193"/>
      <c r="AF1785" s="193"/>
    </row>
    <row r="1786" spans="21:32" x14ac:dyDescent="0.3">
      <c r="U1786" s="193"/>
      <c r="V1786" s="193"/>
      <c r="W1786" s="193"/>
      <c r="X1786" s="193"/>
      <c r="Y1786" s="193"/>
      <c r="Z1786" s="193"/>
      <c r="AC1786" s="193"/>
      <c r="AD1786" s="193"/>
      <c r="AE1786" s="193"/>
      <c r="AF1786" s="193"/>
    </row>
    <row r="1787" spans="21:32" x14ac:dyDescent="0.3">
      <c r="U1787" s="193"/>
      <c r="V1787" s="193"/>
      <c r="W1787" s="193"/>
      <c r="X1787" s="193"/>
      <c r="Y1787" s="193"/>
      <c r="Z1787" s="193"/>
      <c r="AC1787" s="193"/>
      <c r="AD1787" s="193"/>
      <c r="AE1787" s="193"/>
      <c r="AF1787" s="193"/>
    </row>
    <row r="1788" spans="21:32" x14ac:dyDescent="0.3">
      <c r="U1788" s="193"/>
      <c r="V1788" s="193"/>
      <c r="W1788" s="193"/>
      <c r="X1788" s="193"/>
      <c r="Y1788" s="193"/>
      <c r="Z1788" s="193"/>
      <c r="AC1788" s="193"/>
      <c r="AD1788" s="193"/>
      <c r="AE1788" s="193"/>
      <c r="AF1788" s="193"/>
    </row>
    <row r="1789" spans="21:32" x14ac:dyDescent="0.3">
      <c r="U1789" s="193"/>
      <c r="V1789" s="193"/>
      <c r="W1789" s="193"/>
      <c r="X1789" s="193"/>
      <c r="Y1789" s="193"/>
      <c r="Z1789" s="193"/>
      <c r="AC1789" s="193"/>
      <c r="AD1789" s="193"/>
      <c r="AE1789" s="193"/>
      <c r="AF1789" s="193"/>
    </row>
    <row r="1790" spans="21:32" x14ac:dyDescent="0.3">
      <c r="U1790" s="193"/>
      <c r="V1790" s="193"/>
      <c r="W1790" s="193"/>
      <c r="X1790" s="193"/>
      <c r="Y1790" s="193"/>
      <c r="Z1790" s="193"/>
      <c r="AC1790" s="193"/>
      <c r="AD1790" s="193"/>
      <c r="AE1790" s="193"/>
      <c r="AF1790" s="193"/>
    </row>
    <row r="1791" spans="21:32" x14ac:dyDescent="0.3">
      <c r="U1791" s="193"/>
      <c r="V1791" s="193"/>
      <c r="W1791" s="193"/>
      <c r="X1791" s="193"/>
      <c r="Y1791" s="193"/>
      <c r="Z1791" s="193"/>
      <c r="AC1791" s="193"/>
      <c r="AD1791" s="193"/>
      <c r="AE1791" s="193"/>
      <c r="AF1791" s="193"/>
    </row>
    <row r="1792" spans="21:32" x14ac:dyDescent="0.3">
      <c r="U1792" s="193"/>
      <c r="V1792" s="193"/>
      <c r="W1792" s="193"/>
      <c r="X1792" s="193"/>
      <c r="Y1792" s="193"/>
      <c r="Z1792" s="193"/>
      <c r="AC1792" s="193"/>
      <c r="AD1792" s="193"/>
      <c r="AE1792" s="193"/>
      <c r="AF1792" s="193"/>
    </row>
    <row r="1793" spans="21:32" x14ac:dyDescent="0.3">
      <c r="U1793" s="193"/>
      <c r="V1793" s="193"/>
      <c r="W1793" s="193"/>
      <c r="X1793" s="193"/>
      <c r="Y1793" s="193"/>
      <c r="Z1793" s="193"/>
      <c r="AC1793" s="193"/>
      <c r="AD1793" s="193"/>
      <c r="AE1793" s="193"/>
      <c r="AF1793" s="193"/>
    </row>
    <row r="1794" spans="21:32" x14ac:dyDescent="0.3">
      <c r="U1794" s="193"/>
      <c r="V1794" s="193"/>
      <c r="W1794" s="193"/>
      <c r="X1794" s="193"/>
      <c r="Y1794" s="193"/>
      <c r="Z1794" s="193"/>
      <c r="AC1794" s="193"/>
      <c r="AD1794" s="193"/>
      <c r="AE1794" s="193"/>
      <c r="AF1794" s="193"/>
    </row>
    <row r="1795" spans="21:32" x14ac:dyDescent="0.3">
      <c r="U1795" s="193"/>
      <c r="V1795" s="193"/>
      <c r="W1795" s="193"/>
      <c r="X1795" s="193"/>
      <c r="Y1795" s="193"/>
      <c r="Z1795" s="193"/>
      <c r="AC1795" s="193"/>
      <c r="AD1795" s="193"/>
      <c r="AE1795" s="193"/>
      <c r="AF1795" s="193"/>
    </row>
    <row r="1796" spans="21:32" x14ac:dyDescent="0.3">
      <c r="U1796" s="193"/>
      <c r="V1796" s="193"/>
      <c r="W1796" s="193"/>
      <c r="X1796" s="193"/>
      <c r="Y1796" s="193"/>
      <c r="Z1796" s="193"/>
      <c r="AC1796" s="193"/>
      <c r="AD1796" s="193"/>
      <c r="AE1796" s="193"/>
      <c r="AF1796" s="193"/>
    </row>
    <row r="1797" spans="21:32" x14ac:dyDescent="0.3">
      <c r="U1797" s="193"/>
      <c r="V1797" s="193"/>
      <c r="W1797" s="193"/>
      <c r="X1797" s="193"/>
      <c r="Y1797" s="193"/>
      <c r="Z1797" s="193"/>
      <c r="AC1797" s="193"/>
      <c r="AD1797" s="193"/>
      <c r="AE1797" s="193"/>
      <c r="AF1797" s="193"/>
    </row>
    <row r="1798" spans="21:32" x14ac:dyDescent="0.3">
      <c r="U1798" s="193"/>
      <c r="V1798" s="193"/>
      <c r="W1798" s="193"/>
      <c r="X1798" s="193"/>
      <c r="Y1798" s="193"/>
      <c r="Z1798" s="193"/>
      <c r="AC1798" s="193"/>
      <c r="AD1798" s="193"/>
      <c r="AE1798" s="193"/>
      <c r="AF1798" s="193"/>
    </row>
    <row r="1799" spans="21:32" x14ac:dyDescent="0.3">
      <c r="U1799" s="193"/>
      <c r="V1799" s="193"/>
      <c r="W1799" s="193"/>
      <c r="X1799" s="193"/>
      <c r="Y1799" s="193"/>
      <c r="Z1799" s="193"/>
      <c r="AC1799" s="193"/>
      <c r="AD1799" s="193"/>
      <c r="AE1799" s="193"/>
      <c r="AF1799" s="193"/>
    </row>
    <row r="1800" spans="21:32" x14ac:dyDescent="0.3">
      <c r="U1800" s="193"/>
      <c r="V1800" s="193"/>
      <c r="W1800" s="193"/>
      <c r="X1800" s="193"/>
      <c r="Y1800" s="193"/>
      <c r="Z1800" s="193"/>
      <c r="AC1800" s="193"/>
      <c r="AD1800" s="193"/>
      <c r="AE1800" s="193"/>
      <c r="AF1800" s="193"/>
    </row>
    <row r="1801" spans="21:32" x14ac:dyDescent="0.3">
      <c r="U1801" s="193"/>
      <c r="V1801" s="193"/>
      <c r="W1801" s="193"/>
      <c r="X1801" s="193"/>
      <c r="Y1801" s="193"/>
      <c r="Z1801" s="193"/>
      <c r="AC1801" s="193"/>
      <c r="AD1801" s="193"/>
      <c r="AE1801" s="193"/>
      <c r="AF1801" s="193"/>
    </row>
    <row r="1802" spans="21:32" x14ac:dyDescent="0.3">
      <c r="U1802" s="193"/>
      <c r="V1802" s="193"/>
      <c r="W1802" s="193"/>
      <c r="X1802" s="193"/>
      <c r="Y1802" s="193"/>
      <c r="Z1802" s="193"/>
      <c r="AC1802" s="193"/>
      <c r="AD1802" s="193"/>
      <c r="AE1802" s="193"/>
      <c r="AF1802" s="193"/>
    </row>
    <row r="1803" spans="21:32" x14ac:dyDescent="0.3">
      <c r="U1803" s="193"/>
      <c r="V1803" s="193"/>
      <c r="W1803" s="193"/>
      <c r="X1803" s="193"/>
      <c r="Y1803" s="193"/>
      <c r="Z1803" s="193"/>
      <c r="AC1803" s="193"/>
      <c r="AD1803" s="193"/>
      <c r="AE1803" s="193"/>
      <c r="AF1803" s="193"/>
    </row>
    <row r="1804" spans="21:32" x14ac:dyDescent="0.3">
      <c r="U1804" s="193"/>
      <c r="V1804" s="193"/>
      <c r="W1804" s="193"/>
      <c r="X1804" s="193"/>
      <c r="Y1804" s="193"/>
      <c r="Z1804" s="193"/>
      <c r="AC1804" s="193"/>
      <c r="AD1804" s="193"/>
      <c r="AE1804" s="193"/>
      <c r="AF1804" s="193"/>
    </row>
    <row r="1805" spans="21:32" x14ac:dyDescent="0.3">
      <c r="U1805" s="193"/>
      <c r="V1805" s="193"/>
      <c r="W1805" s="193"/>
      <c r="X1805" s="193"/>
      <c r="Y1805" s="193"/>
      <c r="Z1805" s="193"/>
      <c r="AC1805" s="193"/>
      <c r="AD1805" s="193"/>
      <c r="AE1805" s="193"/>
      <c r="AF1805" s="193"/>
    </row>
    <row r="1806" spans="21:32" x14ac:dyDescent="0.3">
      <c r="U1806" s="193"/>
      <c r="V1806" s="193"/>
      <c r="W1806" s="193"/>
      <c r="X1806" s="193"/>
      <c r="Y1806" s="193"/>
      <c r="Z1806" s="193"/>
      <c r="AC1806" s="193"/>
      <c r="AD1806" s="193"/>
      <c r="AE1806" s="193"/>
      <c r="AF1806" s="193"/>
    </row>
    <row r="1807" spans="21:32" x14ac:dyDescent="0.3">
      <c r="U1807" s="193"/>
      <c r="V1807" s="193"/>
      <c r="W1807" s="193"/>
      <c r="X1807" s="193"/>
      <c r="Y1807" s="193"/>
      <c r="Z1807" s="193"/>
      <c r="AC1807" s="193"/>
      <c r="AD1807" s="193"/>
      <c r="AE1807" s="193"/>
      <c r="AF1807" s="193"/>
    </row>
    <row r="1808" spans="21:32" x14ac:dyDescent="0.3">
      <c r="U1808" s="193"/>
      <c r="V1808" s="193"/>
      <c r="W1808" s="193"/>
      <c r="X1808" s="193"/>
      <c r="Y1808" s="193"/>
      <c r="Z1808" s="193"/>
      <c r="AC1808" s="193"/>
      <c r="AD1808" s="193"/>
      <c r="AE1808" s="193"/>
      <c r="AF1808" s="193"/>
    </row>
    <row r="1809" spans="21:32" x14ac:dyDescent="0.3">
      <c r="U1809" s="193"/>
      <c r="V1809" s="193"/>
      <c r="W1809" s="193"/>
      <c r="X1809" s="193"/>
      <c r="Y1809" s="193"/>
      <c r="Z1809" s="193"/>
      <c r="AC1809" s="193"/>
      <c r="AD1809" s="193"/>
      <c r="AE1809" s="193"/>
      <c r="AF1809" s="193"/>
    </row>
    <row r="1810" spans="21:32" x14ac:dyDescent="0.3">
      <c r="U1810" s="193"/>
      <c r="V1810" s="193"/>
      <c r="W1810" s="193"/>
      <c r="X1810" s="193"/>
      <c r="Y1810" s="193"/>
      <c r="Z1810" s="193"/>
      <c r="AC1810" s="193"/>
      <c r="AD1810" s="193"/>
      <c r="AE1810" s="193"/>
      <c r="AF1810" s="193"/>
    </row>
    <row r="1811" spans="21:32" x14ac:dyDescent="0.3">
      <c r="U1811" s="193"/>
      <c r="V1811" s="193"/>
      <c r="W1811" s="193"/>
      <c r="X1811" s="193"/>
      <c r="Y1811" s="193"/>
      <c r="Z1811" s="193"/>
      <c r="AC1811" s="193"/>
      <c r="AD1811" s="193"/>
      <c r="AE1811" s="193"/>
      <c r="AF1811" s="193"/>
    </row>
    <row r="1812" spans="21:32" x14ac:dyDescent="0.3">
      <c r="U1812" s="193"/>
      <c r="V1812" s="193"/>
      <c r="W1812" s="193"/>
      <c r="X1812" s="193"/>
      <c r="Y1812" s="193"/>
      <c r="Z1812" s="193"/>
      <c r="AC1812" s="193"/>
      <c r="AD1812" s="193"/>
      <c r="AE1812" s="193"/>
      <c r="AF1812" s="193"/>
    </row>
    <row r="1813" spans="21:32" x14ac:dyDescent="0.3">
      <c r="U1813" s="193"/>
      <c r="V1813" s="193"/>
      <c r="W1813" s="193"/>
      <c r="X1813" s="193"/>
      <c r="Y1813" s="193"/>
      <c r="Z1813" s="193"/>
      <c r="AC1813" s="193"/>
      <c r="AD1813" s="193"/>
      <c r="AE1813" s="193"/>
      <c r="AF1813" s="193"/>
    </row>
    <row r="1814" spans="21:32" x14ac:dyDescent="0.3">
      <c r="U1814" s="193"/>
      <c r="V1814" s="193"/>
      <c r="W1814" s="193"/>
      <c r="X1814" s="193"/>
      <c r="Y1814" s="193"/>
      <c r="Z1814" s="193"/>
      <c r="AC1814" s="193"/>
      <c r="AD1814" s="193"/>
      <c r="AE1814" s="193"/>
      <c r="AF1814" s="193"/>
    </row>
    <row r="1815" spans="21:32" x14ac:dyDescent="0.3">
      <c r="U1815" s="193"/>
      <c r="V1815" s="193"/>
      <c r="W1815" s="193"/>
      <c r="X1815" s="193"/>
      <c r="Y1815" s="193"/>
      <c r="Z1815" s="193"/>
      <c r="AC1815" s="193"/>
      <c r="AD1815" s="193"/>
      <c r="AE1815" s="193"/>
      <c r="AF1815" s="193"/>
    </row>
    <row r="1816" spans="21:32" x14ac:dyDescent="0.3">
      <c r="U1816" s="193"/>
      <c r="V1816" s="193"/>
      <c r="W1816" s="193"/>
      <c r="X1816" s="193"/>
      <c r="Y1816" s="193"/>
      <c r="Z1816" s="193"/>
      <c r="AC1816" s="193"/>
      <c r="AD1816" s="193"/>
      <c r="AE1816" s="193"/>
      <c r="AF1816" s="193"/>
    </row>
    <row r="1817" spans="21:32" x14ac:dyDescent="0.3">
      <c r="U1817" s="193"/>
      <c r="V1817" s="193"/>
      <c r="W1817" s="193"/>
      <c r="X1817" s="193"/>
      <c r="Y1817" s="193"/>
      <c r="Z1817" s="193"/>
      <c r="AC1817" s="193"/>
      <c r="AD1817" s="193"/>
      <c r="AE1817" s="193"/>
      <c r="AF1817" s="193"/>
    </row>
    <row r="1818" spans="21:32" x14ac:dyDescent="0.3">
      <c r="U1818" s="193"/>
      <c r="V1818" s="193"/>
      <c r="W1818" s="193"/>
      <c r="X1818" s="193"/>
      <c r="Y1818" s="193"/>
      <c r="Z1818" s="193"/>
      <c r="AC1818" s="193"/>
      <c r="AD1818" s="193"/>
      <c r="AE1818" s="193"/>
      <c r="AF1818" s="193"/>
    </row>
    <row r="1819" spans="21:32" x14ac:dyDescent="0.3">
      <c r="U1819" s="193"/>
      <c r="V1819" s="193"/>
      <c r="W1819" s="193"/>
      <c r="X1819" s="193"/>
      <c r="Y1819" s="193"/>
      <c r="Z1819" s="193"/>
      <c r="AC1819" s="193"/>
      <c r="AD1819" s="193"/>
      <c r="AE1819" s="193"/>
      <c r="AF1819" s="193"/>
    </row>
    <row r="1820" spans="21:32" x14ac:dyDescent="0.3">
      <c r="U1820" s="193"/>
      <c r="V1820" s="193"/>
      <c r="W1820" s="193"/>
      <c r="X1820" s="193"/>
      <c r="Y1820" s="193"/>
      <c r="Z1820" s="193"/>
      <c r="AC1820" s="193"/>
      <c r="AD1820" s="193"/>
      <c r="AE1820" s="193"/>
      <c r="AF1820" s="193"/>
    </row>
    <row r="1821" spans="21:32" x14ac:dyDescent="0.3">
      <c r="U1821" s="193"/>
      <c r="V1821" s="193"/>
      <c r="W1821" s="193"/>
      <c r="X1821" s="193"/>
      <c r="Y1821" s="193"/>
      <c r="Z1821" s="193"/>
      <c r="AC1821" s="193"/>
      <c r="AD1821" s="193"/>
      <c r="AE1821" s="193"/>
      <c r="AF1821" s="193"/>
    </row>
    <row r="1822" spans="21:32" x14ac:dyDescent="0.3">
      <c r="U1822" s="193"/>
      <c r="V1822" s="193"/>
      <c r="W1822" s="193"/>
      <c r="X1822" s="193"/>
      <c r="Y1822" s="193"/>
      <c r="Z1822" s="193"/>
      <c r="AC1822" s="193"/>
      <c r="AD1822" s="193"/>
      <c r="AE1822" s="193"/>
      <c r="AF1822" s="193"/>
    </row>
    <row r="1823" spans="21:32" x14ac:dyDescent="0.3">
      <c r="U1823" s="193"/>
      <c r="V1823" s="193"/>
      <c r="W1823" s="193"/>
      <c r="X1823" s="193"/>
      <c r="Y1823" s="193"/>
      <c r="Z1823" s="193"/>
      <c r="AC1823" s="193"/>
      <c r="AD1823" s="193"/>
      <c r="AE1823" s="193"/>
      <c r="AF1823" s="193"/>
    </row>
    <row r="1824" spans="21:32" x14ac:dyDescent="0.3">
      <c r="U1824" s="193"/>
      <c r="V1824" s="193"/>
      <c r="W1824" s="193"/>
      <c r="X1824" s="193"/>
      <c r="Y1824" s="193"/>
      <c r="Z1824" s="193"/>
      <c r="AC1824" s="193"/>
      <c r="AD1824" s="193"/>
      <c r="AE1824" s="193"/>
      <c r="AF1824" s="193"/>
    </row>
    <row r="1825" spans="21:32" x14ac:dyDescent="0.3">
      <c r="U1825" s="193"/>
      <c r="V1825" s="193"/>
      <c r="W1825" s="193"/>
      <c r="X1825" s="193"/>
      <c r="Y1825" s="193"/>
      <c r="Z1825" s="193"/>
      <c r="AC1825" s="193"/>
      <c r="AD1825" s="193"/>
      <c r="AE1825" s="193"/>
      <c r="AF1825" s="193"/>
    </row>
    <row r="1826" spans="21:32" x14ac:dyDescent="0.3">
      <c r="U1826" s="193"/>
      <c r="V1826" s="193"/>
      <c r="W1826" s="193"/>
      <c r="X1826" s="193"/>
      <c r="Y1826" s="193"/>
      <c r="Z1826" s="193"/>
      <c r="AC1826" s="193"/>
      <c r="AD1826" s="193"/>
      <c r="AE1826" s="193"/>
      <c r="AF1826" s="193"/>
    </row>
    <row r="1827" spans="21:32" x14ac:dyDescent="0.3">
      <c r="U1827" s="193"/>
      <c r="V1827" s="193"/>
      <c r="W1827" s="193"/>
      <c r="X1827" s="193"/>
      <c r="Y1827" s="193"/>
      <c r="Z1827" s="193"/>
      <c r="AC1827" s="193"/>
      <c r="AD1827" s="193"/>
      <c r="AE1827" s="193"/>
      <c r="AF1827" s="193"/>
    </row>
    <row r="1828" spans="21:32" x14ac:dyDescent="0.3">
      <c r="U1828" s="193"/>
      <c r="V1828" s="193"/>
      <c r="W1828" s="193"/>
      <c r="X1828" s="193"/>
      <c r="Y1828" s="193"/>
      <c r="Z1828" s="193"/>
      <c r="AC1828" s="193"/>
      <c r="AD1828" s="193"/>
      <c r="AE1828" s="193"/>
      <c r="AF1828" s="193"/>
    </row>
    <row r="1829" spans="21:32" x14ac:dyDescent="0.3">
      <c r="U1829" s="193"/>
      <c r="V1829" s="193"/>
      <c r="W1829" s="193"/>
      <c r="X1829" s="193"/>
      <c r="Y1829" s="193"/>
      <c r="Z1829" s="193"/>
      <c r="AC1829" s="193"/>
      <c r="AD1829" s="193"/>
      <c r="AE1829" s="193"/>
      <c r="AF1829" s="193"/>
    </row>
    <row r="1830" spans="21:32" x14ac:dyDescent="0.3">
      <c r="U1830" s="193"/>
      <c r="V1830" s="193"/>
      <c r="W1830" s="193"/>
      <c r="X1830" s="193"/>
      <c r="Y1830" s="193"/>
      <c r="Z1830" s="193"/>
      <c r="AC1830" s="193"/>
      <c r="AD1830" s="193"/>
      <c r="AE1830" s="193"/>
      <c r="AF1830" s="193"/>
    </row>
    <row r="1831" spans="21:32" x14ac:dyDescent="0.3">
      <c r="U1831" s="193"/>
      <c r="V1831" s="193"/>
      <c r="W1831" s="193"/>
      <c r="X1831" s="193"/>
      <c r="Y1831" s="193"/>
      <c r="Z1831" s="193"/>
      <c r="AC1831" s="193"/>
      <c r="AD1831" s="193"/>
      <c r="AE1831" s="193"/>
      <c r="AF1831" s="193"/>
    </row>
    <row r="1832" spans="21:32" x14ac:dyDescent="0.3">
      <c r="U1832" s="193"/>
      <c r="V1832" s="193"/>
      <c r="W1832" s="193"/>
      <c r="X1832" s="193"/>
      <c r="Y1832" s="193"/>
      <c r="Z1832" s="193"/>
      <c r="AC1832" s="193"/>
      <c r="AD1832" s="193"/>
      <c r="AE1832" s="193"/>
      <c r="AF1832" s="193"/>
    </row>
    <row r="1833" spans="21:32" x14ac:dyDescent="0.3">
      <c r="U1833" s="193"/>
      <c r="V1833" s="193"/>
      <c r="W1833" s="193"/>
      <c r="X1833" s="193"/>
      <c r="Y1833" s="193"/>
      <c r="Z1833" s="193"/>
      <c r="AC1833" s="193"/>
      <c r="AD1833" s="193"/>
      <c r="AE1833" s="193"/>
      <c r="AF1833" s="193"/>
    </row>
    <row r="1834" spans="21:32" x14ac:dyDescent="0.3">
      <c r="U1834" s="193"/>
      <c r="V1834" s="193"/>
      <c r="W1834" s="193"/>
      <c r="X1834" s="193"/>
      <c r="Y1834" s="193"/>
      <c r="Z1834" s="193"/>
      <c r="AC1834" s="193"/>
      <c r="AD1834" s="193"/>
      <c r="AE1834" s="193"/>
      <c r="AF1834" s="193"/>
    </row>
    <row r="1835" spans="21:32" x14ac:dyDescent="0.3">
      <c r="U1835" s="193"/>
      <c r="V1835" s="193"/>
      <c r="W1835" s="193"/>
      <c r="X1835" s="193"/>
      <c r="Y1835" s="193"/>
      <c r="Z1835" s="193"/>
      <c r="AC1835" s="193"/>
      <c r="AD1835" s="193"/>
      <c r="AE1835" s="193"/>
      <c r="AF1835" s="193"/>
    </row>
    <row r="1836" spans="21:32" x14ac:dyDescent="0.3">
      <c r="U1836" s="193"/>
      <c r="V1836" s="193"/>
      <c r="W1836" s="193"/>
      <c r="X1836" s="193"/>
      <c r="Y1836" s="193"/>
      <c r="Z1836" s="193"/>
      <c r="AC1836" s="193"/>
      <c r="AD1836" s="193"/>
      <c r="AE1836" s="193"/>
      <c r="AF1836" s="193"/>
    </row>
    <row r="1837" spans="21:32" x14ac:dyDescent="0.3">
      <c r="U1837" s="193"/>
      <c r="V1837" s="193"/>
      <c r="W1837" s="193"/>
      <c r="X1837" s="193"/>
      <c r="Y1837" s="193"/>
      <c r="Z1837" s="193"/>
      <c r="AC1837" s="193"/>
      <c r="AD1837" s="193"/>
      <c r="AE1837" s="193"/>
      <c r="AF1837" s="193"/>
    </row>
    <row r="1838" spans="21:32" x14ac:dyDescent="0.3">
      <c r="U1838" s="193"/>
      <c r="V1838" s="193"/>
      <c r="W1838" s="193"/>
      <c r="X1838" s="193"/>
      <c r="Y1838" s="193"/>
      <c r="Z1838" s="193"/>
      <c r="AC1838" s="193"/>
      <c r="AD1838" s="193"/>
      <c r="AE1838" s="193"/>
      <c r="AF1838" s="193"/>
    </row>
    <row r="1839" spans="21:32" x14ac:dyDescent="0.3">
      <c r="U1839" s="193"/>
      <c r="V1839" s="193"/>
      <c r="W1839" s="193"/>
      <c r="X1839" s="193"/>
      <c r="Y1839" s="193"/>
      <c r="Z1839" s="193"/>
      <c r="AC1839" s="193"/>
      <c r="AD1839" s="193"/>
      <c r="AE1839" s="193"/>
      <c r="AF1839" s="193"/>
    </row>
    <row r="1840" spans="21:32" x14ac:dyDescent="0.3">
      <c r="U1840" s="193"/>
      <c r="V1840" s="193"/>
      <c r="W1840" s="193"/>
      <c r="X1840" s="193"/>
      <c r="Y1840" s="193"/>
      <c r="Z1840" s="193"/>
      <c r="AC1840" s="193"/>
      <c r="AD1840" s="193"/>
      <c r="AE1840" s="193"/>
      <c r="AF1840" s="193"/>
    </row>
    <row r="1841" spans="21:32" x14ac:dyDescent="0.3">
      <c r="U1841" s="193"/>
      <c r="V1841" s="193"/>
      <c r="W1841" s="193"/>
      <c r="X1841" s="193"/>
      <c r="Y1841" s="193"/>
      <c r="Z1841" s="193"/>
      <c r="AC1841" s="193"/>
      <c r="AD1841" s="193"/>
      <c r="AE1841" s="193"/>
      <c r="AF1841" s="193"/>
    </row>
    <row r="1842" spans="21:32" x14ac:dyDescent="0.3">
      <c r="U1842" s="193"/>
      <c r="V1842" s="193"/>
      <c r="W1842" s="193"/>
      <c r="X1842" s="193"/>
      <c r="Y1842" s="193"/>
      <c r="Z1842" s="193"/>
      <c r="AC1842" s="193"/>
      <c r="AD1842" s="193"/>
      <c r="AE1842" s="193"/>
      <c r="AF1842" s="193"/>
    </row>
    <row r="1843" spans="21:32" x14ac:dyDescent="0.3">
      <c r="U1843" s="193"/>
      <c r="V1843" s="193"/>
      <c r="W1843" s="193"/>
      <c r="X1843" s="193"/>
      <c r="Y1843" s="193"/>
      <c r="Z1843" s="193"/>
      <c r="AC1843" s="193"/>
      <c r="AD1843" s="193"/>
      <c r="AE1843" s="193"/>
      <c r="AF1843" s="193"/>
    </row>
    <row r="1844" spans="21:32" x14ac:dyDescent="0.3">
      <c r="U1844" s="193"/>
      <c r="V1844" s="193"/>
      <c r="W1844" s="193"/>
      <c r="X1844" s="193"/>
      <c r="Y1844" s="193"/>
      <c r="Z1844" s="193"/>
      <c r="AC1844" s="193"/>
      <c r="AD1844" s="193"/>
      <c r="AE1844" s="193"/>
      <c r="AF1844" s="193"/>
    </row>
    <row r="1845" spans="21:32" x14ac:dyDescent="0.3">
      <c r="U1845" s="193"/>
      <c r="V1845" s="193"/>
      <c r="W1845" s="193"/>
      <c r="X1845" s="193"/>
      <c r="Y1845" s="193"/>
      <c r="Z1845" s="193"/>
      <c r="AC1845" s="193"/>
      <c r="AD1845" s="193"/>
      <c r="AE1845" s="193"/>
      <c r="AF1845" s="193"/>
    </row>
    <row r="1846" spans="21:32" x14ac:dyDescent="0.3">
      <c r="U1846" s="193"/>
      <c r="V1846" s="193"/>
      <c r="W1846" s="193"/>
      <c r="X1846" s="193"/>
      <c r="Y1846" s="193"/>
      <c r="Z1846" s="193"/>
      <c r="AC1846" s="193"/>
      <c r="AD1846" s="193"/>
      <c r="AE1846" s="193"/>
      <c r="AF1846" s="193"/>
    </row>
    <row r="1847" spans="21:32" x14ac:dyDescent="0.3">
      <c r="U1847" s="193"/>
      <c r="V1847" s="193"/>
      <c r="W1847" s="193"/>
      <c r="X1847" s="193"/>
      <c r="Y1847" s="193"/>
      <c r="Z1847" s="193"/>
      <c r="AC1847" s="193"/>
      <c r="AD1847" s="193"/>
      <c r="AE1847" s="193"/>
      <c r="AF1847" s="193"/>
    </row>
    <row r="1848" spans="21:32" x14ac:dyDescent="0.3">
      <c r="U1848" s="193"/>
      <c r="V1848" s="193"/>
      <c r="W1848" s="193"/>
      <c r="X1848" s="193"/>
      <c r="Y1848" s="193"/>
      <c r="Z1848" s="193"/>
      <c r="AC1848" s="193"/>
      <c r="AD1848" s="193"/>
      <c r="AE1848" s="193"/>
      <c r="AF1848" s="193"/>
    </row>
    <row r="1849" spans="21:32" x14ac:dyDescent="0.3">
      <c r="U1849" s="193"/>
      <c r="V1849" s="193"/>
      <c r="W1849" s="193"/>
      <c r="X1849" s="193"/>
      <c r="Y1849" s="193"/>
      <c r="Z1849" s="193"/>
      <c r="AC1849" s="193"/>
      <c r="AD1849" s="193"/>
      <c r="AE1849" s="193"/>
      <c r="AF1849" s="193"/>
    </row>
    <row r="1850" spans="21:32" x14ac:dyDescent="0.3">
      <c r="U1850" s="193"/>
      <c r="V1850" s="193"/>
      <c r="W1850" s="193"/>
      <c r="X1850" s="193"/>
      <c r="Y1850" s="193"/>
      <c r="Z1850" s="193"/>
      <c r="AC1850" s="193"/>
      <c r="AD1850" s="193"/>
      <c r="AE1850" s="193"/>
      <c r="AF1850" s="193"/>
    </row>
    <row r="1851" spans="21:32" x14ac:dyDescent="0.3">
      <c r="U1851" s="193"/>
      <c r="V1851" s="193"/>
      <c r="W1851" s="193"/>
      <c r="X1851" s="193"/>
      <c r="Y1851" s="193"/>
      <c r="Z1851" s="193"/>
      <c r="AC1851" s="193"/>
      <c r="AD1851" s="193"/>
      <c r="AE1851" s="193"/>
      <c r="AF1851" s="193"/>
    </row>
    <row r="1852" spans="21:32" x14ac:dyDescent="0.3">
      <c r="U1852" s="193"/>
      <c r="V1852" s="193"/>
      <c r="W1852" s="193"/>
      <c r="X1852" s="193"/>
      <c r="Y1852" s="193"/>
      <c r="Z1852" s="193"/>
      <c r="AC1852" s="193"/>
      <c r="AD1852" s="193"/>
      <c r="AE1852" s="193"/>
      <c r="AF1852" s="193"/>
    </row>
    <row r="1853" spans="21:32" x14ac:dyDescent="0.3">
      <c r="U1853" s="193"/>
      <c r="V1853" s="193"/>
      <c r="W1853" s="193"/>
      <c r="X1853" s="193"/>
      <c r="Y1853" s="193"/>
      <c r="Z1853" s="193"/>
      <c r="AC1853" s="193"/>
      <c r="AD1853" s="193"/>
      <c r="AE1853" s="193"/>
      <c r="AF1853" s="193"/>
    </row>
    <row r="1854" spans="21:32" x14ac:dyDescent="0.3">
      <c r="U1854" s="193"/>
      <c r="V1854" s="193"/>
      <c r="W1854" s="193"/>
      <c r="X1854" s="193"/>
      <c r="Y1854" s="193"/>
      <c r="Z1854" s="193"/>
      <c r="AC1854" s="193"/>
      <c r="AD1854" s="193"/>
      <c r="AE1854" s="193"/>
      <c r="AF1854" s="193"/>
    </row>
    <row r="1855" spans="21:32" x14ac:dyDescent="0.3">
      <c r="U1855" s="193"/>
      <c r="V1855" s="193"/>
      <c r="W1855" s="193"/>
      <c r="X1855" s="193"/>
      <c r="Y1855" s="193"/>
      <c r="Z1855" s="193"/>
      <c r="AC1855" s="193"/>
      <c r="AD1855" s="193"/>
      <c r="AE1855" s="193"/>
      <c r="AF1855" s="193"/>
    </row>
    <row r="1856" spans="21:32" x14ac:dyDescent="0.3">
      <c r="U1856" s="193"/>
      <c r="V1856" s="193"/>
      <c r="W1856" s="193"/>
      <c r="X1856" s="193"/>
      <c r="Y1856" s="193"/>
      <c r="Z1856" s="193"/>
      <c r="AC1856" s="193"/>
      <c r="AD1856" s="193"/>
      <c r="AE1856" s="193"/>
      <c r="AF1856" s="193"/>
    </row>
    <row r="1857" spans="21:32" x14ac:dyDescent="0.3">
      <c r="U1857" s="193"/>
      <c r="V1857" s="193"/>
      <c r="W1857" s="193"/>
      <c r="X1857" s="193"/>
      <c r="Y1857" s="193"/>
      <c r="Z1857" s="193"/>
      <c r="AC1857" s="193"/>
      <c r="AD1857" s="193"/>
      <c r="AE1857" s="193"/>
      <c r="AF1857" s="193"/>
    </row>
    <row r="1858" spans="21:32" x14ac:dyDescent="0.3">
      <c r="U1858" s="193"/>
      <c r="V1858" s="193"/>
      <c r="W1858" s="193"/>
      <c r="X1858" s="193"/>
      <c r="Y1858" s="193"/>
      <c r="Z1858" s="193"/>
      <c r="AC1858" s="193"/>
      <c r="AD1858" s="193"/>
      <c r="AE1858" s="193"/>
      <c r="AF1858" s="193"/>
    </row>
    <row r="1859" spans="21:32" x14ac:dyDescent="0.3">
      <c r="U1859" s="193"/>
      <c r="V1859" s="193"/>
      <c r="W1859" s="193"/>
      <c r="X1859" s="193"/>
      <c r="Y1859" s="193"/>
      <c r="Z1859" s="193"/>
      <c r="AC1859" s="193"/>
      <c r="AD1859" s="193"/>
      <c r="AE1859" s="193"/>
      <c r="AF1859" s="193"/>
    </row>
    <row r="1860" spans="21:32" x14ac:dyDescent="0.3">
      <c r="U1860" s="193"/>
      <c r="V1860" s="193"/>
      <c r="W1860" s="193"/>
      <c r="X1860" s="193"/>
      <c r="Y1860" s="193"/>
      <c r="Z1860" s="193"/>
      <c r="AC1860" s="193"/>
      <c r="AD1860" s="193"/>
      <c r="AE1860" s="193"/>
      <c r="AF1860" s="193"/>
    </row>
    <row r="1861" spans="21:32" x14ac:dyDescent="0.3">
      <c r="U1861" s="193"/>
      <c r="V1861" s="193"/>
      <c r="W1861" s="193"/>
      <c r="X1861" s="193"/>
      <c r="Y1861" s="193"/>
      <c r="Z1861" s="193"/>
      <c r="AC1861" s="193"/>
      <c r="AD1861" s="193"/>
      <c r="AE1861" s="193"/>
      <c r="AF1861" s="193"/>
    </row>
    <row r="1862" spans="21:32" x14ac:dyDescent="0.3">
      <c r="U1862" s="193"/>
      <c r="V1862" s="193"/>
      <c r="W1862" s="193"/>
      <c r="X1862" s="193"/>
      <c r="Y1862" s="193"/>
      <c r="Z1862" s="193"/>
      <c r="AC1862" s="193"/>
      <c r="AD1862" s="193"/>
      <c r="AE1862" s="193"/>
      <c r="AF1862" s="193"/>
    </row>
    <row r="1863" spans="21:32" x14ac:dyDescent="0.3">
      <c r="U1863" s="193"/>
      <c r="V1863" s="193"/>
      <c r="W1863" s="193"/>
      <c r="X1863" s="193"/>
      <c r="Y1863" s="193"/>
      <c r="Z1863" s="193"/>
      <c r="AC1863" s="193"/>
      <c r="AD1863" s="193"/>
      <c r="AE1863" s="193"/>
      <c r="AF1863" s="193"/>
    </row>
    <row r="1864" spans="21:32" x14ac:dyDescent="0.3">
      <c r="U1864" s="193"/>
      <c r="V1864" s="193"/>
      <c r="W1864" s="193"/>
      <c r="X1864" s="193"/>
      <c r="Y1864" s="193"/>
      <c r="Z1864" s="193"/>
      <c r="AC1864" s="193"/>
      <c r="AD1864" s="193"/>
      <c r="AE1864" s="193"/>
      <c r="AF1864" s="193"/>
    </row>
    <row r="1865" spans="21:32" x14ac:dyDescent="0.3">
      <c r="U1865" s="193"/>
      <c r="V1865" s="193"/>
      <c r="W1865" s="193"/>
      <c r="X1865" s="193"/>
      <c r="Y1865" s="193"/>
      <c r="Z1865" s="193"/>
      <c r="AC1865" s="193"/>
      <c r="AD1865" s="193"/>
      <c r="AE1865" s="193"/>
      <c r="AF1865" s="193"/>
    </row>
    <row r="1866" spans="21:32" x14ac:dyDescent="0.3">
      <c r="U1866" s="193"/>
      <c r="V1866" s="193"/>
      <c r="W1866" s="193"/>
      <c r="X1866" s="193"/>
      <c r="Y1866" s="193"/>
      <c r="Z1866" s="193"/>
      <c r="AC1866" s="193"/>
      <c r="AD1866" s="193"/>
      <c r="AE1866" s="193"/>
      <c r="AF1866" s="193"/>
    </row>
    <row r="1867" spans="21:32" x14ac:dyDescent="0.3">
      <c r="U1867" s="193"/>
      <c r="V1867" s="193"/>
      <c r="W1867" s="193"/>
      <c r="X1867" s="193"/>
      <c r="Y1867" s="193"/>
      <c r="Z1867" s="193"/>
      <c r="AC1867" s="193"/>
      <c r="AD1867" s="193"/>
      <c r="AE1867" s="193"/>
      <c r="AF1867" s="193"/>
    </row>
    <row r="1868" spans="21:32" x14ac:dyDescent="0.3">
      <c r="U1868" s="193"/>
      <c r="V1868" s="193"/>
      <c r="W1868" s="193"/>
      <c r="X1868" s="193"/>
      <c r="Y1868" s="193"/>
      <c r="Z1868" s="193"/>
      <c r="AC1868" s="193"/>
      <c r="AD1868" s="193"/>
      <c r="AE1868" s="193"/>
      <c r="AF1868" s="193"/>
    </row>
    <row r="1869" spans="21:32" x14ac:dyDescent="0.3">
      <c r="U1869" s="193"/>
      <c r="V1869" s="193"/>
      <c r="W1869" s="193"/>
      <c r="X1869" s="193"/>
      <c r="Y1869" s="193"/>
      <c r="Z1869" s="193"/>
      <c r="AC1869" s="193"/>
      <c r="AD1869" s="193"/>
      <c r="AE1869" s="193"/>
      <c r="AF1869" s="193"/>
    </row>
    <row r="1870" spans="21:32" x14ac:dyDescent="0.3">
      <c r="U1870" s="193"/>
      <c r="V1870" s="193"/>
      <c r="W1870" s="193"/>
      <c r="X1870" s="193"/>
      <c r="Y1870" s="193"/>
      <c r="Z1870" s="193"/>
      <c r="AC1870" s="193"/>
      <c r="AD1870" s="193"/>
      <c r="AE1870" s="193"/>
      <c r="AF1870" s="193"/>
    </row>
    <row r="1871" spans="21:32" x14ac:dyDescent="0.3">
      <c r="U1871" s="193"/>
      <c r="V1871" s="193"/>
      <c r="W1871" s="193"/>
      <c r="X1871" s="193"/>
      <c r="Y1871" s="193"/>
      <c r="Z1871" s="193"/>
      <c r="AC1871" s="193"/>
      <c r="AD1871" s="193"/>
      <c r="AE1871" s="193"/>
      <c r="AF1871" s="193"/>
    </row>
    <row r="1872" spans="21:32" x14ac:dyDescent="0.3">
      <c r="U1872" s="193"/>
      <c r="V1872" s="193"/>
      <c r="W1872" s="193"/>
      <c r="X1872" s="193"/>
      <c r="Y1872" s="193"/>
      <c r="Z1872" s="193"/>
      <c r="AC1872" s="193"/>
      <c r="AD1872" s="193"/>
      <c r="AE1872" s="193"/>
      <c r="AF1872" s="193"/>
    </row>
    <row r="1873" spans="21:32" x14ac:dyDescent="0.3">
      <c r="U1873" s="193"/>
      <c r="V1873" s="193"/>
      <c r="W1873" s="193"/>
      <c r="X1873" s="193"/>
      <c r="Y1873" s="193"/>
      <c r="Z1873" s="193"/>
      <c r="AC1873" s="193"/>
      <c r="AD1873" s="193"/>
      <c r="AE1873" s="193"/>
      <c r="AF1873" s="193"/>
    </row>
    <row r="1874" spans="21:32" x14ac:dyDescent="0.3">
      <c r="U1874" s="193"/>
      <c r="V1874" s="193"/>
      <c r="W1874" s="193"/>
      <c r="X1874" s="193"/>
      <c r="Y1874" s="193"/>
      <c r="Z1874" s="193"/>
      <c r="AC1874" s="193"/>
      <c r="AD1874" s="193"/>
      <c r="AE1874" s="193"/>
      <c r="AF1874" s="193"/>
    </row>
    <row r="1875" spans="21:32" x14ac:dyDescent="0.3">
      <c r="U1875" s="193"/>
      <c r="V1875" s="193"/>
      <c r="W1875" s="193"/>
      <c r="X1875" s="193"/>
      <c r="Y1875" s="193"/>
      <c r="Z1875" s="193"/>
      <c r="AC1875" s="193"/>
      <c r="AD1875" s="193"/>
      <c r="AE1875" s="193"/>
      <c r="AF1875" s="193"/>
    </row>
    <row r="1876" spans="21:32" x14ac:dyDescent="0.3">
      <c r="U1876" s="193"/>
      <c r="V1876" s="193"/>
      <c r="W1876" s="193"/>
      <c r="X1876" s="193"/>
      <c r="Y1876" s="193"/>
      <c r="Z1876" s="193"/>
      <c r="AC1876" s="193"/>
      <c r="AD1876" s="193"/>
      <c r="AE1876" s="193"/>
      <c r="AF1876" s="193"/>
    </row>
    <row r="1877" spans="21:32" x14ac:dyDescent="0.3">
      <c r="U1877" s="193"/>
      <c r="V1877" s="193"/>
      <c r="W1877" s="193"/>
      <c r="X1877" s="193"/>
      <c r="Y1877" s="193"/>
      <c r="Z1877" s="193"/>
      <c r="AC1877" s="193"/>
      <c r="AD1877" s="193"/>
      <c r="AE1877" s="193"/>
      <c r="AF1877" s="193"/>
    </row>
    <row r="1878" spans="21:32" x14ac:dyDescent="0.3">
      <c r="U1878" s="193"/>
      <c r="V1878" s="193"/>
      <c r="W1878" s="193"/>
      <c r="X1878" s="193"/>
      <c r="Y1878" s="193"/>
      <c r="Z1878" s="193"/>
      <c r="AC1878" s="193"/>
      <c r="AD1878" s="193"/>
      <c r="AE1878" s="193"/>
      <c r="AF1878" s="193"/>
    </row>
    <row r="1879" spans="21:32" x14ac:dyDescent="0.3">
      <c r="U1879" s="193"/>
      <c r="V1879" s="193"/>
      <c r="W1879" s="193"/>
      <c r="X1879" s="193"/>
      <c r="Y1879" s="193"/>
      <c r="Z1879" s="193"/>
      <c r="AC1879" s="193"/>
      <c r="AD1879" s="193"/>
      <c r="AE1879" s="193"/>
      <c r="AF1879" s="193"/>
    </row>
    <row r="1880" spans="21:32" x14ac:dyDescent="0.3">
      <c r="U1880" s="193"/>
      <c r="V1880" s="193"/>
      <c r="W1880" s="193"/>
      <c r="X1880" s="193"/>
      <c r="Y1880" s="193"/>
      <c r="Z1880" s="193"/>
      <c r="AC1880" s="193"/>
      <c r="AD1880" s="193"/>
      <c r="AE1880" s="193"/>
      <c r="AF1880" s="193"/>
    </row>
    <row r="1881" spans="21:32" x14ac:dyDescent="0.3">
      <c r="U1881" s="193"/>
      <c r="V1881" s="193"/>
      <c r="W1881" s="193"/>
      <c r="X1881" s="193"/>
      <c r="Y1881" s="193"/>
      <c r="Z1881" s="193"/>
      <c r="AC1881" s="193"/>
      <c r="AD1881" s="193"/>
      <c r="AE1881" s="193"/>
      <c r="AF1881" s="193"/>
    </row>
    <row r="1882" spans="21:32" x14ac:dyDescent="0.3">
      <c r="U1882" s="193"/>
      <c r="V1882" s="193"/>
      <c r="W1882" s="193"/>
      <c r="X1882" s="193"/>
      <c r="Y1882" s="193"/>
      <c r="Z1882" s="193"/>
      <c r="AC1882" s="193"/>
      <c r="AD1882" s="193"/>
      <c r="AE1882" s="193"/>
      <c r="AF1882" s="193"/>
    </row>
    <row r="1883" spans="21:32" x14ac:dyDescent="0.3">
      <c r="U1883" s="193"/>
      <c r="V1883" s="193"/>
      <c r="W1883" s="193"/>
      <c r="X1883" s="193"/>
      <c r="Y1883" s="193"/>
      <c r="Z1883" s="193"/>
      <c r="AC1883" s="193"/>
      <c r="AD1883" s="193"/>
      <c r="AE1883" s="193"/>
      <c r="AF1883" s="193"/>
    </row>
    <row r="1884" spans="21:32" x14ac:dyDescent="0.3">
      <c r="U1884" s="193"/>
      <c r="V1884" s="193"/>
      <c r="W1884" s="193"/>
      <c r="X1884" s="193"/>
      <c r="Y1884" s="193"/>
      <c r="Z1884" s="193"/>
      <c r="AC1884" s="193"/>
      <c r="AD1884" s="193"/>
      <c r="AE1884" s="193"/>
      <c r="AF1884" s="193"/>
    </row>
    <row r="1885" spans="21:32" x14ac:dyDescent="0.3">
      <c r="U1885" s="193"/>
      <c r="V1885" s="193"/>
      <c r="W1885" s="193"/>
      <c r="X1885" s="193"/>
      <c r="Y1885" s="193"/>
      <c r="Z1885" s="193"/>
      <c r="AC1885" s="193"/>
      <c r="AD1885" s="193"/>
      <c r="AE1885" s="193"/>
      <c r="AF1885" s="193"/>
    </row>
    <row r="1886" spans="21:32" x14ac:dyDescent="0.3">
      <c r="U1886" s="193"/>
      <c r="V1886" s="193"/>
      <c r="W1886" s="193"/>
      <c r="X1886" s="193"/>
      <c r="Y1886" s="193"/>
      <c r="Z1886" s="193"/>
      <c r="AC1886" s="193"/>
      <c r="AD1886" s="193"/>
      <c r="AE1886" s="193"/>
      <c r="AF1886" s="193"/>
    </row>
    <row r="1887" spans="21:32" x14ac:dyDescent="0.3">
      <c r="U1887" s="193"/>
      <c r="V1887" s="193"/>
      <c r="W1887" s="193"/>
      <c r="X1887" s="193"/>
      <c r="Y1887" s="193"/>
      <c r="Z1887" s="193"/>
      <c r="AC1887" s="193"/>
      <c r="AD1887" s="193"/>
      <c r="AE1887" s="193"/>
      <c r="AF1887" s="193"/>
    </row>
    <row r="1888" spans="21:32" x14ac:dyDescent="0.3">
      <c r="U1888" s="193"/>
      <c r="V1888" s="193"/>
      <c r="W1888" s="193"/>
      <c r="X1888" s="193"/>
      <c r="Y1888" s="193"/>
      <c r="Z1888" s="193"/>
      <c r="AC1888" s="193"/>
      <c r="AD1888" s="193"/>
      <c r="AE1888" s="193"/>
      <c r="AF1888" s="193"/>
    </row>
    <row r="1889" spans="21:32" x14ac:dyDescent="0.3">
      <c r="U1889" s="193"/>
      <c r="V1889" s="193"/>
      <c r="W1889" s="193"/>
      <c r="X1889" s="193"/>
      <c r="Y1889" s="193"/>
      <c r="Z1889" s="193"/>
      <c r="AC1889" s="193"/>
      <c r="AD1889" s="193"/>
      <c r="AE1889" s="193"/>
      <c r="AF1889" s="193"/>
    </row>
    <row r="1890" spans="21:32" x14ac:dyDescent="0.3">
      <c r="U1890" s="193"/>
      <c r="V1890" s="193"/>
      <c r="W1890" s="193"/>
      <c r="X1890" s="193"/>
      <c r="Y1890" s="193"/>
      <c r="Z1890" s="193"/>
      <c r="AC1890" s="193"/>
      <c r="AD1890" s="193"/>
      <c r="AE1890" s="193"/>
      <c r="AF1890" s="193"/>
    </row>
    <row r="1891" spans="21:32" x14ac:dyDescent="0.3">
      <c r="U1891" s="193"/>
      <c r="V1891" s="193"/>
      <c r="W1891" s="193"/>
      <c r="X1891" s="193"/>
      <c r="Y1891" s="193"/>
      <c r="Z1891" s="193"/>
      <c r="AC1891" s="193"/>
      <c r="AD1891" s="193"/>
      <c r="AE1891" s="193"/>
      <c r="AF1891" s="193"/>
    </row>
    <row r="1892" spans="21:32" x14ac:dyDescent="0.3">
      <c r="U1892" s="193"/>
      <c r="V1892" s="193"/>
      <c r="W1892" s="193"/>
      <c r="X1892" s="193"/>
      <c r="Y1892" s="193"/>
      <c r="Z1892" s="193"/>
      <c r="AC1892" s="193"/>
      <c r="AD1892" s="193"/>
      <c r="AE1892" s="193"/>
      <c r="AF1892" s="193"/>
    </row>
    <row r="1893" spans="21:32" x14ac:dyDescent="0.3">
      <c r="U1893" s="193"/>
      <c r="V1893" s="193"/>
      <c r="W1893" s="193"/>
      <c r="X1893" s="193"/>
      <c r="Y1893" s="193"/>
      <c r="Z1893" s="193"/>
      <c r="AC1893" s="193"/>
      <c r="AD1893" s="193"/>
      <c r="AE1893" s="193"/>
      <c r="AF1893" s="193"/>
    </row>
    <row r="1894" spans="21:32" x14ac:dyDescent="0.3">
      <c r="U1894" s="193"/>
      <c r="V1894" s="193"/>
      <c r="W1894" s="193"/>
      <c r="X1894" s="193"/>
      <c r="Y1894" s="193"/>
      <c r="Z1894" s="193"/>
      <c r="AC1894" s="193"/>
      <c r="AD1894" s="193"/>
      <c r="AE1894" s="193"/>
      <c r="AF1894" s="193"/>
    </row>
    <row r="1895" spans="21:32" x14ac:dyDescent="0.3">
      <c r="U1895" s="193"/>
      <c r="V1895" s="193"/>
      <c r="W1895" s="193"/>
      <c r="X1895" s="193"/>
      <c r="Y1895" s="193"/>
      <c r="Z1895" s="193"/>
      <c r="AC1895" s="193"/>
      <c r="AD1895" s="193"/>
      <c r="AE1895" s="193"/>
      <c r="AF1895" s="193"/>
    </row>
    <row r="1896" spans="21:32" x14ac:dyDescent="0.3">
      <c r="U1896" s="193"/>
      <c r="V1896" s="193"/>
      <c r="W1896" s="193"/>
      <c r="X1896" s="193"/>
      <c r="Y1896" s="193"/>
      <c r="Z1896" s="193"/>
      <c r="AC1896" s="193"/>
      <c r="AD1896" s="193"/>
      <c r="AE1896" s="193"/>
      <c r="AF1896" s="193"/>
    </row>
    <row r="1897" spans="21:32" x14ac:dyDescent="0.3">
      <c r="U1897" s="193"/>
      <c r="V1897" s="193"/>
      <c r="W1897" s="193"/>
      <c r="X1897" s="193"/>
      <c r="Y1897" s="193"/>
      <c r="Z1897" s="193"/>
      <c r="AC1897" s="193"/>
      <c r="AD1897" s="193"/>
      <c r="AE1897" s="193"/>
      <c r="AF1897" s="193"/>
    </row>
    <row r="1898" spans="21:32" x14ac:dyDescent="0.3">
      <c r="U1898" s="193"/>
      <c r="V1898" s="193"/>
      <c r="W1898" s="193"/>
      <c r="X1898" s="193"/>
      <c r="Y1898" s="193"/>
      <c r="Z1898" s="193"/>
      <c r="AC1898" s="193"/>
      <c r="AD1898" s="193"/>
      <c r="AE1898" s="193"/>
      <c r="AF1898" s="193"/>
    </row>
    <row r="1899" spans="21:32" x14ac:dyDescent="0.3">
      <c r="U1899" s="193"/>
      <c r="V1899" s="193"/>
      <c r="W1899" s="193"/>
      <c r="X1899" s="193"/>
      <c r="Y1899" s="193"/>
      <c r="Z1899" s="193"/>
      <c r="AC1899" s="193"/>
      <c r="AD1899" s="193"/>
      <c r="AE1899" s="193"/>
      <c r="AF1899" s="193"/>
    </row>
    <row r="1900" spans="21:32" x14ac:dyDescent="0.3">
      <c r="U1900" s="193"/>
      <c r="V1900" s="193"/>
      <c r="W1900" s="193"/>
      <c r="X1900" s="193"/>
      <c r="Y1900" s="193"/>
      <c r="Z1900" s="193"/>
      <c r="AC1900" s="193"/>
      <c r="AD1900" s="193"/>
      <c r="AE1900" s="193"/>
      <c r="AF1900" s="193"/>
    </row>
    <row r="1901" spans="21:32" x14ac:dyDescent="0.3">
      <c r="U1901" s="193"/>
      <c r="V1901" s="193"/>
      <c r="W1901" s="193"/>
      <c r="X1901" s="193"/>
      <c r="Y1901" s="193"/>
      <c r="Z1901" s="193"/>
      <c r="AC1901" s="193"/>
      <c r="AD1901" s="193"/>
      <c r="AE1901" s="193"/>
      <c r="AF1901" s="193"/>
    </row>
    <row r="1902" spans="21:32" x14ac:dyDescent="0.3">
      <c r="U1902" s="193"/>
      <c r="V1902" s="193"/>
      <c r="W1902" s="193"/>
      <c r="X1902" s="193"/>
      <c r="Y1902" s="193"/>
      <c r="Z1902" s="193"/>
      <c r="AC1902" s="193"/>
      <c r="AD1902" s="193"/>
      <c r="AE1902" s="193"/>
      <c r="AF1902" s="193"/>
    </row>
    <row r="1903" spans="21:32" x14ac:dyDescent="0.3">
      <c r="U1903" s="193"/>
      <c r="V1903" s="193"/>
      <c r="W1903" s="193"/>
      <c r="X1903" s="193"/>
      <c r="Y1903" s="193"/>
      <c r="Z1903" s="193"/>
      <c r="AC1903" s="193"/>
      <c r="AD1903" s="193"/>
      <c r="AE1903" s="193"/>
      <c r="AF1903" s="193"/>
    </row>
    <row r="1904" spans="21:32" x14ac:dyDescent="0.3">
      <c r="U1904" s="193"/>
      <c r="V1904" s="193"/>
      <c r="W1904" s="193"/>
      <c r="X1904" s="193"/>
      <c r="Y1904" s="193"/>
      <c r="Z1904" s="193"/>
      <c r="AC1904" s="193"/>
      <c r="AD1904" s="193"/>
      <c r="AE1904" s="193"/>
      <c r="AF1904" s="193"/>
    </row>
    <row r="1905" spans="21:32" x14ac:dyDescent="0.3">
      <c r="U1905" s="193"/>
      <c r="V1905" s="193"/>
      <c r="W1905" s="193"/>
      <c r="X1905" s="193"/>
      <c r="Y1905" s="193"/>
      <c r="Z1905" s="193"/>
      <c r="AC1905" s="193"/>
      <c r="AD1905" s="193"/>
      <c r="AE1905" s="193"/>
      <c r="AF1905" s="193"/>
    </row>
    <row r="1906" spans="21:32" x14ac:dyDescent="0.3">
      <c r="U1906" s="193"/>
      <c r="V1906" s="193"/>
      <c r="W1906" s="193"/>
      <c r="X1906" s="193"/>
      <c r="Y1906" s="193"/>
      <c r="Z1906" s="193"/>
      <c r="AC1906" s="193"/>
      <c r="AD1906" s="193"/>
      <c r="AE1906" s="193"/>
      <c r="AF1906" s="193"/>
    </row>
    <row r="1907" spans="21:32" x14ac:dyDescent="0.3">
      <c r="U1907" s="193"/>
      <c r="V1907" s="193"/>
      <c r="W1907" s="193"/>
      <c r="X1907" s="193"/>
      <c r="Y1907" s="193"/>
      <c r="Z1907" s="193"/>
      <c r="AC1907" s="193"/>
      <c r="AD1907" s="193"/>
      <c r="AE1907" s="193"/>
      <c r="AF1907" s="193"/>
    </row>
    <row r="1908" spans="21:32" x14ac:dyDescent="0.3">
      <c r="U1908" s="193"/>
      <c r="V1908" s="193"/>
      <c r="W1908" s="193"/>
      <c r="X1908" s="193"/>
      <c r="Y1908" s="193"/>
      <c r="Z1908" s="193"/>
      <c r="AC1908" s="193"/>
      <c r="AD1908" s="193"/>
      <c r="AE1908" s="193"/>
      <c r="AF1908" s="193"/>
    </row>
    <row r="1909" spans="21:32" x14ac:dyDescent="0.3">
      <c r="U1909" s="193"/>
      <c r="V1909" s="193"/>
      <c r="W1909" s="193"/>
      <c r="X1909" s="193"/>
      <c r="Y1909" s="193"/>
      <c r="Z1909" s="193"/>
      <c r="AC1909" s="193"/>
      <c r="AD1909" s="193"/>
      <c r="AE1909" s="193"/>
      <c r="AF1909" s="193"/>
    </row>
    <row r="1910" spans="21:32" x14ac:dyDescent="0.3">
      <c r="U1910" s="193"/>
      <c r="V1910" s="193"/>
      <c r="W1910" s="193"/>
      <c r="X1910" s="193"/>
      <c r="Y1910" s="193"/>
      <c r="Z1910" s="193"/>
      <c r="AC1910" s="193"/>
      <c r="AD1910" s="193"/>
      <c r="AE1910" s="193"/>
      <c r="AF1910" s="193"/>
    </row>
    <row r="1911" spans="21:32" x14ac:dyDescent="0.3">
      <c r="U1911" s="193"/>
      <c r="V1911" s="193"/>
      <c r="W1911" s="193"/>
      <c r="X1911" s="193"/>
      <c r="Y1911" s="193"/>
      <c r="Z1911" s="193"/>
      <c r="AC1911" s="193"/>
      <c r="AD1911" s="193"/>
      <c r="AE1911" s="193"/>
      <c r="AF1911" s="193"/>
    </row>
    <row r="1912" spans="21:32" x14ac:dyDescent="0.3">
      <c r="U1912" s="193"/>
      <c r="V1912" s="193"/>
      <c r="W1912" s="193"/>
      <c r="X1912" s="193"/>
      <c r="Y1912" s="193"/>
      <c r="Z1912" s="193"/>
      <c r="AC1912" s="193"/>
      <c r="AD1912" s="193"/>
      <c r="AE1912" s="193"/>
      <c r="AF1912" s="193"/>
    </row>
    <row r="1913" spans="21:32" x14ac:dyDescent="0.3">
      <c r="U1913" s="193"/>
      <c r="V1913" s="193"/>
      <c r="W1913" s="193"/>
      <c r="X1913" s="193"/>
      <c r="Y1913" s="193"/>
      <c r="Z1913" s="193"/>
      <c r="AC1913" s="193"/>
      <c r="AD1913" s="193"/>
      <c r="AE1913" s="193"/>
      <c r="AF1913" s="193"/>
    </row>
    <row r="1914" spans="21:32" x14ac:dyDescent="0.3">
      <c r="U1914" s="193"/>
      <c r="V1914" s="193"/>
      <c r="W1914" s="193"/>
      <c r="X1914" s="193"/>
      <c r="Y1914" s="193"/>
      <c r="Z1914" s="193"/>
      <c r="AC1914" s="193"/>
      <c r="AD1914" s="193"/>
      <c r="AE1914" s="193"/>
      <c r="AF1914" s="193"/>
    </row>
    <row r="1915" spans="21:32" x14ac:dyDescent="0.3">
      <c r="U1915" s="193"/>
      <c r="V1915" s="193"/>
      <c r="W1915" s="193"/>
      <c r="X1915" s="193"/>
      <c r="Y1915" s="193"/>
      <c r="Z1915" s="193"/>
      <c r="AC1915" s="193"/>
      <c r="AD1915" s="193"/>
      <c r="AE1915" s="193"/>
      <c r="AF1915" s="193"/>
    </row>
    <row r="1916" spans="21:32" x14ac:dyDescent="0.3">
      <c r="U1916" s="193"/>
      <c r="V1916" s="193"/>
      <c r="W1916" s="193"/>
      <c r="X1916" s="193"/>
      <c r="Y1916" s="193"/>
      <c r="Z1916" s="193"/>
      <c r="AC1916" s="193"/>
      <c r="AD1916" s="193"/>
      <c r="AE1916" s="193"/>
      <c r="AF1916" s="193"/>
    </row>
    <row r="1917" spans="21:32" x14ac:dyDescent="0.3">
      <c r="U1917" s="193"/>
      <c r="V1917" s="193"/>
      <c r="W1917" s="193"/>
      <c r="X1917" s="193"/>
      <c r="Y1917" s="193"/>
      <c r="Z1917" s="193"/>
      <c r="AC1917" s="193"/>
      <c r="AD1917" s="193"/>
      <c r="AE1917" s="193"/>
      <c r="AF1917" s="193"/>
    </row>
    <row r="1918" spans="21:32" x14ac:dyDescent="0.3">
      <c r="U1918" s="193"/>
      <c r="V1918" s="193"/>
      <c r="W1918" s="193"/>
      <c r="X1918" s="193"/>
      <c r="Y1918" s="193"/>
      <c r="Z1918" s="193"/>
      <c r="AC1918" s="193"/>
      <c r="AD1918" s="193"/>
      <c r="AE1918" s="193"/>
      <c r="AF1918" s="193"/>
    </row>
    <row r="1919" spans="21:32" x14ac:dyDescent="0.3">
      <c r="U1919" s="193"/>
      <c r="V1919" s="193"/>
      <c r="W1919" s="193"/>
      <c r="X1919" s="193"/>
      <c r="Y1919" s="193"/>
      <c r="Z1919" s="193"/>
      <c r="AC1919" s="193"/>
      <c r="AD1919" s="193"/>
      <c r="AE1919" s="193"/>
      <c r="AF1919" s="193"/>
    </row>
    <row r="1920" spans="21:32" x14ac:dyDescent="0.3">
      <c r="U1920" s="193"/>
      <c r="V1920" s="193"/>
      <c r="W1920" s="193"/>
      <c r="X1920" s="193"/>
      <c r="Y1920" s="193"/>
      <c r="Z1920" s="193"/>
      <c r="AC1920" s="193"/>
      <c r="AD1920" s="193"/>
      <c r="AE1920" s="193"/>
      <c r="AF1920" s="193"/>
    </row>
    <row r="1921" spans="21:32" x14ac:dyDescent="0.3">
      <c r="U1921" s="193"/>
      <c r="V1921" s="193"/>
      <c r="W1921" s="193"/>
      <c r="X1921" s="193"/>
      <c r="Y1921" s="193"/>
      <c r="Z1921" s="193"/>
      <c r="AC1921" s="193"/>
      <c r="AD1921" s="193"/>
      <c r="AE1921" s="193"/>
      <c r="AF1921" s="193"/>
    </row>
    <row r="1922" spans="21:32" x14ac:dyDescent="0.3">
      <c r="U1922" s="193"/>
      <c r="V1922" s="193"/>
      <c r="W1922" s="193"/>
      <c r="X1922" s="193"/>
      <c r="Y1922" s="193"/>
      <c r="Z1922" s="193"/>
      <c r="AC1922" s="193"/>
      <c r="AD1922" s="193"/>
      <c r="AE1922" s="193"/>
      <c r="AF1922" s="193"/>
    </row>
    <row r="1923" spans="21:32" x14ac:dyDescent="0.3">
      <c r="U1923" s="193"/>
      <c r="V1923" s="193"/>
      <c r="W1923" s="193"/>
      <c r="X1923" s="193"/>
      <c r="Y1923" s="193"/>
      <c r="Z1923" s="193"/>
      <c r="AC1923" s="193"/>
      <c r="AD1923" s="193"/>
      <c r="AE1923" s="193"/>
      <c r="AF1923" s="193"/>
    </row>
    <row r="1924" spans="21:32" x14ac:dyDescent="0.3">
      <c r="U1924" s="193"/>
      <c r="V1924" s="193"/>
      <c r="W1924" s="193"/>
      <c r="X1924" s="193"/>
      <c r="Y1924" s="193"/>
      <c r="Z1924" s="193"/>
      <c r="AC1924" s="193"/>
      <c r="AD1924" s="193"/>
      <c r="AE1924" s="193"/>
      <c r="AF1924" s="193"/>
    </row>
    <row r="1925" spans="21:32" x14ac:dyDescent="0.3">
      <c r="U1925" s="193"/>
      <c r="V1925" s="193"/>
      <c r="W1925" s="193"/>
      <c r="X1925" s="193"/>
      <c r="Y1925" s="193"/>
      <c r="Z1925" s="193"/>
      <c r="AC1925" s="193"/>
      <c r="AD1925" s="193"/>
      <c r="AE1925" s="193"/>
      <c r="AF1925" s="193"/>
    </row>
    <row r="1926" spans="21:32" x14ac:dyDescent="0.3">
      <c r="U1926" s="193"/>
      <c r="V1926" s="193"/>
      <c r="W1926" s="193"/>
      <c r="X1926" s="193"/>
      <c r="Y1926" s="193"/>
      <c r="Z1926" s="193"/>
      <c r="AC1926" s="193"/>
      <c r="AD1926" s="193"/>
      <c r="AE1926" s="193"/>
      <c r="AF1926" s="193"/>
    </row>
    <row r="1927" spans="21:32" x14ac:dyDescent="0.3">
      <c r="U1927" s="193"/>
      <c r="V1927" s="193"/>
      <c r="W1927" s="193"/>
      <c r="X1927" s="193"/>
      <c r="Y1927" s="193"/>
      <c r="Z1927" s="193"/>
      <c r="AC1927" s="193"/>
      <c r="AD1927" s="193"/>
      <c r="AE1927" s="193"/>
      <c r="AF1927" s="193"/>
    </row>
    <row r="1928" spans="21:32" x14ac:dyDescent="0.3">
      <c r="U1928" s="193"/>
      <c r="V1928" s="193"/>
      <c r="W1928" s="193"/>
      <c r="X1928" s="193"/>
      <c r="Y1928" s="193"/>
      <c r="Z1928" s="193"/>
      <c r="AC1928" s="193"/>
      <c r="AD1928" s="193"/>
      <c r="AE1928" s="193"/>
      <c r="AF1928" s="193"/>
    </row>
    <row r="1929" spans="21:32" x14ac:dyDescent="0.3">
      <c r="U1929" s="193"/>
      <c r="V1929" s="193"/>
      <c r="W1929" s="193"/>
      <c r="X1929" s="193"/>
      <c r="Y1929" s="193"/>
      <c r="Z1929" s="193"/>
      <c r="AC1929" s="193"/>
      <c r="AD1929" s="193"/>
      <c r="AE1929" s="193"/>
      <c r="AF1929" s="193"/>
    </row>
    <row r="1930" spans="21:32" x14ac:dyDescent="0.3">
      <c r="U1930" s="193"/>
      <c r="V1930" s="193"/>
      <c r="W1930" s="193"/>
      <c r="X1930" s="193"/>
      <c r="Y1930" s="193"/>
      <c r="Z1930" s="193"/>
      <c r="AC1930" s="193"/>
      <c r="AD1930" s="193"/>
      <c r="AE1930" s="193"/>
      <c r="AF1930" s="193"/>
    </row>
    <row r="1931" spans="21:32" x14ac:dyDescent="0.3">
      <c r="U1931" s="193"/>
      <c r="V1931" s="193"/>
      <c r="W1931" s="193"/>
      <c r="X1931" s="193"/>
      <c r="Y1931" s="193"/>
      <c r="Z1931" s="193"/>
      <c r="AC1931" s="193"/>
      <c r="AD1931" s="193"/>
      <c r="AE1931" s="193"/>
      <c r="AF1931" s="193"/>
    </row>
    <row r="1932" spans="21:32" x14ac:dyDescent="0.3">
      <c r="U1932" s="193"/>
      <c r="V1932" s="193"/>
      <c r="W1932" s="193"/>
      <c r="X1932" s="193"/>
      <c r="Y1932" s="193"/>
      <c r="Z1932" s="193"/>
      <c r="AC1932" s="193"/>
      <c r="AD1932" s="193"/>
      <c r="AE1932" s="193"/>
      <c r="AF1932" s="193"/>
    </row>
    <row r="1933" spans="21:32" x14ac:dyDescent="0.3">
      <c r="U1933" s="193"/>
      <c r="V1933" s="193"/>
      <c r="W1933" s="193"/>
      <c r="X1933" s="193"/>
      <c r="Y1933" s="193"/>
      <c r="Z1933" s="193"/>
      <c r="AC1933" s="193"/>
      <c r="AD1933" s="193"/>
      <c r="AE1933" s="193"/>
      <c r="AF1933" s="193"/>
    </row>
    <row r="1934" spans="21:32" x14ac:dyDescent="0.3">
      <c r="U1934" s="193"/>
      <c r="V1934" s="193"/>
      <c r="W1934" s="193"/>
      <c r="X1934" s="193"/>
      <c r="Y1934" s="193"/>
      <c r="Z1934" s="193"/>
      <c r="AC1934" s="193"/>
      <c r="AD1934" s="193"/>
      <c r="AE1934" s="193"/>
      <c r="AF1934" s="193"/>
    </row>
    <row r="1935" spans="21:32" x14ac:dyDescent="0.3">
      <c r="U1935" s="193"/>
      <c r="V1935" s="193"/>
      <c r="W1935" s="193"/>
      <c r="X1935" s="193"/>
      <c r="Y1935" s="193"/>
      <c r="Z1935" s="193"/>
      <c r="AC1935" s="193"/>
      <c r="AD1935" s="193"/>
      <c r="AE1935" s="193"/>
      <c r="AF1935" s="193"/>
    </row>
    <row r="1936" spans="21:32" x14ac:dyDescent="0.3">
      <c r="U1936" s="193"/>
      <c r="V1936" s="193"/>
      <c r="W1936" s="193"/>
      <c r="X1936" s="193"/>
      <c r="Y1936" s="193"/>
      <c r="Z1936" s="193"/>
      <c r="AC1936" s="193"/>
      <c r="AD1936" s="193"/>
      <c r="AE1936" s="193"/>
      <c r="AF1936" s="193"/>
    </row>
    <row r="1937" spans="21:32" x14ac:dyDescent="0.3">
      <c r="U1937" s="193"/>
      <c r="V1937" s="193"/>
      <c r="W1937" s="193"/>
      <c r="X1937" s="193"/>
      <c r="Y1937" s="193"/>
      <c r="Z1937" s="193"/>
      <c r="AC1937" s="193"/>
      <c r="AD1937" s="193"/>
      <c r="AE1937" s="193"/>
      <c r="AF1937" s="193"/>
    </row>
    <row r="1938" spans="21:32" x14ac:dyDescent="0.3">
      <c r="U1938" s="193"/>
      <c r="V1938" s="193"/>
      <c r="W1938" s="193"/>
      <c r="X1938" s="193"/>
      <c r="Y1938" s="193"/>
      <c r="Z1938" s="193"/>
      <c r="AC1938" s="193"/>
      <c r="AD1938" s="193"/>
      <c r="AE1938" s="193"/>
      <c r="AF1938" s="193"/>
    </row>
    <row r="1939" spans="21:32" x14ac:dyDescent="0.3">
      <c r="U1939" s="193"/>
      <c r="V1939" s="193"/>
      <c r="W1939" s="193"/>
      <c r="X1939" s="193"/>
      <c r="Y1939" s="193"/>
      <c r="Z1939" s="193"/>
      <c r="AC1939" s="193"/>
      <c r="AD1939" s="193"/>
      <c r="AE1939" s="193"/>
      <c r="AF1939" s="193"/>
    </row>
    <row r="1940" spans="21:32" x14ac:dyDescent="0.3">
      <c r="U1940" s="193"/>
      <c r="V1940" s="193"/>
      <c r="W1940" s="193"/>
      <c r="X1940" s="193"/>
      <c r="Y1940" s="193"/>
      <c r="Z1940" s="193"/>
      <c r="AC1940" s="193"/>
      <c r="AD1940" s="193"/>
      <c r="AE1940" s="193"/>
      <c r="AF1940" s="193"/>
    </row>
    <row r="1941" spans="21:32" x14ac:dyDescent="0.3">
      <c r="U1941" s="193"/>
      <c r="V1941" s="193"/>
      <c r="W1941" s="193"/>
      <c r="X1941" s="193"/>
      <c r="Y1941" s="193"/>
      <c r="Z1941" s="193"/>
      <c r="AC1941" s="193"/>
      <c r="AD1941" s="193"/>
      <c r="AE1941" s="193"/>
      <c r="AF1941" s="193"/>
    </row>
    <row r="1942" spans="21:32" x14ac:dyDescent="0.3">
      <c r="U1942" s="193"/>
      <c r="V1942" s="193"/>
      <c r="W1942" s="193"/>
      <c r="X1942" s="193"/>
      <c r="Y1942" s="193"/>
      <c r="Z1942" s="193"/>
      <c r="AC1942" s="193"/>
      <c r="AD1942" s="193"/>
      <c r="AE1942" s="193"/>
      <c r="AF1942" s="193"/>
    </row>
    <row r="1943" spans="21:32" x14ac:dyDescent="0.3">
      <c r="U1943" s="193"/>
      <c r="V1943" s="193"/>
      <c r="W1943" s="193"/>
      <c r="X1943" s="193"/>
      <c r="Y1943" s="193"/>
      <c r="Z1943" s="193"/>
      <c r="AC1943" s="193"/>
      <c r="AD1943" s="193"/>
      <c r="AE1943" s="193"/>
      <c r="AF1943" s="193"/>
    </row>
    <row r="1944" spans="21:32" x14ac:dyDescent="0.3">
      <c r="U1944" s="193"/>
      <c r="V1944" s="193"/>
      <c r="W1944" s="193"/>
      <c r="X1944" s="193"/>
      <c r="Y1944" s="193"/>
      <c r="Z1944" s="193"/>
      <c r="AC1944" s="193"/>
      <c r="AD1944" s="193"/>
      <c r="AE1944" s="193"/>
      <c r="AF1944" s="193"/>
    </row>
    <row r="1945" spans="21:32" x14ac:dyDescent="0.3">
      <c r="U1945" s="193"/>
      <c r="V1945" s="193"/>
      <c r="W1945" s="193"/>
      <c r="X1945" s="193"/>
      <c r="Y1945" s="193"/>
      <c r="Z1945" s="193"/>
      <c r="AC1945" s="193"/>
      <c r="AD1945" s="193"/>
      <c r="AE1945" s="193"/>
      <c r="AF1945" s="193"/>
    </row>
    <row r="1946" spans="21:32" x14ac:dyDescent="0.3">
      <c r="U1946" s="193"/>
      <c r="V1946" s="193"/>
      <c r="W1946" s="193"/>
      <c r="X1946" s="193"/>
      <c r="Y1946" s="193"/>
      <c r="Z1946" s="193"/>
      <c r="AC1946" s="193"/>
      <c r="AD1946" s="193"/>
      <c r="AE1946" s="193"/>
      <c r="AF1946" s="193"/>
    </row>
    <row r="1947" spans="21:32" x14ac:dyDescent="0.3">
      <c r="U1947" s="193"/>
      <c r="V1947" s="193"/>
      <c r="W1947" s="193"/>
      <c r="X1947" s="193"/>
      <c r="Y1947" s="193"/>
      <c r="Z1947" s="193"/>
      <c r="AC1947" s="193"/>
      <c r="AD1947" s="193"/>
      <c r="AE1947" s="193"/>
      <c r="AF1947" s="193"/>
    </row>
    <row r="1948" spans="21:32" x14ac:dyDescent="0.3">
      <c r="U1948" s="193"/>
      <c r="V1948" s="193"/>
      <c r="W1948" s="193"/>
      <c r="X1948" s="193"/>
      <c r="Y1948" s="193"/>
      <c r="Z1948" s="193"/>
      <c r="AC1948" s="193"/>
      <c r="AD1948" s="193"/>
      <c r="AE1948" s="193"/>
      <c r="AF1948" s="193"/>
    </row>
    <row r="1949" spans="21:32" x14ac:dyDescent="0.3">
      <c r="U1949" s="193"/>
      <c r="V1949" s="193"/>
      <c r="W1949" s="193"/>
      <c r="X1949" s="193"/>
      <c r="Y1949" s="193"/>
      <c r="Z1949" s="193"/>
      <c r="AC1949" s="193"/>
      <c r="AD1949" s="193"/>
      <c r="AE1949" s="193"/>
      <c r="AF1949" s="193"/>
    </row>
    <row r="1950" spans="21:32" x14ac:dyDescent="0.3">
      <c r="U1950" s="193"/>
      <c r="V1950" s="193"/>
      <c r="W1950" s="193"/>
      <c r="X1950" s="193"/>
      <c r="Y1950" s="193"/>
      <c r="Z1950" s="193"/>
      <c r="AC1950" s="193"/>
      <c r="AD1950" s="193"/>
      <c r="AE1950" s="193"/>
      <c r="AF1950" s="193"/>
    </row>
    <row r="1951" spans="21:32" x14ac:dyDescent="0.3">
      <c r="U1951" s="193"/>
      <c r="V1951" s="193"/>
      <c r="W1951" s="193"/>
      <c r="X1951" s="193"/>
      <c r="Y1951" s="193"/>
      <c r="Z1951" s="193"/>
      <c r="AC1951" s="193"/>
      <c r="AD1951" s="193"/>
      <c r="AE1951" s="193"/>
      <c r="AF1951" s="193"/>
    </row>
    <row r="1952" spans="21:32" x14ac:dyDescent="0.3">
      <c r="U1952" s="193"/>
      <c r="V1952" s="193"/>
      <c r="W1952" s="193"/>
      <c r="X1952" s="193"/>
      <c r="Y1952" s="193"/>
      <c r="Z1952" s="193"/>
      <c r="AC1952" s="193"/>
      <c r="AD1952" s="193"/>
      <c r="AE1952" s="193"/>
      <c r="AF1952" s="193"/>
    </row>
    <row r="1953" spans="21:32" x14ac:dyDescent="0.3">
      <c r="U1953" s="193"/>
      <c r="V1953" s="193"/>
      <c r="W1953" s="193"/>
      <c r="X1953" s="193"/>
      <c r="Y1953" s="193"/>
      <c r="Z1953" s="193"/>
      <c r="AC1953" s="193"/>
      <c r="AD1953" s="193"/>
      <c r="AE1953" s="193"/>
      <c r="AF1953" s="193"/>
    </row>
    <row r="1954" spans="21:32" x14ac:dyDescent="0.3">
      <c r="U1954" s="193"/>
      <c r="V1954" s="193"/>
      <c r="W1954" s="193"/>
      <c r="X1954" s="193"/>
      <c r="Y1954" s="193"/>
      <c r="Z1954" s="193"/>
      <c r="AC1954" s="193"/>
      <c r="AD1954" s="193"/>
      <c r="AE1954" s="193"/>
      <c r="AF1954" s="193"/>
    </row>
    <row r="1955" spans="21:32" x14ac:dyDescent="0.3">
      <c r="U1955" s="193"/>
      <c r="V1955" s="193"/>
      <c r="W1955" s="193"/>
      <c r="X1955" s="193"/>
      <c r="Y1955" s="193"/>
      <c r="Z1955" s="193"/>
      <c r="AC1955" s="193"/>
      <c r="AD1955" s="193"/>
      <c r="AE1955" s="193"/>
      <c r="AF1955" s="193"/>
    </row>
    <row r="1956" spans="21:32" x14ac:dyDescent="0.3">
      <c r="U1956" s="193"/>
      <c r="V1956" s="193"/>
      <c r="W1956" s="193"/>
      <c r="X1956" s="193"/>
      <c r="Y1956" s="193"/>
      <c r="Z1956" s="193"/>
      <c r="AC1956" s="193"/>
      <c r="AD1956" s="193"/>
      <c r="AE1956" s="193"/>
      <c r="AF1956" s="193"/>
    </row>
    <row r="1957" spans="21:32" x14ac:dyDescent="0.3">
      <c r="U1957" s="193"/>
      <c r="V1957" s="193"/>
      <c r="W1957" s="193"/>
      <c r="X1957" s="193"/>
      <c r="Y1957" s="193"/>
      <c r="Z1957" s="193"/>
      <c r="AC1957" s="193"/>
      <c r="AD1957" s="193"/>
      <c r="AE1957" s="193"/>
      <c r="AF1957" s="193"/>
    </row>
    <row r="1958" spans="21:32" x14ac:dyDescent="0.3">
      <c r="U1958" s="193"/>
      <c r="V1958" s="193"/>
      <c r="W1958" s="193"/>
      <c r="X1958" s="193"/>
      <c r="Y1958" s="193"/>
      <c r="Z1958" s="193"/>
      <c r="AC1958" s="193"/>
      <c r="AD1958" s="193"/>
      <c r="AE1958" s="193"/>
      <c r="AF1958" s="193"/>
    </row>
    <row r="1959" spans="21:32" x14ac:dyDescent="0.3">
      <c r="U1959" s="193"/>
      <c r="V1959" s="193"/>
      <c r="W1959" s="193"/>
      <c r="X1959" s="193"/>
      <c r="Y1959" s="193"/>
      <c r="Z1959" s="193"/>
      <c r="AC1959" s="193"/>
      <c r="AD1959" s="193"/>
      <c r="AE1959" s="193"/>
      <c r="AF1959" s="193"/>
    </row>
    <row r="1960" spans="21:32" x14ac:dyDescent="0.3">
      <c r="U1960" s="193"/>
      <c r="V1960" s="193"/>
      <c r="W1960" s="193"/>
      <c r="X1960" s="193"/>
      <c r="Y1960" s="193"/>
      <c r="Z1960" s="193"/>
      <c r="AC1960" s="193"/>
      <c r="AD1960" s="193"/>
      <c r="AE1960" s="193"/>
      <c r="AF1960" s="193"/>
    </row>
    <row r="1961" spans="21:32" x14ac:dyDescent="0.3">
      <c r="U1961" s="193"/>
      <c r="V1961" s="193"/>
      <c r="W1961" s="193"/>
      <c r="X1961" s="193"/>
      <c r="Y1961" s="193"/>
      <c r="Z1961" s="193"/>
      <c r="AC1961" s="193"/>
      <c r="AD1961" s="193"/>
      <c r="AE1961" s="193"/>
      <c r="AF1961" s="193"/>
    </row>
    <row r="1962" spans="21:32" x14ac:dyDescent="0.3">
      <c r="U1962" s="193"/>
      <c r="V1962" s="193"/>
      <c r="W1962" s="193"/>
      <c r="X1962" s="193"/>
      <c r="Y1962" s="193"/>
      <c r="Z1962" s="193"/>
      <c r="AC1962" s="193"/>
      <c r="AD1962" s="193"/>
      <c r="AE1962" s="193"/>
      <c r="AF1962" s="193"/>
    </row>
    <row r="1963" spans="21:32" x14ac:dyDescent="0.3">
      <c r="U1963" s="193"/>
      <c r="V1963" s="193"/>
      <c r="W1963" s="193"/>
      <c r="X1963" s="193"/>
      <c r="Y1963" s="193"/>
      <c r="Z1963" s="193"/>
      <c r="AC1963" s="193"/>
      <c r="AD1963" s="193"/>
      <c r="AE1963" s="193"/>
      <c r="AF1963" s="193"/>
    </row>
    <row r="1964" spans="21:32" x14ac:dyDescent="0.3">
      <c r="U1964" s="193"/>
      <c r="V1964" s="193"/>
      <c r="W1964" s="193"/>
      <c r="X1964" s="193"/>
      <c r="Y1964" s="193"/>
      <c r="Z1964" s="193"/>
      <c r="AC1964" s="193"/>
      <c r="AD1964" s="193"/>
      <c r="AE1964" s="193"/>
      <c r="AF1964" s="193"/>
    </row>
    <row r="1965" spans="21:32" x14ac:dyDescent="0.3">
      <c r="U1965" s="193"/>
      <c r="V1965" s="193"/>
      <c r="W1965" s="193"/>
      <c r="X1965" s="193"/>
      <c r="Y1965" s="193"/>
      <c r="Z1965" s="193"/>
      <c r="AC1965" s="193"/>
      <c r="AD1965" s="193"/>
      <c r="AE1965" s="193"/>
      <c r="AF1965" s="193"/>
    </row>
    <row r="1966" spans="21:32" x14ac:dyDescent="0.3">
      <c r="U1966" s="193"/>
      <c r="V1966" s="193"/>
      <c r="W1966" s="193"/>
      <c r="X1966" s="193"/>
      <c r="Y1966" s="193"/>
      <c r="Z1966" s="193"/>
      <c r="AC1966" s="193"/>
      <c r="AD1966" s="193"/>
      <c r="AE1966" s="193"/>
      <c r="AF1966" s="193"/>
    </row>
    <row r="1967" spans="21:32" x14ac:dyDescent="0.3">
      <c r="U1967" s="193"/>
      <c r="V1967" s="193"/>
      <c r="W1967" s="193"/>
      <c r="X1967" s="193"/>
      <c r="Y1967" s="193"/>
      <c r="Z1967" s="193"/>
      <c r="AC1967" s="193"/>
      <c r="AD1967" s="193"/>
      <c r="AE1967" s="193"/>
      <c r="AF1967" s="193"/>
    </row>
    <row r="1968" spans="21:32" x14ac:dyDescent="0.3">
      <c r="U1968" s="193"/>
      <c r="V1968" s="193"/>
      <c r="W1968" s="193"/>
      <c r="X1968" s="193"/>
      <c r="Y1968" s="193"/>
      <c r="Z1968" s="193"/>
      <c r="AC1968" s="193"/>
      <c r="AD1968" s="193"/>
      <c r="AE1968" s="193"/>
      <c r="AF1968" s="193"/>
    </row>
    <row r="1969" spans="21:32" x14ac:dyDescent="0.3">
      <c r="U1969" s="193"/>
      <c r="V1969" s="193"/>
      <c r="W1969" s="193"/>
      <c r="X1969" s="193"/>
      <c r="Y1969" s="193"/>
      <c r="Z1969" s="193"/>
      <c r="AC1969" s="193"/>
      <c r="AD1969" s="193"/>
      <c r="AE1969" s="193"/>
      <c r="AF1969" s="193"/>
    </row>
    <row r="1970" spans="21:32" x14ac:dyDescent="0.3">
      <c r="U1970" s="193"/>
      <c r="V1970" s="193"/>
      <c r="W1970" s="193"/>
      <c r="X1970" s="193"/>
      <c r="Y1970" s="193"/>
      <c r="Z1970" s="193"/>
      <c r="AC1970" s="193"/>
      <c r="AD1970" s="193"/>
      <c r="AE1970" s="193"/>
      <c r="AF1970" s="193"/>
    </row>
    <row r="1971" spans="21:32" x14ac:dyDescent="0.3">
      <c r="U1971" s="193"/>
      <c r="V1971" s="193"/>
      <c r="W1971" s="193"/>
      <c r="X1971" s="193"/>
      <c r="Y1971" s="193"/>
      <c r="Z1971" s="193"/>
      <c r="AC1971" s="193"/>
      <c r="AD1971" s="193"/>
      <c r="AE1971" s="193"/>
      <c r="AF1971" s="193"/>
    </row>
    <row r="1972" spans="21:32" x14ac:dyDescent="0.3">
      <c r="U1972" s="193"/>
      <c r="V1972" s="193"/>
      <c r="W1972" s="193"/>
      <c r="X1972" s="193"/>
      <c r="Y1972" s="193"/>
      <c r="Z1972" s="193"/>
      <c r="AC1972" s="193"/>
      <c r="AD1972" s="193"/>
      <c r="AE1972" s="193"/>
      <c r="AF1972" s="193"/>
    </row>
    <row r="1973" spans="21:32" x14ac:dyDescent="0.3">
      <c r="U1973" s="193"/>
      <c r="V1973" s="193"/>
      <c r="W1973" s="193"/>
      <c r="X1973" s="193"/>
      <c r="Y1973" s="193"/>
      <c r="Z1973" s="193"/>
      <c r="AC1973" s="193"/>
      <c r="AD1973" s="193"/>
      <c r="AE1973" s="193"/>
      <c r="AF1973" s="193"/>
    </row>
    <row r="1974" spans="21:32" x14ac:dyDescent="0.3">
      <c r="U1974" s="193"/>
      <c r="V1974" s="193"/>
      <c r="W1974" s="193"/>
      <c r="X1974" s="193"/>
      <c r="Y1974" s="193"/>
      <c r="Z1974" s="193"/>
      <c r="AC1974" s="193"/>
      <c r="AD1974" s="193"/>
      <c r="AE1974" s="193"/>
      <c r="AF1974" s="193"/>
    </row>
    <row r="1975" spans="21:32" x14ac:dyDescent="0.3">
      <c r="U1975" s="193"/>
      <c r="V1975" s="193"/>
      <c r="W1975" s="193"/>
      <c r="X1975" s="193"/>
      <c r="Y1975" s="193"/>
      <c r="Z1975" s="193"/>
      <c r="AC1975" s="193"/>
      <c r="AD1975" s="193"/>
      <c r="AE1975" s="193"/>
      <c r="AF1975" s="193"/>
    </row>
    <row r="1976" spans="21:32" x14ac:dyDescent="0.3">
      <c r="U1976" s="193"/>
      <c r="V1976" s="193"/>
      <c r="W1976" s="193"/>
      <c r="X1976" s="193"/>
      <c r="Y1976" s="193"/>
      <c r="Z1976" s="193"/>
      <c r="AC1976" s="193"/>
      <c r="AD1976" s="193"/>
      <c r="AE1976" s="193"/>
      <c r="AF1976" s="193"/>
    </row>
    <row r="1977" spans="21:32" x14ac:dyDescent="0.3">
      <c r="U1977" s="193"/>
      <c r="V1977" s="193"/>
      <c r="W1977" s="193"/>
      <c r="X1977" s="193"/>
      <c r="Y1977" s="193"/>
      <c r="Z1977" s="193"/>
      <c r="AC1977" s="193"/>
      <c r="AD1977" s="193"/>
      <c r="AE1977" s="193"/>
      <c r="AF1977" s="193"/>
    </row>
    <row r="1978" spans="21:32" x14ac:dyDescent="0.3">
      <c r="U1978" s="193"/>
      <c r="V1978" s="193"/>
      <c r="W1978" s="193"/>
      <c r="X1978" s="193"/>
      <c r="Y1978" s="193"/>
      <c r="Z1978" s="193"/>
      <c r="AC1978" s="193"/>
      <c r="AD1978" s="193"/>
      <c r="AE1978" s="193"/>
      <c r="AF1978" s="193"/>
    </row>
    <row r="1979" spans="21:32" x14ac:dyDescent="0.3">
      <c r="U1979" s="193"/>
      <c r="V1979" s="193"/>
      <c r="W1979" s="193"/>
      <c r="X1979" s="193"/>
      <c r="Y1979" s="193"/>
      <c r="Z1979" s="193"/>
      <c r="AC1979" s="193"/>
      <c r="AD1979" s="193"/>
      <c r="AE1979" s="193"/>
      <c r="AF1979" s="193"/>
    </row>
    <row r="1980" spans="21:32" x14ac:dyDescent="0.3">
      <c r="U1980" s="193"/>
      <c r="V1980" s="193"/>
      <c r="W1980" s="193"/>
      <c r="X1980" s="193"/>
      <c r="Y1980" s="193"/>
      <c r="Z1980" s="193"/>
      <c r="AC1980" s="193"/>
      <c r="AD1980" s="193"/>
      <c r="AE1980" s="193"/>
      <c r="AF1980" s="193"/>
    </row>
    <row r="1981" spans="21:32" x14ac:dyDescent="0.3">
      <c r="U1981" s="193"/>
      <c r="V1981" s="193"/>
      <c r="W1981" s="193"/>
      <c r="X1981" s="193"/>
      <c r="Y1981" s="193"/>
      <c r="Z1981" s="193"/>
      <c r="AC1981" s="193"/>
      <c r="AD1981" s="193"/>
      <c r="AE1981" s="193"/>
      <c r="AF1981" s="193"/>
    </row>
    <row r="1982" spans="21:32" x14ac:dyDescent="0.3">
      <c r="U1982" s="193"/>
      <c r="V1982" s="193"/>
      <c r="W1982" s="193"/>
      <c r="X1982" s="193"/>
      <c r="Y1982" s="193"/>
      <c r="Z1982" s="193"/>
      <c r="AC1982" s="193"/>
      <c r="AD1982" s="193"/>
      <c r="AE1982" s="193"/>
      <c r="AF1982" s="193"/>
    </row>
    <row r="1983" spans="21:32" x14ac:dyDescent="0.3">
      <c r="U1983" s="193"/>
      <c r="V1983" s="193"/>
      <c r="W1983" s="193"/>
      <c r="X1983" s="193"/>
      <c r="Y1983" s="193"/>
      <c r="Z1983" s="193"/>
      <c r="AC1983" s="193"/>
      <c r="AD1983" s="193"/>
      <c r="AE1983" s="193"/>
      <c r="AF1983" s="193"/>
    </row>
    <row r="1984" spans="21:32" x14ac:dyDescent="0.3">
      <c r="U1984" s="193"/>
      <c r="V1984" s="193"/>
      <c r="W1984" s="193"/>
      <c r="X1984" s="193"/>
      <c r="Y1984" s="193"/>
      <c r="Z1984" s="193"/>
      <c r="AC1984" s="193"/>
      <c r="AD1984" s="193"/>
      <c r="AE1984" s="193"/>
      <c r="AF1984" s="193"/>
    </row>
    <row r="1985" spans="21:32" x14ac:dyDescent="0.3">
      <c r="U1985" s="193"/>
      <c r="V1985" s="193"/>
      <c r="W1985" s="193"/>
      <c r="X1985" s="193"/>
      <c r="Y1985" s="193"/>
      <c r="Z1985" s="193"/>
      <c r="AC1985" s="193"/>
      <c r="AD1985" s="193"/>
      <c r="AE1985" s="193"/>
      <c r="AF1985" s="193"/>
    </row>
    <row r="1986" spans="21:32" x14ac:dyDescent="0.3">
      <c r="U1986" s="193"/>
      <c r="V1986" s="193"/>
      <c r="W1986" s="193"/>
      <c r="X1986" s="193"/>
      <c r="Y1986" s="193"/>
      <c r="Z1986" s="193"/>
      <c r="AC1986" s="193"/>
      <c r="AD1986" s="193"/>
      <c r="AE1986" s="193"/>
      <c r="AF1986" s="193"/>
    </row>
    <row r="1987" spans="21:32" x14ac:dyDescent="0.3">
      <c r="U1987" s="193"/>
      <c r="V1987" s="193"/>
      <c r="W1987" s="193"/>
      <c r="X1987" s="193"/>
      <c r="Y1987" s="193"/>
      <c r="Z1987" s="193"/>
      <c r="AC1987" s="193"/>
      <c r="AD1987" s="193"/>
      <c r="AE1987" s="193"/>
      <c r="AF1987" s="193"/>
    </row>
    <row r="1988" spans="21:32" x14ac:dyDescent="0.3">
      <c r="U1988" s="193"/>
      <c r="V1988" s="193"/>
      <c r="W1988" s="193"/>
      <c r="X1988" s="193"/>
      <c r="Y1988" s="193"/>
      <c r="Z1988" s="193"/>
      <c r="AC1988" s="193"/>
      <c r="AD1988" s="193"/>
      <c r="AE1988" s="193"/>
      <c r="AF1988" s="193"/>
    </row>
    <row r="1989" spans="21:32" x14ac:dyDescent="0.3">
      <c r="U1989" s="193"/>
      <c r="V1989" s="193"/>
      <c r="W1989" s="193"/>
      <c r="X1989" s="193"/>
      <c r="Y1989" s="193"/>
      <c r="Z1989" s="193"/>
      <c r="AC1989" s="193"/>
      <c r="AD1989" s="193"/>
      <c r="AE1989" s="193"/>
      <c r="AF1989" s="193"/>
    </row>
    <row r="1990" spans="21:32" x14ac:dyDescent="0.3">
      <c r="U1990" s="193"/>
      <c r="V1990" s="193"/>
      <c r="W1990" s="193"/>
      <c r="X1990" s="193"/>
      <c r="Y1990" s="193"/>
      <c r="Z1990" s="193"/>
      <c r="AC1990" s="193"/>
      <c r="AD1990" s="193"/>
      <c r="AE1990" s="193"/>
      <c r="AF1990" s="193"/>
    </row>
    <row r="1991" spans="21:32" x14ac:dyDescent="0.3">
      <c r="U1991" s="193"/>
      <c r="V1991" s="193"/>
      <c r="W1991" s="193"/>
      <c r="X1991" s="193"/>
      <c r="Y1991" s="193"/>
      <c r="Z1991" s="193"/>
      <c r="AC1991" s="193"/>
      <c r="AD1991" s="193"/>
      <c r="AE1991" s="193"/>
      <c r="AF1991" s="193"/>
    </row>
    <row r="1992" spans="21:32" x14ac:dyDescent="0.3">
      <c r="U1992" s="193"/>
      <c r="V1992" s="193"/>
      <c r="W1992" s="193"/>
      <c r="X1992" s="193"/>
      <c r="Y1992" s="193"/>
      <c r="Z1992" s="193"/>
      <c r="AC1992" s="193"/>
      <c r="AD1992" s="193"/>
      <c r="AE1992" s="193"/>
      <c r="AF1992" s="193"/>
    </row>
    <row r="1993" spans="21:32" x14ac:dyDescent="0.3">
      <c r="U1993" s="193"/>
      <c r="V1993" s="193"/>
      <c r="W1993" s="193"/>
      <c r="X1993" s="193"/>
      <c r="Y1993" s="193"/>
      <c r="Z1993" s="193"/>
      <c r="AC1993" s="193"/>
      <c r="AD1993" s="193"/>
      <c r="AE1993" s="193"/>
      <c r="AF1993" s="193"/>
    </row>
    <row r="1994" spans="21:32" x14ac:dyDescent="0.3">
      <c r="U1994" s="193"/>
      <c r="V1994" s="193"/>
      <c r="W1994" s="193"/>
      <c r="X1994" s="193"/>
      <c r="Y1994" s="193"/>
      <c r="Z1994" s="193"/>
      <c r="AC1994" s="193"/>
      <c r="AD1994" s="193"/>
      <c r="AE1994" s="193"/>
      <c r="AF1994" s="193"/>
    </row>
    <row r="1995" spans="21:32" x14ac:dyDescent="0.3">
      <c r="U1995" s="193"/>
      <c r="V1995" s="193"/>
      <c r="W1995" s="193"/>
      <c r="X1995" s="193"/>
      <c r="Y1995" s="193"/>
      <c r="Z1995" s="193"/>
      <c r="AC1995" s="193"/>
      <c r="AD1995" s="193"/>
      <c r="AE1995" s="193"/>
      <c r="AF1995" s="193"/>
    </row>
    <row r="1996" spans="21:32" x14ac:dyDescent="0.3">
      <c r="U1996" s="193"/>
      <c r="V1996" s="193"/>
      <c r="W1996" s="193"/>
      <c r="X1996" s="193"/>
      <c r="Y1996" s="193"/>
      <c r="Z1996" s="193"/>
      <c r="AC1996" s="193"/>
      <c r="AD1996" s="193"/>
      <c r="AE1996" s="193"/>
      <c r="AF1996" s="193"/>
    </row>
    <row r="1997" spans="21:32" x14ac:dyDescent="0.3">
      <c r="U1997" s="193"/>
      <c r="V1997" s="193"/>
      <c r="W1997" s="193"/>
      <c r="X1997" s="193"/>
      <c r="Y1997" s="193"/>
      <c r="Z1997" s="193"/>
      <c r="AC1997" s="193"/>
      <c r="AD1997" s="193"/>
      <c r="AE1997" s="193"/>
      <c r="AF1997" s="193"/>
    </row>
    <row r="1998" spans="21:32" x14ac:dyDescent="0.3">
      <c r="U1998" s="193"/>
      <c r="V1998" s="193"/>
      <c r="W1998" s="193"/>
      <c r="X1998" s="193"/>
      <c r="Y1998" s="193"/>
      <c r="Z1998" s="193"/>
      <c r="AC1998" s="193"/>
      <c r="AD1998" s="193"/>
      <c r="AE1998" s="193"/>
      <c r="AF1998" s="193"/>
    </row>
    <row r="1999" spans="21:32" x14ac:dyDescent="0.3">
      <c r="U1999" s="193"/>
      <c r="V1999" s="193"/>
      <c r="W1999" s="193"/>
      <c r="X1999" s="193"/>
      <c r="Y1999" s="193"/>
      <c r="Z1999" s="193"/>
      <c r="AC1999" s="193"/>
      <c r="AD1999" s="193"/>
      <c r="AE1999" s="193"/>
      <c r="AF1999" s="193"/>
    </row>
    <row r="2000" spans="21:32" x14ac:dyDescent="0.3">
      <c r="U2000" s="193"/>
      <c r="V2000" s="193"/>
      <c r="W2000" s="193"/>
      <c r="X2000" s="193"/>
      <c r="Y2000" s="193"/>
      <c r="Z2000" s="193"/>
      <c r="AC2000" s="193"/>
      <c r="AD2000" s="193"/>
      <c r="AE2000" s="193"/>
      <c r="AF2000" s="193"/>
    </row>
    <row r="2001" spans="21:32" x14ac:dyDescent="0.3">
      <c r="U2001" s="193"/>
      <c r="V2001" s="193"/>
      <c r="W2001" s="193"/>
      <c r="X2001" s="193"/>
      <c r="Y2001" s="193"/>
      <c r="Z2001" s="193"/>
      <c r="AC2001" s="193"/>
      <c r="AD2001" s="193"/>
      <c r="AE2001" s="193"/>
      <c r="AF2001" s="193"/>
    </row>
    <row r="2002" spans="21:32" x14ac:dyDescent="0.3">
      <c r="U2002" s="193"/>
      <c r="V2002" s="193"/>
      <c r="W2002" s="193"/>
      <c r="X2002" s="193"/>
      <c r="Y2002" s="193"/>
      <c r="Z2002" s="193"/>
      <c r="AC2002" s="193"/>
      <c r="AD2002" s="193"/>
      <c r="AE2002" s="193"/>
      <c r="AF2002" s="193"/>
    </row>
    <row r="2003" spans="21:32" x14ac:dyDescent="0.3">
      <c r="U2003" s="193"/>
      <c r="V2003" s="193"/>
      <c r="W2003" s="193"/>
      <c r="X2003" s="193"/>
      <c r="Y2003" s="193"/>
      <c r="Z2003" s="193"/>
      <c r="AC2003" s="193"/>
      <c r="AD2003" s="193"/>
      <c r="AE2003" s="193"/>
      <c r="AF2003" s="193"/>
    </row>
    <row r="2004" spans="21:32" x14ac:dyDescent="0.3">
      <c r="U2004" s="193"/>
      <c r="V2004" s="193"/>
      <c r="W2004" s="193"/>
      <c r="X2004" s="193"/>
      <c r="Y2004" s="193"/>
      <c r="Z2004" s="193"/>
      <c r="AC2004" s="193"/>
      <c r="AD2004" s="193"/>
      <c r="AE2004" s="193"/>
      <c r="AF2004" s="193"/>
    </row>
    <row r="2005" spans="21:32" x14ac:dyDescent="0.3">
      <c r="U2005" s="193"/>
      <c r="V2005" s="193"/>
      <c r="W2005" s="193"/>
      <c r="X2005" s="193"/>
      <c r="Y2005" s="193"/>
      <c r="Z2005" s="193"/>
      <c r="AC2005" s="193"/>
      <c r="AD2005" s="193"/>
      <c r="AE2005" s="193"/>
      <c r="AF2005" s="193"/>
    </row>
    <row r="2006" spans="21:32" x14ac:dyDescent="0.3">
      <c r="U2006" s="193"/>
      <c r="V2006" s="193"/>
      <c r="W2006" s="193"/>
      <c r="X2006" s="193"/>
      <c r="Y2006" s="193"/>
      <c r="Z2006" s="193"/>
      <c r="AC2006" s="193"/>
      <c r="AD2006" s="193"/>
      <c r="AE2006" s="193"/>
      <c r="AF2006" s="193"/>
    </row>
    <row r="2007" spans="21:32" x14ac:dyDescent="0.3">
      <c r="U2007" s="193"/>
      <c r="V2007" s="193"/>
      <c r="W2007" s="193"/>
      <c r="X2007" s="193"/>
      <c r="Y2007" s="193"/>
      <c r="Z2007" s="193"/>
      <c r="AC2007" s="193"/>
      <c r="AD2007" s="193"/>
      <c r="AE2007" s="193"/>
      <c r="AF2007" s="193"/>
    </row>
    <row r="2008" spans="21:32" x14ac:dyDescent="0.3">
      <c r="U2008" s="193"/>
      <c r="V2008" s="193"/>
      <c r="W2008" s="193"/>
      <c r="X2008" s="193"/>
      <c r="Y2008" s="193"/>
      <c r="Z2008" s="193"/>
      <c r="AC2008" s="193"/>
      <c r="AD2008" s="193"/>
      <c r="AE2008" s="193"/>
      <c r="AF2008" s="193"/>
    </row>
    <row r="2009" spans="21:32" x14ac:dyDescent="0.3">
      <c r="U2009" s="193"/>
      <c r="V2009" s="193"/>
      <c r="W2009" s="193"/>
      <c r="X2009" s="193"/>
      <c r="Y2009" s="193"/>
      <c r="Z2009" s="193"/>
      <c r="AC2009" s="193"/>
      <c r="AD2009" s="193"/>
      <c r="AE2009" s="193"/>
      <c r="AF2009" s="193"/>
    </row>
    <row r="2010" spans="21:32" x14ac:dyDescent="0.3">
      <c r="U2010" s="193"/>
      <c r="V2010" s="193"/>
      <c r="W2010" s="193"/>
      <c r="X2010" s="193"/>
      <c r="Y2010" s="193"/>
      <c r="Z2010" s="193"/>
      <c r="AC2010" s="193"/>
      <c r="AD2010" s="193"/>
      <c r="AE2010" s="193"/>
      <c r="AF2010" s="193"/>
    </row>
    <row r="2011" spans="21:32" x14ac:dyDescent="0.3">
      <c r="U2011" s="193"/>
      <c r="V2011" s="193"/>
      <c r="W2011" s="193"/>
      <c r="X2011" s="193"/>
      <c r="Y2011" s="193"/>
      <c r="Z2011" s="193"/>
      <c r="AC2011" s="193"/>
      <c r="AD2011" s="193"/>
      <c r="AE2011" s="193"/>
      <c r="AF2011" s="193"/>
    </row>
    <row r="2012" spans="21:32" x14ac:dyDescent="0.3">
      <c r="U2012" s="193"/>
      <c r="V2012" s="193"/>
      <c r="W2012" s="193"/>
      <c r="X2012" s="193"/>
      <c r="Y2012" s="193"/>
      <c r="Z2012" s="193"/>
      <c r="AC2012" s="193"/>
      <c r="AD2012" s="193"/>
      <c r="AE2012" s="193"/>
      <c r="AF2012" s="193"/>
    </row>
    <row r="2013" spans="21:32" x14ac:dyDescent="0.3">
      <c r="U2013" s="193"/>
      <c r="V2013" s="193"/>
      <c r="W2013" s="193"/>
      <c r="X2013" s="193"/>
      <c r="Y2013" s="193"/>
      <c r="Z2013" s="193"/>
      <c r="AC2013" s="193"/>
      <c r="AD2013" s="193"/>
      <c r="AE2013" s="193"/>
      <c r="AF2013" s="193"/>
    </row>
    <row r="2014" spans="21:32" x14ac:dyDescent="0.3">
      <c r="U2014" s="193"/>
      <c r="V2014" s="193"/>
      <c r="W2014" s="193"/>
      <c r="X2014" s="193"/>
      <c r="Y2014" s="193"/>
      <c r="Z2014" s="193"/>
      <c r="AC2014" s="193"/>
      <c r="AD2014" s="193"/>
      <c r="AE2014" s="193"/>
      <c r="AF2014" s="193"/>
    </row>
    <row r="2015" spans="21:32" x14ac:dyDescent="0.3">
      <c r="U2015" s="193"/>
      <c r="V2015" s="193"/>
      <c r="W2015" s="193"/>
      <c r="X2015" s="193"/>
      <c r="Y2015" s="193"/>
      <c r="Z2015" s="193"/>
      <c r="AC2015" s="193"/>
      <c r="AD2015" s="193"/>
      <c r="AE2015" s="193"/>
      <c r="AF2015" s="193"/>
    </row>
    <row r="2016" spans="21:32" x14ac:dyDescent="0.3">
      <c r="U2016" s="193"/>
      <c r="V2016" s="193"/>
      <c r="W2016" s="193"/>
      <c r="X2016" s="193"/>
      <c r="Y2016" s="193"/>
      <c r="Z2016" s="193"/>
      <c r="AC2016" s="193"/>
      <c r="AD2016" s="193"/>
      <c r="AE2016" s="193"/>
      <c r="AF2016" s="193"/>
    </row>
    <row r="2017" spans="21:32" x14ac:dyDescent="0.3">
      <c r="U2017" s="193"/>
      <c r="V2017" s="193"/>
      <c r="W2017" s="193"/>
      <c r="X2017" s="193"/>
      <c r="Y2017" s="193"/>
      <c r="Z2017" s="193"/>
      <c r="AC2017" s="193"/>
      <c r="AD2017" s="193"/>
      <c r="AE2017" s="193"/>
      <c r="AF2017" s="193"/>
    </row>
    <row r="2018" spans="21:32" x14ac:dyDescent="0.3">
      <c r="U2018" s="193"/>
      <c r="V2018" s="193"/>
      <c r="W2018" s="193"/>
      <c r="X2018" s="193"/>
      <c r="Y2018" s="193"/>
      <c r="Z2018" s="193"/>
      <c r="AC2018" s="193"/>
      <c r="AD2018" s="193"/>
      <c r="AE2018" s="193"/>
      <c r="AF2018" s="193"/>
    </row>
    <row r="2019" spans="21:32" x14ac:dyDescent="0.3">
      <c r="U2019" s="193"/>
      <c r="V2019" s="193"/>
      <c r="W2019" s="193"/>
      <c r="X2019" s="193"/>
      <c r="Y2019" s="193"/>
      <c r="Z2019" s="193"/>
      <c r="AC2019" s="193"/>
      <c r="AD2019" s="193"/>
      <c r="AE2019" s="193"/>
      <c r="AF2019" s="193"/>
    </row>
    <row r="2020" spans="21:32" x14ac:dyDescent="0.3">
      <c r="U2020" s="193"/>
      <c r="V2020" s="193"/>
      <c r="W2020" s="193"/>
      <c r="X2020" s="193"/>
      <c r="Y2020" s="193"/>
      <c r="Z2020" s="193"/>
      <c r="AC2020" s="193"/>
      <c r="AD2020" s="193"/>
      <c r="AE2020" s="193"/>
      <c r="AF2020" s="193"/>
    </row>
    <row r="2021" spans="21:32" x14ac:dyDescent="0.3">
      <c r="U2021" s="193"/>
      <c r="V2021" s="193"/>
      <c r="W2021" s="193"/>
      <c r="X2021" s="193"/>
      <c r="Y2021" s="193"/>
      <c r="Z2021" s="193"/>
      <c r="AC2021" s="193"/>
      <c r="AD2021" s="193"/>
      <c r="AE2021" s="193"/>
      <c r="AF2021" s="193"/>
    </row>
    <row r="2022" spans="21:32" x14ac:dyDescent="0.3">
      <c r="U2022" s="193"/>
      <c r="V2022" s="193"/>
      <c r="W2022" s="193"/>
      <c r="X2022" s="193"/>
      <c r="Y2022" s="193"/>
      <c r="Z2022" s="193"/>
      <c r="AC2022" s="193"/>
      <c r="AD2022" s="193"/>
      <c r="AE2022" s="193"/>
      <c r="AF2022" s="193"/>
    </row>
    <row r="2023" spans="21:32" x14ac:dyDescent="0.3">
      <c r="U2023" s="193"/>
      <c r="V2023" s="193"/>
      <c r="W2023" s="193"/>
      <c r="X2023" s="193"/>
      <c r="Y2023" s="193"/>
      <c r="Z2023" s="193"/>
      <c r="AC2023" s="193"/>
      <c r="AD2023" s="193"/>
      <c r="AE2023" s="193"/>
      <c r="AF2023" s="193"/>
    </row>
    <row r="2024" spans="21:32" x14ac:dyDescent="0.3">
      <c r="U2024" s="193"/>
      <c r="V2024" s="193"/>
      <c r="W2024" s="193"/>
      <c r="X2024" s="193"/>
      <c r="Y2024" s="193"/>
      <c r="Z2024" s="193"/>
      <c r="AC2024" s="193"/>
      <c r="AD2024" s="193"/>
      <c r="AE2024" s="193"/>
      <c r="AF2024" s="193"/>
    </row>
    <row r="2025" spans="21:32" x14ac:dyDescent="0.3">
      <c r="U2025" s="193"/>
      <c r="V2025" s="193"/>
      <c r="W2025" s="193"/>
      <c r="X2025" s="193"/>
      <c r="Y2025" s="193"/>
      <c r="Z2025" s="193"/>
      <c r="AC2025" s="193"/>
      <c r="AD2025" s="193"/>
      <c r="AE2025" s="193"/>
      <c r="AF2025" s="193"/>
    </row>
    <row r="2026" spans="21:32" x14ac:dyDescent="0.3">
      <c r="U2026" s="193"/>
      <c r="V2026" s="193"/>
      <c r="W2026" s="193"/>
      <c r="X2026" s="193"/>
      <c r="Y2026" s="193"/>
      <c r="Z2026" s="193"/>
      <c r="AC2026" s="193"/>
      <c r="AD2026" s="193"/>
      <c r="AE2026" s="193"/>
      <c r="AF2026" s="193"/>
    </row>
    <row r="2027" spans="21:32" x14ac:dyDescent="0.3">
      <c r="U2027" s="193"/>
      <c r="V2027" s="193"/>
      <c r="W2027" s="193"/>
      <c r="X2027" s="193"/>
      <c r="Y2027" s="193"/>
      <c r="Z2027" s="193"/>
      <c r="AC2027" s="193"/>
      <c r="AD2027" s="193"/>
      <c r="AE2027" s="193"/>
      <c r="AF2027" s="193"/>
    </row>
    <row r="2028" spans="21:32" x14ac:dyDescent="0.3">
      <c r="U2028" s="193"/>
      <c r="V2028" s="193"/>
      <c r="W2028" s="193"/>
      <c r="X2028" s="193"/>
      <c r="Y2028" s="193"/>
      <c r="Z2028" s="193"/>
      <c r="AC2028" s="193"/>
      <c r="AD2028" s="193"/>
      <c r="AE2028" s="193"/>
      <c r="AF2028" s="193"/>
    </row>
    <row r="2029" spans="21:32" x14ac:dyDescent="0.3">
      <c r="U2029" s="193"/>
      <c r="V2029" s="193"/>
      <c r="W2029" s="193"/>
      <c r="X2029" s="193"/>
      <c r="Y2029" s="193"/>
      <c r="Z2029" s="193"/>
      <c r="AC2029" s="193"/>
      <c r="AD2029" s="193"/>
      <c r="AE2029" s="193"/>
      <c r="AF2029" s="193"/>
    </row>
    <row r="2030" spans="21:32" x14ac:dyDescent="0.3">
      <c r="U2030" s="193"/>
      <c r="V2030" s="193"/>
      <c r="W2030" s="193"/>
      <c r="X2030" s="193"/>
      <c r="Y2030" s="193"/>
      <c r="Z2030" s="193"/>
      <c r="AC2030" s="193"/>
      <c r="AD2030" s="193"/>
      <c r="AE2030" s="193"/>
      <c r="AF2030" s="193"/>
    </row>
    <row r="2031" spans="21:32" x14ac:dyDescent="0.3">
      <c r="U2031" s="193"/>
      <c r="V2031" s="193"/>
      <c r="W2031" s="193"/>
      <c r="X2031" s="193"/>
      <c r="Y2031" s="193"/>
      <c r="Z2031" s="193"/>
      <c r="AC2031" s="193"/>
      <c r="AD2031" s="193"/>
      <c r="AE2031" s="193"/>
      <c r="AF2031" s="193"/>
    </row>
    <row r="2032" spans="21:32" x14ac:dyDescent="0.3">
      <c r="U2032" s="193"/>
      <c r="V2032" s="193"/>
      <c r="W2032" s="193"/>
      <c r="X2032" s="193"/>
      <c r="Y2032" s="193"/>
      <c r="Z2032" s="193"/>
      <c r="AC2032" s="193"/>
      <c r="AD2032" s="193"/>
      <c r="AE2032" s="193"/>
      <c r="AF2032" s="193"/>
    </row>
    <row r="2033" spans="21:32" x14ac:dyDescent="0.3">
      <c r="U2033" s="193"/>
      <c r="V2033" s="193"/>
      <c r="W2033" s="193"/>
      <c r="X2033" s="193"/>
      <c r="Y2033" s="193"/>
      <c r="Z2033" s="193"/>
      <c r="AC2033" s="193"/>
      <c r="AD2033" s="193"/>
      <c r="AE2033" s="193"/>
      <c r="AF2033" s="193"/>
    </row>
    <row r="2034" spans="21:32" x14ac:dyDescent="0.3">
      <c r="U2034" s="193"/>
      <c r="V2034" s="193"/>
      <c r="W2034" s="193"/>
      <c r="X2034" s="193"/>
      <c r="Y2034" s="193"/>
      <c r="Z2034" s="193"/>
      <c r="AC2034" s="193"/>
      <c r="AD2034" s="193"/>
      <c r="AE2034" s="193"/>
      <c r="AF2034" s="193"/>
    </row>
    <row r="2035" spans="21:32" x14ac:dyDescent="0.3">
      <c r="U2035" s="193"/>
      <c r="V2035" s="193"/>
      <c r="W2035" s="193"/>
      <c r="X2035" s="193"/>
      <c r="Y2035" s="193"/>
      <c r="Z2035" s="193"/>
      <c r="AC2035" s="193"/>
      <c r="AD2035" s="193"/>
      <c r="AE2035" s="193"/>
      <c r="AF2035" s="193"/>
    </row>
    <row r="2036" spans="21:32" x14ac:dyDescent="0.3">
      <c r="U2036" s="193"/>
      <c r="V2036" s="193"/>
      <c r="W2036" s="193"/>
      <c r="X2036" s="193"/>
      <c r="Y2036" s="193"/>
      <c r="Z2036" s="193"/>
      <c r="AC2036" s="193"/>
      <c r="AD2036" s="193"/>
      <c r="AE2036" s="193"/>
      <c r="AF2036" s="193"/>
    </row>
    <row r="2037" spans="21:32" x14ac:dyDescent="0.3">
      <c r="U2037" s="193"/>
      <c r="V2037" s="193"/>
      <c r="W2037" s="193"/>
      <c r="X2037" s="193"/>
      <c r="Y2037" s="193"/>
      <c r="Z2037" s="193"/>
      <c r="AC2037" s="193"/>
      <c r="AD2037" s="193"/>
      <c r="AE2037" s="193"/>
      <c r="AF2037" s="193"/>
    </row>
    <row r="2038" spans="21:32" x14ac:dyDescent="0.3">
      <c r="U2038" s="193"/>
      <c r="V2038" s="193"/>
      <c r="W2038" s="193"/>
      <c r="X2038" s="193"/>
      <c r="Y2038" s="193"/>
      <c r="Z2038" s="193"/>
      <c r="AC2038" s="193"/>
      <c r="AD2038" s="193"/>
      <c r="AE2038" s="193"/>
      <c r="AF2038" s="193"/>
    </row>
    <row r="2039" spans="21:32" x14ac:dyDescent="0.3">
      <c r="U2039" s="193"/>
      <c r="V2039" s="193"/>
      <c r="W2039" s="193"/>
      <c r="X2039" s="193"/>
      <c r="Y2039" s="193"/>
      <c r="Z2039" s="193"/>
      <c r="AC2039" s="193"/>
      <c r="AD2039" s="193"/>
      <c r="AE2039" s="193"/>
      <c r="AF2039" s="193"/>
    </row>
    <row r="2040" spans="21:32" x14ac:dyDescent="0.3">
      <c r="U2040" s="193"/>
      <c r="V2040" s="193"/>
      <c r="W2040" s="193"/>
      <c r="X2040" s="193"/>
      <c r="Y2040" s="193"/>
      <c r="Z2040" s="193"/>
      <c r="AC2040" s="193"/>
      <c r="AD2040" s="193"/>
      <c r="AE2040" s="193"/>
      <c r="AF2040" s="193"/>
    </row>
    <row r="2041" spans="21:32" x14ac:dyDescent="0.3">
      <c r="U2041" s="193"/>
      <c r="V2041" s="193"/>
      <c r="W2041" s="193"/>
      <c r="X2041" s="193"/>
      <c r="Y2041" s="193"/>
      <c r="Z2041" s="193"/>
      <c r="AC2041" s="193"/>
      <c r="AD2041" s="193"/>
      <c r="AE2041" s="193"/>
      <c r="AF2041" s="193"/>
    </row>
    <row r="2042" spans="21:32" x14ac:dyDescent="0.3">
      <c r="U2042" s="193"/>
      <c r="V2042" s="193"/>
      <c r="W2042" s="193"/>
      <c r="X2042" s="193"/>
      <c r="Y2042" s="193"/>
      <c r="Z2042" s="193"/>
      <c r="AC2042" s="193"/>
      <c r="AD2042" s="193"/>
      <c r="AE2042" s="193"/>
      <c r="AF2042" s="193"/>
    </row>
    <row r="2043" spans="21:32" x14ac:dyDescent="0.3">
      <c r="U2043" s="193"/>
      <c r="V2043" s="193"/>
      <c r="W2043" s="193"/>
      <c r="X2043" s="193"/>
      <c r="Y2043" s="193"/>
      <c r="Z2043" s="193"/>
      <c r="AC2043" s="193"/>
      <c r="AD2043" s="193"/>
      <c r="AE2043" s="193"/>
      <c r="AF2043" s="193"/>
    </row>
    <row r="2044" spans="21:32" x14ac:dyDescent="0.3">
      <c r="U2044" s="193"/>
      <c r="V2044" s="193"/>
      <c r="W2044" s="193"/>
      <c r="X2044" s="193"/>
      <c r="Y2044" s="193"/>
      <c r="Z2044" s="193"/>
      <c r="AC2044" s="193"/>
      <c r="AD2044" s="193"/>
      <c r="AE2044" s="193"/>
      <c r="AF2044" s="193"/>
    </row>
    <row r="2045" spans="21:32" x14ac:dyDescent="0.3">
      <c r="U2045" s="193"/>
      <c r="V2045" s="193"/>
      <c r="W2045" s="193"/>
      <c r="X2045" s="193"/>
      <c r="Y2045" s="193"/>
      <c r="Z2045" s="193"/>
      <c r="AC2045" s="193"/>
      <c r="AD2045" s="193"/>
      <c r="AE2045" s="193"/>
      <c r="AF2045" s="193"/>
    </row>
    <row r="2046" spans="21:32" x14ac:dyDescent="0.3">
      <c r="U2046" s="193"/>
      <c r="V2046" s="193"/>
      <c r="W2046" s="193"/>
      <c r="X2046" s="193"/>
      <c r="Y2046" s="193"/>
      <c r="Z2046" s="193"/>
      <c r="AC2046" s="193"/>
      <c r="AD2046" s="193"/>
      <c r="AE2046" s="193"/>
      <c r="AF2046" s="193"/>
    </row>
    <row r="2047" spans="21:32" x14ac:dyDescent="0.3">
      <c r="U2047" s="193"/>
      <c r="V2047" s="193"/>
      <c r="W2047" s="193"/>
      <c r="X2047" s="193"/>
      <c r="Y2047" s="193"/>
      <c r="Z2047" s="193"/>
      <c r="AC2047" s="193"/>
      <c r="AD2047" s="193"/>
      <c r="AE2047" s="193"/>
      <c r="AF2047" s="193"/>
    </row>
    <row r="2048" spans="21:32" x14ac:dyDescent="0.3">
      <c r="U2048" s="193"/>
      <c r="V2048" s="193"/>
      <c r="W2048" s="193"/>
      <c r="X2048" s="193"/>
      <c r="Y2048" s="193"/>
      <c r="Z2048" s="193"/>
      <c r="AC2048" s="193"/>
      <c r="AD2048" s="193"/>
      <c r="AE2048" s="193"/>
      <c r="AF2048" s="193"/>
    </row>
    <row r="2049" spans="21:32" x14ac:dyDescent="0.3">
      <c r="U2049" s="193"/>
      <c r="V2049" s="193"/>
      <c r="W2049" s="193"/>
      <c r="X2049" s="193"/>
      <c r="Y2049" s="193"/>
      <c r="Z2049" s="193"/>
      <c r="AC2049" s="193"/>
      <c r="AD2049" s="193"/>
      <c r="AE2049" s="193"/>
      <c r="AF2049" s="193"/>
    </row>
    <row r="2050" spans="21:32" x14ac:dyDescent="0.3">
      <c r="U2050" s="193"/>
      <c r="V2050" s="193"/>
      <c r="W2050" s="193"/>
      <c r="X2050" s="193"/>
      <c r="Y2050" s="193"/>
      <c r="Z2050" s="193"/>
      <c r="AC2050" s="193"/>
      <c r="AD2050" s="193"/>
      <c r="AE2050" s="193"/>
      <c r="AF2050" s="193"/>
    </row>
    <row r="2051" spans="21:32" x14ac:dyDescent="0.3">
      <c r="U2051" s="193"/>
      <c r="V2051" s="193"/>
      <c r="W2051" s="193"/>
      <c r="X2051" s="193"/>
      <c r="Y2051" s="193"/>
      <c r="Z2051" s="193"/>
      <c r="AC2051" s="193"/>
      <c r="AD2051" s="193"/>
      <c r="AE2051" s="193"/>
      <c r="AF2051" s="193"/>
    </row>
    <row r="2052" spans="21:32" x14ac:dyDescent="0.3">
      <c r="U2052" s="193"/>
      <c r="V2052" s="193"/>
      <c r="W2052" s="193"/>
      <c r="X2052" s="193"/>
      <c r="Y2052" s="193"/>
      <c r="Z2052" s="193"/>
      <c r="AC2052" s="193"/>
      <c r="AD2052" s="193"/>
      <c r="AE2052" s="193"/>
      <c r="AF2052" s="193"/>
    </row>
    <row r="2053" spans="21:32" x14ac:dyDescent="0.3">
      <c r="U2053" s="193"/>
      <c r="V2053" s="193"/>
      <c r="W2053" s="193"/>
      <c r="X2053" s="193"/>
      <c r="Y2053" s="193"/>
      <c r="Z2053" s="193"/>
      <c r="AC2053" s="193"/>
      <c r="AD2053" s="193"/>
      <c r="AE2053" s="193"/>
      <c r="AF2053" s="193"/>
    </row>
    <row r="2054" spans="21:32" x14ac:dyDescent="0.3">
      <c r="U2054" s="193"/>
      <c r="V2054" s="193"/>
      <c r="W2054" s="193"/>
      <c r="X2054" s="193"/>
      <c r="Y2054" s="193"/>
      <c r="Z2054" s="193"/>
      <c r="AC2054" s="193"/>
      <c r="AD2054" s="193"/>
      <c r="AE2054" s="193"/>
      <c r="AF2054" s="193"/>
    </row>
    <row r="2055" spans="21:32" x14ac:dyDescent="0.3">
      <c r="U2055" s="193"/>
      <c r="V2055" s="193"/>
      <c r="W2055" s="193"/>
      <c r="X2055" s="193"/>
      <c r="Y2055" s="193"/>
      <c r="Z2055" s="193"/>
      <c r="AC2055" s="193"/>
      <c r="AD2055" s="193"/>
      <c r="AE2055" s="193"/>
      <c r="AF2055" s="193"/>
    </row>
    <row r="2056" spans="21:32" x14ac:dyDescent="0.3">
      <c r="U2056" s="193"/>
      <c r="V2056" s="193"/>
      <c r="W2056" s="193"/>
      <c r="X2056" s="193"/>
      <c r="Y2056" s="193"/>
      <c r="Z2056" s="193"/>
      <c r="AC2056" s="193"/>
      <c r="AD2056" s="193"/>
      <c r="AE2056" s="193"/>
      <c r="AF2056" s="193"/>
    </row>
    <row r="2057" spans="21:32" x14ac:dyDescent="0.3">
      <c r="U2057" s="193"/>
      <c r="V2057" s="193"/>
      <c r="W2057" s="193"/>
      <c r="X2057" s="193"/>
      <c r="Y2057" s="193"/>
      <c r="Z2057" s="193"/>
      <c r="AC2057" s="193"/>
      <c r="AD2057" s="193"/>
      <c r="AE2057" s="193"/>
      <c r="AF2057" s="193"/>
    </row>
    <row r="2058" spans="21:32" x14ac:dyDescent="0.3">
      <c r="U2058" s="193"/>
      <c r="V2058" s="193"/>
      <c r="W2058" s="193"/>
      <c r="X2058" s="193"/>
      <c r="Y2058" s="193"/>
      <c r="Z2058" s="193"/>
      <c r="AC2058" s="193"/>
      <c r="AD2058" s="193"/>
      <c r="AE2058" s="193"/>
      <c r="AF2058" s="193"/>
    </row>
    <row r="2059" spans="21:32" x14ac:dyDescent="0.3">
      <c r="U2059" s="193"/>
      <c r="V2059" s="193"/>
      <c r="W2059" s="193"/>
      <c r="X2059" s="193"/>
      <c r="Y2059" s="193"/>
      <c r="Z2059" s="193"/>
      <c r="AC2059" s="193"/>
      <c r="AD2059" s="193"/>
      <c r="AE2059" s="193"/>
      <c r="AF2059" s="193"/>
    </row>
    <row r="2060" spans="21:32" x14ac:dyDescent="0.3">
      <c r="U2060" s="193"/>
      <c r="V2060" s="193"/>
      <c r="W2060" s="193"/>
      <c r="X2060" s="193"/>
      <c r="Y2060" s="193"/>
      <c r="Z2060" s="193"/>
      <c r="AC2060" s="193"/>
      <c r="AD2060" s="193"/>
      <c r="AE2060" s="193"/>
      <c r="AF2060" s="193"/>
    </row>
    <row r="2061" spans="21:32" x14ac:dyDescent="0.3">
      <c r="U2061" s="193"/>
      <c r="V2061" s="193"/>
      <c r="W2061" s="193"/>
      <c r="X2061" s="193"/>
      <c r="Y2061" s="193"/>
      <c r="Z2061" s="193"/>
      <c r="AC2061" s="193"/>
      <c r="AD2061" s="193"/>
      <c r="AE2061" s="193"/>
      <c r="AF2061" s="193"/>
    </row>
    <row r="2062" spans="21:32" x14ac:dyDescent="0.3">
      <c r="U2062" s="193"/>
      <c r="V2062" s="193"/>
      <c r="W2062" s="193"/>
      <c r="X2062" s="193"/>
      <c r="Y2062" s="193"/>
      <c r="Z2062" s="193"/>
      <c r="AC2062" s="193"/>
      <c r="AD2062" s="193"/>
      <c r="AE2062" s="193"/>
      <c r="AF2062" s="193"/>
    </row>
    <row r="2063" spans="21:32" x14ac:dyDescent="0.3">
      <c r="U2063" s="193"/>
      <c r="V2063" s="193"/>
      <c r="W2063" s="193"/>
      <c r="X2063" s="193"/>
      <c r="Y2063" s="193"/>
      <c r="Z2063" s="193"/>
      <c r="AC2063" s="193"/>
      <c r="AD2063" s="193"/>
      <c r="AE2063" s="193"/>
      <c r="AF2063" s="193"/>
    </row>
    <row r="2064" spans="21:32" x14ac:dyDescent="0.3">
      <c r="U2064" s="193"/>
      <c r="V2064" s="193"/>
      <c r="W2064" s="193"/>
      <c r="X2064" s="193"/>
      <c r="Y2064" s="193"/>
      <c r="Z2064" s="193"/>
      <c r="AC2064" s="193"/>
      <c r="AD2064" s="193"/>
      <c r="AE2064" s="193"/>
      <c r="AF2064" s="193"/>
    </row>
    <row r="2065" spans="21:32" x14ac:dyDescent="0.3">
      <c r="U2065" s="193"/>
      <c r="V2065" s="193"/>
      <c r="W2065" s="193"/>
      <c r="X2065" s="193"/>
      <c r="Y2065" s="193"/>
      <c r="Z2065" s="193"/>
      <c r="AC2065" s="193"/>
      <c r="AD2065" s="193"/>
      <c r="AE2065" s="193"/>
      <c r="AF2065" s="193"/>
    </row>
    <row r="2066" spans="21:32" x14ac:dyDescent="0.3">
      <c r="U2066" s="193"/>
      <c r="V2066" s="193"/>
      <c r="W2066" s="193"/>
      <c r="X2066" s="193"/>
      <c r="Y2066" s="193"/>
      <c r="Z2066" s="193"/>
      <c r="AC2066" s="193"/>
      <c r="AD2066" s="193"/>
      <c r="AE2066" s="193"/>
      <c r="AF2066" s="193"/>
    </row>
    <row r="2067" spans="21:32" x14ac:dyDescent="0.3">
      <c r="U2067" s="193"/>
      <c r="V2067" s="193"/>
      <c r="W2067" s="193"/>
      <c r="X2067" s="193"/>
      <c r="Y2067" s="193"/>
      <c r="Z2067" s="193"/>
      <c r="AC2067" s="193"/>
      <c r="AD2067" s="193"/>
      <c r="AE2067" s="193"/>
      <c r="AF2067" s="193"/>
    </row>
    <row r="2068" spans="21:32" x14ac:dyDescent="0.3">
      <c r="U2068" s="193"/>
      <c r="V2068" s="193"/>
      <c r="W2068" s="193"/>
      <c r="X2068" s="193"/>
      <c r="Y2068" s="193"/>
      <c r="Z2068" s="193"/>
      <c r="AC2068" s="193"/>
      <c r="AD2068" s="193"/>
      <c r="AE2068" s="193"/>
      <c r="AF2068" s="193"/>
    </row>
    <row r="2069" spans="21:32" x14ac:dyDescent="0.3">
      <c r="U2069" s="193"/>
      <c r="V2069" s="193"/>
      <c r="W2069" s="193"/>
      <c r="X2069" s="193"/>
      <c r="Y2069" s="193"/>
      <c r="Z2069" s="193"/>
      <c r="AC2069" s="193"/>
      <c r="AD2069" s="193"/>
      <c r="AE2069" s="193"/>
      <c r="AF2069" s="193"/>
    </row>
    <row r="2070" spans="21:32" x14ac:dyDescent="0.3">
      <c r="U2070" s="193"/>
      <c r="V2070" s="193"/>
      <c r="W2070" s="193"/>
      <c r="X2070" s="193"/>
      <c r="Y2070" s="193"/>
      <c r="Z2070" s="193"/>
      <c r="AC2070" s="193"/>
      <c r="AD2070" s="193"/>
      <c r="AE2070" s="193"/>
      <c r="AF2070" s="193"/>
    </row>
    <row r="2071" spans="21:32" x14ac:dyDescent="0.3">
      <c r="U2071" s="193"/>
      <c r="V2071" s="193"/>
      <c r="W2071" s="193"/>
      <c r="X2071" s="193"/>
      <c r="Y2071" s="193"/>
      <c r="Z2071" s="193"/>
      <c r="AC2071" s="193"/>
      <c r="AD2071" s="193"/>
      <c r="AE2071" s="193"/>
      <c r="AF2071" s="193"/>
    </row>
    <row r="2072" spans="21:32" x14ac:dyDescent="0.3">
      <c r="U2072" s="193"/>
      <c r="V2072" s="193"/>
      <c r="W2072" s="193"/>
      <c r="X2072" s="193"/>
      <c r="Y2072" s="193"/>
      <c r="Z2072" s="193"/>
      <c r="AC2072" s="193"/>
      <c r="AD2072" s="193"/>
      <c r="AE2072" s="193"/>
      <c r="AF2072" s="193"/>
    </row>
    <row r="2073" spans="21:32" x14ac:dyDescent="0.3">
      <c r="U2073" s="193"/>
      <c r="V2073" s="193"/>
      <c r="W2073" s="193"/>
      <c r="X2073" s="193"/>
      <c r="Y2073" s="193"/>
      <c r="Z2073" s="193"/>
      <c r="AC2073" s="193"/>
      <c r="AD2073" s="193"/>
      <c r="AE2073" s="193"/>
      <c r="AF2073" s="193"/>
    </row>
    <row r="2074" spans="21:32" x14ac:dyDescent="0.3">
      <c r="U2074" s="193"/>
      <c r="V2074" s="193"/>
      <c r="W2074" s="193"/>
      <c r="X2074" s="193"/>
      <c r="Y2074" s="193"/>
      <c r="Z2074" s="193"/>
      <c r="AC2074" s="193"/>
      <c r="AD2074" s="193"/>
      <c r="AE2074" s="193"/>
      <c r="AF2074" s="193"/>
    </row>
    <row r="2075" spans="21:32" x14ac:dyDescent="0.3">
      <c r="U2075" s="193"/>
      <c r="V2075" s="193"/>
      <c r="W2075" s="193"/>
      <c r="X2075" s="193"/>
      <c r="Y2075" s="193"/>
      <c r="Z2075" s="193"/>
      <c r="AC2075" s="193"/>
      <c r="AD2075" s="193"/>
      <c r="AE2075" s="193"/>
      <c r="AF2075" s="193"/>
    </row>
    <row r="2076" spans="21:32" x14ac:dyDescent="0.3">
      <c r="U2076" s="193"/>
      <c r="V2076" s="193"/>
      <c r="W2076" s="193"/>
      <c r="X2076" s="193"/>
      <c r="Y2076" s="193"/>
      <c r="Z2076" s="193"/>
      <c r="AC2076" s="193"/>
      <c r="AD2076" s="193"/>
      <c r="AE2076" s="193"/>
      <c r="AF2076" s="193"/>
    </row>
    <row r="2077" spans="21:32" x14ac:dyDescent="0.3">
      <c r="U2077" s="193"/>
      <c r="V2077" s="193"/>
      <c r="W2077" s="193"/>
      <c r="X2077" s="193"/>
      <c r="Y2077" s="193"/>
      <c r="Z2077" s="193"/>
      <c r="AC2077" s="193"/>
      <c r="AD2077" s="193"/>
      <c r="AE2077" s="193"/>
      <c r="AF2077" s="193"/>
    </row>
    <row r="2078" spans="21:32" x14ac:dyDescent="0.3">
      <c r="U2078" s="193"/>
      <c r="V2078" s="193"/>
      <c r="W2078" s="193"/>
      <c r="X2078" s="193"/>
      <c r="Y2078" s="193"/>
      <c r="Z2078" s="193"/>
      <c r="AC2078" s="193"/>
      <c r="AD2078" s="193"/>
      <c r="AE2078" s="193"/>
      <c r="AF2078" s="193"/>
    </row>
    <row r="2079" spans="21:32" x14ac:dyDescent="0.3">
      <c r="U2079" s="193"/>
      <c r="V2079" s="193"/>
      <c r="W2079" s="193"/>
      <c r="X2079" s="193"/>
      <c r="Y2079" s="193"/>
      <c r="Z2079" s="193"/>
      <c r="AC2079" s="193"/>
      <c r="AD2079" s="193"/>
      <c r="AE2079" s="193"/>
      <c r="AF2079" s="193"/>
    </row>
    <row r="2080" spans="21:32" x14ac:dyDescent="0.3">
      <c r="U2080" s="193"/>
      <c r="V2080" s="193"/>
      <c r="W2080" s="193"/>
      <c r="X2080" s="193"/>
      <c r="Y2080" s="193"/>
      <c r="Z2080" s="193"/>
      <c r="AC2080" s="193"/>
      <c r="AD2080" s="193"/>
      <c r="AE2080" s="193"/>
      <c r="AF2080" s="193"/>
    </row>
    <row r="2081" spans="21:32" x14ac:dyDescent="0.3">
      <c r="U2081" s="193"/>
      <c r="V2081" s="193"/>
      <c r="W2081" s="193"/>
      <c r="X2081" s="193"/>
      <c r="Y2081" s="193"/>
      <c r="Z2081" s="193"/>
      <c r="AC2081" s="193"/>
      <c r="AD2081" s="193"/>
      <c r="AE2081" s="193"/>
      <c r="AF2081" s="193"/>
    </row>
    <row r="2082" spans="21:32" x14ac:dyDescent="0.3">
      <c r="U2082" s="193"/>
      <c r="V2082" s="193"/>
      <c r="W2082" s="193"/>
      <c r="X2082" s="193"/>
      <c r="Y2082" s="193"/>
      <c r="Z2082" s="193"/>
      <c r="AC2082" s="193"/>
      <c r="AD2082" s="193"/>
      <c r="AE2082" s="193"/>
      <c r="AF2082" s="193"/>
    </row>
    <row r="2083" spans="21:32" x14ac:dyDescent="0.3">
      <c r="U2083" s="193"/>
      <c r="V2083" s="193"/>
      <c r="W2083" s="193"/>
      <c r="X2083" s="193"/>
      <c r="Y2083" s="193"/>
      <c r="Z2083" s="193"/>
      <c r="AC2083" s="193"/>
      <c r="AD2083" s="193"/>
      <c r="AE2083" s="193"/>
      <c r="AF2083" s="193"/>
    </row>
    <row r="2084" spans="21:32" x14ac:dyDescent="0.3">
      <c r="U2084" s="193"/>
      <c r="V2084" s="193"/>
      <c r="W2084" s="193"/>
      <c r="X2084" s="193"/>
      <c r="Y2084" s="193"/>
      <c r="Z2084" s="193"/>
      <c r="AC2084" s="193"/>
      <c r="AD2084" s="193"/>
      <c r="AE2084" s="193"/>
      <c r="AF2084" s="193"/>
    </row>
    <row r="2085" spans="21:32" x14ac:dyDescent="0.3">
      <c r="U2085" s="193"/>
      <c r="V2085" s="193"/>
      <c r="W2085" s="193"/>
      <c r="X2085" s="193"/>
      <c r="Y2085" s="193"/>
      <c r="Z2085" s="193"/>
      <c r="AC2085" s="193"/>
      <c r="AD2085" s="193"/>
      <c r="AE2085" s="193"/>
      <c r="AF2085" s="193"/>
    </row>
    <row r="2086" spans="21:32" x14ac:dyDescent="0.3">
      <c r="U2086" s="193"/>
      <c r="V2086" s="193"/>
      <c r="W2086" s="193"/>
      <c r="X2086" s="193"/>
      <c r="Y2086" s="193"/>
      <c r="Z2086" s="193"/>
      <c r="AC2086" s="193"/>
      <c r="AD2086" s="193"/>
      <c r="AE2086" s="193"/>
      <c r="AF2086" s="193"/>
    </row>
    <row r="2087" spans="21:32" x14ac:dyDescent="0.3">
      <c r="U2087" s="193"/>
      <c r="V2087" s="193"/>
      <c r="W2087" s="193"/>
      <c r="X2087" s="193"/>
      <c r="Y2087" s="193"/>
      <c r="Z2087" s="193"/>
      <c r="AC2087" s="193"/>
      <c r="AD2087" s="193"/>
      <c r="AE2087" s="193"/>
      <c r="AF2087" s="193"/>
    </row>
    <row r="2088" spans="21:32" x14ac:dyDescent="0.3">
      <c r="U2088" s="193"/>
      <c r="V2088" s="193"/>
      <c r="W2088" s="193"/>
      <c r="X2088" s="193"/>
      <c r="Y2088" s="193"/>
      <c r="Z2088" s="193"/>
      <c r="AC2088" s="193"/>
      <c r="AD2088" s="193"/>
      <c r="AE2088" s="193"/>
      <c r="AF2088" s="193"/>
    </row>
    <row r="2089" spans="21:32" x14ac:dyDescent="0.3">
      <c r="U2089" s="193"/>
      <c r="V2089" s="193"/>
      <c r="W2089" s="193"/>
      <c r="X2089" s="193"/>
      <c r="Y2089" s="193"/>
      <c r="Z2089" s="193"/>
      <c r="AC2089" s="193"/>
      <c r="AD2089" s="193"/>
      <c r="AE2089" s="193"/>
      <c r="AF2089" s="193"/>
    </row>
    <row r="2090" spans="21:32" x14ac:dyDescent="0.3">
      <c r="U2090" s="193"/>
      <c r="V2090" s="193"/>
      <c r="W2090" s="193"/>
      <c r="X2090" s="193"/>
      <c r="Y2090" s="193"/>
      <c r="Z2090" s="193"/>
      <c r="AC2090" s="193"/>
      <c r="AD2090" s="193"/>
      <c r="AE2090" s="193"/>
      <c r="AF2090" s="193"/>
    </row>
    <row r="2091" spans="21:32" x14ac:dyDescent="0.3">
      <c r="U2091" s="193"/>
      <c r="V2091" s="193"/>
      <c r="W2091" s="193"/>
      <c r="X2091" s="193"/>
      <c r="Y2091" s="193"/>
      <c r="Z2091" s="193"/>
      <c r="AC2091" s="193"/>
      <c r="AD2091" s="193"/>
      <c r="AE2091" s="193"/>
      <c r="AF2091" s="193"/>
    </row>
    <row r="2092" spans="21:32" x14ac:dyDescent="0.3">
      <c r="U2092" s="193"/>
      <c r="V2092" s="193"/>
      <c r="W2092" s="193"/>
      <c r="X2092" s="193"/>
      <c r="Y2092" s="193"/>
      <c r="Z2092" s="193"/>
      <c r="AC2092" s="193"/>
      <c r="AD2092" s="193"/>
      <c r="AE2092" s="193"/>
      <c r="AF2092" s="193"/>
    </row>
    <row r="2093" spans="21:32" x14ac:dyDescent="0.3">
      <c r="U2093" s="193"/>
      <c r="V2093" s="193"/>
      <c r="W2093" s="193"/>
      <c r="X2093" s="193"/>
      <c r="Y2093" s="193"/>
      <c r="Z2093" s="193"/>
      <c r="AC2093" s="193"/>
      <c r="AD2093" s="193"/>
      <c r="AE2093" s="193"/>
      <c r="AF2093" s="193"/>
    </row>
    <row r="2094" spans="21:32" x14ac:dyDescent="0.3">
      <c r="U2094" s="193"/>
      <c r="V2094" s="193"/>
      <c r="W2094" s="193"/>
      <c r="X2094" s="193"/>
      <c r="Y2094" s="193"/>
      <c r="Z2094" s="193"/>
      <c r="AC2094" s="193"/>
      <c r="AD2094" s="193"/>
      <c r="AE2094" s="193"/>
      <c r="AF2094" s="193"/>
    </row>
    <row r="2095" spans="21:32" x14ac:dyDescent="0.3">
      <c r="U2095" s="193"/>
      <c r="V2095" s="193"/>
      <c r="W2095" s="193"/>
      <c r="X2095" s="193"/>
      <c r="Y2095" s="193"/>
      <c r="Z2095" s="193"/>
      <c r="AC2095" s="193"/>
      <c r="AD2095" s="193"/>
      <c r="AE2095" s="193"/>
      <c r="AF2095" s="193"/>
    </row>
    <row r="2096" spans="21:32" x14ac:dyDescent="0.3">
      <c r="U2096" s="193"/>
      <c r="V2096" s="193"/>
      <c r="W2096" s="193"/>
      <c r="X2096" s="193"/>
      <c r="Y2096" s="193"/>
      <c r="Z2096" s="193"/>
      <c r="AC2096" s="193"/>
      <c r="AD2096" s="193"/>
      <c r="AE2096" s="193"/>
      <c r="AF2096" s="193"/>
    </row>
    <row r="2097" spans="21:32" x14ac:dyDescent="0.3">
      <c r="U2097" s="193"/>
      <c r="V2097" s="193"/>
      <c r="W2097" s="193"/>
      <c r="X2097" s="193"/>
      <c r="Y2097" s="193"/>
      <c r="Z2097" s="193"/>
      <c r="AC2097" s="193"/>
      <c r="AD2097" s="193"/>
      <c r="AE2097" s="193"/>
      <c r="AF2097" s="193"/>
    </row>
    <row r="2098" spans="21:32" x14ac:dyDescent="0.3">
      <c r="U2098" s="193"/>
      <c r="V2098" s="193"/>
      <c r="W2098" s="193"/>
      <c r="X2098" s="193"/>
      <c r="Y2098" s="193"/>
      <c r="Z2098" s="193"/>
      <c r="AC2098" s="193"/>
      <c r="AD2098" s="193"/>
      <c r="AE2098" s="193"/>
      <c r="AF2098" s="193"/>
    </row>
    <row r="2099" spans="21:32" x14ac:dyDescent="0.3">
      <c r="U2099" s="193"/>
      <c r="V2099" s="193"/>
      <c r="W2099" s="193"/>
      <c r="X2099" s="193"/>
      <c r="Y2099" s="193"/>
      <c r="Z2099" s="193"/>
      <c r="AC2099" s="193"/>
      <c r="AD2099" s="193"/>
      <c r="AE2099" s="193"/>
      <c r="AF2099" s="193"/>
    </row>
    <row r="2100" spans="21:32" x14ac:dyDescent="0.3">
      <c r="U2100" s="193"/>
      <c r="V2100" s="193"/>
      <c r="W2100" s="193"/>
      <c r="X2100" s="193"/>
      <c r="Y2100" s="193"/>
      <c r="Z2100" s="193"/>
      <c r="AC2100" s="193"/>
      <c r="AD2100" s="193"/>
      <c r="AE2100" s="193"/>
      <c r="AF2100" s="193"/>
    </row>
    <row r="2101" spans="21:32" x14ac:dyDescent="0.3">
      <c r="U2101" s="193"/>
      <c r="V2101" s="193"/>
      <c r="W2101" s="193"/>
      <c r="X2101" s="193"/>
      <c r="Y2101" s="193"/>
      <c r="Z2101" s="193"/>
      <c r="AC2101" s="193"/>
      <c r="AD2101" s="193"/>
      <c r="AE2101" s="193"/>
      <c r="AF2101" s="193"/>
    </row>
    <row r="2102" spans="21:32" x14ac:dyDescent="0.3">
      <c r="U2102" s="193"/>
      <c r="V2102" s="193"/>
      <c r="W2102" s="193"/>
      <c r="X2102" s="193"/>
      <c r="Y2102" s="193"/>
      <c r="Z2102" s="193"/>
      <c r="AC2102" s="193"/>
      <c r="AD2102" s="193"/>
      <c r="AE2102" s="193"/>
      <c r="AF2102" s="193"/>
    </row>
    <row r="2103" spans="21:32" x14ac:dyDescent="0.3">
      <c r="U2103" s="193"/>
      <c r="V2103" s="193"/>
      <c r="W2103" s="193"/>
      <c r="X2103" s="193"/>
      <c r="Y2103" s="193"/>
      <c r="Z2103" s="193"/>
      <c r="AC2103" s="193"/>
      <c r="AD2103" s="193"/>
      <c r="AE2103" s="193"/>
      <c r="AF2103" s="193"/>
    </row>
    <row r="2104" spans="21:32" x14ac:dyDescent="0.3">
      <c r="U2104" s="193"/>
      <c r="V2104" s="193"/>
      <c r="W2104" s="193"/>
      <c r="X2104" s="193"/>
      <c r="Y2104" s="193"/>
      <c r="Z2104" s="193"/>
      <c r="AC2104" s="193"/>
      <c r="AD2104" s="193"/>
      <c r="AE2104" s="193"/>
      <c r="AF2104" s="193"/>
    </row>
    <row r="2105" spans="21:32" x14ac:dyDescent="0.3">
      <c r="U2105" s="193"/>
      <c r="V2105" s="193"/>
      <c r="W2105" s="193"/>
      <c r="X2105" s="193"/>
      <c r="Y2105" s="193"/>
      <c r="Z2105" s="193"/>
      <c r="AC2105" s="193"/>
      <c r="AD2105" s="193"/>
      <c r="AE2105" s="193"/>
      <c r="AF2105" s="193"/>
    </row>
    <row r="2106" spans="21:32" x14ac:dyDescent="0.3">
      <c r="U2106" s="193"/>
      <c r="V2106" s="193"/>
      <c r="W2106" s="193"/>
      <c r="X2106" s="193"/>
      <c r="Y2106" s="193"/>
      <c r="Z2106" s="193"/>
      <c r="AC2106" s="193"/>
      <c r="AD2106" s="193"/>
      <c r="AE2106" s="193"/>
      <c r="AF2106" s="193"/>
    </row>
    <row r="2107" spans="21:32" x14ac:dyDescent="0.3">
      <c r="U2107" s="193"/>
      <c r="V2107" s="193"/>
      <c r="W2107" s="193"/>
      <c r="X2107" s="193"/>
      <c r="Y2107" s="193"/>
      <c r="Z2107" s="193"/>
      <c r="AC2107" s="193"/>
      <c r="AD2107" s="193"/>
      <c r="AE2107" s="193"/>
      <c r="AF2107" s="193"/>
    </row>
    <row r="2108" spans="21:32" x14ac:dyDescent="0.3">
      <c r="U2108" s="193"/>
      <c r="V2108" s="193"/>
      <c r="W2108" s="193"/>
      <c r="X2108" s="193"/>
      <c r="Y2108" s="193"/>
      <c r="Z2108" s="193"/>
      <c r="AC2108" s="193"/>
      <c r="AD2108" s="193"/>
      <c r="AE2108" s="193"/>
      <c r="AF2108" s="193"/>
    </row>
    <row r="2109" spans="21:32" x14ac:dyDescent="0.3">
      <c r="U2109" s="193"/>
      <c r="V2109" s="193"/>
      <c r="W2109" s="193"/>
      <c r="X2109" s="193"/>
      <c r="Y2109" s="193"/>
      <c r="Z2109" s="193"/>
      <c r="AC2109" s="193"/>
      <c r="AD2109" s="193"/>
      <c r="AE2109" s="193"/>
      <c r="AF2109" s="193"/>
    </row>
    <row r="2110" spans="21:32" x14ac:dyDescent="0.3">
      <c r="U2110" s="193"/>
      <c r="V2110" s="193"/>
      <c r="W2110" s="193"/>
      <c r="X2110" s="193"/>
      <c r="Y2110" s="193"/>
      <c r="Z2110" s="193"/>
      <c r="AC2110" s="193"/>
      <c r="AD2110" s="193"/>
      <c r="AE2110" s="193"/>
      <c r="AF2110" s="193"/>
    </row>
    <row r="2111" spans="21:32" x14ac:dyDescent="0.3">
      <c r="U2111" s="193"/>
      <c r="V2111" s="193"/>
      <c r="W2111" s="193"/>
      <c r="X2111" s="193"/>
      <c r="Y2111" s="193"/>
      <c r="Z2111" s="193"/>
      <c r="AC2111" s="193"/>
      <c r="AD2111" s="193"/>
      <c r="AE2111" s="193"/>
      <c r="AF2111" s="193"/>
    </row>
    <row r="2112" spans="21:32" x14ac:dyDescent="0.3">
      <c r="U2112" s="193"/>
      <c r="V2112" s="193"/>
      <c r="W2112" s="193"/>
      <c r="X2112" s="193"/>
      <c r="Y2112" s="193"/>
      <c r="Z2112" s="193"/>
      <c r="AC2112" s="193"/>
      <c r="AD2112" s="193"/>
      <c r="AE2112" s="193"/>
      <c r="AF2112" s="193"/>
    </row>
    <row r="2113" spans="21:32" x14ac:dyDescent="0.3">
      <c r="U2113" s="193"/>
      <c r="V2113" s="193"/>
      <c r="W2113" s="193"/>
      <c r="X2113" s="193"/>
      <c r="Y2113" s="193"/>
      <c r="Z2113" s="193"/>
      <c r="AC2113" s="193"/>
      <c r="AD2113" s="193"/>
      <c r="AE2113" s="193"/>
      <c r="AF2113" s="193"/>
    </row>
    <row r="2114" spans="21:32" x14ac:dyDescent="0.3">
      <c r="U2114" s="193"/>
      <c r="V2114" s="193"/>
      <c r="W2114" s="193"/>
      <c r="X2114" s="193"/>
      <c r="Y2114" s="193"/>
      <c r="Z2114" s="193"/>
      <c r="AC2114" s="193"/>
      <c r="AD2114" s="193"/>
      <c r="AE2114" s="193"/>
      <c r="AF2114" s="193"/>
    </row>
    <row r="2115" spans="21:32" x14ac:dyDescent="0.3">
      <c r="U2115" s="193"/>
      <c r="V2115" s="193"/>
      <c r="W2115" s="193"/>
      <c r="X2115" s="193"/>
      <c r="Y2115" s="193"/>
      <c r="Z2115" s="193"/>
      <c r="AC2115" s="193"/>
      <c r="AD2115" s="193"/>
      <c r="AE2115" s="193"/>
      <c r="AF2115" s="193"/>
    </row>
    <row r="2116" spans="21:32" x14ac:dyDescent="0.3">
      <c r="U2116" s="193"/>
      <c r="V2116" s="193"/>
      <c r="W2116" s="193"/>
      <c r="X2116" s="193"/>
      <c r="Y2116" s="193"/>
      <c r="Z2116" s="193"/>
      <c r="AC2116" s="193"/>
      <c r="AD2116" s="193"/>
      <c r="AE2116" s="193"/>
      <c r="AF2116" s="193"/>
    </row>
    <row r="2117" spans="21:32" x14ac:dyDescent="0.3">
      <c r="U2117" s="193"/>
      <c r="V2117" s="193"/>
      <c r="W2117" s="193"/>
      <c r="X2117" s="193"/>
      <c r="Y2117" s="193"/>
      <c r="Z2117" s="193"/>
      <c r="AC2117" s="193"/>
      <c r="AD2117" s="193"/>
      <c r="AE2117" s="193"/>
      <c r="AF2117" s="193"/>
    </row>
    <row r="2118" spans="21:32" x14ac:dyDescent="0.3">
      <c r="U2118" s="193"/>
      <c r="V2118" s="193"/>
      <c r="W2118" s="193"/>
      <c r="X2118" s="193"/>
      <c r="Y2118" s="193"/>
      <c r="Z2118" s="193"/>
      <c r="AC2118" s="193"/>
      <c r="AD2118" s="193"/>
      <c r="AE2118" s="193"/>
      <c r="AF2118" s="193"/>
    </row>
    <row r="2119" spans="21:32" x14ac:dyDescent="0.3">
      <c r="U2119" s="193"/>
      <c r="V2119" s="193"/>
      <c r="W2119" s="193"/>
      <c r="X2119" s="193"/>
      <c r="Y2119" s="193"/>
      <c r="Z2119" s="193"/>
      <c r="AC2119" s="193"/>
      <c r="AD2119" s="193"/>
      <c r="AE2119" s="193"/>
      <c r="AF2119" s="193"/>
    </row>
    <row r="2120" spans="21:32" x14ac:dyDescent="0.3">
      <c r="U2120" s="193"/>
      <c r="V2120" s="193"/>
      <c r="W2120" s="193"/>
      <c r="X2120" s="193"/>
      <c r="Y2120" s="193"/>
      <c r="Z2120" s="193"/>
      <c r="AC2120" s="193"/>
      <c r="AD2120" s="193"/>
      <c r="AE2120" s="193"/>
      <c r="AF2120" s="193"/>
    </row>
    <row r="2121" spans="21:32" x14ac:dyDescent="0.3">
      <c r="U2121" s="193"/>
      <c r="V2121" s="193"/>
      <c r="W2121" s="193"/>
      <c r="X2121" s="193"/>
      <c r="Y2121" s="193"/>
      <c r="Z2121" s="193"/>
      <c r="AC2121" s="193"/>
      <c r="AD2121" s="193"/>
      <c r="AE2121" s="193"/>
      <c r="AF2121" s="193"/>
    </row>
    <row r="2122" spans="21:32" x14ac:dyDescent="0.3">
      <c r="U2122" s="193"/>
      <c r="V2122" s="193"/>
      <c r="W2122" s="193"/>
      <c r="X2122" s="193"/>
      <c r="Y2122" s="193"/>
      <c r="Z2122" s="193"/>
      <c r="AC2122" s="193"/>
      <c r="AD2122" s="193"/>
      <c r="AE2122" s="193"/>
      <c r="AF2122" s="193"/>
    </row>
    <row r="2123" spans="21:32" x14ac:dyDescent="0.3">
      <c r="U2123" s="193"/>
      <c r="V2123" s="193"/>
      <c r="W2123" s="193"/>
      <c r="X2123" s="193"/>
      <c r="Y2123" s="193"/>
      <c r="Z2123" s="193"/>
      <c r="AC2123" s="193"/>
      <c r="AD2123" s="193"/>
      <c r="AE2123" s="193"/>
      <c r="AF2123" s="193"/>
    </row>
    <row r="2124" spans="21:32" x14ac:dyDescent="0.3">
      <c r="U2124" s="193"/>
      <c r="V2124" s="193"/>
      <c r="W2124" s="193"/>
      <c r="X2124" s="193"/>
      <c r="Y2124" s="193"/>
      <c r="Z2124" s="193"/>
      <c r="AC2124" s="193"/>
      <c r="AD2124" s="193"/>
      <c r="AE2124" s="193"/>
      <c r="AF2124" s="193"/>
    </row>
    <row r="2125" spans="21:32" x14ac:dyDescent="0.3">
      <c r="U2125" s="193"/>
      <c r="V2125" s="193"/>
      <c r="W2125" s="193"/>
      <c r="X2125" s="193"/>
      <c r="Y2125" s="193"/>
      <c r="Z2125" s="193"/>
      <c r="AC2125" s="193"/>
      <c r="AD2125" s="193"/>
      <c r="AE2125" s="193"/>
      <c r="AF2125" s="193"/>
    </row>
    <row r="2126" spans="21:32" x14ac:dyDescent="0.3">
      <c r="U2126" s="193"/>
      <c r="V2126" s="193"/>
      <c r="W2126" s="193"/>
      <c r="X2126" s="193"/>
      <c r="Y2126" s="193"/>
      <c r="Z2126" s="193"/>
      <c r="AC2126" s="193"/>
      <c r="AD2126" s="193"/>
      <c r="AE2126" s="193"/>
      <c r="AF2126" s="193"/>
    </row>
    <row r="2127" spans="21:32" x14ac:dyDescent="0.3">
      <c r="U2127" s="193"/>
      <c r="V2127" s="193"/>
      <c r="W2127" s="193"/>
      <c r="X2127" s="193"/>
      <c r="Y2127" s="193"/>
      <c r="Z2127" s="193"/>
      <c r="AC2127" s="193"/>
      <c r="AD2127" s="193"/>
      <c r="AE2127" s="193"/>
      <c r="AF2127" s="193"/>
    </row>
    <row r="2128" spans="21:32" x14ac:dyDescent="0.3">
      <c r="U2128" s="193"/>
      <c r="V2128" s="193"/>
      <c r="W2128" s="193"/>
      <c r="X2128" s="193"/>
      <c r="Y2128" s="193"/>
      <c r="Z2128" s="193"/>
      <c r="AC2128" s="193"/>
      <c r="AD2128" s="193"/>
      <c r="AE2128" s="193"/>
      <c r="AF2128" s="193"/>
    </row>
    <row r="2129" spans="21:32" x14ac:dyDescent="0.3">
      <c r="U2129" s="193"/>
      <c r="V2129" s="193"/>
      <c r="W2129" s="193"/>
      <c r="X2129" s="193"/>
      <c r="Y2129" s="193"/>
      <c r="Z2129" s="193"/>
      <c r="AC2129" s="193"/>
      <c r="AD2129" s="193"/>
      <c r="AE2129" s="193"/>
      <c r="AF2129" s="193"/>
    </row>
    <row r="2130" spans="21:32" x14ac:dyDescent="0.3">
      <c r="U2130" s="193"/>
      <c r="V2130" s="193"/>
      <c r="W2130" s="193"/>
      <c r="X2130" s="193"/>
      <c r="Y2130" s="193"/>
      <c r="Z2130" s="193"/>
      <c r="AC2130" s="193"/>
      <c r="AD2130" s="193"/>
      <c r="AE2130" s="193"/>
      <c r="AF2130" s="193"/>
    </row>
    <row r="2131" spans="21:32" x14ac:dyDescent="0.3">
      <c r="U2131" s="193"/>
      <c r="V2131" s="193"/>
      <c r="W2131" s="193"/>
      <c r="X2131" s="193"/>
      <c r="Y2131" s="193"/>
      <c r="Z2131" s="193"/>
      <c r="AC2131" s="193"/>
      <c r="AD2131" s="193"/>
      <c r="AE2131" s="193"/>
      <c r="AF2131" s="193"/>
    </row>
    <row r="2132" spans="21:32" x14ac:dyDescent="0.3">
      <c r="U2132" s="193"/>
      <c r="V2132" s="193"/>
      <c r="W2132" s="193"/>
      <c r="X2132" s="193"/>
      <c r="Y2132" s="193"/>
      <c r="Z2132" s="193"/>
      <c r="AC2132" s="193"/>
      <c r="AD2132" s="193"/>
      <c r="AE2132" s="193"/>
      <c r="AF2132" s="193"/>
    </row>
    <row r="2133" spans="21:32" x14ac:dyDescent="0.3">
      <c r="U2133" s="193"/>
      <c r="V2133" s="193"/>
      <c r="W2133" s="193"/>
      <c r="X2133" s="193"/>
      <c r="Y2133" s="193"/>
      <c r="Z2133" s="193"/>
      <c r="AC2133" s="193"/>
      <c r="AD2133" s="193"/>
      <c r="AE2133" s="193"/>
      <c r="AF2133" s="193"/>
    </row>
    <row r="2134" spans="21:32" x14ac:dyDescent="0.3">
      <c r="U2134" s="193"/>
      <c r="V2134" s="193"/>
      <c r="W2134" s="193"/>
      <c r="X2134" s="193"/>
      <c r="Y2134" s="193"/>
      <c r="Z2134" s="193"/>
      <c r="AC2134" s="193"/>
      <c r="AD2134" s="193"/>
      <c r="AE2134" s="193"/>
      <c r="AF2134" s="193"/>
    </row>
    <row r="2135" spans="21:32" x14ac:dyDescent="0.3">
      <c r="U2135" s="193"/>
      <c r="V2135" s="193"/>
      <c r="W2135" s="193"/>
      <c r="X2135" s="193"/>
      <c r="Y2135" s="193"/>
      <c r="Z2135" s="193"/>
      <c r="AC2135" s="193"/>
      <c r="AD2135" s="193"/>
      <c r="AE2135" s="193"/>
      <c r="AF2135" s="193"/>
    </row>
    <row r="2136" spans="21:32" x14ac:dyDescent="0.3">
      <c r="U2136" s="193"/>
      <c r="V2136" s="193"/>
      <c r="W2136" s="193"/>
      <c r="X2136" s="193"/>
      <c r="Y2136" s="193"/>
      <c r="Z2136" s="193"/>
      <c r="AC2136" s="193"/>
      <c r="AD2136" s="193"/>
      <c r="AE2136" s="193"/>
      <c r="AF2136" s="193"/>
    </row>
    <row r="2137" spans="21:32" x14ac:dyDescent="0.3">
      <c r="U2137" s="193"/>
      <c r="V2137" s="193"/>
      <c r="W2137" s="193"/>
      <c r="X2137" s="193"/>
      <c r="Y2137" s="193"/>
      <c r="Z2137" s="193"/>
      <c r="AC2137" s="193"/>
      <c r="AD2137" s="193"/>
      <c r="AE2137" s="193"/>
      <c r="AF2137" s="193"/>
    </row>
    <row r="2138" spans="21:32" x14ac:dyDescent="0.3">
      <c r="U2138" s="193"/>
      <c r="V2138" s="193"/>
      <c r="W2138" s="193"/>
      <c r="X2138" s="193"/>
      <c r="Y2138" s="193"/>
      <c r="Z2138" s="193"/>
      <c r="AC2138" s="193"/>
      <c r="AD2138" s="193"/>
      <c r="AE2138" s="193"/>
      <c r="AF2138" s="193"/>
    </row>
    <row r="2139" spans="21:32" x14ac:dyDescent="0.3">
      <c r="U2139" s="193"/>
      <c r="V2139" s="193"/>
      <c r="W2139" s="193"/>
      <c r="X2139" s="193"/>
      <c r="Y2139" s="193"/>
      <c r="Z2139" s="193"/>
      <c r="AC2139" s="193"/>
      <c r="AD2139" s="193"/>
      <c r="AE2139" s="193"/>
      <c r="AF2139" s="193"/>
    </row>
    <row r="2140" spans="21:32" x14ac:dyDescent="0.3">
      <c r="U2140" s="193"/>
      <c r="V2140" s="193"/>
      <c r="W2140" s="193"/>
      <c r="X2140" s="193"/>
      <c r="Y2140" s="193"/>
      <c r="Z2140" s="193"/>
      <c r="AC2140" s="193"/>
      <c r="AD2140" s="193"/>
      <c r="AE2140" s="193"/>
      <c r="AF2140" s="193"/>
    </row>
    <row r="2141" spans="21:32" x14ac:dyDescent="0.3">
      <c r="U2141" s="193"/>
      <c r="V2141" s="193"/>
      <c r="W2141" s="193"/>
      <c r="X2141" s="193"/>
      <c r="Y2141" s="193"/>
      <c r="Z2141" s="193"/>
      <c r="AC2141" s="193"/>
      <c r="AD2141" s="193"/>
      <c r="AE2141" s="193"/>
      <c r="AF2141" s="193"/>
    </row>
    <row r="2142" spans="21:32" x14ac:dyDescent="0.3">
      <c r="U2142" s="193"/>
      <c r="V2142" s="193"/>
      <c r="W2142" s="193"/>
      <c r="X2142" s="193"/>
      <c r="Y2142" s="193"/>
      <c r="Z2142" s="193"/>
      <c r="AC2142" s="193"/>
      <c r="AD2142" s="193"/>
      <c r="AE2142" s="193"/>
      <c r="AF2142" s="193"/>
    </row>
    <row r="2143" spans="21:32" x14ac:dyDescent="0.3">
      <c r="U2143" s="193"/>
      <c r="V2143" s="193"/>
      <c r="W2143" s="193"/>
      <c r="X2143" s="193"/>
      <c r="Y2143" s="193"/>
      <c r="Z2143" s="193"/>
      <c r="AC2143" s="193"/>
      <c r="AD2143" s="193"/>
      <c r="AE2143" s="193"/>
      <c r="AF2143" s="193"/>
    </row>
    <row r="2144" spans="21:32" x14ac:dyDescent="0.3">
      <c r="U2144" s="193"/>
      <c r="V2144" s="193"/>
      <c r="W2144" s="193"/>
      <c r="X2144" s="193"/>
      <c r="Y2144" s="193"/>
      <c r="Z2144" s="193"/>
      <c r="AC2144" s="193"/>
      <c r="AD2144" s="193"/>
      <c r="AE2144" s="193"/>
      <c r="AF2144" s="193"/>
    </row>
    <row r="2145" spans="21:32" x14ac:dyDescent="0.3">
      <c r="U2145" s="193"/>
      <c r="V2145" s="193"/>
      <c r="W2145" s="193"/>
      <c r="X2145" s="193"/>
      <c r="Y2145" s="193"/>
      <c r="Z2145" s="193"/>
      <c r="AC2145" s="193"/>
      <c r="AD2145" s="193"/>
      <c r="AE2145" s="193"/>
      <c r="AF2145" s="193"/>
    </row>
    <row r="2146" spans="21:32" x14ac:dyDescent="0.3">
      <c r="U2146" s="193"/>
      <c r="V2146" s="193"/>
      <c r="W2146" s="193"/>
      <c r="X2146" s="193"/>
      <c r="Y2146" s="193"/>
      <c r="Z2146" s="193"/>
      <c r="AC2146" s="193"/>
      <c r="AD2146" s="193"/>
      <c r="AE2146" s="193"/>
      <c r="AF2146" s="193"/>
    </row>
    <row r="2147" spans="21:32" x14ac:dyDescent="0.3">
      <c r="U2147" s="193"/>
      <c r="V2147" s="193"/>
      <c r="W2147" s="193"/>
      <c r="X2147" s="193"/>
      <c r="Y2147" s="193"/>
      <c r="Z2147" s="193"/>
      <c r="AC2147" s="193"/>
      <c r="AD2147" s="193"/>
      <c r="AE2147" s="193"/>
      <c r="AF2147" s="193"/>
    </row>
    <row r="2148" spans="21:32" x14ac:dyDescent="0.3">
      <c r="U2148" s="193"/>
      <c r="V2148" s="193"/>
      <c r="W2148" s="193"/>
      <c r="X2148" s="193"/>
      <c r="Y2148" s="193"/>
      <c r="Z2148" s="193"/>
      <c r="AC2148" s="193"/>
      <c r="AD2148" s="193"/>
      <c r="AE2148" s="193"/>
      <c r="AF2148" s="193"/>
    </row>
    <row r="2149" spans="21:32" x14ac:dyDescent="0.3">
      <c r="U2149" s="193"/>
      <c r="V2149" s="193"/>
      <c r="W2149" s="193"/>
      <c r="X2149" s="193"/>
      <c r="Y2149" s="193"/>
      <c r="Z2149" s="193"/>
      <c r="AC2149" s="193"/>
      <c r="AD2149" s="193"/>
      <c r="AE2149" s="193"/>
      <c r="AF2149" s="193"/>
    </row>
    <row r="2150" spans="21:32" x14ac:dyDescent="0.3">
      <c r="U2150" s="193"/>
      <c r="V2150" s="193"/>
      <c r="W2150" s="193"/>
      <c r="X2150" s="193"/>
      <c r="Y2150" s="193"/>
      <c r="Z2150" s="193"/>
      <c r="AC2150" s="193"/>
      <c r="AD2150" s="193"/>
      <c r="AE2150" s="193"/>
      <c r="AF2150" s="193"/>
    </row>
    <row r="2151" spans="21:32" x14ac:dyDescent="0.3">
      <c r="U2151" s="193"/>
      <c r="V2151" s="193"/>
      <c r="W2151" s="193"/>
      <c r="X2151" s="193"/>
      <c r="Y2151" s="193"/>
      <c r="Z2151" s="193"/>
      <c r="AC2151" s="193"/>
      <c r="AD2151" s="193"/>
      <c r="AE2151" s="193"/>
      <c r="AF2151" s="193"/>
    </row>
    <row r="2152" spans="21:32" x14ac:dyDescent="0.3">
      <c r="U2152" s="193"/>
      <c r="V2152" s="193"/>
      <c r="W2152" s="193"/>
      <c r="X2152" s="193"/>
      <c r="Y2152" s="193"/>
      <c r="Z2152" s="193"/>
      <c r="AC2152" s="193"/>
      <c r="AD2152" s="193"/>
      <c r="AE2152" s="193"/>
      <c r="AF2152" s="193"/>
    </row>
    <row r="2153" spans="21:32" x14ac:dyDescent="0.3">
      <c r="U2153" s="193"/>
      <c r="V2153" s="193"/>
      <c r="W2153" s="193"/>
      <c r="X2153" s="193"/>
      <c r="Y2153" s="193"/>
      <c r="Z2153" s="193"/>
      <c r="AC2153" s="193"/>
      <c r="AD2153" s="193"/>
      <c r="AE2153" s="193"/>
      <c r="AF2153" s="193"/>
    </row>
    <row r="2154" spans="21:32" x14ac:dyDescent="0.3">
      <c r="U2154" s="193"/>
      <c r="V2154" s="193"/>
      <c r="W2154" s="193"/>
      <c r="X2154" s="193"/>
      <c r="Y2154" s="193"/>
      <c r="Z2154" s="193"/>
      <c r="AC2154" s="193"/>
      <c r="AD2154" s="193"/>
      <c r="AE2154" s="193"/>
      <c r="AF2154" s="193"/>
    </row>
    <row r="2155" spans="21:32" x14ac:dyDescent="0.3">
      <c r="U2155" s="193"/>
      <c r="V2155" s="193"/>
      <c r="W2155" s="193"/>
      <c r="X2155" s="193"/>
      <c r="Y2155" s="193"/>
      <c r="Z2155" s="193"/>
      <c r="AC2155" s="193"/>
      <c r="AD2155" s="193"/>
      <c r="AE2155" s="193"/>
      <c r="AF2155" s="193"/>
    </row>
    <row r="2156" spans="21:32" x14ac:dyDescent="0.3">
      <c r="U2156" s="193"/>
      <c r="V2156" s="193"/>
      <c r="W2156" s="193"/>
      <c r="X2156" s="193"/>
      <c r="Y2156" s="193"/>
      <c r="Z2156" s="193"/>
      <c r="AC2156" s="193"/>
      <c r="AD2156" s="193"/>
      <c r="AE2156" s="193"/>
      <c r="AF2156" s="193"/>
    </row>
    <row r="2157" spans="21:32" x14ac:dyDescent="0.3">
      <c r="U2157" s="193"/>
      <c r="V2157" s="193"/>
      <c r="W2157" s="193"/>
      <c r="X2157" s="193"/>
      <c r="Y2157" s="193"/>
      <c r="Z2157" s="193"/>
      <c r="AC2157" s="193"/>
      <c r="AD2157" s="193"/>
      <c r="AE2157" s="193"/>
      <c r="AF2157" s="193"/>
    </row>
    <row r="2158" spans="21:32" x14ac:dyDescent="0.3">
      <c r="U2158" s="193"/>
      <c r="V2158" s="193"/>
      <c r="W2158" s="193"/>
      <c r="X2158" s="193"/>
      <c r="Y2158" s="193"/>
      <c r="Z2158" s="193"/>
      <c r="AC2158" s="193"/>
      <c r="AD2158" s="193"/>
      <c r="AE2158" s="193"/>
      <c r="AF2158" s="193"/>
    </row>
    <row r="2159" spans="21:32" x14ac:dyDescent="0.3">
      <c r="U2159" s="193"/>
      <c r="V2159" s="193"/>
      <c r="W2159" s="193"/>
      <c r="X2159" s="193"/>
      <c r="Y2159" s="193"/>
      <c r="Z2159" s="193"/>
      <c r="AC2159" s="193"/>
      <c r="AD2159" s="193"/>
      <c r="AE2159" s="193"/>
      <c r="AF2159" s="193"/>
    </row>
    <row r="2160" spans="21:32" x14ac:dyDescent="0.3">
      <c r="U2160" s="193"/>
      <c r="V2160" s="193"/>
      <c r="W2160" s="193"/>
      <c r="X2160" s="193"/>
      <c r="Y2160" s="193"/>
      <c r="Z2160" s="193"/>
      <c r="AC2160" s="193"/>
      <c r="AD2160" s="193"/>
      <c r="AE2160" s="193"/>
      <c r="AF2160" s="193"/>
    </row>
    <row r="2161" spans="21:32" x14ac:dyDescent="0.3">
      <c r="U2161" s="193"/>
      <c r="V2161" s="193"/>
      <c r="W2161" s="193"/>
      <c r="X2161" s="193"/>
      <c r="Y2161" s="193"/>
      <c r="Z2161" s="193"/>
      <c r="AC2161" s="193"/>
      <c r="AD2161" s="193"/>
      <c r="AE2161" s="193"/>
      <c r="AF2161" s="193"/>
    </row>
    <row r="2162" spans="21:32" x14ac:dyDescent="0.3">
      <c r="U2162" s="193"/>
      <c r="V2162" s="193"/>
      <c r="W2162" s="193"/>
      <c r="X2162" s="193"/>
      <c r="Y2162" s="193"/>
      <c r="Z2162" s="193"/>
      <c r="AC2162" s="193"/>
      <c r="AD2162" s="193"/>
      <c r="AE2162" s="193"/>
      <c r="AF2162" s="193"/>
    </row>
    <row r="2163" spans="21:32" x14ac:dyDescent="0.3">
      <c r="U2163" s="193"/>
      <c r="V2163" s="193"/>
      <c r="W2163" s="193"/>
      <c r="X2163" s="193"/>
      <c r="Y2163" s="193"/>
      <c r="Z2163" s="193"/>
      <c r="AC2163" s="193"/>
      <c r="AD2163" s="193"/>
      <c r="AE2163" s="193"/>
      <c r="AF2163" s="193"/>
    </row>
    <row r="2164" spans="21:32" x14ac:dyDescent="0.3">
      <c r="U2164" s="193"/>
      <c r="V2164" s="193"/>
      <c r="W2164" s="193"/>
      <c r="X2164" s="193"/>
      <c r="Y2164" s="193"/>
      <c r="Z2164" s="193"/>
      <c r="AC2164" s="193"/>
      <c r="AD2164" s="193"/>
      <c r="AE2164" s="193"/>
      <c r="AF2164" s="193"/>
    </row>
    <row r="2165" spans="21:32" x14ac:dyDescent="0.3">
      <c r="U2165" s="193"/>
      <c r="V2165" s="193"/>
      <c r="W2165" s="193"/>
      <c r="X2165" s="193"/>
      <c r="Y2165" s="193"/>
      <c r="Z2165" s="193"/>
      <c r="AC2165" s="193"/>
      <c r="AD2165" s="193"/>
      <c r="AE2165" s="193"/>
      <c r="AF2165" s="193"/>
    </row>
    <row r="2166" spans="21:32" x14ac:dyDescent="0.3">
      <c r="U2166" s="193"/>
      <c r="V2166" s="193"/>
      <c r="W2166" s="193"/>
      <c r="X2166" s="193"/>
      <c r="Y2166" s="193"/>
      <c r="Z2166" s="193"/>
      <c r="AC2166" s="193"/>
      <c r="AD2166" s="193"/>
      <c r="AE2166" s="193"/>
      <c r="AF2166" s="193"/>
    </row>
    <row r="2167" spans="21:32" x14ac:dyDescent="0.3">
      <c r="U2167" s="193"/>
      <c r="V2167" s="193"/>
      <c r="W2167" s="193"/>
      <c r="X2167" s="193"/>
      <c r="Y2167" s="193"/>
      <c r="Z2167" s="193"/>
      <c r="AC2167" s="193"/>
      <c r="AD2167" s="193"/>
      <c r="AE2167" s="193"/>
      <c r="AF2167" s="193"/>
    </row>
    <row r="2168" spans="21:32" x14ac:dyDescent="0.3">
      <c r="U2168" s="193"/>
      <c r="V2168" s="193"/>
      <c r="W2168" s="193"/>
      <c r="X2168" s="193"/>
      <c r="Y2168" s="193"/>
      <c r="Z2168" s="193"/>
      <c r="AC2168" s="193"/>
      <c r="AD2168" s="193"/>
      <c r="AE2168" s="193"/>
      <c r="AF2168" s="193"/>
    </row>
    <row r="2169" spans="21:32" x14ac:dyDescent="0.3">
      <c r="U2169" s="193"/>
      <c r="V2169" s="193"/>
      <c r="W2169" s="193"/>
      <c r="X2169" s="193"/>
      <c r="Y2169" s="193"/>
      <c r="Z2169" s="193"/>
      <c r="AC2169" s="193"/>
      <c r="AD2169" s="193"/>
      <c r="AE2169" s="193"/>
      <c r="AF2169" s="193"/>
    </row>
    <row r="2170" spans="21:32" x14ac:dyDescent="0.3">
      <c r="U2170" s="193"/>
      <c r="V2170" s="193"/>
      <c r="W2170" s="193"/>
      <c r="X2170" s="193"/>
      <c r="Y2170" s="193"/>
      <c r="Z2170" s="193"/>
      <c r="AC2170" s="193"/>
      <c r="AD2170" s="193"/>
      <c r="AE2170" s="193"/>
      <c r="AF2170" s="193"/>
    </row>
    <row r="2171" spans="21:32" x14ac:dyDescent="0.3">
      <c r="U2171" s="193"/>
      <c r="V2171" s="193"/>
      <c r="W2171" s="193"/>
      <c r="X2171" s="193"/>
      <c r="Y2171" s="193"/>
      <c r="Z2171" s="193"/>
      <c r="AC2171" s="193"/>
      <c r="AD2171" s="193"/>
      <c r="AE2171" s="193"/>
      <c r="AF2171" s="193"/>
    </row>
    <row r="2172" spans="21:32" x14ac:dyDescent="0.3">
      <c r="U2172" s="193"/>
      <c r="V2172" s="193"/>
      <c r="W2172" s="193"/>
      <c r="X2172" s="193"/>
      <c r="Y2172" s="193"/>
      <c r="Z2172" s="193"/>
      <c r="AC2172" s="193"/>
      <c r="AD2172" s="193"/>
      <c r="AE2172" s="193"/>
      <c r="AF2172" s="193"/>
    </row>
    <row r="2173" spans="21:32" x14ac:dyDescent="0.3">
      <c r="U2173" s="193"/>
      <c r="V2173" s="193"/>
      <c r="W2173" s="193"/>
      <c r="X2173" s="193"/>
      <c r="Y2173" s="193"/>
      <c r="Z2173" s="193"/>
      <c r="AC2173" s="193"/>
      <c r="AD2173" s="193"/>
      <c r="AE2173" s="193"/>
      <c r="AF2173" s="193"/>
    </row>
    <row r="2174" spans="21:32" x14ac:dyDescent="0.3">
      <c r="U2174" s="193"/>
      <c r="V2174" s="193"/>
      <c r="W2174" s="193"/>
      <c r="X2174" s="193"/>
      <c r="Y2174" s="193"/>
      <c r="Z2174" s="193"/>
      <c r="AC2174" s="193"/>
      <c r="AD2174" s="193"/>
      <c r="AE2174" s="193"/>
      <c r="AF2174" s="193"/>
    </row>
    <row r="2175" spans="21:32" x14ac:dyDescent="0.3">
      <c r="U2175" s="193"/>
      <c r="V2175" s="193"/>
      <c r="W2175" s="193"/>
      <c r="X2175" s="193"/>
      <c r="Y2175" s="193"/>
      <c r="Z2175" s="193"/>
      <c r="AC2175" s="193"/>
      <c r="AD2175" s="193"/>
      <c r="AE2175" s="193"/>
      <c r="AF2175" s="193"/>
    </row>
    <row r="2176" spans="21:32" x14ac:dyDescent="0.3">
      <c r="U2176" s="193"/>
      <c r="V2176" s="193"/>
      <c r="W2176" s="193"/>
      <c r="X2176" s="193"/>
      <c r="Y2176" s="193"/>
      <c r="Z2176" s="193"/>
      <c r="AC2176" s="193"/>
      <c r="AD2176" s="193"/>
      <c r="AE2176" s="193"/>
      <c r="AF2176" s="193"/>
    </row>
    <row r="2177" spans="21:32" x14ac:dyDescent="0.3">
      <c r="U2177" s="193"/>
      <c r="V2177" s="193"/>
      <c r="W2177" s="193"/>
      <c r="X2177" s="193"/>
      <c r="Y2177" s="193"/>
      <c r="Z2177" s="193"/>
      <c r="AC2177" s="193"/>
      <c r="AD2177" s="193"/>
      <c r="AE2177" s="193"/>
      <c r="AF2177" s="193"/>
    </row>
    <row r="2178" spans="21:32" x14ac:dyDescent="0.3">
      <c r="U2178" s="193"/>
      <c r="V2178" s="193"/>
      <c r="W2178" s="193"/>
      <c r="X2178" s="193"/>
      <c r="Y2178" s="193"/>
      <c r="Z2178" s="193"/>
      <c r="AC2178" s="193"/>
      <c r="AD2178" s="193"/>
      <c r="AE2178" s="193"/>
      <c r="AF2178" s="193"/>
    </row>
    <row r="2179" spans="21:32" x14ac:dyDescent="0.3">
      <c r="U2179" s="193"/>
      <c r="V2179" s="193"/>
      <c r="W2179" s="193"/>
      <c r="X2179" s="193"/>
      <c r="Y2179" s="193"/>
      <c r="Z2179" s="193"/>
      <c r="AC2179" s="193"/>
      <c r="AD2179" s="193"/>
      <c r="AE2179" s="193"/>
      <c r="AF2179" s="193"/>
    </row>
    <row r="2180" spans="21:32" x14ac:dyDescent="0.3">
      <c r="U2180" s="193"/>
      <c r="V2180" s="193"/>
      <c r="W2180" s="193"/>
      <c r="X2180" s="193"/>
      <c r="Y2180" s="193"/>
      <c r="Z2180" s="193"/>
      <c r="AC2180" s="193"/>
      <c r="AD2180" s="193"/>
      <c r="AE2180" s="193"/>
      <c r="AF2180" s="193"/>
    </row>
    <row r="2181" spans="21:32" x14ac:dyDescent="0.3">
      <c r="U2181" s="193"/>
      <c r="V2181" s="193"/>
      <c r="W2181" s="193"/>
      <c r="X2181" s="193"/>
      <c r="Y2181" s="193"/>
      <c r="Z2181" s="193"/>
      <c r="AC2181" s="193"/>
      <c r="AD2181" s="193"/>
      <c r="AE2181" s="193"/>
      <c r="AF2181" s="193"/>
    </row>
    <row r="2182" spans="21:32" x14ac:dyDescent="0.3">
      <c r="U2182" s="193"/>
      <c r="V2182" s="193"/>
      <c r="W2182" s="193"/>
      <c r="X2182" s="193"/>
      <c r="Y2182" s="193"/>
      <c r="Z2182" s="193"/>
      <c r="AC2182" s="193"/>
      <c r="AD2182" s="193"/>
      <c r="AE2182" s="193"/>
      <c r="AF2182" s="193"/>
    </row>
    <row r="2183" spans="21:32" x14ac:dyDescent="0.3">
      <c r="U2183" s="193"/>
      <c r="V2183" s="193"/>
      <c r="W2183" s="193"/>
      <c r="X2183" s="193"/>
      <c r="Y2183" s="193"/>
      <c r="Z2183" s="193"/>
      <c r="AC2183" s="193"/>
      <c r="AD2183" s="193"/>
      <c r="AE2183" s="193"/>
      <c r="AF2183" s="193"/>
    </row>
    <row r="2184" spans="21:32" x14ac:dyDescent="0.3">
      <c r="U2184" s="193"/>
      <c r="V2184" s="193"/>
      <c r="W2184" s="193"/>
      <c r="X2184" s="193"/>
      <c r="Y2184" s="193"/>
      <c r="Z2184" s="193"/>
      <c r="AC2184" s="193"/>
      <c r="AD2184" s="193"/>
      <c r="AE2184" s="193"/>
      <c r="AF2184" s="193"/>
    </row>
    <row r="2185" spans="21:32" x14ac:dyDescent="0.3">
      <c r="U2185" s="193"/>
      <c r="V2185" s="193"/>
      <c r="W2185" s="193"/>
      <c r="X2185" s="193"/>
      <c r="Y2185" s="193"/>
      <c r="Z2185" s="193"/>
      <c r="AC2185" s="193"/>
      <c r="AD2185" s="193"/>
      <c r="AE2185" s="193"/>
      <c r="AF2185" s="193"/>
    </row>
    <row r="2186" spans="21:32" x14ac:dyDescent="0.3">
      <c r="U2186" s="193"/>
      <c r="V2186" s="193"/>
      <c r="W2186" s="193"/>
      <c r="X2186" s="193"/>
      <c r="Y2186" s="193"/>
      <c r="Z2186" s="193"/>
      <c r="AC2186" s="193"/>
      <c r="AD2186" s="193"/>
      <c r="AE2186" s="193"/>
      <c r="AF2186" s="193"/>
    </row>
    <row r="2187" spans="21:32" x14ac:dyDescent="0.3">
      <c r="U2187" s="193"/>
      <c r="V2187" s="193"/>
      <c r="W2187" s="193"/>
      <c r="X2187" s="193"/>
      <c r="Y2187" s="193"/>
      <c r="Z2187" s="193"/>
      <c r="AC2187" s="193"/>
      <c r="AD2187" s="193"/>
      <c r="AE2187" s="193"/>
      <c r="AF2187" s="193"/>
    </row>
    <row r="2188" spans="21:32" x14ac:dyDescent="0.3">
      <c r="U2188" s="193"/>
      <c r="V2188" s="193"/>
      <c r="W2188" s="193"/>
      <c r="X2188" s="193"/>
      <c r="Y2188" s="193"/>
      <c r="Z2188" s="193"/>
      <c r="AC2188" s="193"/>
      <c r="AD2188" s="193"/>
      <c r="AE2188" s="193"/>
      <c r="AF2188" s="193"/>
    </row>
    <row r="2189" spans="21:32" x14ac:dyDescent="0.3">
      <c r="U2189" s="193"/>
      <c r="V2189" s="193"/>
      <c r="W2189" s="193"/>
      <c r="X2189" s="193"/>
      <c r="Y2189" s="193"/>
      <c r="Z2189" s="193"/>
      <c r="AC2189" s="193"/>
      <c r="AD2189" s="193"/>
      <c r="AE2189" s="193"/>
      <c r="AF2189" s="193"/>
    </row>
    <row r="2190" spans="21:32" x14ac:dyDescent="0.3">
      <c r="U2190" s="193"/>
      <c r="V2190" s="193"/>
      <c r="W2190" s="193"/>
      <c r="X2190" s="193"/>
      <c r="Y2190" s="193"/>
      <c r="Z2190" s="193"/>
      <c r="AC2190" s="193"/>
      <c r="AD2190" s="193"/>
      <c r="AE2190" s="193"/>
      <c r="AF2190" s="193"/>
    </row>
    <row r="2191" spans="21:32" x14ac:dyDescent="0.3">
      <c r="U2191" s="193"/>
      <c r="V2191" s="193"/>
      <c r="W2191" s="193"/>
      <c r="X2191" s="193"/>
      <c r="Y2191" s="193"/>
      <c r="Z2191" s="193"/>
      <c r="AC2191" s="193"/>
      <c r="AD2191" s="193"/>
      <c r="AE2191" s="193"/>
      <c r="AF2191" s="193"/>
    </row>
    <row r="2192" spans="21:32" x14ac:dyDescent="0.3">
      <c r="U2192" s="193"/>
      <c r="V2192" s="193"/>
      <c r="W2192" s="193"/>
      <c r="X2192" s="193"/>
      <c r="Y2192" s="193"/>
      <c r="Z2192" s="193"/>
      <c r="AC2192" s="193"/>
      <c r="AD2192" s="193"/>
      <c r="AE2192" s="193"/>
      <c r="AF2192" s="193"/>
    </row>
    <row r="2193" spans="21:32" x14ac:dyDescent="0.3">
      <c r="U2193" s="193"/>
      <c r="V2193" s="193"/>
      <c r="W2193" s="193"/>
      <c r="X2193" s="193"/>
      <c r="Y2193" s="193"/>
      <c r="Z2193" s="193"/>
      <c r="AC2193" s="193"/>
      <c r="AD2193" s="193"/>
      <c r="AE2193" s="193"/>
      <c r="AF2193" s="193"/>
    </row>
    <row r="2194" spans="21:32" x14ac:dyDescent="0.3">
      <c r="U2194" s="193"/>
      <c r="V2194" s="193"/>
      <c r="W2194" s="193"/>
      <c r="X2194" s="193"/>
      <c r="Y2194" s="193"/>
      <c r="Z2194" s="193"/>
      <c r="AC2194" s="193"/>
      <c r="AD2194" s="193"/>
      <c r="AE2194" s="193"/>
      <c r="AF2194" s="193"/>
    </row>
    <row r="2195" spans="21:32" x14ac:dyDescent="0.3">
      <c r="U2195" s="193"/>
      <c r="V2195" s="193"/>
      <c r="W2195" s="193"/>
      <c r="X2195" s="193"/>
      <c r="Y2195" s="193"/>
      <c r="Z2195" s="193"/>
      <c r="AC2195" s="193"/>
      <c r="AD2195" s="193"/>
      <c r="AE2195" s="193"/>
      <c r="AF2195" s="193"/>
    </row>
    <row r="2196" spans="21:32" x14ac:dyDescent="0.3">
      <c r="U2196" s="193"/>
      <c r="V2196" s="193"/>
      <c r="W2196" s="193"/>
      <c r="X2196" s="193"/>
      <c r="Y2196" s="193"/>
      <c r="Z2196" s="193"/>
      <c r="AC2196" s="193"/>
      <c r="AD2196" s="193"/>
      <c r="AE2196" s="193"/>
      <c r="AF2196" s="193"/>
    </row>
    <row r="2197" spans="21:32" x14ac:dyDescent="0.3">
      <c r="U2197" s="193"/>
      <c r="V2197" s="193"/>
      <c r="W2197" s="193"/>
      <c r="X2197" s="193"/>
      <c r="Y2197" s="193"/>
      <c r="Z2197" s="193"/>
      <c r="AC2197" s="193"/>
      <c r="AD2197" s="193"/>
      <c r="AE2197" s="193"/>
      <c r="AF2197" s="193"/>
    </row>
    <row r="2198" spans="21:32" x14ac:dyDescent="0.3">
      <c r="U2198" s="193"/>
      <c r="V2198" s="193"/>
      <c r="W2198" s="193"/>
      <c r="X2198" s="193"/>
      <c r="Y2198" s="193"/>
      <c r="Z2198" s="193"/>
      <c r="AC2198" s="193"/>
      <c r="AD2198" s="193"/>
      <c r="AE2198" s="193"/>
      <c r="AF2198" s="193"/>
    </row>
    <row r="2199" spans="21:32" x14ac:dyDescent="0.3">
      <c r="U2199" s="193"/>
      <c r="V2199" s="193"/>
      <c r="W2199" s="193"/>
      <c r="X2199" s="193"/>
      <c r="Y2199" s="193"/>
      <c r="Z2199" s="193"/>
      <c r="AC2199" s="193"/>
      <c r="AD2199" s="193"/>
      <c r="AE2199" s="193"/>
      <c r="AF2199" s="193"/>
    </row>
    <row r="2200" spans="21:32" x14ac:dyDescent="0.3">
      <c r="U2200" s="193"/>
      <c r="V2200" s="193"/>
      <c r="W2200" s="193"/>
      <c r="X2200" s="193"/>
      <c r="Y2200" s="193"/>
      <c r="Z2200" s="193"/>
      <c r="AC2200" s="193"/>
      <c r="AD2200" s="193"/>
      <c r="AE2200" s="193"/>
      <c r="AF2200" s="193"/>
    </row>
    <row r="2201" spans="21:32" x14ac:dyDescent="0.3">
      <c r="U2201" s="193"/>
      <c r="V2201" s="193"/>
      <c r="W2201" s="193"/>
      <c r="X2201" s="193"/>
      <c r="Y2201" s="193"/>
      <c r="Z2201" s="193"/>
      <c r="AC2201" s="193"/>
      <c r="AD2201" s="193"/>
      <c r="AE2201" s="193"/>
      <c r="AF2201" s="193"/>
    </row>
    <row r="2202" spans="21:32" x14ac:dyDescent="0.3">
      <c r="U2202" s="193"/>
      <c r="V2202" s="193"/>
      <c r="W2202" s="193"/>
      <c r="X2202" s="193"/>
      <c r="Y2202" s="193"/>
      <c r="Z2202" s="193"/>
      <c r="AC2202" s="193"/>
      <c r="AD2202" s="193"/>
      <c r="AE2202" s="193"/>
      <c r="AF2202" s="193"/>
    </row>
    <row r="2203" spans="21:32" x14ac:dyDescent="0.3">
      <c r="U2203" s="193"/>
      <c r="V2203" s="193"/>
      <c r="W2203" s="193"/>
      <c r="X2203" s="193"/>
      <c r="Y2203" s="193"/>
      <c r="Z2203" s="193"/>
      <c r="AC2203" s="193"/>
      <c r="AD2203" s="193"/>
      <c r="AE2203" s="193"/>
      <c r="AF2203" s="193"/>
    </row>
    <row r="2204" spans="21:32" x14ac:dyDescent="0.3">
      <c r="U2204" s="193"/>
      <c r="V2204" s="193"/>
      <c r="W2204" s="193"/>
      <c r="X2204" s="193"/>
      <c r="Y2204" s="193"/>
      <c r="Z2204" s="193"/>
      <c r="AC2204" s="193"/>
      <c r="AD2204" s="193"/>
      <c r="AE2204" s="193"/>
      <c r="AF2204" s="193"/>
    </row>
    <row r="2205" spans="21:32" x14ac:dyDescent="0.3">
      <c r="U2205" s="193"/>
      <c r="V2205" s="193"/>
      <c r="W2205" s="193"/>
      <c r="X2205" s="193"/>
      <c r="Y2205" s="193"/>
      <c r="Z2205" s="193"/>
      <c r="AC2205" s="193"/>
      <c r="AD2205" s="193"/>
      <c r="AE2205" s="193"/>
      <c r="AF2205" s="193"/>
    </row>
    <row r="2206" spans="21:32" x14ac:dyDescent="0.3">
      <c r="U2206" s="193"/>
      <c r="V2206" s="193"/>
      <c r="W2206" s="193"/>
      <c r="X2206" s="193"/>
      <c r="Y2206" s="193"/>
      <c r="Z2206" s="193"/>
      <c r="AC2206" s="193"/>
      <c r="AD2206" s="193"/>
      <c r="AE2206" s="193"/>
      <c r="AF2206" s="193"/>
    </row>
    <row r="2207" spans="21:32" x14ac:dyDescent="0.3">
      <c r="U2207" s="193"/>
      <c r="V2207" s="193"/>
      <c r="W2207" s="193"/>
      <c r="X2207" s="193"/>
      <c r="Y2207" s="193"/>
      <c r="Z2207" s="193"/>
      <c r="AC2207" s="193"/>
      <c r="AD2207" s="193"/>
      <c r="AE2207" s="193"/>
      <c r="AF2207" s="193"/>
    </row>
    <row r="2208" spans="21:32" x14ac:dyDescent="0.3">
      <c r="U2208" s="193"/>
      <c r="V2208" s="193"/>
      <c r="W2208" s="193"/>
      <c r="X2208" s="193"/>
      <c r="Y2208" s="193"/>
      <c r="Z2208" s="193"/>
      <c r="AC2208" s="193"/>
      <c r="AD2208" s="193"/>
      <c r="AE2208" s="193"/>
      <c r="AF2208" s="193"/>
    </row>
    <row r="2209" spans="21:32" x14ac:dyDescent="0.3">
      <c r="U2209" s="193"/>
      <c r="V2209" s="193"/>
      <c r="W2209" s="193"/>
      <c r="X2209" s="193"/>
      <c r="Y2209" s="193"/>
      <c r="Z2209" s="193"/>
      <c r="AC2209" s="193"/>
      <c r="AD2209" s="193"/>
      <c r="AE2209" s="193"/>
      <c r="AF2209" s="193"/>
    </row>
    <row r="2210" spans="21:32" x14ac:dyDescent="0.3">
      <c r="U2210" s="193"/>
      <c r="V2210" s="193"/>
      <c r="W2210" s="193"/>
      <c r="X2210" s="193"/>
      <c r="Y2210" s="193"/>
      <c r="Z2210" s="193"/>
      <c r="AC2210" s="193"/>
      <c r="AD2210" s="193"/>
      <c r="AE2210" s="193"/>
      <c r="AF2210" s="193"/>
    </row>
    <row r="2211" spans="21:32" x14ac:dyDescent="0.3">
      <c r="U2211" s="193"/>
      <c r="V2211" s="193"/>
      <c r="W2211" s="193"/>
      <c r="X2211" s="193"/>
      <c r="Y2211" s="193"/>
      <c r="Z2211" s="193"/>
      <c r="AC2211" s="193"/>
      <c r="AD2211" s="193"/>
      <c r="AE2211" s="193"/>
      <c r="AF2211" s="193"/>
    </row>
    <row r="2212" spans="21:32" x14ac:dyDescent="0.3">
      <c r="U2212" s="193"/>
      <c r="V2212" s="193"/>
      <c r="W2212" s="193"/>
      <c r="X2212" s="193"/>
      <c r="Y2212" s="193"/>
      <c r="Z2212" s="193"/>
      <c r="AC2212" s="193"/>
      <c r="AD2212" s="193"/>
      <c r="AE2212" s="193"/>
      <c r="AF2212" s="193"/>
    </row>
    <row r="2213" spans="21:32" x14ac:dyDescent="0.3">
      <c r="U2213" s="193"/>
      <c r="V2213" s="193"/>
      <c r="W2213" s="193"/>
      <c r="X2213" s="193"/>
      <c r="Y2213" s="193"/>
      <c r="Z2213" s="193"/>
      <c r="AC2213" s="193"/>
      <c r="AD2213" s="193"/>
      <c r="AE2213" s="193"/>
      <c r="AF2213" s="193"/>
    </row>
    <row r="2214" spans="21:32" x14ac:dyDescent="0.3">
      <c r="U2214" s="193"/>
      <c r="V2214" s="193"/>
      <c r="W2214" s="193"/>
      <c r="X2214" s="193"/>
      <c r="Y2214" s="193"/>
      <c r="Z2214" s="193"/>
      <c r="AC2214" s="193"/>
      <c r="AD2214" s="193"/>
      <c r="AE2214" s="193"/>
      <c r="AF2214" s="193"/>
    </row>
    <row r="2215" spans="21:32" x14ac:dyDescent="0.3">
      <c r="U2215" s="193"/>
      <c r="V2215" s="193"/>
      <c r="W2215" s="193"/>
      <c r="X2215" s="193"/>
      <c r="Y2215" s="193"/>
      <c r="Z2215" s="193"/>
      <c r="AC2215" s="193"/>
      <c r="AD2215" s="193"/>
      <c r="AE2215" s="193"/>
      <c r="AF2215" s="193"/>
    </row>
    <row r="2216" spans="21:32" x14ac:dyDescent="0.3">
      <c r="U2216" s="193"/>
      <c r="V2216" s="193"/>
      <c r="W2216" s="193"/>
      <c r="X2216" s="193"/>
      <c r="Y2216" s="193"/>
      <c r="Z2216" s="193"/>
      <c r="AC2216" s="193"/>
      <c r="AD2216" s="193"/>
      <c r="AE2216" s="193"/>
      <c r="AF2216" s="193"/>
    </row>
    <row r="2217" spans="21:32" x14ac:dyDescent="0.3">
      <c r="U2217" s="193"/>
      <c r="V2217" s="193"/>
      <c r="W2217" s="193"/>
      <c r="X2217" s="193"/>
      <c r="Y2217" s="193"/>
      <c r="Z2217" s="193"/>
      <c r="AC2217" s="193"/>
      <c r="AD2217" s="193"/>
      <c r="AE2217" s="193"/>
      <c r="AF2217" s="193"/>
    </row>
    <row r="2218" spans="21:32" x14ac:dyDescent="0.3">
      <c r="U2218" s="193"/>
      <c r="V2218" s="193"/>
      <c r="W2218" s="193"/>
      <c r="X2218" s="193"/>
      <c r="Y2218" s="193"/>
      <c r="Z2218" s="193"/>
      <c r="AC2218" s="193"/>
      <c r="AD2218" s="193"/>
      <c r="AE2218" s="193"/>
      <c r="AF2218" s="193"/>
    </row>
    <row r="2219" spans="21:32" x14ac:dyDescent="0.3">
      <c r="U2219" s="193"/>
      <c r="V2219" s="193"/>
      <c r="W2219" s="193"/>
      <c r="X2219" s="193"/>
      <c r="Y2219" s="193"/>
      <c r="Z2219" s="193"/>
      <c r="AC2219" s="193"/>
      <c r="AD2219" s="193"/>
      <c r="AE2219" s="193"/>
      <c r="AF2219" s="193"/>
    </row>
    <row r="2220" spans="21:32" x14ac:dyDescent="0.3">
      <c r="U2220" s="193"/>
      <c r="V2220" s="193"/>
      <c r="W2220" s="193"/>
      <c r="X2220" s="193"/>
      <c r="Y2220" s="193"/>
      <c r="Z2220" s="193"/>
      <c r="AC2220" s="193"/>
      <c r="AD2220" s="193"/>
      <c r="AE2220" s="193"/>
      <c r="AF2220" s="193"/>
    </row>
    <row r="2221" spans="21:32" x14ac:dyDescent="0.3">
      <c r="U2221" s="193"/>
      <c r="V2221" s="193"/>
      <c r="W2221" s="193"/>
      <c r="X2221" s="193"/>
      <c r="Y2221" s="193"/>
      <c r="Z2221" s="193"/>
      <c r="AC2221" s="193"/>
      <c r="AD2221" s="193"/>
      <c r="AE2221" s="193"/>
      <c r="AF2221" s="193"/>
    </row>
    <row r="2222" spans="21:32" x14ac:dyDescent="0.3">
      <c r="U2222" s="193"/>
      <c r="V2222" s="193"/>
      <c r="W2222" s="193"/>
      <c r="X2222" s="193"/>
      <c r="Y2222" s="193"/>
      <c r="Z2222" s="193"/>
      <c r="AC2222" s="193"/>
      <c r="AD2222" s="193"/>
      <c r="AE2222" s="193"/>
      <c r="AF2222" s="193"/>
    </row>
    <row r="2223" spans="21:32" x14ac:dyDescent="0.3">
      <c r="U2223" s="193"/>
      <c r="V2223" s="193"/>
      <c r="W2223" s="193"/>
      <c r="X2223" s="193"/>
      <c r="Y2223" s="193"/>
      <c r="Z2223" s="193"/>
      <c r="AC2223" s="193"/>
      <c r="AD2223" s="193"/>
      <c r="AE2223" s="193"/>
      <c r="AF2223" s="193"/>
    </row>
    <row r="2224" spans="21:32" x14ac:dyDescent="0.3">
      <c r="U2224" s="193"/>
      <c r="V2224" s="193"/>
      <c r="W2224" s="193"/>
      <c r="X2224" s="193"/>
      <c r="Y2224" s="193"/>
      <c r="Z2224" s="193"/>
      <c r="AC2224" s="193"/>
      <c r="AD2224" s="193"/>
      <c r="AE2224" s="193"/>
      <c r="AF2224" s="193"/>
    </row>
    <row r="2225" spans="21:32" x14ac:dyDescent="0.3">
      <c r="U2225" s="193"/>
      <c r="V2225" s="193"/>
      <c r="W2225" s="193"/>
      <c r="X2225" s="193"/>
      <c r="Y2225" s="193"/>
      <c r="Z2225" s="193"/>
      <c r="AC2225" s="193"/>
      <c r="AD2225" s="193"/>
      <c r="AE2225" s="193"/>
      <c r="AF2225" s="193"/>
    </row>
    <row r="2226" spans="21:32" x14ac:dyDescent="0.3">
      <c r="U2226" s="193"/>
      <c r="V2226" s="193"/>
      <c r="W2226" s="193"/>
      <c r="X2226" s="193"/>
      <c r="Y2226" s="193"/>
      <c r="Z2226" s="193"/>
      <c r="AC2226" s="193"/>
      <c r="AD2226" s="193"/>
      <c r="AE2226" s="193"/>
      <c r="AF2226" s="193"/>
    </row>
    <row r="2227" spans="21:32" x14ac:dyDescent="0.3">
      <c r="U2227" s="193"/>
      <c r="V2227" s="193"/>
      <c r="W2227" s="193"/>
      <c r="X2227" s="193"/>
      <c r="Y2227" s="193"/>
      <c r="Z2227" s="193"/>
      <c r="AC2227" s="193"/>
      <c r="AD2227" s="193"/>
      <c r="AE2227" s="193"/>
      <c r="AF2227" s="193"/>
    </row>
    <row r="2228" spans="21:32" x14ac:dyDescent="0.3">
      <c r="U2228" s="193"/>
      <c r="V2228" s="193"/>
      <c r="W2228" s="193"/>
      <c r="X2228" s="193"/>
      <c r="Y2228" s="193"/>
      <c r="Z2228" s="193"/>
      <c r="AC2228" s="193"/>
      <c r="AD2228" s="193"/>
      <c r="AE2228" s="193"/>
      <c r="AF2228" s="193"/>
    </row>
    <row r="2229" spans="21:32" x14ac:dyDescent="0.3">
      <c r="U2229" s="193"/>
      <c r="V2229" s="193"/>
      <c r="W2229" s="193"/>
      <c r="X2229" s="193"/>
      <c r="Y2229" s="193"/>
      <c r="Z2229" s="193"/>
      <c r="AC2229" s="193"/>
      <c r="AD2229" s="193"/>
      <c r="AE2229" s="193"/>
      <c r="AF2229" s="193"/>
    </row>
    <row r="2230" spans="21:32" x14ac:dyDescent="0.3">
      <c r="U2230" s="193"/>
      <c r="V2230" s="193"/>
      <c r="W2230" s="193"/>
      <c r="X2230" s="193"/>
      <c r="Y2230" s="193"/>
      <c r="Z2230" s="193"/>
      <c r="AC2230" s="193"/>
      <c r="AD2230" s="193"/>
      <c r="AE2230" s="193"/>
      <c r="AF2230" s="193"/>
    </row>
    <row r="2231" spans="21:32" x14ac:dyDescent="0.3">
      <c r="U2231" s="193"/>
      <c r="V2231" s="193"/>
      <c r="W2231" s="193"/>
      <c r="X2231" s="193"/>
      <c r="Y2231" s="193"/>
      <c r="Z2231" s="193"/>
      <c r="AC2231" s="193"/>
      <c r="AD2231" s="193"/>
      <c r="AE2231" s="193"/>
      <c r="AF2231" s="193"/>
    </row>
    <row r="2232" spans="21:32" x14ac:dyDescent="0.3">
      <c r="U2232" s="193"/>
      <c r="V2232" s="193"/>
      <c r="W2232" s="193"/>
      <c r="X2232" s="193"/>
      <c r="Y2232" s="193"/>
      <c r="Z2232" s="193"/>
      <c r="AC2232" s="193"/>
      <c r="AD2232" s="193"/>
      <c r="AE2232" s="193"/>
      <c r="AF2232" s="193"/>
    </row>
    <row r="2233" spans="21:32" x14ac:dyDescent="0.3">
      <c r="U2233" s="193"/>
      <c r="V2233" s="193"/>
      <c r="W2233" s="193"/>
      <c r="X2233" s="193"/>
      <c r="Y2233" s="193"/>
      <c r="Z2233" s="193"/>
      <c r="AC2233" s="193"/>
      <c r="AD2233" s="193"/>
      <c r="AE2233" s="193"/>
      <c r="AF2233" s="193"/>
    </row>
    <row r="2234" spans="21:32" x14ac:dyDescent="0.3">
      <c r="U2234" s="193"/>
      <c r="V2234" s="193"/>
      <c r="W2234" s="193"/>
      <c r="X2234" s="193"/>
      <c r="Y2234" s="193"/>
      <c r="Z2234" s="193"/>
      <c r="AC2234" s="193"/>
      <c r="AD2234" s="193"/>
      <c r="AE2234" s="193"/>
      <c r="AF2234" s="193"/>
    </row>
    <row r="2235" spans="21:32" x14ac:dyDescent="0.3">
      <c r="U2235" s="193"/>
      <c r="V2235" s="193"/>
      <c r="W2235" s="193"/>
      <c r="X2235" s="193"/>
      <c r="Y2235" s="193"/>
      <c r="Z2235" s="193"/>
      <c r="AC2235" s="193"/>
      <c r="AD2235" s="193"/>
      <c r="AE2235" s="193"/>
      <c r="AF2235" s="193"/>
    </row>
    <row r="2236" spans="21:32" x14ac:dyDescent="0.3">
      <c r="U2236" s="193"/>
      <c r="V2236" s="193"/>
      <c r="W2236" s="193"/>
      <c r="X2236" s="193"/>
      <c r="Y2236" s="193"/>
      <c r="Z2236" s="193"/>
      <c r="AC2236" s="193"/>
      <c r="AD2236" s="193"/>
      <c r="AE2236" s="193"/>
      <c r="AF2236" s="193"/>
    </row>
    <row r="2237" spans="21:32" x14ac:dyDescent="0.3">
      <c r="U2237" s="193"/>
      <c r="V2237" s="193"/>
      <c r="W2237" s="193"/>
      <c r="X2237" s="193"/>
      <c r="Y2237" s="193"/>
      <c r="Z2237" s="193"/>
      <c r="AC2237" s="193"/>
      <c r="AD2237" s="193"/>
      <c r="AE2237" s="193"/>
      <c r="AF2237" s="193"/>
    </row>
    <row r="2238" spans="21:32" x14ac:dyDescent="0.3">
      <c r="U2238" s="193"/>
      <c r="V2238" s="193"/>
      <c r="W2238" s="193"/>
      <c r="X2238" s="193"/>
      <c r="Y2238" s="193"/>
      <c r="Z2238" s="193"/>
      <c r="AC2238" s="193"/>
      <c r="AD2238" s="193"/>
      <c r="AE2238" s="193"/>
      <c r="AF2238" s="193"/>
    </row>
    <row r="2239" spans="21:32" x14ac:dyDescent="0.3">
      <c r="U2239" s="193"/>
      <c r="V2239" s="193"/>
      <c r="W2239" s="193"/>
      <c r="X2239" s="193"/>
      <c r="Y2239" s="193"/>
      <c r="Z2239" s="193"/>
      <c r="AC2239" s="193"/>
      <c r="AD2239" s="193"/>
      <c r="AE2239" s="193"/>
      <c r="AF2239" s="193"/>
    </row>
    <row r="2240" spans="21:32" x14ac:dyDescent="0.3">
      <c r="U2240" s="193"/>
      <c r="V2240" s="193"/>
      <c r="W2240" s="193"/>
      <c r="X2240" s="193"/>
      <c r="Y2240" s="193"/>
      <c r="Z2240" s="193"/>
      <c r="AC2240" s="193"/>
      <c r="AD2240" s="193"/>
      <c r="AE2240" s="193"/>
      <c r="AF2240" s="193"/>
    </row>
    <row r="2241" spans="21:32" x14ac:dyDescent="0.3">
      <c r="U2241" s="193"/>
      <c r="V2241" s="193"/>
      <c r="W2241" s="193"/>
      <c r="X2241" s="193"/>
      <c r="Y2241" s="193"/>
      <c r="Z2241" s="193"/>
      <c r="AC2241" s="193"/>
      <c r="AD2241" s="193"/>
      <c r="AE2241" s="193"/>
      <c r="AF2241" s="193"/>
    </row>
    <row r="2242" spans="21:32" x14ac:dyDescent="0.3">
      <c r="U2242" s="193"/>
      <c r="V2242" s="193"/>
      <c r="W2242" s="193"/>
      <c r="X2242" s="193"/>
      <c r="Y2242" s="193"/>
      <c r="Z2242" s="193"/>
      <c r="AC2242" s="193"/>
      <c r="AD2242" s="193"/>
      <c r="AE2242" s="193"/>
      <c r="AF2242" s="193"/>
    </row>
    <row r="2243" spans="21:32" x14ac:dyDescent="0.3">
      <c r="U2243" s="193"/>
      <c r="V2243" s="193"/>
      <c r="W2243" s="193"/>
      <c r="X2243" s="193"/>
      <c r="Y2243" s="193"/>
      <c r="Z2243" s="193"/>
      <c r="AC2243" s="193"/>
      <c r="AD2243" s="193"/>
      <c r="AE2243" s="193"/>
      <c r="AF2243" s="193"/>
    </row>
    <row r="2244" spans="21:32" x14ac:dyDescent="0.3">
      <c r="U2244" s="193"/>
      <c r="V2244" s="193"/>
      <c r="W2244" s="193"/>
      <c r="X2244" s="193"/>
      <c r="Y2244" s="193"/>
      <c r="Z2244" s="193"/>
      <c r="AC2244" s="193"/>
      <c r="AD2244" s="193"/>
      <c r="AE2244" s="193"/>
      <c r="AF2244" s="193"/>
    </row>
    <row r="2245" spans="21:32" x14ac:dyDescent="0.3">
      <c r="U2245" s="193"/>
      <c r="V2245" s="193"/>
      <c r="W2245" s="193"/>
      <c r="X2245" s="193"/>
      <c r="Y2245" s="193"/>
      <c r="Z2245" s="193"/>
      <c r="AC2245" s="193"/>
      <c r="AD2245" s="193"/>
      <c r="AE2245" s="193"/>
      <c r="AF2245" s="193"/>
    </row>
    <row r="2246" spans="21:32" x14ac:dyDescent="0.3">
      <c r="U2246" s="193"/>
      <c r="V2246" s="193"/>
      <c r="W2246" s="193"/>
      <c r="X2246" s="193"/>
      <c r="Y2246" s="193"/>
      <c r="Z2246" s="193"/>
      <c r="AC2246" s="193"/>
      <c r="AD2246" s="193"/>
      <c r="AE2246" s="193"/>
      <c r="AF2246" s="193"/>
    </row>
    <row r="2247" spans="21:32" x14ac:dyDescent="0.3">
      <c r="U2247" s="193"/>
      <c r="V2247" s="193"/>
      <c r="W2247" s="193"/>
      <c r="X2247" s="193"/>
      <c r="Y2247" s="193"/>
      <c r="Z2247" s="193"/>
      <c r="AC2247" s="193"/>
      <c r="AD2247" s="193"/>
      <c r="AE2247" s="193"/>
      <c r="AF2247" s="193"/>
    </row>
    <row r="2248" spans="21:32" x14ac:dyDescent="0.3">
      <c r="U2248" s="193"/>
      <c r="V2248" s="193"/>
      <c r="W2248" s="193"/>
      <c r="X2248" s="193"/>
      <c r="Y2248" s="193"/>
      <c r="Z2248" s="193"/>
      <c r="AC2248" s="193"/>
      <c r="AD2248" s="193"/>
      <c r="AE2248" s="193"/>
      <c r="AF2248" s="193"/>
    </row>
    <row r="2249" spans="21:32" x14ac:dyDescent="0.3">
      <c r="U2249" s="193"/>
      <c r="V2249" s="193"/>
      <c r="W2249" s="193"/>
      <c r="X2249" s="193"/>
      <c r="Y2249" s="193"/>
      <c r="Z2249" s="193"/>
      <c r="AC2249" s="193"/>
      <c r="AD2249" s="193"/>
      <c r="AE2249" s="193"/>
      <c r="AF2249" s="193"/>
    </row>
    <row r="2250" spans="21:32" x14ac:dyDescent="0.3">
      <c r="U2250" s="193"/>
      <c r="V2250" s="193"/>
      <c r="W2250" s="193"/>
      <c r="X2250" s="193"/>
      <c r="Y2250" s="193"/>
      <c r="Z2250" s="193"/>
      <c r="AC2250" s="193"/>
      <c r="AD2250" s="193"/>
      <c r="AE2250" s="193"/>
      <c r="AF2250" s="193"/>
    </row>
    <row r="2251" spans="21:32" x14ac:dyDescent="0.3">
      <c r="U2251" s="193"/>
      <c r="V2251" s="193"/>
      <c r="W2251" s="193"/>
      <c r="X2251" s="193"/>
      <c r="Y2251" s="193"/>
      <c r="Z2251" s="193"/>
      <c r="AC2251" s="193"/>
      <c r="AD2251" s="193"/>
      <c r="AE2251" s="193"/>
      <c r="AF2251" s="193"/>
    </row>
    <row r="2252" spans="21:32" x14ac:dyDescent="0.3">
      <c r="U2252" s="193"/>
      <c r="V2252" s="193"/>
      <c r="W2252" s="193"/>
      <c r="X2252" s="193"/>
      <c r="Y2252" s="193"/>
      <c r="Z2252" s="193"/>
      <c r="AC2252" s="193"/>
      <c r="AD2252" s="193"/>
      <c r="AE2252" s="193"/>
      <c r="AF2252" s="193"/>
    </row>
    <row r="2253" spans="21:32" x14ac:dyDescent="0.3">
      <c r="U2253" s="193"/>
      <c r="V2253" s="193"/>
      <c r="W2253" s="193"/>
      <c r="X2253" s="193"/>
      <c r="Y2253" s="193"/>
      <c r="Z2253" s="193"/>
      <c r="AC2253" s="193"/>
      <c r="AD2253" s="193"/>
      <c r="AE2253" s="193"/>
      <c r="AF2253" s="193"/>
    </row>
    <row r="2254" spans="21:32" x14ac:dyDescent="0.3">
      <c r="U2254" s="193"/>
      <c r="V2254" s="193"/>
      <c r="W2254" s="193"/>
      <c r="X2254" s="193"/>
      <c r="Y2254" s="193"/>
      <c r="Z2254" s="193"/>
      <c r="AC2254" s="193"/>
      <c r="AD2254" s="193"/>
      <c r="AE2254" s="193"/>
      <c r="AF2254" s="193"/>
    </row>
    <row r="2255" spans="21:32" x14ac:dyDescent="0.3">
      <c r="U2255" s="193"/>
      <c r="V2255" s="193"/>
      <c r="W2255" s="193"/>
      <c r="X2255" s="193"/>
      <c r="Y2255" s="193"/>
      <c r="Z2255" s="193"/>
      <c r="AC2255" s="193"/>
      <c r="AD2255" s="193"/>
      <c r="AE2255" s="193"/>
      <c r="AF2255" s="193"/>
    </row>
    <row r="2256" spans="21:32" x14ac:dyDescent="0.3">
      <c r="U2256" s="193"/>
      <c r="V2256" s="193"/>
      <c r="W2256" s="193"/>
      <c r="X2256" s="193"/>
      <c r="Y2256" s="193"/>
      <c r="Z2256" s="193"/>
      <c r="AC2256" s="193"/>
      <c r="AD2256" s="193"/>
      <c r="AE2256" s="193"/>
      <c r="AF2256" s="193"/>
    </row>
    <row r="2257" spans="21:32" x14ac:dyDescent="0.3">
      <c r="U2257" s="193"/>
      <c r="V2257" s="193"/>
      <c r="W2257" s="193"/>
      <c r="X2257" s="193"/>
      <c r="Y2257" s="193"/>
      <c r="Z2257" s="193"/>
      <c r="AC2257" s="193"/>
      <c r="AD2257" s="193"/>
      <c r="AE2257" s="193"/>
      <c r="AF2257" s="193"/>
    </row>
    <row r="2258" spans="21:32" x14ac:dyDescent="0.3">
      <c r="U2258" s="193"/>
      <c r="V2258" s="193"/>
      <c r="W2258" s="193"/>
      <c r="X2258" s="193"/>
      <c r="Y2258" s="193"/>
      <c r="Z2258" s="193"/>
      <c r="AC2258" s="193"/>
      <c r="AD2258" s="193"/>
      <c r="AE2258" s="193"/>
      <c r="AF2258" s="193"/>
    </row>
    <row r="2259" spans="21:32" x14ac:dyDescent="0.3">
      <c r="U2259" s="193"/>
      <c r="V2259" s="193"/>
      <c r="W2259" s="193"/>
      <c r="X2259" s="193"/>
      <c r="Y2259" s="193"/>
      <c r="Z2259" s="193"/>
      <c r="AC2259" s="193"/>
      <c r="AD2259" s="193"/>
      <c r="AE2259" s="193"/>
      <c r="AF2259" s="193"/>
    </row>
    <row r="2260" spans="21:32" x14ac:dyDescent="0.3">
      <c r="U2260" s="193"/>
      <c r="V2260" s="193"/>
      <c r="W2260" s="193"/>
      <c r="X2260" s="193"/>
      <c r="Y2260" s="193"/>
      <c r="Z2260" s="193"/>
      <c r="AC2260" s="193"/>
      <c r="AD2260" s="193"/>
      <c r="AE2260" s="193"/>
      <c r="AF2260" s="193"/>
    </row>
    <row r="2261" spans="21:32" x14ac:dyDescent="0.3">
      <c r="U2261" s="193"/>
      <c r="V2261" s="193"/>
      <c r="W2261" s="193"/>
      <c r="X2261" s="193"/>
      <c r="Y2261" s="193"/>
      <c r="Z2261" s="193"/>
      <c r="AC2261" s="193"/>
      <c r="AD2261" s="193"/>
      <c r="AE2261" s="193"/>
      <c r="AF2261" s="193"/>
    </row>
    <row r="2262" spans="21:32" x14ac:dyDescent="0.3">
      <c r="U2262" s="193"/>
      <c r="V2262" s="193"/>
      <c r="W2262" s="193"/>
      <c r="X2262" s="193"/>
      <c r="Y2262" s="193"/>
      <c r="Z2262" s="193"/>
      <c r="AC2262" s="193"/>
      <c r="AD2262" s="193"/>
      <c r="AE2262" s="193"/>
      <c r="AF2262" s="193"/>
    </row>
    <row r="2263" spans="21:32" x14ac:dyDescent="0.3">
      <c r="U2263" s="193"/>
      <c r="V2263" s="193"/>
      <c r="W2263" s="193"/>
      <c r="X2263" s="193"/>
      <c r="Y2263" s="193"/>
      <c r="Z2263" s="193"/>
      <c r="AC2263" s="193"/>
      <c r="AD2263" s="193"/>
      <c r="AE2263" s="193"/>
      <c r="AF2263" s="193"/>
    </row>
    <row r="2264" spans="21:32" x14ac:dyDescent="0.3">
      <c r="U2264" s="193"/>
      <c r="V2264" s="193"/>
      <c r="W2264" s="193"/>
      <c r="X2264" s="193"/>
      <c r="Y2264" s="193"/>
      <c r="Z2264" s="193"/>
      <c r="AC2264" s="193"/>
      <c r="AD2264" s="193"/>
      <c r="AE2264" s="193"/>
      <c r="AF2264" s="193"/>
    </row>
    <row r="2265" spans="21:32" x14ac:dyDescent="0.3">
      <c r="U2265" s="193"/>
      <c r="V2265" s="193"/>
      <c r="W2265" s="193"/>
      <c r="X2265" s="193"/>
      <c r="Y2265" s="193"/>
      <c r="Z2265" s="193"/>
      <c r="AC2265" s="193"/>
      <c r="AD2265" s="193"/>
      <c r="AE2265" s="193"/>
      <c r="AF2265" s="193"/>
    </row>
    <row r="2266" spans="21:32" x14ac:dyDescent="0.3">
      <c r="U2266" s="193"/>
      <c r="V2266" s="193"/>
      <c r="W2266" s="193"/>
      <c r="X2266" s="193"/>
      <c r="Y2266" s="193"/>
      <c r="Z2266" s="193"/>
      <c r="AC2266" s="193"/>
      <c r="AD2266" s="193"/>
      <c r="AE2266" s="193"/>
      <c r="AF2266" s="193"/>
    </row>
    <row r="2267" spans="21:32" x14ac:dyDescent="0.3">
      <c r="U2267" s="193"/>
      <c r="V2267" s="193"/>
      <c r="W2267" s="193"/>
      <c r="X2267" s="193"/>
      <c r="Y2267" s="193"/>
      <c r="Z2267" s="193"/>
      <c r="AC2267" s="193"/>
      <c r="AD2267" s="193"/>
      <c r="AE2267" s="193"/>
      <c r="AF2267" s="193"/>
    </row>
    <row r="2268" spans="21:32" x14ac:dyDescent="0.3">
      <c r="U2268" s="193"/>
      <c r="V2268" s="193"/>
      <c r="W2268" s="193"/>
      <c r="X2268" s="193"/>
      <c r="Y2268" s="193"/>
      <c r="Z2268" s="193"/>
      <c r="AC2268" s="193"/>
      <c r="AD2268" s="193"/>
      <c r="AE2268" s="193"/>
      <c r="AF2268" s="193"/>
    </row>
    <row r="2269" spans="21:32" x14ac:dyDescent="0.3">
      <c r="U2269" s="193"/>
      <c r="V2269" s="193"/>
      <c r="W2269" s="193"/>
      <c r="X2269" s="193"/>
      <c r="Y2269" s="193"/>
      <c r="Z2269" s="193"/>
      <c r="AC2269" s="193"/>
      <c r="AD2269" s="193"/>
      <c r="AE2269" s="193"/>
      <c r="AF2269" s="193"/>
    </row>
    <row r="2270" spans="21:32" x14ac:dyDescent="0.3">
      <c r="U2270" s="193"/>
      <c r="V2270" s="193"/>
      <c r="W2270" s="193"/>
      <c r="X2270" s="193"/>
      <c r="Y2270" s="193"/>
      <c r="Z2270" s="193"/>
      <c r="AC2270" s="193"/>
      <c r="AD2270" s="193"/>
      <c r="AE2270" s="193"/>
      <c r="AF2270" s="193"/>
    </row>
    <row r="2271" spans="21:32" x14ac:dyDescent="0.3">
      <c r="U2271" s="193"/>
      <c r="V2271" s="193"/>
      <c r="W2271" s="193"/>
      <c r="X2271" s="193"/>
      <c r="Y2271" s="193"/>
      <c r="Z2271" s="193"/>
      <c r="AC2271" s="193"/>
      <c r="AD2271" s="193"/>
      <c r="AE2271" s="193"/>
      <c r="AF2271" s="193"/>
    </row>
    <row r="2272" spans="21:32" x14ac:dyDescent="0.3">
      <c r="U2272" s="193"/>
      <c r="V2272" s="193"/>
      <c r="W2272" s="193"/>
      <c r="X2272" s="193"/>
      <c r="Y2272" s="193"/>
      <c r="Z2272" s="193"/>
      <c r="AC2272" s="193"/>
      <c r="AD2272" s="193"/>
      <c r="AE2272" s="193"/>
      <c r="AF2272" s="193"/>
    </row>
    <row r="2273" spans="21:32" x14ac:dyDescent="0.3">
      <c r="U2273" s="193"/>
      <c r="V2273" s="193"/>
      <c r="W2273" s="193"/>
      <c r="X2273" s="193"/>
      <c r="Y2273" s="193"/>
      <c r="Z2273" s="193"/>
      <c r="AC2273" s="193"/>
      <c r="AD2273" s="193"/>
      <c r="AE2273" s="193"/>
      <c r="AF2273" s="193"/>
    </row>
    <row r="2274" spans="21:32" x14ac:dyDescent="0.3">
      <c r="U2274" s="193"/>
      <c r="V2274" s="193"/>
      <c r="W2274" s="193"/>
      <c r="X2274" s="193"/>
      <c r="Y2274" s="193"/>
      <c r="Z2274" s="193"/>
      <c r="AC2274" s="193"/>
      <c r="AD2274" s="193"/>
      <c r="AE2274" s="193"/>
      <c r="AF2274" s="193"/>
    </row>
    <row r="2275" spans="21:32" x14ac:dyDescent="0.3">
      <c r="U2275" s="193"/>
      <c r="V2275" s="193"/>
      <c r="W2275" s="193"/>
      <c r="X2275" s="193"/>
      <c r="Y2275" s="193"/>
      <c r="Z2275" s="193"/>
      <c r="AC2275" s="193"/>
      <c r="AD2275" s="193"/>
      <c r="AE2275" s="193"/>
      <c r="AF2275" s="193"/>
    </row>
    <row r="2276" spans="21:32" x14ac:dyDescent="0.3">
      <c r="U2276" s="193"/>
      <c r="V2276" s="193"/>
      <c r="W2276" s="193"/>
      <c r="X2276" s="193"/>
      <c r="Y2276" s="193"/>
      <c r="Z2276" s="193"/>
      <c r="AC2276" s="193"/>
      <c r="AD2276" s="193"/>
      <c r="AE2276" s="193"/>
      <c r="AF2276" s="193"/>
    </row>
    <row r="2277" spans="21:32" x14ac:dyDescent="0.3">
      <c r="U2277" s="193"/>
      <c r="V2277" s="193"/>
      <c r="W2277" s="193"/>
      <c r="X2277" s="193"/>
      <c r="Y2277" s="193"/>
      <c r="Z2277" s="193"/>
      <c r="AC2277" s="193"/>
      <c r="AD2277" s="193"/>
      <c r="AE2277" s="193"/>
      <c r="AF2277" s="193"/>
    </row>
    <row r="2278" spans="21:32" x14ac:dyDescent="0.3">
      <c r="U2278" s="193"/>
      <c r="V2278" s="193"/>
      <c r="W2278" s="193"/>
      <c r="X2278" s="193"/>
      <c r="Y2278" s="193"/>
      <c r="Z2278" s="193"/>
      <c r="AC2278" s="193"/>
      <c r="AD2278" s="193"/>
      <c r="AE2278" s="193"/>
      <c r="AF2278" s="193"/>
    </row>
    <row r="2279" spans="21:32" x14ac:dyDescent="0.3">
      <c r="U2279" s="193"/>
      <c r="V2279" s="193"/>
      <c r="W2279" s="193"/>
      <c r="X2279" s="193"/>
      <c r="Y2279" s="193"/>
      <c r="Z2279" s="193"/>
      <c r="AC2279" s="193"/>
      <c r="AD2279" s="193"/>
      <c r="AE2279" s="193"/>
      <c r="AF2279" s="193"/>
    </row>
    <row r="2280" spans="21:32" x14ac:dyDescent="0.3">
      <c r="U2280" s="193"/>
      <c r="V2280" s="193"/>
      <c r="W2280" s="193"/>
      <c r="X2280" s="193"/>
      <c r="Y2280" s="193"/>
      <c r="Z2280" s="193"/>
      <c r="AC2280" s="193"/>
      <c r="AD2280" s="193"/>
      <c r="AE2280" s="193"/>
      <c r="AF2280" s="193"/>
    </row>
    <row r="2281" spans="21:32" x14ac:dyDescent="0.3">
      <c r="U2281" s="193"/>
      <c r="V2281" s="193"/>
      <c r="W2281" s="193"/>
      <c r="X2281" s="193"/>
      <c r="Y2281" s="193"/>
      <c r="Z2281" s="193"/>
      <c r="AC2281" s="193"/>
      <c r="AD2281" s="193"/>
      <c r="AE2281" s="193"/>
      <c r="AF2281" s="193"/>
    </row>
    <row r="2282" spans="21:32" x14ac:dyDescent="0.3">
      <c r="U2282" s="193"/>
      <c r="V2282" s="193"/>
      <c r="W2282" s="193"/>
      <c r="X2282" s="193"/>
      <c r="Y2282" s="193"/>
      <c r="Z2282" s="193"/>
      <c r="AC2282" s="193"/>
      <c r="AD2282" s="193"/>
      <c r="AE2282" s="193"/>
      <c r="AF2282" s="193"/>
    </row>
    <row r="2283" spans="21:32" x14ac:dyDescent="0.3">
      <c r="U2283" s="193"/>
      <c r="V2283" s="193"/>
      <c r="W2283" s="193"/>
      <c r="X2283" s="193"/>
      <c r="Y2283" s="193"/>
      <c r="Z2283" s="193"/>
      <c r="AC2283" s="193"/>
      <c r="AD2283" s="193"/>
      <c r="AE2283" s="193"/>
      <c r="AF2283" s="193"/>
    </row>
    <row r="2284" spans="21:32" x14ac:dyDescent="0.3">
      <c r="U2284" s="193"/>
      <c r="V2284" s="193"/>
      <c r="W2284" s="193"/>
      <c r="X2284" s="193"/>
      <c r="Y2284" s="193"/>
      <c r="Z2284" s="193"/>
      <c r="AC2284" s="193"/>
      <c r="AD2284" s="193"/>
      <c r="AE2284" s="193"/>
      <c r="AF2284" s="193"/>
    </row>
    <row r="2285" spans="21:32" x14ac:dyDescent="0.3">
      <c r="U2285" s="193"/>
      <c r="V2285" s="193"/>
      <c r="W2285" s="193"/>
      <c r="X2285" s="193"/>
      <c r="Y2285" s="193"/>
      <c r="Z2285" s="193"/>
      <c r="AC2285" s="193"/>
      <c r="AD2285" s="193"/>
      <c r="AE2285" s="193"/>
      <c r="AF2285" s="193"/>
    </row>
    <row r="2286" spans="21:32" x14ac:dyDescent="0.3">
      <c r="U2286" s="193"/>
      <c r="V2286" s="193"/>
      <c r="W2286" s="193"/>
      <c r="X2286" s="193"/>
      <c r="Y2286" s="193"/>
      <c r="Z2286" s="193"/>
      <c r="AC2286" s="193"/>
      <c r="AD2286" s="193"/>
      <c r="AE2286" s="193"/>
      <c r="AF2286" s="193"/>
    </row>
    <row r="2287" spans="21:32" x14ac:dyDescent="0.3">
      <c r="U2287" s="193"/>
      <c r="V2287" s="193"/>
      <c r="W2287" s="193"/>
      <c r="X2287" s="193"/>
      <c r="Y2287" s="193"/>
      <c r="Z2287" s="193"/>
      <c r="AC2287" s="193"/>
      <c r="AD2287" s="193"/>
      <c r="AE2287" s="193"/>
      <c r="AF2287" s="193"/>
    </row>
    <row r="2288" spans="21:32" x14ac:dyDescent="0.3">
      <c r="U2288" s="193"/>
      <c r="V2288" s="193"/>
      <c r="W2288" s="193"/>
      <c r="X2288" s="193"/>
      <c r="Y2288" s="193"/>
      <c r="Z2288" s="193"/>
      <c r="AC2288" s="193"/>
      <c r="AD2288" s="193"/>
      <c r="AE2288" s="193"/>
      <c r="AF2288" s="193"/>
    </row>
    <row r="2289" spans="21:32" x14ac:dyDescent="0.3">
      <c r="U2289" s="193"/>
      <c r="V2289" s="193"/>
      <c r="W2289" s="193"/>
      <c r="X2289" s="193"/>
      <c r="Y2289" s="193"/>
      <c r="Z2289" s="193"/>
      <c r="AC2289" s="193"/>
      <c r="AD2289" s="193"/>
      <c r="AE2289" s="193"/>
      <c r="AF2289" s="193"/>
    </row>
    <row r="2290" spans="21:32" x14ac:dyDescent="0.3">
      <c r="U2290" s="193"/>
      <c r="V2290" s="193"/>
      <c r="W2290" s="193"/>
      <c r="X2290" s="193"/>
      <c r="Y2290" s="193"/>
      <c r="Z2290" s="193"/>
      <c r="AC2290" s="193"/>
      <c r="AD2290" s="193"/>
      <c r="AE2290" s="193"/>
      <c r="AF2290" s="193"/>
    </row>
    <row r="2291" spans="21:32" x14ac:dyDescent="0.3">
      <c r="U2291" s="193"/>
      <c r="V2291" s="193"/>
      <c r="W2291" s="193"/>
      <c r="X2291" s="193"/>
      <c r="Y2291" s="193"/>
      <c r="Z2291" s="193"/>
      <c r="AC2291" s="193"/>
      <c r="AD2291" s="193"/>
      <c r="AE2291" s="193"/>
      <c r="AF2291" s="193"/>
    </row>
    <row r="2292" spans="21:32" x14ac:dyDescent="0.3">
      <c r="U2292" s="193"/>
      <c r="V2292" s="193"/>
      <c r="W2292" s="193"/>
      <c r="X2292" s="193"/>
      <c r="Y2292" s="193"/>
      <c r="Z2292" s="193"/>
      <c r="AC2292" s="193"/>
      <c r="AD2292" s="193"/>
      <c r="AE2292" s="193"/>
      <c r="AF2292" s="193"/>
    </row>
    <row r="2293" spans="21:32" x14ac:dyDescent="0.3">
      <c r="U2293" s="193"/>
      <c r="V2293" s="193"/>
      <c r="W2293" s="193"/>
      <c r="X2293" s="193"/>
      <c r="Y2293" s="193"/>
      <c r="Z2293" s="193"/>
      <c r="AC2293" s="193"/>
      <c r="AD2293" s="193"/>
      <c r="AE2293" s="193"/>
      <c r="AF2293" s="193"/>
    </row>
    <row r="2294" spans="21:32" x14ac:dyDescent="0.3">
      <c r="U2294" s="193"/>
      <c r="V2294" s="193"/>
      <c r="W2294" s="193"/>
      <c r="X2294" s="193"/>
      <c r="Y2294" s="193"/>
      <c r="Z2294" s="193"/>
      <c r="AC2294" s="193"/>
      <c r="AD2294" s="193"/>
      <c r="AE2294" s="193"/>
      <c r="AF2294" s="193"/>
    </row>
    <row r="2295" spans="21:32" x14ac:dyDescent="0.3">
      <c r="U2295" s="193"/>
      <c r="V2295" s="193"/>
      <c r="W2295" s="193"/>
      <c r="X2295" s="193"/>
      <c r="Y2295" s="193"/>
      <c r="Z2295" s="193"/>
      <c r="AC2295" s="193"/>
      <c r="AD2295" s="193"/>
      <c r="AE2295" s="193"/>
      <c r="AF2295" s="193"/>
    </row>
    <row r="2296" spans="21:32" x14ac:dyDescent="0.3">
      <c r="U2296" s="193"/>
      <c r="V2296" s="193"/>
      <c r="W2296" s="193"/>
      <c r="X2296" s="193"/>
      <c r="Y2296" s="193"/>
      <c r="Z2296" s="193"/>
      <c r="AC2296" s="193"/>
      <c r="AD2296" s="193"/>
      <c r="AE2296" s="193"/>
      <c r="AF2296" s="193"/>
    </row>
    <row r="2297" spans="21:32" x14ac:dyDescent="0.3">
      <c r="U2297" s="193"/>
      <c r="V2297" s="193"/>
      <c r="W2297" s="193"/>
      <c r="X2297" s="193"/>
      <c r="Y2297" s="193"/>
      <c r="Z2297" s="193"/>
      <c r="AC2297" s="193"/>
      <c r="AD2297" s="193"/>
      <c r="AE2297" s="193"/>
      <c r="AF2297" s="193"/>
    </row>
    <row r="2298" spans="21:32" x14ac:dyDescent="0.3">
      <c r="U2298" s="193"/>
      <c r="V2298" s="193"/>
      <c r="W2298" s="193"/>
      <c r="X2298" s="193"/>
      <c r="Y2298" s="193"/>
      <c r="Z2298" s="193"/>
      <c r="AC2298" s="193"/>
      <c r="AD2298" s="193"/>
      <c r="AE2298" s="193"/>
      <c r="AF2298" s="193"/>
    </row>
    <row r="2299" spans="21:32" x14ac:dyDescent="0.3">
      <c r="U2299" s="193"/>
      <c r="V2299" s="193"/>
      <c r="W2299" s="193"/>
      <c r="X2299" s="193"/>
      <c r="Y2299" s="193"/>
      <c r="Z2299" s="193"/>
      <c r="AC2299" s="193"/>
      <c r="AD2299" s="193"/>
      <c r="AE2299" s="193"/>
      <c r="AF2299" s="193"/>
    </row>
    <row r="2300" spans="21:32" x14ac:dyDescent="0.3">
      <c r="U2300" s="193"/>
      <c r="V2300" s="193"/>
      <c r="W2300" s="193"/>
      <c r="X2300" s="193"/>
      <c r="Y2300" s="193"/>
      <c r="Z2300" s="193"/>
      <c r="AC2300" s="193"/>
      <c r="AD2300" s="193"/>
      <c r="AE2300" s="193"/>
      <c r="AF2300" s="193"/>
    </row>
    <row r="2301" spans="21:32" x14ac:dyDescent="0.3">
      <c r="U2301" s="193"/>
      <c r="V2301" s="193"/>
      <c r="W2301" s="193"/>
      <c r="X2301" s="193"/>
      <c r="Y2301" s="193"/>
      <c r="Z2301" s="193"/>
      <c r="AC2301" s="193"/>
      <c r="AD2301" s="193"/>
      <c r="AE2301" s="193"/>
      <c r="AF2301" s="193"/>
    </row>
    <row r="2302" spans="21:32" x14ac:dyDescent="0.3">
      <c r="U2302" s="193"/>
      <c r="V2302" s="193"/>
      <c r="W2302" s="193"/>
      <c r="X2302" s="193"/>
      <c r="Y2302" s="193"/>
      <c r="Z2302" s="193"/>
      <c r="AC2302" s="193"/>
      <c r="AD2302" s="193"/>
      <c r="AE2302" s="193"/>
      <c r="AF2302" s="193"/>
    </row>
    <row r="2303" spans="21:32" x14ac:dyDescent="0.3">
      <c r="U2303" s="193"/>
      <c r="V2303" s="193"/>
      <c r="W2303" s="193"/>
      <c r="X2303" s="193"/>
      <c r="Y2303" s="193"/>
      <c r="Z2303" s="193"/>
      <c r="AC2303" s="193"/>
      <c r="AD2303" s="193"/>
      <c r="AE2303" s="193"/>
      <c r="AF2303" s="193"/>
    </row>
    <row r="2304" spans="21:32" x14ac:dyDescent="0.3">
      <c r="U2304" s="193"/>
      <c r="V2304" s="193"/>
      <c r="W2304" s="193"/>
      <c r="X2304" s="193"/>
      <c r="Y2304" s="193"/>
      <c r="Z2304" s="193"/>
      <c r="AC2304" s="193"/>
      <c r="AD2304" s="193"/>
      <c r="AE2304" s="193"/>
      <c r="AF2304" s="193"/>
    </row>
    <row r="2305" spans="21:32" x14ac:dyDescent="0.3">
      <c r="U2305" s="193"/>
      <c r="V2305" s="193"/>
      <c r="W2305" s="193"/>
      <c r="X2305" s="193"/>
      <c r="Y2305" s="193"/>
      <c r="Z2305" s="193"/>
      <c r="AC2305" s="193"/>
      <c r="AD2305" s="193"/>
      <c r="AE2305" s="193"/>
      <c r="AF2305" s="193"/>
    </row>
    <row r="2306" spans="21:32" x14ac:dyDescent="0.3">
      <c r="U2306" s="193"/>
      <c r="V2306" s="193"/>
      <c r="W2306" s="193"/>
      <c r="X2306" s="193"/>
      <c r="Y2306" s="193"/>
      <c r="Z2306" s="193"/>
      <c r="AC2306" s="193"/>
      <c r="AD2306" s="193"/>
      <c r="AE2306" s="193"/>
      <c r="AF2306" s="193"/>
    </row>
    <row r="2307" spans="21:32" x14ac:dyDescent="0.3">
      <c r="U2307" s="193"/>
      <c r="V2307" s="193"/>
      <c r="W2307" s="193"/>
      <c r="X2307" s="193"/>
      <c r="Y2307" s="193"/>
      <c r="Z2307" s="193"/>
      <c r="AC2307" s="193"/>
      <c r="AD2307" s="193"/>
      <c r="AE2307" s="193"/>
      <c r="AF2307" s="193"/>
    </row>
    <row r="2308" spans="21:32" x14ac:dyDescent="0.3">
      <c r="U2308" s="193"/>
      <c r="V2308" s="193"/>
      <c r="W2308" s="193"/>
      <c r="X2308" s="193"/>
      <c r="Y2308" s="193"/>
      <c r="Z2308" s="193"/>
      <c r="AC2308" s="193"/>
      <c r="AD2308" s="193"/>
      <c r="AE2308" s="193"/>
      <c r="AF2308" s="193"/>
    </row>
    <row r="2309" spans="21:32" x14ac:dyDescent="0.3">
      <c r="U2309" s="193"/>
      <c r="V2309" s="193"/>
      <c r="W2309" s="193"/>
      <c r="X2309" s="193"/>
      <c r="Y2309" s="193"/>
      <c r="Z2309" s="193"/>
      <c r="AC2309" s="193"/>
      <c r="AD2309" s="193"/>
      <c r="AE2309" s="193"/>
      <c r="AF2309" s="193"/>
    </row>
    <row r="2310" spans="21:32" x14ac:dyDescent="0.3">
      <c r="U2310" s="193"/>
      <c r="V2310" s="193"/>
      <c r="W2310" s="193"/>
      <c r="X2310" s="193"/>
      <c r="Y2310" s="193"/>
      <c r="Z2310" s="193"/>
      <c r="AC2310" s="193"/>
      <c r="AD2310" s="193"/>
      <c r="AE2310" s="193"/>
      <c r="AF2310" s="193"/>
    </row>
    <row r="2311" spans="21:32" x14ac:dyDescent="0.3">
      <c r="U2311" s="193"/>
      <c r="V2311" s="193"/>
      <c r="W2311" s="193"/>
      <c r="X2311" s="193"/>
      <c r="Y2311" s="193"/>
      <c r="Z2311" s="193"/>
      <c r="AC2311" s="193"/>
      <c r="AD2311" s="193"/>
      <c r="AE2311" s="193"/>
      <c r="AF2311" s="193"/>
    </row>
    <row r="2312" spans="21:32" x14ac:dyDescent="0.3">
      <c r="U2312" s="193"/>
      <c r="V2312" s="193"/>
      <c r="W2312" s="193"/>
      <c r="X2312" s="193"/>
      <c r="Y2312" s="193"/>
      <c r="Z2312" s="193"/>
      <c r="AC2312" s="193"/>
      <c r="AD2312" s="193"/>
      <c r="AE2312" s="193"/>
      <c r="AF2312" s="193"/>
    </row>
    <row r="2313" spans="21:32" x14ac:dyDescent="0.3">
      <c r="U2313" s="193"/>
      <c r="V2313" s="193"/>
      <c r="W2313" s="193"/>
      <c r="X2313" s="193"/>
      <c r="Y2313" s="193"/>
      <c r="Z2313" s="193"/>
      <c r="AC2313" s="193"/>
      <c r="AD2313" s="193"/>
      <c r="AE2313" s="193"/>
      <c r="AF2313" s="193"/>
    </row>
    <row r="2314" spans="21:32" x14ac:dyDescent="0.3">
      <c r="U2314" s="193"/>
      <c r="V2314" s="193"/>
      <c r="W2314" s="193"/>
      <c r="X2314" s="193"/>
      <c r="Y2314" s="193"/>
      <c r="Z2314" s="193"/>
      <c r="AC2314" s="193"/>
      <c r="AD2314" s="193"/>
      <c r="AE2314" s="193"/>
      <c r="AF2314" s="193"/>
    </row>
    <row r="2315" spans="21:32" x14ac:dyDescent="0.3">
      <c r="U2315" s="193"/>
      <c r="V2315" s="193"/>
      <c r="W2315" s="193"/>
      <c r="X2315" s="193"/>
      <c r="Y2315" s="193"/>
      <c r="Z2315" s="193"/>
      <c r="AC2315" s="193"/>
      <c r="AD2315" s="193"/>
      <c r="AE2315" s="193"/>
      <c r="AF2315" s="193"/>
    </row>
    <row r="2316" spans="21:32" x14ac:dyDescent="0.3">
      <c r="U2316" s="193"/>
      <c r="V2316" s="193"/>
      <c r="W2316" s="193"/>
      <c r="X2316" s="193"/>
      <c r="Y2316" s="193"/>
      <c r="Z2316" s="193"/>
      <c r="AC2316" s="193"/>
      <c r="AD2316" s="193"/>
      <c r="AE2316" s="193"/>
      <c r="AF2316" s="193"/>
    </row>
    <row r="2317" spans="21:32" x14ac:dyDescent="0.3">
      <c r="U2317" s="193"/>
      <c r="V2317" s="193"/>
      <c r="W2317" s="193"/>
      <c r="X2317" s="193"/>
      <c r="Y2317" s="193"/>
      <c r="Z2317" s="193"/>
      <c r="AC2317" s="193"/>
      <c r="AD2317" s="193"/>
      <c r="AE2317" s="193"/>
      <c r="AF2317" s="193"/>
    </row>
    <row r="2318" spans="21:32" x14ac:dyDescent="0.3">
      <c r="U2318" s="193"/>
      <c r="V2318" s="193"/>
      <c r="W2318" s="193"/>
      <c r="X2318" s="193"/>
      <c r="Y2318" s="193"/>
      <c r="Z2318" s="193"/>
      <c r="AC2318" s="193"/>
      <c r="AD2318" s="193"/>
      <c r="AE2318" s="193"/>
      <c r="AF2318" s="193"/>
    </row>
    <row r="2319" spans="21:32" x14ac:dyDescent="0.3">
      <c r="U2319" s="193"/>
      <c r="V2319" s="193"/>
      <c r="W2319" s="193"/>
      <c r="X2319" s="193"/>
      <c r="Y2319" s="193"/>
      <c r="Z2319" s="193"/>
      <c r="AC2319" s="193"/>
      <c r="AD2319" s="193"/>
      <c r="AE2319" s="193"/>
      <c r="AF2319" s="193"/>
    </row>
    <row r="2320" spans="21:32" x14ac:dyDescent="0.3">
      <c r="U2320" s="193"/>
      <c r="V2320" s="193"/>
      <c r="W2320" s="193"/>
      <c r="X2320" s="193"/>
      <c r="Y2320" s="193"/>
      <c r="Z2320" s="193"/>
      <c r="AC2320" s="193"/>
      <c r="AD2320" s="193"/>
      <c r="AE2320" s="193"/>
      <c r="AF2320" s="193"/>
    </row>
    <row r="2321" spans="21:32" x14ac:dyDescent="0.3">
      <c r="U2321" s="193"/>
      <c r="V2321" s="193"/>
      <c r="W2321" s="193"/>
      <c r="X2321" s="193"/>
      <c r="Y2321" s="193"/>
      <c r="Z2321" s="193"/>
      <c r="AC2321" s="193"/>
      <c r="AD2321" s="193"/>
      <c r="AE2321" s="193"/>
      <c r="AF2321" s="193"/>
    </row>
    <row r="2322" spans="21:32" x14ac:dyDescent="0.3">
      <c r="U2322" s="193"/>
      <c r="V2322" s="193"/>
      <c r="W2322" s="193"/>
      <c r="X2322" s="193"/>
      <c r="Y2322" s="193"/>
      <c r="Z2322" s="193"/>
      <c r="AC2322" s="193"/>
      <c r="AD2322" s="193"/>
      <c r="AE2322" s="193"/>
      <c r="AF2322" s="193"/>
    </row>
    <row r="2323" spans="21:32" x14ac:dyDescent="0.3">
      <c r="U2323" s="193"/>
      <c r="V2323" s="193"/>
      <c r="W2323" s="193"/>
      <c r="X2323" s="193"/>
      <c r="Y2323" s="193"/>
      <c r="Z2323" s="193"/>
      <c r="AC2323" s="193"/>
      <c r="AD2323" s="193"/>
      <c r="AE2323" s="193"/>
      <c r="AF2323" s="193"/>
    </row>
    <row r="2324" spans="21:32" x14ac:dyDescent="0.3">
      <c r="U2324" s="193"/>
      <c r="V2324" s="193"/>
      <c r="W2324" s="193"/>
      <c r="X2324" s="193"/>
      <c r="Y2324" s="193"/>
      <c r="Z2324" s="193"/>
      <c r="AC2324" s="193"/>
      <c r="AD2324" s="193"/>
      <c r="AE2324" s="193"/>
      <c r="AF2324" s="193"/>
    </row>
    <row r="2325" spans="21:32" x14ac:dyDescent="0.3">
      <c r="U2325" s="193"/>
      <c r="V2325" s="193"/>
      <c r="W2325" s="193"/>
      <c r="X2325" s="193"/>
      <c r="Y2325" s="193"/>
      <c r="Z2325" s="193"/>
      <c r="AC2325" s="193"/>
      <c r="AD2325" s="193"/>
      <c r="AE2325" s="193"/>
      <c r="AF2325" s="193"/>
    </row>
    <row r="2326" spans="21:32" x14ac:dyDescent="0.3">
      <c r="U2326" s="193"/>
      <c r="V2326" s="193"/>
      <c r="W2326" s="193"/>
      <c r="X2326" s="193"/>
      <c r="Y2326" s="193"/>
      <c r="Z2326" s="193"/>
      <c r="AC2326" s="193"/>
      <c r="AD2326" s="193"/>
      <c r="AE2326" s="193"/>
      <c r="AF2326" s="193"/>
    </row>
    <row r="2327" spans="21:32" x14ac:dyDescent="0.3">
      <c r="U2327" s="193"/>
      <c r="V2327" s="193"/>
      <c r="W2327" s="193"/>
      <c r="X2327" s="193"/>
      <c r="Y2327" s="193"/>
      <c r="Z2327" s="193"/>
      <c r="AC2327" s="193"/>
      <c r="AD2327" s="193"/>
      <c r="AE2327" s="193"/>
      <c r="AF2327" s="193"/>
    </row>
    <row r="2328" spans="21:32" x14ac:dyDescent="0.3">
      <c r="U2328" s="193"/>
      <c r="V2328" s="193"/>
      <c r="W2328" s="193"/>
      <c r="X2328" s="193"/>
      <c r="Y2328" s="193"/>
      <c r="Z2328" s="193"/>
      <c r="AC2328" s="193"/>
      <c r="AD2328" s="193"/>
      <c r="AE2328" s="193"/>
      <c r="AF2328" s="193"/>
    </row>
    <row r="2329" spans="21:32" x14ac:dyDescent="0.3">
      <c r="U2329" s="193"/>
      <c r="V2329" s="193"/>
      <c r="W2329" s="193"/>
      <c r="X2329" s="193"/>
      <c r="Y2329" s="193"/>
      <c r="Z2329" s="193"/>
      <c r="AC2329" s="193"/>
      <c r="AD2329" s="193"/>
      <c r="AE2329" s="193"/>
      <c r="AF2329" s="193"/>
    </row>
    <row r="2330" spans="21:32" x14ac:dyDescent="0.3">
      <c r="U2330" s="193"/>
      <c r="V2330" s="193"/>
      <c r="W2330" s="193"/>
      <c r="X2330" s="193"/>
      <c r="Y2330" s="193"/>
      <c r="Z2330" s="193"/>
      <c r="AC2330" s="193"/>
      <c r="AD2330" s="193"/>
      <c r="AE2330" s="193"/>
      <c r="AF2330" s="193"/>
    </row>
    <row r="2331" spans="21:32" x14ac:dyDescent="0.3">
      <c r="U2331" s="193"/>
      <c r="V2331" s="193"/>
      <c r="W2331" s="193"/>
      <c r="X2331" s="193"/>
      <c r="Y2331" s="193"/>
      <c r="Z2331" s="193"/>
      <c r="AC2331" s="193"/>
      <c r="AD2331" s="193"/>
      <c r="AE2331" s="193"/>
      <c r="AF2331" s="193"/>
    </row>
    <row r="2332" spans="21:32" x14ac:dyDescent="0.3">
      <c r="U2332" s="193"/>
      <c r="V2332" s="193"/>
      <c r="W2332" s="193"/>
      <c r="X2332" s="193"/>
      <c r="Y2332" s="193"/>
      <c r="Z2332" s="193"/>
      <c r="AC2332" s="193"/>
      <c r="AD2332" s="193"/>
      <c r="AE2332" s="193"/>
      <c r="AF2332" s="193"/>
    </row>
    <row r="2333" spans="21:32" x14ac:dyDescent="0.3">
      <c r="U2333" s="193"/>
      <c r="V2333" s="193"/>
      <c r="W2333" s="193"/>
      <c r="X2333" s="193"/>
      <c r="Y2333" s="193"/>
      <c r="Z2333" s="193"/>
      <c r="AC2333" s="193"/>
      <c r="AD2333" s="193"/>
      <c r="AE2333" s="193"/>
      <c r="AF2333" s="193"/>
    </row>
    <row r="2334" spans="21:32" x14ac:dyDescent="0.3">
      <c r="U2334" s="193"/>
      <c r="V2334" s="193"/>
      <c r="W2334" s="193"/>
      <c r="X2334" s="193"/>
      <c r="Y2334" s="193"/>
      <c r="Z2334" s="193"/>
      <c r="AC2334" s="193"/>
      <c r="AD2334" s="193"/>
      <c r="AE2334" s="193"/>
      <c r="AF2334" s="193"/>
    </row>
    <row r="2335" spans="21:32" x14ac:dyDescent="0.3">
      <c r="U2335" s="193"/>
      <c r="V2335" s="193"/>
      <c r="W2335" s="193"/>
      <c r="X2335" s="193"/>
      <c r="Y2335" s="193"/>
      <c r="Z2335" s="193"/>
      <c r="AC2335" s="193"/>
      <c r="AD2335" s="193"/>
      <c r="AE2335" s="193"/>
      <c r="AF2335" s="193"/>
    </row>
    <row r="2336" spans="21:32" x14ac:dyDescent="0.3">
      <c r="U2336" s="193"/>
      <c r="V2336" s="193"/>
      <c r="W2336" s="193"/>
      <c r="X2336" s="193"/>
      <c r="Y2336" s="193"/>
      <c r="Z2336" s="193"/>
      <c r="AC2336" s="193"/>
      <c r="AD2336" s="193"/>
      <c r="AE2336" s="193"/>
      <c r="AF2336" s="193"/>
    </row>
    <row r="2337" spans="21:32" x14ac:dyDescent="0.3">
      <c r="U2337" s="193"/>
      <c r="V2337" s="193"/>
      <c r="W2337" s="193"/>
      <c r="X2337" s="193"/>
      <c r="Y2337" s="193"/>
      <c r="Z2337" s="193"/>
      <c r="AC2337" s="193"/>
      <c r="AD2337" s="193"/>
      <c r="AE2337" s="193"/>
      <c r="AF2337" s="193"/>
    </row>
    <row r="2338" spans="21:32" x14ac:dyDescent="0.3">
      <c r="U2338" s="193"/>
      <c r="V2338" s="193"/>
      <c r="W2338" s="193"/>
      <c r="X2338" s="193"/>
      <c r="Y2338" s="193"/>
      <c r="Z2338" s="193"/>
      <c r="AC2338" s="193"/>
      <c r="AD2338" s="193"/>
      <c r="AE2338" s="193"/>
      <c r="AF2338" s="193"/>
    </row>
    <row r="2339" spans="21:32" x14ac:dyDescent="0.3">
      <c r="U2339" s="193"/>
      <c r="V2339" s="193"/>
      <c r="W2339" s="193"/>
      <c r="X2339" s="193"/>
      <c r="Y2339" s="193"/>
      <c r="Z2339" s="193"/>
      <c r="AC2339" s="193"/>
      <c r="AD2339" s="193"/>
      <c r="AE2339" s="193"/>
      <c r="AF2339" s="193"/>
    </row>
    <row r="2340" spans="21:32" x14ac:dyDescent="0.3">
      <c r="U2340" s="193"/>
      <c r="V2340" s="193"/>
      <c r="W2340" s="193"/>
      <c r="X2340" s="193"/>
      <c r="Y2340" s="193"/>
      <c r="Z2340" s="193"/>
      <c r="AC2340" s="193"/>
      <c r="AD2340" s="193"/>
      <c r="AE2340" s="193"/>
      <c r="AF2340" s="193"/>
    </row>
    <row r="2341" spans="21:32" x14ac:dyDescent="0.3">
      <c r="U2341" s="193"/>
      <c r="V2341" s="193"/>
      <c r="W2341" s="193"/>
      <c r="X2341" s="193"/>
      <c r="Y2341" s="193"/>
      <c r="Z2341" s="193"/>
      <c r="AC2341" s="193"/>
      <c r="AD2341" s="193"/>
      <c r="AE2341" s="193"/>
      <c r="AF2341" s="193"/>
    </row>
    <row r="2342" spans="21:32" x14ac:dyDescent="0.3">
      <c r="U2342" s="193"/>
      <c r="V2342" s="193"/>
      <c r="W2342" s="193"/>
      <c r="X2342" s="193"/>
      <c r="Y2342" s="193"/>
      <c r="Z2342" s="193"/>
      <c r="AC2342" s="193"/>
      <c r="AD2342" s="193"/>
      <c r="AE2342" s="193"/>
      <c r="AF2342" s="193"/>
    </row>
    <row r="2343" spans="21:32" x14ac:dyDescent="0.3">
      <c r="U2343" s="193"/>
      <c r="V2343" s="193"/>
      <c r="W2343" s="193"/>
      <c r="X2343" s="193"/>
      <c r="Y2343" s="193"/>
      <c r="Z2343" s="193"/>
      <c r="AC2343" s="193"/>
      <c r="AD2343" s="193"/>
      <c r="AE2343" s="193"/>
      <c r="AF2343" s="193"/>
    </row>
    <row r="2344" spans="21:32" x14ac:dyDescent="0.3">
      <c r="U2344" s="193"/>
      <c r="V2344" s="193"/>
      <c r="W2344" s="193"/>
      <c r="X2344" s="193"/>
      <c r="Y2344" s="193"/>
      <c r="Z2344" s="193"/>
      <c r="AC2344" s="193"/>
      <c r="AD2344" s="193"/>
      <c r="AE2344" s="193"/>
      <c r="AF2344" s="193"/>
    </row>
    <row r="2345" spans="21:32" x14ac:dyDescent="0.3">
      <c r="U2345" s="193"/>
      <c r="V2345" s="193"/>
      <c r="W2345" s="193"/>
      <c r="X2345" s="193"/>
      <c r="Y2345" s="193"/>
      <c r="Z2345" s="193"/>
      <c r="AC2345" s="193"/>
      <c r="AD2345" s="193"/>
      <c r="AE2345" s="193"/>
      <c r="AF2345" s="193"/>
    </row>
    <row r="2346" spans="21:32" x14ac:dyDescent="0.3">
      <c r="U2346" s="193"/>
      <c r="V2346" s="193"/>
      <c r="W2346" s="193"/>
      <c r="X2346" s="193"/>
      <c r="Y2346" s="193"/>
      <c r="Z2346" s="193"/>
      <c r="AC2346" s="193"/>
      <c r="AD2346" s="193"/>
      <c r="AE2346" s="193"/>
      <c r="AF2346" s="193"/>
    </row>
    <row r="2347" spans="21:32" x14ac:dyDescent="0.3">
      <c r="U2347" s="193"/>
      <c r="V2347" s="193"/>
      <c r="W2347" s="193"/>
      <c r="X2347" s="193"/>
      <c r="Y2347" s="193"/>
      <c r="Z2347" s="193"/>
      <c r="AC2347" s="193"/>
      <c r="AD2347" s="193"/>
      <c r="AE2347" s="193"/>
      <c r="AF2347" s="193"/>
    </row>
    <row r="2348" spans="21:32" x14ac:dyDescent="0.3">
      <c r="U2348" s="193"/>
      <c r="V2348" s="193"/>
      <c r="W2348" s="193"/>
      <c r="X2348" s="193"/>
      <c r="Y2348" s="193"/>
      <c r="Z2348" s="193"/>
      <c r="AC2348" s="193"/>
      <c r="AD2348" s="193"/>
      <c r="AE2348" s="193"/>
      <c r="AF2348" s="193"/>
    </row>
    <row r="2349" spans="21:32" x14ac:dyDescent="0.3">
      <c r="U2349" s="193"/>
      <c r="V2349" s="193"/>
      <c r="W2349" s="193"/>
      <c r="X2349" s="193"/>
      <c r="Y2349" s="193"/>
      <c r="Z2349" s="193"/>
      <c r="AC2349" s="193"/>
      <c r="AD2349" s="193"/>
      <c r="AE2349" s="193"/>
      <c r="AF2349" s="193"/>
    </row>
    <row r="2350" spans="21:32" x14ac:dyDescent="0.3">
      <c r="U2350" s="193"/>
      <c r="V2350" s="193"/>
      <c r="W2350" s="193"/>
      <c r="X2350" s="193"/>
      <c r="Y2350" s="193"/>
      <c r="Z2350" s="193"/>
      <c r="AC2350" s="193"/>
      <c r="AD2350" s="193"/>
      <c r="AE2350" s="193"/>
      <c r="AF2350" s="193"/>
    </row>
    <row r="2351" spans="21:32" x14ac:dyDescent="0.3">
      <c r="U2351" s="193"/>
      <c r="V2351" s="193"/>
      <c r="W2351" s="193"/>
      <c r="X2351" s="193"/>
      <c r="Y2351" s="193"/>
      <c r="Z2351" s="193"/>
      <c r="AC2351" s="193"/>
      <c r="AD2351" s="193"/>
      <c r="AE2351" s="193"/>
      <c r="AF2351" s="193"/>
    </row>
    <row r="2352" spans="21:32" x14ac:dyDescent="0.3">
      <c r="U2352" s="193"/>
      <c r="V2352" s="193"/>
      <c r="W2352" s="193"/>
      <c r="X2352" s="193"/>
      <c r="Y2352" s="193"/>
      <c r="Z2352" s="193"/>
      <c r="AC2352" s="193"/>
      <c r="AD2352" s="193"/>
      <c r="AE2352" s="193"/>
      <c r="AF2352" s="193"/>
    </row>
    <row r="2353" spans="21:32" x14ac:dyDescent="0.3">
      <c r="U2353" s="193"/>
      <c r="V2353" s="193"/>
      <c r="W2353" s="193"/>
      <c r="X2353" s="193"/>
      <c r="Y2353" s="193"/>
      <c r="Z2353" s="193"/>
      <c r="AC2353" s="193"/>
      <c r="AD2353" s="193"/>
      <c r="AE2353" s="193"/>
      <c r="AF2353" s="193"/>
    </row>
    <row r="2354" spans="21:32" x14ac:dyDescent="0.3">
      <c r="U2354" s="193"/>
      <c r="V2354" s="193"/>
      <c r="W2354" s="193"/>
      <c r="X2354" s="193"/>
      <c r="Y2354" s="193"/>
      <c r="Z2354" s="193"/>
      <c r="AC2354" s="193"/>
      <c r="AD2354" s="193"/>
      <c r="AE2354" s="193"/>
      <c r="AF2354" s="193"/>
    </row>
    <row r="2355" spans="21:32" x14ac:dyDescent="0.3">
      <c r="U2355" s="193"/>
      <c r="V2355" s="193"/>
      <c r="W2355" s="193"/>
      <c r="X2355" s="193"/>
      <c r="Y2355" s="193"/>
      <c r="Z2355" s="193"/>
      <c r="AC2355" s="193"/>
      <c r="AD2355" s="193"/>
      <c r="AE2355" s="193"/>
      <c r="AF2355" s="193"/>
    </row>
    <row r="2356" spans="21:32" x14ac:dyDescent="0.3">
      <c r="U2356" s="193"/>
      <c r="V2356" s="193"/>
      <c r="W2356" s="193"/>
      <c r="X2356" s="193"/>
      <c r="Y2356" s="193"/>
      <c r="Z2356" s="193"/>
      <c r="AC2356" s="193"/>
      <c r="AD2356" s="193"/>
      <c r="AE2356" s="193"/>
      <c r="AF2356" s="193"/>
    </row>
    <row r="2357" spans="21:32" x14ac:dyDescent="0.3">
      <c r="U2357" s="193"/>
      <c r="V2357" s="193"/>
      <c r="W2357" s="193"/>
      <c r="X2357" s="193"/>
      <c r="Y2357" s="193"/>
      <c r="Z2357" s="193"/>
      <c r="AC2357" s="193"/>
      <c r="AD2357" s="193"/>
      <c r="AE2357" s="193"/>
      <c r="AF2357" s="193"/>
    </row>
    <row r="2358" spans="21:32" x14ac:dyDescent="0.3">
      <c r="U2358" s="193"/>
      <c r="V2358" s="193"/>
      <c r="W2358" s="193"/>
      <c r="X2358" s="193"/>
      <c r="Y2358" s="193"/>
      <c r="Z2358" s="193"/>
      <c r="AC2358" s="193"/>
      <c r="AD2358" s="193"/>
      <c r="AE2358" s="193"/>
      <c r="AF2358" s="193"/>
    </row>
    <row r="2359" spans="21:32" x14ac:dyDescent="0.3">
      <c r="U2359" s="193"/>
      <c r="V2359" s="193"/>
      <c r="W2359" s="193"/>
      <c r="X2359" s="193"/>
      <c r="Y2359" s="193"/>
      <c r="Z2359" s="193"/>
      <c r="AC2359" s="193"/>
      <c r="AD2359" s="193"/>
      <c r="AE2359" s="193"/>
      <c r="AF2359" s="193"/>
    </row>
    <row r="2360" spans="21:32" x14ac:dyDescent="0.3">
      <c r="U2360" s="193"/>
      <c r="V2360" s="193"/>
      <c r="W2360" s="193"/>
      <c r="X2360" s="193"/>
      <c r="Y2360" s="193"/>
      <c r="Z2360" s="193"/>
      <c r="AC2360" s="193"/>
      <c r="AD2360" s="193"/>
      <c r="AE2360" s="193"/>
      <c r="AF2360" s="193"/>
    </row>
    <row r="2361" spans="21:32" x14ac:dyDescent="0.3">
      <c r="U2361" s="193"/>
      <c r="V2361" s="193"/>
      <c r="W2361" s="193"/>
      <c r="X2361" s="193"/>
      <c r="Y2361" s="193"/>
      <c r="Z2361" s="193"/>
      <c r="AC2361" s="193"/>
      <c r="AD2361" s="193"/>
      <c r="AE2361" s="193"/>
      <c r="AF2361" s="193"/>
    </row>
    <row r="2362" spans="21:32" x14ac:dyDescent="0.3">
      <c r="U2362" s="193"/>
      <c r="V2362" s="193"/>
      <c r="W2362" s="193"/>
      <c r="X2362" s="193"/>
      <c r="Y2362" s="193"/>
      <c r="Z2362" s="193"/>
      <c r="AC2362" s="193"/>
      <c r="AD2362" s="193"/>
      <c r="AE2362" s="193"/>
      <c r="AF2362" s="193"/>
    </row>
    <row r="2363" spans="21:32" x14ac:dyDescent="0.3">
      <c r="U2363" s="193"/>
      <c r="V2363" s="193"/>
      <c r="W2363" s="193"/>
      <c r="X2363" s="193"/>
      <c r="Y2363" s="193"/>
      <c r="Z2363" s="193"/>
      <c r="AC2363" s="193"/>
      <c r="AD2363" s="193"/>
      <c r="AE2363" s="193"/>
      <c r="AF2363" s="193"/>
    </row>
    <row r="2364" spans="21:32" x14ac:dyDescent="0.3">
      <c r="U2364" s="193"/>
      <c r="V2364" s="193"/>
      <c r="W2364" s="193"/>
      <c r="X2364" s="193"/>
      <c r="Y2364" s="193"/>
      <c r="Z2364" s="193"/>
      <c r="AC2364" s="193"/>
      <c r="AD2364" s="193"/>
      <c r="AE2364" s="193"/>
      <c r="AF2364" s="193"/>
    </row>
    <row r="2365" spans="21:32" x14ac:dyDescent="0.3">
      <c r="U2365" s="193"/>
      <c r="V2365" s="193"/>
      <c r="W2365" s="193"/>
      <c r="X2365" s="193"/>
      <c r="Y2365" s="193"/>
      <c r="Z2365" s="193"/>
      <c r="AC2365" s="193"/>
      <c r="AD2365" s="193"/>
      <c r="AE2365" s="193"/>
      <c r="AF2365" s="193"/>
    </row>
    <row r="2366" spans="21:32" x14ac:dyDescent="0.3">
      <c r="U2366" s="193"/>
      <c r="V2366" s="193"/>
      <c r="W2366" s="193"/>
      <c r="X2366" s="193"/>
      <c r="Y2366" s="193"/>
      <c r="Z2366" s="193"/>
      <c r="AC2366" s="193"/>
      <c r="AD2366" s="193"/>
      <c r="AE2366" s="193"/>
      <c r="AF2366" s="193"/>
    </row>
    <row r="2367" spans="21:32" x14ac:dyDescent="0.3">
      <c r="U2367" s="193"/>
      <c r="V2367" s="193"/>
      <c r="W2367" s="193"/>
      <c r="X2367" s="193"/>
      <c r="Y2367" s="193"/>
      <c r="Z2367" s="193"/>
      <c r="AC2367" s="193"/>
      <c r="AD2367" s="193"/>
      <c r="AE2367" s="193"/>
      <c r="AF2367" s="193"/>
    </row>
    <row r="2368" spans="21:32" x14ac:dyDescent="0.3">
      <c r="U2368" s="193"/>
      <c r="V2368" s="193"/>
      <c r="W2368" s="193"/>
      <c r="X2368" s="193"/>
      <c r="Y2368" s="193"/>
      <c r="Z2368" s="193"/>
      <c r="AC2368" s="193"/>
      <c r="AD2368" s="193"/>
      <c r="AE2368" s="193"/>
      <c r="AF2368" s="193"/>
    </row>
    <row r="2369" spans="21:32" x14ac:dyDescent="0.3">
      <c r="U2369" s="193"/>
      <c r="V2369" s="193"/>
      <c r="W2369" s="193"/>
      <c r="X2369" s="193"/>
      <c r="Y2369" s="193"/>
      <c r="Z2369" s="193"/>
      <c r="AC2369" s="193"/>
      <c r="AD2369" s="193"/>
      <c r="AE2369" s="193"/>
      <c r="AF2369" s="193"/>
    </row>
    <row r="2370" spans="21:32" x14ac:dyDescent="0.3">
      <c r="U2370" s="193"/>
      <c r="V2370" s="193"/>
      <c r="W2370" s="193"/>
      <c r="X2370" s="193"/>
      <c r="Y2370" s="193"/>
      <c r="Z2370" s="193"/>
      <c r="AC2370" s="193"/>
      <c r="AD2370" s="193"/>
      <c r="AE2370" s="193"/>
      <c r="AF2370" s="193"/>
    </row>
    <row r="2371" spans="21:32" x14ac:dyDescent="0.3">
      <c r="U2371" s="193"/>
      <c r="V2371" s="193"/>
      <c r="W2371" s="193"/>
      <c r="X2371" s="193"/>
      <c r="Y2371" s="193"/>
      <c r="Z2371" s="193"/>
      <c r="AC2371" s="193"/>
      <c r="AD2371" s="193"/>
      <c r="AE2371" s="193"/>
      <c r="AF2371" s="193"/>
    </row>
    <row r="2372" spans="21:32" x14ac:dyDescent="0.3">
      <c r="U2372" s="193"/>
      <c r="V2372" s="193"/>
      <c r="W2372" s="193"/>
      <c r="X2372" s="193"/>
      <c r="Y2372" s="193"/>
      <c r="Z2372" s="193"/>
      <c r="AC2372" s="193"/>
      <c r="AD2372" s="193"/>
      <c r="AE2372" s="193"/>
      <c r="AF2372" s="193"/>
    </row>
    <row r="2373" spans="21:32" x14ac:dyDescent="0.3">
      <c r="U2373" s="193"/>
      <c r="V2373" s="193"/>
      <c r="W2373" s="193"/>
      <c r="X2373" s="193"/>
      <c r="Y2373" s="193"/>
      <c r="Z2373" s="193"/>
      <c r="AC2373" s="193"/>
      <c r="AD2373" s="193"/>
      <c r="AE2373" s="193"/>
      <c r="AF2373" s="193"/>
    </row>
    <row r="2374" spans="21:32" x14ac:dyDescent="0.3">
      <c r="U2374" s="193"/>
      <c r="V2374" s="193"/>
      <c r="W2374" s="193"/>
      <c r="X2374" s="193"/>
      <c r="Y2374" s="193"/>
      <c r="Z2374" s="193"/>
      <c r="AC2374" s="193"/>
      <c r="AD2374" s="193"/>
      <c r="AE2374" s="193"/>
      <c r="AF2374" s="193"/>
    </row>
    <row r="2375" spans="21:32" x14ac:dyDescent="0.3">
      <c r="U2375" s="193"/>
      <c r="V2375" s="193"/>
      <c r="W2375" s="193"/>
      <c r="X2375" s="193"/>
      <c r="Y2375" s="193"/>
      <c r="Z2375" s="193"/>
      <c r="AC2375" s="193"/>
      <c r="AD2375" s="193"/>
      <c r="AE2375" s="193"/>
      <c r="AF2375" s="193"/>
    </row>
    <row r="2376" spans="21:32" x14ac:dyDescent="0.3">
      <c r="U2376" s="193"/>
      <c r="V2376" s="193"/>
      <c r="W2376" s="193"/>
      <c r="X2376" s="193"/>
      <c r="Y2376" s="193"/>
      <c r="Z2376" s="193"/>
      <c r="AC2376" s="193"/>
      <c r="AD2376" s="193"/>
      <c r="AE2376" s="193"/>
      <c r="AF2376" s="193"/>
    </row>
    <row r="2377" spans="21:32" x14ac:dyDescent="0.3">
      <c r="U2377" s="193"/>
      <c r="V2377" s="193"/>
      <c r="W2377" s="193"/>
      <c r="X2377" s="193"/>
      <c r="Y2377" s="193"/>
      <c r="Z2377" s="193"/>
      <c r="AC2377" s="193"/>
      <c r="AD2377" s="193"/>
      <c r="AE2377" s="193"/>
      <c r="AF2377" s="193"/>
    </row>
    <row r="2378" spans="21:32" x14ac:dyDescent="0.3">
      <c r="U2378" s="193"/>
      <c r="V2378" s="193"/>
      <c r="W2378" s="193"/>
      <c r="X2378" s="193"/>
      <c r="Y2378" s="193"/>
      <c r="Z2378" s="193"/>
      <c r="AC2378" s="193"/>
      <c r="AD2378" s="193"/>
      <c r="AE2378" s="193"/>
      <c r="AF2378" s="193"/>
    </row>
    <row r="2379" spans="21:32" x14ac:dyDescent="0.3">
      <c r="U2379" s="193"/>
      <c r="V2379" s="193"/>
      <c r="W2379" s="193"/>
      <c r="X2379" s="193"/>
      <c r="Y2379" s="193"/>
      <c r="Z2379" s="193"/>
      <c r="AC2379" s="193"/>
      <c r="AD2379" s="193"/>
      <c r="AE2379" s="193"/>
      <c r="AF2379" s="193"/>
    </row>
    <row r="2380" spans="21:32" x14ac:dyDescent="0.3">
      <c r="U2380" s="193"/>
      <c r="V2380" s="193"/>
      <c r="W2380" s="193"/>
      <c r="X2380" s="193"/>
      <c r="Y2380" s="193"/>
      <c r="Z2380" s="193"/>
      <c r="AC2380" s="193"/>
      <c r="AD2380" s="193"/>
      <c r="AE2380" s="193"/>
      <c r="AF2380" s="193"/>
    </row>
    <row r="2381" spans="21:32" x14ac:dyDescent="0.3">
      <c r="U2381" s="193"/>
      <c r="V2381" s="193"/>
      <c r="W2381" s="193"/>
      <c r="X2381" s="193"/>
      <c r="Y2381" s="193"/>
      <c r="Z2381" s="193"/>
      <c r="AC2381" s="193"/>
      <c r="AD2381" s="193"/>
      <c r="AE2381" s="193"/>
      <c r="AF2381" s="193"/>
    </row>
    <row r="2382" spans="21:32" x14ac:dyDescent="0.3">
      <c r="U2382" s="193"/>
      <c r="V2382" s="193"/>
      <c r="W2382" s="193"/>
      <c r="X2382" s="193"/>
      <c r="Y2382" s="193"/>
      <c r="Z2382" s="193"/>
      <c r="AC2382" s="193"/>
      <c r="AD2382" s="193"/>
      <c r="AE2382" s="193"/>
      <c r="AF2382" s="193"/>
    </row>
    <row r="2383" spans="21:32" x14ac:dyDescent="0.3">
      <c r="U2383" s="193"/>
      <c r="V2383" s="193"/>
      <c r="W2383" s="193"/>
      <c r="X2383" s="193"/>
      <c r="Y2383" s="193"/>
      <c r="Z2383" s="193"/>
      <c r="AC2383" s="193"/>
      <c r="AD2383" s="193"/>
      <c r="AE2383" s="193"/>
      <c r="AF2383" s="193"/>
    </row>
    <row r="2384" spans="21:32" x14ac:dyDescent="0.3">
      <c r="U2384" s="193"/>
      <c r="V2384" s="193"/>
      <c r="W2384" s="193"/>
      <c r="X2384" s="193"/>
      <c r="Y2384" s="193"/>
      <c r="Z2384" s="193"/>
      <c r="AC2384" s="193"/>
      <c r="AD2384" s="193"/>
      <c r="AE2384" s="193"/>
      <c r="AF2384" s="193"/>
    </row>
    <row r="2385" spans="21:32" x14ac:dyDescent="0.3">
      <c r="U2385" s="193"/>
      <c r="V2385" s="193"/>
      <c r="W2385" s="193"/>
      <c r="X2385" s="193"/>
      <c r="Y2385" s="193"/>
      <c r="Z2385" s="193"/>
      <c r="AC2385" s="193"/>
      <c r="AD2385" s="193"/>
      <c r="AE2385" s="193"/>
      <c r="AF2385" s="193"/>
    </row>
    <row r="2386" spans="21:32" x14ac:dyDescent="0.3">
      <c r="U2386" s="193"/>
      <c r="V2386" s="193"/>
      <c r="W2386" s="193"/>
      <c r="X2386" s="193"/>
      <c r="Y2386" s="193"/>
      <c r="Z2386" s="193"/>
      <c r="AC2386" s="193"/>
      <c r="AD2386" s="193"/>
      <c r="AE2386" s="193"/>
      <c r="AF2386" s="193"/>
    </row>
    <row r="2387" spans="21:32" x14ac:dyDescent="0.3">
      <c r="U2387" s="193"/>
      <c r="V2387" s="193"/>
      <c r="W2387" s="193"/>
      <c r="X2387" s="193"/>
      <c r="Y2387" s="193"/>
      <c r="Z2387" s="193"/>
      <c r="AC2387" s="193"/>
      <c r="AD2387" s="193"/>
      <c r="AE2387" s="193"/>
      <c r="AF2387" s="193"/>
    </row>
    <row r="2388" spans="21:32" x14ac:dyDescent="0.3">
      <c r="U2388" s="193"/>
      <c r="V2388" s="193"/>
      <c r="W2388" s="193"/>
      <c r="X2388" s="193"/>
      <c r="Y2388" s="193"/>
      <c r="Z2388" s="193"/>
      <c r="AC2388" s="193"/>
      <c r="AD2388" s="193"/>
      <c r="AE2388" s="193"/>
      <c r="AF2388" s="193"/>
    </row>
    <row r="2389" spans="21:32" x14ac:dyDescent="0.3">
      <c r="U2389" s="193"/>
      <c r="V2389" s="193"/>
      <c r="W2389" s="193"/>
      <c r="X2389" s="193"/>
      <c r="Y2389" s="193"/>
      <c r="Z2389" s="193"/>
      <c r="AC2389" s="193"/>
      <c r="AD2389" s="193"/>
      <c r="AE2389" s="193"/>
      <c r="AF2389" s="193"/>
    </row>
    <row r="2390" spans="21:32" x14ac:dyDescent="0.3">
      <c r="U2390" s="193"/>
      <c r="V2390" s="193"/>
      <c r="W2390" s="193"/>
      <c r="X2390" s="193"/>
      <c r="Y2390" s="193"/>
      <c r="Z2390" s="193"/>
      <c r="AC2390" s="193"/>
      <c r="AD2390" s="193"/>
      <c r="AE2390" s="193"/>
      <c r="AF2390" s="193"/>
    </row>
    <row r="2391" spans="21:32" x14ac:dyDescent="0.3">
      <c r="U2391" s="193"/>
      <c r="V2391" s="193"/>
      <c r="W2391" s="193"/>
      <c r="X2391" s="193"/>
      <c r="Y2391" s="193"/>
      <c r="Z2391" s="193"/>
      <c r="AC2391" s="193"/>
      <c r="AD2391" s="193"/>
      <c r="AE2391" s="193"/>
      <c r="AF2391" s="193"/>
    </row>
    <row r="2392" spans="21:32" x14ac:dyDescent="0.3">
      <c r="U2392" s="193"/>
      <c r="V2392" s="193"/>
      <c r="W2392" s="193"/>
      <c r="X2392" s="193"/>
      <c r="Y2392" s="193"/>
      <c r="Z2392" s="193"/>
      <c r="AC2392" s="193"/>
      <c r="AD2392" s="193"/>
      <c r="AE2392" s="193"/>
      <c r="AF2392" s="193"/>
    </row>
    <row r="2393" spans="21:32" x14ac:dyDescent="0.3">
      <c r="U2393" s="193"/>
      <c r="V2393" s="193"/>
      <c r="W2393" s="193"/>
      <c r="X2393" s="193"/>
      <c r="Y2393" s="193"/>
      <c r="Z2393" s="193"/>
      <c r="AC2393" s="193"/>
      <c r="AD2393" s="193"/>
      <c r="AE2393" s="193"/>
      <c r="AF2393" s="193"/>
    </row>
    <row r="2394" spans="21:32" x14ac:dyDescent="0.3">
      <c r="U2394" s="193"/>
      <c r="V2394" s="193"/>
      <c r="W2394" s="193"/>
      <c r="X2394" s="193"/>
      <c r="Y2394" s="193"/>
      <c r="Z2394" s="193"/>
      <c r="AC2394" s="193"/>
      <c r="AD2394" s="193"/>
      <c r="AE2394" s="193"/>
      <c r="AF2394" s="193"/>
    </row>
    <row r="2395" spans="21:32" x14ac:dyDescent="0.3">
      <c r="U2395" s="193"/>
      <c r="V2395" s="193"/>
      <c r="W2395" s="193"/>
      <c r="X2395" s="193"/>
      <c r="Y2395" s="193"/>
      <c r="Z2395" s="193"/>
      <c r="AC2395" s="193"/>
      <c r="AD2395" s="193"/>
      <c r="AE2395" s="193"/>
      <c r="AF2395" s="193"/>
    </row>
    <row r="2396" spans="21:32" x14ac:dyDescent="0.3">
      <c r="U2396" s="193"/>
      <c r="V2396" s="193"/>
      <c r="W2396" s="193"/>
      <c r="X2396" s="193"/>
      <c r="Y2396" s="193"/>
      <c r="Z2396" s="193"/>
      <c r="AC2396" s="193"/>
      <c r="AD2396" s="193"/>
      <c r="AE2396" s="193"/>
      <c r="AF2396" s="193"/>
    </row>
    <row r="2397" spans="21:32" x14ac:dyDescent="0.3">
      <c r="U2397" s="193"/>
      <c r="V2397" s="193"/>
      <c r="W2397" s="193"/>
      <c r="X2397" s="193"/>
      <c r="Y2397" s="193"/>
      <c r="Z2397" s="193"/>
      <c r="AC2397" s="193"/>
      <c r="AD2397" s="193"/>
      <c r="AE2397" s="193"/>
      <c r="AF2397" s="193"/>
    </row>
    <row r="2398" spans="21:32" x14ac:dyDescent="0.3">
      <c r="U2398" s="193"/>
      <c r="V2398" s="193"/>
      <c r="W2398" s="193"/>
      <c r="X2398" s="193"/>
      <c r="Y2398" s="193"/>
      <c r="Z2398" s="193"/>
      <c r="AC2398" s="193"/>
      <c r="AD2398" s="193"/>
      <c r="AE2398" s="193"/>
      <c r="AF2398" s="193"/>
    </row>
    <row r="2399" spans="21:32" x14ac:dyDescent="0.3">
      <c r="U2399" s="193"/>
      <c r="V2399" s="193"/>
      <c r="W2399" s="193"/>
      <c r="X2399" s="193"/>
      <c r="Y2399" s="193"/>
      <c r="Z2399" s="193"/>
      <c r="AC2399" s="193"/>
      <c r="AD2399" s="193"/>
      <c r="AE2399" s="193"/>
      <c r="AF2399" s="193"/>
    </row>
    <row r="2400" spans="21:32" x14ac:dyDescent="0.3">
      <c r="U2400" s="193"/>
      <c r="V2400" s="193"/>
      <c r="W2400" s="193"/>
      <c r="X2400" s="193"/>
      <c r="Y2400" s="193"/>
      <c r="Z2400" s="193"/>
      <c r="AC2400" s="193"/>
      <c r="AD2400" s="193"/>
      <c r="AE2400" s="193"/>
      <c r="AF2400" s="193"/>
    </row>
    <row r="2401" spans="21:32" x14ac:dyDescent="0.3">
      <c r="U2401" s="193"/>
      <c r="V2401" s="193"/>
      <c r="W2401" s="193"/>
      <c r="X2401" s="193"/>
      <c r="Y2401" s="193"/>
      <c r="Z2401" s="193"/>
      <c r="AC2401" s="193"/>
      <c r="AD2401" s="193"/>
      <c r="AE2401" s="193"/>
      <c r="AF2401" s="193"/>
    </row>
    <row r="2402" spans="21:32" x14ac:dyDescent="0.3">
      <c r="U2402" s="193"/>
      <c r="V2402" s="193"/>
      <c r="W2402" s="193"/>
      <c r="X2402" s="193"/>
      <c r="Y2402" s="193"/>
      <c r="Z2402" s="193"/>
      <c r="AC2402" s="193"/>
      <c r="AD2402" s="193"/>
      <c r="AE2402" s="193"/>
      <c r="AF2402" s="193"/>
    </row>
    <row r="2403" spans="21:32" x14ac:dyDescent="0.3">
      <c r="U2403" s="193"/>
      <c r="V2403" s="193"/>
      <c r="W2403" s="193"/>
      <c r="X2403" s="193"/>
      <c r="Y2403" s="193"/>
      <c r="Z2403" s="193"/>
      <c r="AC2403" s="193"/>
      <c r="AD2403" s="193"/>
      <c r="AE2403" s="193"/>
      <c r="AF2403" s="193"/>
    </row>
    <row r="2404" spans="21:32" x14ac:dyDescent="0.3">
      <c r="U2404" s="193"/>
      <c r="V2404" s="193"/>
      <c r="W2404" s="193"/>
      <c r="X2404" s="193"/>
      <c r="Y2404" s="193"/>
      <c r="Z2404" s="193"/>
      <c r="AC2404" s="193"/>
      <c r="AD2404" s="193"/>
      <c r="AE2404" s="193"/>
      <c r="AF2404" s="193"/>
    </row>
    <row r="2405" spans="21:32" x14ac:dyDescent="0.3">
      <c r="U2405" s="193"/>
      <c r="V2405" s="193"/>
      <c r="W2405" s="193"/>
      <c r="X2405" s="193"/>
      <c r="Y2405" s="193"/>
      <c r="Z2405" s="193"/>
      <c r="AC2405" s="193"/>
      <c r="AD2405" s="193"/>
      <c r="AE2405" s="193"/>
      <c r="AF2405" s="193"/>
    </row>
    <row r="2406" spans="21:32" x14ac:dyDescent="0.3">
      <c r="U2406" s="193"/>
      <c r="V2406" s="193"/>
      <c r="W2406" s="193"/>
      <c r="X2406" s="193"/>
      <c r="Y2406" s="193"/>
      <c r="Z2406" s="193"/>
      <c r="AC2406" s="193"/>
      <c r="AD2406" s="193"/>
      <c r="AE2406" s="193"/>
      <c r="AF2406" s="193"/>
    </row>
    <row r="2407" spans="21:32" x14ac:dyDescent="0.3">
      <c r="U2407" s="193"/>
      <c r="V2407" s="193"/>
      <c r="W2407" s="193"/>
      <c r="X2407" s="193"/>
      <c r="Y2407" s="193"/>
      <c r="Z2407" s="193"/>
      <c r="AC2407" s="193"/>
      <c r="AD2407" s="193"/>
      <c r="AE2407" s="193"/>
      <c r="AF2407" s="193"/>
    </row>
    <row r="2408" spans="21:32" x14ac:dyDescent="0.3">
      <c r="U2408" s="193"/>
      <c r="V2408" s="193"/>
      <c r="W2408" s="193"/>
      <c r="X2408" s="193"/>
      <c r="Y2408" s="193"/>
      <c r="Z2408" s="193"/>
      <c r="AC2408" s="193"/>
      <c r="AD2408" s="193"/>
      <c r="AE2408" s="193"/>
      <c r="AF2408" s="193"/>
    </row>
    <row r="2409" spans="21:32" x14ac:dyDescent="0.3">
      <c r="U2409" s="193"/>
      <c r="V2409" s="193"/>
      <c r="W2409" s="193"/>
      <c r="X2409" s="193"/>
      <c r="Y2409" s="193"/>
      <c r="Z2409" s="193"/>
      <c r="AC2409" s="193"/>
      <c r="AD2409" s="193"/>
      <c r="AE2409" s="193"/>
      <c r="AF2409" s="193"/>
    </row>
    <row r="2410" spans="21:32" x14ac:dyDescent="0.3">
      <c r="U2410" s="193"/>
      <c r="V2410" s="193"/>
      <c r="W2410" s="193"/>
      <c r="X2410" s="193"/>
      <c r="Y2410" s="193"/>
      <c r="Z2410" s="193"/>
      <c r="AC2410" s="193"/>
      <c r="AD2410" s="193"/>
      <c r="AE2410" s="193"/>
      <c r="AF2410" s="193"/>
    </row>
    <row r="2411" spans="21:32" x14ac:dyDescent="0.3">
      <c r="U2411" s="193"/>
      <c r="V2411" s="193"/>
      <c r="W2411" s="193"/>
      <c r="X2411" s="193"/>
      <c r="Y2411" s="193"/>
      <c r="Z2411" s="193"/>
      <c r="AC2411" s="193"/>
      <c r="AD2411" s="193"/>
      <c r="AE2411" s="193"/>
      <c r="AF2411" s="193"/>
    </row>
    <row r="2412" spans="21:32" x14ac:dyDescent="0.3">
      <c r="U2412" s="193"/>
      <c r="V2412" s="193"/>
      <c r="W2412" s="193"/>
      <c r="X2412" s="193"/>
      <c r="Y2412" s="193"/>
      <c r="Z2412" s="193"/>
      <c r="AC2412" s="193"/>
      <c r="AD2412" s="193"/>
      <c r="AE2412" s="193"/>
      <c r="AF2412" s="193"/>
    </row>
    <row r="2413" spans="21:32" x14ac:dyDescent="0.3">
      <c r="U2413" s="193"/>
      <c r="V2413" s="193"/>
      <c r="W2413" s="193"/>
      <c r="X2413" s="193"/>
      <c r="Y2413" s="193"/>
      <c r="Z2413" s="193"/>
      <c r="AC2413" s="193"/>
      <c r="AD2413" s="193"/>
      <c r="AE2413" s="193"/>
      <c r="AF2413" s="193"/>
    </row>
    <row r="2414" spans="21:32" x14ac:dyDescent="0.3">
      <c r="U2414" s="193"/>
      <c r="V2414" s="193"/>
      <c r="W2414" s="193"/>
      <c r="X2414" s="193"/>
      <c r="Y2414" s="193"/>
      <c r="Z2414" s="193"/>
      <c r="AC2414" s="193"/>
      <c r="AD2414" s="193"/>
      <c r="AE2414" s="193"/>
      <c r="AF2414" s="193"/>
    </row>
    <row r="2415" spans="21:32" x14ac:dyDescent="0.3">
      <c r="U2415" s="193"/>
      <c r="V2415" s="193"/>
      <c r="W2415" s="193"/>
      <c r="X2415" s="193"/>
      <c r="Y2415" s="193"/>
      <c r="Z2415" s="193"/>
      <c r="AC2415" s="193"/>
      <c r="AD2415" s="193"/>
      <c r="AE2415" s="193"/>
      <c r="AF2415" s="193"/>
    </row>
    <row r="2416" spans="21:32" x14ac:dyDescent="0.3">
      <c r="U2416" s="193"/>
      <c r="V2416" s="193"/>
      <c r="W2416" s="193"/>
      <c r="X2416" s="193"/>
      <c r="Y2416" s="193"/>
      <c r="Z2416" s="193"/>
      <c r="AC2416" s="193"/>
      <c r="AD2416" s="193"/>
      <c r="AE2416" s="193"/>
      <c r="AF2416" s="193"/>
    </row>
    <row r="2417" spans="21:32" x14ac:dyDescent="0.3">
      <c r="U2417" s="193"/>
      <c r="V2417" s="193"/>
      <c r="W2417" s="193"/>
      <c r="X2417" s="193"/>
      <c r="Y2417" s="193"/>
      <c r="Z2417" s="193"/>
      <c r="AC2417" s="193"/>
      <c r="AD2417" s="193"/>
      <c r="AE2417" s="193"/>
      <c r="AF2417" s="193"/>
    </row>
    <row r="2418" spans="21:32" x14ac:dyDescent="0.3">
      <c r="U2418" s="193"/>
      <c r="V2418" s="193"/>
      <c r="W2418" s="193"/>
      <c r="X2418" s="193"/>
      <c r="Y2418" s="193"/>
      <c r="Z2418" s="193"/>
      <c r="AC2418" s="193"/>
      <c r="AD2418" s="193"/>
      <c r="AE2418" s="193"/>
      <c r="AF2418" s="193"/>
    </row>
    <row r="2419" spans="21:32" x14ac:dyDescent="0.3">
      <c r="U2419" s="193"/>
      <c r="V2419" s="193"/>
      <c r="W2419" s="193"/>
      <c r="X2419" s="193"/>
      <c r="Y2419" s="193"/>
      <c r="Z2419" s="193"/>
      <c r="AC2419" s="193"/>
      <c r="AD2419" s="193"/>
      <c r="AE2419" s="193"/>
      <c r="AF2419" s="193"/>
    </row>
    <row r="2420" spans="21:32" x14ac:dyDescent="0.3">
      <c r="U2420" s="193"/>
      <c r="V2420" s="193"/>
      <c r="W2420" s="193"/>
      <c r="X2420" s="193"/>
      <c r="Y2420" s="193"/>
      <c r="Z2420" s="193"/>
      <c r="AC2420" s="193"/>
      <c r="AD2420" s="193"/>
      <c r="AE2420" s="193"/>
      <c r="AF2420" s="193"/>
    </row>
    <row r="2421" spans="21:32" x14ac:dyDescent="0.3">
      <c r="U2421" s="193"/>
      <c r="V2421" s="193"/>
      <c r="W2421" s="193"/>
      <c r="X2421" s="193"/>
      <c r="Y2421" s="193"/>
      <c r="Z2421" s="193"/>
      <c r="AC2421" s="193"/>
      <c r="AD2421" s="193"/>
      <c r="AE2421" s="193"/>
      <c r="AF2421" s="193"/>
    </row>
    <row r="2422" spans="21:32" x14ac:dyDescent="0.3">
      <c r="U2422" s="193"/>
      <c r="V2422" s="193"/>
      <c r="W2422" s="193"/>
      <c r="X2422" s="193"/>
      <c r="Y2422" s="193"/>
      <c r="Z2422" s="193"/>
      <c r="AC2422" s="193"/>
      <c r="AD2422" s="193"/>
      <c r="AE2422" s="193"/>
      <c r="AF2422" s="193"/>
    </row>
    <row r="2423" spans="21:32" x14ac:dyDescent="0.3">
      <c r="U2423" s="193"/>
      <c r="V2423" s="193"/>
      <c r="W2423" s="193"/>
      <c r="X2423" s="193"/>
      <c r="Y2423" s="193"/>
      <c r="Z2423" s="193"/>
      <c r="AC2423" s="193"/>
      <c r="AD2423" s="193"/>
      <c r="AE2423" s="193"/>
      <c r="AF2423" s="193"/>
    </row>
    <row r="2424" spans="21:32" x14ac:dyDescent="0.3">
      <c r="U2424" s="193"/>
      <c r="V2424" s="193"/>
      <c r="W2424" s="193"/>
      <c r="X2424" s="193"/>
      <c r="Y2424" s="193"/>
      <c r="Z2424" s="193"/>
      <c r="AC2424" s="193"/>
      <c r="AD2424" s="193"/>
      <c r="AE2424" s="193"/>
      <c r="AF2424" s="193"/>
    </row>
    <row r="2425" spans="21:32" x14ac:dyDescent="0.3">
      <c r="U2425" s="193"/>
      <c r="V2425" s="193"/>
      <c r="W2425" s="193"/>
      <c r="X2425" s="193"/>
      <c r="Y2425" s="193"/>
      <c r="Z2425" s="193"/>
      <c r="AC2425" s="193"/>
      <c r="AD2425" s="193"/>
      <c r="AE2425" s="193"/>
      <c r="AF2425" s="193"/>
    </row>
    <row r="2426" spans="21:32" x14ac:dyDescent="0.3">
      <c r="U2426" s="193"/>
      <c r="V2426" s="193"/>
      <c r="W2426" s="193"/>
      <c r="X2426" s="193"/>
      <c r="Y2426" s="193"/>
      <c r="Z2426" s="193"/>
      <c r="AC2426" s="193"/>
      <c r="AD2426" s="193"/>
      <c r="AE2426" s="193"/>
      <c r="AF2426" s="193"/>
    </row>
    <row r="2427" spans="21:32" x14ac:dyDescent="0.3">
      <c r="U2427" s="193"/>
      <c r="V2427" s="193"/>
      <c r="W2427" s="193"/>
      <c r="X2427" s="193"/>
      <c r="Y2427" s="193"/>
      <c r="Z2427" s="193"/>
      <c r="AC2427" s="193"/>
      <c r="AD2427" s="193"/>
      <c r="AE2427" s="193"/>
      <c r="AF2427" s="193"/>
    </row>
    <row r="2428" spans="21:32" x14ac:dyDescent="0.3">
      <c r="U2428" s="193"/>
      <c r="V2428" s="193"/>
      <c r="W2428" s="193"/>
      <c r="X2428" s="193"/>
      <c r="Y2428" s="193"/>
      <c r="Z2428" s="193"/>
      <c r="AC2428" s="193"/>
      <c r="AD2428" s="193"/>
      <c r="AE2428" s="193"/>
      <c r="AF2428" s="193"/>
    </row>
    <row r="2429" spans="21:32" x14ac:dyDescent="0.3">
      <c r="U2429" s="193"/>
      <c r="V2429" s="193"/>
      <c r="W2429" s="193"/>
      <c r="X2429" s="193"/>
      <c r="Y2429" s="193"/>
      <c r="Z2429" s="193"/>
      <c r="AC2429" s="193"/>
      <c r="AD2429" s="193"/>
      <c r="AE2429" s="193"/>
      <c r="AF2429" s="193"/>
    </row>
    <row r="2430" spans="21:32" x14ac:dyDescent="0.3">
      <c r="U2430" s="193"/>
      <c r="V2430" s="193"/>
      <c r="W2430" s="193"/>
      <c r="X2430" s="193"/>
      <c r="Y2430" s="193"/>
      <c r="Z2430" s="193"/>
      <c r="AC2430" s="193"/>
      <c r="AD2430" s="193"/>
      <c r="AE2430" s="193"/>
      <c r="AF2430" s="193"/>
    </row>
    <row r="2431" spans="21:32" x14ac:dyDescent="0.3">
      <c r="U2431" s="193"/>
      <c r="V2431" s="193"/>
      <c r="W2431" s="193"/>
      <c r="X2431" s="193"/>
      <c r="Y2431" s="193"/>
      <c r="Z2431" s="193"/>
      <c r="AC2431" s="193"/>
      <c r="AD2431" s="193"/>
      <c r="AE2431" s="193"/>
      <c r="AF2431" s="193"/>
    </row>
    <row r="2432" spans="21:32" x14ac:dyDescent="0.3">
      <c r="U2432" s="193"/>
      <c r="V2432" s="193"/>
      <c r="W2432" s="193"/>
      <c r="X2432" s="193"/>
      <c r="Y2432" s="193"/>
      <c r="Z2432" s="193"/>
      <c r="AC2432" s="193"/>
      <c r="AD2432" s="193"/>
      <c r="AE2432" s="193"/>
      <c r="AF2432" s="193"/>
    </row>
    <row r="2433" spans="21:32" x14ac:dyDescent="0.3">
      <c r="U2433" s="193"/>
      <c r="V2433" s="193"/>
      <c r="W2433" s="193"/>
      <c r="X2433" s="193"/>
      <c r="Y2433" s="193"/>
      <c r="Z2433" s="193"/>
      <c r="AC2433" s="193"/>
      <c r="AD2433" s="193"/>
      <c r="AE2433" s="193"/>
      <c r="AF2433" s="193"/>
    </row>
    <row r="2434" spans="21:32" x14ac:dyDescent="0.3">
      <c r="U2434" s="193"/>
      <c r="V2434" s="193"/>
      <c r="W2434" s="193"/>
      <c r="X2434" s="193"/>
      <c r="Y2434" s="193"/>
      <c r="Z2434" s="193"/>
      <c r="AC2434" s="193"/>
      <c r="AD2434" s="193"/>
      <c r="AE2434" s="193"/>
      <c r="AF2434" s="193"/>
    </row>
    <row r="2435" spans="21:32" x14ac:dyDescent="0.3">
      <c r="U2435" s="193"/>
      <c r="V2435" s="193"/>
      <c r="W2435" s="193"/>
      <c r="X2435" s="193"/>
      <c r="Y2435" s="193"/>
      <c r="Z2435" s="193"/>
      <c r="AC2435" s="193"/>
      <c r="AD2435" s="193"/>
      <c r="AE2435" s="193"/>
      <c r="AF2435" s="193"/>
    </row>
    <row r="2436" spans="21:32" x14ac:dyDescent="0.3">
      <c r="U2436" s="193"/>
      <c r="V2436" s="193"/>
      <c r="W2436" s="193"/>
      <c r="X2436" s="193"/>
      <c r="Y2436" s="193"/>
      <c r="Z2436" s="193"/>
      <c r="AC2436" s="193"/>
      <c r="AD2436" s="193"/>
      <c r="AE2436" s="193"/>
      <c r="AF2436" s="193"/>
    </row>
    <row r="2437" spans="21:32" x14ac:dyDescent="0.3">
      <c r="U2437" s="193"/>
      <c r="V2437" s="193"/>
      <c r="W2437" s="193"/>
      <c r="X2437" s="193"/>
      <c r="Y2437" s="193"/>
      <c r="Z2437" s="193"/>
      <c r="AC2437" s="193"/>
      <c r="AD2437" s="193"/>
      <c r="AE2437" s="193"/>
      <c r="AF2437" s="193"/>
    </row>
    <row r="2438" spans="21:32" x14ac:dyDescent="0.3">
      <c r="U2438" s="193"/>
      <c r="V2438" s="193"/>
      <c r="W2438" s="193"/>
      <c r="X2438" s="193"/>
      <c r="Y2438" s="193"/>
      <c r="Z2438" s="193"/>
      <c r="AC2438" s="193"/>
      <c r="AD2438" s="193"/>
      <c r="AE2438" s="193"/>
      <c r="AF2438" s="193"/>
    </row>
    <row r="2439" spans="21:32" x14ac:dyDescent="0.3">
      <c r="U2439" s="193"/>
      <c r="V2439" s="193"/>
      <c r="W2439" s="193"/>
      <c r="X2439" s="193"/>
      <c r="Y2439" s="193"/>
      <c r="Z2439" s="193"/>
      <c r="AC2439" s="193"/>
      <c r="AD2439" s="193"/>
      <c r="AE2439" s="193"/>
      <c r="AF2439" s="193"/>
    </row>
    <row r="2440" spans="21:32" x14ac:dyDescent="0.3">
      <c r="U2440" s="193"/>
      <c r="V2440" s="193"/>
      <c r="W2440" s="193"/>
      <c r="X2440" s="193"/>
      <c r="Y2440" s="193"/>
      <c r="Z2440" s="193"/>
      <c r="AC2440" s="193"/>
      <c r="AD2440" s="193"/>
      <c r="AE2440" s="193"/>
      <c r="AF2440" s="193"/>
    </row>
    <row r="2441" spans="21:32" x14ac:dyDescent="0.3">
      <c r="U2441" s="193"/>
      <c r="V2441" s="193"/>
      <c r="W2441" s="193"/>
      <c r="X2441" s="193"/>
      <c r="Y2441" s="193"/>
      <c r="Z2441" s="193"/>
      <c r="AC2441" s="193"/>
      <c r="AD2441" s="193"/>
      <c r="AE2441" s="193"/>
      <c r="AF2441" s="193"/>
    </row>
    <row r="2442" spans="21:32" x14ac:dyDescent="0.3">
      <c r="U2442" s="193"/>
      <c r="V2442" s="193"/>
      <c r="W2442" s="193"/>
      <c r="X2442" s="193"/>
      <c r="Y2442" s="193"/>
      <c r="Z2442" s="193"/>
      <c r="AC2442" s="193"/>
      <c r="AD2442" s="193"/>
      <c r="AE2442" s="193"/>
      <c r="AF2442" s="193"/>
    </row>
    <row r="2443" spans="21:32" x14ac:dyDescent="0.3">
      <c r="U2443" s="193"/>
      <c r="V2443" s="193"/>
      <c r="W2443" s="193"/>
      <c r="X2443" s="193"/>
      <c r="Y2443" s="193"/>
      <c r="Z2443" s="193"/>
      <c r="AC2443" s="193"/>
      <c r="AD2443" s="193"/>
      <c r="AE2443" s="193"/>
      <c r="AF2443" s="193"/>
    </row>
    <row r="2444" spans="21:32" x14ac:dyDescent="0.3">
      <c r="U2444" s="193"/>
      <c r="V2444" s="193"/>
      <c r="W2444" s="193"/>
      <c r="X2444" s="193"/>
      <c r="Y2444" s="193"/>
      <c r="Z2444" s="193"/>
      <c r="AC2444" s="193"/>
      <c r="AD2444" s="193"/>
      <c r="AE2444" s="193"/>
      <c r="AF2444" s="193"/>
    </row>
    <row r="2445" spans="21:32" x14ac:dyDescent="0.3">
      <c r="U2445" s="193"/>
      <c r="V2445" s="193"/>
      <c r="W2445" s="193"/>
      <c r="X2445" s="193"/>
      <c r="Y2445" s="193"/>
      <c r="Z2445" s="193"/>
      <c r="AC2445" s="193"/>
      <c r="AD2445" s="193"/>
      <c r="AE2445" s="193"/>
      <c r="AF2445" s="193"/>
    </row>
    <row r="2446" spans="21:32" x14ac:dyDescent="0.3">
      <c r="U2446" s="193"/>
      <c r="V2446" s="193"/>
      <c r="W2446" s="193"/>
      <c r="X2446" s="193"/>
      <c r="Y2446" s="193"/>
      <c r="Z2446" s="193"/>
      <c r="AC2446" s="193"/>
      <c r="AD2446" s="193"/>
      <c r="AE2446" s="193"/>
      <c r="AF2446" s="193"/>
    </row>
    <row r="2447" spans="21:32" x14ac:dyDescent="0.3">
      <c r="U2447" s="193"/>
      <c r="V2447" s="193"/>
      <c r="W2447" s="193"/>
      <c r="X2447" s="193"/>
      <c r="Y2447" s="193"/>
      <c r="Z2447" s="193"/>
      <c r="AC2447" s="193"/>
      <c r="AD2447" s="193"/>
      <c r="AE2447" s="193"/>
      <c r="AF2447" s="193"/>
    </row>
    <row r="2448" spans="21:32" x14ac:dyDescent="0.3">
      <c r="U2448" s="193"/>
      <c r="V2448" s="193"/>
      <c r="W2448" s="193"/>
      <c r="X2448" s="193"/>
      <c r="Y2448" s="193"/>
      <c r="Z2448" s="193"/>
      <c r="AC2448" s="193"/>
      <c r="AD2448" s="193"/>
      <c r="AE2448" s="193"/>
      <c r="AF2448" s="193"/>
    </row>
    <row r="2449" spans="21:32" x14ac:dyDescent="0.3">
      <c r="U2449" s="193"/>
      <c r="V2449" s="193"/>
      <c r="W2449" s="193"/>
      <c r="X2449" s="193"/>
      <c r="Y2449" s="193"/>
      <c r="Z2449" s="193"/>
      <c r="AC2449" s="193"/>
      <c r="AD2449" s="193"/>
      <c r="AE2449" s="193"/>
      <c r="AF2449" s="193"/>
    </row>
    <row r="2450" spans="21:32" x14ac:dyDescent="0.3">
      <c r="U2450" s="193"/>
      <c r="V2450" s="193"/>
      <c r="W2450" s="193"/>
      <c r="X2450" s="193"/>
      <c r="Y2450" s="193"/>
      <c r="Z2450" s="193"/>
      <c r="AC2450" s="193"/>
      <c r="AD2450" s="193"/>
      <c r="AE2450" s="193"/>
      <c r="AF2450" s="193"/>
    </row>
    <row r="2451" spans="21:32" x14ac:dyDescent="0.3">
      <c r="U2451" s="193"/>
      <c r="V2451" s="193"/>
      <c r="W2451" s="193"/>
      <c r="X2451" s="193"/>
      <c r="Y2451" s="193"/>
      <c r="Z2451" s="193"/>
      <c r="AC2451" s="193"/>
      <c r="AD2451" s="193"/>
      <c r="AE2451" s="193"/>
      <c r="AF2451" s="193"/>
    </row>
    <row r="2452" spans="21:32" x14ac:dyDescent="0.3">
      <c r="U2452" s="193"/>
      <c r="V2452" s="193"/>
      <c r="W2452" s="193"/>
      <c r="X2452" s="193"/>
      <c r="Y2452" s="193"/>
      <c r="Z2452" s="193"/>
      <c r="AC2452" s="193"/>
      <c r="AD2452" s="193"/>
      <c r="AE2452" s="193"/>
      <c r="AF2452" s="193"/>
    </row>
    <row r="2453" spans="21:32" x14ac:dyDescent="0.3">
      <c r="U2453" s="193"/>
      <c r="V2453" s="193"/>
      <c r="W2453" s="193"/>
      <c r="X2453" s="193"/>
      <c r="Y2453" s="193"/>
      <c r="Z2453" s="193"/>
      <c r="AC2453" s="193"/>
      <c r="AD2453" s="193"/>
      <c r="AE2453" s="193"/>
      <c r="AF2453" s="193"/>
    </row>
    <row r="2454" spans="21:32" x14ac:dyDescent="0.3">
      <c r="U2454" s="193"/>
      <c r="V2454" s="193"/>
      <c r="W2454" s="193"/>
      <c r="X2454" s="193"/>
      <c r="Y2454" s="193"/>
      <c r="Z2454" s="193"/>
      <c r="AC2454" s="193"/>
      <c r="AD2454" s="193"/>
      <c r="AE2454" s="193"/>
      <c r="AF2454" s="193"/>
    </row>
    <row r="2455" spans="21:32" x14ac:dyDescent="0.3">
      <c r="U2455" s="193"/>
      <c r="V2455" s="193"/>
      <c r="W2455" s="193"/>
      <c r="X2455" s="193"/>
      <c r="Y2455" s="193"/>
      <c r="Z2455" s="193"/>
      <c r="AC2455" s="193"/>
      <c r="AD2455" s="193"/>
      <c r="AE2455" s="193"/>
      <c r="AF2455" s="193"/>
    </row>
    <row r="2456" spans="21:32" x14ac:dyDescent="0.3">
      <c r="U2456" s="193"/>
      <c r="V2456" s="193"/>
      <c r="W2456" s="193"/>
      <c r="X2456" s="193"/>
      <c r="Y2456" s="193"/>
      <c r="Z2456" s="193"/>
      <c r="AC2456" s="193"/>
      <c r="AD2456" s="193"/>
      <c r="AE2456" s="193"/>
      <c r="AF2456" s="193"/>
    </row>
    <row r="2457" spans="21:32" x14ac:dyDescent="0.3">
      <c r="U2457" s="193"/>
      <c r="V2457" s="193"/>
      <c r="W2457" s="193"/>
      <c r="X2457" s="193"/>
      <c r="Y2457" s="193"/>
      <c r="Z2457" s="193"/>
      <c r="AC2457" s="193"/>
      <c r="AD2457" s="193"/>
      <c r="AE2457" s="193"/>
      <c r="AF2457" s="193"/>
    </row>
    <row r="2458" spans="21:32" x14ac:dyDescent="0.3">
      <c r="U2458" s="193"/>
      <c r="V2458" s="193"/>
      <c r="W2458" s="193"/>
      <c r="X2458" s="193"/>
      <c r="Y2458" s="193"/>
      <c r="Z2458" s="193"/>
      <c r="AC2458" s="193"/>
      <c r="AD2458" s="193"/>
      <c r="AE2458" s="193"/>
      <c r="AF2458" s="193"/>
    </row>
    <row r="2459" spans="21:32" x14ac:dyDescent="0.3">
      <c r="U2459" s="193"/>
      <c r="V2459" s="193"/>
      <c r="W2459" s="193"/>
      <c r="X2459" s="193"/>
      <c r="Y2459" s="193"/>
      <c r="Z2459" s="193"/>
      <c r="AC2459" s="193"/>
      <c r="AD2459" s="193"/>
      <c r="AE2459" s="193"/>
      <c r="AF2459" s="193"/>
    </row>
    <row r="2460" spans="21:32" x14ac:dyDescent="0.3">
      <c r="U2460" s="193"/>
      <c r="V2460" s="193"/>
      <c r="W2460" s="193"/>
      <c r="X2460" s="193"/>
      <c r="Y2460" s="193"/>
      <c r="Z2460" s="193"/>
      <c r="AC2460" s="193"/>
      <c r="AD2460" s="193"/>
      <c r="AE2460" s="193"/>
      <c r="AF2460" s="193"/>
    </row>
    <row r="2461" spans="21:32" x14ac:dyDescent="0.3">
      <c r="U2461" s="193"/>
      <c r="V2461" s="193"/>
      <c r="W2461" s="193"/>
      <c r="X2461" s="193"/>
      <c r="Y2461" s="193"/>
      <c r="Z2461" s="193"/>
      <c r="AC2461" s="193"/>
      <c r="AD2461" s="193"/>
      <c r="AE2461" s="193"/>
      <c r="AF2461" s="193"/>
    </row>
    <row r="2462" spans="21:32" x14ac:dyDescent="0.3">
      <c r="U2462" s="193"/>
      <c r="V2462" s="193"/>
      <c r="W2462" s="193"/>
      <c r="X2462" s="193"/>
      <c r="Y2462" s="193"/>
      <c r="Z2462" s="193"/>
      <c r="AC2462" s="193"/>
      <c r="AD2462" s="193"/>
      <c r="AE2462" s="193"/>
      <c r="AF2462" s="193"/>
    </row>
    <row r="2463" spans="21:32" x14ac:dyDescent="0.3">
      <c r="U2463" s="193"/>
      <c r="V2463" s="193"/>
      <c r="W2463" s="193"/>
      <c r="X2463" s="193"/>
      <c r="Y2463" s="193"/>
      <c r="Z2463" s="193"/>
      <c r="AC2463" s="193"/>
      <c r="AD2463" s="193"/>
      <c r="AE2463" s="193"/>
      <c r="AF2463" s="193"/>
    </row>
    <row r="2464" spans="21:32" x14ac:dyDescent="0.3">
      <c r="U2464" s="193"/>
      <c r="V2464" s="193"/>
      <c r="W2464" s="193"/>
      <c r="X2464" s="193"/>
      <c r="Y2464" s="193"/>
      <c r="Z2464" s="193"/>
      <c r="AC2464" s="193"/>
      <c r="AD2464" s="193"/>
      <c r="AE2464" s="193"/>
      <c r="AF2464" s="193"/>
    </row>
    <row r="2465" spans="21:32" x14ac:dyDescent="0.3">
      <c r="U2465" s="193"/>
      <c r="V2465" s="193"/>
      <c r="W2465" s="193"/>
      <c r="X2465" s="193"/>
      <c r="Y2465" s="193"/>
      <c r="Z2465" s="193"/>
      <c r="AC2465" s="193"/>
      <c r="AD2465" s="193"/>
      <c r="AE2465" s="193"/>
      <c r="AF2465" s="193"/>
    </row>
    <row r="2466" spans="21:32" x14ac:dyDescent="0.3">
      <c r="U2466" s="193"/>
      <c r="V2466" s="193"/>
      <c r="W2466" s="193"/>
      <c r="X2466" s="193"/>
      <c r="Y2466" s="193"/>
      <c r="Z2466" s="193"/>
      <c r="AC2466" s="193"/>
      <c r="AD2466" s="193"/>
      <c r="AE2466" s="193"/>
      <c r="AF2466" s="193"/>
    </row>
    <row r="2467" spans="21:32" x14ac:dyDescent="0.3">
      <c r="U2467" s="193"/>
      <c r="V2467" s="193"/>
      <c r="W2467" s="193"/>
      <c r="X2467" s="193"/>
      <c r="Y2467" s="193"/>
      <c r="Z2467" s="193"/>
      <c r="AC2467" s="193"/>
      <c r="AD2467" s="193"/>
      <c r="AE2467" s="193"/>
      <c r="AF2467" s="193"/>
    </row>
    <row r="2468" spans="21:32" x14ac:dyDescent="0.3">
      <c r="U2468" s="193"/>
      <c r="V2468" s="193"/>
      <c r="W2468" s="193"/>
      <c r="X2468" s="193"/>
      <c r="Y2468" s="193"/>
      <c r="Z2468" s="193"/>
      <c r="AC2468" s="193"/>
      <c r="AD2468" s="193"/>
      <c r="AE2468" s="193"/>
      <c r="AF2468" s="193"/>
    </row>
    <row r="2469" spans="21:32" x14ac:dyDescent="0.3">
      <c r="U2469" s="193"/>
      <c r="V2469" s="193"/>
      <c r="W2469" s="193"/>
      <c r="X2469" s="193"/>
      <c r="Y2469" s="193"/>
      <c r="Z2469" s="193"/>
      <c r="AC2469" s="193"/>
      <c r="AD2469" s="193"/>
      <c r="AE2469" s="193"/>
      <c r="AF2469" s="193"/>
    </row>
    <row r="2470" spans="21:32" x14ac:dyDescent="0.3">
      <c r="U2470" s="193"/>
      <c r="V2470" s="193"/>
      <c r="W2470" s="193"/>
      <c r="X2470" s="193"/>
      <c r="Y2470" s="193"/>
      <c r="Z2470" s="193"/>
      <c r="AC2470" s="193"/>
      <c r="AD2470" s="193"/>
      <c r="AE2470" s="193"/>
      <c r="AF2470" s="193"/>
    </row>
    <row r="2471" spans="21:32" x14ac:dyDescent="0.3">
      <c r="U2471" s="193"/>
      <c r="V2471" s="193"/>
      <c r="W2471" s="193"/>
      <c r="X2471" s="193"/>
      <c r="Y2471" s="193"/>
      <c r="Z2471" s="193"/>
      <c r="AC2471" s="193"/>
      <c r="AD2471" s="193"/>
      <c r="AE2471" s="193"/>
      <c r="AF2471" s="193"/>
    </row>
    <row r="2472" spans="21:32" x14ac:dyDescent="0.3">
      <c r="U2472" s="193"/>
      <c r="V2472" s="193"/>
      <c r="W2472" s="193"/>
      <c r="X2472" s="193"/>
      <c r="Y2472" s="193"/>
      <c r="Z2472" s="193"/>
      <c r="AC2472" s="193"/>
      <c r="AD2472" s="193"/>
      <c r="AE2472" s="193"/>
      <c r="AF2472" s="193"/>
    </row>
    <row r="2473" spans="21:32" x14ac:dyDescent="0.3">
      <c r="U2473" s="193"/>
      <c r="V2473" s="193"/>
      <c r="W2473" s="193"/>
      <c r="X2473" s="193"/>
      <c r="Y2473" s="193"/>
      <c r="Z2473" s="193"/>
      <c r="AC2473" s="193"/>
      <c r="AD2473" s="193"/>
      <c r="AE2473" s="193"/>
      <c r="AF2473" s="193"/>
    </row>
    <row r="2474" spans="21:32" x14ac:dyDescent="0.3">
      <c r="U2474" s="193"/>
      <c r="V2474" s="193"/>
      <c r="W2474" s="193"/>
      <c r="X2474" s="193"/>
      <c r="Y2474" s="193"/>
      <c r="Z2474" s="193"/>
      <c r="AC2474" s="193"/>
      <c r="AD2474" s="193"/>
      <c r="AE2474" s="193"/>
      <c r="AF2474" s="193"/>
    </row>
    <row r="2475" spans="21:32" x14ac:dyDescent="0.3">
      <c r="U2475" s="193"/>
      <c r="V2475" s="193"/>
      <c r="W2475" s="193"/>
      <c r="X2475" s="193"/>
      <c r="Y2475" s="193"/>
      <c r="Z2475" s="193"/>
      <c r="AC2475" s="193"/>
      <c r="AD2475" s="193"/>
      <c r="AE2475" s="193"/>
      <c r="AF2475" s="193"/>
    </row>
    <row r="2476" spans="21:32" x14ac:dyDescent="0.3">
      <c r="U2476" s="193"/>
      <c r="V2476" s="193"/>
      <c r="W2476" s="193"/>
      <c r="X2476" s="193"/>
      <c r="Y2476" s="193"/>
      <c r="Z2476" s="193"/>
      <c r="AC2476" s="193"/>
      <c r="AD2476" s="193"/>
      <c r="AE2476" s="193"/>
      <c r="AF2476" s="193"/>
    </row>
    <row r="2477" spans="21:32" x14ac:dyDescent="0.3">
      <c r="U2477" s="193"/>
      <c r="V2477" s="193"/>
      <c r="W2477" s="193"/>
      <c r="X2477" s="193"/>
      <c r="Y2477" s="193"/>
      <c r="Z2477" s="193"/>
      <c r="AC2477" s="193"/>
      <c r="AD2477" s="193"/>
      <c r="AE2477" s="193"/>
      <c r="AF2477" s="193"/>
    </row>
    <row r="2478" spans="21:32" x14ac:dyDescent="0.3">
      <c r="U2478" s="193"/>
      <c r="V2478" s="193"/>
      <c r="W2478" s="193"/>
      <c r="X2478" s="193"/>
      <c r="Y2478" s="193"/>
      <c r="Z2478" s="193"/>
      <c r="AC2478" s="193"/>
      <c r="AD2478" s="193"/>
      <c r="AE2478" s="193"/>
      <c r="AF2478" s="193"/>
    </row>
    <row r="2479" spans="21:32" x14ac:dyDescent="0.3">
      <c r="U2479" s="193"/>
      <c r="V2479" s="193"/>
      <c r="W2479" s="193"/>
      <c r="X2479" s="193"/>
      <c r="Y2479" s="193"/>
      <c r="Z2479" s="193"/>
      <c r="AC2479" s="193"/>
      <c r="AD2479" s="193"/>
      <c r="AE2479" s="193"/>
      <c r="AF2479" s="193"/>
    </row>
    <row r="2480" spans="21:32" x14ac:dyDescent="0.3">
      <c r="U2480" s="193"/>
      <c r="V2480" s="193"/>
      <c r="W2480" s="193"/>
      <c r="X2480" s="193"/>
      <c r="Y2480" s="193"/>
      <c r="Z2480" s="193"/>
      <c r="AC2480" s="193"/>
      <c r="AD2480" s="193"/>
      <c r="AE2480" s="193"/>
      <c r="AF2480" s="193"/>
    </row>
    <row r="2481" spans="21:32" x14ac:dyDescent="0.3">
      <c r="U2481" s="193"/>
      <c r="V2481" s="193"/>
      <c r="W2481" s="193"/>
      <c r="X2481" s="193"/>
      <c r="Y2481" s="193"/>
      <c r="Z2481" s="193"/>
      <c r="AC2481" s="193"/>
      <c r="AD2481" s="193"/>
      <c r="AE2481" s="193"/>
      <c r="AF2481" s="193"/>
    </row>
    <row r="2482" spans="21:32" x14ac:dyDescent="0.3">
      <c r="U2482" s="193"/>
      <c r="V2482" s="193"/>
      <c r="W2482" s="193"/>
      <c r="X2482" s="193"/>
      <c r="Y2482" s="193"/>
      <c r="Z2482" s="193"/>
      <c r="AC2482" s="193"/>
      <c r="AD2482" s="193"/>
      <c r="AE2482" s="193"/>
      <c r="AF2482" s="193"/>
    </row>
    <row r="2483" spans="21:32" x14ac:dyDescent="0.3">
      <c r="U2483" s="193"/>
      <c r="V2483" s="193"/>
      <c r="W2483" s="193"/>
      <c r="X2483" s="193"/>
      <c r="Y2483" s="193"/>
      <c r="Z2483" s="193"/>
      <c r="AC2483" s="193"/>
      <c r="AD2483" s="193"/>
      <c r="AE2483" s="193"/>
      <c r="AF2483" s="193"/>
    </row>
    <row r="2484" spans="21:32" x14ac:dyDescent="0.3">
      <c r="U2484" s="193"/>
      <c r="V2484" s="193"/>
      <c r="W2484" s="193"/>
      <c r="X2484" s="193"/>
      <c r="Y2484" s="193"/>
      <c r="Z2484" s="193"/>
      <c r="AC2484" s="193"/>
      <c r="AD2484" s="193"/>
      <c r="AE2484" s="193"/>
      <c r="AF2484" s="193"/>
    </row>
    <row r="2485" spans="21:32" x14ac:dyDescent="0.3">
      <c r="U2485" s="193"/>
      <c r="V2485" s="193"/>
      <c r="W2485" s="193"/>
      <c r="X2485" s="193"/>
      <c r="Y2485" s="193"/>
      <c r="Z2485" s="193"/>
      <c r="AC2485" s="193"/>
      <c r="AD2485" s="193"/>
      <c r="AE2485" s="193"/>
      <c r="AF2485" s="193"/>
    </row>
    <row r="2486" spans="21:32" x14ac:dyDescent="0.3">
      <c r="U2486" s="193"/>
      <c r="V2486" s="193"/>
      <c r="W2486" s="193"/>
      <c r="X2486" s="193"/>
      <c r="Y2486" s="193"/>
      <c r="Z2486" s="193"/>
      <c r="AC2486" s="193"/>
      <c r="AD2486" s="193"/>
      <c r="AE2486" s="193"/>
      <c r="AF2486" s="193"/>
    </row>
    <row r="2487" spans="21:32" x14ac:dyDescent="0.3">
      <c r="U2487" s="193"/>
      <c r="V2487" s="193"/>
      <c r="W2487" s="193"/>
      <c r="X2487" s="193"/>
      <c r="Y2487" s="193"/>
      <c r="Z2487" s="193"/>
      <c r="AC2487" s="193"/>
      <c r="AD2487" s="193"/>
      <c r="AE2487" s="193"/>
      <c r="AF2487" s="193"/>
    </row>
    <row r="2488" spans="21:32" x14ac:dyDescent="0.3">
      <c r="U2488" s="193"/>
      <c r="V2488" s="193"/>
      <c r="W2488" s="193"/>
      <c r="X2488" s="193"/>
      <c r="Y2488" s="193"/>
      <c r="Z2488" s="193"/>
      <c r="AC2488" s="193"/>
      <c r="AD2488" s="193"/>
      <c r="AE2488" s="193"/>
      <c r="AF2488" s="193"/>
    </row>
    <row r="2489" spans="21:32" x14ac:dyDescent="0.3">
      <c r="U2489" s="193"/>
      <c r="V2489" s="193"/>
      <c r="W2489" s="193"/>
      <c r="X2489" s="193"/>
      <c r="Y2489" s="193"/>
      <c r="Z2489" s="193"/>
      <c r="AC2489" s="193"/>
      <c r="AD2489" s="193"/>
      <c r="AE2489" s="193"/>
      <c r="AF2489" s="193"/>
    </row>
    <row r="2490" spans="21:32" x14ac:dyDescent="0.3">
      <c r="U2490" s="193"/>
      <c r="V2490" s="193"/>
      <c r="W2490" s="193"/>
      <c r="X2490" s="193"/>
      <c r="Y2490" s="193"/>
      <c r="Z2490" s="193"/>
      <c r="AC2490" s="193"/>
      <c r="AD2490" s="193"/>
      <c r="AE2490" s="193"/>
      <c r="AF2490" s="193"/>
    </row>
    <row r="2491" spans="21:32" x14ac:dyDescent="0.3">
      <c r="U2491" s="193"/>
      <c r="V2491" s="193"/>
      <c r="W2491" s="193"/>
      <c r="X2491" s="193"/>
      <c r="Y2491" s="193"/>
      <c r="Z2491" s="193"/>
      <c r="AC2491" s="193"/>
      <c r="AD2491" s="193"/>
      <c r="AE2491" s="193"/>
      <c r="AF2491" s="193"/>
    </row>
    <row r="2492" spans="21:32" x14ac:dyDescent="0.3">
      <c r="U2492" s="193"/>
      <c r="V2492" s="193"/>
      <c r="W2492" s="193"/>
      <c r="X2492" s="193"/>
      <c r="Y2492" s="193"/>
      <c r="Z2492" s="193"/>
      <c r="AC2492" s="193"/>
      <c r="AD2492" s="193"/>
      <c r="AE2492" s="193"/>
      <c r="AF2492" s="193"/>
    </row>
    <row r="2493" spans="21:32" x14ac:dyDescent="0.3">
      <c r="U2493" s="193"/>
      <c r="V2493" s="193"/>
      <c r="W2493" s="193"/>
      <c r="X2493" s="193"/>
      <c r="Y2493" s="193"/>
      <c r="Z2493" s="193"/>
      <c r="AC2493" s="193"/>
      <c r="AD2493" s="193"/>
      <c r="AE2493" s="193"/>
      <c r="AF2493" s="193"/>
    </row>
    <row r="2494" spans="21:32" x14ac:dyDescent="0.3">
      <c r="U2494" s="193"/>
      <c r="V2494" s="193"/>
      <c r="W2494" s="193"/>
      <c r="X2494" s="193"/>
      <c r="Y2494" s="193"/>
      <c r="Z2494" s="193"/>
      <c r="AC2494" s="193"/>
      <c r="AD2494" s="193"/>
      <c r="AE2494" s="193"/>
      <c r="AF2494" s="193"/>
    </row>
    <row r="2495" spans="21:32" x14ac:dyDescent="0.3">
      <c r="U2495" s="193"/>
      <c r="V2495" s="193"/>
      <c r="W2495" s="193"/>
      <c r="X2495" s="193"/>
      <c r="Y2495" s="193"/>
      <c r="Z2495" s="193"/>
      <c r="AC2495" s="193"/>
      <c r="AD2495" s="193"/>
      <c r="AE2495" s="193"/>
      <c r="AF2495" s="193"/>
    </row>
    <row r="2496" spans="21:32" x14ac:dyDescent="0.3">
      <c r="U2496" s="193"/>
      <c r="V2496" s="193"/>
      <c r="W2496" s="193"/>
      <c r="X2496" s="193"/>
      <c r="Y2496" s="193"/>
      <c r="Z2496" s="193"/>
      <c r="AC2496" s="193"/>
      <c r="AD2496" s="193"/>
      <c r="AE2496" s="193"/>
      <c r="AF2496" s="193"/>
    </row>
    <row r="2497" spans="21:32" x14ac:dyDescent="0.3">
      <c r="U2497" s="193"/>
      <c r="V2497" s="193"/>
      <c r="W2497" s="193"/>
      <c r="X2497" s="193"/>
      <c r="Y2497" s="193"/>
      <c r="Z2497" s="193"/>
      <c r="AC2497" s="193"/>
      <c r="AD2497" s="193"/>
      <c r="AE2497" s="193"/>
      <c r="AF2497" s="193"/>
    </row>
    <row r="2498" spans="21:32" x14ac:dyDescent="0.3">
      <c r="U2498" s="193"/>
      <c r="V2498" s="193"/>
      <c r="W2498" s="193"/>
      <c r="X2498" s="193"/>
      <c r="Y2498" s="193"/>
      <c r="Z2498" s="193"/>
      <c r="AC2498" s="193"/>
      <c r="AD2498" s="193"/>
      <c r="AE2498" s="193"/>
      <c r="AF2498" s="193"/>
    </row>
    <row r="2499" spans="21:32" x14ac:dyDescent="0.3">
      <c r="U2499" s="193"/>
      <c r="V2499" s="193"/>
      <c r="W2499" s="193"/>
      <c r="X2499" s="193"/>
      <c r="Y2499" s="193"/>
      <c r="Z2499" s="193"/>
      <c r="AC2499" s="193"/>
      <c r="AD2499" s="193"/>
      <c r="AE2499" s="193"/>
      <c r="AF2499" s="193"/>
    </row>
    <row r="2500" spans="21:32" x14ac:dyDescent="0.3">
      <c r="U2500" s="193"/>
      <c r="V2500" s="193"/>
      <c r="W2500" s="193"/>
      <c r="X2500" s="193"/>
      <c r="Y2500" s="193"/>
      <c r="Z2500" s="193"/>
      <c r="AC2500" s="193"/>
      <c r="AD2500" s="193"/>
      <c r="AE2500" s="193"/>
      <c r="AF2500" s="193"/>
    </row>
    <row r="2501" spans="21:32" x14ac:dyDescent="0.3">
      <c r="U2501" s="193"/>
      <c r="V2501" s="193"/>
      <c r="W2501" s="193"/>
      <c r="X2501" s="193"/>
      <c r="Y2501" s="193"/>
      <c r="Z2501" s="193"/>
      <c r="AC2501" s="193"/>
      <c r="AD2501" s="193"/>
      <c r="AE2501" s="193"/>
      <c r="AF2501" s="193"/>
    </row>
    <row r="2502" spans="21:32" x14ac:dyDescent="0.3">
      <c r="U2502" s="193"/>
      <c r="V2502" s="193"/>
      <c r="W2502" s="193"/>
      <c r="X2502" s="193"/>
      <c r="Y2502" s="193"/>
      <c r="Z2502" s="193"/>
      <c r="AC2502" s="193"/>
      <c r="AD2502" s="193"/>
      <c r="AE2502" s="193"/>
      <c r="AF2502" s="193"/>
    </row>
    <row r="2503" spans="21:32" x14ac:dyDescent="0.3">
      <c r="U2503" s="193"/>
      <c r="V2503" s="193"/>
      <c r="W2503" s="193"/>
      <c r="X2503" s="193"/>
      <c r="Y2503" s="193"/>
      <c r="Z2503" s="193"/>
      <c r="AC2503" s="193"/>
      <c r="AD2503" s="193"/>
      <c r="AE2503" s="193"/>
      <c r="AF2503" s="193"/>
    </row>
    <row r="2504" spans="21:32" x14ac:dyDescent="0.3">
      <c r="U2504" s="193"/>
      <c r="V2504" s="193"/>
      <c r="W2504" s="193"/>
      <c r="X2504" s="193"/>
      <c r="Y2504" s="193"/>
      <c r="Z2504" s="193"/>
      <c r="AC2504" s="193"/>
      <c r="AD2504" s="193"/>
      <c r="AE2504" s="193"/>
      <c r="AF2504" s="193"/>
    </row>
    <row r="2505" spans="21:32" x14ac:dyDescent="0.3">
      <c r="U2505" s="193"/>
      <c r="V2505" s="193"/>
      <c r="W2505" s="193"/>
      <c r="X2505" s="193"/>
      <c r="Y2505" s="193"/>
      <c r="Z2505" s="193"/>
      <c r="AC2505" s="193"/>
      <c r="AD2505" s="193"/>
      <c r="AE2505" s="193"/>
      <c r="AF2505" s="193"/>
    </row>
    <row r="2506" spans="21:32" x14ac:dyDescent="0.3">
      <c r="U2506" s="193"/>
      <c r="V2506" s="193"/>
      <c r="W2506" s="193"/>
      <c r="X2506" s="193"/>
      <c r="Y2506" s="193"/>
      <c r="Z2506" s="193"/>
      <c r="AC2506" s="193"/>
      <c r="AD2506" s="193"/>
      <c r="AE2506" s="193"/>
      <c r="AF2506" s="193"/>
    </row>
    <row r="2507" spans="21:32" x14ac:dyDescent="0.3">
      <c r="U2507" s="193"/>
      <c r="V2507" s="193"/>
      <c r="W2507" s="193"/>
      <c r="X2507" s="193"/>
      <c r="Y2507" s="193"/>
      <c r="Z2507" s="193"/>
      <c r="AC2507" s="193"/>
      <c r="AD2507" s="193"/>
      <c r="AE2507" s="193"/>
      <c r="AF2507" s="193"/>
    </row>
    <row r="2508" spans="21:32" x14ac:dyDescent="0.3">
      <c r="U2508" s="193"/>
      <c r="V2508" s="193"/>
      <c r="W2508" s="193"/>
      <c r="X2508" s="193"/>
      <c r="Y2508" s="193"/>
      <c r="Z2508" s="193"/>
      <c r="AC2508" s="193"/>
      <c r="AD2508" s="193"/>
      <c r="AE2508" s="193"/>
      <c r="AF2508" s="193"/>
    </row>
    <row r="2509" spans="21:32" x14ac:dyDescent="0.3">
      <c r="U2509" s="193"/>
      <c r="V2509" s="193"/>
      <c r="W2509" s="193"/>
      <c r="X2509" s="193"/>
      <c r="Y2509" s="193"/>
      <c r="Z2509" s="193"/>
      <c r="AC2509" s="193"/>
      <c r="AD2509" s="193"/>
      <c r="AE2509" s="193"/>
      <c r="AF2509" s="193"/>
    </row>
    <row r="2510" spans="21:32" x14ac:dyDescent="0.3">
      <c r="U2510" s="193"/>
      <c r="V2510" s="193"/>
      <c r="W2510" s="193"/>
      <c r="X2510" s="193"/>
      <c r="Y2510" s="193"/>
      <c r="Z2510" s="193"/>
      <c r="AC2510" s="193"/>
      <c r="AD2510" s="193"/>
      <c r="AE2510" s="193"/>
      <c r="AF2510" s="193"/>
    </row>
    <row r="2511" spans="21:32" x14ac:dyDescent="0.3">
      <c r="U2511" s="193"/>
      <c r="V2511" s="193"/>
      <c r="W2511" s="193"/>
      <c r="X2511" s="193"/>
      <c r="Y2511" s="193"/>
      <c r="Z2511" s="193"/>
      <c r="AC2511" s="193"/>
      <c r="AD2511" s="193"/>
      <c r="AE2511" s="193"/>
      <c r="AF2511" s="193"/>
    </row>
    <row r="2512" spans="21:32" x14ac:dyDescent="0.3">
      <c r="U2512" s="193"/>
      <c r="V2512" s="193"/>
      <c r="W2512" s="193"/>
      <c r="X2512" s="193"/>
      <c r="Y2512" s="193"/>
      <c r="Z2512" s="193"/>
      <c r="AC2512" s="193"/>
      <c r="AD2512" s="193"/>
      <c r="AE2512" s="193"/>
      <c r="AF2512" s="193"/>
    </row>
    <row r="2513" spans="21:32" x14ac:dyDescent="0.3">
      <c r="U2513" s="193"/>
      <c r="V2513" s="193"/>
      <c r="W2513" s="193"/>
      <c r="X2513" s="193"/>
      <c r="Y2513" s="193"/>
      <c r="Z2513" s="193"/>
      <c r="AC2513" s="193"/>
      <c r="AD2513" s="193"/>
      <c r="AE2513" s="193"/>
      <c r="AF2513" s="193"/>
    </row>
    <row r="2514" spans="21:32" x14ac:dyDescent="0.3">
      <c r="U2514" s="193"/>
      <c r="V2514" s="193"/>
      <c r="W2514" s="193"/>
      <c r="X2514" s="193"/>
      <c r="Y2514" s="193"/>
      <c r="Z2514" s="193"/>
      <c r="AC2514" s="193"/>
      <c r="AD2514" s="193"/>
      <c r="AE2514" s="193"/>
      <c r="AF2514" s="193"/>
    </row>
    <row r="2515" spans="21:32" x14ac:dyDescent="0.3">
      <c r="U2515" s="193"/>
      <c r="V2515" s="193"/>
      <c r="W2515" s="193"/>
      <c r="X2515" s="193"/>
      <c r="Y2515" s="193"/>
      <c r="Z2515" s="193"/>
      <c r="AC2515" s="193"/>
      <c r="AD2515" s="193"/>
      <c r="AE2515" s="193"/>
      <c r="AF2515" s="193"/>
    </row>
    <row r="2516" spans="21:32" x14ac:dyDescent="0.3">
      <c r="U2516" s="193"/>
      <c r="V2516" s="193"/>
      <c r="W2516" s="193"/>
      <c r="X2516" s="193"/>
      <c r="Y2516" s="193"/>
      <c r="Z2516" s="193"/>
      <c r="AC2516" s="193"/>
      <c r="AD2516" s="193"/>
      <c r="AE2516" s="193"/>
      <c r="AF2516" s="193"/>
    </row>
    <row r="2517" spans="21:32" x14ac:dyDescent="0.3">
      <c r="U2517" s="193"/>
      <c r="V2517" s="193"/>
      <c r="W2517" s="193"/>
      <c r="X2517" s="193"/>
      <c r="Y2517" s="193"/>
      <c r="Z2517" s="193"/>
      <c r="AC2517" s="193"/>
      <c r="AD2517" s="193"/>
      <c r="AE2517" s="193"/>
      <c r="AF2517" s="193"/>
    </row>
    <row r="2518" spans="21:32" x14ac:dyDescent="0.3">
      <c r="U2518" s="193"/>
      <c r="V2518" s="193"/>
      <c r="W2518" s="193"/>
      <c r="X2518" s="193"/>
      <c r="Y2518" s="193"/>
      <c r="Z2518" s="193"/>
      <c r="AC2518" s="193"/>
      <c r="AD2518" s="193"/>
      <c r="AE2518" s="193"/>
      <c r="AF2518" s="193"/>
    </row>
    <row r="2519" spans="21:32" x14ac:dyDescent="0.3">
      <c r="U2519" s="193"/>
      <c r="V2519" s="193"/>
      <c r="W2519" s="193"/>
      <c r="X2519" s="193"/>
      <c r="Y2519" s="193"/>
      <c r="Z2519" s="193"/>
      <c r="AC2519" s="193"/>
      <c r="AD2519" s="193"/>
      <c r="AE2519" s="193"/>
      <c r="AF2519" s="193"/>
    </row>
    <row r="2520" spans="21:32" x14ac:dyDescent="0.3">
      <c r="U2520" s="193"/>
      <c r="V2520" s="193"/>
      <c r="W2520" s="193"/>
      <c r="X2520" s="193"/>
      <c r="Y2520" s="193"/>
      <c r="Z2520" s="193"/>
      <c r="AC2520" s="193"/>
      <c r="AD2520" s="193"/>
      <c r="AE2520" s="193"/>
      <c r="AF2520" s="193"/>
    </row>
    <row r="2521" spans="21:32" x14ac:dyDescent="0.3">
      <c r="U2521" s="193"/>
      <c r="V2521" s="193"/>
      <c r="W2521" s="193"/>
      <c r="X2521" s="193"/>
      <c r="Y2521" s="193"/>
      <c r="Z2521" s="193"/>
      <c r="AC2521" s="193"/>
      <c r="AD2521" s="193"/>
      <c r="AE2521" s="193"/>
      <c r="AF2521" s="193"/>
    </row>
    <row r="2522" spans="21:32" x14ac:dyDescent="0.3">
      <c r="U2522" s="193"/>
      <c r="V2522" s="193"/>
      <c r="W2522" s="193"/>
      <c r="X2522" s="193"/>
      <c r="Y2522" s="193"/>
      <c r="Z2522" s="193"/>
      <c r="AC2522" s="193"/>
      <c r="AD2522" s="193"/>
      <c r="AE2522" s="193"/>
      <c r="AF2522" s="193"/>
    </row>
    <row r="2523" spans="21:32" x14ac:dyDescent="0.3">
      <c r="U2523" s="193"/>
      <c r="V2523" s="193"/>
      <c r="W2523" s="193"/>
      <c r="X2523" s="193"/>
      <c r="Y2523" s="193"/>
      <c r="Z2523" s="193"/>
      <c r="AC2523" s="193"/>
      <c r="AD2523" s="193"/>
      <c r="AE2523" s="193"/>
      <c r="AF2523" s="193"/>
    </row>
    <row r="2524" spans="21:32" x14ac:dyDescent="0.3">
      <c r="U2524" s="193"/>
      <c r="V2524" s="193"/>
      <c r="W2524" s="193"/>
      <c r="X2524" s="193"/>
      <c r="Y2524" s="193"/>
      <c r="Z2524" s="193"/>
      <c r="AC2524" s="193"/>
      <c r="AD2524" s="193"/>
      <c r="AE2524" s="193"/>
      <c r="AF2524" s="193"/>
    </row>
    <row r="2525" spans="21:32" x14ac:dyDescent="0.3">
      <c r="U2525" s="193"/>
      <c r="V2525" s="193"/>
      <c r="W2525" s="193"/>
      <c r="X2525" s="193"/>
      <c r="Y2525" s="193"/>
      <c r="Z2525" s="193"/>
      <c r="AC2525" s="193"/>
      <c r="AD2525" s="193"/>
      <c r="AE2525" s="193"/>
      <c r="AF2525" s="193"/>
    </row>
    <row r="2526" spans="21:32" x14ac:dyDescent="0.3">
      <c r="U2526" s="193"/>
      <c r="V2526" s="193"/>
      <c r="W2526" s="193"/>
      <c r="X2526" s="193"/>
      <c r="Y2526" s="193"/>
      <c r="Z2526" s="193"/>
      <c r="AC2526" s="193"/>
      <c r="AD2526" s="193"/>
      <c r="AE2526" s="193"/>
      <c r="AF2526" s="193"/>
    </row>
    <row r="2527" spans="21:32" x14ac:dyDescent="0.3">
      <c r="U2527" s="193"/>
      <c r="V2527" s="193"/>
      <c r="W2527" s="193"/>
      <c r="X2527" s="193"/>
      <c r="Y2527" s="193"/>
      <c r="Z2527" s="193"/>
      <c r="AC2527" s="193"/>
      <c r="AD2527" s="193"/>
      <c r="AE2527" s="193"/>
      <c r="AF2527" s="193"/>
    </row>
    <row r="2528" spans="21:32" x14ac:dyDescent="0.3">
      <c r="U2528" s="193"/>
      <c r="V2528" s="193"/>
      <c r="W2528" s="193"/>
      <c r="X2528" s="193"/>
      <c r="Y2528" s="193"/>
      <c r="Z2528" s="193"/>
      <c r="AC2528" s="193"/>
      <c r="AD2528" s="193"/>
      <c r="AE2528" s="193"/>
      <c r="AF2528" s="193"/>
    </row>
    <row r="2529" spans="21:32" x14ac:dyDescent="0.3">
      <c r="U2529" s="193"/>
      <c r="V2529" s="193"/>
      <c r="W2529" s="193"/>
      <c r="X2529" s="193"/>
      <c r="Y2529" s="193"/>
      <c r="Z2529" s="193"/>
      <c r="AC2529" s="193"/>
      <c r="AD2529" s="193"/>
      <c r="AE2529" s="193"/>
      <c r="AF2529" s="193"/>
    </row>
    <row r="2530" spans="21:32" x14ac:dyDescent="0.3">
      <c r="U2530" s="193"/>
      <c r="V2530" s="193"/>
      <c r="W2530" s="193"/>
      <c r="X2530" s="193"/>
      <c r="Y2530" s="193"/>
      <c r="Z2530" s="193"/>
      <c r="AC2530" s="193"/>
      <c r="AD2530" s="193"/>
      <c r="AE2530" s="193"/>
      <c r="AF2530" s="193"/>
    </row>
    <row r="2531" spans="21:32" x14ac:dyDescent="0.3">
      <c r="U2531" s="193"/>
      <c r="V2531" s="193"/>
      <c r="W2531" s="193"/>
      <c r="X2531" s="193"/>
      <c r="Y2531" s="193"/>
      <c r="Z2531" s="193"/>
      <c r="AC2531" s="193"/>
      <c r="AD2531" s="193"/>
      <c r="AE2531" s="193"/>
      <c r="AF2531" s="193"/>
    </row>
    <row r="2532" spans="21:32" x14ac:dyDescent="0.3">
      <c r="U2532" s="193"/>
      <c r="V2532" s="193"/>
      <c r="W2532" s="193"/>
      <c r="X2532" s="193"/>
      <c r="Y2532" s="193"/>
      <c r="Z2532" s="193"/>
      <c r="AC2532" s="193"/>
      <c r="AD2532" s="193"/>
      <c r="AE2532" s="193"/>
      <c r="AF2532" s="193"/>
    </row>
    <row r="2533" spans="21:32" x14ac:dyDescent="0.3">
      <c r="U2533" s="193"/>
      <c r="V2533" s="193"/>
      <c r="W2533" s="193"/>
      <c r="X2533" s="193"/>
      <c r="Y2533" s="193"/>
      <c r="Z2533" s="193"/>
      <c r="AC2533" s="193"/>
      <c r="AD2533" s="193"/>
      <c r="AE2533" s="193"/>
      <c r="AF2533" s="193"/>
    </row>
    <row r="2534" spans="21:32" x14ac:dyDescent="0.3">
      <c r="U2534" s="193"/>
      <c r="V2534" s="193"/>
      <c r="W2534" s="193"/>
      <c r="X2534" s="193"/>
      <c r="Y2534" s="193"/>
      <c r="Z2534" s="193"/>
      <c r="AC2534" s="193"/>
      <c r="AD2534" s="193"/>
      <c r="AE2534" s="193"/>
      <c r="AF2534" s="193"/>
    </row>
    <row r="2535" spans="21:32" x14ac:dyDescent="0.3">
      <c r="U2535" s="193"/>
      <c r="V2535" s="193"/>
      <c r="W2535" s="193"/>
      <c r="X2535" s="193"/>
      <c r="Y2535" s="193"/>
      <c r="Z2535" s="193"/>
      <c r="AC2535" s="193"/>
      <c r="AD2535" s="193"/>
      <c r="AE2535" s="193"/>
      <c r="AF2535" s="193"/>
    </row>
    <row r="2536" spans="21:32" x14ac:dyDescent="0.3">
      <c r="U2536" s="193"/>
      <c r="V2536" s="193"/>
      <c r="W2536" s="193"/>
      <c r="X2536" s="193"/>
      <c r="Y2536" s="193"/>
      <c r="Z2536" s="193"/>
      <c r="AC2536" s="193"/>
      <c r="AD2536" s="193"/>
      <c r="AE2536" s="193"/>
      <c r="AF2536" s="193"/>
    </row>
    <row r="2537" spans="21:32" x14ac:dyDescent="0.3">
      <c r="U2537" s="193"/>
      <c r="V2537" s="193"/>
      <c r="W2537" s="193"/>
      <c r="X2537" s="193"/>
      <c r="Y2537" s="193"/>
      <c r="Z2537" s="193"/>
      <c r="AC2537" s="193"/>
      <c r="AD2537" s="193"/>
      <c r="AE2537" s="193"/>
      <c r="AF2537" s="193"/>
    </row>
    <row r="2538" spans="21:32" x14ac:dyDescent="0.3">
      <c r="U2538" s="193"/>
      <c r="V2538" s="193"/>
      <c r="W2538" s="193"/>
      <c r="X2538" s="193"/>
      <c r="Y2538" s="193"/>
      <c r="Z2538" s="193"/>
      <c r="AC2538" s="193"/>
      <c r="AD2538" s="193"/>
      <c r="AE2538" s="193"/>
      <c r="AF2538" s="193"/>
    </row>
    <row r="2539" spans="21:32" x14ac:dyDescent="0.3">
      <c r="U2539" s="193"/>
      <c r="V2539" s="193"/>
      <c r="W2539" s="193"/>
      <c r="X2539" s="193"/>
      <c r="Y2539" s="193"/>
      <c r="Z2539" s="193"/>
      <c r="AC2539" s="193"/>
      <c r="AD2539" s="193"/>
      <c r="AE2539" s="193"/>
      <c r="AF2539" s="193"/>
    </row>
    <row r="2540" spans="21:32" x14ac:dyDescent="0.3">
      <c r="U2540" s="193"/>
      <c r="V2540" s="193"/>
      <c r="W2540" s="193"/>
      <c r="X2540" s="193"/>
      <c r="Y2540" s="193"/>
      <c r="Z2540" s="193"/>
      <c r="AC2540" s="193"/>
      <c r="AD2540" s="193"/>
      <c r="AE2540" s="193"/>
      <c r="AF2540" s="193"/>
    </row>
    <row r="2541" spans="21:32" x14ac:dyDescent="0.3">
      <c r="U2541" s="193"/>
      <c r="V2541" s="193"/>
      <c r="W2541" s="193"/>
      <c r="X2541" s="193"/>
      <c r="Y2541" s="193"/>
      <c r="Z2541" s="193"/>
      <c r="AC2541" s="193"/>
      <c r="AD2541" s="193"/>
      <c r="AE2541" s="193"/>
      <c r="AF2541" s="193"/>
    </row>
    <row r="2542" spans="21:32" x14ac:dyDescent="0.3">
      <c r="U2542" s="193"/>
      <c r="V2542" s="193"/>
      <c r="W2542" s="193"/>
      <c r="X2542" s="193"/>
      <c r="Y2542" s="193"/>
      <c r="Z2542" s="193"/>
      <c r="AC2542" s="193"/>
      <c r="AD2542" s="193"/>
      <c r="AE2542" s="193"/>
      <c r="AF2542" s="193"/>
    </row>
    <row r="2543" spans="21:32" x14ac:dyDescent="0.3">
      <c r="U2543" s="193"/>
      <c r="V2543" s="193"/>
      <c r="W2543" s="193"/>
      <c r="X2543" s="193"/>
      <c r="Y2543" s="193"/>
      <c r="Z2543" s="193"/>
      <c r="AC2543" s="193"/>
      <c r="AD2543" s="193"/>
      <c r="AE2543" s="193"/>
      <c r="AF2543" s="193"/>
    </row>
    <row r="2544" spans="21:32" x14ac:dyDescent="0.3">
      <c r="U2544" s="193"/>
      <c r="V2544" s="193"/>
      <c r="W2544" s="193"/>
      <c r="X2544" s="193"/>
      <c r="Y2544" s="193"/>
      <c r="Z2544" s="193"/>
      <c r="AC2544" s="193"/>
      <c r="AD2544" s="193"/>
      <c r="AE2544" s="193"/>
      <c r="AF2544" s="193"/>
    </row>
    <row r="2545" spans="21:32" x14ac:dyDescent="0.3">
      <c r="U2545" s="193"/>
      <c r="V2545" s="193"/>
      <c r="W2545" s="193"/>
      <c r="X2545" s="193"/>
      <c r="Y2545" s="193"/>
      <c r="Z2545" s="193"/>
      <c r="AC2545" s="193"/>
      <c r="AD2545" s="193"/>
      <c r="AE2545" s="193"/>
      <c r="AF2545" s="193"/>
    </row>
    <row r="2546" spans="21:32" x14ac:dyDescent="0.3">
      <c r="U2546" s="193"/>
      <c r="V2546" s="193"/>
      <c r="W2546" s="193"/>
      <c r="X2546" s="193"/>
      <c r="Y2546" s="193"/>
      <c r="Z2546" s="193"/>
      <c r="AC2546" s="193"/>
      <c r="AD2546" s="193"/>
      <c r="AE2546" s="193"/>
      <c r="AF2546" s="193"/>
    </row>
    <row r="2547" spans="21:32" x14ac:dyDescent="0.3">
      <c r="U2547" s="193"/>
      <c r="V2547" s="193"/>
      <c r="W2547" s="193"/>
      <c r="X2547" s="193"/>
      <c r="Y2547" s="193"/>
      <c r="Z2547" s="193"/>
      <c r="AC2547" s="193"/>
      <c r="AD2547" s="193"/>
      <c r="AE2547" s="193"/>
      <c r="AF2547" s="193"/>
    </row>
    <row r="2548" spans="21:32" x14ac:dyDescent="0.3">
      <c r="U2548" s="193"/>
      <c r="V2548" s="193"/>
      <c r="W2548" s="193"/>
      <c r="X2548" s="193"/>
      <c r="Y2548" s="193"/>
      <c r="Z2548" s="193"/>
      <c r="AC2548" s="193"/>
      <c r="AD2548" s="193"/>
      <c r="AE2548" s="193"/>
      <c r="AF2548" s="193"/>
    </row>
    <row r="2549" spans="21:32" x14ac:dyDescent="0.3">
      <c r="U2549" s="193"/>
      <c r="V2549" s="193"/>
      <c r="W2549" s="193"/>
      <c r="X2549" s="193"/>
      <c r="Y2549" s="193"/>
      <c r="Z2549" s="193"/>
      <c r="AC2549" s="193"/>
      <c r="AD2549" s="193"/>
      <c r="AE2549" s="193"/>
      <c r="AF2549" s="193"/>
    </row>
    <row r="2550" spans="21:32" x14ac:dyDescent="0.3">
      <c r="U2550" s="193"/>
      <c r="V2550" s="193"/>
      <c r="W2550" s="193"/>
      <c r="X2550" s="193"/>
      <c r="Y2550" s="193"/>
      <c r="Z2550" s="193"/>
      <c r="AC2550" s="193"/>
      <c r="AD2550" s="193"/>
      <c r="AE2550" s="193"/>
      <c r="AF2550" s="193"/>
    </row>
    <row r="2551" spans="21:32" x14ac:dyDescent="0.3">
      <c r="U2551" s="193"/>
      <c r="V2551" s="193"/>
      <c r="W2551" s="193"/>
      <c r="X2551" s="193"/>
      <c r="Y2551" s="193"/>
      <c r="Z2551" s="193"/>
      <c r="AC2551" s="193"/>
      <c r="AD2551" s="193"/>
      <c r="AE2551" s="193"/>
      <c r="AF2551" s="193"/>
    </row>
    <row r="2552" spans="21:32" x14ac:dyDescent="0.3">
      <c r="U2552" s="193"/>
      <c r="V2552" s="193"/>
      <c r="W2552" s="193"/>
      <c r="X2552" s="193"/>
      <c r="Y2552" s="193"/>
      <c r="Z2552" s="193"/>
      <c r="AC2552" s="193"/>
      <c r="AD2552" s="193"/>
      <c r="AE2552" s="193"/>
      <c r="AF2552" s="193"/>
    </row>
    <row r="2553" spans="21:32" x14ac:dyDescent="0.3">
      <c r="U2553" s="193"/>
      <c r="V2553" s="193"/>
      <c r="W2553" s="193"/>
      <c r="X2553" s="193"/>
      <c r="Y2553" s="193"/>
      <c r="Z2553" s="193"/>
      <c r="AC2553" s="193"/>
      <c r="AD2553" s="193"/>
      <c r="AE2553" s="193"/>
      <c r="AF2553" s="193"/>
    </row>
    <row r="2554" spans="21:32" x14ac:dyDescent="0.3">
      <c r="U2554" s="193"/>
      <c r="V2554" s="193"/>
      <c r="W2554" s="193"/>
      <c r="X2554" s="193"/>
      <c r="Y2554" s="193"/>
      <c r="Z2554" s="193"/>
      <c r="AC2554" s="193"/>
      <c r="AD2554" s="193"/>
      <c r="AE2554" s="193"/>
      <c r="AF2554" s="193"/>
    </row>
    <row r="2555" spans="21:32" x14ac:dyDescent="0.3">
      <c r="U2555" s="193"/>
      <c r="V2555" s="193"/>
      <c r="W2555" s="193"/>
      <c r="X2555" s="193"/>
      <c r="Y2555" s="193"/>
      <c r="Z2555" s="193"/>
      <c r="AC2555" s="193"/>
      <c r="AD2555" s="193"/>
      <c r="AE2555" s="193"/>
      <c r="AF2555" s="193"/>
    </row>
    <row r="2556" spans="21:32" x14ac:dyDescent="0.3">
      <c r="U2556" s="193"/>
      <c r="V2556" s="193"/>
      <c r="W2556" s="193"/>
      <c r="X2556" s="193"/>
      <c r="Y2556" s="193"/>
      <c r="Z2556" s="193"/>
      <c r="AC2556" s="193"/>
      <c r="AD2556" s="193"/>
      <c r="AE2556" s="193"/>
      <c r="AF2556" s="193"/>
    </row>
    <row r="2557" spans="21:32" x14ac:dyDescent="0.3">
      <c r="U2557" s="193"/>
      <c r="V2557" s="193"/>
      <c r="W2557" s="193"/>
      <c r="X2557" s="193"/>
      <c r="Y2557" s="193"/>
      <c r="Z2557" s="193"/>
      <c r="AC2557" s="193"/>
      <c r="AD2557" s="193"/>
      <c r="AE2557" s="193"/>
      <c r="AF2557" s="193"/>
    </row>
    <row r="2558" spans="21:32" x14ac:dyDescent="0.3">
      <c r="U2558" s="193"/>
      <c r="V2558" s="193"/>
      <c r="W2558" s="193"/>
      <c r="X2558" s="193"/>
      <c r="Y2558" s="193"/>
      <c r="Z2558" s="193"/>
      <c r="AC2558" s="193"/>
      <c r="AD2558" s="193"/>
      <c r="AE2558" s="193"/>
      <c r="AF2558" s="193"/>
    </row>
    <row r="2559" spans="21:32" x14ac:dyDescent="0.3">
      <c r="U2559" s="193"/>
      <c r="V2559" s="193"/>
      <c r="W2559" s="193"/>
      <c r="X2559" s="193"/>
      <c r="Y2559" s="193"/>
      <c r="Z2559" s="193"/>
      <c r="AC2559" s="193"/>
      <c r="AD2559" s="193"/>
      <c r="AE2559" s="193"/>
      <c r="AF2559" s="193"/>
    </row>
    <row r="2560" spans="21:32" x14ac:dyDescent="0.3">
      <c r="U2560" s="193"/>
      <c r="V2560" s="193"/>
      <c r="W2560" s="193"/>
      <c r="X2560" s="193"/>
      <c r="Y2560" s="193"/>
      <c r="Z2560" s="193"/>
      <c r="AC2560" s="193"/>
      <c r="AD2560" s="193"/>
      <c r="AE2560" s="193"/>
      <c r="AF2560" s="193"/>
    </row>
    <row r="2561" spans="21:32" x14ac:dyDescent="0.3">
      <c r="U2561" s="193"/>
      <c r="V2561" s="193"/>
      <c r="W2561" s="193"/>
      <c r="X2561" s="193"/>
      <c r="Y2561" s="193"/>
      <c r="Z2561" s="193"/>
      <c r="AC2561" s="193"/>
      <c r="AD2561" s="193"/>
      <c r="AE2561" s="193"/>
      <c r="AF2561" s="193"/>
    </row>
    <row r="2562" spans="21:32" x14ac:dyDescent="0.3">
      <c r="U2562" s="193"/>
      <c r="V2562" s="193"/>
      <c r="W2562" s="193"/>
      <c r="X2562" s="193"/>
      <c r="Y2562" s="193"/>
      <c r="Z2562" s="193"/>
      <c r="AC2562" s="193"/>
      <c r="AD2562" s="193"/>
      <c r="AE2562" s="193"/>
      <c r="AF2562" s="193"/>
    </row>
    <row r="2563" spans="21:32" x14ac:dyDescent="0.3">
      <c r="U2563" s="193"/>
      <c r="V2563" s="193"/>
      <c r="W2563" s="193"/>
      <c r="X2563" s="193"/>
      <c r="Y2563" s="193"/>
      <c r="Z2563" s="193"/>
      <c r="AC2563" s="193"/>
      <c r="AD2563" s="193"/>
      <c r="AE2563" s="193"/>
      <c r="AF2563" s="193"/>
    </row>
    <row r="2564" spans="21:32" x14ac:dyDescent="0.3">
      <c r="U2564" s="193"/>
      <c r="V2564" s="193"/>
      <c r="W2564" s="193"/>
      <c r="X2564" s="193"/>
      <c r="Y2564" s="193"/>
      <c r="Z2564" s="193"/>
      <c r="AC2564" s="193"/>
      <c r="AD2564" s="193"/>
      <c r="AE2564" s="193"/>
      <c r="AF2564" s="193"/>
    </row>
    <row r="2565" spans="21:32" x14ac:dyDescent="0.3">
      <c r="U2565" s="193"/>
      <c r="V2565" s="193"/>
      <c r="W2565" s="193"/>
      <c r="X2565" s="193"/>
      <c r="Y2565" s="193"/>
      <c r="Z2565" s="193"/>
      <c r="AC2565" s="193"/>
      <c r="AD2565" s="193"/>
      <c r="AE2565" s="193"/>
      <c r="AF2565" s="193"/>
    </row>
    <row r="2566" spans="21:32" x14ac:dyDescent="0.3">
      <c r="U2566" s="193"/>
      <c r="V2566" s="193"/>
      <c r="W2566" s="193"/>
      <c r="X2566" s="193"/>
      <c r="Y2566" s="193"/>
      <c r="Z2566" s="193"/>
      <c r="AC2566" s="193"/>
      <c r="AD2566" s="193"/>
      <c r="AE2566" s="193"/>
      <c r="AF2566" s="193"/>
    </row>
    <row r="2567" spans="21:32" x14ac:dyDescent="0.3">
      <c r="U2567" s="193"/>
      <c r="V2567" s="193"/>
      <c r="W2567" s="193"/>
      <c r="X2567" s="193"/>
      <c r="Y2567" s="193"/>
      <c r="Z2567" s="193"/>
      <c r="AC2567" s="193"/>
      <c r="AD2567" s="193"/>
      <c r="AE2567" s="193"/>
      <c r="AF2567" s="193"/>
    </row>
    <row r="2568" spans="21:32" x14ac:dyDescent="0.3">
      <c r="U2568" s="193"/>
      <c r="V2568" s="193"/>
      <c r="W2568" s="193"/>
      <c r="X2568" s="193"/>
      <c r="Y2568" s="193"/>
      <c r="Z2568" s="193"/>
      <c r="AC2568" s="193"/>
      <c r="AD2568" s="193"/>
      <c r="AE2568" s="193"/>
      <c r="AF2568" s="193"/>
    </row>
    <row r="2569" spans="21:32" x14ac:dyDescent="0.3">
      <c r="U2569" s="193"/>
      <c r="V2569" s="193"/>
      <c r="W2569" s="193"/>
      <c r="X2569" s="193"/>
      <c r="Y2569" s="193"/>
      <c r="Z2569" s="193"/>
      <c r="AC2569" s="193"/>
      <c r="AD2569" s="193"/>
      <c r="AE2569" s="193"/>
      <c r="AF2569" s="193"/>
    </row>
    <row r="2570" spans="21:32" x14ac:dyDescent="0.3">
      <c r="U2570" s="193"/>
      <c r="V2570" s="193"/>
      <c r="W2570" s="193"/>
      <c r="X2570" s="193"/>
      <c r="Y2570" s="193"/>
      <c r="Z2570" s="193"/>
      <c r="AC2570" s="193"/>
      <c r="AD2570" s="193"/>
      <c r="AE2570" s="193"/>
      <c r="AF2570" s="193"/>
    </row>
    <row r="2571" spans="21:32" x14ac:dyDescent="0.3">
      <c r="U2571" s="193"/>
      <c r="V2571" s="193"/>
      <c r="W2571" s="193"/>
      <c r="X2571" s="193"/>
      <c r="Y2571" s="193"/>
      <c r="Z2571" s="193"/>
      <c r="AC2571" s="193"/>
      <c r="AD2571" s="193"/>
      <c r="AE2571" s="193"/>
      <c r="AF2571" s="193"/>
    </row>
    <row r="2572" spans="21:32" x14ac:dyDescent="0.3">
      <c r="U2572" s="193"/>
      <c r="V2572" s="193"/>
      <c r="W2572" s="193"/>
      <c r="X2572" s="193"/>
      <c r="Y2572" s="193"/>
      <c r="Z2572" s="193"/>
      <c r="AC2572" s="193"/>
      <c r="AD2572" s="193"/>
      <c r="AE2572" s="193"/>
      <c r="AF2572" s="193"/>
    </row>
    <row r="2573" spans="21:32" x14ac:dyDescent="0.3">
      <c r="U2573" s="193"/>
      <c r="V2573" s="193"/>
      <c r="W2573" s="193"/>
      <c r="X2573" s="193"/>
      <c r="Y2573" s="193"/>
      <c r="Z2573" s="193"/>
      <c r="AC2573" s="193"/>
      <c r="AD2573" s="193"/>
      <c r="AE2573" s="193"/>
      <c r="AF2573" s="193"/>
    </row>
    <row r="2574" spans="21:32" x14ac:dyDescent="0.3">
      <c r="U2574" s="193"/>
      <c r="V2574" s="193"/>
      <c r="W2574" s="193"/>
      <c r="X2574" s="193"/>
      <c r="Y2574" s="193"/>
      <c r="Z2574" s="193"/>
      <c r="AC2574" s="193"/>
      <c r="AD2574" s="193"/>
      <c r="AE2574" s="193"/>
      <c r="AF2574" s="193"/>
    </row>
    <row r="2575" spans="21:32" x14ac:dyDescent="0.3">
      <c r="U2575" s="193"/>
      <c r="V2575" s="193"/>
      <c r="W2575" s="193"/>
      <c r="X2575" s="193"/>
      <c r="Y2575" s="193"/>
      <c r="Z2575" s="193"/>
      <c r="AC2575" s="193"/>
      <c r="AD2575" s="193"/>
      <c r="AE2575" s="193"/>
      <c r="AF2575" s="193"/>
    </row>
    <row r="2576" spans="21:32" x14ac:dyDescent="0.3">
      <c r="U2576" s="193"/>
      <c r="V2576" s="193"/>
      <c r="W2576" s="193"/>
      <c r="X2576" s="193"/>
      <c r="Y2576" s="193"/>
      <c r="Z2576" s="193"/>
      <c r="AC2576" s="193"/>
      <c r="AD2576" s="193"/>
      <c r="AE2576" s="193"/>
      <c r="AF2576" s="193"/>
    </row>
    <row r="2577" spans="21:32" x14ac:dyDescent="0.3">
      <c r="U2577" s="193"/>
      <c r="V2577" s="193"/>
      <c r="W2577" s="193"/>
      <c r="X2577" s="193"/>
      <c r="Y2577" s="193"/>
      <c r="Z2577" s="193"/>
      <c r="AC2577" s="193"/>
      <c r="AD2577" s="193"/>
      <c r="AE2577" s="193"/>
      <c r="AF2577" s="193"/>
    </row>
    <row r="2578" spans="21:32" x14ac:dyDescent="0.3">
      <c r="U2578" s="193"/>
      <c r="V2578" s="193"/>
      <c r="W2578" s="193"/>
      <c r="X2578" s="193"/>
      <c r="Y2578" s="193"/>
      <c r="Z2578" s="193"/>
      <c r="AC2578" s="193"/>
      <c r="AD2578" s="193"/>
      <c r="AE2578" s="193"/>
      <c r="AF2578" s="193"/>
    </row>
    <row r="2579" spans="21:32" x14ac:dyDescent="0.3">
      <c r="U2579" s="193"/>
      <c r="V2579" s="193"/>
      <c r="W2579" s="193"/>
      <c r="X2579" s="193"/>
      <c r="Y2579" s="193"/>
      <c r="Z2579" s="193"/>
      <c r="AC2579" s="193"/>
      <c r="AD2579" s="193"/>
      <c r="AE2579" s="193"/>
      <c r="AF2579" s="193"/>
    </row>
    <row r="2580" spans="21:32" x14ac:dyDescent="0.3">
      <c r="U2580" s="193"/>
      <c r="V2580" s="193"/>
      <c r="W2580" s="193"/>
      <c r="X2580" s="193"/>
      <c r="Y2580" s="193"/>
      <c r="Z2580" s="193"/>
      <c r="AC2580" s="193"/>
      <c r="AD2580" s="193"/>
      <c r="AE2580" s="193"/>
      <c r="AF2580" s="193"/>
    </row>
    <row r="2581" spans="21:32" x14ac:dyDescent="0.3">
      <c r="U2581" s="193"/>
      <c r="V2581" s="193"/>
      <c r="W2581" s="193"/>
      <c r="X2581" s="193"/>
      <c r="Y2581" s="193"/>
      <c r="Z2581" s="193"/>
      <c r="AC2581" s="193"/>
      <c r="AD2581" s="193"/>
      <c r="AE2581" s="193"/>
      <c r="AF2581" s="193"/>
    </row>
    <row r="2582" spans="21:32" x14ac:dyDescent="0.3">
      <c r="U2582" s="193"/>
      <c r="V2582" s="193"/>
      <c r="W2582" s="193"/>
      <c r="X2582" s="193"/>
      <c r="Y2582" s="193"/>
      <c r="Z2582" s="193"/>
      <c r="AC2582" s="193"/>
      <c r="AD2582" s="193"/>
      <c r="AE2582" s="193"/>
      <c r="AF2582" s="193"/>
    </row>
    <row r="2583" spans="21:32" x14ac:dyDescent="0.3">
      <c r="U2583" s="193"/>
      <c r="V2583" s="193"/>
      <c r="W2583" s="193"/>
      <c r="X2583" s="193"/>
      <c r="Y2583" s="193"/>
      <c r="Z2583" s="193"/>
      <c r="AC2583" s="193"/>
      <c r="AD2583" s="193"/>
      <c r="AE2583" s="193"/>
      <c r="AF2583" s="193"/>
    </row>
    <row r="2584" spans="21:32" x14ac:dyDescent="0.3">
      <c r="U2584" s="193"/>
      <c r="V2584" s="193"/>
      <c r="W2584" s="193"/>
      <c r="X2584" s="193"/>
      <c r="Y2584" s="193"/>
      <c r="Z2584" s="193"/>
      <c r="AC2584" s="193"/>
      <c r="AD2584" s="193"/>
      <c r="AE2584" s="193"/>
      <c r="AF2584" s="193"/>
    </row>
    <row r="2585" spans="21:32" x14ac:dyDescent="0.3">
      <c r="U2585" s="193"/>
      <c r="V2585" s="193"/>
      <c r="W2585" s="193"/>
      <c r="X2585" s="193"/>
      <c r="Y2585" s="193"/>
      <c r="Z2585" s="193"/>
      <c r="AC2585" s="193"/>
      <c r="AD2585" s="193"/>
      <c r="AE2585" s="193"/>
      <c r="AF2585" s="193"/>
    </row>
    <row r="2586" spans="21:32" x14ac:dyDescent="0.3">
      <c r="U2586" s="193"/>
      <c r="V2586" s="193"/>
      <c r="W2586" s="193"/>
      <c r="X2586" s="193"/>
      <c r="Y2586" s="193"/>
      <c r="Z2586" s="193"/>
      <c r="AC2586" s="193"/>
      <c r="AD2586" s="193"/>
      <c r="AE2586" s="193"/>
      <c r="AF2586" s="193"/>
    </row>
    <row r="2587" spans="21:32" x14ac:dyDescent="0.3">
      <c r="U2587" s="193"/>
      <c r="V2587" s="193"/>
      <c r="W2587" s="193"/>
      <c r="X2587" s="193"/>
      <c r="Y2587" s="193"/>
      <c r="Z2587" s="193"/>
      <c r="AC2587" s="193"/>
      <c r="AD2587" s="193"/>
      <c r="AE2587" s="193"/>
      <c r="AF2587" s="193"/>
    </row>
    <row r="2588" spans="21:32" x14ac:dyDescent="0.3">
      <c r="U2588" s="193"/>
      <c r="V2588" s="193"/>
      <c r="W2588" s="193"/>
      <c r="X2588" s="193"/>
      <c r="Y2588" s="193"/>
      <c r="Z2588" s="193"/>
      <c r="AC2588" s="193"/>
      <c r="AD2588" s="193"/>
      <c r="AE2588" s="193"/>
      <c r="AF2588" s="193"/>
    </row>
    <row r="2589" spans="21:32" x14ac:dyDescent="0.3">
      <c r="U2589" s="193"/>
      <c r="V2589" s="193"/>
      <c r="W2589" s="193"/>
      <c r="X2589" s="193"/>
      <c r="Y2589" s="193"/>
      <c r="Z2589" s="193"/>
      <c r="AC2589" s="193"/>
      <c r="AD2589" s="193"/>
      <c r="AE2589" s="193"/>
      <c r="AF2589" s="193"/>
    </row>
    <row r="2590" spans="21:32" x14ac:dyDescent="0.3">
      <c r="U2590" s="193"/>
      <c r="V2590" s="193"/>
      <c r="W2590" s="193"/>
      <c r="X2590" s="193"/>
      <c r="Y2590" s="193"/>
      <c r="Z2590" s="193"/>
      <c r="AC2590" s="193"/>
      <c r="AD2590" s="193"/>
      <c r="AE2590" s="193"/>
      <c r="AF2590" s="193"/>
    </row>
    <row r="2591" spans="21:32" x14ac:dyDescent="0.3">
      <c r="U2591" s="193"/>
      <c r="V2591" s="193"/>
      <c r="W2591" s="193"/>
      <c r="X2591" s="193"/>
      <c r="Y2591" s="193"/>
      <c r="Z2591" s="193"/>
      <c r="AC2591" s="193"/>
      <c r="AD2591" s="193"/>
      <c r="AE2591" s="193"/>
      <c r="AF2591" s="193"/>
    </row>
    <row r="2592" spans="21:32" x14ac:dyDescent="0.3">
      <c r="U2592" s="193"/>
      <c r="V2592" s="193"/>
      <c r="W2592" s="193"/>
      <c r="X2592" s="193"/>
      <c r="Y2592" s="193"/>
      <c r="Z2592" s="193"/>
      <c r="AC2592" s="193"/>
      <c r="AD2592" s="193"/>
      <c r="AE2592" s="193"/>
      <c r="AF2592" s="193"/>
    </row>
    <row r="2593" spans="21:32" x14ac:dyDescent="0.3">
      <c r="U2593" s="193"/>
      <c r="V2593" s="193"/>
      <c r="W2593" s="193"/>
      <c r="X2593" s="193"/>
      <c r="Y2593" s="193"/>
      <c r="Z2593" s="193"/>
      <c r="AC2593" s="193"/>
      <c r="AD2593" s="193"/>
      <c r="AE2593" s="193"/>
      <c r="AF2593" s="193"/>
    </row>
    <row r="2594" spans="21:32" x14ac:dyDescent="0.3">
      <c r="U2594" s="193"/>
      <c r="V2594" s="193"/>
      <c r="W2594" s="193"/>
      <c r="X2594" s="193"/>
      <c r="Y2594" s="193"/>
      <c r="Z2594" s="193"/>
      <c r="AC2594" s="193"/>
      <c r="AD2594" s="193"/>
      <c r="AE2594" s="193"/>
      <c r="AF2594" s="193"/>
    </row>
    <row r="2595" spans="21:32" x14ac:dyDescent="0.3">
      <c r="U2595" s="193"/>
      <c r="V2595" s="193"/>
      <c r="W2595" s="193"/>
      <c r="X2595" s="193"/>
      <c r="Y2595" s="193"/>
      <c r="Z2595" s="193"/>
      <c r="AC2595" s="193"/>
      <c r="AD2595" s="193"/>
      <c r="AE2595" s="193"/>
      <c r="AF2595" s="193"/>
    </row>
    <row r="2596" spans="21:32" x14ac:dyDescent="0.3">
      <c r="U2596" s="193"/>
      <c r="V2596" s="193"/>
      <c r="W2596" s="193"/>
      <c r="X2596" s="193"/>
      <c r="Y2596" s="193"/>
      <c r="Z2596" s="193"/>
      <c r="AC2596" s="193"/>
      <c r="AD2596" s="193"/>
      <c r="AE2596" s="193"/>
      <c r="AF2596" s="193"/>
    </row>
    <row r="2597" spans="21:32" x14ac:dyDescent="0.3">
      <c r="U2597" s="193"/>
      <c r="V2597" s="193"/>
      <c r="W2597" s="193"/>
      <c r="X2597" s="193"/>
      <c r="Y2597" s="193"/>
      <c r="Z2597" s="193"/>
      <c r="AC2597" s="193"/>
      <c r="AD2597" s="193"/>
      <c r="AE2597" s="193"/>
      <c r="AF2597" s="193"/>
    </row>
    <row r="2598" spans="21:32" x14ac:dyDescent="0.3">
      <c r="U2598" s="193"/>
      <c r="V2598" s="193"/>
      <c r="W2598" s="193"/>
      <c r="X2598" s="193"/>
      <c r="Y2598" s="193"/>
      <c r="Z2598" s="193"/>
      <c r="AC2598" s="193"/>
      <c r="AD2598" s="193"/>
      <c r="AE2598" s="193"/>
      <c r="AF2598" s="193"/>
    </row>
    <row r="2599" spans="21:32" x14ac:dyDescent="0.3">
      <c r="U2599" s="193"/>
      <c r="V2599" s="193"/>
      <c r="W2599" s="193"/>
      <c r="X2599" s="193"/>
      <c r="Y2599" s="193"/>
      <c r="Z2599" s="193"/>
      <c r="AC2599" s="193"/>
      <c r="AD2599" s="193"/>
      <c r="AE2599" s="193"/>
      <c r="AF2599" s="193"/>
    </row>
    <row r="2600" spans="21:32" x14ac:dyDescent="0.3">
      <c r="U2600" s="193"/>
      <c r="V2600" s="193"/>
      <c r="W2600" s="193"/>
      <c r="X2600" s="193"/>
      <c r="Y2600" s="193"/>
      <c r="Z2600" s="193"/>
      <c r="AC2600" s="193"/>
      <c r="AD2600" s="193"/>
      <c r="AE2600" s="193"/>
      <c r="AF2600" s="193"/>
    </row>
    <row r="2601" spans="21:32" x14ac:dyDescent="0.3">
      <c r="U2601" s="193"/>
      <c r="V2601" s="193"/>
      <c r="W2601" s="193"/>
      <c r="X2601" s="193"/>
      <c r="Y2601" s="193"/>
      <c r="Z2601" s="193"/>
      <c r="AC2601" s="193"/>
      <c r="AD2601" s="193"/>
      <c r="AE2601" s="193"/>
      <c r="AF2601" s="193"/>
    </row>
    <row r="2602" spans="21:32" x14ac:dyDescent="0.3">
      <c r="U2602" s="193"/>
      <c r="V2602" s="193"/>
      <c r="W2602" s="193"/>
      <c r="X2602" s="193"/>
      <c r="Y2602" s="193"/>
      <c r="Z2602" s="193"/>
      <c r="AC2602" s="193"/>
      <c r="AD2602" s="193"/>
      <c r="AE2602" s="193"/>
      <c r="AF2602" s="193"/>
    </row>
    <row r="2603" spans="21:32" x14ac:dyDescent="0.3">
      <c r="U2603" s="193"/>
      <c r="V2603" s="193"/>
      <c r="W2603" s="193"/>
      <c r="X2603" s="193"/>
      <c r="Y2603" s="193"/>
      <c r="Z2603" s="193"/>
      <c r="AC2603" s="193"/>
      <c r="AD2603" s="193"/>
      <c r="AE2603" s="193"/>
      <c r="AF2603" s="193"/>
    </row>
    <row r="2604" spans="21:32" x14ac:dyDescent="0.3">
      <c r="U2604" s="193"/>
      <c r="V2604" s="193"/>
      <c r="W2604" s="193"/>
      <c r="X2604" s="193"/>
      <c r="Y2604" s="193"/>
      <c r="Z2604" s="193"/>
      <c r="AC2604" s="193"/>
      <c r="AD2604" s="193"/>
      <c r="AE2604" s="193"/>
      <c r="AF2604" s="193"/>
    </row>
    <row r="2605" spans="21:32" x14ac:dyDescent="0.3">
      <c r="U2605" s="193"/>
      <c r="V2605" s="193"/>
      <c r="W2605" s="193"/>
      <c r="X2605" s="193"/>
      <c r="Y2605" s="193"/>
      <c r="Z2605" s="193"/>
      <c r="AC2605" s="193"/>
      <c r="AD2605" s="193"/>
      <c r="AE2605" s="193"/>
      <c r="AF2605" s="193"/>
    </row>
    <row r="2606" spans="21:32" x14ac:dyDescent="0.3">
      <c r="U2606" s="193"/>
      <c r="V2606" s="193"/>
      <c r="W2606" s="193"/>
      <c r="X2606" s="193"/>
      <c r="Y2606" s="193"/>
      <c r="Z2606" s="193"/>
      <c r="AC2606" s="193"/>
      <c r="AD2606" s="193"/>
      <c r="AE2606" s="193"/>
      <c r="AF2606" s="193"/>
    </row>
    <row r="2607" spans="21:32" x14ac:dyDescent="0.3">
      <c r="U2607" s="193"/>
      <c r="V2607" s="193"/>
      <c r="W2607" s="193"/>
      <c r="X2607" s="193"/>
      <c r="Y2607" s="193"/>
      <c r="Z2607" s="193"/>
      <c r="AC2607" s="193"/>
      <c r="AD2607" s="193"/>
      <c r="AE2607" s="193"/>
      <c r="AF2607" s="193"/>
    </row>
    <row r="2608" spans="21:32" x14ac:dyDescent="0.3">
      <c r="U2608" s="193"/>
      <c r="V2608" s="193"/>
      <c r="W2608" s="193"/>
      <c r="X2608" s="193"/>
      <c r="Y2608" s="193"/>
      <c r="Z2608" s="193"/>
      <c r="AC2608" s="193"/>
      <c r="AD2608" s="193"/>
      <c r="AE2608" s="193"/>
      <c r="AF2608" s="193"/>
    </row>
    <row r="2609" spans="21:32" x14ac:dyDescent="0.3">
      <c r="U2609" s="193"/>
      <c r="V2609" s="193"/>
      <c r="W2609" s="193"/>
      <c r="X2609" s="193"/>
      <c r="Y2609" s="193"/>
      <c r="Z2609" s="193"/>
      <c r="AC2609" s="193"/>
      <c r="AD2609" s="193"/>
      <c r="AE2609" s="193"/>
      <c r="AF2609" s="193"/>
    </row>
    <row r="2610" spans="21:32" x14ac:dyDescent="0.3">
      <c r="U2610" s="193"/>
      <c r="V2610" s="193"/>
      <c r="W2610" s="193"/>
      <c r="X2610" s="193"/>
      <c r="Y2610" s="193"/>
      <c r="Z2610" s="193"/>
      <c r="AC2610" s="193"/>
      <c r="AD2610" s="193"/>
      <c r="AE2610" s="193"/>
      <c r="AF2610" s="193"/>
    </row>
    <row r="2611" spans="21:32" x14ac:dyDescent="0.3">
      <c r="U2611" s="193"/>
      <c r="V2611" s="193"/>
      <c r="W2611" s="193"/>
      <c r="X2611" s="193"/>
      <c r="Y2611" s="193"/>
      <c r="Z2611" s="193"/>
      <c r="AC2611" s="193"/>
      <c r="AD2611" s="193"/>
      <c r="AE2611" s="193"/>
      <c r="AF2611" s="193"/>
    </row>
    <row r="2612" spans="21:32" x14ac:dyDescent="0.3">
      <c r="U2612" s="193"/>
      <c r="V2612" s="193"/>
      <c r="W2612" s="193"/>
      <c r="X2612" s="193"/>
      <c r="Y2612" s="193"/>
      <c r="Z2612" s="193"/>
      <c r="AC2612" s="193"/>
      <c r="AD2612" s="193"/>
      <c r="AE2612" s="193"/>
      <c r="AF2612" s="193"/>
    </row>
    <row r="2613" spans="21:32" x14ac:dyDescent="0.3">
      <c r="U2613" s="193"/>
      <c r="V2613" s="193"/>
      <c r="W2613" s="193"/>
      <c r="X2613" s="193"/>
      <c r="Y2613" s="193"/>
      <c r="Z2613" s="193"/>
      <c r="AC2613" s="193"/>
      <c r="AD2613" s="193"/>
      <c r="AE2613" s="193"/>
      <c r="AF2613" s="193"/>
    </row>
    <row r="2614" spans="21:32" x14ac:dyDescent="0.3">
      <c r="U2614" s="193"/>
      <c r="V2614" s="193"/>
      <c r="W2614" s="193"/>
      <c r="X2614" s="193"/>
      <c r="Y2614" s="193"/>
      <c r="Z2614" s="193"/>
      <c r="AC2614" s="193"/>
      <c r="AD2614" s="193"/>
      <c r="AE2614" s="193"/>
      <c r="AF2614" s="193"/>
    </row>
    <row r="2615" spans="21:32" x14ac:dyDescent="0.3">
      <c r="U2615" s="193"/>
      <c r="V2615" s="193"/>
      <c r="W2615" s="193"/>
      <c r="X2615" s="193"/>
      <c r="Y2615" s="193"/>
      <c r="Z2615" s="193"/>
      <c r="AC2615" s="193"/>
      <c r="AD2615" s="193"/>
      <c r="AE2615" s="193"/>
      <c r="AF2615" s="193"/>
    </row>
    <row r="2616" spans="21:32" x14ac:dyDescent="0.3">
      <c r="U2616" s="193"/>
      <c r="V2616" s="193"/>
      <c r="W2616" s="193"/>
      <c r="X2616" s="193"/>
      <c r="Y2616" s="193"/>
      <c r="Z2616" s="193"/>
      <c r="AC2616" s="193"/>
      <c r="AD2616" s="193"/>
      <c r="AE2616" s="193"/>
      <c r="AF2616" s="193"/>
    </row>
    <row r="2617" spans="21:32" x14ac:dyDescent="0.3">
      <c r="U2617" s="193"/>
      <c r="V2617" s="193"/>
      <c r="W2617" s="193"/>
      <c r="X2617" s="193"/>
      <c r="Y2617" s="193"/>
      <c r="Z2617" s="193"/>
      <c r="AC2617" s="193"/>
      <c r="AD2617" s="193"/>
      <c r="AE2617" s="193"/>
      <c r="AF2617" s="193"/>
    </row>
    <row r="2618" spans="21:32" x14ac:dyDescent="0.3">
      <c r="U2618" s="193"/>
      <c r="V2618" s="193"/>
      <c r="W2618" s="193"/>
      <c r="X2618" s="193"/>
      <c r="Y2618" s="193"/>
      <c r="Z2618" s="193"/>
      <c r="AC2618" s="193"/>
      <c r="AD2618" s="193"/>
      <c r="AE2618" s="193"/>
      <c r="AF2618" s="193"/>
    </row>
    <row r="2619" spans="21:32" x14ac:dyDescent="0.3">
      <c r="U2619" s="193"/>
      <c r="V2619" s="193"/>
      <c r="W2619" s="193"/>
      <c r="X2619" s="193"/>
      <c r="Y2619" s="193"/>
      <c r="Z2619" s="193"/>
      <c r="AC2619" s="193"/>
      <c r="AD2619" s="193"/>
      <c r="AE2619" s="193"/>
      <c r="AF2619" s="193"/>
    </row>
    <row r="2620" spans="21:32" x14ac:dyDescent="0.3">
      <c r="U2620" s="193"/>
      <c r="V2620" s="193"/>
      <c r="W2620" s="193"/>
      <c r="X2620" s="193"/>
      <c r="Y2620" s="193"/>
      <c r="Z2620" s="193"/>
      <c r="AC2620" s="193"/>
      <c r="AD2620" s="193"/>
      <c r="AE2620" s="193"/>
      <c r="AF2620" s="193"/>
    </row>
    <row r="2621" spans="21:32" x14ac:dyDescent="0.3">
      <c r="U2621" s="193"/>
      <c r="V2621" s="193"/>
      <c r="W2621" s="193"/>
      <c r="X2621" s="193"/>
      <c r="Y2621" s="193"/>
      <c r="Z2621" s="193"/>
      <c r="AC2621" s="193"/>
      <c r="AD2621" s="193"/>
      <c r="AE2621" s="193"/>
      <c r="AF2621" s="193"/>
    </row>
    <row r="2622" spans="21:32" x14ac:dyDescent="0.3">
      <c r="U2622" s="193"/>
      <c r="V2622" s="193"/>
      <c r="W2622" s="193"/>
      <c r="X2622" s="193"/>
      <c r="Y2622" s="193"/>
      <c r="Z2622" s="193"/>
      <c r="AC2622" s="193"/>
      <c r="AD2622" s="193"/>
      <c r="AE2622" s="193"/>
      <c r="AF2622" s="193"/>
    </row>
    <row r="2623" spans="21:32" x14ac:dyDescent="0.3">
      <c r="U2623" s="193"/>
      <c r="V2623" s="193"/>
      <c r="W2623" s="193"/>
      <c r="X2623" s="193"/>
      <c r="Y2623" s="193"/>
      <c r="Z2623" s="193"/>
      <c r="AC2623" s="193"/>
      <c r="AD2623" s="193"/>
      <c r="AE2623" s="193"/>
      <c r="AF2623" s="193"/>
    </row>
    <row r="2624" spans="21:32" x14ac:dyDescent="0.3">
      <c r="U2624" s="193"/>
      <c r="V2624" s="193"/>
      <c r="W2624" s="193"/>
      <c r="X2624" s="193"/>
      <c r="Y2624" s="193"/>
      <c r="Z2624" s="193"/>
      <c r="AC2624" s="193"/>
      <c r="AD2624" s="193"/>
      <c r="AE2624" s="193"/>
      <c r="AF2624" s="193"/>
    </row>
    <row r="2625" spans="21:32" x14ac:dyDescent="0.3">
      <c r="U2625" s="193"/>
      <c r="V2625" s="193"/>
      <c r="W2625" s="193"/>
      <c r="X2625" s="193"/>
      <c r="Y2625" s="193"/>
      <c r="Z2625" s="193"/>
      <c r="AC2625" s="193"/>
      <c r="AD2625" s="193"/>
      <c r="AE2625" s="193"/>
      <c r="AF2625" s="193"/>
    </row>
    <row r="2626" spans="21:32" x14ac:dyDescent="0.3">
      <c r="U2626" s="193"/>
      <c r="V2626" s="193"/>
      <c r="W2626" s="193"/>
      <c r="X2626" s="193"/>
      <c r="Y2626" s="193"/>
      <c r="Z2626" s="193"/>
      <c r="AC2626" s="193"/>
      <c r="AD2626" s="193"/>
      <c r="AE2626" s="193"/>
      <c r="AF2626" s="193"/>
    </row>
    <row r="2627" spans="21:32" x14ac:dyDescent="0.3">
      <c r="U2627" s="193"/>
      <c r="V2627" s="193"/>
      <c r="W2627" s="193"/>
      <c r="X2627" s="193"/>
      <c r="Y2627" s="193"/>
      <c r="Z2627" s="193"/>
      <c r="AC2627" s="193"/>
      <c r="AD2627" s="193"/>
      <c r="AE2627" s="193"/>
      <c r="AF2627" s="193"/>
    </row>
    <row r="2628" spans="21:32" x14ac:dyDescent="0.3">
      <c r="U2628" s="193"/>
      <c r="V2628" s="193"/>
      <c r="W2628" s="193"/>
      <c r="X2628" s="193"/>
      <c r="Y2628" s="193"/>
      <c r="Z2628" s="193"/>
      <c r="AC2628" s="193"/>
      <c r="AD2628" s="193"/>
      <c r="AE2628" s="193"/>
      <c r="AF2628" s="193"/>
    </row>
    <row r="2629" spans="21:32" x14ac:dyDescent="0.3">
      <c r="U2629" s="193"/>
      <c r="V2629" s="193"/>
      <c r="W2629" s="193"/>
      <c r="X2629" s="193"/>
      <c r="Y2629" s="193"/>
      <c r="Z2629" s="193"/>
      <c r="AC2629" s="193"/>
      <c r="AD2629" s="193"/>
      <c r="AE2629" s="193"/>
      <c r="AF2629" s="193"/>
    </row>
    <row r="2630" spans="21:32" x14ac:dyDescent="0.3">
      <c r="U2630" s="193"/>
      <c r="V2630" s="193"/>
      <c r="W2630" s="193"/>
      <c r="X2630" s="193"/>
      <c r="Y2630" s="193"/>
      <c r="Z2630" s="193"/>
      <c r="AC2630" s="193"/>
      <c r="AD2630" s="193"/>
      <c r="AE2630" s="193"/>
      <c r="AF2630" s="193"/>
    </row>
    <row r="2631" spans="21:32" x14ac:dyDescent="0.3">
      <c r="U2631" s="193"/>
      <c r="V2631" s="193"/>
      <c r="W2631" s="193"/>
      <c r="X2631" s="193"/>
      <c r="Y2631" s="193"/>
      <c r="Z2631" s="193"/>
      <c r="AC2631" s="193"/>
      <c r="AD2631" s="193"/>
      <c r="AE2631" s="193"/>
      <c r="AF2631" s="193"/>
    </row>
    <row r="2632" spans="21:32" x14ac:dyDescent="0.3">
      <c r="U2632" s="193"/>
      <c r="V2632" s="193"/>
      <c r="W2632" s="193"/>
      <c r="X2632" s="193"/>
      <c r="Y2632" s="193"/>
      <c r="Z2632" s="193"/>
      <c r="AC2632" s="193"/>
      <c r="AD2632" s="193"/>
      <c r="AE2632" s="193"/>
      <c r="AF2632" s="193"/>
    </row>
    <row r="2633" spans="21:32" x14ac:dyDescent="0.3">
      <c r="U2633" s="193"/>
      <c r="V2633" s="193"/>
      <c r="W2633" s="193"/>
      <c r="X2633" s="193"/>
      <c r="Y2633" s="193"/>
      <c r="Z2633" s="193"/>
      <c r="AC2633" s="193"/>
      <c r="AD2633" s="193"/>
      <c r="AE2633" s="193"/>
      <c r="AF2633" s="193"/>
    </row>
    <row r="2634" spans="21:32" x14ac:dyDescent="0.3">
      <c r="U2634" s="193"/>
      <c r="V2634" s="193"/>
      <c r="W2634" s="193"/>
      <c r="X2634" s="193"/>
      <c r="Y2634" s="193"/>
      <c r="Z2634" s="193"/>
      <c r="AC2634" s="193"/>
      <c r="AD2634" s="193"/>
      <c r="AE2634" s="193"/>
      <c r="AF2634" s="193"/>
    </row>
    <row r="2635" spans="21:32" x14ac:dyDescent="0.3">
      <c r="U2635" s="193"/>
      <c r="V2635" s="193"/>
      <c r="W2635" s="193"/>
      <c r="X2635" s="193"/>
      <c r="Y2635" s="193"/>
      <c r="Z2635" s="193"/>
      <c r="AC2635" s="193"/>
      <c r="AD2635" s="193"/>
      <c r="AE2635" s="193"/>
      <c r="AF2635" s="193"/>
    </row>
    <row r="2636" spans="21:32" x14ac:dyDescent="0.3">
      <c r="U2636" s="193"/>
      <c r="V2636" s="193"/>
      <c r="W2636" s="193"/>
      <c r="X2636" s="193"/>
      <c r="Y2636" s="193"/>
      <c r="Z2636" s="193"/>
      <c r="AC2636" s="193"/>
      <c r="AD2636" s="193"/>
      <c r="AE2636" s="193"/>
      <c r="AF2636" s="193"/>
    </row>
    <row r="2637" spans="21:32" x14ac:dyDescent="0.3">
      <c r="U2637" s="193"/>
      <c r="V2637" s="193"/>
      <c r="W2637" s="193"/>
      <c r="X2637" s="193"/>
      <c r="Y2637" s="193"/>
      <c r="Z2637" s="193"/>
      <c r="AC2637" s="193"/>
      <c r="AD2637" s="193"/>
      <c r="AE2637" s="193"/>
      <c r="AF2637" s="193"/>
    </row>
    <row r="2638" spans="21:32" x14ac:dyDescent="0.3">
      <c r="U2638" s="193"/>
      <c r="V2638" s="193"/>
      <c r="W2638" s="193"/>
      <c r="X2638" s="193"/>
      <c r="Y2638" s="193"/>
      <c r="Z2638" s="193"/>
      <c r="AC2638" s="193"/>
      <c r="AD2638" s="193"/>
      <c r="AE2638" s="193"/>
      <c r="AF2638" s="193"/>
    </row>
    <row r="2639" spans="21:32" x14ac:dyDescent="0.3">
      <c r="U2639" s="193"/>
      <c r="V2639" s="193"/>
      <c r="W2639" s="193"/>
      <c r="X2639" s="193"/>
      <c r="Y2639" s="193"/>
      <c r="Z2639" s="193"/>
      <c r="AC2639" s="193"/>
      <c r="AD2639" s="193"/>
      <c r="AE2639" s="193"/>
      <c r="AF2639" s="193"/>
    </row>
    <row r="2640" spans="21:32" x14ac:dyDescent="0.3">
      <c r="U2640" s="193"/>
      <c r="V2640" s="193"/>
      <c r="W2640" s="193"/>
      <c r="X2640" s="193"/>
      <c r="Y2640" s="193"/>
      <c r="Z2640" s="193"/>
      <c r="AC2640" s="193"/>
      <c r="AD2640" s="193"/>
      <c r="AE2640" s="193"/>
      <c r="AF2640" s="193"/>
    </row>
    <row r="2641" spans="21:32" x14ac:dyDescent="0.3">
      <c r="U2641" s="193"/>
      <c r="V2641" s="193"/>
      <c r="W2641" s="193"/>
      <c r="X2641" s="193"/>
      <c r="Y2641" s="193"/>
      <c r="Z2641" s="193"/>
      <c r="AC2641" s="193"/>
      <c r="AD2641" s="193"/>
      <c r="AE2641" s="193"/>
      <c r="AF2641" s="193"/>
    </row>
    <row r="2642" spans="21:32" x14ac:dyDescent="0.3">
      <c r="U2642" s="193"/>
      <c r="V2642" s="193"/>
      <c r="W2642" s="193"/>
      <c r="X2642" s="193"/>
      <c r="Y2642" s="193"/>
      <c r="Z2642" s="193"/>
      <c r="AC2642" s="193"/>
      <c r="AD2642" s="193"/>
      <c r="AE2642" s="193"/>
      <c r="AF2642" s="193"/>
    </row>
    <row r="2643" spans="21:32" x14ac:dyDescent="0.3">
      <c r="U2643" s="193"/>
      <c r="V2643" s="193"/>
      <c r="W2643" s="193"/>
      <c r="X2643" s="193"/>
      <c r="Y2643" s="193"/>
      <c r="Z2643" s="193"/>
      <c r="AC2643" s="193"/>
      <c r="AD2643" s="193"/>
      <c r="AE2643" s="193"/>
      <c r="AF2643" s="193"/>
    </row>
    <row r="2644" spans="21:32" x14ac:dyDescent="0.3">
      <c r="U2644" s="193"/>
      <c r="V2644" s="193"/>
      <c r="W2644" s="193"/>
      <c r="X2644" s="193"/>
      <c r="Y2644" s="193"/>
      <c r="Z2644" s="193"/>
      <c r="AC2644" s="193"/>
      <c r="AD2644" s="193"/>
      <c r="AE2644" s="193"/>
      <c r="AF2644" s="193"/>
    </row>
    <row r="2645" spans="21:32" x14ac:dyDescent="0.3">
      <c r="U2645" s="193"/>
      <c r="V2645" s="193"/>
      <c r="W2645" s="193"/>
      <c r="X2645" s="193"/>
      <c r="Y2645" s="193"/>
      <c r="Z2645" s="193"/>
      <c r="AC2645" s="193"/>
      <c r="AD2645" s="193"/>
      <c r="AE2645" s="193"/>
      <c r="AF2645" s="193"/>
    </row>
    <row r="2646" spans="21:32" x14ac:dyDescent="0.3">
      <c r="U2646" s="193"/>
      <c r="V2646" s="193"/>
      <c r="W2646" s="193"/>
      <c r="X2646" s="193"/>
      <c r="Y2646" s="193"/>
      <c r="Z2646" s="193"/>
      <c r="AC2646" s="193"/>
      <c r="AD2646" s="193"/>
      <c r="AE2646" s="193"/>
      <c r="AF2646" s="193"/>
    </row>
    <row r="2647" spans="21:32" x14ac:dyDescent="0.3">
      <c r="U2647" s="193"/>
      <c r="V2647" s="193"/>
      <c r="W2647" s="193"/>
      <c r="X2647" s="193"/>
      <c r="Y2647" s="193"/>
      <c r="Z2647" s="193"/>
      <c r="AC2647" s="193"/>
      <c r="AD2647" s="193"/>
      <c r="AE2647" s="193"/>
      <c r="AF2647" s="193"/>
    </row>
    <row r="2648" spans="21:32" x14ac:dyDescent="0.3">
      <c r="U2648" s="193"/>
      <c r="V2648" s="193"/>
      <c r="W2648" s="193"/>
      <c r="X2648" s="193"/>
      <c r="Y2648" s="193"/>
      <c r="Z2648" s="193"/>
      <c r="AC2648" s="193"/>
      <c r="AD2648" s="193"/>
      <c r="AE2648" s="193"/>
      <c r="AF2648" s="193"/>
    </row>
    <row r="2649" spans="21:32" x14ac:dyDescent="0.3">
      <c r="U2649" s="193"/>
      <c r="V2649" s="193"/>
      <c r="W2649" s="193"/>
      <c r="X2649" s="193"/>
      <c r="Y2649" s="193"/>
      <c r="Z2649" s="193"/>
      <c r="AC2649" s="193"/>
      <c r="AD2649" s="193"/>
      <c r="AE2649" s="193"/>
      <c r="AF2649" s="193"/>
    </row>
    <row r="2650" spans="21:32" x14ac:dyDescent="0.3">
      <c r="U2650" s="193"/>
      <c r="V2650" s="193"/>
      <c r="W2650" s="193"/>
      <c r="X2650" s="193"/>
      <c r="Y2650" s="193"/>
      <c r="Z2650" s="193"/>
      <c r="AC2650" s="193"/>
      <c r="AD2650" s="193"/>
      <c r="AE2650" s="193"/>
      <c r="AF2650" s="193"/>
    </row>
    <row r="2651" spans="21:32" x14ac:dyDescent="0.3">
      <c r="U2651" s="193"/>
      <c r="V2651" s="193"/>
      <c r="W2651" s="193"/>
      <c r="X2651" s="193"/>
      <c r="Y2651" s="193"/>
      <c r="Z2651" s="193"/>
      <c r="AC2651" s="193"/>
      <c r="AD2651" s="193"/>
      <c r="AE2651" s="193"/>
      <c r="AF2651" s="193"/>
    </row>
    <row r="2652" spans="21:32" x14ac:dyDescent="0.3">
      <c r="U2652" s="193"/>
      <c r="V2652" s="193"/>
      <c r="W2652" s="193"/>
      <c r="X2652" s="193"/>
      <c r="Y2652" s="193"/>
      <c r="Z2652" s="193"/>
      <c r="AC2652" s="193"/>
      <c r="AD2652" s="193"/>
      <c r="AE2652" s="193"/>
      <c r="AF2652" s="193"/>
    </row>
    <row r="2653" spans="21:32" x14ac:dyDescent="0.3">
      <c r="U2653" s="193"/>
      <c r="V2653" s="193"/>
      <c r="W2653" s="193"/>
      <c r="X2653" s="193"/>
      <c r="Y2653" s="193"/>
      <c r="Z2653" s="193"/>
      <c r="AC2653" s="193"/>
      <c r="AD2653" s="193"/>
      <c r="AE2653" s="193"/>
      <c r="AF2653" s="193"/>
    </row>
    <row r="2654" spans="21:32" x14ac:dyDescent="0.3">
      <c r="U2654" s="193"/>
      <c r="V2654" s="193"/>
      <c r="W2654" s="193"/>
      <c r="X2654" s="193"/>
      <c r="Y2654" s="193"/>
      <c r="Z2654" s="193"/>
      <c r="AC2654" s="193"/>
      <c r="AD2654" s="193"/>
      <c r="AE2654" s="193"/>
      <c r="AF2654" s="193"/>
    </row>
    <row r="2655" spans="21:32" x14ac:dyDescent="0.3">
      <c r="U2655" s="193"/>
      <c r="V2655" s="193"/>
      <c r="W2655" s="193"/>
      <c r="X2655" s="193"/>
      <c r="Y2655" s="193"/>
      <c r="Z2655" s="193"/>
      <c r="AC2655" s="193"/>
      <c r="AD2655" s="193"/>
      <c r="AE2655" s="193"/>
      <c r="AF2655" s="193"/>
    </row>
    <row r="2656" spans="21:32" x14ac:dyDescent="0.3">
      <c r="U2656" s="193"/>
      <c r="V2656" s="193"/>
      <c r="W2656" s="193"/>
      <c r="X2656" s="193"/>
      <c r="Y2656" s="193"/>
      <c r="Z2656" s="193"/>
      <c r="AC2656" s="193"/>
      <c r="AD2656" s="193"/>
      <c r="AE2656" s="193"/>
      <c r="AF2656" s="193"/>
    </row>
    <row r="2657" spans="21:32" x14ac:dyDescent="0.3">
      <c r="U2657" s="193"/>
      <c r="V2657" s="193"/>
      <c r="W2657" s="193"/>
      <c r="X2657" s="193"/>
      <c r="Y2657" s="193"/>
      <c r="Z2657" s="193"/>
      <c r="AC2657" s="193"/>
      <c r="AD2657" s="193"/>
      <c r="AE2657" s="193"/>
      <c r="AF2657" s="193"/>
    </row>
    <row r="2658" spans="21:32" x14ac:dyDescent="0.3">
      <c r="U2658" s="193"/>
      <c r="V2658" s="193"/>
      <c r="W2658" s="193"/>
      <c r="X2658" s="193"/>
      <c r="Y2658" s="193"/>
      <c r="Z2658" s="193"/>
      <c r="AC2658" s="193"/>
      <c r="AD2658" s="193"/>
      <c r="AE2658" s="193"/>
      <c r="AF2658" s="193"/>
    </row>
    <row r="2659" spans="21:32" x14ac:dyDescent="0.3">
      <c r="U2659" s="193"/>
      <c r="V2659" s="193"/>
      <c r="W2659" s="193"/>
      <c r="X2659" s="193"/>
      <c r="Y2659" s="193"/>
      <c r="Z2659" s="193"/>
      <c r="AC2659" s="193"/>
      <c r="AD2659" s="193"/>
      <c r="AE2659" s="193"/>
      <c r="AF2659" s="193"/>
    </row>
    <row r="2660" spans="21:32" x14ac:dyDescent="0.3">
      <c r="U2660" s="193"/>
      <c r="V2660" s="193"/>
      <c r="W2660" s="193"/>
      <c r="X2660" s="193"/>
      <c r="Y2660" s="193"/>
      <c r="Z2660" s="193"/>
      <c r="AC2660" s="193"/>
      <c r="AD2660" s="193"/>
      <c r="AE2660" s="193"/>
      <c r="AF2660" s="193"/>
    </row>
    <row r="2661" spans="21:32" x14ac:dyDescent="0.3">
      <c r="U2661" s="193"/>
      <c r="V2661" s="193"/>
      <c r="W2661" s="193"/>
      <c r="X2661" s="193"/>
      <c r="Y2661" s="193"/>
      <c r="Z2661" s="193"/>
      <c r="AC2661" s="193"/>
      <c r="AD2661" s="193"/>
      <c r="AE2661" s="193"/>
      <c r="AF2661" s="193"/>
    </row>
    <row r="2662" spans="21:32" x14ac:dyDescent="0.3">
      <c r="U2662" s="193"/>
      <c r="V2662" s="193"/>
      <c r="W2662" s="193"/>
      <c r="X2662" s="193"/>
      <c r="Y2662" s="193"/>
      <c r="Z2662" s="193"/>
      <c r="AC2662" s="193"/>
      <c r="AD2662" s="193"/>
      <c r="AE2662" s="193"/>
      <c r="AF2662" s="193"/>
    </row>
    <row r="2663" spans="21:32" x14ac:dyDescent="0.3">
      <c r="U2663" s="193"/>
      <c r="V2663" s="193"/>
      <c r="W2663" s="193"/>
      <c r="X2663" s="193"/>
      <c r="Y2663" s="193"/>
      <c r="Z2663" s="193"/>
      <c r="AC2663" s="193"/>
      <c r="AD2663" s="193"/>
      <c r="AE2663" s="193"/>
      <c r="AF2663" s="193"/>
    </row>
    <row r="2664" spans="21:32" x14ac:dyDescent="0.3">
      <c r="U2664" s="193"/>
      <c r="V2664" s="193"/>
      <c r="W2664" s="193"/>
      <c r="X2664" s="193"/>
      <c r="Y2664" s="193"/>
      <c r="Z2664" s="193"/>
      <c r="AC2664" s="193"/>
      <c r="AD2664" s="193"/>
      <c r="AE2664" s="193"/>
      <c r="AF2664" s="193"/>
    </row>
    <row r="2665" spans="21:32" x14ac:dyDescent="0.3">
      <c r="U2665" s="193"/>
      <c r="V2665" s="193"/>
      <c r="W2665" s="193"/>
      <c r="X2665" s="193"/>
      <c r="Y2665" s="193"/>
      <c r="Z2665" s="193"/>
      <c r="AC2665" s="193"/>
      <c r="AD2665" s="193"/>
      <c r="AE2665" s="193"/>
      <c r="AF2665" s="193"/>
    </row>
    <row r="2666" spans="21:32" x14ac:dyDescent="0.3">
      <c r="U2666" s="193"/>
      <c r="V2666" s="193"/>
      <c r="W2666" s="193"/>
      <c r="X2666" s="193"/>
      <c r="Y2666" s="193"/>
      <c r="Z2666" s="193"/>
      <c r="AC2666" s="193"/>
      <c r="AD2666" s="193"/>
      <c r="AE2666" s="193"/>
      <c r="AF2666" s="193"/>
    </row>
    <row r="2667" spans="21:32" x14ac:dyDescent="0.3">
      <c r="U2667" s="193"/>
      <c r="V2667" s="193"/>
      <c r="W2667" s="193"/>
      <c r="X2667" s="193"/>
      <c r="Y2667" s="193"/>
      <c r="Z2667" s="193"/>
      <c r="AC2667" s="193"/>
      <c r="AD2667" s="193"/>
      <c r="AE2667" s="193"/>
      <c r="AF2667" s="193"/>
    </row>
    <row r="2668" spans="21:32" x14ac:dyDescent="0.3">
      <c r="U2668" s="193"/>
      <c r="V2668" s="193"/>
      <c r="W2668" s="193"/>
      <c r="X2668" s="193"/>
      <c r="Y2668" s="193"/>
      <c r="Z2668" s="193"/>
      <c r="AC2668" s="193"/>
      <c r="AD2668" s="193"/>
      <c r="AE2668" s="193"/>
      <c r="AF2668" s="193"/>
    </row>
    <row r="2669" spans="21:32" x14ac:dyDescent="0.3">
      <c r="U2669" s="193"/>
      <c r="V2669" s="193"/>
      <c r="W2669" s="193"/>
      <c r="X2669" s="193"/>
      <c r="Y2669" s="193"/>
      <c r="Z2669" s="193"/>
      <c r="AC2669" s="193"/>
      <c r="AD2669" s="193"/>
      <c r="AE2669" s="193"/>
      <c r="AF2669" s="193"/>
    </row>
    <row r="2670" spans="21:32" x14ac:dyDescent="0.3">
      <c r="U2670" s="193"/>
      <c r="V2670" s="193"/>
      <c r="W2670" s="193"/>
      <c r="X2670" s="193"/>
      <c r="Y2670" s="193"/>
      <c r="Z2670" s="193"/>
      <c r="AC2670" s="193"/>
      <c r="AD2670" s="193"/>
      <c r="AE2670" s="193"/>
      <c r="AF2670" s="193"/>
    </row>
    <row r="2671" spans="21:32" x14ac:dyDescent="0.3">
      <c r="U2671" s="193"/>
      <c r="V2671" s="193"/>
      <c r="W2671" s="193"/>
      <c r="X2671" s="193"/>
      <c r="Y2671" s="193"/>
      <c r="Z2671" s="193"/>
      <c r="AC2671" s="193"/>
      <c r="AD2671" s="193"/>
      <c r="AE2671" s="193"/>
      <c r="AF2671" s="193"/>
    </row>
    <row r="2672" spans="21:32" x14ac:dyDescent="0.3">
      <c r="U2672" s="193"/>
      <c r="V2672" s="193"/>
      <c r="W2672" s="193"/>
      <c r="X2672" s="193"/>
      <c r="Y2672" s="193"/>
      <c r="Z2672" s="193"/>
      <c r="AC2672" s="193"/>
      <c r="AD2672" s="193"/>
      <c r="AE2672" s="193"/>
      <c r="AF2672" s="193"/>
    </row>
    <row r="2673" spans="21:32" x14ac:dyDescent="0.3">
      <c r="U2673" s="193"/>
      <c r="V2673" s="193"/>
      <c r="W2673" s="193"/>
      <c r="X2673" s="193"/>
      <c r="Y2673" s="193"/>
      <c r="Z2673" s="193"/>
      <c r="AC2673" s="193"/>
      <c r="AD2673" s="193"/>
      <c r="AE2673" s="193"/>
      <c r="AF2673" s="193"/>
    </row>
    <row r="2674" spans="21:32" x14ac:dyDescent="0.3">
      <c r="U2674" s="193"/>
      <c r="V2674" s="193"/>
      <c r="W2674" s="193"/>
      <c r="X2674" s="193"/>
      <c r="Y2674" s="193"/>
      <c r="Z2674" s="193"/>
      <c r="AC2674" s="193"/>
      <c r="AD2674" s="193"/>
      <c r="AE2674" s="193"/>
      <c r="AF2674" s="193"/>
    </row>
    <row r="2675" spans="21:32" x14ac:dyDescent="0.3">
      <c r="U2675" s="193"/>
      <c r="V2675" s="193"/>
      <c r="W2675" s="193"/>
      <c r="X2675" s="193"/>
      <c r="Y2675" s="193"/>
      <c r="Z2675" s="193"/>
      <c r="AC2675" s="193"/>
      <c r="AD2675" s="193"/>
      <c r="AE2675" s="193"/>
      <c r="AF2675" s="193"/>
    </row>
    <row r="2676" spans="21:32" x14ac:dyDescent="0.3">
      <c r="U2676" s="193"/>
      <c r="V2676" s="193"/>
      <c r="W2676" s="193"/>
      <c r="X2676" s="193"/>
      <c r="Y2676" s="193"/>
      <c r="Z2676" s="193"/>
      <c r="AC2676" s="193"/>
      <c r="AD2676" s="193"/>
      <c r="AE2676" s="193"/>
      <c r="AF2676" s="193"/>
    </row>
    <row r="2677" spans="21:32" x14ac:dyDescent="0.3">
      <c r="U2677" s="193"/>
      <c r="V2677" s="193"/>
      <c r="W2677" s="193"/>
      <c r="X2677" s="193"/>
      <c r="Y2677" s="193"/>
      <c r="Z2677" s="193"/>
      <c r="AC2677" s="193"/>
      <c r="AD2677" s="193"/>
      <c r="AE2677" s="193"/>
      <c r="AF2677" s="193"/>
    </row>
    <row r="2678" spans="21:32" x14ac:dyDescent="0.3">
      <c r="U2678" s="193"/>
      <c r="V2678" s="193"/>
      <c r="W2678" s="193"/>
      <c r="X2678" s="193"/>
      <c r="Y2678" s="193"/>
      <c r="Z2678" s="193"/>
      <c r="AC2678" s="193"/>
      <c r="AD2678" s="193"/>
      <c r="AE2678" s="193"/>
      <c r="AF2678" s="193"/>
    </row>
    <row r="2679" spans="21:32" x14ac:dyDescent="0.3">
      <c r="U2679" s="193"/>
      <c r="V2679" s="193"/>
      <c r="W2679" s="193"/>
      <c r="X2679" s="193"/>
      <c r="Y2679" s="193"/>
      <c r="Z2679" s="193"/>
      <c r="AC2679" s="193"/>
      <c r="AD2679" s="193"/>
      <c r="AE2679" s="193"/>
      <c r="AF2679" s="193"/>
    </row>
    <row r="2680" spans="21:32" x14ac:dyDescent="0.3">
      <c r="U2680" s="193"/>
      <c r="V2680" s="193"/>
      <c r="W2680" s="193"/>
      <c r="X2680" s="193"/>
      <c r="Y2680" s="193"/>
      <c r="Z2680" s="193"/>
      <c r="AC2680" s="193"/>
      <c r="AD2680" s="193"/>
      <c r="AE2680" s="193"/>
      <c r="AF2680" s="193"/>
    </row>
    <row r="2681" spans="21:32" x14ac:dyDescent="0.3">
      <c r="U2681" s="193"/>
      <c r="V2681" s="193"/>
      <c r="W2681" s="193"/>
      <c r="X2681" s="193"/>
      <c r="Y2681" s="193"/>
      <c r="Z2681" s="193"/>
      <c r="AC2681" s="193"/>
      <c r="AD2681" s="193"/>
      <c r="AE2681" s="193"/>
      <c r="AF2681" s="193"/>
    </row>
    <row r="2682" spans="21:32" x14ac:dyDescent="0.3">
      <c r="U2682" s="193"/>
      <c r="V2682" s="193"/>
      <c r="W2682" s="193"/>
      <c r="X2682" s="193"/>
      <c r="Y2682" s="193"/>
      <c r="Z2682" s="193"/>
      <c r="AC2682" s="193"/>
      <c r="AD2682" s="193"/>
      <c r="AE2682" s="193"/>
      <c r="AF2682" s="193"/>
    </row>
    <row r="2683" spans="21:32" x14ac:dyDescent="0.3">
      <c r="U2683" s="193"/>
      <c r="V2683" s="193"/>
      <c r="W2683" s="193"/>
      <c r="X2683" s="193"/>
      <c r="Y2683" s="193"/>
      <c r="Z2683" s="193"/>
      <c r="AC2683" s="193"/>
      <c r="AD2683" s="193"/>
      <c r="AE2683" s="193"/>
      <c r="AF2683" s="193"/>
    </row>
    <row r="2684" spans="21:32" x14ac:dyDescent="0.3">
      <c r="U2684" s="193"/>
      <c r="V2684" s="193"/>
      <c r="W2684" s="193"/>
      <c r="X2684" s="193"/>
      <c r="Y2684" s="193"/>
      <c r="Z2684" s="193"/>
      <c r="AC2684" s="193"/>
      <c r="AD2684" s="193"/>
      <c r="AE2684" s="193"/>
      <c r="AF2684" s="193"/>
    </row>
    <row r="2685" spans="21:32" x14ac:dyDescent="0.3">
      <c r="U2685" s="193"/>
      <c r="V2685" s="193"/>
      <c r="W2685" s="193"/>
      <c r="X2685" s="193"/>
      <c r="Y2685" s="193"/>
      <c r="Z2685" s="193"/>
      <c r="AC2685" s="193"/>
      <c r="AD2685" s="193"/>
      <c r="AE2685" s="193"/>
      <c r="AF2685" s="193"/>
    </row>
    <row r="2686" spans="21:32" x14ac:dyDescent="0.3">
      <c r="U2686" s="193"/>
      <c r="V2686" s="193"/>
      <c r="W2686" s="193"/>
      <c r="X2686" s="193"/>
      <c r="Y2686" s="193"/>
      <c r="Z2686" s="193"/>
      <c r="AC2686" s="193"/>
      <c r="AD2686" s="193"/>
      <c r="AE2686" s="193"/>
      <c r="AF2686" s="193"/>
    </row>
    <row r="2687" spans="21:32" x14ac:dyDescent="0.3">
      <c r="U2687" s="193"/>
      <c r="V2687" s="193"/>
      <c r="W2687" s="193"/>
      <c r="X2687" s="193"/>
      <c r="Y2687" s="193"/>
      <c r="Z2687" s="193"/>
      <c r="AC2687" s="193"/>
      <c r="AD2687" s="193"/>
      <c r="AE2687" s="193"/>
      <c r="AF2687" s="193"/>
    </row>
    <row r="2688" spans="21:32" x14ac:dyDescent="0.3">
      <c r="U2688" s="193"/>
      <c r="V2688" s="193"/>
      <c r="W2688" s="193"/>
      <c r="X2688" s="193"/>
      <c r="Y2688" s="193"/>
      <c r="Z2688" s="193"/>
      <c r="AC2688" s="193"/>
      <c r="AD2688" s="193"/>
      <c r="AE2688" s="193"/>
      <c r="AF2688" s="193"/>
    </row>
    <row r="2689" spans="21:32" x14ac:dyDescent="0.3">
      <c r="U2689" s="193"/>
      <c r="V2689" s="193"/>
      <c r="W2689" s="193"/>
      <c r="X2689" s="193"/>
      <c r="Y2689" s="193"/>
      <c r="Z2689" s="193"/>
      <c r="AC2689" s="193"/>
      <c r="AD2689" s="193"/>
      <c r="AE2689" s="193"/>
      <c r="AF2689" s="193"/>
    </row>
    <row r="2690" spans="21:32" x14ac:dyDescent="0.3">
      <c r="U2690" s="193"/>
      <c r="V2690" s="193"/>
      <c r="W2690" s="193"/>
      <c r="X2690" s="193"/>
      <c r="Y2690" s="193"/>
      <c r="Z2690" s="193"/>
      <c r="AC2690" s="193"/>
      <c r="AD2690" s="193"/>
      <c r="AE2690" s="193"/>
      <c r="AF2690" s="193"/>
    </row>
    <row r="2691" spans="21:32" x14ac:dyDescent="0.3">
      <c r="U2691" s="193"/>
      <c r="V2691" s="193"/>
      <c r="W2691" s="193"/>
      <c r="X2691" s="193"/>
      <c r="Y2691" s="193"/>
      <c r="Z2691" s="193"/>
      <c r="AC2691" s="193"/>
      <c r="AD2691" s="193"/>
      <c r="AE2691" s="193"/>
      <c r="AF2691" s="193"/>
    </row>
    <row r="2692" spans="21:32" x14ac:dyDescent="0.3">
      <c r="U2692" s="193"/>
      <c r="V2692" s="193"/>
      <c r="W2692" s="193"/>
      <c r="X2692" s="193"/>
      <c r="Y2692" s="193"/>
      <c r="Z2692" s="193"/>
      <c r="AC2692" s="193"/>
      <c r="AD2692" s="193"/>
      <c r="AE2692" s="193"/>
      <c r="AF2692" s="193"/>
    </row>
    <row r="2693" spans="21:32" x14ac:dyDescent="0.3">
      <c r="U2693" s="193"/>
      <c r="V2693" s="193"/>
      <c r="W2693" s="193"/>
      <c r="X2693" s="193"/>
      <c r="Y2693" s="193"/>
      <c r="Z2693" s="193"/>
      <c r="AC2693" s="193"/>
      <c r="AD2693" s="193"/>
      <c r="AE2693" s="193"/>
      <c r="AF2693" s="193"/>
    </row>
    <row r="2694" spans="21:32" x14ac:dyDescent="0.3">
      <c r="U2694" s="193"/>
      <c r="V2694" s="193"/>
      <c r="W2694" s="193"/>
      <c r="X2694" s="193"/>
      <c r="Y2694" s="193"/>
      <c r="Z2694" s="193"/>
      <c r="AC2694" s="193"/>
      <c r="AD2694" s="193"/>
      <c r="AE2694" s="193"/>
      <c r="AF2694" s="193"/>
    </row>
    <row r="2695" spans="21:32" x14ac:dyDescent="0.3">
      <c r="U2695" s="193"/>
      <c r="V2695" s="193"/>
      <c r="W2695" s="193"/>
      <c r="X2695" s="193"/>
      <c r="Y2695" s="193"/>
      <c r="Z2695" s="193"/>
      <c r="AC2695" s="193"/>
      <c r="AD2695" s="193"/>
      <c r="AE2695" s="193"/>
      <c r="AF2695" s="193"/>
    </row>
    <row r="2696" spans="21:32" x14ac:dyDescent="0.3">
      <c r="U2696" s="193"/>
      <c r="V2696" s="193"/>
      <c r="W2696" s="193"/>
      <c r="X2696" s="193"/>
      <c r="Y2696" s="193"/>
      <c r="Z2696" s="193"/>
      <c r="AC2696" s="193"/>
      <c r="AD2696" s="193"/>
      <c r="AE2696" s="193"/>
      <c r="AF2696" s="193"/>
    </row>
    <row r="2697" spans="21:32" x14ac:dyDescent="0.3">
      <c r="U2697" s="193"/>
      <c r="V2697" s="193"/>
      <c r="W2697" s="193"/>
      <c r="X2697" s="193"/>
      <c r="Y2697" s="193"/>
      <c r="Z2697" s="193"/>
      <c r="AC2697" s="193"/>
      <c r="AD2697" s="193"/>
      <c r="AE2697" s="193"/>
      <c r="AF2697" s="193"/>
    </row>
    <row r="2698" spans="21:32" x14ac:dyDescent="0.3">
      <c r="U2698" s="193"/>
      <c r="V2698" s="193"/>
      <c r="W2698" s="193"/>
      <c r="X2698" s="193"/>
      <c r="Y2698" s="193"/>
      <c r="Z2698" s="193"/>
      <c r="AC2698" s="193"/>
      <c r="AD2698" s="193"/>
      <c r="AE2698" s="193"/>
      <c r="AF2698" s="193"/>
    </row>
    <row r="2699" spans="21:32" x14ac:dyDescent="0.3">
      <c r="U2699" s="193"/>
      <c r="V2699" s="193"/>
      <c r="W2699" s="193"/>
      <c r="X2699" s="193"/>
      <c r="Y2699" s="193"/>
      <c r="Z2699" s="193"/>
      <c r="AC2699" s="193"/>
      <c r="AD2699" s="193"/>
      <c r="AE2699" s="193"/>
      <c r="AF2699" s="193"/>
    </row>
    <row r="2700" spans="21:32" x14ac:dyDescent="0.3">
      <c r="U2700" s="193"/>
      <c r="V2700" s="193"/>
      <c r="W2700" s="193"/>
      <c r="X2700" s="193"/>
      <c r="Y2700" s="193"/>
      <c r="Z2700" s="193"/>
      <c r="AC2700" s="193"/>
      <c r="AD2700" s="193"/>
      <c r="AE2700" s="193"/>
      <c r="AF2700" s="193"/>
    </row>
    <row r="2701" spans="21:32" x14ac:dyDescent="0.3">
      <c r="U2701" s="193"/>
      <c r="V2701" s="193"/>
      <c r="W2701" s="193"/>
      <c r="X2701" s="193"/>
      <c r="Y2701" s="193"/>
      <c r="Z2701" s="193"/>
      <c r="AC2701" s="193"/>
      <c r="AD2701" s="193"/>
      <c r="AE2701" s="193"/>
      <c r="AF2701" s="193"/>
    </row>
    <row r="2702" spans="21:32" x14ac:dyDescent="0.3">
      <c r="U2702" s="193"/>
      <c r="V2702" s="193"/>
      <c r="W2702" s="193"/>
      <c r="X2702" s="193"/>
      <c r="Y2702" s="193"/>
      <c r="Z2702" s="193"/>
      <c r="AC2702" s="193"/>
      <c r="AD2702" s="193"/>
      <c r="AE2702" s="193"/>
      <c r="AF2702" s="193"/>
    </row>
    <row r="2703" spans="21:32" x14ac:dyDescent="0.3">
      <c r="U2703" s="193"/>
      <c r="V2703" s="193"/>
      <c r="W2703" s="193"/>
      <c r="X2703" s="193"/>
      <c r="Y2703" s="193"/>
      <c r="Z2703" s="193"/>
      <c r="AC2703" s="193"/>
      <c r="AD2703" s="193"/>
      <c r="AE2703" s="193"/>
      <c r="AF2703" s="193"/>
    </row>
    <row r="2704" spans="21:32" x14ac:dyDescent="0.3">
      <c r="U2704" s="193"/>
      <c r="V2704" s="193"/>
      <c r="W2704" s="193"/>
      <c r="X2704" s="193"/>
      <c r="Y2704" s="193"/>
      <c r="Z2704" s="193"/>
      <c r="AC2704" s="193"/>
      <c r="AD2704" s="193"/>
      <c r="AE2704" s="193"/>
      <c r="AF2704" s="193"/>
    </row>
    <row r="2705" spans="21:32" x14ac:dyDescent="0.3">
      <c r="U2705" s="193"/>
      <c r="V2705" s="193"/>
      <c r="W2705" s="193"/>
      <c r="X2705" s="193"/>
      <c r="Y2705" s="193"/>
      <c r="Z2705" s="193"/>
      <c r="AC2705" s="193"/>
      <c r="AD2705" s="193"/>
      <c r="AE2705" s="193"/>
      <c r="AF2705" s="193"/>
    </row>
    <row r="2706" spans="21:32" x14ac:dyDescent="0.3">
      <c r="U2706" s="193"/>
      <c r="V2706" s="193"/>
      <c r="W2706" s="193"/>
      <c r="X2706" s="193"/>
      <c r="Y2706" s="193"/>
      <c r="Z2706" s="193"/>
      <c r="AC2706" s="193"/>
      <c r="AD2706" s="193"/>
      <c r="AE2706" s="193"/>
      <c r="AF2706" s="193"/>
    </row>
    <row r="2707" spans="21:32" x14ac:dyDescent="0.3">
      <c r="U2707" s="193"/>
      <c r="V2707" s="193"/>
      <c r="W2707" s="193"/>
      <c r="X2707" s="193"/>
      <c r="Y2707" s="193"/>
      <c r="Z2707" s="193"/>
      <c r="AC2707" s="193"/>
      <c r="AD2707" s="193"/>
      <c r="AE2707" s="193"/>
      <c r="AF2707" s="193"/>
    </row>
    <row r="2708" spans="21:32" x14ac:dyDescent="0.3">
      <c r="U2708" s="193"/>
      <c r="V2708" s="193"/>
      <c r="W2708" s="193"/>
      <c r="X2708" s="193"/>
      <c r="Y2708" s="193"/>
      <c r="Z2708" s="193"/>
      <c r="AC2708" s="193"/>
      <c r="AD2708" s="193"/>
      <c r="AE2708" s="193"/>
      <c r="AF2708" s="193"/>
    </row>
    <row r="2709" spans="21:32" x14ac:dyDescent="0.3">
      <c r="U2709" s="193"/>
      <c r="V2709" s="193"/>
      <c r="W2709" s="193"/>
      <c r="X2709" s="193"/>
      <c r="Y2709" s="193"/>
      <c r="Z2709" s="193"/>
      <c r="AC2709" s="193"/>
      <c r="AD2709" s="193"/>
      <c r="AE2709" s="193"/>
      <c r="AF2709" s="193"/>
    </row>
    <row r="2710" spans="21:32" x14ac:dyDescent="0.3">
      <c r="U2710" s="193"/>
      <c r="V2710" s="193"/>
      <c r="W2710" s="193"/>
      <c r="X2710" s="193"/>
      <c r="Y2710" s="193"/>
      <c r="Z2710" s="193"/>
      <c r="AC2710" s="193"/>
      <c r="AD2710" s="193"/>
      <c r="AE2710" s="193"/>
      <c r="AF2710" s="193"/>
    </row>
    <row r="2711" spans="21:32" x14ac:dyDescent="0.3">
      <c r="U2711" s="193"/>
      <c r="V2711" s="193"/>
      <c r="W2711" s="193"/>
      <c r="X2711" s="193"/>
      <c r="Y2711" s="193"/>
      <c r="Z2711" s="193"/>
      <c r="AC2711" s="193"/>
      <c r="AD2711" s="193"/>
      <c r="AE2711" s="193"/>
      <c r="AF2711" s="193"/>
    </row>
    <row r="2712" spans="21:32" x14ac:dyDescent="0.3">
      <c r="U2712" s="193"/>
      <c r="V2712" s="193"/>
      <c r="W2712" s="193"/>
      <c r="X2712" s="193"/>
      <c r="Y2712" s="193"/>
      <c r="Z2712" s="193"/>
      <c r="AC2712" s="193"/>
      <c r="AD2712" s="193"/>
      <c r="AE2712" s="193"/>
      <c r="AF2712" s="193"/>
    </row>
    <row r="2713" spans="21:32" x14ac:dyDescent="0.3">
      <c r="U2713" s="193"/>
      <c r="V2713" s="193"/>
      <c r="W2713" s="193"/>
      <c r="X2713" s="193"/>
      <c r="Y2713" s="193"/>
      <c r="Z2713" s="193"/>
      <c r="AC2713" s="193"/>
      <c r="AD2713" s="193"/>
      <c r="AE2713" s="193"/>
      <c r="AF2713" s="193"/>
    </row>
    <row r="2714" spans="21:32" x14ac:dyDescent="0.3">
      <c r="U2714" s="193"/>
      <c r="V2714" s="193"/>
      <c r="W2714" s="193"/>
      <c r="X2714" s="193"/>
      <c r="Y2714" s="193"/>
      <c r="Z2714" s="193"/>
      <c r="AC2714" s="193"/>
      <c r="AD2714" s="193"/>
      <c r="AE2714" s="193"/>
      <c r="AF2714" s="193"/>
    </row>
    <row r="2715" spans="21:32" x14ac:dyDescent="0.3">
      <c r="U2715" s="193"/>
      <c r="V2715" s="193"/>
      <c r="W2715" s="193"/>
      <c r="X2715" s="193"/>
      <c r="Y2715" s="193"/>
      <c r="Z2715" s="193"/>
      <c r="AC2715" s="193"/>
      <c r="AD2715" s="193"/>
      <c r="AE2715" s="193"/>
      <c r="AF2715" s="193"/>
    </row>
    <row r="2716" spans="21:32" x14ac:dyDescent="0.3">
      <c r="U2716" s="193"/>
      <c r="V2716" s="193"/>
      <c r="W2716" s="193"/>
      <c r="X2716" s="193"/>
      <c r="Y2716" s="193"/>
      <c r="Z2716" s="193"/>
      <c r="AC2716" s="193"/>
      <c r="AD2716" s="193"/>
      <c r="AE2716" s="193"/>
      <c r="AF2716" s="193"/>
    </row>
    <row r="2717" spans="21:32" x14ac:dyDescent="0.3">
      <c r="U2717" s="193"/>
      <c r="V2717" s="193"/>
      <c r="W2717" s="193"/>
      <c r="X2717" s="193"/>
      <c r="Y2717" s="193"/>
      <c r="Z2717" s="193"/>
      <c r="AC2717" s="193"/>
      <c r="AD2717" s="193"/>
      <c r="AE2717" s="193"/>
      <c r="AF2717" s="193"/>
    </row>
    <row r="2718" spans="21:32" x14ac:dyDescent="0.3">
      <c r="U2718" s="193"/>
      <c r="V2718" s="193"/>
      <c r="W2718" s="193"/>
      <c r="X2718" s="193"/>
      <c r="Y2718" s="193"/>
      <c r="Z2718" s="193"/>
      <c r="AC2718" s="193"/>
      <c r="AD2718" s="193"/>
      <c r="AE2718" s="193"/>
      <c r="AF2718" s="193"/>
    </row>
    <row r="2719" spans="21:32" x14ac:dyDescent="0.3">
      <c r="U2719" s="193"/>
      <c r="V2719" s="193"/>
      <c r="W2719" s="193"/>
      <c r="X2719" s="193"/>
      <c r="Y2719" s="193"/>
      <c r="Z2719" s="193"/>
      <c r="AC2719" s="193"/>
      <c r="AD2719" s="193"/>
      <c r="AE2719" s="193"/>
      <c r="AF2719" s="193"/>
    </row>
    <row r="2720" spans="21:32" x14ac:dyDescent="0.3">
      <c r="U2720" s="193"/>
      <c r="V2720" s="193"/>
      <c r="W2720" s="193"/>
      <c r="X2720" s="193"/>
      <c r="Y2720" s="193"/>
      <c r="Z2720" s="193"/>
      <c r="AC2720" s="193"/>
      <c r="AD2720" s="193"/>
      <c r="AE2720" s="193"/>
      <c r="AF2720" s="193"/>
    </row>
    <row r="2721" spans="21:32" x14ac:dyDescent="0.3">
      <c r="U2721" s="193"/>
      <c r="V2721" s="193"/>
      <c r="W2721" s="193"/>
      <c r="X2721" s="193"/>
      <c r="Y2721" s="193"/>
      <c r="Z2721" s="193"/>
      <c r="AC2721" s="193"/>
      <c r="AD2721" s="193"/>
      <c r="AE2721" s="193"/>
      <c r="AF2721" s="193"/>
    </row>
    <row r="2722" spans="21:32" x14ac:dyDescent="0.3">
      <c r="U2722" s="193"/>
      <c r="V2722" s="193"/>
      <c r="W2722" s="193"/>
      <c r="X2722" s="193"/>
      <c r="Y2722" s="193"/>
      <c r="Z2722" s="193"/>
      <c r="AC2722" s="193"/>
      <c r="AD2722" s="193"/>
      <c r="AE2722" s="193"/>
      <c r="AF2722" s="193"/>
    </row>
    <row r="2723" spans="21:32" x14ac:dyDescent="0.3">
      <c r="U2723" s="193"/>
      <c r="V2723" s="193"/>
      <c r="W2723" s="193"/>
      <c r="X2723" s="193"/>
      <c r="Y2723" s="193"/>
      <c r="Z2723" s="193"/>
      <c r="AC2723" s="193"/>
      <c r="AD2723" s="193"/>
      <c r="AE2723" s="193"/>
      <c r="AF2723" s="193"/>
    </row>
    <row r="2724" spans="21:32" x14ac:dyDescent="0.3">
      <c r="U2724" s="193"/>
      <c r="V2724" s="193"/>
      <c r="W2724" s="193"/>
      <c r="X2724" s="193"/>
      <c r="Y2724" s="193"/>
      <c r="Z2724" s="193"/>
      <c r="AC2724" s="193"/>
      <c r="AD2724" s="193"/>
      <c r="AE2724" s="193"/>
      <c r="AF2724" s="193"/>
    </row>
    <row r="2725" spans="21:32" x14ac:dyDescent="0.3">
      <c r="U2725" s="193"/>
      <c r="V2725" s="193"/>
      <c r="W2725" s="193"/>
      <c r="X2725" s="193"/>
      <c r="Y2725" s="193"/>
      <c r="Z2725" s="193"/>
      <c r="AC2725" s="193"/>
      <c r="AD2725" s="193"/>
      <c r="AE2725" s="193"/>
      <c r="AF2725" s="193"/>
    </row>
    <row r="2726" spans="21:32" x14ac:dyDescent="0.3">
      <c r="U2726" s="193"/>
      <c r="V2726" s="193"/>
      <c r="W2726" s="193"/>
      <c r="X2726" s="193"/>
      <c r="Y2726" s="193"/>
      <c r="Z2726" s="193"/>
      <c r="AC2726" s="193"/>
      <c r="AD2726" s="193"/>
      <c r="AE2726" s="193"/>
      <c r="AF2726" s="193"/>
    </row>
    <row r="2727" spans="21:32" x14ac:dyDescent="0.3">
      <c r="U2727" s="193"/>
      <c r="V2727" s="193"/>
      <c r="W2727" s="193"/>
      <c r="X2727" s="193"/>
      <c r="Y2727" s="193"/>
      <c r="Z2727" s="193"/>
      <c r="AC2727" s="193"/>
      <c r="AD2727" s="193"/>
      <c r="AE2727" s="193"/>
      <c r="AF2727" s="193"/>
    </row>
    <row r="2728" spans="21:32" x14ac:dyDescent="0.3">
      <c r="U2728" s="193"/>
      <c r="V2728" s="193"/>
      <c r="W2728" s="193"/>
      <c r="X2728" s="193"/>
      <c r="Y2728" s="193"/>
      <c r="Z2728" s="193"/>
      <c r="AC2728" s="193"/>
      <c r="AD2728" s="193"/>
      <c r="AE2728" s="193"/>
      <c r="AF2728" s="193"/>
    </row>
    <row r="2729" spans="21:32" x14ac:dyDescent="0.3">
      <c r="U2729" s="193"/>
      <c r="V2729" s="193"/>
      <c r="W2729" s="193"/>
      <c r="X2729" s="193"/>
      <c r="Y2729" s="193"/>
      <c r="Z2729" s="193"/>
      <c r="AC2729" s="193"/>
      <c r="AD2729" s="193"/>
      <c r="AE2729" s="193"/>
      <c r="AF2729" s="193"/>
    </row>
    <row r="2730" spans="21:32" x14ac:dyDescent="0.3">
      <c r="U2730" s="193"/>
      <c r="V2730" s="193"/>
      <c r="W2730" s="193"/>
      <c r="X2730" s="193"/>
      <c r="Y2730" s="193"/>
      <c r="Z2730" s="193"/>
      <c r="AC2730" s="193"/>
      <c r="AD2730" s="193"/>
      <c r="AE2730" s="193"/>
      <c r="AF2730" s="193"/>
    </row>
    <row r="2731" spans="21:32" x14ac:dyDescent="0.3">
      <c r="U2731" s="193"/>
      <c r="V2731" s="193"/>
      <c r="W2731" s="193"/>
      <c r="X2731" s="193"/>
      <c r="Y2731" s="193"/>
      <c r="Z2731" s="193"/>
      <c r="AC2731" s="193"/>
      <c r="AD2731" s="193"/>
      <c r="AE2731" s="193"/>
      <c r="AF2731" s="193"/>
    </row>
    <row r="2732" spans="21:32" x14ac:dyDescent="0.3">
      <c r="U2732" s="193"/>
      <c r="V2732" s="193"/>
      <c r="W2732" s="193"/>
      <c r="X2732" s="193"/>
      <c r="Y2732" s="193"/>
      <c r="Z2732" s="193"/>
      <c r="AC2732" s="193"/>
      <c r="AD2732" s="193"/>
      <c r="AE2732" s="193"/>
      <c r="AF2732" s="193"/>
    </row>
    <row r="2733" spans="21:32" x14ac:dyDescent="0.3">
      <c r="U2733" s="193"/>
      <c r="V2733" s="193"/>
      <c r="W2733" s="193"/>
      <c r="X2733" s="193"/>
      <c r="Y2733" s="193"/>
      <c r="Z2733" s="193"/>
      <c r="AC2733" s="193"/>
      <c r="AD2733" s="193"/>
      <c r="AE2733" s="193"/>
      <c r="AF2733" s="193"/>
    </row>
    <row r="2734" spans="21:32" x14ac:dyDescent="0.3">
      <c r="U2734" s="193"/>
      <c r="V2734" s="193"/>
      <c r="W2734" s="193"/>
      <c r="X2734" s="193"/>
      <c r="Y2734" s="193"/>
      <c r="Z2734" s="193"/>
      <c r="AC2734" s="193"/>
      <c r="AD2734" s="193"/>
      <c r="AE2734" s="193"/>
      <c r="AF2734" s="193"/>
    </row>
    <row r="2735" spans="21:32" x14ac:dyDescent="0.3">
      <c r="U2735" s="193"/>
      <c r="V2735" s="193"/>
      <c r="W2735" s="193"/>
      <c r="X2735" s="193"/>
      <c r="Y2735" s="193"/>
      <c r="Z2735" s="193"/>
      <c r="AC2735" s="193"/>
      <c r="AD2735" s="193"/>
      <c r="AE2735" s="193"/>
      <c r="AF2735" s="193"/>
    </row>
    <row r="2736" spans="21:32" x14ac:dyDescent="0.3">
      <c r="U2736" s="193"/>
      <c r="V2736" s="193"/>
      <c r="W2736" s="193"/>
      <c r="X2736" s="193"/>
      <c r="Y2736" s="193"/>
      <c r="Z2736" s="193"/>
      <c r="AC2736" s="193"/>
      <c r="AD2736" s="193"/>
      <c r="AE2736" s="193"/>
      <c r="AF2736" s="193"/>
    </row>
    <row r="2737" spans="21:32" x14ac:dyDescent="0.3">
      <c r="U2737" s="193"/>
      <c r="V2737" s="193"/>
      <c r="W2737" s="193"/>
      <c r="X2737" s="193"/>
      <c r="Y2737" s="193"/>
      <c r="Z2737" s="193"/>
      <c r="AC2737" s="193"/>
      <c r="AD2737" s="193"/>
      <c r="AE2737" s="193"/>
      <c r="AF2737" s="193"/>
    </row>
    <row r="2738" spans="21:32" x14ac:dyDescent="0.3">
      <c r="U2738" s="193"/>
      <c r="V2738" s="193"/>
      <c r="W2738" s="193"/>
      <c r="X2738" s="193"/>
      <c r="Y2738" s="193"/>
      <c r="Z2738" s="193"/>
      <c r="AC2738" s="193"/>
      <c r="AD2738" s="193"/>
      <c r="AE2738" s="193"/>
      <c r="AF2738" s="193"/>
    </row>
    <row r="2739" spans="21:32" x14ac:dyDescent="0.3">
      <c r="U2739" s="193"/>
      <c r="V2739" s="193"/>
      <c r="W2739" s="193"/>
      <c r="X2739" s="193"/>
      <c r="Y2739" s="193"/>
      <c r="Z2739" s="193"/>
      <c r="AC2739" s="193"/>
      <c r="AD2739" s="193"/>
      <c r="AE2739" s="193"/>
      <c r="AF2739" s="193"/>
    </row>
    <row r="2740" spans="21:32" x14ac:dyDescent="0.3">
      <c r="U2740" s="193"/>
      <c r="V2740" s="193"/>
      <c r="W2740" s="193"/>
      <c r="X2740" s="193"/>
      <c r="Y2740" s="193"/>
      <c r="Z2740" s="193"/>
      <c r="AC2740" s="193"/>
      <c r="AD2740" s="193"/>
      <c r="AE2740" s="193"/>
      <c r="AF2740" s="193"/>
    </row>
    <row r="2741" spans="21:32" x14ac:dyDescent="0.3">
      <c r="U2741" s="193"/>
      <c r="V2741" s="193"/>
      <c r="W2741" s="193"/>
      <c r="X2741" s="193"/>
      <c r="Y2741" s="193"/>
      <c r="Z2741" s="193"/>
      <c r="AC2741" s="193"/>
      <c r="AD2741" s="193"/>
      <c r="AE2741" s="193"/>
      <c r="AF2741" s="193"/>
    </row>
    <row r="2742" spans="21:32" x14ac:dyDescent="0.3">
      <c r="U2742" s="193"/>
      <c r="V2742" s="193"/>
      <c r="W2742" s="193"/>
      <c r="X2742" s="193"/>
      <c r="Y2742" s="193"/>
      <c r="Z2742" s="193"/>
      <c r="AC2742" s="193"/>
      <c r="AD2742" s="193"/>
      <c r="AE2742" s="193"/>
      <c r="AF2742" s="193"/>
    </row>
    <row r="2743" spans="21:32" x14ac:dyDescent="0.3">
      <c r="U2743" s="193"/>
      <c r="V2743" s="193"/>
      <c r="W2743" s="193"/>
      <c r="X2743" s="193"/>
      <c r="Y2743" s="193"/>
      <c r="Z2743" s="193"/>
      <c r="AC2743" s="193"/>
      <c r="AD2743" s="193"/>
      <c r="AE2743" s="193"/>
      <c r="AF2743" s="193"/>
    </row>
    <row r="2744" spans="21:32" x14ac:dyDescent="0.3">
      <c r="U2744" s="193"/>
      <c r="V2744" s="193"/>
      <c r="W2744" s="193"/>
      <c r="X2744" s="193"/>
      <c r="Y2744" s="193"/>
      <c r="Z2744" s="193"/>
      <c r="AC2744" s="193"/>
      <c r="AD2744" s="193"/>
      <c r="AE2744" s="193"/>
      <c r="AF2744" s="193"/>
    </row>
    <row r="2745" spans="21:32" x14ac:dyDescent="0.3">
      <c r="U2745" s="193"/>
      <c r="V2745" s="193"/>
      <c r="W2745" s="193"/>
      <c r="X2745" s="193"/>
      <c r="Y2745" s="193"/>
      <c r="Z2745" s="193"/>
      <c r="AC2745" s="193"/>
      <c r="AD2745" s="193"/>
      <c r="AE2745" s="193"/>
      <c r="AF2745" s="193"/>
    </row>
    <row r="2746" spans="21:32" x14ac:dyDescent="0.3">
      <c r="U2746" s="193"/>
      <c r="V2746" s="193"/>
      <c r="W2746" s="193"/>
      <c r="X2746" s="193"/>
      <c r="Y2746" s="193"/>
      <c r="Z2746" s="193"/>
      <c r="AC2746" s="193"/>
      <c r="AD2746" s="193"/>
      <c r="AE2746" s="193"/>
      <c r="AF2746" s="193"/>
    </row>
    <row r="2747" spans="21:32" x14ac:dyDescent="0.3">
      <c r="U2747" s="193"/>
      <c r="V2747" s="193"/>
      <c r="W2747" s="193"/>
      <c r="X2747" s="193"/>
      <c r="Y2747" s="193"/>
      <c r="Z2747" s="193"/>
      <c r="AC2747" s="193"/>
      <c r="AD2747" s="193"/>
      <c r="AE2747" s="193"/>
      <c r="AF2747" s="193"/>
    </row>
    <row r="2748" spans="21:32" x14ac:dyDescent="0.3">
      <c r="U2748" s="193"/>
      <c r="V2748" s="193"/>
      <c r="W2748" s="193"/>
      <c r="X2748" s="193"/>
      <c r="Y2748" s="193"/>
      <c r="Z2748" s="193"/>
      <c r="AC2748" s="193"/>
      <c r="AD2748" s="193"/>
      <c r="AE2748" s="193"/>
      <c r="AF2748" s="193"/>
    </row>
    <row r="2749" spans="21:32" x14ac:dyDescent="0.3">
      <c r="U2749" s="193"/>
      <c r="V2749" s="193"/>
      <c r="W2749" s="193"/>
      <c r="X2749" s="193"/>
      <c r="Y2749" s="193"/>
      <c r="Z2749" s="193"/>
      <c r="AC2749" s="193"/>
      <c r="AD2749" s="193"/>
      <c r="AE2749" s="193"/>
      <c r="AF2749" s="193"/>
    </row>
    <row r="2750" spans="21:32" x14ac:dyDescent="0.3">
      <c r="U2750" s="193"/>
      <c r="V2750" s="193"/>
      <c r="W2750" s="193"/>
      <c r="X2750" s="193"/>
      <c r="Y2750" s="193"/>
      <c r="Z2750" s="193"/>
      <c r="AC2750" s="193"/>
      <c r="AD2750" s="193"/>
      <c r="AE2750" s="193"/>
      <c r="AF2750" s="193"/>
    </row>
    <row r="2751" spans="21:32" x14ac:dyDescent="0.3">
      <c r="U2751" s="193"/>
      <c r="V2751" s="193"/>
      <c r="W2751" s="193"/>
      <c r="X2751" s="193"/>
      <c r="Y2751" s="193"/>
      <c r="Z2751" s="193"/>
      <c r="AC2751" s="193"/>
      <c r="AD2751" s="193"/>
      <c r="AE2751" s="193"/>
      <c r="AF2751" s="193"/>
    </row>
    <row r="2752" spans="21:32" x14ac:dyDescent="0.3">
      <c r="U2752" s="193"/>
      <c r="V2752" s="193"/>
      <c r="W2752" s="193"/>
      <c r="X2752" s="193"/>
      <c r="Y2752" s="193"/>
      <c r="Z2752" s="193"/>
      <c r="AC2752" s="193"/>
      <c r="AD2752" s="193"/>
      <c r="AE2752" s="193"/>
      <c r="AF2752" s="193"/>
    </row>
    <row r="2753" spans="21:32" x14ac:dyDescent="0.3">
      <c r="U2753" s="193"/>
      <c r="V2753" s="193"/>
      <c r="W2753" s="193"/>
      <c r="X2753" s="193"/>
      <c r="Y2753" s="193"/>
      <c r="Z2753" s="193"/>
      <c r="AC2753" s="193"/>
      <c r="AD2753" s="193"/>
      <c r="AE2753" s="193"/>
      <c r="AF2753" s="193"/>
    </row>
    <row r="2754" spans="21:32" x14ac:dyDescent="0.3">
      <c r="U2754" s="193"/>
      <c r="V2754" s="193"/>
      <c r="W2754" s="193"/>
      <c r="X2754" s="193"/>
      <c r="Y2754" s="193"/>
      <c r="Z2754" s="193"/>
      <c r="AC2754" s="193"/>
      <c r="AD2754" s="193"/>
      <c r="AE2754" s="193"/>
      <c r="AF2754" s="193"/>
    </row>
    <row r="2755" spans="21:32" x14ac:dyDescent="0.3">
      <c r="U2755" s="193"/>
      <c r="V2755" s="193"/>
      <c r="W2755" s="193"/>
      <c r="X2755" s="193"/>
      <c r="Y2755" s="193"/>
      <c r="Z2755" s="193"/>
      <c r="AC2755" s="193"/>
      <c r="AD2755" s="193"/>
      <c r="AE2755" s="193"/>
      <c r="AF2755" s="193"/>
    </row>
    <row r="2756" spans="21:32" x14ac:dyDescent="0.3">
      <c r="U2756" s="193"/>
      <c r="V2756" s="193"/>
      <c r="W2756" s="193"/>
      <c r="X2756" s="193"/>
      <c r="Y2756" s="193"/>
      <c r="Z2756" s="193"/>
      <c r="AC2756" s="193"/>
      <c r="AD2756" s="193"/>
      <c r="AE2756" s="193"/>
      <c r="AF2756" s="193"/>
    </row>
    <row r="2757" spans="21:32" x14ac:dyDescent="0.3">
      <c r="U2757" s="193"/>
      <c r="V2757" s="193"/>
      <c r="W2757" s="193"/>
      <c r="X2757" s="193"/>
      <c r="Y2757" s="193"/>
      <c r="Z2757" s="193"/>
      <c r="AC2757" s="193"/>
      <c r="AD2757" s="193"/>
      <c r="AE2757" s="193"/>
      <c r="AF2757" s="193"/>
    </row>
    <row r="2758" spans="21:32" x14ac:dyDescent="0.3">
      <c r="U2758" s="193"/>
      <c r="V2758" s="193"/>
      <c r="W2758" s="193"/>
      <c r="X2758" s="193"/>
      <c r="Y2758" s="193"/>
      <c r="Z2758" s="193"/>
      <c r="AC2758" s="193"/>
      <c r="AD2758" s="193"/>
      <c r="AE2758" s="193"/>
      <c r="AF2758" s="193"/>
    </row>
    <row r="2759" spans="21:32" x14ac:dyDescent="0.3">
      <c r="U2759" s="193"/>
      <c r="V2759" s="193"/>
      <c r="W2759" s="193"/>
      <c r="X2759" s="193"/>
      <c r="Y2759" s="193"/>
      <c r="Z2759" s="193"/>
      <c r="AC2759" s="193"/>
      <c r="AD2759" s="193"/>
      <c r="AE2759" s="193"/>
      <c r="AF2759" s="193"/>
    </row>
    <row r="2760" spans="21:32" x14ac:dyDescent="0.3">
      <c r="U2760" s="193"/>
      <c r="V2760" s="193"/>
      <c r="W2760" s="193"/>
      <c r="X2760" s="193"/>
      <c r="Y2760" s="193"/>
      <c r="Z2760" s="193"/>
      <c r="AC2760" s="193"/>
      <c r="AD2760" s="193"/>
      <c r="AE2760" s="193"/>
      <c r="AF2760" s="193"/>
    </row>
    <row r="2761" spans="21:32" x14ac:dyDescent="0.3">
      <c r="U2761" s="193"/>
      <c r="V2761" s="193"/>
      <c r="W2761" s="193"/>
      <c r="X2761" s="193"/>
      <c r="Y2761" s="193"/>
      <c r="Z2761" s="193"/>
      <c r="AC2761" s="193"/>
      <c r="AD2761" s="193"/>
      <c r="AE2761" s="193"/>
      <c r="AF2761" s="193"/>
    </row>
    <row r="2762" spans="21:32" x14ac:dyDescent="0.3">
      <c r="U2762" s="193"/>
      <c r="V2762" s="193"/>
      <c r="W2762" s="193"/>
      <c r="X2762" s="193"/>
      <c r="Y2762" s="193"/>
      <c r="Z2762" s="193"/>
      <c r="AC2762" s="193"/>
      <c r="AD2762" s="193"/>
      <c r="AE2762" s="193"/>
      <c r="AF2762" s="193"/>
    </row>
    <row r="2763" spans="21:32" x14ac:dyDescent="0.3">
      <c r="U2763" s="193"/>
      <c r="V2763" s="193"/>
      <c r="W2763" s="193"/>
      <c r="X2763" s="193"/>
      <c r="Y2763" s="193"/>
      <c r="Z2763" s="193"/>
      <c r="AC2763" s="193"/>
      <c r="AD2763" s="193"/>
      <c r="AE2763" s="193"/>
      <c r="AF2763" s="193"/>
    </row>
    <row r="2764" spans="21:32" x14ac:dyDescent="0.3">
      <c r="U2764" s="193"/>
      <c r="V2764" s="193"/>
      <c r="W2764" s="193"/>
      <c r="X2764" s="193"/>
      <c r="Y2764" s="193"/>
      <c r="Z2764" s="193"/>
      <c r="AC2764" s="193"/>
      <c r="AD2764" s="193"/>
      <c r="AE2764" s="193"/>
      <c r="AF2764" s="193"/>
    </row>
    <row r="2765" spans="21:32" x14ac:dyDescent="0.3">
      <c r="U2765" s="193"/>
      <c r="V2765" s="193"/>
      <c r="W2765" s="193"/>
      <c r="X2765" s="193"/>
      <c r="Y2765" s="193"/>
      <c r="Z2765" s="193"/>
      <c r="AC2765" s="193"/>
      <c r="AD2765" s="193"/>
      <c r="AE2765" s="193"/>
      <c r="AF2765" s="193"/>
    </row>
    <row r="2766" spans="21:32" x14ac:dyDescent="0.3">
      <c r="U2766" s="193"/>
      <c r="V2766" s="193"/>
      <c r="W2766" s="193"/>
      <c r="X2766" s="193"/>
      <c r="Y2766" s="193"/>
      <c r="Z2766" s="193"/>
      <c r="AC2766" s="193"/>
      <c r="AD2766" s="193"/>
      <c r="AE2766" s="193"/>
      <c r="AF2766" s="193"/>
    </row>
    <row r="2767" spans="21:32" x14ac:dyDescent="0.3">
      <c r="U2767" s="193"/>
      <c r="V2767" s="193"/>
      <c r="W2767" s="193"/>
      <c r="X2767" s="193"/>
      <c r="Y2767" s="193"/>
      <c r="Z2767" s="193"/>
      <c r="AC2767" s="193"/>
      <c r="AD2767" s="193"/>
      <c r="AE2767" s="193"/>
      <c r="AF2767" s="193"/>
    </row>
    <row r="2768" spans="21:32" x14ac:dyDescent="0.3">
      <c r="U2768" s="193"/>
      <c r="V2768" s="193"/>
      <c r="W2768" s="193"/>
      <c r="X2768" s="193"/>
      <c r="Y2768" s="193"/>
      <c r="Z2768" s="193"/>
      <c r="AC2768" s="193"/>
      <c r="AD2768" s="193"/>
      <c r="AE2768" s="193"/>
      <c r="AF2768" s="193"/>
    </row>
    <row r="2769" spans="21:32" x14ac:dyDescent="0.3">
      <c r="U2769" s="193"/>
      <c r="V2769" s="193"/>
      <c r="W2769" s="193"/>
      <c r="X2769" s="193"/>
      <c r="Y2769" s="193"/>
      <c r="Z2769" s="193"/>
      <c r="AC2769" s="193"/>
      <c r="AD2769" s="193"/>
      <c r="AE2769" s="193"/>
      <c r="AF2769" s="193"/>
    </row>
    <row r="2770" spans="21:32" x14ac:dyDescent="0.3">
      <c r="U2770" s="193"/>
      <c r="V2770" s="193"/>
      <c r="W2770" s="193"/>
      <c r="X2770" s="193"/>
      <c r="Y2770" s="193"/>
      <c r="Z2770" s="193"/>
      <c r="AC2770" s="193"/>
      <c r="AD2770" s="193"/>
      <c r="AE2770" s="193"/>
      <c r="AF2770" s="193"/>
    </row>
    <row r="2771" spans="21:32" x14ac:dyDescent="0.3">
      <c r="U2771" s="193"/>
      <c r="V2771" s="193"/>
      <c r="W2771" s="193"/>
      <c r="X2771" s="193"/>
      <c r="Y2771" s="193"/>
      <c r="Z2771" s="193"/>
      <c r="AC2771" s="193"/>
      <c r="AD2771" s="193"/>
      <c r="AE2771" s="193"/>
      <c r="AF2771" s="193"/>
    </row>
    <row r="2772" spans="21:32" x14ac:dyDescent="0.3">
      <c r="U2772" s="193"/>
      <c r="V2772" s="193"/>
      <c r="W2772" s="193"/>
      <c r="X2772" s="193"/>
      <c r="Y2772" s="193"/>
      <c r="Z2772" s="193"/>
      <c r="AC2772" s="193"/>
      <c r="AD2772" s="193"/>
      <c r="AE2772" s="193"/>
      <c r="AF2772" s="193"/>
    </row>
    <row r="2773" spans="21:32" x14ac:dyDescent="0.3">
      <c r="U2773" s="193"/>
      <c r="V2773" s="193"/>
      <c r="W2773" s="193"/>
      <c r="X2773" s="193"/>
      <c r="Y2773" s="193"/>
      <c r="Z2773" s="193"/>
      <c r="AC2773" s="193"/>
      <c r="AD2773" s="193"/>
      <c r="AE2773" s="193"/>
      <c r="AF2773" s="193"/>
    </row>
    <row r="2774" spans="21:32" x14ac:dyDescent="0.3">
      <c r="U2774" s="193"/>
      <c r="V2774" s="193"/>
      <c r="W2774" s="193"/>
      <c r="X2774" s="193"/>
      <c r="Y2774" s="193"/>
      <c r="Z2774" s="193"/>
      <c r="AC2774" s="193"/>
      <c r="AD2774" s="193"/>
      <c r="AE2774" s="193"/>
      <c r="AF2774" s="193"/>
    </row>
    <row r="2775" spans="21:32" x14ac:dyDescent="0.3">
      <c r="U2775" s="193"/>
      <c r="V2775" s="193"/>
      <c r="W2775" s="193"/>
      <c r="X2775" s="193"/>
      <c r="Y2775" s="193"/>
      <c r="Z2775" s="193"/>
      <c r="AC2775" s="193"/>
      <c r="AD2775" s="193"/>
      <c r="AE2775" s="193"/>
      <c r="AF2775" s="193"/>
    </row>
    <row r="2776" spans="21:32" x14ac:dyDescent="0.3">
      <c r="U2776" s="193"/>
      <c r="V2776" s="193"/>
      <c r="W2776" s="193"/>
      <c r="X2776" s="193"/>
      <c r="Y2776" s="193"/>
      <c r="Z2776" s="193"/>
      <c r="AC2776" s="193"/>
      <c r="AD2776" s="193"/>
      <c r="AE2776" s="193"/>
      <c r="AF2776" s="193"/>
    </row>
    <row r="2777" spans="21:32" x14ac:dyDescent="0.3">
      <c r="U2777" s="193"/>
      <c r="V2777" s="193"/>
      <c r="W2777" s="193"/>
      <c r="X2777" s="193"/>
      <c r="Y2777" s="193"/>
      <c r="Z2777" s="193"/>
      <c r="AC2777" s="193"/>
      <c r="AD2777" s="193"/>
      <c r="AE2777" s="193"/>
      <c r="AF2777" s="193"/>
    </row>
    <row r="2778" spans="21:32" x14ac:dyDescent="0.3">
      <c r="U2778" s="193"/>
      <c r="V2778" s="193"/>
      <c r="W2778" s="193"/>
      <c r="X2778" s="193"/>
      <c r="Y2778" s="193"/>
      <c r="Z2778" s="193"/>
      <c r="AC2778" s="193"/>
      <c r="AD2778" s="193"/>
      <c r="AE2778" s="193"/>
      <c r="AF2778" s="193"/>
    </row>
    <row r="2779" spans="21:32" x14ac:dyDescent="0.3">
      <c r="U2779" s="193"/>
      <c r="V2779" s="193"/>
      <c r="W2779" s="193"/>
      <c r="X2779" s="193"/>
      <c r="Y2779" s="193"/>
      <c r="Z2779" s="193"/>
      <c r="AC2779" s="193"/>
      <c r="AD2779" s="193"/>
      <c r="AE2779" s="193"/>
      <c r="AF2779" s="193"/>
    </row>
    <row r="2780" spans="21:32" x14ac:dyDescent="0.3">
      <c r="U2780" s="193"/>
      <c r="V2780" s="193"/>
      <c r="W2780" s="193"/>
      <c r="X2780" s="193"/>
      <c r="Y2780" s="193"/>
      <c r="Z2780" s="193"/>
      <c r="AC2780" s="193"/>
      <c r="AD2780" s="193"/>
      <c r="AE2780" s="193"/>
      <c r="AF2780" s="193"/>
    </row>
    <row r="2781" spans="21:32" x14ac:dyDescent="0.3">
      <c r="U2781" s="193"/>
      <c r="V2781" s="193"/>
      <c r="W2781" s="193"/>
      <c r="X2781" s="193"/>
      <c r="Y2781" s="193"/>
      <c r="Z2781" s="193"/>
      <c r="AC2781" s="193"/>
      <c r="AD2781" s="193"/>
      <c r="AE2781" s="193"/>
      <c r="AF2781" s="193"/>
    </row>
    <row r="2782" spans="21:32" x14ac:dyDescent="0.3">
      <c r="U2782" s="193"/>
      <c r="V2782" s="193"/>
      <c r="W2782" s="193"/>
      <c r="X2782" s="193"/>
      <c r="Y2782" s="193"/>
      <c r="Z2782" s="193"/>
      <c r="AC2782" s="193"/>
      <c r="AD2782" s="193"/>
      <c r="AE2782" s="193"/>
      <c r="AF2782" s="193"/>
    </row>
    <row r="2783" spans="21:32" x14ac:dyDescent="0.3">
      <c r="U2783" s="193"/>
      <c r="V2783" s="193"/>
      <c r="W2783" s="193"/>
      <c r="X2783" s="193"/>
      <c r="Y2783" s="193"/>
      <c r="Z2783" s="193"/>
      <c r="AC2783" s="193"/>
      <c r="AD2783" s="193"/>
      <c r="AE2783" s="193"/>
      <c r="AF2783" s="193"/>
    </row>
    <row r="2784" spans="21:32" x14ac:dyDescent="0.3">
      <c r="U2784" s="193"/>
      <c r="V2784" s="193"/>
      <c r="W2784" s="193"/>
      <c r="X2784" s="193"/>
      <c r="Y2784" s="193"/>
      <c r="Z2784" s="193"/>
      <c r="AC2784" s="193"/>
      <c r="AD2784" s="193"/>
      <c r="AE2784" s="193"/>
      <c r="AF2784" s="193"/>
    </row>
    <row r="2785" spans="21:32" x14ac:dyDescent="0.3">
      <c r="U2785" s="193"/>
      <c r="V2785" s="193"/>
      <c r="W2785" s="193"/>
      <c r="X2785" s="193"/>
      <c r="Y2785" s="193"/>
      <c r="Z2785" s="193"/>
      <c r="AC2785" s="193"/>
      <c r="AD2785" s="193"/>
      <c r="AE2785" s="193"/>
      <c r="AF2785" s="193"/>
    </row>
    <row r="2786" spans="21:32" x14ac:dyDescent="0.3">
      <c r="U2786" s="193"/>
      <c r="V2786" s="193"/>
      <c r="W2786" s="193"/>
      <c r="X2786" s="193"/>
      <c r="Y2786" s="193"/>
      <c r="Z2786" s="193"/>
      <c r="AC2786" s="193"/>
      <c r="AD2786" s="193"/>
      <c r="AE2786" s="193"/>
      <c r="AF2786" s="193"/>
    </row>
    <row r="2787" spans="21:32" x14ac:dyDescent="0.3">
      <c r="U2787" s="193"/>
      <c r="V2787" s="193"/>
      <c r="W2787" s="193"/>
      <c r="X2787" s="193"/>
      <c r="Y2787" s="193"/>
      <c r="Z2787" s="193"/>
      <c r="AC2787" s="193"/>
      <c r="AD2787" s="193"/>
      <c r="AE2787" s="193"/>
      <c r="AF2787" s="193"/>
    </row>
    <row r="2788" spans="21:32" x14ac:dyDescent="0.3">
      <c r="U2788" s="193"/>
      <c r="V2788" s="193"/>
      <c r="W2788" s="193"/>
      <c r="X2788" s="193"/>
      <c r="Y2788" s="193"/>
      <c r="Z2788" s="193"/>
      <c r="AC2788" s="193"/>
      <c r="AD2788" s="193"/>
      <c r="AE2788" s="193"/>
      <c r="AF2788" s="193"/>
    </row>
    <row r="2789" spans="21:32" x14ac:dyDescent="0.3">
      <c r="U2789" s="193"/>
      <c r="V2789" s="193"/>
      <c r="W2789" s="193"/>
      <c r="X2789" s="193"/>
      <c r="Y2789" s="193"/>
      <c r="Z2789" s="193"/>
      <c r="AC2789" s="193"/>
      <c r="AD2789" s="193"/>
      <c r="AE2789" s="193"/>
      <c r="AF2789" s="193"/>
    </row>
    <row r="2790" spans="21:32" x14ac:dyDescent="0.3">
      <c r="U2790" s="193"/>
      <c r="V2790" s="193"/>
      <c r="W2790" s="193"/>
      <c r="X2790" s="193"/>
      <c r="Y2790" s="193"/>
      <c r="Z2790" s="193"/>
      <c r="AC2790" s="193"/>
      <c r="AD2790" s="193"/>
      <c r="AE2790" s="193"/>
      <c r="AF2790" s="193"/>
    </row>
    <row r="2791" spans="21:32" x14ac:dyDescent="0.3">
      <c r="U2791" s="193"/>
      <c r="V2791" s="193"/>
      <c r="W2791" s="193"/>
      <c r="X2791" s="193"/>
      <c r="Y2791" s="193"/>
      <c r="Z2791" s="193"/>
      <c r="AC2791" s="193"/>
      <c r="AD2791" s="193"/>
      <c r="AE2791" s="193"/>
      <c r="AF2791" s="193"/>
    </row>
    <row r="2792" spans="21:32" x14ac:dyDescent="0.3">
      <c r="U2792" s="193"/>
      <c r="V2792" s="193"/>
      <c r="W2792" s="193"/>
      <c r="X2792" s="193"/>
      <c r="Y2792" s="193"/>
      <c r="Z2792" s="193"/>
      <c r="AC2792" s="193"/>
      <c r="AD2792" s="193"/>
      <c r="AE2792" s="193"/>
      <c r="AF2792" s="193"/>
    </row>
    <row r="2793" spans="21:32" x14ac:dyDescent="0.3">
      <c r="U2793" s="193"/>
      <c r="V2793" s="193"/>
      <c r="W2793" s="193"/>
      <c r="X2793" s="193"/>
      <c r="Y2793" s="193"/>
      <c r="Z2793" s="193"/>
      <c r="AC2793" s="193"/>
      <c r="AD2793" s="193"/>
      <c r="AE2793" s="193"/>
      <c r="AF2793" s="193"/>
    </row>
    <row r="2794" spans="21:32" x14ac:dyDescent="0.3">
      <c r="U2794" s="193"/>
      <c r="V2794" s="193"/>
      <c r="W2794" s="193"/>
      <c r="X2794" s="193"/>
      <c r="Y2794" s="193"/>
      <c r="Z2794" s="193"/>
      <c r="AC2794" s="193"/>
      <c r="AD2794" s="193"/>
      <c r="AE2794" s="193"/>
      <c r="AF2794" s="193"/>
    </row>
    <row r="2795" spans="21:32" x14ac:dyDescent="0.3">
      <c r="U2795" s="193"/>
      <c r="V2795" s="193"/>
      <c r="W2795" s="193"/>
      <c r="X2795" s="193"/>
      <c r="Y2795" s="193"/>
      <c r="Z2795" s="193"/>
      <c r="AC2795" s="193"/>
      <c r="AD2795" s="193"/>
      <c r="AE2795" s="193"/>
      <c r="AF2795" s="193"/>
    </row>
    <row r="2796" spans="21:32" x14ac:dyDescent="0.3">
      <c r="U2796" s="193"/>
      <c r="V2796" s="193"/>
      <c r="W2796" s="193"/>
      <c r="X2796" s="193"/>
      <c r="Y2796" s="193"/>
      <c r="Z2796" s="193"/>
      <c r="AC2796" s="193"/>
      <c r="AD2796" s="193"/>
      <c r="AE2796" s="193"/>
      <c r="AF2796" s="193"/>
    </row>
    <row r="2797" spans="21:32" x14ac:dyDescent="0.3">
      <c r="U2797" s="193"/>
      <c r="V2797" s="193"/>
      <c r="W2797" s="193"/>
      <c r="X2797" s="193"/>
      <c r="Y2797" s="193"/>
      <c r="Z2797" s="193"/>
      <c r="AC2797" s="193"/>
      <c r="AD2797" s="193"/>
      <c r="AE2797" s="193"/>
      <c r="AF2797" s="193"/>
    </row>
    <row r="2798" spans="21:32" x14ac:dyDescent="0.3">
      <c r="U2798" s="193"/>
      <c r="V2798" s="193"/>
      <c r="W2798" s="193"/>
      <c r="X2798" s="193"/>
      <c r="Y2798" s="193"/>
      <c r="Z2798" s="193"/>
      <c r="AC2798" s="193"/>
      <c r="AD2798" s="193"/>
      <c r="AE2798" s="193"/>
      <c r="AF2798" s="193"/>
    </row>
    <row r="2799" spans="21:32" x14ac:dyDescent="0.3">
      <c r="U2799" s="193"/>
      <c r="V2799" s="193"/>
      <c r="W2799" s="193"/>
      <c r="X2799" s="193"/>
      <c r="Y2799" s="193"/>
      <c r="Z2799" s="193"/>
      <c r="AC2799" s="193"/>
      <c r="AD2799" s="193"/>
      <c r="AE2799" s="193"/>
      <c r="AF2799" s="193"/>
    </row>
    <row r="2800" spans="21:32" x14ac:dyDescent="0.3">
      <c r="U2800" s="193"/>
      <c r="V2800" s="193"/>
      <c r="W2800" s="193"/>
      <c r="X2800" s="193"/>
      <c r="Y2800" s="193"/>
      <c r="Z2800" s="193"/>
      <c r="AC2800" s="193"/>
      <c r="AD2800" s="193"/>
      <c r="AE2800" s="193"/>
      <c r="AF2800" s="193"/>
    </row>
    <row r="2801" spans="21:32" x14ac:dyDescent="0.3">
      <c r="U2801" s="193"/>
      <c r="V2801" s="193"/>
      <c r="W2801" s="193"/>
      <c r="X2801" s="193"/>
      <c r="Y2801" s="193"/>
      <c r="Z2801" s="193"/>
      <c r="AC2801" s="193"/>
      <c r="AD2801" s="193"/>
      <c r="AE2801" s="193"/>
      <c r="AF2801" s="193"/>
    </row>
    <row r="2802" spans="21:32" x14ac:dyDescent="0.3">
      <c r="U2802" s="193"/>
      <c r="V2802" s="193"/>
      <c r="W2802" s="193"/>
      <c r="X2802" s="193"/>
      <c r="Y2802" s="193"/>
      <c r="Z2802" s="193"/>
      <c r="AC2802" s="193"/>
      <c r="AD2802" s="193"/>
      <c r="AE2802" s="193"/>
      <c r="AF2802" s="193"/>
    </row>
    <row r="2803" spans="21:32" x14ac:dyDescent="0.3">
      <c r="U2803" s="193"/>
      <c r="V2803" s="193"/>
      <c r="W2803" s="193"/>
      <c r="X2803" s="193"/>
      <c r="Y2803" s="193"/>
      <c r="Z2803" s="193"/>
      <c r="AC2803" s="193"/>
      <c r="AD2803" s="193"/>
      <c r="AE2803" s="193"/>
      <c r="AF2803" s="193"/>
    </row>
    <row r="2804" spans="21:32" x14ac:dyDescent="0.3">
      <c r="U2804" s="193"/>
      <c r="V2804" s="193"/>
      <c r="W2804" s="193"/>
      <c r="X2804" s="193"/>
      <c r="Y2804" s="193"/>
      <c r="Z2804" s="193"/>
      <c r="AC2804" s="193"/>
      <c r="AD2804" s="193"/>
      <c r="AE2804" s="193"/>
      <c r="AF2804" s="193"/>
    </row>
    <row r="2805" spans="21:32" x14ac:dyDescent="0.3">
      <c r="U2805" s="193"/>
      <c r="V2805" s="193"/>
      <c r="W2805" s="193"/>
      <c r="X2805" s="193"/>
      <c r="Y2805" s="193"/>
      <c r="Z2805" s="193"/>
      <c r="AC2805" s="193"/>
      <c r="AD2805" s="193"/>
      <c r="AE2805" s="193"/>
      <c r="AF2805" s="193"/>
    </row>
    <row r="2806" spans="21:32" x14ac:dyDescent="0.3">
      <c r="U2806" s="193"/>
      <c r="V2806" s="193"/>
      <c r="W2806" s="193"/>
      <c r="X2806" s="193"/>
      <c r="Y2806" s="193"/>
      <c r="Z2806" s="193"/>
      <c r="AC2806" s="193"/>
      <c r="AD2806" s="193"/>
      <c r="AE2806" s="193"/>
      <c r="AF2806" s="193"/>
    </row>
    <row r="2807" spans="21:32" x14ac:dyDescent="0.3">
      <c r="U2807" s="193"/>
      <c r="V2807" s="193"/>
      <c r="W2807" s="193"/>
      <c r="X2807" s="193"/>
      <c r="Y2807" s="193"/>
      <c r="Z2807" s="193"/>
      <c r="AC2807" s="193"/>
      <c r="AD2807" s="193"/>
      <c r="AE2807" s="193"/>
      <c r="AF2807" s="193"/>
    </row>
    <row r="2808" spans="21:32" x14ac:dyDescent="0.3">
      <c r="U2808" s="193"/>
      <c r="V2808" s="193"/>
      <c r="W2808" s="193"/>
      <c r="X2808" s="193"/>
      <c r="Y2808" s="193"/>
      <c r="Z2808" s="193"/>
      <c r="AC2808" s="193"/>
      <c r="AD2808" s="193"/>
      <c r="AE2808" s="193"/>
      <c r="AF2808" s="193"/>
    </row>
    <row r="2809" spans="21:32" x14ac:dyDescent="0.3">
      <c r="U2809" s="193"/>
      <c r="V2809" s="193"/>
      <c r="W2809" s="193"/>
      <c r="X2809" s="193"/>
      <c r="Y2809" s="193"/>
      <c r="Z2809" s="193"/>
      <c r="AC2809" s="193"/>
      <c r="AD2809" s="193"/>
      <c r="AE2809" s="193"/>
      <c r="AF2809" s="193"/>
    </row>
    <row r="2810" spans="21:32" x14ac:dyDescent="0.3">
      <c r="U2810" s="193"/>
      <c r="V2810" s="193"/>
      <c r="W2810" s="193"/>
      <c r="X2810" s="193"/>
      <c r="Y2810" s="193"/>
      <c r="Z2810" s="193"/>
      <c r="AC2810" s="193"/>
      <c r="AD2810" s="193"/>
      <c r="AE2810" s="193"/>
      <c r="AF2810" s="193"/>
    </row>
    <row r="2811" spans="21:32" x14ac:dyDescent="0.3">
      <c r="U2811" s="193"/>
      <c r="V2811" s="193"/>
      <c r="W2811" s="193"/>
      <c r="X2811" s="193"/>
      <c r="Y2811" s="193"/>
      <c r="Z2811" s="193"/>
      <c r="AC2811" s="193"/>
      <c r="AD2811" s="193"/>
      <c r="AE2811" s="193"/>
      <c r="AF2811" s="193"/>
    </row>
    <row r="2812" spans="21:32" x14ac:dyDescent="0.3">
      <c r="U2812" s="193"/>
      <c r="V2812" s="193"/>
      <c r="W2812" s="193"/>
      <c r="X2812" s="193"/>
      <c r="Y2812" s="193"/>
      <c r="Z2812" s="193"/>
      <c r="AC2812" s="193"/>
      <c r="AD2812" s="193"/>
      <c r="AE2812" s="193"/>
      <c r="AF2812" s="193"/>
    </row>
    <row r="2813" spans="21:32" x14ac:dyDescent="0.3">
      <c r="U2813" s="193"/>
      <c r="V2813" s="193"/>
      <c r="W2813" s="193"/>
      <c r="X2813" s="193"/>
      <c r="Y2813" s="193"/>
      <c r="Z2813" s="193"/>
      <c r="AC2813" s="193"/>
      <c r="AD2813" s="193"/>
      <c r="AE2813" s="193"/>
      <c r="AF2813" s="193"/>
    </row>
    <row r="2814" spans="21:32" x14ac:dyDescent="0.3">
      <c r="U2814" s="193"/>
      <c r="V2814" s="193"/>
      <c r="W2814" s="193"/>
      <c r="X2814" s="193"/>
      <c r="Y2814" s="193"/>
      <c r="Z2814" s="193"/>
      <c r="AC2814" s="193"/>
      <c r="AD2814" s="193"/>
      <c r="AE2814" s="193"/>
      <c r="AF2814" s="193"/>
    </row>
    <row r="2815" spans="21:32" x14ac:dyDescent="0.3">
      <c r="U2815" s="193"/>
      <c r="V2815" s="193"/>
      <c r="W2815" s="193"/>
      <c r="X2815" s="193"/>
      <c r="Y2815" s="193"/>
      <c r="Z2815" s="193"/>
      <c r="AC2815" s="193"/>
      <c r="AD2815" s="193"/>
      <c r="AE2815" s="193"/>
      <c r="AF2815" s="193"/>
    </row>
    <row r="2816" spans="21:32" x14ac:dyDescent="0.3">
      <c r="U2816" s="193"/>
      <c r="V2816" s="193"/>
      <c r="W2816" s="193"/>
      <c r="X2816" s="193"/>
      <c r="Y2816" s="193"/>
      <c r="Z2816" s="193"/>
      <c r="AC2816" s="193"/>
      <c r="AD2816" s="193"/>
      <c r="AE2816" s="193"/>
      <c r="AF2816" s="193"/>
    </row>
    <row r="2817" spans="21:32" x14ac:dyDescent="0.3">
      <c r="U2817" s="193"/>
      <c r="V2817" s="193"/>
      <c r="W2817" s="193"/>
      <c r="X2817" s="193"/>
      <c r="Y2817" s="193"/>
      <c r="Z2817" s="193"/>
      <c r="AC2817" s="193"/>
      <c r="AD2817" s="193"/>
      <c r="AE2817" s="193"/>
      <c r="AF2817" s="193"/>
    </row>
    <row r="2818" spans="21:32" x14ac:dyDescent="0.3">
      <c r="U2818" s="193"/>
      <c r="V2818" s="193"/>
      <c r="W2818" s="193"/>
      <c r="X2818" s="193"/>
      <c r="Y2818" s="193"/>
      <c r="Z2818" s="193"/>
      <c r="AC2818" s="193"/>
      <c r="AD2818" s="193"/>
      <c r="AE2818" s="193"/>
      <c r="AF2818" s="193"/>
    </row>
    <row r="2819" spans="21:32" x14ac:dyDescent="0.3">
      <c r="U2819" s="193"/>
      <c r="V2819" s="193"/>
      <c r="W2819" s="193"/>
      <c r="X2819" s="193"/>
      <c r="Y2819" s="193"/>
      <c r="Z2819" s="193"/>
      <c r="AC2819" s="193"/>
      <c r="AD2819" s="193"/>
      <c r="AE2819" s="193"/>
      <c r="AF2819" s="193"/>
    </row>
    <row r="2820" spans="21:32" x14ac:dyDescent="0.3">
      <c r="U2820" s="193"/>
      <c r="V2820" s="193"/>
      <c r="W2820" s="193"/>
      <c r="X2820" s="193"/>
      <c r="Y2820" s="193"/>
      <c r="Z2820" s="193"/>
      <c r="AC2820" s="193"/>
      <c r="AD2820" s="193"/>
      <c r="AE2820" s="193"/>
      <c r="AF2820" s="193"/>
    </row>
    <row r="2821" spans="21:32" x14ac:dyDescent="0.3">
      <c r="U2821" s="193"/>
      <c r="V2821" s="193"/>
      <c r="W2821" s="193"/>
      <c r="X2821" s="193"/>
      <c r="Y2821" s="193"/>
      <c r="Z2821" s="193"/>
      <c r="AC2821" s="193"/>
      <c r="AD2821" s="193"/>
      <c r="AE2821" s="193"/>
      <c r="AF2821" s="193"/>
    </row>
    <row r="2822" spans="21:32" x14ac:dyDescent="0.3">
      <c r="U2822" s="193"/>
      <c r="V2822" s="193"/>
      <c r="W2822" s="193"/>
      <c r="X2822" s="193"/>
      <c r="Y2822" s="193"/>
      <c r="Z2822" s="193"/>
      <c r="AC2822" s="193"/>
      <c r="AD2822" s="193"/>
      <c r="AE2822" s="193"/>
      <c r="AF2822" s="193"/>
    </row>
    <row r="2823" spans="21:32" x14ac:dyDescent="0.3">
      <c r="U2823" s="193"/>
      <c r="V2823" s="193"/>
      <c r="W2823" s="193"/>
      <c r="X2823" s="193"/>
      <c r="Y2823" s="193"/>
      <c r="Z2823" s="193"/>
      <c r="AC2823" s="193"/>
      <c r="AD2823" s="193"/>
      <c r="AE2823" s="193"/>
      <c r="AF2823" s="193"/>
    </row>
    <row r="2824" spans="21:32" x14ac:dyDescent="0.3">
      <c r="U2824" s="193"/>
      <c r="V2824" s="193"/>
      <c r="W2824" s="193"/>
      <c r="X2824" s="193"/>
      <c r="Y2824" s="193"/>
      <c r="Z2824" s="193"/>
      <c r="AC2824" s="193"/>
      <c r="AD2824" s="193"/>
      <c r="AE2824" s="193"/>
      <c r="AF2824" s="193"/>
    </row>
    <row r="2825" spans="21:32" x14ac:dyDescent="0.3">
      <c r="U2825" s="193"/>
      <c r="V2825" s="193"/>
      <c r="W2825" s="193"/>
      <c r="X2825" s="193"/>
      <c r="Y2825" s="193"/>
      <c r="Z2825" s="193"/>
      <c r="AC2825" s="193"/>
      <c r="AD2825" s="193"/>
      <c r="AE2825" s="193"/>
      <c r="AF2825" s="193"/>
    </row>
    <row r="2826" spans="21:32" x14ac:dyDescent="0.3">
      <c r="U2826" s="193"/>
      <c r="V2826" s="193"/>
      <c r="W2826" s="193"/>
      <c r="X2826" s="193"/>
      <c r="Y2826" s="193"/>
      <c r="Z2826" s="193"/>
      <c r="AC2826" s="193"/>
      <c r="AD2826" s="193"/>
      <c r="AE2826" s="193"/>
      <c r="AF2826" s="193"/>
    </row>
    <row r="2827" spans="21:32" x14ac:dyDescent="0.3">
      <c r="U2827" s="193"/>
      <c r="V2827" s="193"/>
      <c r="W2827" s="193"/>
      <c r="X2827" s="193"/>
      <c r="Y2827" s="193"/>
      <c r="Z2827" s="193"/>
      <c r="AC2827" s="193"/>
      <c r="AD2827" s="193"/>
      <c r="AE2827" s="193"/>
      <c r="AF2827" s="193"/>
    </row>
    <row r="2828" spans="21:32" x14ac:dyDescent="0.3">
      <c r="U2828" s="193"/>
      <c r="V2828" s="193"/>
      <c r="W2828" s="193"/>
      <c r="X2828" s="193"/>
      <c r="Y2828" s="193"/>
      <c r="Z2828" s="193"/>
      <c r="AC2828" s="193"/>
      <c r="AD2828" s="193"/>
      <c r="AE2828" s="193"/>
      <c r="AF2828" s="193"/>
    </row>
    <row r="2829" spans="21:32" x14ac:dyDescent="0.3">
      <c r="U2829" s="193"/>
      <c r="V2829" s="193"/>
      <c r="W2829" s="193"/>
      <c r="X2829" s="193"/>
      <c r="Y2829" s="193"/>
      <c r="Z2829" s="193"/>
      <c r="AC2829" s="193"/>
      <c r="AD2829" s="193"/>
      <c r="AE2829" s="193"/>
      <c r="AF2829" s="193"/>
    </row>
    <row r="2830" spans="21:32" x14ac:dyDescent="0.3">
      <c r="U2830" s="193"/>
      <c r="V2830" s="193"/>
      <c r="W2830" s="193"/>
      <c r="X2830" s="193"/>
      <c r="Y2830" s="193"/>
      <c r="Z2830" s="193"/>
      <c r="AC2830" s="193"/>
      <c r="AD2830" s="193"/>
      <c r="AE2830" s="193"/>
      <c r="AF2830" s="193"/>
    </row>
    <row r="2831" spans="21:32" x14ac:dyDescent="0.3">
      <c r="U2831" s="193"/>
      <c r="V2831" s="193"/>
      <c r="W2831" s="193"/>
      <c r="X2831" s="193"/>
      <c r="Y2831" s="193"/>
      <c r="Z2831" s="193"/>
      <c r="AC2831" s="193"/>
      <c r="AD2831" s="193"/>
      <c r="AE2831" s="193"/>
      <c r="AF2831" s="193"/>
    </row>
    <row r="2832" spans="21:32" x14ac:dyDescent="0.3">
      <c r="U2832" s="193"/>
      <c r="V2832" s="193"/>
      <c r="W2832" s="193"/>
      <c r="X2832" s="193"/>
      <c r="Y2832" s="193"/>
      <c r="Z2832" s="193"/>
      <c r="AC2832" s="193"/>
      <c r="AD2832" s="193"/>
      <c r="AE2832" s="193"/>
      <c r="AF2832" s="193"/>
    </row>
    <row r="2833" spans="21:32" x14ac:dyDescent="0.3">
      <c r="U2833" s="193"/>
      <c r="V2833" s="193"/>
      <c r="W2833" s="193"/>
      <c r="X2833" s="193"/>
      <c r="Y2833" s="193"/>
      <c r="Z2833" s="193"/>
      <c r="AC2833" s="193"/>
      <c r="AD2833" s="193"/>
      <c r="AE2833" s="193"/>
      <c r="AF2833" s="193"/>
    </row>
    <row r="2834" spans="21:32" x14ac:dyDescent="0.3">
      <c r="U2834" s="193"/>
      <c r="V2834" s="193"/>
      <c r="W2834" s="193"/>
      <c r="X2834" s="193"/>
      <c r="Y2834" s="193"/>
      <c r="Z2834" s="193"/>
      <c r="AC2834" s="193"/>
      <c r="AD2834" s="193"/>
      <c r="AE2834" s="193"/>
      <c r="AF2834" s="193"/>
    </row>
    <row r="2835" spans="21:32" x14ac:dyDescent="0.3">
      <c r="U2835" s="193"/>
      <c r="V2835" s="193"/>
      <c r="W2835" s="193"/>
      <c r="X2835" s="193"/>
      <c r="Y2835" s="193"/>
      <c r="Z2835" s="193"/>
      <c r="AC2835" s="193"/>
      <c r="AD2835" s="193"/>
      <c r="AE2835" s="193"/>
      <c r="AF2835" s="193"/>
    </row>
    <row r="2836" spans="21:32" x14ac:dyDescent="0.3">
      <c r="U2836" s="193"/>
      <c r="V2836" s="193"/>
      <c r="W2836" s="193"/>
      <c r="X2836" s="193"/>
      <c r="Y2836" s="193"/>
      <c r="Z2836" s="193"/>
      <c r="AC2836" s="193"/>
      <c r="AD2836" s="193"/>
      <c r="AE2836" s="193"/>
      <c r="AF2836" s="193"/>
    </row>
    <row r="2837" spans="21:32" x14ac:dyDescent="0.3">
      <c r="U2837" s="193"/>
      <c r="V2837" s="193"/>
      <c r="W2837" s="193"/>
      <c r="X2837" s="193"/>
      <c r="Y2837" s="193"/>
      <c r="Z2837" s="193"/>
      <c r="AC2837" s="193"/>
      <c r="AD2837" s="193"/>
      <c r="AE2837" s="193"/>
      <c r="AF2837" s="193"/>
    </row>
    <row r="2838" spans="21:32" x14ac:dyDescent="0.3">
      <c r="U2838" s="193"/>
      <c r="V2838" s="193"/>
      <c r="W2838" s="193"/>
      <c r="X2838" s="193"/>
      <c r="Y2838" s="193"/>
      <c r="Z2838" s="193"/>
      <c r="AC2838" s="193"/>
      <c r="AD2838" s="193"/>
      <c r="AE2838" s="193"/>
      <c r="AF2838" s="193"/>
    </row>
    <row r="2839" spans="21:32" x14ac:dyDescent="0.3">
      <c r="U2839" s="193"/>
      <c r="V2839" s="193"/>
      <c r="W2839" s="193"/>
      <c r="X2839" s="193"/>
      <c r="Y2839" s="193"/>
      <c r="Z2839" s="193"/>
      <c r="AC2839" s="193"/>
      <c r="AD2839" s="193"/>
      <c r="AE2839" s="193"/>
      <c r="AF2839" s="193"/>
    </row>
    <row r="2840" spans="21:32" x14ac:dyDescent="0.3">
      <c r="U2840" s="193"/>
      <c r="V2840" s="193"/>
      <c r="W2840" s="193"/>
      <c r="X2840" s="193"/>
      <c r="Y2840" s="193"/>
      <c r="Z2840" s="193"/>
      <c r="AC2840" s="193"/>
      <c r="AD2840" s="193"/>
      <c r="AE2840" s="193"/>
      <c r="AF2840" s="193"/>
    </row>
    <row r="2841" spans="21:32" x14ac:dyDescent="0.3">
      <c r="U2841" s="193"/>
      <c r="V2841" s="193"/>
      <c r="W2841" s="193"/>
      <c r="X2841" s="193"/>
      <c r="Y2841" s="193"/>
      <c r="Z2841" s="193"/>
      <c r="AC2841" s="193"/>
      <c r="AD2841" s="193"/>
      <c r="AE2841" s="193"/>
      <c r="AF2841" s="193"/>
    </row>
    <row r="2842" spans="21:32" x14ac:dyDescent="0.3">
      <c r="U2842" s="193"/>
      <c r="V2842" s="193"/>
      <c r="W2842" s="193"/>
      <c r="X2842" s="193"/>
      <c r="Y2842" s="193"/>
      <c r="Z2842" s="193"/>
      <c r="AC2842" s="193"/>
      <c r="AD2842" s="193"/>
      <c r="AE2842" s="193"/>
      <c r="AF2842" s="193"/>
    </row>
    <row r="2843" spans="21:32" x14ac:dyDescent="0.3">
      <c r="U2843" s="193"/>
      <c r="V2843" s="193"/>
      <c r="W2843" s="193"/>
      <c r="X2843" s="193"/>
      <c r="Y2843" s="193"/>
      <c r="Z2843" s="193"/>
      <c r="AC2843" s="193"/>
      <c r="AD2843" s="193"/>
      <c r="AE2843" s="193"/>
      <c r="AF2843" s="193"/>
    </row>
    <row r="2844" spans="21:32" x14ac:dyDescent="0.3">
      <c r="U2844" s="193"/>
      <c r="V2844" s="193"/>
      <c r="W2844" s="193"/>
      <c r="X2844" s="193"/>
      <c r="Y2844" s="193"/>
      <c r="Z2844" s="193"/>
      <c r="AC2844" s="193"/>
      <c r="AD2844" s="193"/>
      <c r="AE2844" s="193"/>
      <c r="AF2844" s="193"/>
    </row>
    <row r="2845" spans="21:32" x14ac:dyDescent="0.3">
      <c r="U2845" s="193"/>
      <c r="V2845" s="193"/>
      <c r="W2845" s="193"/>
      <c r="X2845" s="193"/>
      <c r="Y2845" s="193"/>
      <c r="Z2845" s="193"/>
      <c r="AC2845" s="193"/>
      <c r="AD2845" s="193"/>
      <c r="AE2845" s="193"/>
      <c r="AF2845" s="193"/>
    </row>
    <row r="2846" spans="21:32" x14ac:dyDescent="0.3">
      <c r="U2846" s="193"/>
      <c r="V2846" s="193"/>
      <c r="W2846" s="193"/>
      <c r="X2846" s="193"/>
      <c r="Y2846" s="193"/>
      <c r="Z2846" s="193"/>
      <c r="AC2846" s="193"/>
      <c r="AD2846" s="193"/>
      <c r="AE2846" s="193"/>
      <c r="AF2846" s="193"/>
    </row>
    <row r="2847" spans="21:32" x14ac:dyDescent="0.3">
      <c r="U2847" s="193"/>
      <c r="V2847" s="193"/>
      <c r="W2847" s="193"/>
      <c r="X2847" s="193"/>
      <c r="Y2847" s="193"/>
      <c r="Z2847" s="193"/>
      <c r="AC2847" s="193"/>
      <c r="AD2847" s="193"/>
      <c r="AE2847" s="193"/>
      <c r="AF2847" s="193"/>
    </row>
    <row r="2848" spans="21:32" x14ac:dyDescent="0.3">
      <c r="U2848" s="193"/>
      <c r="V2848" s="193"/>
      <c r="W2848" s="193"/>
      <c r="X2848" s="193"/>
      <c r="Y2848" s="193"/>
      <c r="Z2848" s="193"/>
      <c r="AC2848" s="193"/>
      <c r="AD2848" s="193"/>
      <c r="AE2848" s="193"/>
      <c r="AF2848" s="193"/>
    </row>
    <row r="2849" spans="21:32" x14ac:dyDescent="0.3">
      <c r="U2849" s="193"/>
      <c r="V2849" s="193"/>
      <c r="W2849" s="193"/>
      <c r="X2849" s="193"/>
      <c r="Y2849" s="193"/>
      <c r="Z2849" s="193"/>
      <c r="AC2849" s="193"/>
      <c r="AD2849" s="193"/>
      <c r="AE2849" s="193"/>
      <c r="AF2849" s="193"/>
    </row>
    <row r="2850" spans="21:32" x14ac:dyDescent="0.3">
      <c r="U2850" s="193"/>
      <c r="V2850" s="193"/>
      <c r="W2850" s="193"/>
      <c r="X2850" s="193"/>
      <c r="Y2850" s="193"/>
      <c r="Z2850" s="193"/>
      <c r="AC2850" s="193"/>
      <c r="AD2850" s="193"/>
      <c r="AE2850" s="193"/>
      <c r="AF2850" s="193"/>
    </row>
    <row r="2851" spans="21:32" x14ac:dyDescent="0.3">
      <c r="U2851" s="193"/>
      <c r="V2851" s="193"/>
      <c r="W2851" s="193"/>
      <c r="X2851" s="193"/>
      <c r="Y2851" s="193"/>
      <c r="Z2851" s="193"/>
      <c r="AC2851" s="193"/>
      <c r="AD2851" s="193"/>
      <c r="AE2851" s="193"/>
      <c r="AF2851" s="193"/>
    </row>
    <row r="2852" spans="21:32" x14ac:dyDescent="0.3">
      <c r="U2852" s="193"/>
      <c r="V2852" s="193"/>
      <c r="W2852" s="193"/>
      <c r="X2852" s="193"/>
      <c r="Y2852" s="193"/>
      <c r="Z2852" s="193"/>
      <c r="AC2852" s="193"/>
      <c r="AD2852" s="193"/>
      <c r="AE2852" s="193"/>
      <c r="AF2852" s="193"/>
    </row>
    <row r="2853" spans="21:32" x14ac:dyDescent="0.3">
      <c r="U2853" s="193"/>
      <c r="V2853" s="193"/>
      <c r="W2853" s="193"/>
      <c r="X2853" s="193"/>
      <c r="Y2853" s="193"/>
      <c r="Z2853" s="193"/>
      <c r="AC2853" s="193"/>
      <c r="AD2853" s="193"/>
      <c r="AE2853" s="193"/>
      <c r="AF2853" s="193"/>
    </row>
    <row r="2854" spans="21:32" x14ac:dyDescent="0.3">
      <c r="U2854" s="193"/>
      <c r="V2854" s="193"/>
      <c r="W2854" s="193"/>
      <c r="X2854" s="193"/>
      <c r="Y2854" s="193"/>
      <c r="Z2854" s="193"/>
      <c r="AC2854" s="193"/>
      <c r="AD2854" s="193"/>
      <c r="AE2854" s="193"/>
      <c r="AF2854" s="193"/>
    </row>
    <row r="2855" spans="21:32" x14ac:dyDescent="0.3">
      <c r="U2855" s="193"/>
      <c r="V2855" s="193"/>
      <c r="W2855" s="193"/>
      <c r="X2855" s="193"/>
      <c r="Y2855" s="193"/>
      <c r="Z2855" s="193"/>
      <c r="AC2855" s="193"/>
      <c r="AD2855" s="193"/>
      <c r="AE2855" s="193"/>
      <c r="AF2855" s="193"/>
    </row>
    <row r="2856" spans="21:32" x14ac:dyDescent="0.3">
      <c r="U2856" s="193"/>
      <c r="V2856" s="193"/>
      <c r="W2856" s="193"/>
      <c r="X2856" s="193"/>
      <c r="Y2856" s="193"/>
      <c r="Z2856" s="193"/>
      <c r="AC2856" s="193"/>
      <c r="AD2856" s="193"/>
      <c r="AE2856" s="193"/>
      <c r="AF2856" s="193"/>
    </row>
    <row r="2857" spans="21:32" x14ac:dyDescent="0.3">
      <c r="U2857" s="193"/>
      <c r="V2857" s="193"/>
      <c r="W2857" s="193"/>
      <c r="X2857" s="193"/>
      <c r="Y2857" s="193"/>
      <c r="Z2857" s="193"/>
      <c r="AC2857" s="193"/>
      <c r="AD2857" s="193"/>
      <c r="AE2857" s="193"/>
      <c r="AF2857" s="193"/>
    </row>
    <row r="2858" spans="21:32" x14ac:dyDescent="0.3">
      <c r="U2858" s="193"/>
      <c r="V2858" s="193"/>
      <c r="W2858" s="193"/>
      <c r="X2858" s="193"/>
      <c r="Y2858" s="193"/>
      <c r="Z2858" s="193"/>
      <c r="AC2858" s="193"/>
      <c r="AD2858" s="193"/>
      <c r="AE2858" s="193"/>
      <c r="AF2858" s="193"/>
    </row>
    <row r="2859" spans="21:32" x14ac:dyDescent="0.3">
      <c r="U2859" s="193"/>
      <c r="V2859" s="193"/>
      <c r="W2859" s="193"/>
      <c r="X2859" s="193"/>
      <c r="Y2859" s="193"/>
      <c r="Z2859" s="193"/>
      <c r="AC2859" s="193"/>
      <c r="AD2859" s="193"/>
      <c r="AE2859" s="193"/>
      <c r="AF2859" s="193"/>
    </row>
    <row r="2860" spans="21:32" x14ac:dyDescent="0.3">
      <c r="U2860" s="193"/>
      <c r="V2860" s="193"/>
      <c r="W2860" s="193"/>
      <c r="X2860" s="193"/>
      <c r="Y2860" s="193"/>
      <c r="Z2860" s="193"/>
      <c r="AC2860" s="193"/>
      <c r="AD2860" s="193"/>
      <c r="AE2860" s="193"/>
      <c r="AF2860" s="193"/>
    </row>
    <row r="2861" spans="21:32" x14ac:dyDescent="0.3">
      <c r="U2861" s="193"/>
      <c r="V2861" s="193"/>
      <c r="W2861" s="193"/>
      <c r="X2861" s="193"/>
      <c r="Y2861" s="193"/>
      <c r="Z2861" s="193"/>
      <c r="AC2861" s="193"/>
      <c r="AD2861" s="193"/>
      <c r="AE2861" s="193"/>
      <c r="AF2861" s="193"/>
    </row>
    <row r="2862" spans="21:32" x14ac:dyDescent="0.3">
      <c r="U2862" s="193"/>
      <c r="V2862" s="193"/>
      <c r="W2862" s="193"/>
      <c r="X2862" s="193"/>
      <c r="Y2862" s="193"/>
      <c r="Z2862" s="193"/>
      <c r="AC2862" s="193"/>
      <c r="AD2862" s="193"/>
      <c r="AE2862" s="193"/>
      <c r="AF2862" s="193"/>
    </row>
    <row r="2863" spans="21:32" x14ac:dyDescent="0.3">
      <c r="U2863" s="193"/>
      <c r="V2863" s="193"/>
      <c r="W2863" s="193"/>
      <c r="X2863" s="193"/>
      <c r="Y2863" s="193"/>
      <c r="Z2863" s="193"/>
      <c r="AC2863" s="193"/>
      <c r="AD2863" s="193"/>
      <c r="AE2863" s="193"/>
      <c r="AF2863" s="193"/>
    </row>
    <row r="2864" spans="21:32" x14ac:dyDescent="0.3">
      <c r="U2864" s="193"/>
      <c r="V2864" s="193"/>
      <c r="W2864" s="193"/>
      <c r="X2864" s="193"/>
      <c r="Y2864" s="193"/>
      <c r="Z2864" s="193"/>
      <c r="AC2864" s="193"/>
      <c r="AD2864" s="193"/>
      <c r="AE2864" s="193"/>
      <c r="AF2864" s="193"/>
    </row>
    <row r="2865" spans="21:32" x14ac:dyDescent="0.3">
      <c r="U2865" s="193"/>
      <c r="V2865" s="193"/>
      <c r="W2865" s="193"/>
      <c r="X2865" s="193"/>
      <c r="Y2865" s="193"/>
      <c r="Z2865" s="193"/>
      <c r="AC2865" s="193"/>
      <c r="AD2865" s="193"/>
      <c r="AE2865" s="193"/>
      <c r="AF2865" s="193"/>
    </row>
    <row r="2866" spans="21:32" x14ac:dyDescent="0.3">
      <c r="U2866" s="193"/>
      <c r="V2866" s="193"/>
      <c r="W2866" s="193"/>
      <c r="X2866" s="193"/>
      <c r="Y2866" s="193"/>
      <c r="Z2866" s="193"/>
      <c r="AC2866" s="193"/>
      <c r="AD2866" s="193"/>
      <c r="AE2866" s="193"/>
      <c r="AF2866" s="193"/>
    </row>
    <row r="2867" spans="21:32" x14ac:dyDescent="0.3">
      <c r="U2867" s="193"/>
      <c r="V2867" s="193"/>
      <c r="W2867" s="193"/>
      <c r="X2867" s="193"/>
      <c r="Y2867" s="193"/>
      <c r="Z2867" s="193"/>
      <c r="AC2867" s="193"/>
      <c r="AD2867" s="193"/>
      <c r="AE2867" s="193"/>
      <c r="AF2867" s="193"/>
    </row>
    <row r="2868" spans="21:32" x14ac:dyDescent="0.3">
      <c r="U2868" s="193"/>
      <c r="V2868" s="193"/>
      <c r="W2868" s="193"/>
      <c r="X2868" s="193"/>
      <c r="Y2868" s="193"/>
      <c r="Z2868" s="193"/>
      <c r="AC2868" s="193"/>
      <c r="AD2868" s="193"/>
      <c r="AE2868" s="193"/>
      <c r="AF2868" s="193"/>
    </row>
    <row r="2869" spans="21:32" x14ac:dyDescent="0.3">
      <c r="U2869" s="193"/>
      <c r="V2869" s="193"/>
      <c r="W2869" s="193"/>
      <c r="X2869" s="193"/>
      <c r="Y2869" s="193"/>
      <c r="Z2869" s="193"/>
      <c r="AC2869" s="193"/>
      <c r="AD2869" s="193"/>
      <c r="AE2869" s="193"/>
      <c r="AF2869" s="193"/>
    </row>
    <row r="2870" spans="21:32" x14ac:dyDescent="0.3">
      <c r="U2870" s="193"/>
      <c r="V2870" s="193"/>
      <c r="W2870" s="193"/>
      <c r="X2870" s="193"/>
      <c r="Y2870" s="193"/>
      <c r="Z2870" s="193"/>
      <c r="AC2870" s="193"/>
      <c r="AD2870" s="193"/>
      <c r="AE2870" s="193"/>
      <c r="AF2870" s="193"/>
    </row>
    <row r="2871" spans="21:32" x14ac:dyDescent="0.3">
      <c r="U2871" s="193"/>
      <c r="V2871" s="193"/>
      <c r="W2871" s="193"/>
      <c r="X2871" s="193"/>
      <c r="Y2871" s="193"/>
      <c r="Z2871" s="193"/>
      <c r="AC2871" s="193"/>
      <c r="AD2871" s="193"/>
      <c r="AE2871" s="193"/>
      <c r="AF2871" s="193"/>
    </row>
    <row r="2872" spans="21:32" x14ac:dyDescent="0.3">
      <c r="U2872" s="193"/>
      <c r="V2872" s="193"/>
      <c r="W2872" s="193"/>
      <c r="X2872" s="193"/>
      <c r="Y2872" s="193"/>
      <c r="Z2872" s="193"/>
      <c r="AC2872" s="193"/>
      <c r="AD2872" s="193"/>
      <c r="AE2872" s="193"/>
      <c r="AF2872" s="193"/>
    </row>
    <row r="2873" spans="21:32" x14ac:dyDescent="0.3">
      <c r="U2873" s="193"/>
      <c r="V2873" s="193"/>
      <c r="W2873" s="193"/>
      <c r="X2873" s="193"/>
      <c r="Y2873" s="193"/>
      <c r="Z2873" s="193"/>
      <c r="AC2873" s="193"/>
      <c r="AD2873" s="193"/>
      <c r="AE2873" s="193"/>
      <c r="AF2873" s="193"/>
    </row>
    <row r="2874" spans="21:32" x14ac:dyDescent="0.3">
      <c r="U2874" s="193"/>
      <c r="V2874" s="193"/>
      <c r="W2874" s="193"/>
      <c r="X2874" s="193"/>
      <c r="Y2874" s="193"/>
      <c r="Z2874" s="193"/>
      <c r="AC2874" s="193"/>
      <c r="AD2874" s="193"/>
      <c r="AE2874" s="193"/>
      <c r="AF2874" s="193"/>
    </row>
    <row r="2875" spans="21:32" x14ac:dyDescent="0.3">
      <c r="U2875" s="193"/>
      <c r="V2875" s="193"/>
      <c r="W2875" s="193"/>
      <c r="X2875" s="193"/>
      <c r="Y2875" s="193"/>
      <c r="Z2875" s="193"/>
      <c r="AC2875" s="193"/>
      <c r="AD2875" s="193"/>
      <c r="AE2875" s="193"/>
      <c r="AF2875" s="193"/>
    </row>
    <row r="2876" spans="21:32" x14ac:dyDescent="0.3">
      <c r="U2876" s="193"/>
      <c r="V2876" s="193"/>
      <c r="W2876" s="193"/>
      <c r="X2876" s="193"/>
      <c r="Y2876" s="193"/>
      <c r="Z2876" s="193"/>
      <c r="AC2876" s="193"/>
      <c r="AD2876" s="193"/>
      <c r="AE2876" s="193"/>
      <c r="AF2876" s="193"/>
    </row>
    <row r="2877" spans="21:32" x14ac:dyDescent="0.3">
      <c r="U2877" s="193"/>
      <c r="V2877" s="193"/>
      <c r="W2877" s="193"/>
      <c r="X2877" s="193"/>
      <c r="Y2877" s="193"/>
      <c r="Z2877" s="193"/>
      <c r="AC2877" s="193"/>
      <c r="AD2877" s="193"/>
      <c r="AE2877" s="193"/>
      <c r="AF2877" s="193"/>
    </row>
    <row r="2878" spans="21:32" x14ac:dyDescent="0.3">
      <c r="U2878" s="193"/>
      <c r="V2878" s="193"/>
      <c r="W2878" s="193"/>
      <c r="X2878" s="193"/>
      <c r="Y2878" s="193"/>
      <c r="Z2878" s="193"/>
      <c r="AC2878" s="193"/>
      <c r="AD2878" s="193"/>
      <c r="AE2878" s="193"/>
      <c r="AF2878" s="193"/>
    </row>
    <row r="2879" spans="21:32" x14ac:dyDescent="0.3">
      <c r="U2879" s="193"/>
      <c r="V2879" s="193"/>
      <c r="W2879" s="193"/>
      <c r="X2879" s="193"/>
      <c r="Y2879" s="193"/>
      <c r="Z2879" s="193"/>
      <c r="AC2879" s="193"/>
      <c r="AD2879" s="193"/>
      <c r="AE2879" s="193"/>
      <c r="AF2879" s="193"/>
    </row>
    <row r="2880" spans="21:32" x14ac:dyDescent="0.3">
      <c r="U2880" s="193"/>
      <c r="V2880" s="193"/>
      <c r="W2880" s="193"/>
      <c r="X2880" s="193"/>
      <c r="Y2880" s="193"/>
      <c r="Z2880" s="193"/>
      <c r="AC2880" s="193"/>
      <c r="AD2880" s="193"/>
      <c r="AE2880" s="193"/>
      <c r="AF2880" s="193"/>
    </row>
    <row r="2881" spans="21:32" x14ac:dyDescent="0.3">
      <c r="U2881" s="193"/>
      <c r="V2881" s="193"/>
      <c r="W2881" s="193"/>
      <c r="X2881" s="193"/>
      <c r="Y2881" s="193"/>
      <c r="Z2881" s="193"/>
      <c r="AC2881" s="193"/>
      <c r="AD2881" s="193"/>
      <c r="AE2881" s="193"/>
      <c r="AF2881" s="193"/>
    </row>
    <row r="2882" spans="21:32" x14ac:dyDescent="0.3">
      <c r="U2882" s="193"/>
      <c r="V2882" s="193"/>
      <c r="W2882" s="193"/>
      <c r="X2882" s="193"/>
      <c r="Y2882" s="193"/>
      <c r="Z2882" s="193"/>
      <c r="AC2882" s="193"/>
      <c r="AD2882" s="193"/>
      <c r="AE2882" s="193"/>
      <c r="AF2882" s="193"/>
    </row>
    <row r="2883" spans="21:32" x14ac:dyDescent="0.3">
      <c r="U2883" s="193"/>
      <c r="V2883" s="193"/>
      <c r="W2883" s="193"/>
      <c r="X2883" s="193"/>
      <c r="Y2883" s="193"/>
      <c r="Z2883" s="193"/>
      <c r="AC2883" s="193"/>
      <c r="AD2883" s="193"/>
      <c r="AE2883" s="193"/>
      <c r="AF2883" s="193"/>
    </row>
    <row r="2884" spans="21:32" x14ac:dyDescent="0.3">
      <c r="U2884" s="193"/>
      <c r="V2884" s="193"/>
      <c r="W2884" s="193"/>
      <c r="X2884" s="193"/>
      <c r="Y2884" s="193"/>
      <c r="Z2884" s="193"/>
      <c r="AC2884" s="193"/>
      <c r="AD2884" s="193"/>
      <c r="AE2884" s="193"/>
      <c r="AF2884" s="193"/>
    </row>
    <row r="2885" spans="21:32" x14ac:dyDescent="0.3">
      <c r="U2885" s="193"/>
      <c r="V2885" s="193"/>
      <c r="W2885" s="193"/>
      <c r="X2885" s="193"/>
      <c r="Y2885" s="193"/>
      <c r="Z2885" s="193"/>
      <c r="AC2885" s="193"/>
      <c r="AD2885" s="193"/>
      <c r="AE2885" s="193"/>
      <c r="AF2885" s="193"/>
    </row>
    <row r="2886" spans="21:32" x14ac:dyDescent="0.3">
      <c r="U2886" s="193"/>
      <c r="V2886" s="193"/>
      <c r="W2886" s="193"/>
      <c r="X2886" s="193"/>
      <c r="Y2886" s="193"/>
      <c r="Z2886" s="193"/>
      <c r="AC2886" s="193"/>
      <c r="AD2886" s="193"/>
      <c r="AE2886" s="193"/>
      <c r="AF2886" s="193"/>
    </row>
    <row r="2887" spans="21:32" x14ac:dyDescent="0.3">
      <c r="U2887" s="193"/>
      <c r="V2887" s="193"/>
      <c r="W2887" s="193"/>
      <c r="X2887" s="193"/>
      <c r="Y2887" s="193"/>
      <c r="Z2887" s="193"/>
      <c r="AC2887" s="193"/>
      <c r="AD2887" s="193"/>
      <c r="AE2887" s="193"/>
      <c r="AF2887" s="193"/>
    </row>
    <row r="2888" spans="21:32" x14ac:dyDescent="0.3">
      <c r="U2888" s="193"/>
      <c r="V2888" s="193"/>
      <c r="W2888" s="193"/>
      <c r="X2888" s="193"/>
      <c r="Y2888" s="193"/>
      <c r="Z2888" s="193"/>
      <c r="AC2888" s="193"/>
      <c r="AD2888" s="193"/>
      <c r="AE2888" s="193"/>
      <c r="AF2888" s="193"/>
    </row>
    <row r="2889" spans="21:32" x14ac:dyDescent="0.3">
      <c r="U2889" s="193"/>
      <c r="V2889" s="193"/>
      <c r="W2889" s="193"/>
      <c r="X2889" s="193"/>
      <c r="Y2889" s="193"/>
      <c r="Z2889" s="193"/>
      <c r="AC2889" s="193"/>
      <c r="AD2889" s="193"/>
      <c r="AE2889" s="193"/>
      <c r="AF2889" s="193"/>
    </row>
    <row r="2890" spans="21:32" x14ac:dyDescent="0.3">
      <c r="U2890" s="193"/>
      <c r="V2890" s="193"/>
      <c r="W2890" s="193"/>
      <c r="X2890" s="193"/>
      <c r="Y2890" s="193"/>
      <c r="Z2890" s="193"/>
      <c r="AC2890" s="193"/>
      <c r="AD2890" s="193"/>
      <c r="AE2890" s="193"/>
      <c r="AF2890" s="193"/>
    </row>
    <row r="2891" spans="21:32" x14ac:dyDescent="0.3">
      <c r="U2891" s="193"/>
      <c r="V2891" s="193"/>
      <c r="W2891" s="193"/>
      <c r="X2891" s="193"/>
      <c r="Y2891" s="193"/>
      <c r="Z2891" s="193"/>
      <c r="AC2891" s="193"/>
      <c r="AD2891" s="193"/>
      <c r="AE2891" s="193"/>
      <c r="AF2891" s="193"/>
    </row>
    <row r="2892" spans="21:32" x14ac:dyDescent="0.3">
      <c r="U2892" s="193"/>
      <c r="V2892" s="193"/>
      <c r="W2892" s="193"/>
      <c r="X2892" s="193"/>
      <c r="Y2892" s="193"/>
      <c r="Z2892" s="193"/>
      <c r="AC2892" s="193"/>
      <c r="AD2892" s="193"/>
      <c r="AE2892" s="193"/>
      <c r="AF2892" s="193"/>
    </row>
    <row r="2893" spans="21:32" x14ac:dyDescent="0.3">
      <c r="U2893" s="193"/>
      <c r="V2893" s="193"/>
      <c r="W2893" s="193"/>
      <c r="X2893" s="193"/>
      <c r="Y2893" s="193"/>
      <c r="Z2893" s="193"/>
      <c r="AC2893" s="193"/>
      <c r="AD2893" s="193"/>
      <c r="AE2893" s="193"/>
      <c r="AF2893" s="193"/>
    </row>
    <row r="2894" spans="21:32" x14ac:dyDescent="0.3">
      <c r="U2894" s="193"/>
      <c r="V2894" s="193"/>
      <c r="W2894" s="193"/>
      <c r="X2894" s="193"/>
      <c r="Y2894" s="193"/>
      <c r="Z2894" s="193"/>
      <c r="AC2894" s="193"/>
      <c r="AD2894" s="193"/>
      <c r="AE2894" s="193"/>
      <c r="AF2894" s="193"/>
    </row>
    <row r="2895" spans="21:32" x14ac:dyDescent="0.3">
      <c r="U2895" s="193"/>
      <c r="V2895" s="193"/>
      <c r="W2895" s="193"/>
      <c r="X2895" s="193"/>
      <c r="Y2895" s="193"/>
      <c r="Z2895" s="193"/>
      <c r="AC2895" s="193"/>
      <c r="AD2895" s="193"/>
      <c r="AE2895" s="193"/>
      <c r="AF2895" s="193"/>
    </row>
    <row r="2896" spans="21:32" x14ac:dyDescent="0.3">
      <c r="U2896" s="193"/>
      <c r="V2896" s="193"/>
      <c r="W2896" s="193"/>
      <c r="X2896" s="193"/>
      <c r="Y2896" s="193"/>
      <c r="Z2896" s="193"/>
      <c r="AC2896" s="193"/>
      <c r="AD2896" s="193"/>
      <c r="AE2896" s="193"/>
      <c r="AF2896" s="193"/>
    </row>
    <row r="2897" spans="21:32" x14ac:dyDescent="0.3">
      <c r="U2897" s="193"/>
      <c r="V2897" s="193"/>
      <c r="W2897" s="193"/>
      <c r="X2897" s="193"/>
      <c r="Y2897" s="193"/>
      <c r="Z2897" s="193"/>
      <c r="AC2897" s="193"/>
      <c r="AD2897" s="193"/>
      <c r="AE2897" s="193"/>
      <c r="AF2897" s="193"/>
    </row>
    <row r="2898" spans="21:32" x14ac:dyDescent="0.3">
      <c r="U2898" s="193"/>
      <c r="V2898" s="193"/>
      <c r="W2898" s="193"/>
      <c r="X2898" s="193"/>
      <c r="Y2898" s="193"/>
      <c r="Z2898" s="193"/>
      <c r="AC2898" s="193"/>
      <c r="AD2898" s="193"/>
      <c r="AE2898" s="193"/>
      <c r="AF2898" s="193"/>
    </row>
    <row r="2899" spans="21:32" x14ac:dyDescent="0.3">
      <c r="U2899" s="193"/>
      <c r="V2899" s="193"/>
      <c r="W2899" s="193"/>
      <c r="X2899" s="193"/>
      <c r="Y2899" s="193"/>
      <c r="Z2899" s="193"/>
      <c r="AC2899" s="193"/>
      <c r="AD2899" s="193"/>
      <c r="AE2899" s="193"/>
      <c r="AF2899" s="193"/>
    </row>
    <row r="2900" spans="21:32" x14ac:dyDescent="0.3">
      <c r="U2900" s="193"/>
      <c r="V2900" s="193"/>
      <c r="W2900" s="193"/>
      <c r="X2900" s="193"/>
      <c r="Y2900" s="193"/>
      <c r="Z2900" s="193"/>
      <c r="AC2900" s="193"/>
      <c r="AD2900" s="193"/>
      <c r="AE2900" s="193"/>
      <c r="AF2900" s="193"/>
    </row>
    <row r="2901" spans="21:32" x14ac:dyDescent="0.3">
      <c r="U2901" s="193"/>
      <c r="V2901" s="193"/>
      <c r="W2901" s="193"/>
      <c r="X2901" s="193"/>
      <c r="Y2901" s="193"/>
      <c r="Z2901" s="193"/>
      <c r="AC2901" s="193"/>
      <c r="AD2901" s="193"/>
      <c r="AE2901" s="193"/>
      <c r="AF2901" s="193"/>
    </row>
    <row r="2902" spans="21:32" x14ac:dyDescent="0.3">
      <c r="U2902" s="193"/>
      <c r="V2902" s="193"/>
      <c r="W2902" s="193"/>
      <c r="X2902" s="193"/>
      <c r="Y2902" s="193"/>
      <c r="Z2902" s="193"/>
      <c r="AC2902" s="193"/>
      <c r="AD2902" s="193"/>
      <c r="AE2902" s="193"/>
      <c r="AF2902" s="193"/>
    </row>
    <row r="2903" spans="21:32" x14ac:dyDescent="0.3">
      <c r="U2903" s="193"/>
      <c r="V2903" s="193"/>
      <c r="W2903" s="193"/>
      <c r="X2903" s="193"/>
      <c r="Y2903" s="193"/>
      <c r="Z2903" s="193"/>
      <c r="AC2903" s="193"/>
      <c r="AD2903" s="193"/>
      <c r="AE2903" s="193"/>
      <c r="AF2903" s="193"/>
    </row>
    <row r="2904" spans="21:32" x14ac:dyDescent="0.3">
      <c r="U2904" s="193"/>
      <c r="V2904" s="193"/>
      <c r="W2904" s="193"/>
      <c r="X2904" s="193"/>
      <c r="Y2904" s="193"/>
      <c r="Z2904" s="193"/>
      <c r="AC2904" s="193"/>
      <c r="AD2904" s="193"/>
      <c r="AE2904" s="193"/>
      <c r="AF2904" s="193"/>
    </row>
    <row r="2905" spans="21:32" x14ac:dyDescent="0.3">
      <c r="U2905" s="193"/>
      <c r="V2905" s="193"/>
      <c r="W2905" s="193"/>
      <c r="X2905" s="193"/>
      <c r="Y2905" s="193"/>
      <c r="Z2905" s="193"/>
      <c r="AC2905" s="193"/>
      <c r="AD2905" s="193"/>
      <c r="AE2905" s="193"/>
      <c r="AF2905" s="193"/>
    </row>
    <row r="2906" spans="21:32" x14ac:dyDescent="0.3">
      <c r="U2906" s="193"/>
      <c r="V2906" s="193"/>
      <c r="W2906" s="193"/>
      <c r="X2906" s="193"/>
      <c r="Y2906" s="193"/>
      <c r="Z2906" s="193"/>
      <c r="AC2906" s="193"/>
      <c r="AD2906" s="193"/>
      <c r="AE2906" s="193"/>
      <c r="AF2906" s="193"/>
    </row>
    <row r="2907" spans="21:32" x14ac:dyDescent="0.3">
      <c r="U2907" s="193"/>
      <c r="V2907" s="193"/>
      <c r="W2907" s="193"/>
      <c r="X2907" s="193"/>
      <c r="Y2907" s="193"/>
      <c r="Z2907" s="193"/>
      <c r="AC2907" s="193"/>
      <c r="AD2907" s="193"/>
      <c r="AE2907" s="193"/>
      <c r="AF2907" s="193"/>
    </row>
    <row r="2908" spans="21:32" x14ac:dyDescent="0.3">
      <c r="U2908" s="193"/>
      <c r="V2908" s="193"/>
      <c r="W2908" s="193"/>
      <c r="X2908" s="193"/>
      <c r="Y2908" s="193"/>
      <c r="Z2908" s="193"/>
      <c r="AC2908" s="193"/>
      <c r="AD2908" s="193"/>
      <c r="AE2908" s="193"/>
      <c r="AF2908" s="193"/>
    </row>
    <row r="2909" spans="21:32" x14ac:dyDescent="0.3">
      <c r="U2909" s="193"/>
      <c r="V2909" s="193"/>
      <c r="W2909" s="193"/>
      <c r="X2909" s="193"/>
      <c r="Y2909" s="193"/>
      <c r="Z2909" s="193"/>
      <c r="AC2909" s="193"/>
      <c r="AD2909" s="193"/>
      <c r="AE2909" s="193"/>
      <c r="AF2909" s="193"/>
    </row>
    <row r="2910" spans="21:32" x14ac:dyDescent="0.3">
      <c r="U2910" s="193"/>
      <c r="V2910" s="193"/>
      <c r="W2910" s="193"/>
      <c r="X2910" s="193"/>
      <c r="Y2910" s="193"/>
      <c r="Z2910" s="193"/>
      <c r="AC2910" s="193"/>
      <c r="AD2910" s="193"/>
      <c r="AE2910" s="193"/>
      <c r="AF2910" s="193"/>
    </row>
    <row r="2911" spans="21:32" x14ac:dyDescent="0.3">
      <c r="U2911" s="193"/>
      <c r="V2911" s="193"/>
      <c r="W2911" s="193"/>
      <c r="X2911" s="193"/>
      <c r="Y2911" s="193"/>
      <c r="Z2911" s="193"/>
      <c r="AC2911" s="193"/>
      <c r="AD2911" s="193"/>
      <c r="AE2911" s="193"/>
      <c r="AF2911" s="193"/>
    </row>
    <row r="2912" spans="21:32" x14ac:dyDescent="0.3">
      <c r="U2912" s="193"/>
      <c r="V2912" s="193"/>
      <c r="W2912" s="193"/>
      <c r="X2912" s="193"/>
      <c r="Y2912" s="193"/>
      <c r="Z2912" s="193"/>
      <c r="AC2912" s="193"/>
      <c r="AD2912" s="193"/>
      <c r="AE2912" s="193"/>
      <c r="AF2912" s="193"/>
    </row>
    <row r="2913" spans="21:32" x14ac:dyDescent="0.3">
      <c r="U2913" s="193"/>
      <c r="V2913" s="193"/>
      <c r="W2913" s="193"/>
      <c r="X2913" s="193"/>
      <c r="Y2913" s="193"/>
      <c r="Z2913" s="193"/>
      <c r="AC2913" s="193"/>
      <c r="AD2913" s="193"/>
      <c r="AE2913" s="193"/>
      <c r="AF2913" s="193"/>
    </row>
    <row r="2914" spans="21:32" x14ac:dyDescent="0.3">
      <c r="U2914" s="193"/>
      <c r="V2914" s="193"/>
      <c r="W2914" s="193"/>
      <c r="X2914" s="193"/>
      <c r="Y2914" s="193"/>
      <c r="Z2914" s="193"/>
      <c r="AC2914" s="193"/>
      <c r="AD2914" s="193"/>
      <c r="AE2914" s="193"/>
      <c r="AF2914" s="193"/>
    </row>
    <row r="2915" spans="21:32" x14ac:dyDescent="0.3">
      <c r="U2915" s="193"/>
      <c r="V2915" s="193"/>
      <c r="W2915" s="193"/>
      <c r="X2915" s="193"/>
      <c r="Y2915" s="193"/>
      <c r="Z2915" s="193"/>
      <c r="AC2915" s="193"/>
      <c r="AD2915" s="193"/>
      <c r="AE2915" s="193"/>
      <c r="AF2915" s="193"/>
    </row>
    <row r="2916" spans="21:32" x14ac:dyDescent="0.3">
      <c r="U2916" s="193"/>
      <c r="V2916" s="193"/>
      <c r="W2916" s="193"/>
      <c r="X2916" s="193"/>
      <c r="Y2916" s="193"/>
      <c r="Z2916" s="193"/>
      <c r="AC2916" s="193"/>
      <c r="AD2916" s="193"/>
      <c r="AE2916" s="193"/>
      <c r="AF2916" s="193"/>
    </row>
    <row r="2917" spans="21:32" x14ac:dyDescent="0.3">
      <c r="U2917" s="193"/>
      <c r="V2917" s="193"/>
      <c r="W2917" s="193"/>
      <c r="X2917" s="193"/>
      <c r="Y2917" s="193"/>
      <c r="Z2917" s="193"/>
      <c r="AC2917" s="193"/>
      <c r="AD2917" s="193"/>
      <c r="AE2917" s="193"/>
      <c r="AF2917" s="193"/>
    </row>
    <row r="2918" spans="21:32" x14ac:dyDescent="0.3">
      <c r="U2918" s="193"/>
      <c r="V2918" s="193"/>
      <c r="W2918" s="193"/>
      <c r="X2918" s="193"/>
      <c r="Y2918" s="193"/>
      <c r="Z2918" s="193"/>
      <c r="AC2918" s="193"/>
      <c r="AD2918" s="193"/>
      <c r="AE2918" s="193"/>
      <c r="AF2918" s="193"/>
    </row>
    <row r="2919" spans="21:32" x14ac:dyDescent="0.3">
      <c r="U2919" s="193"/>
      <c r="V2919" s="193"/>
      <c r="W2919" s="193"/>
      <c r="X2919" s="193"/>
      <c r="Y2919" s="193"/>
      <c r="Z2919" s="193"/>
      <c r="AC2919" s="193"/>
      <c r="AD2919" s="193"/>
      <c r="AE2919" s="193"/>
      <c r="AF2919" s="193"/>
    </row>
    <row r="2920" spans="21:32" x14ac:dyDescent="0.3">
      <c r="U2920" s="193"/>
      <c r="V2920" s="193"/>
      <c r="W2920" s="193"/>
      <c r="X2920" s="193"/>
      <c r="Y2920" s="193"/>
      <c r="Z2920" s="193"/>
      <c r="AC2920" s="193"/>
      <c r="AD2920" s="193"/>
      <c r="AE2920" s="193"/>
      <c r="AF2920" s="193"/>
    </row>
    <row r="2921" spans="21:32" x14ac:dyDescent="0.3">
      <c r="U2921" s="193"/>
      <c r="V2921" s="193"/>
      <c r="W2921" s="193"/>
      <c r="X2921" s="193"/>
      <c r="Y2921" s="193"/>
      <c r="Z2921" s="193"/>
      <c r="AC2921" s="193"/>
      <c r="AD2921" s="193"/>
      <c r="AE2921" s="193"/>
      <c r="AF2921" s="193"/>
    </row>
    <row r="2922" spans="21:32" x14ac:dyDescent="0.3">
      <c r="U2922" s="193"/>
      <c r="V2922" s="193"/>
      <c r="W2922" s="193"/>
      <c r="X2922" s="193"/>
      <c r="Y2922" s="193"/>
      <c r="Z2922" s="193"/>
      <c r="AC2922" s="193"/>
      <c r="AD2922" s="193"/>
      <c r="AE2922" s="193"/>
      <c r="AF2922" s="193"/>
    </row>
    <row r="2923" spans="21:32" x14ac:dyDescent="0.3">
      <c r="U2923" s="193"/>
      <c r="V2923" s="193"/>
      <c r="W2923" s="193"/>
      <c r="X2923" s="193"/>
      <c r="Y2923" s="193"/>
      <c r="Z2923" s="193"/>
      <c r="AC2923" s="193"/>
      <c r="AD2923" s="193"/>
      <c r="AE2923" s="193"/>
      <c r="AF2923" s="193"/>
    </row>
    <row r="2924" spans="21:32" x14ac:dyDescent="0.3">
      <c r="U2924" s="193"/>
      <c r="V2924" s="193"/>
      <c r="W2924" s="193"/>
      <c r="X2924" s="193"/>
      <c r="Y2924" s="193"/>
      <c r="Z2924" s="193"/>
      <c r="AC2924" s="193"/>
      <c r="AD2924" s="193"/>
      <c r="AE2924" s="193"/>
      <c r="AF2924" s="193"/>
    </row>
    <row r="2925" spans="21:32" x14ac:dyDescent="0.3">
      <c r="U2925" s="193"/>
      <c r="V2925" s="193"/>
      <c r="W2925" s="193"/>
      <c r="X2925" s="193"/>
      <c r="Y2925" s="193"/>
      <c r="Z2925" s="193"/>
      <c r="AC2925" s="193"/>
      <c r="AD2925" s="193"/>
      <c r="AE2925" s="193"/>
      <c r="AF2925" s="193"/>
    </row>
    <row r="2926" spans="21:32" x14ac:dyDescent="0.3">
      <c r="U2926" s="193"/>
      <c r="V2926" s="193"/>
      <c r="W2926" s="193"/>
      <c r="X2926" s="193"/>
      <c r="Y2926" s="193"/>
      <c r="Z2926" s="193"/>
      <c r="AC2926" s="193"/>
      <c r="AD2926" s="193"/>
      <c r="AE2926" s="193"/>
      <c r="AF2926" s="193"/>
    </row>
    <row r="2927" spans="21:32" x14ac:dyDescent="0.3">
      <c r="U2927" s="193"/>
      <c r="V2927" s="193"/>
      <c r="W2927" s="193"/>
      <c r="X2927" s="193"/>
      <c r="Y2927" s="193"/>
      <c r="Z2927" s="193"/>
      <c r="AC2927" s="193"/>
      <c r="AD2927" s="193"/>
      <c r="AE2927" s="193"/>
      <c r="AF2927" s="193"/>
    </row>
    <row r="2928" spans="21:32" x14ac:dyDescent="0.3">
      <c r="U2928" s="193"/>
      <c r="V2928" s="193"/>
      <c r="W2928" s="193"/>
      <c r="X2928" s="193"/>
      <c r="Y2928" s="193"/>
      <c r="Z2928" s="193"/>
      <c r="AC2928" s="193"/>
      <c r="AD2928" s="193"/>
      <c r="AE2928" s="193"/>
      <c r="AF2928" s="193"/>
    </row>
    <row r="2929" spans="21:32" x14ac:dyDescent="0.3">
      <c r="U2929" s="193"/>
      <c r="V2929" s="193"/>
      <c r="W2929" s="193"/>
      <c r="X2929" s="193"/>
      <c r="Y2929" s="193"/>
      <c r="Z2929" s="193"/>
      <c r="AC2929" s="193"/>
      <c r="AD2929" s="193"/>
      <c r="AE2929" s="193"/>
      <c r="AF2929" s="193"/>
    </row>
    <row r="2930" spans="21:32" x14ac:dyDescent="0.3">
      <c r="U2930" s="193"/>
      <c r="V2930" s="193"/>
      <c r="W2930" s="193"/>
      <c r="X2930" s="193"/>
      <c r="Y2930" s="193"/>
      <c r="Z2930" s="193"/>
      <c r="AC2930" s="193"/>
      <c r="AD2930" s="193"/>
      <c r="AE2930" s="193"/>
      <c r="AF2930" s="193"/>
    </row>
    <row r="2931" spans="21:32" x14ac:dyDescent="0.3">
      <c r="U2931" s="193"/>
      <c r="V2931" s="193"/>
      <c r="W2931" s="193"/>
      <c r="X2931" s="193"/>
      <c r="Y2931" s="193"/>
      <c r="Z2931" s="193"/>
      <c r="AC2931" s="193"/>
      <c r="AD2931" s="193"/>
      <c r="AE2931" s="193"/>
      <c r="AF2931" s="193"/>
    </row>
    <row r="2932" spans="21:32" x14ac:dyDescent="0.3">
      <c r="U2932" s="193"/>
      <c r="V2932" s="193"/>
      <c r="W2932" s="193"/>
      <c r="X2932" s="193"/>
      <c r="Y2932" s="193"/>
      <c r="Z2932" s="193"/>
      <c r="AC2932" s="193"/>
      <c r="AD2932" s="193"/>
      <c r="AE2932" s="193"/>
      <c r="AF2932" s="193"/>
    </row>
    <row r="2933" spans="21:32" x14ac:dyDescent="0.3">
      <c r="U2933" s="193"/>
      <c r="V2933" s="193"/>
      <c r="W2933" s="193"/>
      <c r="X2933" s="193"/>
      <c r="Y2933" s="193"/>
      <c r="Z2933" s="193"/>
      <c r="AC2933" s="193"/>
      <c r="AD2933" s="193"/>
      <c r="AE2933" s="193"/>
      <c r="AF2933" s="193"/>
    </row>
    <row r="2934" spans="21:32" x14ac:dyDescent="0.3">
      <c r="U2934" s="193"/>
      <c r="V2934" s="193"/>
      <c r="W2934" s="193"/>
      <c r="X2934" s="193"/>
      <c r="Y2934" s="193"/>
      <c r="Z2934" s="193"/>
      <c r="AC2934" s="193"/>
      <c r="AD2934" s="193"/>
      <c r="AE2934" s="193"/>
      <c r="AF2934" s="193"/>
    </row>
    <row r="2935" spans="21:32" x14ac:dyDescent="0.3">
      <c r="U2935" s="193"/>
      <c r="V2935" s="193"/>
      <c r="W2935" s="193"/>
      <c r="X2935" s="193"/>
      <c r="Y2935" s="193"/>
      <c r="Z2935" s="193"/>
      <c r="AC2935" s="193"/>
      <c r="AD2935" s="193"/>
      <c r="AE2935" s="193"/>
      <c r="AF2935" s="193"/>
    </row>
    <row r="2936" spans="21:32" x14ac:dyDescent="0.3">
      <c r="U2936" s="193"/>
      <c r="V2936" s="193"/>
      <c r="W2936" s="193"/>
      <c r="X2936" s="193"/>
      <c r="Y2936" s="193"/>
      <c r="Z2936" s="193"/>
      <c r="AC2936" s="193"/>
      <c r="AD2936" s="193"/>
      <c r="AE2936" s="193"/>
      <c r="AF2936" s="193"/>
    </row>
    <row r="2937" spans="21:32" x14ac:dyDescent="0.3">
      <c r="U2937" s="193"/>
      <c r="V2937" s="193"/>
      <c r="W2937" s="193"/>
      <c r="X2937" s="193"/>
      <c r="Y2937" s="193"/>
      <c r="Z2937" s="193"/>
      <c r="AC2937" s="193"/>
      <c r="AD2937" s="193"/>
      <c r="AE2937" s="193"/>
      <c r="AF2937" s="193"/>
    </row>
    <row r="2938" spans="21:32" x14ac:dyDescent="0.3">
      <c r="U2938" s="193"/>
      <c r="V2938" s="193"/>
      <c r="W2938" s="193"/>
      <c r="X2938" s="193"/>
      <c r="Y2938" s="193"/>
      <c r="Z2938" s="193"/>
      <c r="AC2938" s="193"/>
      <c r="AD2938" s="193"/>
      <c r="AE2938" s="193"/>
      <c r="AF2938" s="193"/>
    </row>
    <row r="2939" spans="21:32" x14ac:dyDescent="0.3">
      <c r="U2939" s="193"/>
      <c r="V2939" s="193"/>
      <c r="W2939" s="193"/>
      <c r="X2939" s="193"/>
      <c r="Y2939" s="193"/>
      <c r="Z2939" s="193"/>
      <c r="AC2939" s="193"/>
      <c r="AD2939" s="193"/>
      <c r="AE2939" s="193"/>
      <c r="AF2939" s="193"/>
    </row>
    <row r="2940" spans="21:32" x14ac:dyDescent="0.3">
      <c r="U2940" s="193"/>
      <c r="V2940" s="193"/>
      <c r="W2940" s="193"/>
      <c r="X2940" s="193"/>
      <c r="Y2940" s="193"/>
      <c r="Z2940" s="193"/>
      <c r="AC2940" s="193"/>
      <c r="AD2940" s="193"/>
      <c r="AE2940" s="193"/>
      <c r="AF2940" s="193"/>
    </row>
    <row r="2941" spans="21:32" x14ac:dyDescent="0.3">
      <c r="U2941" s="193"/>
      <c r="V2941" s="193"/>
      <c r="W2941" s="193"/>
      <c r="X2941" s="193"/>
      <c r="Y2941" s="193"/>
      <c r="Z2941" s="193"/>
      <c r="AC2941" s="193"/>
      <c r="AD2941" s="193"/>
      <c r="AE2941" s="193"/>
      <c r="AF2941" s="193"/>
    </row>
    <row r="2942" spans="21:32" x14ac:dyDescent="0.3">
      <c r="U2942" s="193"/>
      <c r="V2942" s="193"/>
      <c r="W2942" s="193"/>
      <c r="X2942" s="193"/>
      <c r="Y2942" s="193"/>
      <c r="Z2942" s="193"/>
      <c r="AC2942" s="193"/>
      <c r="AD2942" s="193"/>
      <c r="AE2942" s="193"/>
      <c r="AF2942" s="193"/>
    </row>
    <row r="2943" spans="21:32" x14ac:dyDescent="0.3">
      <c r="U2943" s="193"/>
      <c r="V2943" s="193"/>
      <c r="W2943" s="193"/>
      <c r="X2943" s="193"/>
      <c r="Y2943" s="193"/>
      <c r="Z2943" s="193"/>
      <c r="AC2943" s="193"/>
      <c r="AD2943" s="193"/>
      <c r="AE2943" s="193"/>
      <c r="AF2943" s="193"/>
    </row>
    <row r="2944" spans="21:32" x14ac:dyDescent="0.3">
      <c r="U2944" s="193"/>
      <c r="V2944" s="193"/>
      <c r="W2944" s="193"/>
      <c r="X2944" s="193"/>
      <c r="Y2944" s="193"/>
      <c r="Z2944" s="193"/>
      <c r="AC2944" s="193"/>
      <c r="AD2944" s="193"/>
      <c r="AE2944" s="193"/>
      <c r="AF2944" s="193"/>
    </row>
    <row r="2945" spans="21:32" x14ac:dyDescent="0.3">
      <c r="U2945" s="193"/>
      <c r="V2945" s="193"/>
      <c r="W2945" s="193"/>
      <c r="X2945" s="193"/>
      <c r="Y2945" s="193"/>
      <c r="Z2945" s="193"/>
      <c r="AC2945" s="193"/>
      <c r="AD2945" s="193"/>
      <c r="AE2945" s="193"/>
      <c r="AF2945" s="193"/>
    </row>
    <row r="2946" spans="21:32" x14ac:dyDescent="0.3">
      <c r="U2946" s="193"/>
      <c r="V2946" s="193"/>
      <c r="W2946" s="193"/>
      <c r="X2946" s="193"/>
      <c r="Y2946" s="193"/>
      <c r="Z2946" s="193"/>
      <c r="AC2946" s="193"/>
      <c r="AD2946" s="193"/>
      <c r="AE2946" s="193"/>
      <c r="AF2946" s="193"/>
    </row>
    <row r="2947" spans="21:32" x14ac:dyDescent="0.3">
      <c r="U2947" s="193"/>
      <c r="V2947" s="193"/>
      <c r="W2947" s="193"/>
      <c r="X2947" s="193"/>
      <c r="Y2947" s="193"/>
      <c r="Z2947" s="193"/>
      <c r="AC2947" s="193"/>
      <c r="AD2947" s="193"/>
      <c r="AE2947" s="193"/>
      <c r="AF2947" s="193"/>
    </row>
    <row r="2948" spans="21:32" x14ac:dyDescent="0.3">
      <c r="U2948" s="193"/>
      <c r="V2948" s="193"/>
      <c r="W2948" s="193"/>
      <c r="X2948" s="193"/>
      <c r="Y2948" s="193"/>
      <c r="Z2948" s="193"/>
      <c r="AC2948" s="193"/>
      <c r="AD2948" s="193"/>
      <c r="AE2948" s="193"/>
      <c r="AF2948" s="193"/>
    </row>
    <row r="2949" spans="21:32" x14ac:dyDescent="0.3">
      <c r="U2949" s="193"/>
      <c r="V2949" s="193"/>
      <c r="W2949" s="193"/>
      <c r="X2949" s="193"/>
      <c r="Y2949" s="193"/>
      <c r="Z2949" s="193"/>
      <c r="AC2949" s="193"/>
      <c r="AD2949" s="193"/>
      <c r="AE2949" s="193"/>
      <c r="AF2949" s="193"/>
    </row>
    <row r="2950" spans="21:32" x14ac:dyDescent="0.3">
      <c r="U2950" s="193"/>
      <c r="V2950" s="193"/>
      <c r="W2950" s="193"/>
      <c r="X2950" s="193"/>
      <c r="Y2950" s="193"/>
      <c r="Z2950" s="193"/>
      <c r="AC2950" s="193"/>
      <c r="AD2950" s="193"/>
      <c r="AE2950" s="193"/>
      <c r="AF2950" s="193"/>
    </row>
    <row r="2951" spans="21:32" x14ac:dyDescent="0.3">
      <c r="U2951" s="193"/>
      <c r="V2951" s="193"/>
      <c r="W2951" s="193"/>
      <c r="X2951" s="193"/>
      <c r="Y2951" s="193"/>
      <c r="Z2951" s="193"/>
      <c r="AC2951" s="193"/>
      <c r="AD2951" s="193"/>
      <c r="AE2951" s="193"/>
      <c r="AF2951" s="193"/>
    </row>
    <row r="2952" spans="21:32" x14ac:dyDescent="0.3">
      <c r="U2952" s="193"/>
      <c r="V2952" s="193"/>
      <c r="W2952" s="193"/>
      <c r="X2952" s="193"/>
      <c r="Y2952" s="193"/>
      <c r="Z2952" s="193"/>
      <c r="AC2952" s="193"/>
      <c r="AD2952" s="193"/>
      <c r="AE2952" s="193"/>
      <c r="AF2952" s="193"/>
    </row>
    <row r="2953" spans="21:32" x14ac:dyDescent="0.3">
      <c r="U2953" s="193"/>
      <c r="V2953" s="193"/>
      <c r="W2953" s="193"/>
      <c r="X2953" s="193"/>
      <c r="Y2953" s="193"/>
      <c r="Z2953" s="193"/>
      <c r="AC2953" s="193"/>
      <c r="AD2953" s="193"/>
      <c r="AE2953" s="193"/>
      <c r="AF2953" s="193"/>
    </row>
    <row r="2954" spans="21:32" x14ac:dyDescent="0.3">
      <c r="U2954" s="193"/>
      <c r="V2954" s="193"/>
      <c r="W2954" s="193"/>
      <c r="X2954" s="193"/>
      <c r="Y2954" s="193"/>
      <c r="Z2954" s="193"/>
      <c r="AC2954" s="193"/>
      <c r="AD2954" s="193"/>
      <c r="AE2954" s="193"/>
      <c r="AF2954" s="193"/>
    </row>
    <row r="2955" spans="21:32" x14ac:dyDescent="0.3">
      <c r="U2955" s="193"/>
      <c r="V2955" s="193"/>
      <c r="W2955" s="193"/>
      <c r="X2955" s="193"/>
      <c r="Y2955" s="193"/>
      <c r="Z2955" s="193"/>
      <c r="AC2955" s="193"/>
      <c r="AD2955" s="193"/>
      <c r="AE2955" s="193"/>
      <c r="AF2955" s="193"/>
    </row>
    <row r="2956" spans="21:32" x14ac:dyDescent="0.3">
      <c r="U2956" s="193"/>
      <c r="V2956" s="193"/>
      <c r="W2956" s="193"/>
      <c r="X2956" s="193"/>
      <c r="Y2956" s="193"/>
      <c r="Z2956" s="193"/>
      <c r="AC2956" s="193"/>
      <c r="AD2956" s="193"/>
      <c r="AE2956" s="193"/>
      <c r="AF2956" s="193"/>
    </row>
    <row r="2957" spans="21:32" x14ac:dyDescent="0.3">
      <c r="U2957" s="193"/>
      <c r="V2957" s="193"/>
      <c r="W2957" s="193"/>
      <c r="X2957" s="193"/>
      <c r="Y2957" s="193"/>
      <c r="Z2957" s="193"/>
      <c r="AC2957" s="193"/>
      <c r="AD2957" s="193"/>
      <c r="AE2957" s="193"/>
      <c r="AF2957" s="193"/>
    </row>
    <row r="2958" spans="21:32" x14ac:dyDescent="0.3">
      <c r="U2958" s="193"/>
      <c r="V2958" s="193"/>
      <c r="W2958" s="193"/>
      <c r="X2958" s="193"/>
      <c r="Y2958" s="193"/>
      <c r="Z2958" s="193"/>
      <c r="AC2958" s="193"/>
      <c r="AD2958" s="193"/>
      <c r="AE2958" s="193"/>
      <c r="AF2958" s="193"/>
    </row>
    <row r="2959" spans="21:32" x14ac:dyDescent="0.3">
      <c r="U2959" s="193"/>
      <c r="V2959" s="193"/>
      <c r="W2959" s="193"/>
      <c r="X2959" s="193"/>
      <c r="Y2959" s="193"/>
      <c r="Z2959" s="193"/>
      <c r="AC2959" s="193"/>
      <c r="AD2959" s="193"/>
      <c r="AE2959" s="193"/>
      <c r="AF2959" s="193"/>
    </row>
    <row r="2960" spans="21:32" x14ac:dyDescent="0.3">
      <c r="U2960" s="193"/>
      <c r="V2960" s="193"/>
      <c r="W2960" s="193"/>
      <c r="X2960" s="193"/>
      <c r="Y2960" s="193"/>
      <c r="Z2960" s="193"/>
      <c r="AC2960" s="193"/>
      <c r="AD2960" s="193"/>
      <c r="AE2960" s="193"/>
      <c r="AF2960" s="193"/>
    </row>
    <row r="2961" spans="21:32" x14ac:dyDescent="0.3">
      <c r="U2961" s="193"/>
      <c r="V2961" s="193"/>
      <c r="W2961" s="193"/>
      <c r="X2961" s="193"/>
      <c r="Y2961" s="193"/>
      <c r="Z2961" s="193"/>
      <c r="AC2961" s="193"/>
      <c r="AD2961" s="193"/>
      <c r="AE2961" s="193"/>
      <c r="AF2961" s="193"/>
    </row>
    <row r="2962" spans="21:32" x14ac:dyDescent="0.3">
      <c r="U2962" s="193"/>
      <c r="V2962" s="193"/>
      <c r="W2962" s="193"/>
      <c r="X2962" s="193"/>
      <c r="Y2962" s="193"/>
      <c r="Z2962" s="193"/>
      <c r="AC2962" s="193"/>
      <c r="AD2962" s="193"/>
      <c r="AE2962" s="193"/>
      <c r="AF2962" s="193"/>
    </row>
    <row r="2963" spans="21:32" x14ac:dyDescent="0.3">
      <c r="U2963" s="193"/>
      <c r="V2963" s="193"/>
      <c r="W2963" s="193"/>
      <c r="X2963" s="193"/>
      <c r="Y2963" s="193"/>
      <c r="Z2963" s="193"/>
      <c r="AC2963" s="193"/>
      <c r="AD2963" s="193"/>
      <c r="AE2963" s="193"/>
      <c r="AF2963" s="193"/>
    </row>
    <row r="2964" spans="21:32" x14ac:dyDescent="0.3">
      <c r="U2964" s="193"/>
      <c r="V2964" s="193"/>
      <c r="W2964" s="193"/>
      <c r="X2964" s="193"/>
      <c r="Y2964" s="193"/>
      <c r="Z2964" s="193"/>
      <c r="AC2964" s="193"/>
      <c r="AD2964" s="193"/>
      <c r="AE2964" s="193"/>
      <c r="AF2964" s="193"/>
    </row>
    <row r="2965" spans="21:32" x14ac:dyDescent="0.3">
      <c r="U2965" s="193"/>
      <c r="V2965" s="193"/>
      <c r="W2965" s="193"/>
      <c r="X2965" s="193"/>
      <c r="Y2965" s="193"/>
      <c r="Z2965" s="193"/>
      <c r="AC2965" s="193"/>
      <c r="AD2965" s="193"/>
      <c r="AE2965" s="193"/>
      <c r="AF2965" s="193"/>
    </row>
    <row r="2966" spans="21:32" x14ac:dyDescent="0.3">
      <c r="U2966" s="193"/>
      <c r="V2966" s="193"/>
      <c r="W2966" s="193"/>
      <c r="X2966" s="193"/>
      <c r="Y2966" s="193"/>
      <c r="Z2966" s="193"/>
      <c r="AC2966" s="193"/>
      <c r="AD2966" s="193"/>
      <c r="AE2966" s="193"/>
      <c r="AF2966" s="193"/>
    </row>
    <row r="2967" spans="21:32" x14ac:dyDescent="0.3">
      <c r="U2967" s="193"/>
      <c r="V2967" s="193"/>
      <c r="W2967" s="193"/>
      <c r="X2967" s="193"/>
      <c r="Y2967" s="193"/>
      <c r="Z2967" s="193"/>
      <c r="AC2967" s="193"/>
      <c r="AD2967" s="193"/>
      <c r="AE2967" s="193"/>
      <c r="AF2967" s="193"/>
    </row>
    <row r="2968" spans="21:32" x14ac:dyDescent="0.3">
      <c r="U2968" s="193"/>
      <c r="V2968" s="193"/>
      <c r="W2968" s="193"/>
      <c r="X2968" s="193"/>
      <c r="Y2968" s="193"/>
      <c r="Z2968" s="193"/>
      <c r="AC2968" s="193"/>
      <c r="AD2968" s="193"/>
      <c r="AE2968" s="193"/>
      <c r="AF2968" s="193"/>
    </row>
    <row r="2969" spans="21:32" x14ac:dyDescent="0.3">
      <c r="U2969" s="193"/>
      <c r="V2969" s="193"/>
      <c r="W2969" s="193"/>
      <c r="X2969" s="193"/>
      <c r="Y2969" s="193"/>
      <c r="Z2969" s="193"/>
      <c r="AC2969" s="193"/>
      <c r="AD2969" s="193"/>
      <c r="AE2969" s="193"/>
      <c r="AF2969" s="193"/>
    </row>
    <row r="2970" spans="21:32" x14ac:dyDescent="0.3">
      <c r="U2970" s="193"/>
      <c r="V2970" s="193"/>
      <c r="W2970" s="193"/>
      <c r="X2970" s="193"/>
      <c r="Y2970" s="193"/>
      <c r="Z2970" s="193"/>
      <c r="AC2970" s="193"/>
      <c r="AD2970" s="193"/>
      <c r="AE2970" s="193"/>
      <c r="AF2970" s="193"/>
    </row>
    <row r="2971" spans="21:32" x14ac:dyDescent="0.3">
      <c r="U2971" s="193"/>
      <c r="V2971" s="193"/>
      <c r="W2971" s="193"/>
      <c r="X2971" s="193"/>
      <c r="Y2971" s="193"/>
      <c r="Z2971" s="193"/>
      <c r="AC2971" s="193"/>
      <c r="AD2971" s="193"/>
      <c r="AE2971" s="193"/>
      <c r="AF2971" s="193"/>
    </row>
    <row r="2972" spans="21:32" x14ac:dyDescent="0.3">
      <c r="U2972" s="193"/>
      <c r="V2972" s="193"/>
      <c r="W2972" s="193"/>
      <c r="X2972" s="193"/>
      <c r="Y2972" s="193"/>
      <c r="Z2972" s="193"/>
      <c r="AC2972" s="193"/>
      <c r="AD2972" s="193"/>
      <c r="AE2972" s="193"/>
      <c r="AF2972" s="193"/>
    </row>
    <row r="2973" spans="21:32" x14ac:dyDescent="0.3">
      <c r="U2973" s="193"/>
      <c r="V2973" s="193"/>
      <c r="W2973" s="193"/>
      <c r="X2973" s="193"/>
      <c r="Y2973" s="193"/>
      <c r="Z2973" s="193"/>
      <c r="AC2973" s="193"/>
      <c r="AD2973" s="193"/>
      <c r="AE2973" s="193"/>
      <c r="AF2973" s="193"/>
    </row>
    <row r="2974" spans="21:32" x14ac:dyDescent="0.3">
      <c r="U2974" s="193"/>
      <c r="V2974" s="193"/>
      <c r="W2974" s="193"/>
      <c r="X2974" s="193"/>
      <c r="Y2974" s="193"/>
      <c r="Z2974" s="193"/>
      <c r="AC2974" s="193"/>
      <c r="AD2974" s="193"/>
      <c r="AE2974" s="193"/>
      <c r="AF2974" s="193"/>
    </row>
    <row r="2975" spans="21:32" x14ac:dyDescent="0.3">
      <c r="U2975" s="193"/>
      <c r="V2975" s="193"/>
      <c r="W2975" s="193"/>
      <c r="X2975" s="193"/>
      <c r="Y2975" s="193"/>
      <c r="Z2975" s="193"/>
      <c r="AC2975" s="193"/>
      <c r="AD2975" s="193"/>
      <c r="AE2975" s="193"/>
      <c r="AF2975" s="193"/>
    </row>
    <row r="2976" spans="21:32" x14ac:dyDescent="0.3">
      <c r="U2976" s="193"/>
      <c r="V2976" s="193"/>
      <c r="W2976" s="193"/>
      <c r="X2976" s="193"/>
      <c r="Y2976" s="193"/>
      <c r="Z2976" s="193"/>
      <c r="AC2976" s="193"/>
      <c r="AD2976" s="193"/>
      <c r="AE2976" s="193"/>
      <c r="AF2976" s="193"/>
    </row>
    <row r="2977" spans="21:32" x14ac:dyDescent="0.3">
      <c r="U2977" s="193"/>
      <c r="V2977" s="193"/>
      <c r="W2977" s="193"/>
      <c r="X2977" s="193"/>
      <c r="Y2977" s="193"/>
      <c r="Z2977" s="193"/>
      <c r="AC2977" s="193"/>
      <c r="AD2977" s="193"/>
      <c r="AE2977" s="193"/>
      <c r="AF2977" s="193"/>
    </row>
    <row r="2978" spans="21:32" x14ac:dyDescent="0.3">
      <c r="U2978" s="193"/>
      <c r="V2978" s="193"/>
      <c r="W2978" s="193"/>
      <c r="X2978" s="193"/>
      <c r="Y2978" s="193"/>
      <c r="Z2978" s="193"/>
      <c r="AC2978" s="193"/>
      <c r="AD2978" s="193"/>
      <c r="AE2978" s="193"/>
      <c r="AF2978" s="193"/>
    </row>
    <row r="2979" spans="21:32" x14ac:dyDescent="0.3">
      <c r="U2979" s="193"/>
      <c r="V2979" s="193"/>
      <c r="W2979" s="193"/>
      <c r="X2979" s="193"/>
      <c r="Y2979" s="193"/>
      <c r="Z2979" s="193"/>
      <c r="AC2979" s="193"/>
      <c r="AD2979" s="193"/>
      <c r="AE2979" s="193"/>
      <c r="AF2979" s="193"/>
    </row>
    <row r="2980" spans="21:32" x14ac:dyDescent="0.3">
      <c r="U2980" s="193"/>
      <c r="V2980" s="193"/>
      <c r="W2980" s="193"/>
      <c r="X2980" s="193"/>
      <c r="Y2980" s="193"/>
      <c r="Z2980" s="193"/>
      <c r="AC2980" s="193"/>
      <c r="AD2980" s="193"/>
      <c r="AE2980" s="193"/>
      <c r="AF2980" s="193"/>
    </row>
    <row r="2981" spans="21:32" x14ac:dyDescent="0.3">
      <c r="U2981" s="193"/>
      <c r="V2981" s="193"/>
      <c r="W2981" s="193"/>
      <c r="X2981" s="193"/>
      <c r="Y2981" s="193"/>
      <c r="Z2981" s="193"/>
      <c r="AC2981" s="193"/>
      <c r="AD2981" s="193"/>
      <c r="AE2981" s="193"/>
      <c r="AF2981" s="193"/>
    </row>
    <row r="2982" spans="21:32" x14ac:dyDescent="0.3">
      <c r="U2982" s="193"/>
      <c r="V2982" s="193"/>
      <c r="W2982" s="193"/>
      <c r="X2982" s="193"/>
      <c r="Y2982" s="193"/>
      <c r="Z2982" s="193"/>
      <c r="AC2982" s="193"/>
      <c r="AD2982" s="193"/>
      <c r="AE2982" s="193"/>
      <c r="AF2982" s="193"/>
    </row>
    <row r="2983" spans="21:32" x14ac:dyDescent="0.3">
      <c r="U2983" s="193"/>
      <c r="V2983" s="193"/>
      <c r="W2983" s="193"/>
      <c r="X2983" s="193"/>
      <c r="Y2983" s="193"/>
      <c r="Z2983" s="193"/>
      <c r="AC2983" s="193"/>
      <c r="AD2983" s="193"/>
      <c r="AE2983" s="193"/>
      <c r="AF2983" s="193"/>
    </row>
    <row r="2984" spans="21:32" x14ac:dyDescent="0.3">
      <c r="U2984" s="193"/>
      <c r="V2984" s="193"/>
      <c r="W2984" s="193"/>
      <c r="X2984" s="193"/>
      <c r="Y2984" s="193"/>
      <c r="Z2984" s="193"/>
      <c r="AC2984" s="193"/>
      <c r="AD2984" s="193"/>
      <c r="AE2984" s="193"/>
      <c r="AF2984" s="193"/>
    </row>
    <row r="2985" spans="21:32" x14ac:dyDescent="0.3">
      <c r="U2985" s="193"/>
      <c r="V2985" s="193"/>
      <c r="W2985" s="193"/>
      <c r="X2985" s="193"/>
      <c r="Y2985" s="193"/>
      <c r="Z2985" s="193"/>
      <c r="AC2985" s="193"/>
      <c r="AD2985" s="193"/>
      <c r="AE2985" s="193"/>
      <c r="AF2985" s="193"/>
    </row>
    <row r="2986" spans="21:32" x14ac:dyDescent="0.3">
      <c r="U2986" s="193"/>
      <c r="V2986" s="193"/>
      <c r="W2986" s="193"/>
      <c r="X2986" s="193"/>
      <c r="Y2986" s="193"/>
      <c r="Z2986" s="193"/>
      <c r="AC2986" s="193"/>
      <c r="AD2986" s="193"/>
      <c r="AE2986" s="193"/>
      <c r="AF2986" s="193"/>
    </row>
    <row r="2987" spans="21:32" x14ac:dyDescent="0.3">
      <c r="U2987" s="193"/>
      <c r="V2987" s="193"/>
      <c r="W2987" s="193"/>
      <c r="X2987" s="193"/>
      <c r="Y2987" s="193"/>
      <c r="Z2987" s="193"/>
      <c r="AC2987" s="193"/>
      <c r="AD2987" s="193"/>
      <c r="AE2987" s="193"/>
      <c r="AF2987" s="193"/>
    </row>
    <row r="2988" spans="21:32" x14ac:dyDescent="0.3">
      <c r="U2988" s="193"/>
      <c r="V2988" s="193"/>
      <c r="W2988" s="193"/>
      <c r="X2988" s="193"/>
      <c r="Y2988" s="193"/>
      <c r="Z2988" s="193"/>
      <c r="AC2988" s="193"/>
      <c r="AD2988" s="193"/>
      <c r="AE2988" s="193"/>
      <c r="AF2988" s="193"/>
    </row>
    <row r="2989" spans="21:32" x14ac:dyDescent="0.3">
      <c r="U2989" s="193"/>
      <c r="V2989" s="193"/>
      <c r="W2989" s="193"/>
      <c r="X2989" s="193"/>
      <c r="Y2989" s="193"/>
      <c r="Z2989" s="193"/>
      <c r="AC2989" s="193"/>
      <c r="AD2989" s="193"/>
      <c r="AE2989" s="193"/>
      <c r="AF2989" s="193"/>
    </row>
    <row r="2990" spans="21:32" x14ac:dyDescent="0.3">
      <c r="U2990" s="193"/>
      <c r="V2990" s="193"/>
      <c r="W2990" s="193"/>
      <c r="X2990" s="193"/>
      <c r="Y2990" s="193"/>
      <c r="Z2990" s="193"/>
      <c r="AC2990" s="193"/>
      <c r="AD2990" s="193"/>
      <c r="AE2990" s="193"/>
      <c r="AF2990" s="193"/>
    </row>
    <row r="2991" spans="21:32" x14ac:dyDescent="0.3">
      <c r="U2991" s="193"/>
      <c r="V2991" s="193"/>
      <c r="W2991" s="193"/>
      <c r="X2991" s="193"/>
      <c r="Y2991" s="193"/>
      <c r="Z2991" s="193"/>
      <c r="AC2991" s="193"/>
      <c r="AD2991" s="193"/>
      <c r="AE2991" s="193"/>
      <c r="AF2991" s="193"/>
    </row>
    <row r="2992" spans="21:32" x14ac:dyDescent="0.3">
      <c r="U2992" s="193"/>
      <c r="V2992" s="193"/>
      <c r="W2992" s="193"/>
      <c r="X2992" s="193"/>
      <c r="Y2992" s="193"/>
      <c r="Z2992" s="193"/>
      <c r="AC2992" s="193"/>
      <c r="AD2992" s="193"/>
      <c r="AE2992" s="193"/>
      <c r="AF2992" s="193"/>
    </row>
    <row r="2993" spans="21:32" x14ac:dyDescent="0.3">
      <c r="U2993" s="193"/>
      <c r="V2993" s="193"/>
      <c r="W2993" s="193"/>
      <c r="X2993" s="193"/>
      <c r="Y2993" s="193"/>
      <c r="Z2993" s="193"/>
      <c r="AC2993" s="193"/>
      <c r="AD2993" s="193"/>
      <c r="AE2993" s="193"/>
      <c r="AF2993" s="193"/>
    </row>
    <row r="2994" spans="21:32" x14ac:dyDescent="0.3">
      <c r="U2994" s="193"/>
      <c r="V2994" s="193"/>
      <c r="W2994" s="193"/>
      <c r="X2994" s="193"/>
      <c r="Y2994" s="193"/>
      <c r="Z2994" s="193"/>
      <c r="AC2994" s="193"/>
      <c r="AD2994" s="193"/>
      <c r="AE2994" s="193"/>
      <c r="AF2994" s="193"/>
    </row>
    <row r="2995" spans="21:32" x14ac:dyDescent="0.3">
      <c r="U2995" s="193"/>
      <c r="V2995" s="193"/>
      <c r="W2995" s="193"/>
      <c r="X2995" s="193"/>
      <c r="Y2995" s="193"/>
      <c r="Z2995" s="193"/>
      <c r="AC2995" s="193"/>
      <c r="AD2995" s="193"/>
      <c r="AE2995" s="193"/>
      <c r="AF2995" s="193"/>
    </row>
    <row r="2996" spans="21:32" x14ac:dyDescent="0.3">
      <c r="U2996" s="193"/>
      <c r="V2996" s="193"/>
      <c r="W2996" s="193"/>
      <c r="X2996" s="193"/>
      <c r="Y2996" s="193"/>
      <c r="Z2996" s="193"/>
      <c r="AC2996" s="193"/>
      <c r="AD2996" s="193"/>
      <c r="AE2996" s="193"/>
      <c r="AF2996" s="193"/>
    </row>
    <row r="2997" spans="21:32" x14ac:dyDescent="0.3">
      <c r="U2997" s="193"/>
      <c r="V2997" s="193"/>
      <c r="W2997" s="193"/>
      <c r="X2997" s="193"/>
      <c r="Y2997" s="193"/>
      <c r="Z2997" s="193"/>
      <c r="AC2997" s="193"/>
      <c r="AD2997" s="193"/>
      <c r="AE2997" s="193"/>
      <c r="AF2997" s="193"/>
    </row>
    <row r="2998" spans="21:32" x14ac:dyDescent="0.3">
      <c r="U2998" s="193"/>
      <c r="V2998" s="193"/>
      <c r="W2998" s="193"/>
      <c r="X2998" s="193"/>
      <c r="Y2998" s="193"/>
      <c r="Z2998" s="193"/>
      <c r="AC2998" s="193"/>
      <c r="AD2998" s="193"/>
      <c r="AE2998" s="193"/>
      <c r="AF2998" s="193"/>
    </row>
    <row r="2999" spans="21:32" x14ac:dyDescent="0.3">
      <c r="U2999" s="193"/>
      <c r="V2999" s="193"/>
      <c r="W2999" s="193"/>
      <c r="X2999" s="193"/>
      <c r="Y2999" s="193"/>
      <c r="Z2999" s="193"/>
      <c r="AC2999" s="193"/>
      <c r="AD2999" s="193"/>
      <c r="AE2999" s="193"/>
      <c r="AF2999" s="193"/>
    </row>
    <row r="3000" spans="21:32" x14ac:dyDescent="0.3">
      <c r="U3000" s="193"/>
      <c r="V3000" s="193"/>
      <c r="W3000" s="193"/>
      <c r="X3000" s="193"/>
      <c r="Y3000" s="193"/>
      <c r="Z3000" s="193"/>
      <c r="AC3000" s="193"/>
      <c r="AD3000" s="193"/>
      <c r="AE3000" s="193"/>
      <c r="AF3000" s="193"/>
    </row>
    <row r="3001" spans="21:32" x14ac:dyDescent="0.3">
      <c r="U3001" s="193"/>
      <c r="V3001" s="193"/>
      <c r="W3001" s="193"/>
      <c r="X3001" s="193"/>
      <c r="Y3001" s="193"/>
      <c r="Z3001" s="193"/>
      <c r="AC3001" s="193"/>
      <c r="AD3001" s="193"/>
      <c r="AE3001" s="193"/>
      <c r="AF3001" s="193"/>
    </row>
    <row r="3002" spans="21:32" x14ac:dyDescent="0.3">
      <c r="U3002" s="193"/>
      <c r="V3002" s="193"/>
      <c r="W3002" s="193"/>
      <c r="X3002" s="193"/>
      <c r="Y3002" s="193"/>
      <c r="Z3002" s="193"/>
      <c r="AC3002" s="193"/>
      <c r="AD3002" s="193"/>
      <c r="AE3002" s="193"/>
      <c r="AF3002" s="193"/>
    </row>
    <row r="3003" spans="21:32" x14ac:dyDescent="0.3">
      <c r="U3003" s="193"/>
      <c r="V3003" s="193"/>
      <c r="W3003" s="193"/>
      <c r="X3003" s="193"/>
      <c r="Y3003" s="193"/>
      <c r="Z3003" s="193"/>
      <c r="AC3003" s="193"/>
      <c r="AD3003" s="193"/>
      <c r="AE3003" s="193"/>
      <c r="AF3003" s="193"/>
    </row>
    <row r="3004" spans="21:32" x14ac:dyDescent="0.3">
      <c r="U3004" s="193"/>
      <c r="V3004" s="193"/>
      <c r="W3004" s="193"/>
      <c r="X3004" s="193"/>
      <c r="Y3004" s="193"/>
      <c r="Z3004" s="193"/>
      <c r="AC3004" s="193"/>
      <c r="AD3004" s="193"/>
      <c r="AE3004" s="193"/>
      <c r="AF3004" s="193"/>
    </row>
    <row r="3005" spans="21:32" x14ac:dyDescent="0.3">
      <c r="U3005" s="193"/>
      <c r="V3005" s="193"/>
      <c r="W3005" s="193"/>
      <c r="X3005" s="193"/>
      <c r="Y3005" s="193"/>
      <c r="Z3005" s="193"/>
      <c r="AC3005" s="193"/>
      <c r="AD3005" s="193"/>
      <c r="AE3005" s="193"/>
      <c r="AF3005" s="193"/>
    </row>
    <row r="3006" spans="21:32" x14ac:dyDescent="0.3">
      <c r="U3006" s="193"/>
      <c r="V3006" s="193"/>
      <c r="W3006" s="193"/>
      <c r="X3006" s="193"/>
      <c r="Y3006" s="193"/>
      <c r="Z3006" s="193"/>
      <c r="AC3006" s="193"/>
      <c r="AD3006" s="193"/>
      <c r="AE3006" s="193"/>
      <c r="AF3006" s="193"/>
    </row>
    <row r="3007" spans="21:32" x14ac:dyDescent="0.3">
      <c r="U3007" s="193"/>
      <c r="V3007" s="193"/>
      <c r="W3007" s="193"/>
      <c r="X3007" s="193"/>
      <c r="Y3007" s="193"/>
      <c r="Z3007" s="193"/>
      <c r="AC3007" s="193"/>
      <c r="AD3007" s="193"/>
      <c r="AE3007" s="193"/>
      <c r="AF3007" s="193"/>
    </row>
    <row r="3008" spans="21:32" x14ac:dyDescent="0.3">
      <c r="U3008" s="193"/>
      <c r="V3008" s="193"/>
      <c r="W3008" s="193"/>
      <c r="X3008" s="193"/>
      <c r="Y3008" s="193"/>
      <c r="Z3008" s="193"/>
      <c r="AC3008" s="193"/>
      <c r="AD3008" s="193"/>
      <c r="AE3008" s="193"/>
      <c r="AF3008" s="193"/>
    </row>
    <row r="3009" spans="21:32" x14ac:dyDescent="0.3">
      <c r="U3009" s="193"/>
      <c r="V3009" s="193"/>
      <c r="W3009" s="193"/>
      <c r="X3009" s="193"/>
      <c r="Y3009" s="193"/>
      <c r="Z3009" s="193"/>
      <c r="AC3009" s="193"/>
      <c r="AD3009" s="193"/>
      <c r="AE3009" s="193"/>
      <c r="AF3009" s="193"/>
    </row>
    <row r="3010" spans="21:32" x14ac:dyDescent="0.3">
      <c r="U3010" s="193"/>
      <c r="V3010" s="193"/>
      <c r="W3010" s="193"/>
      <c r="X3010" s="193"/>
      <c r="Y3010" s="193"/>
      <c r="Z3010" s="193"/>
      <c r="AC3010" s="193"/>
      <c r="AD3010" s="193"/>
      <c r="AE3010" s="193"/>
      <c r="AF3010" s="193"/>
    </row>
    <row r="3011" spans="21:32" x14ac:dyDescent="0.3">
      <c r="U3011" s="193"/>
      <c r="V3011" s="193"/>
      <c r="W3011" s="193"/>
      <c r="X3011" s="193"/>
      <c r="Y3011" s="193"/>
      <c r="Z3011" s="193"/>
      <c r="AC3011" s="193"/>
      <c r="AD3011" s="193"/>
      <c r="AE3011" s="193"/>
      <c r="AF3011" s="193"/>
    </row>
    <row r="3012" spans="21:32" x14ac:dyDescent="0.3">
      <c r="U3012" s="193"/>
      <c r="V3012" s="193"/>
      <c r="W3012" s="193"/>
      <c r="X3012" s="193"/>
      <c r="Y3012" s="193"/>
      <c r="Z3012" s="193"/>
      <c r="AC3012" s="193"/>
      <c r="AD3012" s="193"/>
      <c r="AE3012" s="193"/>
      <c r="AF3012" s="193"/>
    </row>
    <row r="3013" spans="21:32" x14ac:dyDescent="0.3">
      <c r="U3013" s="193"/>
      <c r="V3013" s="193"/>
      <c r="W3013" s="193"/>
      <c r="X3013" s="193"/>
      <c r="Y3013" s="193"/>
      <c r="Z3013" s="193"/>
      <c r="AC3013" s="193"/>
      <c r="AD3013" s="193"/>
      <c r="AE3013" s="193"/>
      <c r="AF3013" s="193"/>
    </row>
    <row r="3014" spans="21:32" x14ac:dyDescent="0.3">
      <c r="U3014" s="193"/>
      <c r="V3014" s="193"/>
      <c r="W3014" s="193"/>
      <c r="X3014" s="193"/>
      <c r="Y3014" s="193"/>
      <c r="Z3014" s="193"/>
      <c r="AC3014" s="193"/>
      <c r="AD3014" s="193"/>
      <c r="AE3014" s="193"/>
      <c r="AF3014" s="193"/>
    </row>
    <row r="3015" spans="21:32" x14ac:dyDescent="0.3">
      <c r="U3015" s="193"/>
      <c r="V3015" s="193"/>
      <c r="W3015" s="193"/>
      <c r="X3015" s="193"/>
      <c r="Y3015" s="193"/>
      <c r="Z3015" s="193"/>
      <c r="AC3015" s="193"/>
      <c r="AD3015" s="193"/>
      <c r="AE3015" s="193"/>
      <c r="AF3015" s="193"/>
    </row>
    <row r="3016" spans="21:32" x14ac:dyDescent="0.3">
      <c r="U3016" s="193"/>
      <c r="V3016" s="193"/>
      <c r="W3016" s="193"/>
      <c r="X3016" s="193"/>
      <c r="Y3016" s="193"/>
      <c r="Z3016" s="193"/>
      <c r="AC3016" s="193"/>
      <c r="AD3016" s="193"/>
      <c r="AE3016" s="193"/>
      <c r="AF3016" s="193"/>
    </row>
    <row r="3017" spans="21:32" x14ac:dyDescent="0.3">
      <c r="U3017" s="193"/>
      <c r="V3017" s="193"/>
      <c r="W3017" s="193"/>
      <c r="X3017" s="193"/>
      <c r="Y3017" s="193"/>
      <c r="Z3017" s="193"/>
      <c r="AC3017" s="193"/>
      <c r="AD3017" s="193"/>
      <c r="AE3017" s="193"/>
      <c r="AF3017" s="193"/>
    </row>
    <row r="3018" spans="21:32" x14ac:dyDescent="0.3">
      <c r="U3018" s="193"/>
      <c r="V3018" s="193"/>
      <c r="W3018" s="193"/>
      <c r="X3018" s="193"/>
      <c r="Y3018" s="193"/>
      <c r="Z3018" s="193"/>
      <c r="AC3018" s="193"/>
      <c r="AD3018" s="193"/>
      <c r="AE3018" s="193"/>
      <c r="AF3018" s="193"/>
    </row>
    <row r="3019" spans="21:32" x14ac:dyDescent="0.3">
      <c r="U3019" s="193"/>
      <c r="V3019" s="193"/>
      <c r="W3019" s="193"/>
      <c r="X3019" s="193"/>
      <c r="Y3019" s="193"/>
      <c r="Z3019" s="193"/>
      <c r="AC3019" s="193"/>
      <c r="AD3019" s="193"/>
      <c r="AE3019" s="193"/>
      <c r="AF3019" s="193"/>
    </row>
    <row r="3020" spans="21:32" x14ac:dyDescent="0.3">
      <c r="U3020" s="193"/>
      <c r="V3020" s="193"/>
      <c r="W3020" s="193"/>
      <c r="X3020" s="193"/>
      <c r="Y3020" s="193"/>
      <c r="Z3020" s="193"/>
      <c r="AC3020" s="193"/>
      <c r="AD3020" s="193"/>
      <c r="AE3020" s="193"/>
      <c r="AF3020" s="193"/>
    </row>
    <row r="3021" spans="21:32" x14ac:dyDescent="0.3">
      <c r="U3021" s="193"/>
      <c r="V3021" s="193"/>
      <c r="W3021" s="193"/>
      <c r="X3021" s="193"/>
      <c r="Y3021" s="193"/>
      <c r="Z3021" s="193"/>
      <c r="AC3021" s="193"/>
      <c r="AD3021" s="193"/>
      <c r="AE3021" s="193"/>
      <c r="AF3021" s="193"/>
    </row>
    <row r="3022" spans="21:32" x14ac:dyDescent="0.3">
      <c r="U3022" s="193"/>
      <c r="V3022" s="193"/>
      <c r="W3022" s="193"/>
      <c r="X3022" s="193"/>
      <c r="Y3022" s="193"/>
      <c r="Z3022" s="193"/>
      <c r="AC3022" s="193"/>
      <c r="AD3022" s="193"/>
      <c r="AE3022" s="193"/>
      <c r="AF3022" s="193"/>
    </row>
    <row r="3023" spans="21:32" x14ac:dyDescent="0.3">
      <c r="U3023" s="193"/>
      <c r="V3023" s="193"/>
      <c r="W3023" s="193"/>
      <c r="X3023" s="193"/>
      <c r="Y3023" s="193"/>
      <c r="Z3023" s="193"/>
      <c r="AC3023" s="193"/>
      <c r="AD3023" s="193"/>
      <c r="AE3023" s="193"/>
      <c r="AF3023" s="193"/>
    </row>
    <row r="3024" spans="21:32" x14ac:dyDescent="0.3">
      <c r="U3024" s="193"/>
      <c r="V3024" s="193"/>
      <c r="W3024" s="193"/>
      <c r="X3024" s="193"/>
      <c r="Y3024" s="193"/>
      <c r="Z3024" s="193"/>
      <c r="AC3024" s="193"/>
      <c r="AD3024" s="193"/>
      <c r="AE3024" s="193"/>
      <c r="AF3024" s="193"/>
    </row>
    <row r="3025" spans="21:32" x14ac:dyDescent="0.3">
      <c r="U3025" s="193"/>
      <c r="V3025" s="193"/>
      <c r="W3025" s="193"/>
      <c r="X3025" s="193"/>
      <c r="Y3025" s="193"/>
      <c r="Z3025" s="193"/>
      <c r="AC3025" s="193"/>
      <c r="AD3025" s="193"/>
      <c r="AE3025" s="193"/>
      <c r="AF3025" s="193"/>
    </row>
    <row r="3026" spans="21:32" x14ac:dyDescent="0.3">
      <c r="U3026" s="193"/>
      <c r="V3026" s="193"/>
      <c r="W3026" s="193"/>
      <c r="X3026" s="193"/>
      <c r="Y3026" s="193"/>
      <c r="Z3026" s="193"/>
      <c r="AC3026" s="193"/>
      <c r="AD3026" s="193"/>
      <c r="AE3026" s="193"/>
      <c r="AF3026" s="193"/>
    </row>
    <row r="3027" spans="21:32" x14ac:dyDescent="0.3">
      <c r="U3027" s="193"/>
      <c r="V3027" s="193"/>
      <c r="W3027" s="193"/>
      <c r="X3027" s="193"/>
      <c r="Y3027" s="193"/>
      <c r="Z3027" s="193"/>
      <c r="AC3027" s="193"/>
      <c r="AD3027" s="193"/>
      <c r="AE3027" s="193"/>
      <c r="AF3027" s="193"/>
    </row>
    <row r="3028" spans="21:32" x14ac:dyDescent="0.3">
      <c r="U3028" s="193"/>
      <c r="V3028" s="193"/>
      <c r="W3028" s="193"/>
      <c r="X3028" s="193"/>
      <c r="Y3028" s="193"/>
      <c r="Z3028" s="193"/>
      <c r="AC3028" s="193"/>
      <c r="AD3028" s="193"/>
      <c r="AE3028" s="193"/>
      <c r="AF3028" s="193"/>
    </row>
    <row r="3029" spans="21:32" x14ac:dyDescent="0.3">
      <c r="U3029" s="193"/>
      <c r="V3029" s="193"/>
      <c r="W3029" s="193"/>
      <c r="X3029" s="193"/>
      <c r="Y3029" s="193"/>
      <c r="Z3029" s="193"/>
      <c r="AC3029" s="193"/>
      <c r="AD3029" s="193"/>
      <c r="AE3029" s="193"/>
      <c r="AF3029" s="193"/>
    </row>
    <row r="3030" spans="21:32" x14ac:dyDescent="0.3">
      <c r="U3030" s="193"/>
      <c r="V3030" s="193"/>
      <c r="W3030" s="193"/>
      <c r="X3030" s="193"/>
      <c r="Y3030" s="193"/>
      <c r="Z3030" s="193"/>
      <c r="AC3030" s="193"/>
      <c r="AD3030" s="193"/>
      <c r="AE3030" s="193"/>
      <c r="AF3030" s="193"/>
    </row>
    <row r="3031" spans="21:32" x14ac:dyDescent="0.3">
      <c r="U3031" s="193"/>
      <c r="V3031" s="193"/>
      <c r="W3031" s="193"/>
      <c r="X3031" s="193"/>
      <c r="Y3031" s="193"/>
      <c r="Z3031" s="193"/>
      <c r="AC3031" s="193"/>
      <c r="AD3031" s="193"/>
      <c r="AE3031" s="193"/>
      <c r="AF3031" s="193"/>
    </row>
    <row r="3032" spans="21:32" x14ac:dyDescent="0.3">
      <c r="U3032" s="193"/>
      <c r="V3032" s="193"/>
      <c r="W3032" s="193"/>
      <c r="X3032" s="193"/>
      <c r="Y3032" s="193"/>
      <c r="Z3032" s="193"/>
      <c r="AC3032" s="193"/>
      <c r="AD3032" s="193"/>
      <c r="AE3032" s="193"/>
      <c r="AF3032" s="193"/>
    </row>
    <row r="3033" spans="21:32" x14ac:dyDescent="0.3">
      <c r="U3033" s="193"/>
      <c r="V3033" s="193"/>
      <c r="W3033" s="193"/>
      <c r="X3033" s="193"/>
      <c r="Y3033" s="193"/>
      <c r="Z3033" s="193"/>
      <c r="AC3033" s="193"/>
      <c r="AD3033" s="193"/>
      <c r="AE3033" s="193"/>
      <c r="AF3033" s="193"/>
    </row>
    <row r="3034" spans="21:32" x14ac:dyDescent="0.3">
      <c r="U3034" s="193"/>
      <c r="V3034" s="193"/>
      <c r="W3034" s="193"/>
      <c r="X3034" s="193"/>
      <c r="Y3034" s="193"/>
      <c r="Z3034" s="193"/>
      <c r="AC3034" s="193"/>
      <c r="AD3034" s="193"/>
      <c r="AE3034" s="193"/>
      <c r="AF3034" s="193"/>
    </row>
    <row r="3035" spans="21:32" x14ac:dyDescent="0.3">
      <c r="U3035" s="193"/>
      <c r="V3035" s="193"/>
      <c r="W3035" s="193"/>
      <c r="X3035" s="193"/>
      <c r="Y3035" s="193"/>
      <c r="Z3035" s="193"/>
      <c r="AC3035" s="193"/>
      <c r="AD3035" s="193"/>
      <c r="AE3035" s="193"/>
      <c r="AF3035" s="193"/>
    </row>
    <row r="3036" spans="21:32" x14ac:dyDescent="0.3">
      <c r="U3036" s="193"/>
      <c r="V3036" s="193"/>
      <c r="W3036" s="193"/>
      <c r="X3036" s="193"/>
      <c r="Y3036" s="193"/>
      <c r="Z3036" s="193"/>
      <c r="AC3036" s="193"/>
      <c r="AD3036" s="193"/>
      <c r="AE3036" s="193"/>
      <c r="AF3036" s="193"/>
    </row>
    <row r="3037" spans="21:32" x14ac:dyDescent="0.3">
      <c r="U3037" s="193"/>
      <c r="V3037" s="193"/>
      <c r="W3037" s="193"/>
      <c r="X3037" s="193"/>
      <c r="Y3037" s="193"/>
      <c r="Z3037" s="193"/>
      <c r="AC3037" s="193"/>
      <c r="AD3037" s="193"/>
      <c r="AE3037" s="193"/>
      <c r="AF3037" s="193"/>
    </row>
    <row r="3038" spans="21:32" x14ac:dyDescent="0.3">
      <c r="U3038" s="193"/>
      <c r="V3038" s="193"/>
      <c r="W3038" s="193"/>
      <c r="X3038" s="193"/>
      <c r="Y3038" s="193"/>
      <c r="Z3038" s="193"/>
      <c r="AC3038" s="193"/>
      <c r="AD3038" s="193"/>
      <c r="AE3038" s="193"/>
      <c r="AF3038" s="193"/>
    </row>
    <row r="3039" spans="21:32" x14ac:dyDescent="0.3">
      <c r="U3039" s="193"/>
      <c r="V3039" s="193"/>
      <c r="W3039" s="193"/>
      <c r="X3039" s="193"/>
      <c r="Y3039" s="193"/>
      <c r="Z3039" s="193"/>
      <c r="AC3039" s="193"/>
      <c r="AD3039" s="193"/>
      <c r="AE3039" s="193"/>
      <c r="AF3039" s="193"/>
    </row>
    <row r="3040" spans="21:32" x14ac:dyDescent="0.3">
      <c r="U3040" s="193"/>
      <c r="V3040" s="193"/>
      <c r="W3040" s="193"/>
      <c r="X3040" s="193"/>
      <c r="Y3040" s="193"/>
      <c r="Z3040" s="193"/>
      <c r="AC3040" s="193"/>
      <c r="AD3040" s="193"/>
      <c r="AE3040" s="193"/>
      <c r="AF3040" s="193"/>
    </row>
    <row r="3041" spans="21:32" x14ac:dyDescent="0.3">
      <c r="U3041" s="193"/>
      <c r="V3041" s="193"/>
      <c r="W3041" s="193"/>
      <c r="X3041" s="193"/>
      <c r="Y3041" s="193"/>
      <c r="Z3041" s="193"/>
      <c r="AC3041" s="193"/>
      <c r="AD3041" s="193"/>
      <c r="AE3041" s="193"/>
      <c r="AF3041" s="193"/>
    </row>
    <row r="3042" spans="21:32" x14ac:dyDescent="0.3">
      <c r="U3042" s="193"/>
      <c r="V3042" s="193"/>
      <c r="W3042" s="193"/>
      <c r="X3042" s="193"/>
      <c r="Y3042" s="193"/>
      <c r="Z3042" s="193"/>
      <c r="AC3042" s="193"/>
      <c r="AD3042" s="193"/>
      <c r="AE3042" s="193"/>
      <c r="AF3042" s="193"/>
    </row>
    <row r="3043" spans="21:32" x14ac:dyDescent="0.3">
      <c r="U3043" s="193"/>
      <c r="V3043" s="193"/>
      <c r="W3043" s="193"/>
      <c r="X3043" s="193"/>
      <c r="Y3043" s="193"/>
      <c r="Z3043" s="193"/>
      <c r="AC3043" s="193"/>
      <c r="AD3043" s="193"/>
      <c r="AE3043" s="193"/>
      <c r="AF3043" s="193"/>
    </row>
    <row r="3044" spans="21:32" x14ac:dyDescent="0.3">
      <c r="U3044" s="193"/>
      <c r="V3044" s="193"/>
      <c r="W3044" s="193"/>
      <c r="X3044" s="193"/>
      <c r="Y3044" s="193"/>
      <c r="Z3044" s="193"/>
      <c r="AC3044" s="193"/>
      <c r="AD3044" s="193"/>
      <c r="AE3044" s="193"/>
      <c r="AF3044" s="193"/>
    </row>
    <row r="3045" spans="21:32" x14ac:dyDescent="0.3">
      <c r="U3045" s="193"/>
      <c r="V3045" s="193"/>
      <c r="W3045" s="193"/>
      <c r="X3045" s="193"/>
      <c r="Y3045" s="193"/>
      <c r="Z3045" s="193"/>
      <c r="AC3045" s="193"/>
      <c r="AD3045" s="193"/>
      <c r="AE3045" s="193"/>
      <c r="AF3045" s="193"/>
    </row>
    <row r="3046" spans="21:32" x14ac:dyDescent="0.3">
      <c r="U3046" s="193"/>
      <c r="V3046" s="193"/>
      <c r="W3046" s="193"/>
      <c r="X3046" s="193"/>
      <c r="Y3046" s="193"/>
      <c r="Z3046" s="193"/>
      <c r="AC3046" s="193"/>
      <c r="AD3046" s="193"/>
      <c r="AE3046" s="193"/>
      <c r="AF3046" s="193"/>
    </row>
    <row r="3047" spans="21:32" x14ac:dyDescent="0.3">
      <c r="U3047" s="193"/>
      <c r="V3047" s="193"/>
      <c r="W3047" s="193"/>
      <c r="X3047" s="193"/>
      <c r="Y3047" s="193"/>
      <c r="Z3047" s="193"/>
      <c r="AC3047" s="193"/>
      <c r="AD3047" s="193"/>
      <c r="AE3047" s="193"/>
      <c r="AF3047" s="193"/>
    </row>
    <row r="3048" spans="21:32" x14ac:dyDescent="0.3">
      <c r="U3048" s="193"/>
      <c r="V3048" s="193"/>
      <c r="W3048" s="193"/>
      <c r="X3048" s="193"/>
      <c r="Y3048" s="193"/>
      <c r="Z3048" s="193"/>
      <c r="AC3048" s="193"/>
      <c r="AD3048" s="193"/>
      <c r="AE3048" s="193"/>
      <c r="AF3048" s="193"/>
    </row>
    <row r="3049" spans="21:32" x14ac:dyDescent="0.3">
      <c r="U3049" s="193"/>
      <c r="V3049" s="193"/>
      <c r="W3049" s="193"/>
      <c r="X3049" s="193"/>
      <c r="Y3049" s="193"/>
      <c r="Z3049" s="193"/>
      <c r="AC3049" s="193"/>
      <c r="AD3049" s="193"/>
      <c r="AE3049" s="193"/>
      <c r="AF3049" s="193"/>
    </row>
    <row r="3050" spans="21:32" x14ac:dyDescent="0.3">
      <c r="U3050" s="193"/>
      <c r="V3050" s="193"/>
      <c r="W3050" s="193"/>
      <c r="X3050" s="193"/>
      <c r="Y3050" s="193"/>
      <c r="Z3050" s="193"/>
      <c r="AC3050" s="193"/>
      <c r="AD3050" s="193"/>
      <c r="AE3050" s="193"/>
      <c r="AF3050" s="193"/>
    </row>
    <row r="3051" spans="21:32" x14ac:dyDescent="0.3">
      <c r="U3051" s="193"/>
      <c r="V3051" s="193"/>
      <c r="W3051" s="193"/>
      <c r="X3051" s="193"/>
      <c r="Y3051" s="193"/>
      <c r="Z3051" s="193"/>
      <c r="AC3051" s="193"/>
      <c r="AD3051" s="193"/>
      <c r="AE3051" s="193"/>
      <c r="AF3051" s="193"/>
    </row>
    <row r="3052" spans="21:32" x14ac:dyDescent="0.3">
      <c r="U3052" s="193"/>
      <c r="V3052" s="193"/>
      <c r="W3052" s="193"/>
      <c r="X3052" s="193"/>
      <c r="Y3052" s="193"/>
      <c r="Z3052" s="193"/>
      <c r="AC3052" s="193"/>
      <c r="AD3052" s="193"/>
      <c r="AE3052" s="193"/>
      <c r="AF3052" s="193"/>
    </row>
    <row r="3053" spans="21:32" x14ac:dyDescent="0.3">
      <c r="U3053" s="193"/>
      <c r="V3053" s="193"/>
      <c r="W3053" s="193"/>
      <c r="X3053" s="193"/>
      <c r="Y3053" s="193"/>
      <c r="Z3053" s="193"/>
      <c r="AC3053" s="193"/>
      <c r="AD3053" s="193"/>
      <c r="AE3053" s="193"/>
      <c r="AF3053" s="193"/>
    </row>
    <row r="3054" spans="21:32" x14ac:dyDescent="0.3">
      <c r="U3054" s="193"/>
      <c r="V3054" s="193"/>
      <c r="W3054" s="193"/>
      <c r="X3054" s="193"/>
      <c r="Y3054" s="193"/>
      <c r="Z3054" s="193"/>
      <c r="AC3054" s="193"/>
      <c r="AD3054" s="193"/>
      <c r="AE3054" s="193"/>
      <c r="AF3054" s="193"/>
    </row>
    <row r="3055" spans="21:32" x14ac:dyDescent="0.3">
      <c r="U3055" s="193"/>
      <c r="V3055" s="193"/>
      <c r="W3055" s="193"/>
      <c r="X3055" s="193"/>
      <c r="Y3055" s="193"/>
      <c r="Z3055" s="193"/>
      <c r="AC3055" s="193"/>
      <c r="AD3055" s="193"/>
      <c r="AE3055" s="193"/>
      <c r="AF3055" s="193"/>
    </row>
    <row r="3056" spans="21:32" x14ac:dyDescent="0.3">
      <c r="U3056" s="193"/>
      <c r="V3056" s="193"/>
      <c r="W3056" s="193"/>
      <c r="X3056" s="193"/>
      <c r="Y3056" s="193"/>
      <c r="Z3056" s="193"/>
      <c r="AC3056" s="193"/>
      <c r="AD3056" s="193"/>
      <c r="AE3056" s="193"/>
      <c r="AF3056" s="193"/>
    </row>
    <row r="3057" spans="21:32" x14ac:dyDescent="0.3">
      <c r="U3057" s="193"/>
      <c r="V3057" s="193"/>
      <c r="W3057" s="193"/>
      <c r="X3057" s="193"/>
      <c r="Y3057" s="193"/>
      <c r="Z3057" s="193"/>
      <c r="AC3057" s="193"/>
      <c r="AD3057" s="193"/>
      <c r="AE3057" s="193"/>
      <c r="AF3057" s="193"/>
    </row>
    <row r="3058" spans="21:32" x14ac:dyDescent="0.3">
      <c r="U3058" s="193"/>
      <c r="V3058" s="193"/>
      <c r="W3058" s="193"/>
      <c r="X3058" s="193"/>
      <c r="Y3058" s="193"/>
      <c r="Z3058" s="193"/>
      <c r="AC3058" s="193"/>
      <c r="AD3058" s="193"/>
      <c r="AE3058" s="193"/>
      <c r="AF3058" s="193"/>
    </row>
    <row r="3059" spans="21:32" x14ac:dyDescent="0.3">
      <c r="U3059" s="193"/>
      <c r="V3059" s="193"/>
      <c r="W3059" s="193"/>
      <c r="X3059" s="193"/>
      <c r="Y3059" s="193"/>
      <c r="Z3059" s="193"/>
      <c r="AC3059" s="193"/>
      <c r="AD3059" s="193"/>
      <c r="AE3059" s="193"/>
      <c r="AF3059" s="193"/>
    </row>
    <row r="3060" spans="21:32" x14ac:dyDescent="0.3">
      <c r="U3060" s="193"/>
      <c r="V3060" s="193"/>
      <c r="W3060" s="193"/>
      <c r="X3060" s="193"/>
      <c r="Y3060" s="193"/>
      <c r="Z3060" s="193"/>
      <c r="AC3060" s="193"/>
      <c r="AD3060" s="193"/>
      <c r="AE3060" s="193"/>
      <c r="AF3060" s="193"/>
    </row>
    <row r="3061" spans="21:32" x14ac:dyDescent="0.3">
      <c r="U3061" s="193"/>
      <c r="V3061" s="193"/>
      <c r="W3061" s="193"/>
      <c r="X3061" s="193"/>
      <c r="Y3061" s="193"/>
      <c r="Z3061" s="193"/>
      <c r="AC3061" s="193"/>
      <c r="AD3061" s="193"/>
      <c r="AE3061" s="193"/>
      <c r="AF3061" s="193"/>
    </row>
    <row r="3062" spans="21:32" x14ac:dyDescent="0.3">
      <c r="U3062" s="193"/>
      <c r="V3062" s="193"/>
      <c r="W3062" s="193"/>
      <c r="X3062" s="193"/>
      <c r="Y3062" s="193"/>
      <c r="Z3062" s="193"/>
      <c r="AC3062" s="193"/>
      <c r="AD3062" s="193"/>
      <c r="AE3062" s="193"/>
      <c r="AF3062" s="193"/>
    </row>
    <row r="3063" spans="21:32" x14ac:dyDescent="0.3">
      <c r="U3063" s="193"/>
      <c r="V3063" s="193"/>
      <c r="W3063" s="193"/>
      <c r="X3063" s="193"/>
      <c r="Y3063" s="193"/>
      <c r="Z3063" s="193"/>
      <c r="AC3063" s="193"/>
      <c r="AD3063" s="193"/>
      <c r="AE3063" s="193"/>
      <c r="AF3063" s="193"/>
    </row>
    <row r="3064" spans="21:32" x14ac:dyDescent="0.3">
      <c r="U3064" s="193"/>
      <c r="V3064" s="193"/>
      <c r="W3064" s="193"/>
      <c r="X3064" s="193"/>
      <c r="Y3064" s="193"/>
      <c r="Z3064" s="193"/>
      <c r="AC3064" s="193"/>
      <c r="AD3064" s="193"/>
      <c r="AE3064" s="193"/>
      <c r="AF3064" s="193"/>
    </row>
    <row r="3065" spans="21:32" x14ac:dyDescent="0.3">
      <c r="U3065" s="193"/>
      <c r="V3065" s="193"/>
      <c r="W3065" s="193"/>
      <c r="X3065" s="193"/>
      <c r="Y3065" s="193"/>
      <c r="Z3065" s="193"/>
      <c r="AC3065" s="193"/>
      <c r="AD3065" s="193"/>
      <c r="AE3065" s="193"/>
      <c r="AF3065" s="193"/>
    </row>
    <row r="3066" spans="21:32" x14ac:dyDescent="0.3">
      <c r="U3066" s="193"/>
      <c r="V3066" s="193"/>
      <c r="W3066" s="193"/>
      <c r="X3066" s="193"/>
      <c r="Y3066" s="193"/>
      <c r="Z3066" s="193"/>
      <c r="AC3066" s="193"/>
      <c r="AD3066" s="193"/>
      <c r="AE3066" s="193"/>
      <c r="AF3066" s="193"/>
    </row>
    <row r="3067" spans="21:32" x14ac:dyDescent="0.3">
      <c r="U3067" s="193"/>
      <c r="V3067" s="193"/>
      <c r="W3067" s="193"/>
      <c r="X3067" s="193"/>
      <c r="Y3067" s="193"/>
      <c r="Z3067" s="193"/>
      <c r="AC3067" s="193"/>
      <c r="AD3067" s="193"/>
      <c r="AE3067" s="193"/>
      <c r="AF3067" s="193"/>
    </row>
    <row r="3068" spans="21:32" x14ac:dyDescent="0.3">
      <c r="U3068" s="193"/>
      <c r="V3068" s="193"/>
      <c r="W3068" s="193"/>
      <c r="X3068" s="193"/>
      <c r="Y3068" s="193"/>
      <c r="Z3068" s="193"/>
      <c r="AC3068" s="193"/>
      <c r="AD3068" s="193"/>
      <c r="AE3068" s="193"/>
      <c r="AF3068" s="193"/>
    </row>
    <row r="3069" spans="21:32" x14ac:dyDescent="0.3">
      <c r="U3069" s="193"/>
      <c r="V3069" s="193"/>
      <c r="W3069" s="193"/>
      <c r="X3069" s="193"/>
      <c r="Y3069" s="193"/>
      <c r="Z3069" s="193"/>
      <c r="AC3069" s="193"/>
      <c r="AD3069" s="193"/>
      <c r="AE3069" s="193"/>
      <c r="AF3069" s="193"/>
    </row>
    <row r="3070" spans="21:32" x14ac:dyDescent="0.3">
      <c r="U3070" s="193"/>
      <c r="V3070" s="193"/>
      <c r="W3070" s="193"/>
      <c r="X3070" s="193"/>
      <c r="Y3070" s="193"/>
      <c r="Z3070" s="193"/>
      <c r="AC3070" s="193"/>
      <c r="AD3070" s="193"/>
      <c r="AE3070" s="193"/>
      <c r="AF3070" s="193"/>
    </row>
    <row r="3071" spans="21:32" x14ac:dyDescent="0.3">
      <c r="U3071" s="193"/>
      <c r="V3071" s="193"/>
      <c r="W3071" s="193"/>
      <c r="X3071" s="193"/>
      <c r="Y3071" s="193"/>
      <c r="Z3071" s="193"/>
      <c r="AC3071" s="193"/>
      <c r="AD3071" s="193"/>
      <c r="AE3071" s="193"/>
      <c r="AF3071" s="193"/>
    </row>
    <row r="3072" spans="21:32" x14ac:dyDescent="0.3">
      <c r="U3072" s="193"/>
      <c r="V3072" s="193"/>
      <c r="W3072" s="193"/>
      <c r="X3072" s="193"/>
      <c r="Y3072" s="193"/>
      <c r="Z3072" s="193"/>
      <c r="AC3072" s="193"/>
      <c r="AD3072" s="193"/>
      <c r="AE3072" s="193"/>
      <c r="AF3072" s="193"/>
    </row>
    <row r="3073" spans="21:32" x14ac:dyDescent="0.3">
      <c r="U3073" s="193"/>
      <c r="V3073" s="193"/>
      <c r="W3073" s="193"/>
      <c r="X3073" s="193"/>
      <c r="Y3073" s="193"/>
      <c r="Z3073" s="193"/>
      <c r="AC3073" s="193"/>
      <c r="AD3073" s="193"/>
      <c r="AE3073" s="193"/>
      <c r="AF3073" s="193"/>
    </row>
    <row r="3074" spans="21:32" x14ac:dyDescent="0.3">
      <c r="U3074" s="193"/>
      <c r="V3074" s="193"/>
      <c r="W3074" s="193"/>
      <c r="X3074" s="193"/>
      <c r="Y3074" s="193"/>
      <c r="Z3074" s="193"/>
      <c r="AC3074" s="193"/>
      <c r="AD3074" s="193"/>
      <c r="AE3074" s="193"/>
      <c r="AF3074" s="193"/>
    </row>
    <row r="3075" spans="21:32" x14ac:dyDescent="0.3">
      <c r="U3075" s="193"/>
      <c r="V3075" s="193"/>
      <c r="W3075" s="193"/>
      <c r="X3075" s="193"/>
      <c r="Y3075" s="193"/>
      <c r="Z3075" s="193"/>
      <c r="AC3075" s="193"/>
      <c r="AD3075" s="193"/>
      <c r="AE3075" s="193"/>
      <c r="AF3075" s="193"/>
    </row>
    <row r="3076" spans="21:32" x14ac:dyDescent="0.3">
      <c r="U3076" s="193"/>
      <c r="V3076" s="193"/>
      <c r="W3076" s="193"/>
      <c r="X3076" s="193"/>
      <c r="Y3076" s="193"/>
      <c r="Z3076" s="193"/>
      <c r="AC3076" s="193"/>
      <c r="AD3076" s="193"/>
      <c r="AE3076" s="193"/>
      <c r="AF3076" s="193"/>
    </row>
    <row r="3077" spans="21:32" x14ac:dyDescent="0.3">
      <c r="U3077" s="193"/>
      <c r="V3077" s="193"/>
      <c r="W3077" s="193"/>
      <c r="X3077" s="193"/>
      <c r="Y3077" s="193"/>
      <c r="Z3077" s="193"/>
      <c r="AC3077" s="193"/>
      <c r="AD3077" s="193"/>
      <c r="AE3077" s="193"/>
      <c r="AF3077" s="193"/>
    </row>
    <row r="3078" spans="21:32" x14ac:dyDescent="0.3">
      <c r="U3078" s="193"/>
      <c r="V3078" s="193"/>
      <c r="W3078" s="193"/>
      <c r="X3078" s="193"/>
      <c r="Y3078" s="193"/>
      <c r="Z3078" s="193"/>
      <c r="AC3078" s="193"/>
      <c r="AD3078" s="193"/>
      <c r="AE3078" s="193"/>
      <c r="AF3078" s="193"/>
    </row>
    <row r="3079" spans="21:32" x14ac:dyDescent="0.3">
      <c r="U3079" s="193"/>
      <c r="V3079" s="193"/>
      <c r="W3079" s="193"/>
      <c r="X3079" s="193"/>
      <c r="Y3079" s="193"/>
      <c r="Z3079" s="193"/>
      <c r="AC3079" s="193"/>
      <c r="AD3079" s="193"/>
      <c r="AE3079" s="193"/>
      <c r="AF3079" s="193"/>
    </row>
    <row r="3080" spans="21:32" x14ac:dyDescent="0.3">
      <c r="U3080" s="193"/>
      <c r="V3080" s="193"/>
      <c r="W3080" s="193"/>
      <c r="X3080" s="193"/>
      <c r="Y3080" s="193"/>
      <c r="Z3080" s="193"/>
      <c r="AC3080" s="193"/>
      <c r="AD3080" s="193"/>
      <c r="AE3080" s="193"/>
      <c r="AF3080" s="193"/>
    </row>
    <row r="3081" spans="21:32" x14ac:dyDescent="0.3">
      <c r="U3081" s="193"/>
      <c r="V3081" s="193"/>
      <c r="W3081" s="193"/>
      <c r="X3081" s="193"/>
      <c r="Y3081" s="193"/>
      <c r="Z3081" s="193"/>
      <c r="AC3081" s="193"/>
      <c r="AD3081" s="193"/>
      <c r="AE3081" s="193"/>
      <c r="AF3081" s="193"/>
    </row>
    <row r="3082" spans="21:32" x14ac:dyDescent="0.3">
      <c r="U3082" s="193"/>
      <c r="V3082" s="193"/>
      <c r="W3082" s="193"/>
      <c r="X3082" s="193"/>
      <c r="Y3082" s="193"/>
      <c r="Z3082" s="193"/>
      <c r="AC3082" s="193"/>
      <c r="AD3082" s="193"/>
      <c r="AE3082" s="193"/>
      <c r="AF3082" s="193"/>
    </row>
    <row r="3083" spans="21:32" x14ac:dyDescent="0.3">
      <c r="U3083" s="193"/>
      <c r="V3083" s="193"/>
      <c r="W3083" s="193"/>
      <c r="X3083" s="193"/>
      <c r="Y3083" s="193"/>
      <c r="Z3083" s="193"/>
      <c r="AC3083" s="193"/>
      <c r="AD3083" s="193"/>
      <c r="AE3083" s="193"/>
      <c r="AF3083" s="193"/>
    </row>
    <row r="3084" spans="21:32" x14ac:dyDescent="0.3">
      <c r="U3084" s="193"/>
      <c r="V3084" s="193"/>
      <c r="W3084" s="193"/>
      <c r="X3084" s="193"/>
      <c r="Y3084" s="193"/>
      <c r="Z3084" s="193"/>
      <c r="AC3084" s="193"/>
      <c r="AD3084" s="193"/>
      <c r="AE3084" s="193"/>
      <c r="AF3084" s="193"/>
    </row>
    <row r="3085" spans="21:32" x14ac:dyDescent="0.3">
      <c r="U3085" s="193"/>
      <c r="V3085" s="193"/>
      <c r="W3085" s="193"/>
      <c r="X3085" s="193"/>
      <c r="Y3085" s="193"/>
      <c r="Z3085" s="193"/>
      <c r="AC3085" s="193"/>
      <c r="AD3085" s="193"/>
      <c r="AE3085" s="193"/>
      <c r="AF3085" s="193"/>
    </row>
    <row r="3086" spans="21:32" x14ac:dyDescent="0.3">
      <c r="U3086" s="193"/>
      <c r="V3086" s="193"/>
      <c r="W3086" s="193"/>
      <c r="X3086" s="193"/>
      <c r="Y3086" s="193"/>
      <c r="Z3086" s="193"/>
      <c r="AC3086" s="193"/>
      <c r="AD3086" s="193"/>
      <c r="AE3086" s="193"/>
      <c r="AF3086" s="193"/>
    </row>
    <row r="3087" spans="21:32" x14ac:dyDescent="0.3">
      <c r="U3087" s="193"/>
      <c r="V3087" s="193"/>
      <c r="W3087" s="193"/>
      <c r="X3087" s="193"/>
      <c r="Y3087" s="193"/>
      <c r="Z3087" s="193"/>
      <c r="AC3087" s="193"/>
      <c r="AD3087" s="193"/>
      <c r="AE3087" s="193"/>
      <c r="AF3087" s="193"/>
    </row>
    <row r="3088" spans="21:32" x14ac:dyDescent="0.3">
      <c r="U3088" s="193"/>
      <c r="V3088" s="193"/>
      <c r="W3088" s="193"/>
      <c r="X3088" s="193"/>
      <c r="Y3088" s="193"/>
      <c r="Z3088" s="193"/>
      <c r="AC3088" s="193"/>
      <c r="AD3088" s="193"/>
      <c r="AE3088" s="193"/>
      <c r="AF3088" s="193"/>
    </row>
    <row r="3089" spans="21:32" x14ac:dyDescent="0.3">
      <c r="U3089" s="193"/>
      <c r="V3089" s="193"/>
      <c r="W3089" s="193"/>
      <c r="X3089" s="193"/>
      <c r="Y3089" s="193"/>
      <c r="Z3089" s="193"/>
      <c r="AC3089" s="193"/>
      <c r="AD3089" s="193"/>
      <c r="AE3089" s="193"/>
      <c r="AF3089" s="193"/>
    </row>
    <row r="3090" spans="21:32" x14ac:dyDescent="0.3">
      <c r="U3090" s="193"/>
      <c r="V3090" s="193"/>
      <c r="W3090" s="193"/>
      <c r="X3090" s="193"/>
      <c r="Y3090" s="193"/>
      <c r="Z3090" s="193"/>
      <c r="AC3090" s="193"/>
      <c r="AD3090" s="193"/>
      <c r="AE3090" s="193"/>
      <c r="AF3090" s="193"/>
    </row>
    <row r="3091" spans="21:32" x14ac:dyDescent="0.3">
      <c r="U3091" s="193"/>
      <c r="V3091" s="193"/>
      <c r="W3091" s="193"/>
      <c r="X3091" s="193"/>
      <c r="Y3091" s="193"/>
      <c r="Z3091" s="193"/>
      <c r="AC3091" s="193"/>
      <c r="AD3091" s="193"/>
      <c r="AE3091" s="193"/>
      <c r="AF3091" s="193"/>
    </row>
    <row r="3092" spans="21:32" x14ac:dyDescent="0.3">
      <c r="U3092" s="193"/>
      <c r="V3092" s="193"/>
      <c r="W3092" s="193"/>
      <c r="X3092" s="193"/>
      <c r="Y3092" s="193"/>
      <c r="Z3092" s="193"/>
      <c r="AC3092" s="193"/>
      <c r="AD3092" s="193"/>
      <c r="AE3092" s="193"/>
      <c r="AF3092" s="193"/>
    </row>
    <row r="3093" spans="21:32" x14ac:dyDescent="0.3">
      <c r="U3093" s="193"/>
      <c r="V3093" s="193"/>
      <c r="W3093" s="193"/>
      <c r="X3093" s="193"/>
      <c r="Y3093" s="193"/>
      <c r="Z3093" s="193"/>
      <c r="AC3093" s="193"/>
      <c r="AD3093" s="193"/>
      <c r="AE3093" s="193"/>
      <c r="AF3093" s="193"/>
    </row>
    <row r="3094" spans="21:32" x14ac:dyDescent="0.3">
      <c r="U3094" s="193"/>
      <c r="V3094" s="193"/>
      <c r="W3094" s="193"/>
      <c r="X3094" s="193"/>
      <c r="Y3094" s="193"/>
      <c r="Z3094" s="193"/>
      <c r="AC3094" s="193"/>
      <c r="AD3094" s="193"/>
      <c r="AE3094" s="193"/>
      <c r="AF3094" s="193"/>
    </row>
    <row r="3095" spans="21:32" x14ac:dyDescent="0.3">
      <c r="U3095" s="193"/>
      <c r="V3095" s="193"/>
      <c r="W3095" s="193"/>
      <c r="X3095" s="193"/>
      <c r="Y3095" s="193"/>
      <c r="Z3095" s="193"/>
      <c r="AC3095" s="193"/>
      <c r="AD3095" s="193"/>
      <c r="AE3095" s="193"/>
      <c r="AF3095" s="193"/>
    </row>
    <row r="3096" spans="21:32" x14ac:dyDescent="0.3">
      <c r="U3096" s="193"/>
      <c r="V3096" s="193"/>
      <c r="W3096" s="193"/>
      <c r="X3096" s="193"/>
      <c r="Y3096" s="193"/>
      <c r="Z3096" s="193"/>
      <c r="AC3096" s="193"/>
      <c r="AD3096" s="193"/>
      <c r="AE3096" s="193"/>
      <c r="AF3096" s="193"/>
    </row>
    <row r="3097" spans="21:32" x14ac:dyDescent="0.3">
      <c r="U3097" s="193"/>
      <c r="V3097" s="193"/>
      <c r="W3097" s="193"/>
      <c r="X3097" s="193"/>
      <c r="Y3097" s="193"/>
      <c r="Z3097" s="193"/>
      <c r="AC3097" s="193"/>
      <c r="AD3097" s="193"/>
      <c r="AE3097" s="193"/>
      <c r="AF3097" s="193"/>
    </row>
    <row r="3098" spans="21:32" x14ac:dyDescent="0.3">
      <c r="U3098" s="193"/>
      <c r="V3098" s="193"/>
      <c r="W3098" s="193"/>
      <c r="X3098" s="193"/>
      <c r="Y3098" s="193"/>
      <c r="Z3098" s="193"/>
      <c r="AC3098" s="193"/>
      <c r="AD3098" s="193"/>
      <c r="AE3098" s="193"/>
      <c r="AF3098" s="193"/>
    </row>
    <row r="3099" spans="21:32" x14ac:dyDescent="0.3">
      <c r="U3099" s="193"/>
      <c r="V3099" s="193"/>
      <c r="W3099" s="193"/>
      <c r="X3099" s="193"/>
      <c r="Y3099" s="193"/>
      <c r="Z3099" s="193"/>
      <c r="AC3099" s="193"/>
      <c r="AD3099" s="193"/>
      <c r="AE3099" s="193"/>
      <c r="AF3099" s="193"/>
    </row>
    <row r="3100" spans="21:32" x14ac:dyDescent="0.3">
      <c r="U3100" s="193"/>
      <c r="V3100" s="193"/>
      <c r="W3100" s="193"/>
      <c r="X3100" s="193"/>
      <c r="Y3100" s="193"/>
      <c r="Z3100" s="193"/>
      <c r="AC3100" s="193"/>
      <c r="AD3100" s="193"/>
      <c r="AE3100" s="193"/>
      <c r="AF3100" s="193"/>
    </row>
    <row r="3101" spans="21:32" x14ac:dyDescent="0.3">
      <c r="U3101" s="193"/>
      <c r="V3101" s="193"/>
      <c r="W3101" s="193"/>
      <c r="X3101" s="193"/>
      <c r="Y3101" s="193"/>
      <c r="Z3101" s="193"/>
      <c r="AC3101" s="193"/>
      <c r="AD3101" s="193"/>
      <c r="AE3101" s="193"/>
      <c r="AF3101" s="193"/>
    </row>
    <row r="3102" spans="21:32" x14ac:dyDescent="0.3">
      <c r="U3102" s="193"/>
      <c r="V3102" s="193"/>
      <c r="W3102" s="193"/>
      <c r="X3102" s="193"/>
      <c r="Y3102" s="193"/>
      <c r="Z3102" s="193"/>
      <c r="AC3102" s="193"/>
      <c r="AD3102" s="193"/>
      <c r="AE3102" s="193"/>
      <c r="AF3102" s="193"/>
    </row>
    <row r="3103" spans="21:32" x14ac:dyDescent="0.3">
      <c r="U3103" s="193"/>
      <c r="V3103" s="193"/>
      <c r="W3103" s="193"/>
      <c r="X3103" s="193"/>
      <c r="Y3103" s="193"/>
      <c r="Z3103" s="193"/>
      <c r="AC3103" s="193"/>
      <c r="AD3103" s="193"/>
      <c r="AE3103" s="193"/>
      <c r="AF3103" s="193"/>
    </row>
    <row r="3104" spans="21:32" x14ac:dyDescent="0.3">
      <c r="U3104" s="193"/>
      <c r="V3104" s="193"/>
      <c r="W3104" s="193"/>
      <c r="X3104" s="193"/>
      <c r="Y3104" s="193"/>
      <c r="Z3104" s="193"/>
      <c r="AC3104" s="193"/>
      <c r="AD3104" s="193"/>
      <c r="AE3104" s="193"/>
      <c r="AF3104" s="193"/>
    </row>
    <row r="3105" spans="21:32" x14ac:dyDescent="0.3">
      <c r="U3105" s="193"/>
      <c r="V3105" s="193"/>
      <c r="W3105" s="193"/>
      <c r="X3105" s="193"/>
      <c r="Y3105" s="193"/>
      <c r="Z3105" s="193"/>
      <c r="AC3105" s="193"/>
      <c r="AD3105" s="193"/>
      <c r="AE3105" s="193"/>
      <c r="AF3105" s="193"/>
    </row>
    <row r="3106" spans="21:32" x14ac:dyDescent="0.3">
      <c r="U3106" s="193"/>
      <c r="V3106" s="193"/>
      <c r="W3106" s="193"/>
      <c r="X3106" s="193"/>
      <c r="Y3106" s="193"/>
      <c r="Z3106" s="193"/>
      <c r="AC3106" s="193"/>
      <c r="AD3106" s="193"/>
      <c r="AE3106" s="193"/>
      <c r="AF3106" s="193"/>
    </row>
    <row r="3107" spans="21:32" x14ac:dyDescent="0.3">
      <c r="U3107" s="193"/>
      <c r="V3107" s="193"/>
      <c r="W3107" s="193"/>
      <c r="X3107" s="193"/>
      <c r="Y3107" s="193"/>
      <c r="Z3107" s="193"/>
      <c r="AC3107" s="193"/>
      <c r="AD3107" s="193"/>
      <c r="AE3107" s="193"/>
      <c r="AF3107" s="193"/>
    </row>
    <row r="3108" spans="21:32" x14ac:dyDescent="0.3">
      <c r="U3108" s="193"/>
      <c r="V3108" s="193"/>
      <c r="W3108" s="193"/>
      <c r="X3108" s="193"/>
      <c r="Y3108" s="193"/>
      <c r="Z3108" s="193"/>
      <c r="AC3108" s="193"/>
      <c r="AD3108" s="193"/>
      <c r="AE3108" s="193"/>
      <c r="AF3108" s="193"/>
    </row>
    <row r="3109" spans="21:32" x14ac:dyDescent="0.3">
      <c r="U3109" s="193"/>
      <c r="V3109" s="193"/>
      <c r="W3109" s="193"/>
      <c r="X3109" s="193"/>
      <c r="Y3109" s="193"/>
      <c r="Z3109" s="193"/>
      <c r="AC3109" s="193"/>
      <c r="AD3109" s="193"/>
      <c r="AE3109" s="193"/>
      <c r="AF3109" s="193"/>
    </row>
    <row r="3110" spans="21:32" x14ac:dyDescent="0.3">
      <c r="U3110" s="193"/>
      <c r="V3110" s="193"/>
      <c r="W3110" s="193"/>
      <c r="X3110" s="193"/>
      <c r="Y3110" s="193"/>
      <c r="Z3110" s="193"/>
      <c r="AC3110" s="193"/>
      <c r="AD3110" s="193"/>
      <c r="AE3110" s="193"/>
      <c r="AF3110" s="193"/>
    </row>
    <row r="3111" spans="21:32" x14ac:dyDescent="0.3">
      <c r="U3111" s="193"/>
      <c r="V3111" s="193"/>
      <c r="W3111" s="193"/>
      <c r="X3111" s="193"/>
      <c r="Y3111" s="193"/>
      <c r="Z3111" s="193"/>
      <c r="AC3111" s="193"/>
      <c r="AD3111" s="193"/>
      <c r="AE3111" s="193"/>
      <c r="AF3111" s="193"/>
    </row>
    <row r="3112" spans="21:32" x14ac:dyDescent="0.3">
      <c r="U3112" s="193"/>
      <c r="V3112" s="193"/>
      <c r="W3112" s="193"/>
      <c r="X3112" s="193"/>
      <c r="Y3112" s="193"/>
      <c r="Z3112" s="193"/>
      <c r="AC3112" s="193"/>
      <c r="AD3112" s="193"/>
      <c r="AE3112" s="193"/>
      <c r="AF3112" s="193"/>
    </row>
    <row r="3113" spans="21:32" x14ac:dyDescent="0.3">
      <c r="U3113" s="193"/>
      <c r="V3113" s="193"/>
      <c r="W3113" s="193"/>
      <c r="X3113" s="193"/>
      <c r="Y3113" s="193"/>
      <c r="Z3113" s="193"/>
      <c r="AC3113" s="193"/>
      <c r="AD3113" s="193"/>
      <c r="AE3113" s="193"/>
      <c r="AF3113" s="193"/>
    </row>
    <row r="3114" spans="21:32" x14ac:dyDescent="0.3">
      <c r="U3114" s="193"/>
      <c r="V3114" s="193"/>
      <c r="W3114" s="193"/>
      <c r="X3114" s="193"/>
      <c r="Y3114" s="193"/>
      <c r="Z3114" s="193"/>
      <c r="AC3114" s="193"/>
      <c r="AD3114" s="193"/>
      <c r="AE3114" s="193"/>
      <c r="AF3114" s="193"/>
    </row>
    <row r="3115" spans="21:32" x14ac:dyDescent="0.3">
      <c r="U3115" s="193"/>
      <c r="V3115" s="193"/>
      <c r="W3115" s="193"/>
      <c r="X3115" s="193"/>
      <c r="Y3115" s="193"/>
      <c r="Z3115" s="193"/>
      <c r="AC3115" s="193"/>
      <c r="AD3115" s="193"/>
      <c r="AE3115" s="193"/>
      <c r="AF3115" s="193"/>
    </row>
    <row r="3116" spans="21:32" x14ac:dyDescent="0.3">
      <c r="U3116" s="193"/>
      <c r="V3116" s="193"/>
      <c r="W3116" s="193"/>
      <c r="X3116" s="193"/>
      <c r="Y3116" s="193"/>
      <c r="Z3116" s="193"/>
      <c r="AC3116" s="193"/>
      <c r="AD3116" s="193"/>
      <c r="AE3116" s="193"/>
      <c r="AF3116" s="193"/>
    </row>
    <row r="3117" spans="21:32" x14ac:dyDescent="0.3">
      <c r="U3117" s="193"/>
      <c r="V3117" s="193"/>
      <c r="W3117" s="193"/>
      <c r="X3117" s="193"/>
      <c r="Y3117" s="193"/>
      <c r="Z3117" s="193"/>
      <c r="AC3117" s="193"/>
      <c r="AD3117" s="193"/>
      <c r="AE3117" s="193"/>
      <c r="AF3117" s="193"/>
    </row>
    <row r="3118" spans="21:32" x14ac:dyDescent="0.3">
      <c r="U3118" s="193"/>
      <c r="V3118" s="193"/>
      <c r="W3118" s="193"/>
      <c r="X3118" s="193"/>
      <c r="Y3118" s="193"/>
      <c r="Z3118" s="193"/>
      <c r="AC3118" s="193"/>
      <c r="AD3118" s="193"/>
      <c r="AE3118" s="193"/>
      <c r="AF3118" s="193"/>
    </row>
    <row r="3119" spans="21:32" x14ac:dyDescent="0.3">
      <c r="U3119" s="193"/>
      <c r="V3119" s="193"/>
      <c r="W3119" s="193"/>
      <c r="X3119" s="193"/>
      <c r="Y3119" s="193"/>
      <c r="Z3119" s="193"/>
      <c r="AC3119" s="193"/>
      <c r="AD3119" s="193"/>
      <c r="AE3119" s="193"/>
      <c r="AF3119" s="193"/>
    </row>
    <row r="3120" spans="21:32" x14ac:dyDescent="0.3">
      <c r="U3120" s="193"/>
      <c r="V3120" s="193"/>
      <c r="W3120" s="193"/>
      <c r="X3120" s="193"/>
      <c r="Y3120" s="193"/>
      <c r="Z3120" s="193"/>
      <c r="AC3120" s="193"/>
      <c r="AD3120" s="193"/>
      <c r="AE3120" s="193"/>
      <c r="AF3120" s="193"/>
    </row>
    <row r="3121" spans="21:32" x14ac:dyDescent="0.3">
      <c r="U3121" s="193"/>
      <c r="V3121" s="193"/>
      <c r="W3121" s="193"/>
      <c r="X3121" s="193"/>
      <c r="Y3121" s="193"/>
      <c r="Z3121" s="193"/>
      <c r="AC3121" s="193"/>
      <c r="AD3121" s="193"/>
      <c r="AE3121" s="193"/>
      <c r="AF3121" s="193"/>
    </row>
    <row r="3122" spans="21:32" x14ac:dyDescent="0.3">
      <c r="U3122" s="193"/>
      <c r="V3122" s="193"/>
      <c r="W3122" s="193"/>
      <c r="X3122" s="193"/>
      <c r="Y3122" s="193"/>
      <c r="Z3122" s="193"/>
      <c r="AC3122" s="193"/>
      <c r="AD3122" s="193"/>
      <c r="AE3122" s="193"/>
      <c r="AF3122" s="193"/>
    </row>
    <row r="3123" spans="21:32" x14ac:dyDescent="0.3">
      <c r="U3123" s="193"/>
      <c r="V3123" s="193"/>
      <c r="W3123" s="193"/>
      <c r="X3123" s="193"/>
      <c r="Y3123" s="193"/>
      <c r="Z3123" s="193"/>
      <c r="AC3123" s="193"/>
      <c r="AD3123" s="193"/>
      <c r="AE3123" s="193"/>
      <c r="AF3123" s="193"/>
    </row>
    <row r="3124" spans="21:32" x14ac:dyDescent="0.3">
      <c r="U3124" s="193"/>
      <c r="V3124" s="193"/>
      <c r="W3124" s="193"/>
      <c r="X3124" s="193"/>
      <c r="Y3124" s="193"/>
      <c r="Z3124" s="193"/>
      <c r="AC3124" s="193"/>
      <c r="AD3124" s="193"/>
      <c r="AE3124" s="193"/>
      <c r="AF3124" s="193"/>
    </row>
    <row r="3125" spans="21:32" x14ac:dyDescent="0.3">
      <c r="U3125" s="193"/>
      <c r="V3125" s="193"/>
      <c r="W3125" s="193"/>
      <c r="X3125" s="193"/>
      <c r="Y3125" s="193"/>
      <c r="Z3125" s="193"/>
      <c r="AC3125" s="193"/>
      <c r="AD3125" s="193"/>
      <c r="AE3125" s="193"/>
      <c r="AF3125" s="193"/>
    </row>
    <row r="3126" spans="21:32" x14ac:dyDescent="0.3">
      <c r="U3126" s="193"/>
      <c r="V3126" s="193"/>
      <c r="W3126" s="193"/>
      <c r="X3126" s="193"/>
      <c r="Y3126" s="193"/>
      <c r="Z3126" s="193"/>
      <c r="AC3126" s="193"/>
      <c r="AD3126" s="193"/>
      <c r="AE3126" s="193"/>
      <c r="AF3126" s="193"/>
    </row>
    <row r="3127" spans="21:32" x14ac:dyDescent="0.3">
      <c r="U3127" s="193"/>
      <c r="V3127" s="193"/>
      <c r="W3127" s="193"/>
      <c r="X3127" s="193"/>
      <c r="Y3127" s="193"/>
      <c r="Z3127" s="193"/>
      <c r="AC3127" s="193"/>
      <c r="AD3127" s="193"/>
      <c r="AE3127" s="193"/>
      <c r="AF3127" s="193"/>
    </row>
    <row r="3128" spans="21:32" x14ac:dyDescent="0.3">
      <c r="U3128" s="193"/>
      <c r="V3128" s="193"/>
      <c r="W3128" s="193"/>
      <c r="X3128" s="193"/>
      <c r="Y3128" s="193"/>
      <c r="Z3128" s="193"/>
      <c r="AC3128" s="193"/>
      <c r="AD3128" s="193"/>
      <c r="AE3128" s="193"/>
      <c r="AF3128" s="193"/>
    </row>
    <row r="3129" spans="21:32" x14ac:dyDescent="0.3">
      <c r="U3129" s="193"/>
      <c r="V3129" s="193"/>
      <c r="W3129" s="193"/>
      <c r="X3129" s="193"/>
      <c r="Y3129" s="193"/>
      <c r="Z3129" s="193"/>
      <c r="AC3129" s="193"/>
      <c r="AD3129" s="193"/>
      <c r="AE3129" s="193"/>
      <c r="AF3129" s="193"/>
    </row>
    <row r="3130" spans="21:32" x14ac:dyDescent="0.3">
      <c r="U3130" s="193"/>
      <c r="V3130" s="193"/>
      <c r="W3130" s="193"/>
      <c r="X3130" s="193"/>
      <c r="Y3130" s="193"/>
      <c r="Z3130" s="193"/>
      <c r="AC3130" s="193"/>
      <c r="AD3130" s="193"/>
      <c r="AE3130" s="193"/>
      <c r="AF3130" s="193"/>
    </row>
    <row r="3131" spans="21:32" x14ac:dyDescent="0.3">
      <c r="U3131" s="193"/>
      <c r="V3131" s="193"/>
      <c r="W3131" s="193"/>
      <c r="X3131" s="193"/>
      <c r="Y3131" s="193"/>
      <c r="Z3131" s="193"/>
      <c r="AC3131" s="193"/>
      <c r="AD3131" s="193"/>
      <c r="AE3131" s="193"/>
      <c r="AF3131" s="193"/>
    </row>
    <row r="3132" spans="21:32" x14ac:dyDescent="0.3">
      <c r="U3132" s="193"/>
      <c r="V3132" s="193"/>
      <c r="W3132" s="193"/>
      <c r="X3132" s="193"/>
      <c r="Y3132" s="193"/>
      <c r="Z3132" s="193"/>
      <c r="AC3132" s="193"/>
      <c r="AD3132" s="193"/>
      <c r="AE3132" s="193"/>
      <c r="AF3132" s="193"/>
    </row>
    <row r="3133" spans="21:32" x14ac:dyDescent="0.3">
      <c r="U3133" s="193"/>
      <c r="V3133" s="193"/>
      <c r="W3133" s="193"/>
      <c r="X3133" s="193"/>
      <c r="Y3133" s="193"/>
      <c r="Z3133" s="193"/>
      <c r="AC3133" s="193"/>
      <c r="AD3133" s="193"/>
      <c r="AE3133" s="193"/>
      <c r="AF3133" s="193"/>
    </row>
    <row r="3134" spans="21:32" x14ac:dyDescent="0.3">
      <c r="U3134" s="193"/>
      <c r="V3134" s="193"/>
      <c r="W3134" s="193"/>
      <c r="X3134" s="193"/>
      <c r="Y3134" s="193"/>
      <c r="Z3134" s="193"/>
      <c r="AC3134" s="193"/>
      <c r="AD3134" s="193"/>
      <c r="AE3134" s="193"/>
      <c r="AF3134" s="193"/>
    </row>
    <row r="3135" spans="21:32" x14ac:dyDescent="0.3">
      <c r="U3135" s="193"/>
      <c r="V3135" s="193"/>
      <c r="W3135" s="193"/>
      <c r="X3135" s="193"/>
      <c r="Y3135" s="193"/>
      <c r="Z3135" s="193"/>
      <c r="AC3135" s="193"/>
      <c r="AD3135" s="193"/>
      <c r="AE3135" s="193"/>
      <c r="AF3135" s="193"/>
    </row>
    <row r="3136" spans="21:32" x14ac:dyDescent="0.3">
      <c r="U3136" s="193"/>
      <c r="V3136" s="193"/>
      <c r="W3136" s="193"/>
      <c r="X3136" s="193"/>
      <c r="Y3136" s="193"/>
      <c r="Z3136" s="193"/>
      <c r="AC3136" s="193"/>
      <c r="AD3136" s="193"/>
      <c r="AE3136" s="193"/>
      <c r="AF3136" s="193"/>
    </row>
    <row r="3137" spans="21:32" x14ac:dyDescent="0.3">
      <c r="U3137" s="193"/>
      <c r="V3137" s="193"/>
      <c r="W3137" s="193"/>
      <c r="X3137" s="193"/>
      <c r="Y3137" s="193"/>
      <c r="Z3137" s="193"/>
      <c r="AC3137" s="193"/>
      <c r="AD3137" s="193"/>
      <c r="AE3137" s="193"/>
      <c r="AF3137" s="193"/>
    </row>
    <row r="3138" spans="21:32" x14ac:dyDescent="0.3">
      <c r="U3138" s="193"/>
      <c r="V3138" s="193"/>
      <c r="W3138" s="193"/>
      <c r="X3138" s="193"/>
      <c r="Y3138" s="193"/>
      <c r="Z3138" s="193"/>
      <c r="AC3138" s="193"/>
      <c r="AD3138" s="193"/>
      <c r="AE3138" s="193"/>
      <c r="AF3138" s="193"/>
    </row>
    <row r="3139" spans="21:32" x14ac:dyDescent="0.3">
      <c r="U3139" s="193"/>
      <c r="V3139" s="193"/>
      <c r="W3139" s="193"/>
      <c r="X3139" s="193"/>
      <c r="Y3139" s="193"/>
      <c r="Z3139" s="193"/>
      <c r="AC3139" s="193"/>
      <c r="AD3139" s="193"/>
      <c r="AE3139" s="193"/>
      <c r="AF3139" s="193"/>
    </row>
    <row r="3140" spans="21:32" x14ac:dyDescent="0.3">
      <c r="U3140" s="193"/>
      <c r="V3140" s="193"/>
      <c r="W3140" s="193"/>
      <c r="X3140" s="193"/>
      <c r="Y3140" s="193"/>
      <c r="Z3140" s="193"/>
      <c r="AC3140" s="193"/>
      <c r="AD3140" s="193"/>
      <c r="AE3140" s="193"/>
      <c r="AF3140" s="193"/>
    </row>
    <row r="3141" spans="21:32" x14ac:dyDescent="0.3">
      <c r="U3141" s="193"/>
      <c r="V3141" s="193"/>
      <c r="W3141" s="193"/>
      <c r="X3141" s="193"/>
      <c r="Y3141" s="193"/>
      <c r="Z3141" s="193"/>
      <c r="AC3141" s="193"/>
      <c r="AD3141" s="193"/>
      <c r="AE3141" s="193"/>
      <c r="AF3141" s="193"/>
    </row>
    <row r="3142" spans="21:32" x14ac:dyDescent="0.3">
      <c r="U3142" s="193"/>
      <c r="V3142" s="193"/>
      <c r="W3142" s="193"/>
      <c r="X3142" s="193"/>
      <c r="Y3142" s="193"/>
      <c r="Z3142" s="193"/>
      <c r="AC3142" s="193"/>
      <c r="AD3142" s="193"/>
      <c r="AE3142" s="193"/>
      <c r="AF3142" s="193"/>
    </row>
    <row r="3143" spans="21:32" x14ac:dyDescent="0.3">
      <c r="U3143" s="193"/>
      <c r="V3143" s="193"/>
      <c r="W3143" s="193"/>
      <c r="X3143" s="193"/>
      <c r="Y3143" s="193"/>
      <c r="Z3143" s="193"/>
      <c r="AC3143" s="193"/>
      <c r="AD3143" s="193"/>
      <c r="AE3143" s="193"/>
      <c r="AF3143" s="193"/>
    </row>
    <row r="3144" spans="21:32" x14ac:dyDescent="0.3">
      <c r="U3144" s="193"/>
      <c r="V3144" s="193"/>
      <c r="W3144" s="193"/>
      <c r="X3144" s="193"/>
      <c r="Y3144" s="193"/>
      <c r="Z3144" s="193"/>
      <c r="AC3144" s="193"/>
      <c r="AD3144" s="193"/>
      <c r="AE3144" s="193"/>
      <c r="AF3144" s="193"/>
    </row>
    <row r="3145" spans="21:32" x14ac:dyDescent="0.3">
      <c r="U3145" s="193"/>
      <c r="V3145" s="193"/>
      <c r="W3145" s="193"/>
      <c r="X3145" s="193"/>
      <c r="Y3145" s="193"/>
      <c r="Z3145" s="193"/>
      <c r="AC3145" s="193"/>
      <c r="AD3145" s="193"/>
      <c r="AE3145" s="193"/>
      <c r="AF3145" s="193"/>
    </row>
    <row r="3146" spans="21:32" x14ac:dyDescent="0.3">
      <c r="U3146" s="193"/>
      <c r="V3146" s="193"/>
      <c r="W3146" s="193"/>
      <c r="X3146" s="193"/>
      <c r="Y3146" s="193"/>
      <c r="Z3146" s="193"/>
      <c r="AC3146" s="193"/>
      <c r="AD3146" s="193"/>
      <c r="AE3146" s="193"/>
      <c r="AF3146" s="193"/>
    </row>
    <row r="3147" spans="21:32" x14ac:dyDescent="0.3">
      <c r="U3147" s="193"/>
      <c r="V3147" s="193"/>
      <c r="W3147" s="193"/>
      <c r="X3147" s="193"/>
      <c r="Y3147" s="193"/>
      <c r="Z3147" s="193"/>
      <c r="AC3147" s="193"/>
      <c r="AD3147" s="193"/>
      <c r="AE3147" s="193"/>
      <c r="AF3147" s="193"/>
    </row>
    <row r="3148" spans="21:32" x14ac:dyDescent="0.3">
      <c r="U3148" s="193"/>
      <c r="V3148" s="193"/>
      <c r="W3148" s="193"/>
      <c r="X3148" s="193"/>
      <c r="Y3148" s="193"/>
      <c r="Z3148" s="193"/>
      <c r="AC3148" s="193"/>
      <c r="AD3148" s="193"/>
      <c r="AE3148" s="193"/>
      <c r="AF3148" s="193"/>
    </row>
    <row r="3149" spans="21:32" x14ac:dyDescent="0.3">
      <c r="U3149" s="193"/>
      <c r="V3149" s="193"/>
      <c r="W3149" s="193"/>
      <c r="X3149" s="193"/>
      <c r="Y3149" s="193"/>
      <c r="Z3149" s="193"/>
      <c r="AC3149" s="193"/>
      <c r="AD3149" s="193"/>
      <c r="AE3149" s="193"/>
      <c r="AF3149" s="193"/>
    </row>
    <row r="3150" spans="21:32" x14ac:dyDescent="0.3">
      <c r="U3150" s="193"/>
      <c r="V3150" s="193"/>
      <c r="W3150" s="193"/>
      <c r="X3150" s="193"/>
      <c r="Y3150" s="193"/>
      <c r="Z3150" s="193"/>
      <c r="AC3150" s="193"/>
      <c r="AD3150" s="193"/>
      <c r="AE3150" s="193"/>
      <c r="AF3150" s="193"/>
    </row>
    <row r="3151" spans="21:32" x14ac:dyDescent="0.3">
      <c r="U3151" s="193"/>
      <c r="V3151" s="193"/>
      <c r="W3151" s="193"/>
      <c r="X3151" s="193"/>
      <c r="Y3151" s="193"/>
      <c r="Z3151" s="193"/>
      <c r="AC3151" s="193"/>
      <c r="AD3151" s="193"/>
      <c r="AE3151" s="193"/>
      <c r="AF3151" s="193"/>
    </row>
    <row r="3152" spans="21:32" x14ac:dyDescent="0.3">
      <c r="U3152" s="193"/>
      <c r="V3152" s="193"/>
      <c r="W3152" s="193"/>
      <c r="X3152" s="193"/>
      <c r="Y3152" s="193"/>
      <c r="Z3152" s="193"/>
      <c r="AC3152" s="193"/>
      <c r="AD3152" s="193"/>
      <c r="AE3152" s="193"/>
      <c r="AF3152" s="193"/>
    </row>
    <row r="3153" spans="21:32" x14ac:dyDescent="0.3">
      <c r="U3153" s="193"/>
      <c r="V3153" s="193"/>
      <c r="W3153" s="193"/>
      <c r="X3153" s="193"/>
      <c r="Y3153" s="193"/>
      <c r="Z3153" s="193"/>
      <c r="AC3153" s="193"/>
      <c r="AD3153" s="193"/>
      <c r="AE3153" s="193"/>
      <c r="AF3153" s="193"/>
    </row>
    <row r="3154" spans="21:32" x14ac:dyDescent="0.3">
      <c r="U3154" s="193"/>
      <c r="V3154" s="193"/>
      <c r="W3154" s="193"/>
      <c r="X3154" s="193"/>
      <c r="Y3154" s="193"/>
      <c r="Z3154" s="193"/>
      <c r="AC3154" s="193"/>
      <c r="AD3154" s="193"/>
      <c r="AE3154" s="193"/>
      <c r="AF3154" s="193"/>
    </row>
    <row r="3155" spans="21:32" x14ac:dyDescent="0.3">
      <c r="U3155" s="193"/>
      <c r="V3155" s="193"/>
      <c r="W3155" s="193"/>
      <c r="X3155" s="193"/>
      <c r="Y3155" s="193"/>
      <c r="Z3155" s="193"/>
      <c r="AC3155" s="193"/>
      <c r="AD3155" s="193"/>
      <c r="AE3155" s="193"/>
      <c r="AF3155" s="193"/>
    </row>
    <row r="3156" spans="21:32" x14ac:dyDescent="0.3">
      <c r="U3156" s="193"/>
      <c r="V3156" s="193"/>
      <c r="W3156" s="193"/>
      <c r="X3156" s="193"/>
      <c r="Y3156" s="193"/>
      <c r="Z3156" s="193"/>
      <c r="AC3156" s="193"/>
      <c r="AD3156" s="193"/>
      <c r="AE3156" s="193"/>
      <c r="AF3156" s="193"/>
    </row>
    <row r="3157" spans="21:32" x14ac:dyDescent="0.3">
      <c r="U3157" s="193"/>
      <c r="V3157" s="193"/>
      <c r="W3157" s="193"/>
      <c r="X3157" s="193"/>
      <c r="Y3157" s="193"/>
      <c r="Z3157" s="193"/>
      <c r="AC3157" s="193"/>
      <c r="AD3157" s="193"/>
      <c r="AE3157" s="193"/>
      <c r="AF3157" s="193"/>
    </row>
    <row r="3158" spans="21:32" x14ac:dyDescent="0.3">
      <c r="U3158" s="193"/>
      <c r="V3158" s="193"/>
      <c r="W3158" s="193"/>
      <c r="X3158" s="193"/>
      <c r="Y3158" s="193"/>
      <c r="Z3158" s="193"/>
      <c r="AC3158" s="193"/>
      <c r="AD3158" s="193"/>
      <c r="AE3158" s="193"/>
      <c r="AF3158" s="193"/>
    </row>
    <row r="3159" spans="21:32" x14ac:dyDescent="0.3">
      <c r="U3159" s="193"/>
      <c r="V3159" s="193"/>
      <c r="W3159" s="193"/>
      <c r="X3159" s="193"/>
      <c r="Y3159" s="193"/>
      <c r="Z3159" s="193"/>
      <c r="AC3159" s="193"/>
      <c r="AD3159" s="193"/>
      <c r="AE3159" s="193"/>
      <c r="AF3159" s="193"/>
    </row>
    <row r="3160" spans="21:32" x14ac:dyDescent="0.3">
      <c r="U3160" s="193"/>
      <c r="V3160" s="193"/>
      <c r="W3160" s="193"/>
      <c r="X3160" s="193"/>
      <c r="Y3160" s="193"/>
      <c r="Z3160" s="193"/>
      <c r="AC3160" s="193"/>
      <c r="AD3160" s="193"/>
      <c r="AE3160" s="193"/>
      <c r="AF3160" s="193"/>
    </row>
    <row r="3161" spans="21:32" x14ac:dyDescent="0.3">
      <c r="U3161" s="193"/>
      <c r="V3161" s="193"/>
      <c r="W3161" s="193"/>
      <c r="X3161" s="193"/>
      <c r="Y3161" s="193"/>
      <c r="Z3161" s="193"/>
      <c r="AC3161" s="193"/>
      <c r="AD3161" s="193"/>
      <c r="AE3161" s="193"/>
      <c r="AF3161" s="193"/>
    </row>
    <row r="3162" spans="21:32" x14ac:dyDescent="0.3">
      <c r="U3162" s="193"/>
      <c r="V3162" s="193"/>
      <c r="W3162" s="193"/>
      <c r="X3162" s="193"/>
      <c r="Y3162" s="193"/>
      <c r="Z3162" s="193"/>
      <c r="AC3162" s="193"/>
      <c r="AD3162" s="193"/>
      <c r="AE3162" s="193"/>
      <c r="AF3162" s="193"/>
    </row>
    <row r="3163" spans="21:32" x14ac:dyDescent="0.3">
      <c r="U3163" s="193"/>
      <c r="V3163" s="193"/>
      <c r="W3163" s="193"/>
      <c r="X3163" s="193"/>
      <c r="Y3163" s="193"/>
      <c r="Z3163" s="193"/>
      <c r="AC3163" s="193"/>
      <c r="AD3163" s="193"/>
      <c r="AE3163" s="193"/>
      <c r="AF3163" s="193"/>
    </row>
    <row r="3164" spans="21:32" x14ac:dyDescent="0.3">
      <c r="U3164" s="193"/>
      <c r="V3164" s="193"/>
      <c r="W3164" s="193"/>
      <c r="X3164" s="193"/>
      <c r="Y3164" s="193"/>
      <c r="Z3164" s="193"/>
      <c r="AC3164" s="193"/>
      <c r="AD3164" s="193"/>
      <c r="AE3164" s="193"/>
      <c r="AF3164" s="193"/>
    </row>
    <row r="3165" spans="21:32" x14ac:dyDescent="0.3">
      <c r="U3165" s="193"/>
      <c r="V3165" s="193"/>
      <c r="W3165" s="193"/>
      <c r="X3165" s="193"/>
      <c r="Y3165" s="193"/>
      <c r="Z3165" s="193"/>
      <c r="AC3165" s="193"/>
      <c r="AD3165" s="193"/>
      <c r="AE3165" s="193"/>
      <c r="AF3165" s="193"/>
    </row>
    <row r="3166" spans="21:32" x14ac:dyDescent="0.3">
      <c r="U3166" s="193"/>
      <c r="V3166" s="193"/>
      <c r="W3166" s="193"/>
      <c r="X3166" s="193"/>
      <c r="Y3166" s="193"/>
      <c r="Z3166" s="193"/>
      <c r="AC3166" s="193"/>
      <c r="AD3166" s="193"/>
      <c r="AE3166" s="193"/>
      <c r="AF3166" s="193"/>
    </row>
    <row r="3167" spans="21:32" x14ac:dyDescent="0.3">
      <c r="U3167" s="193"/>
      <c r="V3167" s="193"/>
      <c r="W3167" s="193"/>
      <c r="X3167" s="193"/>
      <c r="Y3167" s="193"/>
      <c r="Z3167" s="193"/>
      <c r="AC3167" s="193"/>
      <c r="AD3167" s="193"/>
      <c r="AE3167" s="193"/>
      <c r="AF3167" s="193"/>
    </row>
    <row r="3168" spans="21:32" x14ac:dyDescent="0.3">
      <c r="U3168" s="193"/>
      <c r="V3168" s="193"/>
      <c r="W3168" s="193"/>
      <c r="X3168" s="193"/>
      <c r="Y3168" s="193"/>
      <c r="Z3168" s="193"/>
      <c r="AC3168" s="193"/>
      <c r="AD3168" s="193"/>
      <c r="AE3168" s="193"/>
      <c r="AF3168" s="193"/>
    </row>
    <row r="3169" spans="21:32" x14ac:dyDescent="0.3">
      <c r="U3169" s="193"/>
      <c r="V3169" s="193"/>
      <c r="W3169" s="193"/>
      <c r="X3169" s="193"/>
      <c r="Y3169" s="193"/>
      <c r="Z3169" s="193"/>
      <c r="AC3169" s="193"/>
      <c r="AD3169" s="193"/>
      <c r="AE3169" s="193"/>
      <c r="AF3169" s="193"/>
    </row>
    <row r="3170" spans="21:32" x14ac:dyDescent="0.3">
      <c r="U3170" s="193"/>
      <c r="V3170" s="193"/>
      <c r="W3170" s="193"/>
      <c r="X3170" s="193"/>
      <c r="Y3170" s="193"/>
      <c r="Z3170" s="193"/>
      <c r="AC3170" s="193"/>
      <c r="AD3170" s="193"/>
      <c r="AE3170" s="193"/>
      <c r="AF3170" s="193"/>
    </row>
    <row r="3171" spans="21:32" x14ac:dyDescent="0.3">
      <c r="U3171" s="193"/>
      <c r="V3171" s="193"/>
      <c r="W3171" s="193"/>
      <c r="X3171" s="193"/>
      <c r="Y3171" s="193"/>
      <c r="Z3171" s="193"/>
      <c r="AC3171" s="193"/>
      <c r="AD3171" s="193"/>
      <c r="AE3171" s="193"/>
      <c r="AF3171" s="193"/>
    </row>
    <row r="3172" spans="21:32" x14ac:dyDescent="0.3">
      <c r="U3172" s="193"/>
      <c r="V3172" s="193"/>
      <c r="W3172" s="193"/>
      <c r="X3172" s="193"/>
      <c r="Y3172" s="193"/>
      <c r="Z3172" s="193"/>
      <c r="AC3172" s="193"/>
      <c r="AD3172" s="193"/>
      <c r="AE3172" s="193"/>
      <c r="AF3172" s="193"/>
    </row>
    <row r="3173" spans="21:32" x14ac:dyDescent="0.3">
      <c r="U3173" s="193"/>
      <c r="V3173" s="193"/>
      <c r="W3173" s="193"/>
      <c r="X3173" s="193"/>
      <c r="Y3173" s="193"/>
      <c r="Z3173" s="193"/>
      <c r="AC3173" s="193"/>
      <c r="AD3173" s="193"/>
      <c r="AE3173" s="193"/>
      <c r="AF3173" s="193"/>
    </row>
    <row r="3174" spans="21:32" x14ac:dyDescent="0.3">
      <c r="U3174" s="193"/>
      <c r="V3174" s="193"/>
      <c r="W3174" s="193"/>
      <c r="X3174" s="193"/>
      <c r="Y3174" s="193"/>
      <c r="Z3174" s="193"/>
      <c r="AC3174" s="193"/>
      <c r="AD3174" s="193"/>
      <c r="AE3174" s="193"/>
      <c r="AF3174" s="193"/>
    </row>
    <row r="3175" spans="21:32" x14ac:dyDescent="0.3">
      <c r="U3175" s="193"/>
      <c r="V3175" s="193"/>
      <c r="W3175" s="193"/>
      <c r="X3175" s="193"/>
      <c r="Y3175" s="193"/>
      <c r="Z3175" s="193"/>
      <c r="AC3175" s="193"/>
      <c r="AD3175" s="193"/>
      <c r="AE3175" s="193"/>
      <c r="AF3175" s="193"/>
    </row>
    <row r="3176" spans="21:32" x14ac:dyDescent="0.3">
      <c r="U3176" s="193"/>
      <c r="V3176" s="193"/>
      <c r="W3176" s="193"/>
      <c r="X3176" s="193"/>
      <c r="Y3176" s="193"/>
      <c r="Z3176" s="193"/>
      <c r="AC3176" s="193"/>
      <c r="AD3176" s="193"/>
      <c r="AE3176" s="193"/>
      <c r="AF3176" s="193"/>
    </row>
    <row r="3177" spans="21:32" x14ac:dyDescent="0.3">
      <c r="U3177" s="193"/>
      <c r="V3177" s="193"/>
      <c r="W3177" s="193"/>
      <c r="X3177" s="193"/>
      <c r="Y3177" s="193"/>
      <c r="Z3177" s="193"/>
      <c r="AC3177" s="193"/>
      <c r="AD3177" s="193"/>
      <c r="AE3177" s="193"/>
      <c r="AF3177" s="193"/>
    </row>
    <row r="3178" spans="21:32" x14ac:dyDescent="0.3">
      <c r="U3178" s="193"/>
      <c r="V3178" s="193"/>
      <c r="W3178" s="193"/>
      <c r="X3178" s="193"/>
      <c r="Y3178" s="193"/>
      <c r="Z3178" s="193"/>
      <c r="AC3178" s="193"/>
      <c r="AD3178" s="193"/>
      <c r="AE3178" s="193"/>
      <c r="AF3178" s="193"/>
    </row>
    <row r="3179" spans="21:32" x14ac:dyDescent="0.3">
      <c r="U3179" s="193"/>
      <c r="V3179" s="193"/>
      <c r="W3179" s="193"/>
      <c r="X3179" s="193"/>
      <c r="Y3179" s="193"/>
      <c r="Z3179" s="193"/>
      <c r="AC3179" s="193"/>
      <c r="AD3179" s="193"/>
      <c r="AE3179" s="193"/>
      <c r="AF3179" s="193"/>
    </row>
    <row r="3180" spans="21:32" x14ac:dyDescent="0.3">
      <c r="U3180" s="193"/>
      <c r="V3180" s="193"/>
      <c r="W3180" s="193"/>
      <c r="X3180" s="193"/>
      <c r="Y3180" s="193"/>
      <c r="Z3180" s="193"/>
      <c r="AC3180" s="193"/>
      <c r="AD3180" s="193"/>
      <c r="AE3180" s="193"/>
      <c r="AF3180" s="193"/>
    </row>
    <row r="3181" spans="21:32" x14ac:dyDescent="0.3">
      <c r="U3181" s="193"/>
      <c r="V3181" s="193"/>
      <c r="W3181" s="193"/>
      <c r="X3181" s="193"/>
      <c r="Y3181" s="193"/>
      <c r="Z3181" s="193"/>
      <c r="AC3181" s="193"/>
      <c r="AD3181" s="193"/>
      <c r="AE3181" s="193"/>
      <c r="AF3181" s="193"/>
    </row>
    <row r="3182" spans="21:32" x14ac:dyDescent="0.3">
      <c r="U3182" s="193"/>
      <c r="V3182" s="193"/>
      <c r="W3182" s="193"/>
      <c r="X3182" s="193"/>
      <c r="Y3182" s="193"/>
      <c r="Z3182" s="193"/>
      <c r="AC3182" s="193"/>
      <c r="AD3182" s="193"/>
      <c r="AE3182" s="193"/>
      <c r="AF3182" s="193"/>
    </row>
    <row r="3183" spans="21:32" x14ac:dyDescent="0.3">
      <c r="U3183" s="193"/>
      <c r="V3183" s="193"/>
      <c r="W3183" s="193"/>
      <c r="X3183" s="193"/>
      <c r="Y3183" s="193"/>
      <c r="Z3183" s="193"/>
      <c r="AC3183" s="193"/>
      <c r="AD3183" s="193"/>
      <c r="AE3183" s="193"/>
      <c r="AF3183" s="193"/>
    </row>
    <row r="3184" spans="21:32" x14ac:dyDescent="0.3">
      <c r="U3184" s="193"/>
      <c r="V3184" s="193"/>
      <c r="W3184" s="193"/>
      <c r="X3184" s="193"/>
      <c r="Y3184" s="193"/>
      <c r="Z3184" s="193"/>
      <c r="AC3184" s="193"/>
      <c r="AD3184" s="193"/>
      <c r="AE3184" s="193"/>
      <c r="AF3184" s="193"/>
    </row>
    <row r="3185" spans="21:32" x14ac:dyDescent="0.3">
      <c r="U3185" s="193"/>
      <c r="V3185" s="193"/>
      <c r="W3185" s="193"/>
      <c r="X3185" s="193"/>
      <c r="Y3185" s="193"/>
      <c r="Z3185" s="193"/>
      <c r="AC3185" s="193"/>
      <c r="AD3185" s="193"/>
      <c r="AE3185" s="193"/>
      <c r="AF3185" s="193"/>
    </row>
    <row r="3186" spans="21:32" x14ac:dyDescent="0.3">
      <c r="U3186" s="193"/>
      <c r="V3186" s="193"/>
      <c r="W3186" s="193"/>
      <c r="X3186" s="193"/>
      <c r="Y3186" s="193"/>
      <c r="Z3186" s="193"/>
      <c r="AC3186" s="193"/>
      <c r="AD3186" s="193"/>
      <c r="AE3186" s="193"/>
      <c r="AF3186" s="193"/>
    </row>
    <row r="3187" spans="21:32" x14ac:dyDescent="0.3">
      <c r="U3187" s="193"/>
      <c r="V3187" s="193"/>
      <c r="W3187" s="193"/>
      <c r="X3187" s="193"/>
      <c r="Y3187" s="193"/>
      <c r="Z3187" s="193"/>
      <c r="AC3187" s="193"/>
      <c r="AD3187" s="193"/>
      <c r="AE3187" s="193"/>
      <c r="AF3187" s="193"/>
    </row>
    <row r="3188" spans="21:32" x14ac:dyDescent="0.3">
      <c r="U3188" s="193"/>
      <c r="V3188" s="193"/>
      <c r="W3188" s="193"/>
      <c r="X3188" s="193"/>
      <c r="Y3188" s="193"/>
      <c r="Z3188" s="193"/>
      <c r="AC3188" s="193"/>
      <c r="AD3188" s="193"/>
      <c r="AE3188" s="193"/>
      <c r="AF3188" s="193"/>
    </row>
    <row r="3189" spans="21:32" x14ac:dyDescent="0.3">
      <c r="U3189" s="193"/>
      <c r="V3189" s="193"/>
      <c r="W3189" s="193"/>
      <c r="X3189" s="193"/>
      <c r="Y3189" s="193"/>
      <c r="Z3189" s="193"/>
      <c r="AC3189" s="193"/>
      <c r="AD3189" s="193"/>
      <c r="AE3189" s="193"/>
      <c r="AF3189" s="193"/>
    </row>
    <row r="3190" spans="21:32" x14ac:dyDescent="0.3">
      <c r="U3190" s="193"/>
      <c r="V3190" s="193"/>
      <c r="W3190" s="193"/>
      <c r="X3190" s="193"/>
      <c r="Y3190" s="193"/>
      <c r="Z3190" s="193"/>
      <c r="AC3190" s="193"/>
      <c r="AD3190" s="193"/>
      <c r="AE3190" s="193"/>
      <c r="AF3190" s="193"/>
    </row>
    <row r="3191" spans="21:32" x14ac:dyDescent="0.3">
      <c r="U3191" s="193"/>
      <c r="V3191" s="193"/>
      <c r="W3191" s="193"/>
      <c r="X3191" s="193"/>
      <c r="Y3191" s="193"/>
      <c r="Z3191" s="193"/>
      <c r="AC3191" s="193"/>
      <c r="AD3191" s="193"/>
      <c r="AE3191" s="193"/>
      <c r="AF3191" s="193"/>
    </row>
    <row r="3192" spans="21:32" x14ac:dyDescent="0.3">
      <c r="U3192" s="193"/>
      <c r="V3192" s="193"/>
      <c r="W3192" s="193"/>
      <c r="X3192" s="193"/>
      <c r="Y3192" s="193"/>
      <c r="Z3192" s="193"/>
      <c r="AC3192" s="193"/>
      <c r="AD3192" s="193"/>
      <c r="AE3192" s="193"/>
      <c r="AF3192" s="193"/>
    </row>
    <row r="3193" spans="21:32" x14ac:dyDescent="0.3">
      <c r="U3193" s="193"/>
      <c r="V3193" s="193"/>
      <c r="W3193" s="193"/>
      <c r="X3193" s="193"/>
      <c r="Y3193" s="193"/>
      <c r="Z3193" s="193"/>
      <c r="AC3193" s="193"/>
      <c r="AD3193" s="193"/>
      <c r="AE3193" s="193"/>
      <c r="AF3193" s="193"/>
    </row>
    <row r="3194" spans="21:32" x14ac:dyDescent="0.3">
      <c r="U3194" s="193"/>
      <c r="V3194" s="193"/>
      <c r="W3194" s="193"/>
      <c r="X3194" s="193"/>
      <c r="Y3194" s="193"/>
      <c r="Z3194" s="193"/>
      <c r="AC3194" s="193"/>
      <c r="AD3194" s="193"/>
      <c r="AE3194" s="193"/>
      <c r="AF3194" s="193"/>
    </row>
    <row r="3195" spans="21:32" x14ac:dyDescent="0.3">
      <c r="U3195" s="193"/>
      <c r="V3195" s="193"/>
      <c r="W3195" s="193"/>
      <c r="X3195" s="193"/>
      <c r="Y3195" s="193"/>
      <c r="Z3195" s="193"/>
      <c r="AC3195" s="193"/>
      <c r="AD3195" s="193"/>
      <c r="AE3195" s="193"/>
      <c r="AF3195" s="193"/>
    </row>
    <row r="3196" spans="21:32" x14ac:dyDescent="0.3">
      <c r="U3196" s="193"/>
      <c r="V3196" s="193"/>
      <c r="W3196" s="193"/>
      <c r="X3196" s="193"/>
      <c r="Y3196" s="193"/>
      <c r="Z3196" s="193"/>
      <c r="AC3196" s="193"/>
      <c r="AD3196" s="193"/>
      <c r="AE3196" s="193"/>
      <c r="AF3196" s="193"/>
    </row>
    <row r="3197" spans="21:32" x14ac:dyDescent="0.3">
      <c r="U3197" s="193"/>
      <c r="V3197" s="193"/>
      <c r="W3197" s="193"/>
      <c r="X3197" s="193"/>
      <c r="Y3197" s="193"/>
      <c r="Z3197" s="193"/>
      <c r="AC3197" s="193"/>
      <c r="AD3197" s="193"/>
      <c r="AE3197" s="193"/>
      <c r="AF3197" s="193"/>
    </row>
    <row r="3198" spans="21:32" x14ac:dyDescent="0.3">
      <c r="U3198" s="193"/>
      <c r="V3198" s="193"/>
      <c r="W3198" s="193"/>
      <c r="X3198" s="193"/>
      <c r="Y3198" s="193"/>
      <c r="Z3198" s="193"/>
      <c r="AC3198" s="193"/>
      <c r="AD3198" s="193"/>
      <c r="AE3198" s="193"/>
      <c r="AF3198" s="193"/>
    </row>
    <row r="3199" spans="21:32" x14ac:dyDescent="0.3">
      <c r="U3199" s="193"/>
      <c r="V3199" s="193"/>
      <c r="W3199" s="193"/>
      <c r="X3199" s="193"/>
      <c r="Y3199" s="193"/>
      <c r="Z3199" s="193"/>
      <c r="AC3199" s="193"/>
      <c r="AD3199" s="193"/>
      <c r="AE3199" s="193"/>
      <c r="AF3199" s="193"/>
    </row>
    <row r="3200" spans="21:32" x14ac:dyDescent="0.3">
      <c r="U3200" s="193"/>
      <c r="V3200" s="193"/>
      <c r="W3200" s="193"/>
      <c r="X3200" s="193"/>
      <c r="Y3200" s="193"/>
      <c r="Z3200" s="193"/>
      <c r="AC3200" s="193"/>
      <c r="AD3200" s="193"/>
      <c r="AE3200" s="193"/>
      <c r="AF3200" s="193"/>
    </row>
    <row r="3201" spans="21:32" x14ac:dyDescent="0.3">
      <c r="U3201" s="193"/>
      <c r="V3201" s="193"/>
      <c r="W3201" s="193"/>
      <c r="X3201" s="193"/>
      <c r="Y3201" s="193"/>
      <c r="Z3201" s="193"/>
      <c r="AC3201" s="193"/>
      <c r="AD3201" s="193"/>
      <c r="AE3201" s="193"/>
      <c r="AF3201" s="193"/>
    </row>
    <row r="3202" spans="21:32" x14ac:dyDescent="0.3">
      <c r="U3202" s="193"/>
      <c r="V3202" s="193"/>
      <c r="W3202" s="193"/>
      <c r="X3202" s="193"/>
      <c r="Y3202" s="193"/>
      <c r="Z3202" s="193"/>
      <c r="AC3202" s="193"/>
      <c r="AD3202" s="193"/>
      <c r="AE3202" s="193"/>
      <c r="AF3202" s="193"/>
    </row>
    <row r="3203" spans="21:32" x14ac:dyDescent="0.3">
      <c r="U3203" s="193"/>
      <c r="V3203" s="193"/>
      <c r="W3203" s="193"/>
      <c r="X3203" s="193"/>
      <c r="Y3203" s="193"/>
      <c r="Z3203" s="193"/>
      <c r="AC3203" s="193"/>
      <c r="AD3203" s="193"/>
      <c r="AE3203" s="193"/>
      <c r="AF3203" s="193"/>
    </row>
    <row r="3204" spans="21:32" x14ac:dyDescent="0.3">
      <c r="U3204" s="193"/>
      <c r="V3204" s="193"/>
      <c r="W3204" s="193"/>
      <c r="X3204" s="193"/>
      <c r="Y3204" s="193"/>
      <c r="Z3204" s="193"/>
      <c r="AC3204" s="193"/>
      <c r="AD3204" s="193"/>
      <c r="AE3204" s="193"/>
      <c r="AF3204" s="193"/>
    </row>
    <row r="3205" spans="21:32" x14ac:dyDescent="0.3">
      <c r="U3205" s="193"/>
      <c r="V3205" s="193"/>
      <c r="W3205" s="193"/>
      <c r="X3205" s="193"/>
      <c r="Y3205" s="193"/>
      <c r="Z3205" s="193"/>
      <c r="AC3205" s="193"/>
      <c r="AD3205" s="193"/>
      <c r="AE3205" s="193"/>
      <c r="AF3205" s="193"/>
    </row>
    <row r="3206" spans="21:32" x14ac:dyDescent="0.3">
      <c r="U3206" s="193"/>
      <c r="V3206" s="193"/>
      <c r="W3206" s="193"/>
      <c r="X3206" s="193"/>
      <c r="Y3206" s="193"/>
      <c r="Z3206" s="193"/>
      <c r="AC3206" s="193"/>
      <c r="AD3206" s="193"/>
      <c r="AE3206" s="193"/>
      <c r="AF3206" s="193"/>
    </row>
    <row r="3207" spans="21:32" x14ac:dyDescent="0.3">
      <c r="U3207" s="193"/>
      <c r="V3207" s="193"/>
      <c r="W3207" s="193"/>
      <c r="X3207" s="193"/>
      <c r="Y3207" s="193"/>
      <c r="Z3207" s="193"/>
      <c r="AC3207" s="193"/>
      <c r="AD3207" s="193"/>
      <c r="AE3207" s="193"/>
      <c r="AF3207" s="193"/>
    </row>
    <row r="3208" spans="21:32" x14ac:dyDescent="0.3">
      <c r="U3208" s="193"/>
      <c r="V3208" s="193"/>
      <c r="W3208" s="193"/>
      <c r="X3208" s="193"/>
      <c r="Y3208" s="193"/>
      <c r="Z3208" s="193"/>
      <c r="AC3208" s="193"/>
      <c r="AD3208" s="193"/>
      <c r="AE3208" s="193"/>
      <c r="AF3208" s="193"/>
    </row>
    <row r="3209" spans="21:32" x14ac:dyDescent="0.3">
      <c r="U3209" s="193"/>
      <c r="V3209" s="193"/>
      <c r="W3209" s="193"/>
      <c r="X3209" s="193"/>
      <c r="Y3209" s="193"/>
      <c r="Z3209" s="193"/>
      <c r="AC3209" s="193"/>
      <c r="AD3209" s="193"/>
      <c r="AE3209" s="193"/>
      <c r="AF3209" s="193"/>
    </row>
    <row r="3210" spans="21:32" x14ac:dyDescent="0.3">
      <c r="U3210" s="193"/>
      <c r="V3210" s="193"/>
      <c r="W3210" s="193"/>
      <c r="X3210" s="193"/>
      <c r="Y3210" s="193"/>
      <c r="Z3210" s="193"/>
      <c r="AC3210" s="193"/>
      <c r="AD3210" s="193"/>
      <c r="AE3210" s="193"/>
      <c r="AF3210" s="193"/>
    </row>
    <row r="3211" spans="21:32" x14ac:dyDescent="0.3">
      <c r="U3211" s="193"/>
      <c r="V3211" s="193"/>
      <c r="W3211" s="193"/>
      <c r="X3211" s="193"/>
      <c r="Y3211" s="193"/>
      <c r="Z3211" s="193"/>
      <c r="AC3211" s="193"/>
      <c r="AD3211" s="193"/>
      <c r="AE3211" s="193"/>
      <c r="AF3211" s="193"/>
    </row>
    <row r="3212" spans="21:32" x14ac:dyDescent="0.3">
      <c r="U3212" s="193"/>
      <c r="V3212" s="193"/>
      <c r="W3212" s="193"/>
      <c r="X3212" s="193"/>
      <c r="Y3212" s="193"/>
      <c r="Z3212" s="193"/>
      <c r="AC3212" s="193"/>
      <c r="AD3212" s="193"/>
      <c r="AE3212" s="193"/>
      <c r="AF3212" s="193"/>
    </row>
    <row r="3213" spans="21:32" x14ac:dyDescent="0.3">
      <c r="U3213" s="193"/>
      <c r="V3213" s="193"/>
      <c r="W3213" s="193"/>
      <c r="X3213" s="193"/>
      <c r="Y3213" s="193"/>
      <c r="Z3213" s="193"/>
      <c r="AC3213" s="193"/>
      <c r="AD3213" s="193"/>
      <c r="AE3213" s="193"/>
      <c r="AF3213" s="193"/>
    </row>
    <row r="3214" spans="21:32" x14ac:dyDescent="0.3">
      <c r="U3214" s="193"/>
      <c r="V3214" s="193"/>
      <c r="W3214" s="193"/>
      <c r="X3214" s="193"/>
      <c r="Y3214" s="193"/>
      <c r="Z3214" s="193"/>
      <c r="AC3214" s="193"/>
      <c r="AD3214" s="193"/>
      <c r="AE3214" s="193"/>
      <c r="AF3214" s="193"/>
    </row>
    <row r="3215" spans="21:32" x14ac:dyDescent="0.3">
      <c r="U3215" s="193"/>
      <c r="V3215" s="193"/>
      <c r="W3215" s="193"/>
      <c r="X3215" s="193"/>
      <c r="Y3215" s="193"/>
      <c r="Z3215" s="193"/>
      <c r="AC3215" s="193"/>
      <c r="AD3215" s="193"/>
      <c r="AE3215" s="193"/>
      <c r="AF3215" s="193"/>
    </row>
    <row r="3216" spans="21:32" x14ac:dyDescent="0.3">
      <c r="U3216" s="193"/>
      <c r="V3216" s="193"/>
      <c r="W3216" s="193"/>
      <c r="X3216" s="193"/>
      <c r="Y3216" s="193"/>
      <c r="Z3216" s="193"/>
      <c r="AC3216" s="193"/>
      <c r="AD3216" s="193"/>
      <c r="AE3216" s="193"/>
      <c r="AF3216" s="193"/>
    </row>
    <row r="3217" spans="21:32" x14ac:dyDescent="0.3">
      <c r="U3217" s="193"/>
      <c r="V3217" s="193"/>
      <c r="W3217" s="193"/>
      <c r="X3217" s="193"/>
      <c r="Y3217" s="193"/>
      <c r="Z3217" s="193"/>
      <c r="AC3217" s="193"/>
      <c r="AD3217" s="193"/>
      <c r="AE3217" s="193"/>
      <c r="AF3217" s="193"/>
    </row>
    <row r="3218" spans="21:32" x14ac:dyDescent="0.3">
      <c r="U3218" s="193"/>
      <c r="V3218" s="193"/>
      <c r="W3218" s="193"/>
      <c r="X3218" s="193"/>
      <c r="Y3218" s="193"/>
      <c r="Z3218" s="193"/>
      <c r="AC3218" s="193"/>
      <c r="AD3218" s="193"/>
      <c r="AE3218" s="193"/>
      <c r="AF3218" s="193"/>
    </row>
    <row r="3219" spans="21:32" x14ac:dyDescent="0.3">
      <c r="U3219" s="193"/>
      <c r="V3219" s="193"/>
      <c r="W3219" s="193"/>
      <c r="X3219" s="193"/>
      <c r="Y3219" s="193"/>
      <c r="Z3219" s="193"/>
      <c r="AC3219" s="193"/>
      <c r="AD3219" s="193"/>
      <c r="AE3219" s="193"/>
      <c r="AF3219" s="193"/>
    </row>
    <row r="3220" spans="21:32" x14ac:dyDescent="0.3">
      <c r="U3220" s="193"/>
      <c r="V3220" s="193"/>
      <c r="W3220" s="193"/>
      <c r="X3220" s="193"/>
      <c r="Y3220" s="193"/>
      <c r="Z3220" s="193"/>
      <c r="AC3220" s="193"/>
      <c r="AD3220" s="193"/>
      <c r="AE3220" s="193"/>
      <c r="AF3220" s="193"/>
    </row>
    <row r="3221" spans="21:32" x14ac:dyDescent="0.3">
      <c r="U3221" s="193"/>
      <c r="V3221" s="193"/>
      <c r="W3221" s="193"/>
      <c r="X3221" s="193"/>
      <c r="Y3221" s="193"/>
      <c r="Z3221" s="193"/>
      <c r="AC3221" s="193"/>
      <c r="AD3221" s="193"/>
      <c r="AE3221" s="193"/>
      <c r="AF3221" s="193"/>
    </row>
    <row r="3222" spans="21:32" x14ac:dyDescent="0.3">
      <c r="U3222" s="193"/>
      <c r="V3222" s="193"/>
      <c r="W3222" s="193"/>
      <c r="X3222" s="193"/>
      <c r="Y3222" s="193"/>
      <c r="Z3222" s="193"/>
      <c r="AC3222" s="193"/>
      <c r="AD3222" s="193"/>
      <c r="AE3222" s="193"/>
      <c r="AF3222" s="193"/>
    </row>
    <row r="3223" spans="21:32" x14ac:dyDescent="0.3">
      <c r="U3223" s="193"/>
      <c r="V3223" s="193"/>
      <c r="W3223" s="193"/>
      <c r="X3223" s="193"/>
      <c r="Y3223" s="193"/>
      <c r="Z3223" s="193"/>
      <c r="AC3223" s="193"/>
      <c r="AD3223" s="193"/>
      <c r="AE3223" s="193"/>
      <c r="AF3223" s="193"/>
    </row>
    <row r="3224" spans="21:32" x14ac:dyDescent="0.3">
      <c r="U3224" s="193"/>
      <c r="V3224" s="193"/>
      <c r="W3224" s="193"/>
      <c r="X3224" s="193"/>
      <c r="Y3224" s="193"/>
      <c r="Z3224" s="193"/>
      <c r="AC3224" s="193"/>
      <c r="AD3224" s="193"/>
      <c r="AE3224" s="193"/>
      <c r="AF3224" s="193"/>
    </row>
    <row r="3225" spans="21:32" x14ac:dyDescent="0.3">
      <c r="U3225" s="193"/>
      <c r="V3225" s="193"/>
      <c r="W3225" s="193"/>
      <c r="X3225" s="193"/>
      <c r="Y3225" s="193"/>
      <c r="Z3225" s="193"/>
      <c r="AC3225" s="193"/>
      <c r="AD3225" s="193"/>
      <c r="AE3225" s="193"/>
      <c r="AF3225" s="193"/>
    </row>
    <row r="3226" spans="21:32" x14ac:dyDescent="0.3">
      <c r="U3226" s="193"/>
      <c r="V3226" s="193"/>
      <c r="W3226" s="193"/>
      <c r="X3226" s="193"/>
      <c r="Y3226" s="193"/>
      <c r="Z3226" s="193"/>
      <c r="AC3226" s="193"/>
      <c r="AD3226" s="193"/>
      <c r="AE3226" s="193"/>
      <c r="AF3226" s="193"/>
    </row>
    <row r="3227" spans="21:32" x14ac:dyDescent="0.3">
      <c r="U3227" s="193"/>
      <c r="V3227" s="193"/>
      <c r="W3227" s="193"/>
      <c r="X3227" s="193"/>
      <c r="Y3227" s="193"/>
      <c r="Z3227" s="193"/>
      <c r="AC3227" s="193"/>
      <c r="AD3227" s="193"/>
      <c r="AE3227" s="193"/>
      <c r="AF3227" s="193"/>
    </row>
    <row r="3228" spans="21:32" x14ac:dyDescent="0.3">
      <c r="U3228" s="193"/>
      <c r="V3228" s="193"/>
      <c r="W3228" s="193"/>
      <c r="X3228" s="193"/>
      <c r="Y3228" s="193"/>
      <c r="Z3228" s="193"/>
      <c r="AC3228" s="193"/>
      <c r="AD3228" s="193"/>
      <c r="AE3228" s="193"/>
      <c r="AF3228" s="193"/>
    </row>
    <row r="3229" spans="21:32" x14ac:dyDescent="0.3">
      <c r="U3229" s="193"/>
      <c r="V3229" s="193"/>
      <c r="W3229" s="193"/>
      <c r="X3229" s="193"/>
      <c r="Y3229" s="193"/>
      <c r="Z3229" s="193"/>
      <c r="AC3229" s="193"/>
      <c r="AD3229" s="193"/>
      <c r="AE3229" s="193"/>
      <c r="AF3229" s="193"/>
    </row>
    <row r="3230" spans="21:32" x14ac:dyDescent="0.3">
      <c r="U3230" s="193"/>
      <c r="V3230" s="193"/>
      <c r="W3230" s="193"/>
      <c r="X3230" s="193"/>
      <c r="Y3230" s="193"/>
      <c r="Z3230" s="193"/>
      <c r="AC3230" s="193"/>
      <c r="AD3230" s="193"/>
      <c r="AE3230" s="193"/>
      <c r="AF3230" s="193"/>
    </row>
    <row r="3231" spans="21:32" x14ac:dyDescent="0.3">
      <c r="U3231" s="193"/>
      <c r="V3231" s="193"/>
      <c r="W3231" s="193"/>
      <c r="X3231" s="193"/>
      <c r="Y3231" s="193"/>
      <c r="Z3231" s="193"/>
      <c r="AC3231" s="193"/>
      <c r="AD3231" s="193"/>
      <c r="AE3231" s="193"/>
      <c r="AF3231" s="193"/>
    </row>
    <row r="3232" spans="21:32" x14ac:dyDescent="0.3">
      <c r="U3232" s="193"/>
      <c r="V3232" s="193"/>
      <c r="W3232" s="193"/>
      <c r="X3232" s="193"/>
      <c r="Y3232" s="193"/>
      <c r="Z3232" s="193"/>
      <c r="AC3232" s="193"/>
      <c r="AD3232" s="193"/>
      <c r="AE3232" s="193"/>
      <c r="AF3232" s="193"/>
    </row>
    <row r="3233" spans="21:32" x14ac:dyDescent="0.3">
      <c r="U3233" s="193"/>
      <c r="V3233" s="193"/>
      <c r="W3233" s="193"/>
      <c r="X3233" s="193"/>
      <c r="Y3233" s="193"/>
      <c r="Z3233" s="193"/>
      <c r="AC3233" s="193"/>
      <c r="AD3233" s="193"/>
      <c r="AE3233" s="193"/>
      <c r="AF3233" s="193"/>
    </row>
    <row r="3234" spans="21:32" x14ac:dyDescent="0.3">
      <c r="U3234" s="193"/>
      <c r="V3234" s="193"/>
      <c r="W3234" s="193"/>
      <c r="X3234" s="193"/>
      <c r="Y3234" s="193"/>
      <c r="Z3234" s="193"/>
      <c r="AC3234" s="193"/>
      <c r="AD3234" s="193"/>
      <c r="AE3234" s="193"/>
      <c r="AF3234" s="193"/>
    </row>
    <row r="3235" spans="21:32" x14ac:dyDescent="0.3">
      <c r="U3235" s="193"/>
      <c r="V3235" s="193"/>
      <c r="W3235" s="193"/>
      <c r="X3235" s="193"/>
      <c r="Y3235" s="193"/>
      <c r="Z3235" s="193"/>
      <c r="AC3235" s="193"/>
      <c r="AD3235" s="193"/>
      <c r="AE3235" s="193"/>
      <c r="AF3235" s="193"/>
    </row>
    <row r="3236" spans="21:32" x14ac:dyDescent="0.3">
      <c r="U3236" s="193"/>
      <c r="V3236" s="193"/>
      <c r="W3236" s="193"/>
      <c r="X3236" s="193"/>
      <c r="Y3236" s="193"/>
      <c r="Z3236" s="193"/>
      <c r="AC3236" s="193"/>
      <c r="AD3236" s="193"/>
      <c r="AE3236" s="193"/>
      <c r="AF3236" s="193"/>
    </row>
    <row r="3237" spans="21:32" x14ac:dyDescent="0.3">
      <c r="U3237" s="193"/>
      <c r="V3237" s="193"/>
      <c r="W3237" s="193"/>
      <c r="X3237" s="193"/>
      <c r="Y3237" s="193"/>
      <c r="Z3237" s="193"/>
      <c r="AC3237" s="193"/>
      <c r="AD3237" s="193"/>
      <c r="AE3237" s="193"/>
      <c r="AF3237" s="193"/>
    </row>
    <row r="3238" spans="21:32" x14ac:dyDescent="0.3">
      <c r="U3238" s="193"/>
      <c r="V3238" s="193"/>
      <c r="W3238" s="193"/>
      <c r="X3238" s="193"/>
      <c r="Y3238" s="193"/>
      <c r="Z3238" s="193"/>
      <c r="AC3238" s="193"/>
      <c r="AD3238" s="193"/>
      <c r="AE3238" s="193"/>
      <c r="AF3238" s="193"/>
    </row>
    <row r="3239" spans="21:32" x14ac:dyDescent="0.3">
      <c r="U3239" s="193"/>
      <c r="V3239" s="193"/>
      <c r="W3239" s="193"/>
      <c r="X3239" s="193"/>
      <c r="Y3239" s="193"/>
      <c r="Z3239" s="193"/>
      <c r="AC3239" s="193"/>
      <c r="AD3239" s="193"/>
      <c r="AE3239" s="193"/>
      <c r="AF3239" s="193"/>
    </row>
    <row r="3240" spans="21:32" x14ac:dyDescent="0.3">
      <c r="U3240" s="193"/>
      <c r="V3240" s="193"/>
      <c r="W3240" s="193"/>
      <c r="X3240" s="193"/>
      <c r="Y3240" s="193"/>
      <c r="Z3240" s="193"/>
      <c r="AC3240" s="193"/>
      <c r="AD3240" s="193"/>
      <c r="AE3240" s="193"/>
      <c r="AF3240" s="193"/>
    </row>
    <row r="3241" spans="21:32" x14ac:dyDescent="0.3">
      <c r="U3241" s="193"/>
      <c r="V3241" s="193"/>
      <c r="W3241" s="193"/>
      <c r="X3241" s="193"/>
      <c r="Y3241" s="193"/>
      <c r="Z3241" s="193"/>
      <c r="AC3241" s="193"/>
      <c r="AD3241" s="193"/>
      <c r="AE3241" s="193"/>
      <c r="AF3241" s="193"/>
    </row>
    <row r="3242" spans="21:32" x14ac:dyDescent="0.3">
      <c r="U3242" s="193"/>
      <c r="V3242" s="193"/>
      <c r="W3242" s="193"/>
      <c r="X3242" s="193"/>
      <c r="Y3242" s="193"/>
      <c r="Z3242" s="193"/>
      <c r="AC3242" s="193"/>
      <c r="AD3242" s="193"/>
      <c r="AE3242" s="193"/>
      <c r="AF3242" s="193"/>
    </row>
    <row r="3243" spans="21:32" x14ac:dyDescent="0.3">
      <c r="U3243" s="193"/>
      <c r="V3243" s="193"/>
      <c r="W3243" s="193"/>
      <c r="X3243" s="193"/>
      <c r="Y3243" s="193"/>
      <c r="Z3243" s="193"/>
      <c r="AC3243" s="193"/>
      <c r="AD3243" s="193"/>
      <c r="AE3243" s="193"/>
      <c r="AF3243" s="193"/>
    </row>
    <row r="3244" spans="21:32" x14ac:dyDescent="0.3">
      <c r="U3244" s="193"/>
      <c r="V3244" s="193"/>
      <c r="W3244" s="193"/>
      <c r="X3244" s="193"/>
      <c r="Y3244" s="193"/>
      <c r="Z3244" s="193"/>
      <c r="AC3244" s="193"/>
      <c r="AD3244" s="193"/>
      <c r="AE3244" s="193"/>
      <c r="AF3244" s="193"/>
    </row>
    <row r="3245" spans="21:32" x14ac:dyDescent="0.3">
      <c r="U3245" s="193"/>
      <c r="V3245" s="193"/>
      <c r="W3245" s="193"/>
      <c r="X3245" s="193"/>
      <c r="Y3245" s="193"/>
      <c r="Z3245" s="193"/>
      <c r="AC3245" s="193"/>
      <c r="AD3245" s="193"/>
      <c r="AE3245" s="193"/>
      <c r="AF3245" s="193"/>
    </row>
    <row r="3246" spans="21:32" x14ac:dyDescent="0.3">
      <c r="U3246" s="193"/>
      <c r="V3246" s="193"/>
      <c r="W3246" s="193"/>
      <c r="X3246" s="193"/>
      <c r="Y3246" s="193"/>
      <c r="Z3246" s="193"/>
      <c r="AC3246" s="193"/>
      <c r="AD3246" s="193"/>
      <c r="AE3246" s="193"/>
      <c r="AF3246" s="193"/>
    </row>
    <row r="3247" spans="21:32" x14ac:dyDescent="0.3">
      <c r="U3247" s="193"/>
      <c r="V3247" s="193"/>
      <c r="W3247" s="193"/>
      <c r="X3247" s="193"/>
      <c r="Y3247" s="193"/>
      <c r="Z3247" s="193"/>
      <c r="AC3247" s="193"/>
      <c r="AD3247" s="193"/>
      <c r="AE3247" s="193"/>
      <c r="AF3247" s="193"/>
    </row>
    <row r="3248" spans="21:32" x14ac:dyDescent="0.3">
      <c r="U3248" s="193"/>
      <c r="V3248" s="193"/>
      <c r="W3248" s="193"/>
      <c r="X3248" s="193"/>
      <c r="Y3248" s="193"/>
      <c r="Z3248" s="193"/>
      <c r="AC3248" s="193"/>
      <c r="AD3248" s="193"/>
      <c r="AE3248" s="193"/>
      <c r="AF3248" s="193"/>
    </row>
    <row r="3249" spans="21:32" x14ac:dyDescent="0.3">
      <c r="U3249" s="193"/>
      <c r="V3249" s="193"/>
      <c r="W3249" s="193"/>
      <c r="X3249" s="193"/>
      <c r="Y3249" s="193"/>
      <c r="Z3249" s="193"/>
      <c r="AC3249" s="193"/>
      <c r="AD3249" s="193"/>
      <c r="AE3249" s="193"/>
      <c r="AF3249" s="193"/>
    </row>
    <row r="3250" spans="21:32" x14ac:dyDescent="0.3">
      <c r="U3250" s="193"/>
      <c r="V3250" s="193"/>
      <c r="W3250" s="193"/>
      <c r="X3250" s="193"/>
      <c r="Y3250" s="193"/>
      <c r="Z3250" s="193"/>
      <c r="AC3250" s="193"/>
      <c r="AD3250" s="193"/>
      <c r="AE3250" s="193"/>
      <c r="AF3250" s="193"/>
    </row>
    <row r="3251" spans="21:32" x14ac:dyDescent="0.3">
      <c r="U3251" s="193"/>
      <c r="V3251" s="193"/>
      <c r="W3251" s="193"/>
      <c r="X3251" s="193"/>
      <c r="Y3251" s="193"/>
      <c r="Z3251" s="193"/>
      <c r="AC3251" s="193"/>
      <c r="AD3251" s="193"/>
      <c r="AE3251" s="193"/>
      <c r="AF3251" s="193"/>
    </row>
    <row r="3252" spans="21:32" x14ac:dyDescent="0.3">
      <c r="U3252" s="193"/>
      <c r="V3252" s="193"/>
      <c r="W3252" s="193"/>
      <c r="X3252" s="193"/>
      <c r="Y3252" s="193"/>
      <c r="Z3252" s="193"/>
      <c r="AC3252" s="193"/>
      <c r="AD3252" s="193"/>
      <c r="AE3252" s="193"/>
      <c r="AF3252" s="193"/>
    </row>
    <row r="3253" spans="21:32" x14ac:dyDescent="0.3">
      <c r="U3253" s="193"/>
      <c r="V3253" s="193"/>
      <c r="W3253" s="193"/>
      <c r="X3253" s="193"/>
      <c r="Y3253" s="193"/>
      <c r="Z3253" s="193"/>
      <c r="AC3253" s="193"/>
      <c r="AD3253" s="193"/>
      <c r="AE3253" s="193"/>
      <c r="AF3253" s="193"/>
    </row>
    <row r="3254" spans="21:32" x14ac:dyDescent="0.3">
      <c r="U3254" s="193"/>
      <c r="V3254" s="193"/>
      <c r="W3254" s="193"/>
      <c r="X3254" s="193"/>
      <c r="Y3254" s="193"/>
      <c r="Z3254" s="193"/>
      <c r="AC3254" s="193"/>
      <c r="AD3254" s="193"/>
      <c r="AE3254" s="193"/>
      <c r="AF3254" s="193"/>
    </row>
    <row r="3255" spans="21:32" x14ac:dyDescent="0.3">
      <c r="U3255" s="193"/>
      <c r="V3255" s="193"/>
      <c r="W3255" s="193"/>
      <c r="X3255" s="193"/>
      <c r="Y3255" s="193"/>
      <c r="Z3255" s="193"/>
      <c r="AC3255" s="193"/>
      <c r="AD3255" s="193"/>
      <c r="AE3255" s="193"/>
      <c r="AF3255" s="193"/>
    </row>
    <row r="3256" spans="21:32" x14ac:dyDescent="0.3">
      <c r="U3256" s="193"/>
      <c r="V3256" s="193"/>
      <c r="W3256" s="193"/>
      <c r="X3256" s="193"/>
      <c r="Y3256" s="193"/>
      <c r="Z3256" s="193"/>
      <c r="AC3256" s="193"/>
      <c r="AD3256" s="193"/>
      <c r="AE3256" s="193"/>
      <c r="AF3256" s="193"/>
    </row>
    <row r="3257" spans="21:32" x14ac:dyDescent="0.3">
      <c r="U3257" s="193"/>
      <c r="V3257" s="193"/>
      <c r="W3257" s="193"/>
      <c r="X3257" s="193"/>
      <c r="Y3257" s="193"/>
      <c r="Z3257" s="193"/>
      <c r="AC3257" s="193"/>
      <c r="AD3257" s="193"/>
      <c r="AE3257" s="193"/>
      <c r="AF3257" s="193"/>
    </row>
    <row r="3258" spans="21:32" x14ac:dyDescent="0.3">
      <c r="U3258" s="193"/>
      <c r="V3258" s="193"/>
      <c r="W3258" s="193"/>
      <c r="X3258" s="193"/>
      <c r="Y3258" s="193"/>
      <c r="Z3258" s="193"/>
      <c r="AC3258" s="193"/>
      <c r="AD3258" s="193"/>
      <c r="AE3258" s="193"/>
      <c r="AF3258" s="193"/>
    </row>
    <row r="3259" spans="21:32" x14ac:dyDescent="0.3">
      <c r="U3259" s="193"/>
      <c r="V3259" s="193"/>
      <c r="W3259" s="193"/>
      <c r="X3259" s="193"/>
      <c r="Y3259" s="193"/>
      <c r="Z3259" s="193"/>
      <c r="AC3259" s="193"/>
      <c r="AD3259" s="193"/>
      <c r="AE3259" s="193"/>
      <c r="AF3259" s="193"/>
    </row>
    <row r="3260" spans="21:32" x14ac:dyDescent="0.3">
      <c r="U3260" s="193"/>
      <c r="V3260" s="193"/>
      <c r="W3260" s="193"/>
      <c r="X3260" s="193"/>
      <c r="Y3260" s="193"/>
      <c r="Z3260" s="193"/>
      <c r="AC3260" s="193"/>
      <c r="AD3260" s="193"/>
      <c r="AE3260" s="193"/>
      <c r="AF3260" s="193"/>
    </row>
    <row r="3261" spans="21:32" x14ac:dyDescent="0.3">
      <c r="U3261" s="193"/>
      <c r="V3261" s="193"/>
      <c r="W3261" s="193"/>
      <c r="X3261" s="193"/>
      <c r="Y3261" s="193"/>
      <c r="Z3261" s="193"/>
      <c r="AC3261" s="193"/>
      <c r="AD3261" s="193"/>
      <c r="AE3261" s="193"/>
      <c r="AF3261" s="193"/>
    </row>
    <row r="3262" spans="21:32" x14ac:dyDescent="0.3">
      <c r="U3262" s="193"/>
      <c r="V3262" s="193"/>
      <c r="W3262" s="193"/>
      <c r="X3262" s="193"/>
      <c r="Y3262" s="193"/>
      <c r="Z3262" s="193"/>
      <c r="AC3262" s="193"/>
      <c r="AD3262" s="193"/>
      <c r="AE3262" s="193"/>
      <c r="AF3262" s="193"/>
    </row>
    <row r="3263" spans="21:32" x14ac:dyDescent="0.3">
      <c r="U3263" s="193"/>
      <c r="V3263" s="193"/>
      <c r="W3263" s="193"/>
      <c r="X3263" s="193"/>
      <c r="Y3263" s="193"/>
      <c r="Z3263" s="193"/>
      <c r="AC3263" s="193"/>
      <c r="AD3263" s="193"/>
      <c r="AE3263" s="193"/>
      <c r="AF3263" s="193"/>
    </row>
    <row r="3264" spans="21:32" x14ac:dyDescent="0.3">
      <c r="U3264" s="193"/>
      <c r="V3264" s="193"/>
      <c r="W3264" s="193"/>
      <c r="X3264" s="193"/>
      <c r="Y3264" s="193"/>
      <c r="Z3264" s="193"/>
      <c r="AC3264" s="193"/>
      <c r="AD3264" s="193"/>
      <c r="AE3264" s="193"/>
      <c r="AF3264" s="193"/>
    </row>
    <row r="3265" spans="21:32" x14ac:dyDescent="0.3">
      <c r="U3265" s="193"/>
      <c r="V3265" s="193"/>
      <c r="W3265" s="193"/>
      <c r="X3265" s="193"/>
      <c r="Y3265" s="193"/>
      <c r="Z3265" s="193"/>
      <c r="AC3265" s="193"/>
      <c r="AD3265" s="193"/>
      <c r="AE3265" s="193"/>
      <c r="AF3265" s="193"/>
    </row>
    <row r="3266" spans="21:32" x14ac:dyDescent="0.3">
      <c r="U3266" s="193"/>
      <c r="V3266" s="193"/>
      <c r="W3266" s="193"/>
      <c r="X3266" s="193"/>
      <c r="Y3266" s="193"/>
      <c r="Z3266" s="193"/>
      <c r="AC3266" s="193"/>
      <c r="AD3266" s="193"/>
      <c r="AE3266" s="193"/>
      <c r="AF3266" s="193"/>
    </row>
    <row r="3267" spans="21:32" x14ac:dyDescent="0.3">
      <c r="U3267" s="193"/>
      <c r="V3267" s="193"/>
      <c r="W3267" s="193"/>
      <c r="X3267" s="193"/>
      <c r="Y3267" s="193"/>
      <c r="Z3267" s="193"/>
      <c r="AC3267" s="193"/>
      <c r="AD3267" s="193"/>
      <c r="AE3267" s="193"/>
      <c r="AF3267" s="193"/>
    </row>
    <row r="3268" spans="21:32" x14ac:dyDescent="0.3">
      <c r="U3268" s="193"/>
      <c r="V3268" s="193"/>
      <c r="W3268" s="193"/>
      <c r="X3268" s="193"/>
      <c r="Y3268" s="193"/>
      <c r="Z3268" s="193"/>
      <c r="AC3268" s="193"/>
      <c r="AD3268" s="193"/>
      <c r="AE3268" s="193"/>
      <c r="AF3268" s="193"/>
    </row>
    <row r="3269" spans="21:32" x14ac:dyDescent="0.3">
      <c r="U3269" s="193"/>
      <c r="V3269" s="193"/>
      <c r="W3269" s="193"/>
      <c r="X3269" s="193"/>
      <c r="Y3269" s="193"/>
      <c r="Z3269" s="193"/>
      <c r="AC3269" s="193"/>
      <c r="AD3269" s="193"/>
      <c r="AE3269" s="193"/>
      <c r="AF3269" s="193"/>
    </row>
    <row r="3270" spans="21:32" x14ac:dyDescent="0.3">
      <c r="U3270" s="193"/>
      <c r="V3270" s="193"/>
      <c r="W3270" s="193"/>
      <c r="X3270" s="193"/>
      <c r="Y3270" s="193"/>
      <c r="Z3270" s="193"/>
      <c r="AC3270" s="193"/>
      <c r="AD3270" s="193"/>
      <c r="AE3270" s="193"/>
      <c r="AF3270" s="193"/>
    </row>
    <row r="3271" spans="21:32" x14ac:dyDescent="0.3">
      <c r="U3271" s="193"/>
      <c r="V3271" s="193"/>
      <c r="W3271" s="193"/>
      <c r="X3271" s="193"/>
      <c r="Y3271" s="193"/>
      <c r="Z3271" s="193"/>
      <c r="AC3271" s="193"/>
      <c r="AD3271" s="193"/>
      <c r="AE3271" s="193"/>
      <c r="AF3271" s="193"/>
    </row>
    <row r="3272" spans="21:32" x14ac:dyDescent="0.3">
      <c r="U3272" s="193"/>
      <c r="V3272" s="193"/>
      <c r="W3272" s="193"/>
      <c r="X3272" s="193"/>
      <c r="Y3272" s="193"/>
      <c r="Z3272" s="193"/>
      <c r="AC3272" s="193"/>
      <c r="AD3272" s="193"/>
      <c r="AE3272" s="193"/>
      <c r="AF3272" s="193"/>
    </row>
    <row r="3273" spans="21:32" x14ac:dyDescent="0.3">
      <c r="U3273" s="193"/>
      <c r="V3273" s="193"/>
      <c r="W3273" s="193"/>
      <c r="X3273" s="193"/>
      <c r="Y3273" s="193"/>
      <c r="Z3273" s="193"/>
      <c r="AC3273" s="193"/>
      <c r="AD3273" s="193"/>
      <c r="AE3273" s="193"/>
      <c r="AF3273" s="193"/>
    </row>
    <row r="3274" spans="21:32" x14ac:dyDescent="0.3">
      <c r="U3274" s="193"/>
      <c r="V3274" s="193"/>
      <c r="W3274" s="193"/>
      <c r="X3274" s="193"/>
      <c r="Y3274" s="193"/>
      <c r="Z3274" s="193"/>
      <c r="AC3274" s="193"/>
      <c r="AD3274" s="193"/>
      <c r="AE3274" s="193"/>
      <c r="AF3274" s="193"/>
    </row>
    <row r="3275" spans="21:32" x14ac:dyDescent="0.3">
      <c r="U3275" s="193"/>
      <c r="V3275" s="193"/>
      <c r="W3275" s="193"/>
      <c r="X3275" s="193"/>
      <c r="Y3275" s="193"/>
      <c r="Z3275" s="193"/>
      <c r="AC3275" s="193"/>
      <c r="AD3275" s="193"/>
      <c r="AE3275" s="193"/>
      <c r="AF3275" s="193"/>
    </row>
    <row r="3276" spans="21:32" x14ac:dyDescent="0.3">
      <c r="U3276" s="193"/>
      <c r="V3276" s="193"/>
      <c r="W3276" s="193"/>
      <c r="X3276" s="193"/>
      <c r="Y3276" s="193"/>
      <c r="Z3276" s="193"/>
      <c r="AC3276" s="193"/>
      <c r="AD3276" s="193"/>
      <c r="AE3276" s="193"/>
      <c r="AF3276" s="193"/>
    </row>
    <row r="3277" spans="21:32" x14ac:dyDescent="0.3">
      <c r="U3277" s="193"/>
      <c r="V3277" s="193"/>
      <c r="W3277" s="193"/>
      <c r="X3277" s="193"/>
      <c r="Y3277" s="193"/>
      <c r="Z3277" s="193"/>
      <c r="AC3277" s="193"/>
      <c r="AD3277" s="193"/>
      <c r="AE3277" s="193"/>
      <c r="AF3277" s="193"/>
    </row>
    <row r="3278" spans="21:32" x14ac:dyDescent="0.3">
      <c r="U3278" s="193"/>
      <c r="V3278" s="193"/>
      <c r="W3278" s="193"/>
      <c r="X3278" s="193"/>
      <c r="Y3278" s="193"/>
      <c r="Z3278" s="193"/>
      <c r="AC3278" s="193"/>
      <c r="AD3278" s="193"/>
      <c r="AE3278" s="193"/>
      <c r="AF3278" s="193"/>
    </row>
    <row r="3279" spans="21:32" x14ac:dyDescent="0.3">
      <c r="U3279" s="193"/>
      <c r="V3279" s="193"/>
      <c r="W3279" s="193"/>
      <c r="X3279" s="193"/>
      <c r="Y3279" s="193"/>
      <c r="Z3279" s="193"/>
      <c r="AC3279" s="193"/>
      <c r="AD3279" s="193"/>
      <c r="AE3279" s="193"/>
      <c r="AF3279" s="193"/>
    </row>
    <row r="3280" spans="21:32" x14ac:dyDescent="0.3">
      <c r="U3280" s="193"/>
      <c r="V3280" s="193"/>
      <c r="W3280" s="193"/>
      <c r="X3280" s="193"/>
      <c r="Y3280" s="193"/>
      <c r="Z3280" s="193"/>
      <c r="AC3280" s="193"/>
      <c r="AD3280" s="193"/>
      <c r="AE3280" s="193"/>
      <c r="AF3280" s="193"/>
    </row>
    <row r="3281" spans="21:32" x14ac:dyDescent="0.3">
      <c r="U3281" s="193"/>
      <c r="V3281" s="193"/>
      <c r="W3281" s="193"/>
      <c r="X3281" s="193"/>
      <c r="Y3281" s="193"/>
      <c r="Z3281" s="193"/>
      <c r="AC3281" s="193"/>
      <c r="AD3281" s="193"/>
      <c r="AE3281" s="193"/>
      <c r="AF3281" s="193"/>
    </row>
    <row r="3282" spans="21:32" x14ac:dyDescent="0.3">
      <c r="U3282" s="193"/>
      <c r="V3282" s="193"/>
      <c r="W3282" s="193"/>
      <c r="X3282" s="193"/>
      <c r="Y3282" s="193"/>
      <c r="Z3282" s="193"/>
      <c r="AC3282" s="193"/>
      <c r="AD3282" s="193"/>
      <c r="AE3282" s="193"/>
      <c r="AF3282" s="193"/>
    </row>
    <row r="3283" spans="21:32" x14ac:dyDescent="0.3">
      <c r="U3283" s="193"/>
      <c r="V3283" s="193"/>
      <c r="W3283" s="193"/>
      <c r="X3283" s="193"/>
      <c r="Y3283" s="193"/>
      <c r="Z3283" s="193"/>
      <c r="AC3283" s="193"/>
      <c r="AD3283" s="193"/>
      <c r="AE3283" s="193"/>
      <c r="AF3283" s="193"/>
    </row>
    <row r="3284" spans="21:32" x14ac:dyDescent="0.3">
      <c r="U3284" s="193"/>
      <c r="V3284" s="193"/>
      <c r="W3284" s="193"/>
      <c r="X3284" s="193"/>
      <c r="Y3284" s="193"/>
      <c r="Z3284" s="193"/>
      <c r="AC3284" s="193"/>
      <c r="AD3284" s="193"/>
      <c r="AE3284" s="193"/>
      <c r="AF3284" s="193"/>
    </row>
    <row r="3285" spans="21:32" x14ac:dyDescent="0.3">
      <c r="U3285" s="193"/>
      <c r="V3285" s="193"/>
      <c r="W3285" s="193"/>
      <c r="X3285" s="193"/>
      <c r="Y3285" s="193"/>
      <c r="Z3285" s="193"/>
      <c r="AC3285" s="193"/>
      <c r="AD3285" s="193"/>
      <c r="AE3285" s="193"/>
      <c r="AF3285" s="193"/>
    </row>
    <row r="3286" spans="21:32" x14ac:dyDescent="0.3">
      <c r="U3286" s="193"/>
      <c r="V3286" s="193"/>
      <c r="W3286" s="193"/>
      <c r="X3286" s="193"/>
      <c r="Y3286" s="193"/>
      <c r="Z3286" s="193"/>
      <c r="AC3286" s="193"/>
      <c r="AD3286" s="193"/>
      <c r="AE3286" s="193"/>
      <c r="AF3286" s="193"/>
    </row>
    <row r="3287" spans="21:32" x14ac:dyDescent="0.3">
      <c r="U3287" s="193"/>
      <c r="V3287" s="193"/>
      <c r="W3287" s="193"/>
      <c r="X3287" s="193"/>
      <c r="Y3287" s="193"/>
      <c r="Z3287" s="193"/>
      <c r="AC3287" s="193"/>
      <c r="AD3287" s="193"/>
      <c r="AE3287" s="193"/>
      <c r="AF3287" s="193"/>
    </row>
    <row r="3288" spans="21:32" x14ac:dyDescent="0.3">
      <c r="U3288" s="193"/>
      <c r="V3288" s="193"/>
      <c r="W3288" s="193"/>
      <c r="X3288" s="193"/>
      <c r="Y3288" s="193"/>
      <c r="Z3288" s="193"/>
      <c r="AC3288" s="193"/>
      <c r="AD3288" s="193"/>
      <c r="AE3288" s="193"/>
      <c r="AF3288" s="193"/>
    </row>
    <row r="3289" spans="21:32" x14ac:dyDescent="0.3">
      <c r="U3289" s="193"/>
      <c r="V3289" s="193"/>
      <c r="W3289" s="193"/>
      <c r="X3289" s="193"/>
      <c r="Y3289" s="193"/>
      <c r="Z3289" s="193"/>
      <c r="AC3289" s="193"/>
      <c r="AD3289" s="193"/>
      <c r="AE3289" s="193"/>
      <c r="AF3289" s="193"/>
    </row>
    <row r="3290" spans="21:32" x14ac:dyDescent="0.3">
      <c r="U3290" s="193"/>
      <c r="V3290" s="193"/>
      <c r="W3290" s="193"/>
      <c r="X3290" s="193"/>
      <c r="Y3290" s="193"/>
      <c r="Z3290" s="193"/>
      <c r="AC3290" s="193"/>
      <c r="AD3290" s="193"/>
      <c r="AE3290" s="193"/>
      <c r="AF3290" s="193"/>
    </row>
    <row r="3291" spans="21:32" x14ac:dyDescent="0.3">
      <c r="U3291" s="193"/>
      <c r="V3291" s="193"/>
      <c r="W3291" s="193"/>
      <c r="X3291" s="193"/>
      <c r="Y3291" s="193"/>
      <c r="Z3291" s="193"/>
      <c r="AC3291" s="193"/>
      <c r="AD3291" s="193"/>
      <c r="AE3291" s="193"/>
      <c r="AF3291" s="193"/>
    </row>
    <row r="3292" spans="21:32" x14ac:dyDescent="0.3">
      <c r="U3292" s="193"/>
      <c r="V3292" s="193"/>
      <c r="W3292" s="193"/>
      <c r="X3292" s="193"/>
      <c r="Y3292" s="193"/>
      <c r="Z3292" s="193"/>
      <c r="AC3292" s="193"/>
      <c r="AD3292" s="193"/>
      <c r="AE3292" s="193"/>
      <c r="AF3292" s="193"/>
    </row>
    <row r="3293" spans="21:32" x14ac:dyDescent="0.3">
      <c r="U3293" s="193"/>
      <c r="V3293" s="193"/>
      <c r="W3293" s="193"/>
      <c r="X3293" s="193"/>
      <c r="Y3293" s="193"/>
      <c r="Z3293" s="193"/>
      <c r="AC3293" s="193"/>
      <c r="AD3293" s="193"/>
      <c r="AE3293" s="193"/>
      <c r="AF3293" s="193"/>
    </row>
    <row r="3294" spans="21:32" x14ac:dyDescent="0.3">
      <c r="U3294" s="193"/>
      <c r="V3294" s="193"/>
      <c r="W3294" s="193"/>
      <c r="X3294" s="193"/>
      <c r="Y3294" s="193"/>
      <c r="Z3294" s="193"/>
      <c r="AC3294" s="193"/>
      <c r="AD3294" s="193"/>
      <c r="AE3294" s="193"/>
      <c r="AF3294" s="193"/>
    </row>
    <row r="3295" spans="21:32" x14ac:dyDescent="0.3">
      <c r="U3295" s="193"/>
      <c r="V3295" s="193"/>
      <c r="W3295" s="193"/>
      <c r="X3295" s="193"/>
      <c r="Y3295" s="193"/>
      <c r="Z3295" s="193"/>
      <c r="AC3295" s="193"/>
      <c r="AD3295" s="193"/>
      <c r="AE3295" s="193"/>
      <c r="AF3295" s="193"/>
    </row>
    <row r="3296" spans="21:32" x14ac:dyDescent="0.3">
      <c r="U3296" s="193"/>
      <c r="V3296" s="193"/>
      <c r="W3296" s="193"/>
      <c r="X3296" s="193"/>
      <c r="Y3296" s="193"/>
      <c r="Z3296" s="193"/>
      <c r="AC3296" s="193"/>
      <c r="AD3296" s="193"/>
      <c r="AE3296" s="193"/>
      <c r="AF3296" s="193"/>
    </row>
    <row r="3297" spans="21:32" x14ac:dyDescent="0.3">
      <c r="U3297" s="193"/>
      <c r="V3297" s="193"/>
      <c r="W3297" s="193"/>
      <c r="X3297" s="193"/>
      <c r="Y3297" s="193"/>
      <c r="Z3297" s="193"/>
      <c r="AC3297" s="193"/>
      <c r="AD3297" s="193"/>
      <c r="AE3297" s="193"/>
      <c r="AF3297" s="193"/>
    </row>
    <row r="3298" spans="21:32" x14ac:dyDescent="0.3">
      <c r="U3298" s="193"/>
      <c r="V3298" s="193"/>
      <c r="W3298" s="193"/>
      <c r="X3298" s="193"/>
      <c r="Y3298" s="193"/>
      <c r="Z3298" s="193"/>
      <c r="AC3298" s="193"/>
      <c r="AD3298" s="193"/>
      <c r="AE3298" s="193"/>
      <c r="AF3298" s="193"/>
    </row>
    <row r="3299" spans="21:32" x14ac:dyDescent="0.3">
      <c r="U3299" s="193"/>
      <c r="V3299" s="193"/>
      <c r="W3299" s="193"/>
      <c r="X3299" s="193"/>
      <c r="Y3299" s="193"/>
      <c r="Z3299" s="193"/>
      <c r="AC3299" s="193"/>
      <c r="AD3299" s="193"/>
      <c r="AE3299" s="193"/>
      <c r="AF3299" s="193"/>
    </row>
    <row r="3300" spans="21:32" x14ac:dyDescent="0.3">
      <c r="U3300" s="193"/>
      <c r="V3300" s="193"/>
      <c r="W3300" s="193"/>
      <c r="X3300" s="193"/>
      <c r="Y3300" s="193"/>
      <c r="Z3300" s="193"/>
      <c r="AC3300" s="193"/>
      <c r="AD3300" s="193"/>
      <c r="AE3300" s="193"/>
      <c r="AF3300" s="193"/>
    </row>
    <row r="3301" spans="21:32" x14ac:dyDescent="0.3">
      <c r="U3301" s="193"/>
      <c r="V3301" s="193"/>
      <c r="W3301" s="193"/>
      <c r="X3301" s="193"/>
      <c r="Y3301" s="193"/>
      <c r="Z3301" s="193"/>
      <c r="AC3301" s="193"/>
      <c r="AD3301" s="193"/>
      <c r="AE3301" s="193"/>
      <c r="AF3301" s="193"/>
    </row>
    <row r="3302" spans="21:32" x14ac:dyDescent="0.3">
      <c r="U3302" s="193"/>
      <c r="V3302" s="193"/>
      <c r="W3302" s="193"/>
      <c r="X3302" s="193"/>
      <c r="Y3302" s="193"/>
      <c r="Z3302" s="193"/>
      <c r="AC3302" s="193"/>
      <c r="AD3302" s="193"/>
      <c r="AE3302" s="193"/>
      <c r="AF3302" s="193"/>
    </row>
    <row r="3303" spans="21:32" x14ac:dyDescent="0.3">
      <c r="U3303" s="193"/>
      <c r="V3303" s="193"/>
      <c r="W3303" s="193"/>
      <c r="X3303" s="193"/>
      <c r="Y3303" s="193"/>
      <c r="Z3303" s="193"/>
      <c r="AC3303" s="193"/>
      <c r="AD3303" s="193"/>
      <c r="AE3303" s="193"/>
      <c r="AF3303" s="193"/>
    </row>
    <row r="3304" spans="21:32" x14ac:dyDescent="0.3">
      <c r="U3304" s="193"/>
      <c r="V3304" s="193"/>
      <c r="W3304" s="193"/>
      <c r="X3304" s="193"/>
      <c r="Y3304" s="193"/>
      <c r="Z3304" s="193"/>
      <c r="AC3304" s="193"/>
      <c r="AD3304" s="193"/>
      <c r="AE3304" s="193"/>
      <c r="AF3304" s="193"/>
    </row>
    <row r="3305" spans="21:32" x14ac:dyDescent="0.3">
      <c r="U3305" s="193"/>
      <c r="V3305" s="193"/>
      <c r="W3305" s="193"/>
      <c r="X3305" s="193"/>
      <c r="Y3305" s="193"/>
      <c r="Z3305" s="193"/>
      <c r="AC3305" s="193"/>
      <c r="AD3305" s="193"/>
      <c r="AE3305" s="193"/>
      <c r="AF3305" s="193"/>
    </row>
    <row r="3306" spans="21:32" x14ac:dyDescent="0.3">
      <c r="U3306" s="193"/>
      <c r="V3306" s="193"/>
      <c r="W3306" s="193"/>
      <c r="X3306" s="193"/>
      <c r="Y3306" s="193"/>
      <c r="Z3306" s="193"/>
      <c r="AC3306" s="193"/>
      <c r="AD3306" s="193"/>
      <c r="AE3306" s="193"/>
      <c r="AF3306" s="193"/>
    </row>
    <row r="3307" spans="21:32" x14ac:dyDescent="0.3">
      <c r="U3307" s="193"/>
      <c r="V3307" s="193"/>
      <c r="W3307" s="193"/>
      <c r="X3307" s="193"/>
      <c r="Y3307" s="193"/>
      <c r="Z3307" s="193"/>
      <c r="AC3307" s="193"/>
      <c r="AD3307" s="193"/>
      <c r="AE3307" s="193"/>
      <c r="AF3307" s="193"/>
    </row>
    <row r="3308" spans="21:32" x14ac:dyDescent="0.3">
      <c r="U3308" s="193"/>
      <c r="V3308" s="193"/>
      <c r="W3308" s="193"/>
      <c r="X3308" s="193"/>
      <c r="Y3308" s="193"/>
      <c r="Z3308" s="193"/>
      <c r="AC3308" s="193"/>
      <c r="AD3308" s="193"/>
      <c r="AE3308" s="193"/>
      <c r="AF3308" s="193"/>
    </row>
    <row r="3309" spans="21:32" x14ac:dyDescent="0.3">
      <c r="U3309" s="193"/>
      <c r="V3309" s="193"/>
      <c r="W3309" s="193"/>
      <c r="X3309" s="193"/>
      <c r="Y3309" s="193"/>
      <c r="Z3309" s="193"/>
      <c r="AC3309" s="193"/>
      <c r="AD3309" s="193"/>
      <c r="AE3309" s="193"/>
      <c r="AF3309" s="193"/>
    </row>
    <row r="3310" spans="21:32" x14ac:dyDescent="0.3">
      <c r="U3310" s="193"/>
      <c r="V3310" s="193"/>
      <c r="W3310" s="193"/>
      <c r="X3310" s="193"/>
      <c r="Y3310" s="193"/>
      <c r="Z3310" s="193"/>
      <c r="AC3310" s="193"/>
      <c r="AD3310" s="193"/>
      <c r="AE3310" s="193"/>
      <c r="AF3310" s="193"/>
    </row>
    <row r="3311" spans="21:32" x14ac:dyDescent="0.3">
      <c r="U3311" s="193"/>
      <c r="V3311" s="193"/>
      <c r="W3311" s="193"/>
      <c r="X3311" s="193"/>
      <c r="Y3311" s="193"/>
      <c r="Z3311" s="193"/>
      <c r="AC3311" s="193"/>
      <c r="AD3311" s="193"/>
      <c r="AE3311" s="193"/>
      <c r="AF3311" s="193"/>
    </row>
    <row r="3312" spans="21:32" x14ac:dyDescent="0.3">
      <c r="U3312" s="193"/>
      <c r="V3312" s="193"/>
      <c r="W3312" s="193"/>
      <c r="X3312" s="193"/>
      <c r="Y3312" s="193"/>
      <c r="Z3312" s="193"/>
      <c r="AC3312" s="193"/>
      <c r="AD3312" s="193"/>
      <c r="AE3312" s="193"/>
      <c r="AF3312" s="193"/>
    </row>
    <row r="3313" spans="21:32" x14ac:dyDescent="0.3">
      <c r="U3313" s="193"/>
      <c r="V3313" s="193"/>
      <c r="W3313" s="193"/>
      <c r="X3313" s="193"/>
      <c r="Y3313" s="193"/>
      <c r="Z3313" s="193"/>
      <c r="AC3313" s="193"/>
      <c r="AD3313" s="193"/>
      <c r="AE3313" s="193"/>
      <c r="AF3313" s="193"/>
    </row>
    <row r="3314" spans="21:32" x14ac:dyDescent="0.3">
      <c r="U3314" s="193"/>
      <c r="V3314" s="193"/>
      <c r="W3314" s="193"/>
      <c r="X3314" s="193"/>
      <c r="Y3314" s="193"/>
      <c r="Z3314" s="193"/>
      <c r="AC3314" s="193"/>
      <c r="AD3314" s="193"/>
      <c r="AE3314" s="193"/>
      <c r="AF3314" s="193"/>
    </row>
    <row r="3315" spans="21:32" x14ac:dyDescent="0.3">
      <c r="U3315" s="193"/>
      <c r="V3315" s="193"/>
      <c r="W3315" s="193"/>
      <c r="X3315" s="193"/>
      <c r="Y3315" s="193"/>
      <c r="Z3315" s="193"/>
      <c r="AC3315" s="193"/>
      <c r="AD3315" s="193"/>
      <c r="AE3315" s="193"/>
      <c r="AF3315" s="193"/>
    </row>
    <row r="3316" spans="21:32" x14ac:dyDescent="0.3">
      <c r="U3316" s="193"/>
      <c r="V3316" s="193"/>
      <c r="W3316" s="193"/>
      <c r="X3316" s="193"/>
      <c r="Y3316" s="193"/>
      <c r="Z3316" s="193"/>
      <c r="AC3316" s="193"/>
      <c r="AD3316" s="193"/>
      <c r="AE3316" s="193"/>
      <c r="AF3316" s="193"/>
    </row>
    <row r="3317" spans="21:32" x14ac:dyDescent="0.3">
      <c r="U3317" s="193"/>
      <c r="V3317" s="193"/>
      <c r="W3317" s="193"/>
      <c r="X3317" s="193"/>
      <c r="Y3317" s="193"/>
      <c r="Z3317" s="193"/>
      <c r="AC3317" s="193"/>
      <c r="AD3317" s="193"/>
      <c r="AE3317" s="193"/>
      <c r="AF3317" s="193"/>
    </row>
    <row r="3318" spans="21:32" x14ac:dyDescent="0.3">
      <c r="U3318" s="193"/>
      <c r="V3318" s="193"/>
      <c r="W3318" s="193"/>
      <c r="X3318" s="193"/>
      <c r="Y3318" s="193"/>
      <c r="Z3318" s="193"/>
      <c r="AC3318" s="193"/>
      <c r="AD3318" s="193"/>
      <c r="AE3318" s="193"/>
      <c r="AF3318" s="193"/>
    </row>
    <row r="3319" spans="21:32" x14ac:dyDescent="0.3">
      <c r="U3319" s="193"/>
      <c r="V3319" s="193"/>
      <c r="W3319" s="193"/>
      <c r="X3319" s="193"/>
      <c r="Y3319" s="193"/>
      <c r="Z3319" s="193"/>
      <c r="AC3319" s="193"/>
      <c r="AD3319" s="193"/>
      <c r="AE3319" s="193"/>
      <c r="AF3319" s="193"/>
    </row>
    <row r="3320" spans="21:32" x14ac:dyDescent="0.3">
      <c r="U3320" s="193"/>
      <c r="V3320" s="193"/>
      <c r="W3320" s="193"/>
      <c r="X3320" s="193"/>
      <c r="Y3320" s="193"/>
      <c r="Z3320" s="193"/>
      <c r="AC3320" s="193"/>
      <c r="AD3320" s="193"/>
      <c r="AE3320" s="193"/>
      <c r="AF3320" s="193"/>
    </row>
    <row r="3321" spans="21:32" x14ac:dyDescent="0.3">
      <c r="U3321" s="193"/>
      <c r="V3321" s="193"/>
      <c r="W3321" s="193"/>
      <c r="X3321" s="193"/>
      <c r="Y3321" s="193"/>
      <c r="Z3321" s="193"/>
      <c r="AC3321" s="193"/>
      <c r="AD3321" s="193"/>
      <c r="AE3321" s="193"/>
      <c r="AF3321" s="193"/>
    </row>
    <row r="3322" spans="21:32" x14ac:dyDescent="0.3">
      <c r="U3322" s="193"/>
      <c r="V3322" s="193"/>
      <c r="W3322" s="193"/>
      <c r="X3322" s="193"/>
      <c r="Y3322" s="193"/>
      <c r="Z3322" s="193"/>
      <c r="AC3322" s="193"/>
      <c r="AD3322" s="193"/>
      <c r="AE3322" s="193"/>
      <c r="AF3322" s="193"/>
    </row>
    <row r="3323" spans="21:32" x14ac:dyDescent="0.3">
      <c r="U3323" s="193"/>
      <c r="V3323" s="193"/>
      <c r="W3323" s="193"/>
      <c r="X3323" s="193"/>
      <c r="Y3323" s="193"/>
      <c r="Z3323" s="193"/>
      <c r="AC3323" s="193"/>
      <c r="AD3323" s="193"/>
      <c r="AE3323" s="193"/>
      <c r="AF3323" s="193"/>
    </row>
    <row r="3324" spans="21:32" x14ac:dyDescent="0.3">
      <c r="U3324" s="193"/>
      <c r="V3324" s="193"/>
      <c r="W3324" s="193"/>
      <c r="X3324" s="193"/>
      <c r="Y3324" s="193"/>
      <c r="Z3324" s="193"/>
      <c r="AC3324" s="193"/>
      <c r="AD3324" s="193"/>
      <c r="AE3324" s="193"/>
      <c r="AF3324" s="193"/>
    </row>
    <row r="3325" spans="21:32" x14ac:dyDescent="0.3">
      <c r="U3325" s="193"/>
      <c r="V3325" s="193"/>
      <c r="W3325" s="193"/>
      <c r="X3325" s="193"/>
      <c r="Y3325" s="193"/>
      <c r="Z3325" s="193"/>
      <c r="AC3325" s="193"/>
      <c r="AD3325" s="193"/>
      <c r="AE3325" s="193"/>
      <c r="AF3325" s="193"/>
    </row>
    <row r="3326" spans="21:32" x14ac:dyDescent="0.3">
      <c r="U3326" s="193"/>
      <c r="V3326" s="193"/>
      <c r="W3326" s="193"/>
      <c r="X3326" s="193"/>
      <c r="Y3326" s="193"/>
      <c r="Z3326" s="193"/>
      <c r="AC3326" s="193"/>
      <c r="AD3326" s="193"/>
      <c r="AE3326" s="193"/>
      <c r="AF3326" s="193"/>
    </row>
    <row r="3327" spans="21:32" x14ac:dyDescent="0.3">
      <c r="U3327" s="193"/>
      <c r="V3327" s="193"/>
      <c r="W3327" s="193"/>
      <c r="X3327" s="193"/>
      <c r="Y3327" s="193"/>
      <c r="Z3327" s="193"/>
      <c r="AC3327" s="193"/>
      <c r="AD3327" s="193"/>
      <c r="AE3327" s="193"/>
      <c r="AF3327" s="193"/>
    </row>
    <row r="3328" spans="21:32" x14ac:dyDescent="0.3">
      <c r="U3328" s="193"/>
      <c r="V3328" s="193"/>
      <c r="W3328" s="193"/>
      <c r="X3328" s="193"/>
      <c r="Y3328" s="193"/>
      <c r="Z3328" s="193"/>
      <c r="AC3328" s="193"/>
      <c r="AD3328" s="193"/>
      <c r="AE3328" s="193"/>
      <c r="AF3328" s="193"/>
    </row>
    <row r="3329" spans="21:32" x14ac:dyDescent="0.3">
      <c r="U3329" s="193"/>
      <c r="V3329" s="193"/>
      <c r="W3329" s="193"/>
      <c r="X3329" s="193"/>
      <c r="Y3329" s="193"/>
      <c r="Z3329" s="193"/>
      <c r="AC3329" s="193"/>
      <c r="AD3329" s="193"/>
      <c r="AE3329" s="193"/>
      <c r="AF3329" s="193"/>
    </row>
    <row r="3330" spans="21:32" x14ac:dyDescent="0.3">
      <c r="U3330" s="193"/>
      <c r="V3330" s="193"/>
      <c r="W3330" s="193"/>
      <c r="X3330" s="193"/>
      <c r="Y3330" s="193"/>
      <c r="Z3330" s="193"/>
      <c r="AC3330" s="193"/>
      <c r="AD3330" s="193"/>
      <c r="AE3330" s="193"/>
      <c r="AF3330" s="193"/>
    </row>
    <row r="3331" spans="21:32" x14ac:dyDescent="0.3">
      <c r="U3331" s="193"/>
      <c r="V3331" s="193"/>
      <c r="W3331" s="193"/>
      <c r="X3331" s="193"/>
      <c r="Y3331" s="193"/>
      <c r="Z3331" s="193"/>
      <c r="AC3331" s="193"/>
      <c r="AD3331" s="193"/>
      <c r="AE3331" s="193"/>
      <c r="AF3331" s="193"/>
    </row>
    <row r="3332" spans="21:32" x14ac:dyDescent="0.3">
      <c r="U3332" s="193"/>
      <c r="V3332" s="193"/>
      <c r="W3332" s="193"/>
      <c r="X3332" s="193"/>
      <c r="Y3332" s="193"/>
      <c r="Z3332" s="193"/>
      <c r="AC3332" s="193"/>
      <c r="AD3332" s="193"/>
      <c r="AE3332" s="193"/>
      <c r="AF3332" s="193"/>
    </row>
    <row r="3333" spans="21:32" x14ac:dyDescent="0.3">
      <c r="U3333" s="193"/>
      <c r="V3333" s="193"/>
      <c r="W3333" s="193"/>
      <c r="X3333" s="193"/>
      <c r="Y3333" s="193"/>
      <c r="Z3333" s="193"/>
      <c r="AC3333" s="193"/>
      <c r="AD3333" s="193"/>
      <c r="AE3333" s="193"/>
      <c r="AF3333" s="193"/>
    </row>
    <row r="3334" spans="21:32" x14ac:dyDescent="0.3">
      <c r="U3334" s="193"/>
      <c r="V3334" s="193"/>
      <c r="W3334" s="193"/>
      <c r="X3334" s="193"/>
      <c r="Y3334" s="193"/>
      <c r="Z3334" s="193"/>
      <c r="AC3334" s="193"/>
      <c r="AD3334" s="193"/>
      <c r="AE3334" s="193"/>
      <c r="AF3334" s="193"/>
    </row>
    <row r="3335" spans="21:32" x14ac:dyDescent="0.3">
      <c r="U3335" s="193"/>
      <c r="V3335" s="193"/>
      <c r="W3335" s="193"/>
      <c r="X3335" s="193"/>
      <c r="Y3335" s="193"/>
      <c r="Z3335" s="193"/>
      <c r="AC3335" s="193"/>
      <c r="AD3335" s="193"/>
      <c r="AE3335" s="193"/>
      <c r="AF3335" s="193"/>
    </row>
    <row r="3336" spans="21:32" x14ac:dyDescent="0.3">
      <c r="U3336" s="193"/>
      <c r="V3336" s="193"/>
      <c r="W3336" s="193"/>
      <c r="X3336" s="193"/>
      <c r="Y3336" s="193"/>
      <c r="Z3336" s="193"/>
      <c r="AC3336" s="193"/>
      <c r="AD3336" s="193"/>
      <c r="AE3336" s="193"/>
      <c r="AF3336" s="193"/>
    </row>
    <row r="3337" spans="21:32" x14ac:dyDescent="0.3">
      <c r="U3337" s="193"/>
      <c r="V3337" s="193"/>
      <c r="W3337" s="193"/>
      <c r="X3337" s="193"/>
      <c r="Y3337" s="193"/>
      <c r="Z3337" s="193"/>
      <c r="AC3337" s="193"/>
      <c r="AD3337" s="193"/>
      <c r="AE3337" s="193"/>
      <c r="AF3337" s="193"/>
    </row>
    <row r="3338" spans="21:32" x14ac:dyDescent="0.3">
      <c r="U3338" s="193"/>
      <c r="V3338" s="193"/>
      <c r="W3338" s="193"/>
      <c r="X3338" s="193"/>
      <c r="Y3338" s="193"/>
      <c r="Z3338" s="193"/>
      <c r="AC3338" s="193"/>
      <c r="AD3338" s="193"/>
      <c r="AE3338" s="193"/>
      <c r="AF3338" s="193"/>
    </row>
    <row r="3339" spans="21:32" x14ac:dyDescent="0.3">
      <c r="U3339" s="193"/>
      <c r="V3339" s="193"/>
      <c r="W3339" s="193"/>
      <c r="X3339" s="193"/>
      <c r="Y3339" s="193"/>
      <c r="Z3339" s="193"/>
      <c r="AC3339" s="193"/>
      <c r="AD3339" s="193"/>
      <c r="AE3339" s="193"/>
      <c r="AF3339" s="193"/>
    </row>
    <row r="3340" spans="21:32" x14ac:dyDescent="0.3">
      <c r="U3340" s="193"/>
      <c r="V3340" s="193"/>
      <c r="W3340" s="193"/>
      <c r="X3340" s="193"/>
      <c r="Y3340" s="193"/>
      <c r="Z3340" s="193"/>
      <c r="AC3340" s="193"/>
      <c r="AD3340" s="193"/>
      <c r="AE3340" s="193"/>
      <c r="AF3340" s="193"/>
    </row>
    <row r="3341" spans="21:32" x14ac:dyDescent="0.3">
      <c r="U3341" s="193"/>
      <c r="V3341" s="193"/>
      <c r="W3341" s="193"/>
      <c r="X3341" s="193"/>
      <c r="Y3341" s="193"/>
      <c r="Z3341" s="193"/>
      <c r="AC3341" s="193"/>
      <c r="AD3341" s="193"/>
      <c r="AE3341" s="193"/>
      <c r="AF3341" s="193"/>
    </row>
    <row r="3342" spans="21:32" x14ac:dyDescent="0.3">
      <c r="U3342" s="193"/>
      <c r="V3342" s="193"/>
      <c r="W3342" s="193"/>
      <c r="X3342" s="193"/>
      <c r="Y3342" s="193"/>
      <c r="Z3342" s="193"/>
      <c r="AC3342" s="193"/>
      <c r="AD3342" s="193"/>
      <c r="AE3342" s="193"/>
      <c r="AF3342" s="193"/>
    </row>
    <row r="3343" spans="21:32" x14ac:dyDescent="0.3">
      <c r="U3343" s="193"/>
      <c r="V3343" s="193"/>
      <c r="W3343" s="193"/>
      <c r="X3343" s="193"/>
      <c r="Y3343" s="193"/>
      <c r="Z3343" s="193"/>
      <c r="AC3343" s="193"/>
      <c r="AD3343" s="193"/>
      <c r="AE3343" s="193"/>
      <c r="AF3343" s="193"/>
    </row>
    <row r="3344" spans="21:32" x14ac:dyDescent="0.3">
      <c r="U3344" s="193"/>
      <c r="V3344" s="193"/>
      <c r="W3344" s="193"/>
      <c r="X3344" s="193"/>
      <c r="Y3344" s="193"/>
      <c r="Z3344" s="193"/>
      <c r="AC3344" s="193"/>
      <c r="AD3344" s="193"/>
      <c r="AE3344" s="193"/>
      <c r="AF3344" s="193"/>
    </row>
    <row r="3345" spans="21:32" x14ac:dyDescent="0.3">
      <c r="U3345" s="193"/>
      <c r="V3345" s="193"/>
      <c r="W3345" s="193"/>
      <c r="X3345" s="193"/>
      <c r="Y3345" s="193"/>
      <c r="Z3345" s="193"/>
      <c r="AC3345" s="193"/>
      <c r="AD3345" s="193"/>
      <c r="AE3345" s="193"/>
      <c r="AF3345" s="193"/>
    </row>
    <row r="3346" spans="21:32" x14ac:dyDescent="0.3">
      <c r="U3346" s="193"/>
      <c r="V3346" s="193"/>
      <c r="W3346" s="193"/>
      <c r="X3346" s="193"/>
      <c r="Y3346" s="193"/>
      <c r="Z3346" s="193"/>
      <c r="AC3346" s="193"/>
      <c r="AD3346" s="193"/>
      <c r="AE3346" s="193"/>
      <c r="AF3346" s="193"/>
    </row>
    <row r="3347" spans="21:32" x14ac:dyDescent="0.3">
      <c r="U3347" s="193"/>
      <c r="V3347" s="193"/>
      <c r="W3347" s="193"/>
      <c r="X3347" s="193"/>
      <c r="Y3347" s="193"/>
      <c r="Z3347" s="193"/>
      <c r="AC3347" s="193"/>
      <c r="AD3347" s="193"/>
      <c r="AE3347" s="193"/>
      <c r="AF3347" s="193"/>
    </row>
    <row r="3348" spans="21:32" x14ac:dyDescent="0.3">
      <c r="U3348" s="193"/>
      <c r="V3348" s="193"/>
      <c r="W3348" s="193"/>
      <c r="X3348" s="193"/>
      <c r="Y3348" s="193"/>
      <c r="Z3348" s="193"/>
      <c r="AC3348" s="193"/>
      <c r="AD3348" s="193"/>
      <c r="AE3348" s="193"/>
      <c r="AF3348" s="193"/>
    </row>
    <row r="3349" spans="21:32" x14ac:dyDescent="0.3">
      <c r="U3349" s="193"/>
      <c r="V3349" s="193"/>
      <c r="W3349" s="193"/>
      <c r="X3349" s="193"/>
      <c r="Y3349" s="193"/>
      <c r="Z3349" s="193"/>
      <c r="AC3349" s="193"/>
      <c r="AD3349" s="193"/>
      <c r="AE3349" s="193"/>
      <c r="AF3349" s="193"/>
    </row>
    <row r="3350" spans="21:32" x14ac:dyDescent="0.3">
      <c r="U3350" s="193"/>
      <c r="V3350" s="193"/>
      <c r="W3350" s="193"/>
      <c r="X3350" s="193"/>
      <c r="Y3350" s="193"/>
      <c r="Z3350" s="193"/>
      <c r="AC3350" s="193"/>
      <c r="AD3350" s="193"/>
      <c r="AE3350" s="193"/>
      <c r="AF3350" s="193"/>
    </row>
    <row r="3351" spans="21:32" x14ac:dyDescent="0.3">
      <c r="U3351" s="193"/>
      <c r="V3351" s="193"/>
      <c r="W3351" s="193"/>
      <c r="X3351" s="193"/>
      <c r="Y3351" s="193"/>
      <c r="Z3351" s="193"/>
      <c r="AC3351" s="193"/>
      <c r="AD3351" s="193"/>
      <c r="AE3351" s="193"/>
      <c r="AF3351" s="193"/>
    </row>
    <row r="3352" spans="21:32" x14ac:dyDescent="0.3">
      <c r="U3352" s="193"/>
      <c r="V3352" s="193"/>
      <c r="W3352" s="193"/>
      <c r="X3352" s="193"/>
      <c r="Y3352" s="193"/>
      <c r="Z3352" s="193"/>
      <c r="AC3352" s="193"/>
      <c r="AD3352" s="193"/>
      <c r="AE3352" s="193"/>
      <c r="AF3352" s="193"/>
    </row>
    <row r="3353" spans="21:32" x14ac:dyDescent="0.3">
      <c r="U3353" s="193"/>
      <c r="V3353" s="193"/>
      <c r="W3353" s="193"/>
      <c r="X3353" s="193"/>
      <c r="Y3353" s="193"/>
      <c r="Z3353" s="193"/>
      <c r="AC3353" s="193"/>
      <c r="AD3353" s="193"/>
      <c r="AE3353" s="193"/>
      <c r="AF3353" s="193"/>
    </row>
    <row r="3354" spans="21:32" x14ac:dyDescent="0.3">
      <c r="U3354" s="193"/>
      <c r="V3354" s="193"/>
      <c r="W3354" s="193"/>
      <c r="X3354" s="193"/>
      <c r="Y3354" s="193"/>
      <c r="Z3354" s="193"/>
      <c r="AC3354" s="193"/>
      <c r="AD3354" s="193"/>
      <c r="AE3354" s="193"/>
      <c r="AF3354" s="193"/>
    </row>
    <row r="3355" spans="21:32" x14ac:dyDescent="0.3">
      <c r="U3355" s="193"/>
      <c r="V3355" s="193"/>
      <c r="W3355" s="193"/>
      <c r="X3355" s="193"/>
      <c r="Y3355" s="193"/>
      <c r="Z3355" s="193"/>
      <c r="AC3355" s="193"/>
      <c r="AD3355" s="193"/>
      <c r="AE3355" s="193"/>
      <c r="AF3355" s="193"/>
    </row>
    <row r="3356" spans="21:32" x14ac:dyDescent="0.3">
      <c r="U3356" s="193"/>
      <c r="V3356" s="193"/>
      <c r="W3356" s="193"/>
      <c r="X3356" s="193"/>
      <c r="Y3356" s="193"/>
      <c r="Z3356" s="193"/>
      <c r="AC3356" s="193"/>
      <c r="AD3356" s="193"/>
      <c r="AE3356" s="193"/>
      <c r="AF3356" s="193"/>
    </row>
    <row r="3357" spans="21:32" x14ac:dyDescent="0.3">
      <c r="U3357" s="193"/>
      <c r="V3357" s="193"/>
      <c r="W3357" s="193"/>
      <c r="X3357" s="193"/>
      <c r="Y3357" s="193"/>
      <c r="Z3357" s="193"/>
      <c r="AC3357" s="193"/>
      <c r="AD3357" s="193"/>
      <c r="AE3357" s="193"/>
      <c r="AF3357" s="193"/>
    </row>
    <row r="3358" spans="21:32" x14ac:dyDescent="0.3">
      <c r="U3358" s="193"/>
      <c r="V3358" s="193"/>
      <c r="W3358" s="193"/>
      <c r="X3358" s="193"/>
      <c r="Y3358" s="193"/>
      <c r="Z3358" s="193"/>
      <c r="AC3358" s="193"/>
      <c r="AD3358" s="193"/>
      <c r="AE3358" s="193"/>
      <c r="AF3358" s="193"/>
    </row>
    <row r="3359" spans="21:32" x14ac:dyDescent="0.3">
      <c r="U3359" s="193"/>
      <c r="V3359" s="193"/>
      <c r="W3359" s="193"/>
      <c r="X3359" s="193"/>
      <c r="Y3359" s="193"/>
      <c r="Z3359" s="193"/>
      <c r="AC3359" s="193"/>
      <c r="AD3359" s="193"/>
      <c r="AE3359" s="193"/>
      <c r="AF3359" s="193"/>
    </row>
    <row r="3360" spans="21:32" x14ac:dyDescent="0.3">
      <c r="U3360" s="193"/>
      <c r="V3360" s="193"/>
      <c r="W3360" s="193"/>
      <c r="X3360" s="193"/>
      <c r="Y3360" s="193"/>
      <c r="Z3360" s="193"/>
      <c r="AC3360" s="193"/>
      <c r="AD3360" s="193"/>
      <c r="AE3360" s="193"/>
      <c r="AF3360" s="193"/>
    </row>
    <row r="3361" spans="21:32" x14ac:dyDescent="0.3">
      <c r="U3361" s="193"/>
      <c r="V3361" s="193"/>
      <c r="W3361" s="193"/>
      <c r="X3361" s="193"/>
      <c r="Y3361" s="193"/>
      <c r="Z3361" s="193"/>
      <c r="AC3361" s="193"/>
      <c r="AD3361" s="193"/>
      <c r="AE3361" s="193"/>
      <c r="AF3361" s="193"/>
    </row>
    <row r="3362" spans="21:32" x14ac:dyDescent="0.3">
      <c r="U3362" s="193"/>
      <c r="V3362" s="193"/>
      <c r="W3362" s="193"/>
      <c r="X3362" s="193"/>
      <c r="Y3362" s="193"/>
      <c r="Z3362" s="193"/>
      <c r="AC3362" s="193"/>
      <c r="AD3362" s="193"/>
      <c r="AE3362" s="193"/>
      <c r="AF3362" s="193"/>
    </row>
    <row r="3363" spans="21:32" x14ac:dyDescent="0.3">
      <c r="U3363" s="193"/>
      <c r="V3363" s="193"/>
      <c r="W3363" s="193"/>
      <c r="X3363" s="193"/>
      <c r="Y3363" s="193"/>
      <c r="Z3363" s="193"/>
      <c r="AC3363" s="193"/>
      <c r="AD3363" s="193"/>
      <c r="AE3363" s="193"/>
      <c r="AF3363" s="193"/>
    </row>
    <row r="3364" spans="21:32" x14ac:dyDescent="0.3">
      <c r="U3364" s="193"/>
      <c r="V3364" s="193"/>
      <c r="W3364" s="193"/>
      <c r="X3364" s="193"/>
      <c r="Y3364" s="193"/>
      <c r="Z3364" s="193"/>
      <c r="AC3364" s="193"/>
      <c r="AD3364" s="193"/>
      <c r="AE3364" s="193"/>
      <c r="AF3364" s="193"/>
    </row>
    <row r="3365" spans="21:32" x14ac:dyDescent="0.3">
      <c r="U3365" s="193"/>
      <c r="V3365" s="193"/>
      <c r="W3365" s="193"/>
      <c r="X3365" s="193"/>
      <c r="Y3365" s="193"/>
      <c r="Z3365" s="193"/>
      <c r="AC3365" s="193"/>
      <c r="AD3365" s="193"/>
      <c r="AE3365" s="193"/>
      <c r="AF3365" s="193"/>
    </row>
    <row r="3366" spans="21:32" x14ac:dyDescent="0.3">
      <c r="U3366" s="193"/>
      <c r="V3366" s="193"/>
      <c r="W3366" s="193"/>
      <c r="X3366" s="193"/>
      <c r="Y3366" s="193"/>
      <c r="Z3366" s="193"/>
      <c r="AC3366" s="193"/>
      <c r="AD3366" s="193"/>
      <c r="AE3366" s="193"/>
      <c r="AF3366" s="193"/>
    </row>
    <row r="3367" spans="21:32" x14ac:dyDescent="0.3">
      <c r="U3367" s="193"/>
      <c r="V3367" s="193"/>
      <c r="W3367" s="193"/>
      <c r="X3367" s="193"/>
      <c r="Y3367" s="193"/>
      <c r="Z3367" s="193"/>
      <c r="AC3367" s="193"/>
      <c r="AD3367" s="193"/>
      <c r="AE3367" s="193"/>
      <c r="AF3367" s="193"/>
    </row>
    <row r="3368" spans="21:32" x14ac:dyDescent="0.3">
      <c r="U3368" s="193"/>
      <c r="V3368" s="193"/>
      <c r="W3368" s="193"/>
      <c r="X3368" s="193"/>
      <c r="Y3368" s="193"/>
      <c r="Z3368" s="193"/>
      <c r="AC3368" s="193"/>
      <c r="AD3368" s="193"/>
      <c r="AE3368" s="193"/>
      <c r="AF3368" s="193"/>
    </row>
    <row r="3369" spans="21:32" x14ac:dyDescent="0.3">
      <c r="U3369" s="193"/>
      <c r="V3369" s="193"/>
      <c r="W3369" s="193"/>
      <c r="X3369" s="193"/>
      <c r="Y3369" s="193"/>
      <c r="Z3369" s="193"/>
      <c r="AC3369" s="193"/>
      <c r="AD3369" s="193"/>
      <c r="AE3369" s="193"/>
      <c r="AF3369" s="193"/>
    </row>
    <row r="3370" spans="21:32" x14ac:dyDescent="0.3">
      <c r="U3370" s="193"/>
      <c r="V3370" s="193"/>
      <c r="W3370" s="193"/>
      <c r="X3370" s="193"/>
      <c r="Y3370" s="193"/>
      <c r="Z3370" s="193"/>
      <c r="AC3370" s="193"/>
      <c r="AD3370" s="193"/>
      <c r="AE3370" s="193"/>
      <c r="AF3370" s="193"/>
    </row>
    <row r="3371" spans="21:32" x14ac:dyDescent="0.3">
      <c r="U3371" s="193"/>
      <c r="V3371" s="193"/>
      <c r="W3371" s="193"/>
      <c r="X3371" s="193"/>
      <c r="Y3371" s="193"/>
      <c r="Z3371" s="193"/>
      <c r="AC3371" s="193"/>
      <c r="AD3371" s="193"/>
      <c r="AE3371" s="193"/>
      <c r="AF3371" s="193"/>
    </row>
    <row r="3372" spans="21:32" x14ac:dyDescent="0.3">
      <c r="U3372" s="193"/>
      <c r="V3372" s="193"/>
      <c r="W3372" s="193"/>
      <c r="X3372" s="193"/>
      <c r="Y3372" s="193"/>
      <c r="Z3372" s="193"/>
      <c r="AC3372" s="193"/>
      <c r="AD3372" s="193"/>
      <c r="AE3372" s="193"/>
      <c r="AF3372" s="193"/>
    </row>
    <row r="3373" spans="21:32" x14ac:dyDescent="0.3">
      <c r="U3373" s="193"/>
      <c r="V3373" s="193"/>
      <c r="W3373" s="193"/>
      <c r="X3373" s="193"/>
      <c r="Y3373" s="193"/>
      <c r="Z3373" s="193"/>
      <c r="AC3373" s="193"/>
      <c r="AD3373" s="193"/>
      <c r="AE3373" s="193"/>
      <c r="AF3373" s="193"/>
    </row>
    <row r="3374" spans="21:32" x14ac:dyDescent="0.3">
      <c r="U3374" s="193"/>
      <c r="V3374" s="193"/>
      <c r="W3374" s="193"/>
      <c r="X3374" s="193"/>
      <c r="Y3374" s="193"/>
      <c r="Z3374" s="193"/>
      <c r="AC3374" s="193"/>
      <c r="AD3374" s="193"/>
      <c r="AE3374" s="193"/>
      <c r="AF3374" s="193"/>
    </row>
    <row r="3375" spans="21:32" x14ac:dyDescent="0.3">
      <c r="U3375" s="193"/>
      <c r="V3375" s="193"/>
      <c r="W3375" s="193"/>
      <c r="X3375" s="193"/>
      <c r="Y3375" s="193"/>
      <c r="Z3375" s="193"/>
      <c r="AC3375" s="193"/>
      <c r="AD3375" s="193"/>
      <c r="AE3375" s="193"/>
      <c r="AF3375" s="193"/>
    </row>
    <row r="3376" spans="21:32" x14ac:dyDescent="0.3">
      <c r="U3376" s="193"/>
      <c r="V3376" s="193"/>
      <c r="W3376" s="193"/>
      <c r="X3376" s="193"/>
      <c r="Y3376" s="193"/>
      <c r="Z3376" s="193"/>
      <c r="AC3376" s="193"/>
      <c r="AD3376" s="193"/>
      <c r="AE3376" s="193"/>
      <c r="AF3376" s="193"/>
    </row>
    <row r="3377" spans="21:32" x14ac:dyDescent="0.3">
      <c r="U3377" s="193"/>
      <c r="V3377" s="193"/>
      <c r="W3377" s="193"/>
      <c r="X3377" s="193"/>
      <c r="Y3377" s="193"/>
      <c r="Z3377" s="193"/>
      <c r="AC3377" s="193"/>
      <c r="AD3377" s="193"/>
      <c r="AE3377" s="193"/>
      <c r="AF3377" s="193"/>
    </row>
    <row r="3378" spans="21:32" x14ac:dyDescent="0.3">
      <c r="U3378" s="193"/>
      <c r="V3378" s="193"/>
      <c r="W3378" s="193"/>
      <c r="X3378" s="193"/>
      <c r="Y3378" s="193"/>
      <c r="Z3378" s="193"/>
      <c r="AC3378" s="193"/>
      <c r="AD3378" s="193"/>
      <c r="AE3378" s="193"/>
      <c r="AF3378" s="193"/>
    </row>
    <row r="3379" spans="21:32" x14ac:dyDescent="0.3">
      <c r="U3379" s="193"/>
      <c r="V3379" s="193"/>
      <c r="W3379" s="193"/>
      <c r="X3379" s="193"/>
      <c r="Y3379" s="193"/>
      <c r="Z3379" s="193"/>
      <c r="AC3379" s="193"/>
      <c r="AD3379" s="193"/>
      <c r="AE3379" s="193"/>
      <c r="AF3379" s="193"/>
    </row>
    <row r="3380" spans="21:32" x14ac:dyDescent="0.3">
      <c r="U3380" s="193"/>
      <c r="V3380" s="193"/>
      <c r="W3380" s="193"/>
      <c r="X3380" s="193"/>
      <c r="Y3380" s="193"/>
      <c r="Z3380" s="193"/>
      <c r="AC3380" s="193"/>
      <c r="AD3380" s="193"/>
      <c r="AE3380" s="193"/>
      <c r="AF3380" s="193"/>
    </row>
    <row r="3381" spans="21:32" x14ac:dyDescent="0.3">
      <c r="U3381" s="193"/>
      <c r="V3381" s="193"/>
      <c r="W3381" s="193"/>
      <c r="X3381" s="193"/>
      <c r="Y3381" s="193"/>
      <c r="Z3381" s="193"/>
      <c r="AC3381" s="193"/>
      <c r="AD3381" s="193"/>
      <c r="AE3381" s="193"/>
      <c r="AF3381" s="193"/>
    </row>
    <row r="3382" spans="21:32" x14ac:dyDescent="0.3">
      <c r="U3382" s="193"/>
      <c r="V3382" s="193"/>
      <c r="W3382" s="193"/>
      <c r="X3382" s="193"/>
      <c r="Y3382" s="193"/>
      <c r="Z3382" s="193"/>
      <c r="AC3382" s="193"/>
      <c r="AD3382" s="193"/>
      <c r="AE3382" s="193"/>
      <c r="AF3382" s="193"/>
    </row>
    <row r="3383" spans="21:32" x14ac:dyDescent="0.3">
      <c r="U3383" s="193"/>
      <c r="V3383" s="193"/>
      <c r="W3383" s="193"/>
      <c r="X3383" s="193"/>
      <c r="Y3383" s="193"/>
      <c r="Z3383" s="193"/>
      <c r="AC3383" s="193"/>
      <c r="AD3383" s="193"/>
      <c r="AE3383" s="193"/>
      <c r="AF3383" s="193"/>
    </row>
    <row r="3384" spans="21:32" x14ac:dyDescent="0.3">
      <c r="U3384" s="193"/>
      <c r="V3384" s="193"/>
      <c r="W3384" s="193"/>
      <c r="X3384" s="193"/>
      <c r="Y3384" s="193"/>
      <c r="Z3384" s="193"/>
      <c r="AC3384" s="193"/>
      <c r="AD3384" s="193"/>
      <c r="AE3384" s="193"/>
      <c r="AF3384" s="193"/>
    </row>
    <row r="3385" spans="21:32" x14ac:dyDescent="0.3">
      <c r="U3385" s="193"/>
      <c r="V3385" s="193"/>
      <c r="W3385" s="193"/>
      <c r="X3385" s="193"/>
      <c r="Y3385" s="193"/>
      <c r="Z3385" s="193"/>
      <c r="AC3385" s="193"/>
      <c r="AD3385" s="193"/>
      <c r="AE3385" s="193"/>
      <c r="AF3385" s="193"/>
    </row>
    <row r="3386" spans="21:32" x14ac:dyDescent="0.3">
      <c r="U3386" s="193"/>
      <c r="V3386" s="193"/>
      <c r="W3386" s="193"/>
      <c r="X3386" s="193"/>
      <c r="Y3386" s="193"/>
      <c r="Z3386" s="193"/>
      <c r="AC3386" s="193"/>
      <c r="AD3386" s="193"/>
      <c r="AE3386" s="193"/>
      <c r="AF3386" s="193"/>
    </row>
    <row r="3387" spans="21:32" x14ac:dyDescent="0.3">
      <c r="U3387" s="193"/>
      <c r="V3387" s="193"/>
      <c r="W3387" s="193"/>
      <c r="X3387" s="193"/>
      <c r="Y3387" s="193"/>
      <c r="Z3387" s="193"/>
      <c r="AC3387" s="193"/>
      <c r="AD3387" s="193"/>
      <c r="AE3387" s="193"/>
      <c r="AF3387" s="193"/>
    </row>
    <row r="3388" spans="21:32" x14ac:dyDescent="0.3">
      <c r="U3388" s="193"/>
      <c r="V3388" s="193"/>
      <c r="W3388" s="193"/>
      <c r="X3388" s="193"/>
      <c r="Y3388" s="193"/>
      <c r="Z3388" s="193"/>
      <c r="AC3388" s="193"/>
      <c r="AD3388" s="193"/>
      <c r="AE3388" s="193"/>
      <c r="AF3388" s="193"/>
    </row>
    <row r="3389" spans="21:32" x14ac:dyDescent="0.3">
      <c r="U3389" s="193"/>
      <c r="V3389" s="193"/>
      <c r="W3389" s="193"/>
      <c r="X3389" s="193"/>
      <c r="Y3389" s="193"/>
      <c r="Z3389" s="193"/>
      <c r="AC3389" s="193"/>
      <c r="AD3389" s="193"/>
      <c r="AE3389" s="193"/>
      <c r="AF3389" s="193"/>
    </row>
    <row r="3390" spans="21:32" x14ac:dyDescent="0.3">
      <c r="U3390" s="193"/>
      <c r="V3390" s="193"/>
      <c r="W3390" s="193"/>
      <c r="X3390" s="193"/>
      <c r="Y3390" s="193"/>
      <c r="Z3390" s="193"/>
      <c r="AC3390" s="193"/>
      <c r="AD3390" s="193"/>
      <c r="AE3390" s="193"/>
      <c r="AF3390" s="193"/>
    </row>
    <row r="3391" spans="21:32" x14ac:dyDescent="0.3">
      <c r="U3391" s="193"/>
      <c r="V3391" s="193"/>
      <c r="W3391" s="193"/>
      <c r="X3391" s="193"/>
      <c r="Y3391" s="193"/>
      <c r="Z3391" s="193"/>
      <c r="AC3391" s="193"/>
      <c r="AD3391" s="193"/>
      <c r="AE3391" s="193"/>
      <c r="AF3391" s="193"/>
    </row>
    <row r="3392" spans="21:32" x14ac:dyDescent="0.3">
      <c r="U3392" s="193"/>
      <c r="V3392" s="193"/>
      <c r="W3392" s="193"/>
      <c r="X3392" s="193"/>
      <c r="Y3392" s="193"/>
      <c r="Z3392" s="193"/>
      <c r="AC3392" s="193"/>
      <c r="AD3392" s="193"/>
      <c r="AE3392" s="193"/>
      <c r="AF3392" s="193"/>
    </row>
    <row r="3393" spans="21:32" x14ac:dyDescent="0.3">
      <c r="U3393" s="193"/>
      <c r="V3393" s="193"/>
      <c r="W3393" s="193"/>
      <c r="X3393" s="193"/>
      <c r="Y3393" s="193"/>
      <c r="Z3393" s="193"/>
      <c r="AC3393" s="193"/>
      <c r="AD3393" s="193"/>
      <c r="AE3393" s="193"/>
      <c r="AF3393" s="193"/>
    </row>
    <row r="3394" spans="21:32" x14ac:dyDescent="0.3">
      <c r="U3394" s="193"/>
      <c r="V3394" s="193"/>
      <c r="W3394" s="193"/>
      <c r="X3394" s="193"/>
      <c r="Y3394" s="193"/>
      <c r="Z3394" s="193"/>
      <c r="AC3394" s="193"/>
      <c r="AD3394" s="193"/>
      <c r="AE3394" s="193"/>
      <c r="AF3394" s="193"/>
    </row>
    <row r="3395" spans="21:32" x14ac:dyDescent="0.3">
      <c r="U3395" s="193"/>
      <c r="V3395" s="193"/>
      <c r="W3395" s="193"/>
      <c r="X3395" s="193"/>
      <c r="Y3395" s="193"/>
      <c r="Z3395" s="193"/>
      <c r="AC3395" s="193"/>
      <c r="AD3395" s="193"/>
      <c r="AE3395" s="193"/>
      <c r="AF3395" s="193"/>
    </row>
    <row r="3396" spans="21:32" x14ac:dyDescent="0.3">
      <c r="U3396" s="193"/>
      <c r="V3396" s="193"/>
      <c r="W3396" s="193"/>
      <c r="X3396" s="193"/>
      <c r="Y3396" s="193"/>
      <c r="Z3396" s="193"/>
      <c r="AC3396" s="193"/>
      <c r="AD3396" s="193"/>
      <c r="AE3396" s="193"/>
      <c r="AF3396" s="193"/>
    </row>
    <row r="3397" spans="21:32" x14ac:dyDescent="0.3">
      <c r="U3397" s="193"/>
      <c r="V3397" s="193"/>
      <c r="W3397" s="193"/>
      <c r="X3397" s="193"/>
      <c r="Y3397" s="193"/>
      <c r="Z3397" s="193"/>
      <c r="AC3397" s="193"/>
      <c r="AD3397" s="193"/>
      <c r="AE3397" s="193"/>
      <c r="AF3397" s="193"/>
    </row>
    <row r="3398" spans="21:32" x14ac:dyDescent="0.3">
      <c r="U3398" s="193"/>
      <c r="V3398" s="193"/>
      <c r="W3398" s="193"/>
      <c r="X3398" s="193"/>
      <c r="Y3398" s="193"/>
      <c r="Z3398" s="193"/>
      <c r="AC3398" s="193"/>
      <c r="AD3398" s="193"/>
      <c r="AE3398" s="193"/>
      <c r="AF3398" s="193"/>
    </row>
    <row r="3399" spans="21:32" x14ac:dyDescent="0.3">
      <c r="U3399" s="193"/>
      <c r="V3399" s="193"/>
      <c r="W3399" s="193"/>
      <c r="X3399" s="193"/>
      <c r="Y3399" s="193"/>
      <c r="Z3399" s="193"/>
      <c r="AC3399" s="193"/>
      <c r="AD3399" s="193"/>
      <c r="AE3399" s="193"/>
      <c r="AF3399" s="193"/>
    </row>
    <row r="3400" spans="21:32" x14ac:dyDescent="0.3">
      <c r="U3400" s="193"/>
      <c r="V3400" s="193"/>
      <c r="W3400" s="193"/>
      <c r="X3400" s="193"/>
      <c r="Y3400" s="193"/>
      <c r="Z3400" s="193"/>
      <c r="AC3400" s="193"/>
      <c r="AD3400" s="193"/>
      <c r="AE3400" s="193"/>
      <c r="AF3400" s="193"/>
    </row>
    <row r="3401" spans="21:32" x14ac:dyDescent="0.3">
      <c r="U3401" s="193"/>
      <c r="V3401" s="193"/>
      <c r="W3401" s="193"/>
      <c r="X3401" s="193"/>
      <c r="Y3401" s="193"/>
      <c r="Z3401" s="193"/>
      <c r="AC3401" s="193"/>
      <c r="AD3401" s="193"/>
      <c r="AE3401" s="193"/>
      <c r="AF3401" s="193"/>
    </row>
    <row r="3402" spans="21:32" x14ac:dyDescent="0.3">
      <c r="U3402" s="193"/>
      <c r="V3402" s="193"/>
      <c r="W3402" s="193"/>
      <c r="X3402" s="193"/>
      <c r="Y3402" s="193"/>
      <c r="Z3402" s="193"/>
      <c r="AC3402" s="193"/>
      <c r="AD3402" s="193"/>
      <c r="AE3402" s="193"/>
      <c r="AF3402" s="193"/>
    </row>
    <row r="3403" spans="21:32" x14ac:dyDescent="0.3">
      <c r="U3403" s="193"/>
      <c r="V3403" s="193"/>
      <c r="W3403" s="193"/>
      <c r="X3403" s="193"/>
      <c r="Y3403" s="193"/>
      <c r="Z3403" s="193"/>
      <c r="AC3403" s="193"/>
      <c r="AD3403" s="193"/>
      <c r="AE3403" s="193"/>
      <c r="AF3403" s="193"/>
    </row>
    <row r="3404" spans="21:32" x14ac:dyDescent="0.3">
      <c r="U3404" s="193"/>
      <c r="V3404" s="193"/>
      <c r="W3404" s="193"/>
      <c r="X3404" s="193"/>
      <c r="Y3404" s="193"/>
      <c r="Z3404" s="193"/>
      <c r="AC3404" s="193"/>
      <c r="AD3404" s="193"/>
      <c r="AE3404" s="193"/>
      <c r="AF3404" s="193"/>
    </row>
    <row r="3405" spans="21:32" x14ac:dyDescent="0.3">
      <c r="U3405" s="193"/>
      <c r="V3405" s="193"/>
      <c r="W3405" s="193"/>
      <c r="X3405" s="193"/>
      <c r="Y3405" s="193"/>
      <c r="Z3405" s="193"/>
      <c r="AC3405" s="193"/>
      <c r="AD3405" s="193"/>
      <c r="AE3405" s="193"/>
      <c r="AF3405" s="193"/>
    </row>
    <row r="3406" spans="21:32" x14ac:dyDescent="0.3">
      <c r="U3406" s="193"/>
      <c r="V3406" s="193"/>
      <c r="W3406" s="193"/>
      <c r="X3406" s="193"/>
      <c r="Y3406" s="193"/>
      <c r="Z3406" s="193"/>
      <c r="AC3406" s="193"/>
      <c r="AD3406" s="193"/>
      <c r="AE3406" s="193"/>
      <c r="AF3406" s="193"/>
    </row>
    <row r="3407" spans="21:32" x14ac:dyDescent="0.3">
      <c r="U3407" s="193"/>
      <c r="V3407" s="193"/>
      <c r="W3407" s="193"/>
      <c r="X3407" s="193"/>
      <c r="Y3407" s="193"/>
      <c r="Z3407" s="193"/>
      <c r="AC3407" s="193"/>
      <c r="AD3407" s="193"/>
      <c r="AE3407" s="193"/>
      <c r="AF3407" s="193"/>
    </row>
    <row r="3408" spans="21:32" x14ac:dyDescent="0.3">
      <c r="U3408" s="193"/>
      <c r="V3408" s="193"/>
      <c r="W3408" s="193"/>
      <c r="X3408" s="193"/>
      <c r="Y3408" s="193"/>
      <c r="Z3408" s="193"/>
      <c r="AC3408" s="193"/>
      <c r="AD3408" s="193"/>
      <c r="AE3408" s="193"/>
      <c r="AF3408" s="193"/>
    </row>
    <row r="3409" spans="21:32" x14ac:dyDescent="0.3">
      <c r="U3409" s="193"/>
      <c r="V3409" s="193"/>
      <c r="W3409" s="193"/>
      <c r="X3409" s="193"/>
      <c r="Y3409" s="193"/>
      <c r="Z3409" s="193"/>
      <c r="AC3409" s="193"/>
      <c r="AD3409" s="193"/>
      <c r="AE3409" s="193"/>
      <c r="AF3409" s="193"/>
    </row>
    <row r="3410" spans="21:32" x14ac:dyDescent="0.3">
      <c r="U3410" s="193"/>
      <c r="V3410" s="193"/>
      <c r="W3410" s="193"/>
      <c r="X3410" s="193"/>
      <c r="Y3410" s="193"/>
      <c r="Z3410" s="193"/>
      <c r="AC3410" s="193"/>
      <c r="AD3410" s="193"/>
      <c r="AE3410" s="193"/>
      <c r="AF3410" s="193"/>
    </row>
    <row r="3411" spans="21:32" x14ac:dyDescent="0.3">
      <c r="U3411" s="193"/>
      <c r="V3411" s="193"/>
      <c r="W3411" s="193"/>
      <c r="X3411" s="193"/>
      <c r="Y3411" s="193"/>
      <c r="Z3411" s="193"/>
      <c r="AC3411" s="193"/>
      <c r="AD3411" s="193"/>
      <c r="AE3411" s="193"/>
      <c r="AF3411" s="193"/>
    </row>
    <row r="3412" spans="21:32" x14ac:dyDescent="0.3">
      <c r="U3412" s="193"/>
      <c r="V3412" s="193"/>
      <c r="W3412" s="193"/>
      <c r="X3412" s="193"/>
      <c r="Y3412" s="193"/>
      <c r="Z3412" s="193"/>
      <c r="AC3412" s="193"/>
      <c r="AD3412" s="193"/>
      <c r="AE3412" s="193"/>
      <c r="AF3412" s="193"/>
    </row>
    <row r="3413" spans="21:32" x14ac:dyDescent="0.3">
      <c r="U3413" s="193"/>
      <c r="V3413" s="193"/>
      <c r="W3413" s="193"/>
      <c r="X3413" s="193"/>
      <c r="Y3413" s="193"/>
      <c r="Z3413" s="193"/>
      <c r="AC3413" s="193"/>
      <c r="AD3413" s="193"/>
      <c r="AE3413" s="193"/>
      <c r="AF3413" s="193"/>
    </row>
    <row r="3414" spans="21:32" x14ac:dyDescent="0.3">
      <c r="U3414" s="193"/>
      <c r="V3414" s="193"/>
      <c r="W3414" s="193"/>
      <c r="X3414" s="193"/>
      <c r="Y3414" s="193"/>
      <c r="Z3414" s="193"/>
      <c r="AC3414" s="193"/>
      <c r="AD3414" s="193"/>
      <c r="AE3414" s="193"/>
      <c r="AF3414" s="193"/>
    </row>
    <row r="3415" spans="21:32" x14ac:dyDescent="0.3">
      <c r="U3415" s="193"/>
      <c r="V3415" s="193"/>
      <c r="W3415" s="193"/>
      <c r="X3415" s="193"/>
      <c r="Y3415" s="193"/>
      <c r="Z3415" s="193"/>
      <c r="AC3415" s="193"/>
      <c r="AD3415" s="193"/>
      <c r="AE3415" s="193"/>
      <c r="AF3415" s="193"/>
    </row>
    <row r="3416" spans="21:32" x14ac:dyDescent="0.3">
      <c r="U3416" s="193"/>
      <c r="V3416" s="193"/>
      <c r="W3416" s="193"/>
      <c r="X3416" s="193"/>
      <c r="Y3416" s="193"/>
      <c r="Z3416" s="193"/>
      <c r="AC3416" s="193"/>
      <c r="AD3416" s="193"/>
      <c r="AE3416" s="193"/>
      <c r="AF3416" s="193"/>
    </row>
    <row r="3417" spans="21:32" x14ac:dyDescent="0.3">
      <c r="U3417" s="193"/>
      <c r="V3417" s="193"/>
      <c r="W3417" s="193"/>
      <c r="X3417" s="193"/>
      <c r="Y3417" s="193"/>
      <c r="Z3417" s="193"/>
      <c r="AC3417" s="193"/>
      <c r="AD3417" s="193"/>
      <c r="AE3417" s="193"/>
      <c r="AF3417" s="193"/>
    </row>
    <row r="3418" spans="21:32" x14ac:dyDescent="0.3">
      <c r="U3418" s="193"/>
      <c r="V3418" s="193"/>
      <c r="W3418" s="193"/>
      <c r="X3418" s="193"/>
      <c r="Y3418" s="193"/>
      <c r="Z3418" s="193"/>
      <c r="AC3418" s="193"/>
      <c r="AD3418" s="193"/>
      <c r="AE3418" s="193"/>
      <c r="AF3418" s="193"/>
    </row>
    <row r="3419" spans="21:32" x14ac:dyDescent="0.3">
      <c r="U3419" s="193"/>
      <c r="V3419" s="193"/>
      <c r="W3419" s="193"/>
      <c r="X3419" s="193"/>
      <c r="Y3419" s="193"/>
      <c r="Z3419" s="193"/>
      <c r="AC3419" s="193"/>
      <c r="AD3419" s="193"/>
      <c r="AE3419" s="193"/>
      <c r="AF3419" s="193"/>
    </row>
    <row r="3420" spans="21:32" x14ac:dyDescent="0.3">
      <c r="U3420" s="193"/>
      <c r="V3420" s="193"/>
      <c r="W3420" s="193"/>
      <c r="X3420" s="193"/>
      <c r="Y3420" s="193"/>
      <c r="Z3420" s="193"/>
      <c r="AC3420" s="193"/>
      <c r="AD3420" s="193"/>
      <c r="AE3420" s="193"/>
      <c r="AF3420" s="193"/>
    </row>
    <row r="3421" spans="21:32" x14ac:dyDescent="0.3">
      <c r="U3421" s="193"/>
      <c r="V3421" s="193"/>
      <c r="W3421" s="193"/>
      <c r="X3421" s="193"/>
      <c r="Y3421" s="193"/>
      <c r="Z3421" s="193"/>
      <c r="AC3421" s="193"/>
      <c r="AD3421" s="193"/>
      <c r="AE3421" s="193"/>
      <c r="AF3421" s="193"/>
    </row>
    <row r="3422" spans="21:32" x14ac:dyDescent="0.3">
      <c r="U3422" s="193"/>
      <c r="V3422" s="193"/>
      <c r="W3422" s="193"/>
      <c r="X3422" s="193"/>
      <c r="Y3422" s="193"/>
      <c r="Z3422" s="193"/>
      <c r="AC3422" s="193"/>
      <c r="AD3422" s="193"/>
      <c r="AE3422" s="193"/>
      <c r="AF3422" s="193"/>
    </row>
    <row r="3423" spans="21:32" x14ac:dyDescent="0.3">
      <c r="U3423" s="193"/>
      <c r="V3423" s="193"/>
      <c r="W3423" s="193"/>
      <c r="X3423" s="193"/>
      <c r="Y3423" s="193"/>
      <c r="Z3423" s="193"/>
      <c r="AC3423" s="193"/>
      <c r="AD3423" s="193"/>
      <c r="AE3423" s="193"/>
      <c r="AF3423" s="193"/>
    </row>
    <row r="3424" spans="21:32" x14ac:dyDescent="0.3">
      <c r="U3424" s="193"/>
      <c r="V3424" s="193"/>
      <c r="W3424" s="193"/>
      <c r="X3424" s="193"/>
      <c r="Y3424" s="193"/>
      <c r="Z3424" s="193"/>
      <c r="AC3424" s="193"/>
      <c r="AD3424" s="193"/>
      <c r="AE3424" s="193"/>
      <c r="AF3424" s="193"/>
    </row>
    <row r="3425" spans="21:32" x14ac:dyDescent="0.3">
      <c r="U3425" s="193"/>
      <c r="V3425" s="193"/>
      <c r="W3425" s="193"/>
      <c r="X3425" s="193"/>
      <c r="Y3425" s="193"/>
      <c r="Z3425" s="193"/>
      <c r="AC3425" s="193"/>
      <c r="AD3425" s="193"/>
      <c r="AE3425" s="193"/>
      <c r="AF3425" s="193"/>
    </row>
    <row r="3426" spans="21:32" x14ac:dyDescent="0.3">
      <c r="U3426" s="193"/>
      <c r="V3426" s="193"/>
      <c r="W3426" s="193"/>
      <c r="X3426" s="193"/>
      <c r="Y3426" s="193"/>
      <c r="Z3426" s="193"/>
      <c r="AC3426" s="193"/>
      <c r="AD3426" s="193"/>
      <c r="AE3426" s="193"/>
      <c r="AF3426" s="193"/>
    </row>
    <row r="3427" spans="21:32" x14ac:dyDescent="0.3">
      <c r="U3427" s="193"/>
      <c r="V3427" s="193"/>
      <c r="W3427" s="193"/>
      <c r="X3427" s="193"/>
      <c r="Y3427" s="193"/>
      <c r="Z3427" s="193"/>
      <c r="AC3427" s="193"/>
      <c r="AD3427" s="193"/>
      <c r="AE3427" s="193"/>
      <c r="AF3427" s="193"/>
    </row>
    <row r="3428" spans="21:32" x14ac:dyDescent="0.3">
      <c r="U3428" s="193"/>
      <c r="V3428" s="193"/>
      <c r="W3428" s="193"/>
      <c r="X3428" s="193"/>
      <c r="Y3428" s="193"/>
      <c r="Z3428" s="193"/>
      <c r="AC3428" s="193"/>
      <c r="AD3428" s="193"/>
      <c r="AE3428" s="193"/>
      <c r="AF3428" s="193"/>
    </row>
    <row r="3429" spans="21:32" x14ac:dyDescent="0.3">
      <c r="U3429" s="193"/>
      <c r="V3429" s="193"/>
      <c r="W3429" s="193"/>
      <c r="X3429" s="193"/>
      <c r="Y3429" s="193"/>
      <c r="Z3429" s="193"/>
      <c r="AC3429" s="193"/>
      <c r="AD3429" s="193"/>
      <c r="AE3429" s="193"/>
      <c r="AF3429" s="193"/>
    </row>
    <row r="3430" spans="21:32" x14ac:dyDescent="0.3">
      <c r="U3430" s="193"/>
      <c r="V3430" s="193"/>
      <c r="W3430" s="193"/>
      <c r="X3430" s="193"/>
      <c r="Y3430" s="193"/>
      <c r="Z3430" s="193"/>
      <c r="AC3430" s="193"/>
      <c r="AD3430" s="193"/>
      <c r="AE3430" s="193"/>
      <c r="AF3430" s="193"/>
    </row>
    <row r="3431" spans="21:32" x14ac:dyDescent="0.3">
      <c r="U3431" s="193"/>
      <c r="V3431" s="193"/>
      <c r="W3431" s="193"/>
      <c r="X3431" s="193"/>
      <c r="Y3431" s="193"/>
      <c r="Z3431" s="193"/>
      <c r="AC3431" s="193"/>
      <c r="AD3431" s="193"/>
      <c r="AE3431" s="193"/>
      <c r="AF3431" s="193"/>
    </row>
    <row r="3432" spans="21:32" x14ac:dyDescent="0.3">
      <c r="U3432" s="193"/>
      <c r="V3432" s="193"/>
      <c r="W3432" s="193"/>
      <c r="X3432" s="193"/>
      <c r="Y3432" s="193"/>
      <c r="Z3432" s="193"/>
      <c r="AC3432" s="193"/>
      <c r="AD3432" s="193"/>
      <c r="AE3432" s="193"/>
      <c r="AF3432" s="193"/>
    </row>
    <row r="3433" spans="21:32" x14ac:dyDescent="0.3">
      <c r="U3433" s="193"/>
      <c r="V3433" s="193"/>
      <c r="W3433" s="193"/>
      <c r="X3433" s="193"/>
      <c r="Y3433" s="193"/>
      <c r="Z3433" s="193"/>
      <c r="AC3433" s="193"/>
      <c r="AD3433" s="193"/>
      <c r="AE3433" s="193"/>
      <c r="AF3433" s="193"/>
    </row>
    <row r="3434" spans="21:32" x14ac:dyDescent="0.3">
      <c r="U3434" s="193"/>
      <c r="V3434" s="193"/>
      <c r="W3434" s="193"/>
      <c r="X3434" s="193"/>
      <c r="Y3434" s="193"/>
      <c r="Z3434" s="193"/>
      <c r="AC3434" s="193"/>
      <c r="AD3434" s="193"/>
      <c r="AE3434" s="193"/>
      <c r="AF3434" s="193"/>
    </row>
    <row r="3435" spans="21:32" x14ac:dyDescent="0.3">
      <c r="U3435" s="193"/>
      <c r="V3435" s="193"/>
      <c r="W3435" s="193"/>
      <c r="X3435" s="193"/>
      <c r="Y3435" s="193"/>
      <c r="Z3435" s="193"/>
      <c r="AC3435" s="193"/>
      <c r="AD3435" s="193"/>
      <c r="AE3435" s="193"/>
      <c r="AF3435" s="193"/>
    </row>
    <row r="3436" spans="21:32" x14ac:dyDescent="0.3">
      <c r="U3436" s="193"/>
      <c r="V3436" s="193"/>
      <c r="W3436" s="193"/>
      <c r="X3436" s="193"/>
      <c r="Y3436" s="193"/>
      <c r="Z3436" s="193"/>
      <c r="AC3436" s="193"/>
      <c r="AD3436" s="193"/>
      <c r="AE3436" s="193"/>
      <c r="AF3436" s="193"/>
    </row>
    <row r="3437" spans="21:32" x14ac:dyDescent="0.3">
      <c r="U3437" s="193"/>
      <c r="V3437" s="193"/>
      <c r="W3437" s="193"/>
      <c r="X3437" s="193"/>
      <c r="Y3437" s="193"/>
      <c r="Z3437" s="193"/>
      <c r="AC3437" s="193"/>
      <c r="AD3437" s="193"/>
      <c r="AE3437" s="193"/>
      <c r="AF3437" s="193"/>
    </row>
    <row r="3438" spans="21:32" x14ac:dyDescent="0.3">
      <c r="U3438" s="193"/>
      <c r="V3438" s="193"/>
      <c r="W3438" s="193"/>
      <c r="X3438" s="193"/>
      <c r="Y3438" s="193"/>
      <c r="Z3438" s="193"/>
      <c r="AC3438" s="193"/>
      <c r="AD3438" s="193"/>
      <c r="AE3438" s="193"/>
      <c r="AF3438" s="193"/>
    </row>
    <row r="3439" spans="21:32" x14ac:dyDescent="0.3">
      <c r="U3439" s="193"/>
      <c r="V3439" s="193"/>
      <c r="W3439" s="193"/>
      <c r="X3439" s="193"/>
      <c r="Y3439" s="193"/>
      <c r="Z3439" s="193"/>
      <c r="AC3439" s="193"/>
      <c r="AD3439" s="193"/>
      <c r="AE3439" s="193"/>
      <c r="AF3439" s="193"/>
    </row>
    <row r="3440" spans="21:32" x14ac:dyDescent="0.3">
      <c r="U3440" s="193"/>
      <c r="V3440" s="193"/>
      <c r="W3440" s="193"/>
      <c r="X3440" s="193"/>
      <c r="Y3440" s="193"/>
      <c r="Z3440" s="193"/>
      <c r="AC3440" s="193"/>
      <c r="AD3440" s="193"/>
      <c r="AE3440" s="193"/>
      <c r="AF3440" s="193"/>
    </row>
    <row r="3441" spans="21:32" x14ac:dyDescent="0.3">
      <c r="U3441" s="193"/>
      <c r="V3441" s="193"/>
      <c r="W3441" s="193"/>
      <c r="X3441" s="193"/>
      <c r="Y3441" s="193"/>
      <c r="Z3441" s="193"/>
      <c r="AC3441" s="193"/>
      <c r="AD3441" s="193"/>
      <c r="AE3441" s="193"/>
      <c r="AF3441" s="193"/>
    </row>
    <row r="3442" spans="21:32" x14ac:dyDescent="0.3">
      <c r="U3442" s="193"/>
      <c r="V3442" s="193"/>
      <c r="W3442" s="193"/>
      <c r="X3442" s="193"/>
      <c r="Y3442" s="193"/>
      <c r="Z3442" s="193"/>
      <c r="AC3442" s="193"/>
      <c r="AD3442" s="193"/>
      <c r="AE3442" s="193"/>
      <c r="AF3442" s="193"/>
    </row>
    <row r="3443" spans="21:32" x14ac:dyDescent="0.3">
      <c r="U3443" s="193"/>
      <c r="V3443" s="193"/>
      <c r="W3443" s="193"/>
      <c r="X3443" s="193"/>
      <c r="Y3443" s="193"/>
      <c r="Z3443" s="193"/>
      <c r="AC3443" s="193"/>
      <c r="AD3443" s="193"/>
      <c r="AE3443" s="193"/>
      <c r="AF3443" s="193"/>
    </row>
    <row r="3444" spans="21:32" x14ac:dyDescent="0.3">
      <c r="U3444" s="193"/>
      <c r="V3444" s="193"/>
      <c r="W3444" s="193"/>
      <c r="X3444" s="193"/>
      <c r="Y3444" s="193"/>
      <c r="Z3444" s="193"/>
      <c r="AC3444" s="193"/>
      <c r="AD3444" s="193"/>
      <c r="AE3444" s="193"/>
      <c r="AF3444" s="193"/>
    </row>
    <row r="3445" spans="21:32" x14ac:dyDescent="0.3">
      <c r="U3445" s="193"/>
      <c r="V3445" s="193"/>
      <c r="W3445" s="193"/>
      <c r="X3445" s="193"/>
      <c r="Y3445" s="193"/>
      <c r="Z3445" s="193"/>
      <c r="AC3445" s="193"/>
      <c r="AD3445" s="193"/>
      <c r="AE3445" s="193"/>
      <c r="AF3445" s="193"/>
    </row>
    <row r="3446" spans="21:32" x14ac:dyDescent="0.3">
      <c r="U3446" s="193"/>
      <c r="V3446" s="193"/>
      <c r="W3446" s="193"/>
      <c r="X3446" s="193"/>
      <c r="Y3446" s="193"/>
      <c r="Z3446" s="193"/>
      <c r="AC3446" s="193"/>
      <c r="AD3446" s="193"/>
      <c r="AE3446" s="193"/>
      <c r="AF3446" s="193"/>
    </row>
    <row r="3447" spans="21:32" x14ac:dyDescent="0.3">
      <c r="U3447" s="193"/>
      <c r="V3447" s="193"/>
      <c r="W3447" s="193"/>
      <c r="X3447" s="193"/>
      <c r="Y3447" s="193"/>
      <c r="Z3447" s="193"/>
      <c r="AC3447" s="193"/>
      <c r="AD3447" s="193"/>
      <c r="AE3447" s="193"/>
      <c r="AF3447" s="193"/>
    </row>
    <row r="3448" spans="21:32" x14ac:dyDescent="0.3">
      <c r="U3448" s="193"/>
      <c r="V3448" s="193"/>
      <c r="W3448" s="193"/>
      <c r="X3448" s="193"/>
      <c r="Y3448" s="193"/>
      <c r="Z3448" s="193"/>
      <c r="AC3448" s="193"/>
      <c r="AD3448" s="193"/>
      <c r="AE3448" s="193"/>
      <c r="AF3448" s="193"/>
    </row>
    <row r="3449" spans="21:32" x14ac:dyDescent="0.3">
      <c r="U3449" s="193"/>
      <c r="V3449" s="193"/>
      <c r="W3449" s="193"/>
      <c r="X3449" s="193"/>
      <c r="Y3449" s="193"/>
      <c r="Z3449" s="193"/>
      <c r="AC3449" s="193"/>
      <c r="AD3449" s="193"/>
      <c r="AE3449" s="193"/>
      <c r="AF3449" s="193"/>
    </row>
    <row r="3450" spans="21:32" x14ac:dyDescent="0.3">
      <c r="U3450" s="193"/>
      <c r="V3450" s="193"/>
      <c r="W3450" s="193"/>
      <c r="X3450" s="193"/>
      <c r="Y3450" s="193"/>
      <c r="Z3450" s="193"/>
      <c r="AC3450" s="193"/>
      <c r="AD3450" s="193"/>
      <c r="AE3450" s="193"/>
      <c r="AF3450" s="193"/>
    </row>
    <row r="3451" spans="21:32" x14ac:dyDescent="0.3">
      <c r="U3451" s="193"/>
      <c r="V3451" s="193"/>
      <c r="W3451" s="193"/>
      <c r="X3451" s="193"/>
      <c r="Y3451" s="193"/>
      <c r="Z3451" s="193"/>
      <c r="AC3451" s="193"/>
      <c r="AD3451" s="193"/>
      <c r="AE3451" s="193"/>
      <c r="AF3451" s="193"/>
    </row>
    <row r="3452" spans="21:32" x14ac:dyDescent="0.3">
      <c r="U3452" s="193"/>
      <c r="V3452" s="193"/>
      <c r="W3452" s="193"/>
      <c r="X3452" s="193"/>
      <c r="Y3452" s="193"/>
      <c r="Z3452" s="193"/>
      <c r="AC3452" s="193"/>
      <c r="AD3452" s="193"/>
      <c r="AE3452" s="193"/>
      <c r="AF3452" s="193"/>
    </row>
    <row r="3453" spans="21:32" x14ac:dyDescent="0.3">
      <c r="U3453" s="193"/>
      <c r="V3453" s="193"/>
      <c r="W3453" s="193"/>
      <c r="X3453" s="193"/>
      <c r="Y3453" s="193"/>
      <c r="Z3453" s="193"/>
      <c r="AC3453" s="193"/>
      <c r="AD3453" s="193"/>
      <c r="AE3453" s="193"/>
      <c r="AF3453" s="193"/>
    </row>
    <row r="3454" spans="21:32" x14ac:dyDescent="0.3">
      <c r="U3454" s="193"/>
      <c r="V3454" s="193"/>
      <c r="W3454" s="193"/>
      <c r="X3454" s="193"/>
      <c r="Y3454" s="193"/>
      <c r="Z3454" s="193"/>
      <c r="AC3454" s="193"/>
      <c r="AD3454" s="193"/>
      <c r="AE3454" s="193"/>
      <c r="AF3454" s="193"/>
    </row>
    <row r="3455" spans="21:32" x14ac:dyDescent="0.3">
      <c r="U3455" s="193"/>
      <c r="V3455" s="193"/>
      <c r="W3455" s="193"/>
      <c r="X3455" s="193"/>
      <c r="Y3455" s="193"/>
      <c r="Z3455" s="193"/>
      <c r="AC3455" s="193"/>
      <c r="AD3455" s="193"/>
      <c r="AE3455" s="193"/>
      <c r="AF3455" s="193"/>
    </row>
    <row r="3456" spans="21:32" x14ac:dyDescent="0.3">
      <c r="U3456" s="193"/>
      <c r="V3456" s="193"/>
      <c r="W3456" s="193"/>
      <c r="X3456" s="193"/>
      <c r="Y3456" s="193"/>
      <c r="Z3456" s="193"/>
      <c r="AC3456" s="193"/>
      <c r="AD3456" s="193"/>
      <c r="AE3456" s="193"/>
      <c r="AF3456" s="193"/>
    </row>
    <row r="3457" spans="21:32" x14ac:dyDescent="0.3">
      <c r="U3457" s="193"/>
      <c r="V3457" s="193"/>
      <c r="W3457" s="193"/>
      <c r="X3457" s="193"/>
      <c r="Y3457" s="193"/>
      <c r="Z3457" s="193"/>
      <c r="AC3457" s="193"/>
      <c r="AD3457" s="193"/>
      <c r="AE3457" s="193"/>
      <c r="AF3457" s="193"/>
    </row>
    <row r="3458" spans="21:32" x14ac:dyDescent="0.3">
      <c r="U3458" s="193"/>
      <c r="V3458" s="193"/>
      <c r="W3458" s="193"/>
      <c r="X3458" s="193"/>
      <c r="Y3458" s="193"/>
      <c r="Z3458" s="193"/>
      <c r="AC3458" s="193"/>
      <c r="AD3458" s="193"/>
      <c r="AE3458" s="193"/>
      <c r="AF3458" s="193"/>
    </row>
    <row r="3459" spans="21:32" x14ac:dyDescent="0.3">
      <c r="U3459" s="193"/>
      <c r="V3459" s="193"/>
      <c r="W3459" s="193"/>
      <c r="X3459" s="193"/>
      <c r="Y3459" s="193"/>
      <c r="Z3459" s="193"/>
      <c r="AC3459" s="193"/>
      <c r="AD3459" s="193"/>
      <c r="AE3459" s="193"/>
      <c r="AF3459" s="193"/>
    </row>
    <row r="3460" spans="21:32" x14ac:dyDescent="0.3">
      <c r="U3460" s="193"/>
      <c r="V3460" s="193"/>
      <c r="W3460" s="193"/>
      <c r="X3460" s="193"/>
      <c r="Y3460" s="193"/>
      <c r="Z3460" s="193"/>
      <c r="AC3460" s="193"/>
      <c r="AD3460" s="193"/>
      <c r="AE3460" s="193"/>
      <c r="AF3460" s="193"/>
    </row>
    <row r="3461" spans="21:32" x14ac:dyDescent="0.3">
      <c r="U3461" s="193"/>
      <c r="V3461" s="193"/>
      <c r="W3461" s="193"/>
      <c r="X3461" s="193"/>
      <c r="Y3461" s="193"/>
      <c r="Z3461" s="193"/>
      <c r="AC3461" s="193"/>
      <c r="AD3461" s="193"/>
      <c r="AE3461" s="193"/>
      <c r="AF3461" s="193"/>
    </row>
    <row r="3462" spans="21:32" x14ac:dyDescent="0.3">
      <c r="U3462" s="193"/>
      <c r="V3462" s="193"/>
      <c r="W3462" s="193"/>
      <c r="X3462" s="193"/>
      <c r="Y3462" s="193"/>
      <c r="Z3462" s="193"/>
      <c r="AC3462" s="193"/>
      <c r="AD3462" s="193"/>
      <c r="AE3462" s="193"/>
      <c r="AF3462" s="193"/>
    </row>
    <row r="3463" spans="21:32" x14ac:dyDescent="0.3">
      <c r="U3463" s="193"/>
      <c r="V3463" s="193"/>
      <c r="W3463" s="193"/>
      <c r="X3463" s="193"/>
      <c r="Y3463" s="193"/>
      <c r="Z3463" s="193"/>
      <c r="AC3463" s="193"/>
      <c r="AD3463" s="193"/>
      <c r="AE3463" s="193"/>
      <c r="AF3463" s="193"/>
    </row>
    <row r="3464" spans="21:32" x14ac:dyDescent="0.3">
      <c r="U3464" s="193"/>
      <c r="V3464" s="193"/>
      <c r="W3464" s="193"/>
      <c r="X3464" s="193"/>
      <c r="Y3464" s="193"/>
      <c r="Z3464" s="193"/>
      <c r="AC3464" s="193"/>
      <c r="AD3464" s="193"/>
      <c r="AE3464" s="193"/>
      <c r="AF3464" s="193"/>
    </row>
    <row r="3465" spans="21:32" x14ac:dyDescent="0.3">
      <c r="U3465" s="193"/>
      <c r="V3465" s="193"/>
      <c r="W3465" s="193"/>
      <c r="X3465" s="193"/>
      <c r="Y3465" s="193"/>
      <c r="Z3465" s="193"/>
      <c r="AC3465" s="193"/>
      <c r="AD3465" s="193"/>
      <c r="AE3465" s="193"/>
      <c r="AF3465" s="193"/>
    </row>
    <row r="3466" spans="21:32" x14ac:dyDescent="0.3">
      <c r="U3466" s="193"/>
      <c r="V3466" s="193"/>
      <c r="W3466" s="193"/>
      <c r="X3466" s="193"/>
      <c r="Y3466" s="193"/>
      <c r="Z3466" s="193"/>
      <c r="AC3466" s="193"/>
      <c r="AD3466" s="193"/>
      <c r="AE3466" s="193"/>
      <c r="AF3466" s="193"/>
    </row>
    <row r="3467" spans="21:32" x14ac:dyDescent="0.3">
      <c r="U3467" s="193"/>
      <c r="V3467" s="193"/>
      <c r="W3467" s="193"/>
      <c r="X3467" s="193"/>
      <c r="Y3467" s="193"/>
      <c r="Z3467" s="193"/>
      <c r="AC3467" s="193"/>
      <c r="AD3467" s="193"/>
      <c r="AE3467" s="193"/>
      <c r="AF3467" s="193"/>
    </row>
    <row r="3468" spans="21:32" x14ac:dyDescent="0.3">
      <c r="U3468" s="193"/>
      <c r="V3468" s="193"/>
      <c r="W3468" s="193"/>
      <c r="X3468" s="193"/>
      <c r="Y3468" s="193"/>
      <c r="Z3468" s="193"/>
      <c r="AC3468" s="193"/>
      <c r="AD3468" s="193"/>
      <c r="AE3468" s="193"/>
      <c r="AF3468" s="193"/>
    </row>
    <row r="3469" spans="21:32" x14ac:dyDescent="0.3">
      <c r="U3469" s="193"/>
      <c r="V3469" s="193"/>
      <c r="W3469" s="193"/>
      <c r="X3469" s="193"/>
      <c r="Y3469" s="193"/>
      <c r="Z3469" s="193"/>
      <c r="AC3469" s="193"/>
      <c r="AD3469" s="193"/>
      <c r="AE3469" s="193"/>
      <c r="AF3469" s="193"/>
    </row>
    <row r="3470" spans="21:32" x14ac:dyDescent="0.3">
      <c r="U3470" s="193"/>
      <c r="V3470" s="193"/>
      <c r="W3470" s="193"/>
      <c r="X3470" s="193"/>
      <c r="Y3470" s="193"/>
      <c r="Z3470" s="193"/>
      <c r="AC3470" s="193"/>
      <c r="AD3470" s="193"/>
      <c r="AE3470" s="193"/>
      <c r="AF3470" s="193"/>
    </row>
    <row r="3471" spans="21:32" x14ac:dyDescent="0.3">
      <c r="U3471" s="193"/>
      <c r="V3471" s="193"/>
      <c r="W3471" s="193"/>
      <c r="X3471" s="193"/>
      <c r="Y3471" s="193"/>
      <c r="Z3471" s="193"/>
      <c r="AC3471" s="193"/>
      <c r="AD3471" s="193"/>
      <c r="AE3471" s="193"/>
      <c r="AF3471" s="193"/>
    </row>
    <row r="3472" spans="21:32" x14ac:dyDescent="0.3">
      <c r="U3472" s="193"/>
      <c r="V3472" s="193"/>
      <c r="W3472" s="193"/>
      <c r="X3472" s="193"/>
      <c r="Y3472" s="193"/>
      <c r="Z3472" s="193"/>
      <c r="AC3472" s="193"/>
      <c r="AD3472" s="193"/>
      <c r="AE3472" s="193"/>
      <c r="AF3472" s="193"/>
    </row>
    <row r="3473" spans="21:32" x14ac:dyDescent="0.3">
      <c r="U3473" s="193"/>
      <c r="V3473" s="193"/>
      <c r="W3473" s="193"/>
      <c r="X3473" s="193"/>
      <c r="Y3473" s="193"/>
      <c r="Z3473" s="193"/>
      <c r="AC3473" s="193"/>
      <c r="AD3473" s="193"/>
      <c r="AE3473" s="193"/>
      <c r="AF3473" s="193"/>
    </row>
    <row r="3474" spans="21:32" x14ac:dyDescent="0.3">
      <c r="U3474" s="193"/>
      <c r="V3474" s="193"/>
      <c r="W3474" s="193"/>
      <c r="X3474" s="193"/>
      <c r="Y3474" s="193"/>
      <c r="Z3474" s="193"/>
      <c r="AC3474" s="193"/>
      <c r="AD3474" s="193"/>
      <c r="AE3474" s="193"/>
      <c r="AF3474" s="193"/>
    </row>
    <row r="3475" spans="21:32" x14ac:dyDescent="0.3">
      <c r="U3475" s="193"/>
      <c r="V3475" s="193"/>
      <c r="W3475" s="193"/>
      <c r="X3475" s="193"/>
      <c r="Y3475" s="193"/>
      <c r="Z3475" s="193"/>
      <c r="AC3475" s="193"/>
      <c r="AD3475" s="193"/>
      <c r="AE3475" s="193"/>
      <c r="AF3475" s="193"/>
    </row>
    <row r="3476" spans="21:32" x14ac:dyDescent="0.3">
      <c r="U3476" s="193"/>
      <c r="V3476" s="193"/>
      <c r="W3476" s="193"/>
      <c r="X3476" s="193"/>
      <c r="Y3476" s="193"/>
      <c r="Z3476" s="193"/>
      <c r="AC3476" s="193"/>
      <c r="AD3476" s="193"/>
      <c r="AE3476" s="193"/>
      <c r="AF3476" s="193"/>
    </row>
    <row r="3477" spans="21:32" x14ac:dyDescent="0.3">
      <c r="U3477" s="193"/>
      <c r="V3477" s="193"/>
      <c r="W3477" s="193"/>
      <c r="X3477" s="193"/>
      <c r="Y3477" s="193"/>
      <c r="Z3477" s="193"/>
      <c r="AC3477" s="193"/>
      <c r="AD3477" s="193"/>
      <c r="AE3477" s="193"/>
      <c r="AF3477" s="193"/>
    </row>
    <row r="3478" spans="21:32" x14ac:dyDescent="0.3">
      <c r="U3478" s="193"/>
      <c r="V3478" s="193"/>
      <c r="W3478" s="193"/>
      <c r="X3478" s="193"/>
      <c r="Y3478" s="193"/>
      <c r="Z3478" s="193"/>
      <c r="AC3478" s="193"/>
      <c r="AD3478" s="193"/>
      <c r="AE3478" s="193"/>
      <c r="AF3478" s="193"/>
    </row>
    <row r="3479" spans="21:32" x14ac:dyDescent="0.3">
      <c r="U3479" s="193"/>
      <c r="V3479" s="193"/>
      <c r="W3479" s="193"/>
      <c r="X3479" s="193"/>
      <c r="Y3479" s="193"/>
      <c r="Z3479" s="193"/>
      <c r="AC3479" s="193"/>
      <c r="AD3479" s="193"/>
      <c r="AE3479" s="193"/>
      <c r="AF3479" s="193"/>
    </row>
    <row r="3480" spans="21:32" x14ac:dyDescent="0.3">
      <c r="U3480" s="193"/>
      <c r="V3480" s="193"/>
      <c r="W3480" s="193"/>
      <c r="X3480" s="193"/>
      <c r="Y3480" s="193"/>
      <c r="Z3480" s="193"/>
      <c r="AC3480" s="193"/>
      <c r="AD3480" s="193"/>
      <c r="AE3480" s="193"/>
      <c r="AF3480" s="193"/>
    </row>
    <row r="3481" spans="21:32" x14ac:dyDescent="0.3">
      <c r="U3481" s="193"/>
      <c r="V3481" s="193"/>
      <c r="W3481" s="193"/>
      <c r="X3481" s="193"/>
      <c r="Y3481" s="193"/>
      <c r="Z3481" s="193"/>
      <c r="AC3481" s="193"/>
      <c r="AD3481" s="193"/>
      <c r="AE3481" s="193"/>
      <c r="AF3481" s="193"/>
    </row>
    <row r="3482" spans="21:32" x14ac:dyDescent="0.3">
      <c r="U3482" s="193"/>
      <c r="V3482" s="193"/>
      <c r="W3482" s="193"/>
      <c r="X3482" s="193"/>
      <c r="Y3482" s="193"/>
      <c r="Z3482" s="193"/>
      <c r="AC3482" s="193"/>
      <c r="AD3482" s="193"/>
      <c r="AE3482" s="193"/>
      <c r="AF3482" s="193"/>
    </row>
    <row r="3483" spans="21:32" x14ac:dyDescent="0.3">
      <c r="U3483" s="193"/>
      <c r="V3483" s="193"/>
      <c r="W3483" s="193"/>
      <c r="X3483" s="193"/>
      <c r="Y3483" s="193"/>
      <c r="Z3483" s="193"/>
      <c r="AC3483" s="193"/>
      <c r="AD3483" s="193"/>
      <c r="AE3483" s="193"/>
      <c r="AF3483" s="193"/>
    </row>
    <row r="3484" spans="21:32" x14ac:dyDescent="0.3">
      <c r="U3484" s="193"/>
      <c r="V3484" s="193"/>
      <c r="W3484" s="193"/>
      <c r="X3484" s="193"/>
      <c r="Y3484" s="193"/>
      <c r="Z3484" s="193"/>
      <c r="AC3484" s="193"/>
      <c r="AD3484" s="193"/>
      <c r="AE3484" s="193"/>
      <c r="AF3484" s="193"/>
    </row>
    <row r="3485" spans="21:32" x14ac:dyDescent="0.3">
      <c r="U3485" s="193"/>
      <c r="V3485" s="193"/>
      <c r="W3485" s="193"/>
      <c r="X3485" s="193"/>
      <c r="Y3485" s="193"/>
      <c r="Z3485" s="193"/>
      <c r="AC3485" s="193"/>
      <c r="AD3485" s="193"/>
      <c r="AE3485" s="193"/>
      <c r="AF3485" s="193"/>
    </row>
    <row r="3486" spans="21:32" x14ac:dyDescent="0.3">
      <c r="U3486" s="193"/>
      <c r="V3486" s="193"/>
      <c r="W3486" s="193"/>
      <c r="X3486" s="193"/>
      <c r="Y3486" s="193"/>
      <c r="Z3486" s="193"/>
      <c r="AC3486" s="193"/>
      <c r="AD3486" s="193"/>
      <c r="AE3486" s="193"/>
      <c r="AF3486" s="193"/>
    </row>
    <row r="3487" spans="21:32" x14ac:dyDescent="0.3">
      <c r="U3487" s="193"/>
      <c r="V3487" s="193"/>
      <c r="W3487" s="193"/>
      <c r="X3487" s="193"/>
      <c r="Y3487" s="193"/>
      <c r="Z3487" s="193"/>
      <c r="AC3487" s="193"/>
      <c r="AD3487" s="193"/>
      <c r="AE3487" s="193"/>
      <c r="AF3487" s="193"/>
    </row>
    <row r="3488" spans="21:32" x14ac:dyDescent="0.3">
      <c r="U3488" s="193"/>
      <c r="V3488" s="193"/>
      <c r="W3488" s="193"/>
      <c r="X3488" s="193"/>
      <c r="Y3488" s="193"/>
      <c r="Z3488" s="193"/>
      <c r="AC3488" s="193"/>
      <c r="AD3488" s="193"/>
      <c r="AE3488" s="193"/>
      <c r="AF3488" s="193"/>
    </row>
    <row r="3489" spans="21:32" x14ac:dyDescent="0.3">
      <c r="U3489" s="193"/>
      <c r="V3489" s="193"/>
      <c r="W3489" s="193"/>
      <c r="X3489" s="193"/>
      <c r="Y3489" s="193"/>
      <c r="Z3489" s="193"/>
      <c r="AC3489" s="193"/>
      <c r="AD3489" s="193"/>
      <c r="AE3489" s="193"/>
      <c r="AF3489" s="193"/>
    </row>
    <row r="3490" spans="21:32" x14ac:dyDescent="0.3">
      <c r="U3490" s="193"/>
      <c r="V3490" s="193"/>
      <c r="W3490" s="193"/>
      <c r="X3490" s="193"/>
      <c r="Y3490" s="193"/>
      <c r="Z3490" s="193"/>
      <c r="AC3490" s="193"/>
      <c r="AD3490" s="193"/>
      <c r="AE3490" s="193"/>
      <c r="AF3490" s="193"/>
    </row>
    <row r="3491" spans="21:32" x14ac:dyDescent="0.3">
      <c r="U3491" s="193"/>
      <c r="V3491" s="193"/>
      <c r="W3491" s="193"/>
      <c r="X3491" s="193"/>
      <c r="Y3491" s="193"/>
      <c r="Z3491" s="193"/>
      <c r="AC3491" s="193"/>
      <c r="AD3491" s="193"/>
      <c r="AE3491" s="193"/>
      <c r="AF3491" s="193"/>
    </row>
    <row r="3492" spans="21:32" x14ac:dyDescent="0.3">
      <c r="U3492" s="193"/>
      <c r="V3492" s="193"/>
      <c r="W3492" s="193"/>
      <c r="X3492" s="193"/>
      <c r="Y3492" s="193"/>
      <c r="Z3492" s="193"/>
      <c r="AC3492" s="193"/>
      <c r="AD3492" s="193"/>
      <c r="AE3492" s="193"/>
      <c r="AF3492" s="193"/>
    </row>
    <row r="3493" spans="21:32" x14ac:dyDescent="0.3">
      <c r="U3493" s="193"/>
      <c r="V3493" s="193"/>
      <c r="W3493" s="193"/>
      <c r="X3493" s="193"/>
      <c r="Y3493" s="193"/>
      <c r="Z3493" s="193"/>
      <c r="AC3493" s="193"/>
      <c r="AD3493" s="193"/>
      <c r="AE3493" s="193"/>
      <c r="AF3493" s="193"/>
    </row>
    <row r="3494" spans="21:32" x14ac:dyDescent="0.3">
      <c r="U3494" s="193"/>
      <c r="V3494" s="193"/>
      <c r="W3494" s="193"/>
      <c r="X3494" s="193"/>
      <c r="Y3494" s="193"/>
      <c r="Z3494" s="193"/>
      <c r="AC3494" s="193"/>
      <c r="AD3494" s="193"/>
      <c r="AE3494" s="193"/>
      <c r="AF3494" s="193"/>
    </row>
    <row r="3495" spans="21:32" x14ac:dyDescent="0.3">
      <c r="U3495" s="193"/>
      <c r="V3495" s="193"/>
      <c r="W3495" s="193"/>
      <c r="X3495" s="193"/>
      <c r="Y3495" s="193"/>
      <c r="Z3495" s="193"/>
      <c r="AC3495" s="193"/>
      <c r="AD3495" s="193"/>
      <c r="AE3495" s="193"/>
      <c r="AF3495" s="193"/>
    </row>
    <row r="3496" spans="21:32" x14ac:dyDescent="0.3">
      <c r="U3496" s="193"/>
      <c r="V3496" s="193"/>
      <c r="W3496" s="193"/>
      <c r="X3496" s="193"/>
      <c r="Y3496" s="193"/>
      <c r="Z3496" s="193"/>
      <c r="AC3496" s="193"/>
      <c r="AD3496" s="193"/>
      <c r="AE3496" s="193"/>
      <c r="AF3496" s="193"/>
    </row>
    <row r="3497" spans="21:32" x14ac:dyDescent="0.3">
      <c r="U3497" s="193"/>
      <c r="V3497" s="193"/>
      <c r="W3497" s="193"/>
      <c r="X3497" s="193"/>
      <c r="Y3497" s="193"/>
      <c r="Z3497" s="193"/>
      <c r="AC3497" s="193"/>
      <c r="AD3497" s="193"/>
      <c r="AE3497" s="193"/>
      <c r="AF3497" s="193"/>
    </row>
    <row r="3498" spans="21:32" x14ac:dyDescent="0.3">
      <c r="U3498" s="193"/>
      <c r="V3498" s="193"/>
      <c r="W3498" s="193"/>
      <c r="X3498" s="193"/>
      <c r="Y3498" s="193"/>
      <c r="Z3498" s="193"/>
      <c r="AC3498" s="193"/>
      <c r="AD3498" s="193"/>
      <c r="AE3498" s="193"/>
      <c r="AF3498" s="193"/>
    </row>
    <row r="3499" spans="21:32" x14ac:dyDescent="0.3">
      <c r="U3499" s="193"/>
      <c r="V3499" s="193"/>
      <c r="W3499" s="193"/>
      <c r="X3499" s="193"/>
      <c r="Y3499" s="193"/>
      <c r="Z3499" s="193"/>
      <c r="AC3499" s="193"/>
      <c r="AD3499" s="193"/>
      <c r="AE3499" s="193"/>
      <c r="AF3499" s="193"/>
    </row>
    <row r="3500" spans="21:32" x14ac:dyDescent="0.3">
      <c r="U3500" s="193"/>
      <c r="V3500" s="193"/>
      <c r="W3500" s="193"/>
      <c r="X3500" s="193"/>
      <c r="Y3500" s="193"/>
      <c r="Z3500" s="193"/>
      <c r="AC3500" s="193"/>
      <c r="AD3500" s="193"/>
      <c r="AE3500" s="193"/>
      <c r="AF3500" s="193"/>
    </row>
    <row r="3501" spans="21:32" x14ac:dyDescent="0.3">
      <c r="U3501" s="193"/>
      <c r="V3501" s="193"/>
      <c r="W3501" s="193"/>
      <c r="X3501" s="193"/>
      <c r="Y3501" s="193"/>
      <c r="Z3501" s="193"/>
      <c r="AC3501" s="193"/>
      <c r="AD3501" s="193"/>
      <c r="AE3501" s="193"/>
      <c r="AF3501" s="193"/>
    </row>
    <row r="3502" spans="21:32" x14ac:dyDescent="0.3">
      <c r="U3502" s="193"/>
      <c r="V3502" s="193"/>
      <c r="W3502" s="193"/>
      <c r="X3502" s="193"/>
      <c r="Y3502" s="193"/>
      <c r="Z3502" s="193"/>
      <c r="AC3502" s="193"/>
      <c r="AD3502" s="193"/>
      <c r="AE3502" s="193"/>
      <c r="AF3502" s="193"/>
    </row>
    <row r="3503" spans="21:32" x14ac:dyDescent="0.3">
      <c r="U3503" s="193"/>
      <c r="V3503" s="193"/>
      <c r="W3503" s="193"/>
      <c r="X3503" s="193"/>
      <c r="Y3503" s="193"/>
      <c r="Z3503" s="193"/>
      <c r="AC3503" s="193"/>
      <c r="AD3503" s="193"/>
      <c r="AE3503" s="193"/>
      <c r="AF3503" s="193"/>
    </row>
    <row r="3504" spans="21:32" x14ac:dyDescent="0.3">
      <c r="U3504" s="193"/>
      <c r="V3504" s="193"/>
      <c r="W3504" s="193"/>
      <c r="X3504" s="193"/>
      <c r="Y3504" s="193"/>
      <c r="Z3504" s="193"/>
      <c r="AC3504" s="193"/>
      <c r="AD3504" s="193"/>
      <c r="AE3504" s="193"/>
      <c r="AF3504" s="193"/>
    </row>
    <row r="3505" spans="21:32" x14ac:dyDescent="0.3">
      <c r="U3505" s="193"/>
      <c r="V3505" s="193"/>
      <c r="W3505" s="193"/>
      <c r="X3505" s="193"/>
      <c r="Y3505" s="193"/>
      <c r="Z3505" s="193"/>
      <c r="AC3505" s="193"/>
      <c r="AD3505" s="193"/>
      <c r="AE3505" s="193"/>
      <c r="AF3505" s="193"/>
    </row>
    <row r="3506" spans="21:32" x14ac:dyDescent="0.3">
      <c r="U3506" s="193"/>
      <c r="V3506" s="193"/>
      <c r="W3506" s="193"/>
      <c r="X3506" s="193"/>
      <c r="Y3506" s="193"/>
      <c r="Z3506" s="193"/>
      <c r="AC3506" s="193"/>
      <c r="AD3506" s="193"/>
      <c r="AE3506" s="193"/>
      <c r="AF3506" s="193"/>
    </row>
    <row r="3507" spans="21:32" x14ac:dyDescent="0.3">
      <c r="U3507" s="193"/>
      <c r="V3507" s="193"/>
      <c r="W3507" s="193"/>
      <c r="X3507" s="193"/>
      <c r="Y3507" s="193"/>
      <c r="Z3507" s="193"/>
      <c r="AC3507" s="193"/>
      <c r="AD3507" s="193"/>
      <c r="AE3507" s="193"/>
      <c r="AF3507" s="193"/>
    </row>
    <row r="3508" spans="21:32" x14ac:dyDescent="0.3">
      <c r="U3508" s="193"/>
      <c r="V3508" s="193"/>
      <c r="W3508" s="193"/>
      <c r="X3508" s="193"/>
      <c r="Y3508" s="193"/>
      <c r="Z3508" s="193"/>
      <c r="AC3508" s="193"/>
      <c r="AD3508" s="193"/>
      <c r="AE3508" s="193"/>
      <c r="AF3508" s="193"/>
    </row>
    <row r="3509" spans="21:32" x14ac:dyDescent="0.3">
      <c r="U3509" s="193"/>
      <c r="V3509" s="193"/>
      <c r="W3509" s="193"/>
      <c r="X3509" s="193"/>
      <c r="Y3509" s="193"/>
      <c r="Z3509" s="193"/>
      <c r="AC3509" s="193"/>
      <c r="AD3509" s="193"/>
      <c r="AE3509" s="193"/>
      <c r="AF3509" s="193"/>
    </row>
    <row r="3510" spans="21:32" x14ac:dyDescent="0.3">
      <c r="U3510" s="193"/>
      <c r="V3510" s="193"/>
      <c r="W3510" s="193"/>
      <c r="X3510" s="193"/>
      <c r="Y3510" s="193"/>
      <c r="Z3510" s="193"/>
      <c r="AC3510" s="193"/>
      <c r="AD3510" s="193"/>
      <c r="AE3510" s="193"/>
      <c r="AF3510" s="193"/>
    </row>
    <row r="3511" spans="21:32" x14ac:dyDescent="0.3">
      <c r="U3511" s="193"/>
      <c r="V3511" s="193"/>
      <c r="W3511" s="193"/>
      <c r="X3511" s="193"/>
      <c r="Y3511" s="193"/>
      <c r="Z3511" s="193"/>
      <c r="AC3511" s="193"/>
      <c r="AD3511" s="193"/>
      <c r="AE3511" s="193"/>
      <c r="AF3511" s="193"/>
    </row>
    <row r="3512" spans="21:32" x14ac:dyDescent="0.3">
      <c r="U3512" s="193"/>
      <c r="V3512" s="193"/>
      <c r="W3512" s="193"/>
      <c r="X3512" s="193"/>
      <c r="Y3512" s="193"/>
      <c r="Z3512" s="193"/>
      <c r="AC3512" s="193"/>
      <c r="AD3512" s="193"/>
      <c r="AE3512" s="193"/>
      <c r="AF3512" s="193"/>
    </row>
    <row r="3513" spans="21:32" x14ac:dyDescent="0.3">
      <c r="U3513" s="193"/>
      <c r="V3513" s="193"/>
      <c r="W3513" s="193"/>
      <c r="X3513" s="193"/>
      <c r="Y3513" s="193"/>
      <c r="Z3513" s="193"/>
      <c r="AC3513" s="193"/>
      <c r="AD3513" s="193"/>
      <c r="AE3513" s="193"/>
      <c r="AF3513" s="193"/>
    </row>
    <row r="3514" spans="21:32" x14ac:dyDescent="0.3">
      <c r="U3514" s="193"/>
      <c r="V3514" s="193"/>
      <c r="W3514" s="193"/>
      <c r="X3514" s="193"/>
      <c r="Y3514" s="193"/>
      <c r="Z3514" s="193"/>
      <c r="AC3514" s="193"/>
      <c r="AD3514" s="193"/>
      <c r="AE3514" s="193"/>
      <c r="AF3514" s="193"/>
    </row>
    <row r="3515" spans="21:32" x14ac:dyDescent="0.3">
      <c r="U3515" s="193"/>
      <c r="V3515" s="193"/>
      <c r="W3515" s="193"/>
      <c r="X3515" s="193"/>
      <c r="Y3515" s="193"/>
      <c r="Z3515" s="193"/>
      <c r="AC3515" s="193"/>
      <c r="AD3515" s="193"/>
      <c r="AE3515" s="193"/>
      <c r="AF3515" s="193"/>
    </row>
    <row r="3516" spans="21:32" x14ac:dyDescent="0.3">
      <c r="U3516" s="193"/>
      <c r="V3516" s="193"/>
      <c r="W3516" s="193"/>
      <c r="X3516" s="193"/>
      <c r="Y3516" s="193"/>
      <c r="Z3516" s="193"/>
      <c r="AC3516" s="193"/>
      <c r="AD3516" s="193"/>
      <c r="AE3516" s="193"/>
      <c r="AF3516" s="193"/>
    </row>
    <row r="3517" spans="21:32" x14ac:dyDescent="0.3">
      <c r="U3517" s="193"/>
      <c r="V3517" s="193"/>
      <c r="W3517" s="193"/>
      <c r="X3517" s="193"/>
      <c r="Y3517" s="193"/>
      <c r="Z3517" s="193"/>
      <c r="AC3517" s="193"/>
      <c r="AD3517" s="193"/>
      <c r="AE3517" s="193"/>
      <c r="AF3517" s="193"/>
    </row>
    <row r="3518" spans="21:32" x14ac:dyDescent="0.3">
      <c r="U3518" s="193"/>
      <c r="V3518" s="193"/>
      <c r="W3518" s="193"/>
      <c r="X3518" s="193"/>
      <c r="Y3518" s="193"/>
      <c r="Z3518" s="193"/>
      <c r="AC3518" s="193"/>
      <c r="AD3518" s="193"/>
      <c r="AE3518" s="193"/>
      <c r="AF3518" s="193"/>
    </row>
    <row r="3519" spans="21:32" x14ac:dyDescent="0.3">
      <c r="U3519" s="193"/>
      <c r="V3519" s="193"/>
      <c r="W3519" s="193"/>
      <c r="X3519" s="193"/>
      <c r="Y3519" s="193"/>
      <c r="Z3519" s="193"/>
      <c r="AC3519" s="193"/>
      <c r="AD3519" s="193"/>
      <c r="AE3519" s="193"/>
      <c r="AF3519" s="193"/>
    </row>
    <row r="3520" spans="21:32" x14ac:dyDescent="0.3">
      <c r="U3520" s="193"/>
      <c r="V3520" s="193"/>
      <c r="W3520" s="193"/>
      <c r="X3520" s="193"/>
      <c r="Y3520" s="193"/>
      <c r="Z3520" s="193"/>
      <c r="AC3520" s="193"/>
      <c r="AD3520" s="193"/>
      <c r="AE3520" s="193"/>
      <c r="AF3520" s="193"/>
    </row>
    <row r="3521" spans="21:32" x14ac:dyDescent="0.3">
      <c r="U3521" s="193"/>
      <c r="V3521" s="193"/>
      <c r="W3521" s="193"/>
      <c r="X3521" s="193"/>
      <c r="Y3521" s="193"/>
      <c r="Z3521" s="193"/>
      <c r="AC3521" s="193"/>
      <c r="AD3521" s="193"/>
      <c r="AE3521" s="193"/>
      <c r="AF3521" s="193"/>
    </row>
    <row r="3522" spans="21:32" x14ac:dyDescent="0.3">
      <c r="U3522" s="193"/>
      <c r="V3522" s="193"/>
      <c r="W3522" s="193"/>
      <c r="X3522" s="193"/>
      <c r="Y3522" s="193"/>
      <c r="Z3522" s="193"/>
      <c r="AC3522" s="193"/>
      <c r="AD3522" s="193"/>
      <c r="AE3522" s="193"/>
      <c r="AF3522" s="193"/>
    </row>
    <row r="3523" spans="21:32" x14ac:dyDescent="0.3">
      <c r="U3523" s="193"/>
      <c r="V3523" s="193"/>
      <c r="W3523" s="193"/>
      <c r="X3523" s="193"/>
      <c r="Y3523" s="193"/>
      <c r="Z3523" s="193"/>
      <c r="AC3523" s="193"/>
      <c r="AD3523" s="193"/>
      <c r="AE3523" s="193"/>
      <c r="AF3523" s="193"/>
    </row>
    <row r="3524" spans="21:32" x14ac:dyDescent="0.3">
      <c r="U3524" s="193"/>
      <c r="V3524" s="193"/>
      <c r="W3524" s="193"/>
      <c r="X3524" s="193"/>
      <c r="Y3524" s="193"/>
      <c r="Z3524" s="193"/>
      <c r="AC3524" s="193"/>
      <c r="AD3524" s="193"/>
      <c r="AE3524" s="193"/>
      <c r="AF3524" s="193"/>
    </row>
    <row r="3525" spans="21:32" x14ac:dyDescent="0.3">
      <c r="U3525" s="193"/>
      <c r="V3525" s="193"/>
      <c r="W3525" s="193"/>
      <c r="X3525" s="193"/>
      <c r="Y3525" s="193"/>
      <c r="Z3525" s="193"/>
      <c r="AC3525" s="193"/>
      <c r="AD3525" s="193"/>
      <c r="AE3525" s="193"/>
      <c r="AF3525" s="193"/>
    </row>
    <row r="3526" spans="21:32" x14ac:dyDescent="0.3">
      <c r="U3526" s="193"/>
      <c r="V3526" s="193"/>
      <c r="W3526" s="193"/>
      <c r="X3526" s="193"/>
      <c r="Y3526" s="193"/>
      <c r="Z3526" s="193"/>
      <c r="AC3526" s="193"/>
      <c r="AD3526" s="193"/>
      <c r="AE3526" s="193"/>
      <c r="AF3526" s="193"/>
    </row>
    <row r="3527" spans="21:32" x14ac:dyDescent="0.3">
      <c r="U3527" s="193"/>
      <c r="V3527" s="193"/>
      <c r="W3527" s="193"/>
      <c r="X3527" s="193"/>
      <c r="Y3527" s="193"/>
      <c r="Z3527" s="193"/>
      <c r="AC3527" s="193"/>
      <c r="AD3527" s="193"/>
      <c r="AE3527" s="193"/>
      <c r="AF3527" s="193"/>
    </row>
    <row r="3528" spans="21:32" x14ac:dyDescent="0.3">
      <c r="U3528" s="193"/>
      <c r="V3528" s="193"/>
      <c r="W3528" s="193"/>
      <c r="X3528" s="193"/>
      <c r="Y3528" s="193"/>
      <c r="Z3528" s="193"/>
      <c r="AC3528" s="193"/>
      <c r="AD3528" s="193"/>
      <c r="AE3528" s="193"/>
      <c r="AF3528" s="193"/>
    </row>
    <row r="3529" spans="21:32" x14ac:dyDescent="0.3">
      <c r="U3529" s="193"/>
      <c r="V3529" s="193"/>
      <c r="W3529" s="193"/>
      <c r="X3529" s="193"/>
      <c r="Y3529" s="193"/>
      <c r="Z3529" s="193"/>
      <c r="AC3529" s="193"/>
      <c r="AD3529" s="193"/>
      <c r="AE3529" s="193"/>
      <c r="AF3529" s="193"/>
    </row>
    <row r="3530" spans="21:32" x14ac:dyDescent="0.3">
      <c r="U3530" s="193"/>
      <c r="V3530" s="193"/>
      <c r="W3530" s="193"/>
      <c r="X3530" s="193"/>
      <c r="Y3530" s="193"/>
      <c r="Z3530" s="193"/>
      <c r="AC3530" s="193"/>
      <c r="AD3530" s="193"/>
      <c r="AE3530" s="193"/>
      <c r="AF3530" s="193"/>
    </row>
    <row r="3531" spans="21:32" x14ac:dyDescent="0.3">
      <c r="U3531" s="193"/>
      <c r="V3531" s="193"/>
      <c r="W3531" s="193"/>
      <c r="X3531" s="193"/>
      <c r="Y3531" s="193"/>
      <c r="Z3531" s="193"/>
      <c r="AC3531" s="193"/>
      <c r="AD3531" s="193"/>
      <c r="AE3531" s="193"/>
      <c r="AF3531" s="193"/>
    </row>
    <row r="3532" spans="21:32" x14ac:dyDescent="0.3">
      <c r="U3532" s="193"/>
      <c r="V3532" s="193"/>
      <c r="W3532" s="193"/>
      <c r="X3532" s="193"/>
      <c r="Y3532" s="193"/>
      <c r="Z3532" s="193"/>
      <c r="AC3532" s="193"/>
      <c r="AD3532" s="193"/>
      <c r="AE3532" s="193"/>
      <c r="AF3532" s="193"/>
    </row>
    <row r="3533" spans="21:32" x14ac:dyDescent="0.3">
      <c r="U3533" s="193"/>
      <c r="V3533" s="193"/>
      <c r="W3533" s="193"/>
      <c r="X3533" s="193"/>
      <c r="Y3533" s="193"/>
      <c r="Z3533" s="193"/>
      <c r="AC3533" s="193"/>
      <c r="AD3533" s="193"/>
      <c r="AE3533" s="193"/>
      <c r="AF3533" s="193"/>
    </row>
    <row r="3534" spans="21:32" x14ac:dyDescent="0.3">
      <c r="U3534" s="193"/>
      <c r="V3534" s="193"/>
      <c r="W3534" s="193"/>
      <c r="X3534" s="193"/>
      <c r="Y3534" s="193"/>
      <c r="Z3534" s="193"/>
      <c r="AC3534" s="193"/>
      <c r="AD3534" s="193"/>
      <c r="AE3534" s="193"/>
      <c r="AF3534" s="193"/>
    </row>
    <row r="3535" spans="21:32" x14ac:dyDescent="0.3">
      <c r="U3535" s="193"/>
      <c r="V3535" s="193"/>
      <c r="W3535" s="193"/>
      <c r="X3535" s="193"/>
      <c r="Y3535" s="193"/>
      <c r="Z3535" s="193"/>
      <c r="AC3535" s="193"/>
      <c r="AD3535" s="193"/>
      <c r="AE3535" s="193"/>
      <c r="AF3535" s="193"/>
    </row>
    <row r="3536" spans="21:32" x14ac:dyDescent="0.3">
      <c r="U3536" s="193"/>
      <c r="V3536" s="193"/>
      <c r="W3536" s="193"/>
      <c r="X3536" s="193"/>
      <c r="Y3536" s="193"/>
      <c r="Z3536" s="193"/>
      <c r="AC3536" s="193"/>
      <c r="AD3536" s="193"/>
      <c r="AE3536" s="193"/>
      <c r="AF3536" s="193"/>
    </row>
    <row r="3537" spans="21:32" x14ac:dyDescent="0.3">
      <c r="U3537" s="193"/>
      <c r="V3537" s="193"/>
      <c r="W3537" s="193"/>
      <c r="X3537" s="193"/>
      <c r="Y3537" s="193"/>
      <c r="Z3537" s="193"/>
      <c r="AC3537" s="193"/>
      <c r="AD3537" s="193"/>
      <c r="AE3537" s="193"/>
      <c r="AF3537" s="193"/>
    </row>
    <row r="3538" spans="21:32" x14ac:dyDescent="0.3">
      <c r="U3538" s="193"/>
      <c r="V3538" s="193"/>
      <c r="W3538" s="193"/>
      <c r="X3538" s="193"/>
      <c r="Y3538" s="193"/>
      <c r="Z3538" s="193"/>
      <c r="AC3538" s="193"/>
      <c r="AD3538" s="193"/>
      <c r="AE3538" s="193"/>
      <c r="AF3538" s="193"/>
    </row>
    <row r="3539" spans="21:32" x14ac:dyDescent="0.3">
      <c r="U3539" s="193"/>
      <c r="V3539" s="193"/>
      <c r="W3539" s="193"/>
      <c r="X3539" s="193"/>
      <c r="Y3539" s="193"/>
      <c r="Z3539" s="193"/>
      <c r="AC3539" s="193"/>
      <c r="AD3539" s="193"/>
      <c r="AE3539" s="193"/>
      <c r="AF3539" s="193"/>
    </row>
    <row r="3540" spans="21:32" x14ac:dyDescent="0.3">
      <c r="U3540" s="193"/>
      <c r="V3540" s="193"/>
      <c r="W3540" s="193"/>
      <c r="X3540" s="193"/>
      <c r="Y3540" s="193"/>
      <c r="Z3540" s="193"/>
      <c r="AC3540" s="193"/>
      <c r="AD3540" s="193"/>
      <c r="AE3540" s="193"/>
      <c r="AF3540" s="193"/>
    </row>
    <row r="3541" spans="21:32" x14ac:dyDescent="0.3">
      <c r="U3541" s="193"/>
      <c r="V3541" s="193"/>
      <c r="W3541" s="193"/>
      <c r="X3541" s="193"/>
      <c r="Y3541" s="193"/>
      <c r="Z3541" s="193"/>
      <c r="AC3541" s="193"/>
      <c r="AD3541" s="193"/>
      <c r="AE3541" s="193"/>
      <c r="AF3541" s="193"/>
    </row>
    <row r="3542" spans="21:32" x14ac:dyDescent="0.3">
      <c r="U3542" s="193"/>
      <c r="V3542" s="193"/>
      <c r="W3542" s="193"/>
      <c r="X3542" s="193"/>
      <c r="Y3542" s="193"/>
      <c r="Z3542" s="193"/>
      <c r="AC3542" s="193"/>
      <c r="AD3542" s="193"/>
      <c r="AE3542" s="193"/>
      <c r="AF3542" s="193"/>
    </row>
    <row r="3543" spans="21:32" x14ac:dyDescent="0.3">
      <c r="U3543" s="193"/>
      <c r="V3543" s="193"/>
      <c r="W3543" s="193"/>
      <c r="X3543" s="193"/>
      <c r="Y3543" s="193"/>
      <c r="Z3543" s="193"/>
      <c r="AC3543" s="193"/>
      <c r="AD3543" s="193"/>
      <c r="AE3543" s="193"/>
      <c r="AF3543" s="193"/>
    </row>
    <row r="3544" spans="21:32" x14ac:dyDescent="0.3">
      <c r="U3544" s="193"/>
      <c r="V3544" s="193"/>
      <c r="W3544" s="193"/>
      <c r="X3544" s="193"/>
      <c r="Y3544" s="193"/>
      <c r="Z3544" s="193"/>
      <c r="AC3544" s="193"/>
      <c r="AD3544" s="193"/>
      <c r="AE3544" s="193"/>
      <c r="AF3544" s="193"/>
    </row>
    <row r="3545" spans="21:32" x14ac:dyDescent="0.3">
      <c r="U3545" s="193"/>
      <c r="V3545" s="193"/>
      <c r="W3545" s="193"/>
      <c r="X3545" s="193"/>
      <c r="Y3545" s="193"/>
      <c r="Z3545" s="193"/>
      <c r="AC3545" s="193"/>
      <c r="AD3545" s="193"/>
      <c r="AE3545" s="193"/>
      <c r="AF3545" s="193"/>
    </row>
    <row r="3546" spans="21:32" x14ac:dyDescent="0.3">
      <c r="U3546" s="193"/>
      <c r="V3546" s="193"/>
      <c r="W3546" s="193"/>
      <c r="X3546" s="193"/>
      <c r="Y3546" s="193"/>
      <c r="Z3546" s="193"/>
      <c r="AC3546" s="193"/>
      <c r="AD3546" s="193"/>
      <c r="AE3546" s="193"/>
      <c r="AF3546" s="193"/>
    </row>
    <row r="3547" spans="21:32" x14ac:dyDescent="0.3">
      <c r="U3547" s="193"/>
      <c r="V3547" s="193"/>
      <c r="W3547" s="193"/>
      <c r="X3547" s="193"/>
      <c r="Y3547" s="193"/>
      <c r="Z3547" s="193"/>
      <c r="AC3547" s="193"/>
      <c r="AD3547" s="193"/>
      <c r="AE3547" s="193"/>
      <c r="AF3547" s="193"/>
    </row>
    <row r="3548" spans="21:32" x14ac:dyDescent="0.3">
      <c r="U3548" s="193"/>
      <c r="V3548" s="193"/>
      <c r="W3548" s="193"/>
      <c r="X3548" s="193"/>
      <c r="Y3548" s="193"/>
      <c r="Z3548" s="193"/>
      <c r="AC3548" s="193"/>
      <c r="AD3548" s="193"/>
      <c r="AE3548" s="193"/>
      <c r="AF3548" s="193"/>
    </row>
    <row r="3549" spans="21:32" x14ac:dyDescent="0.3">
      <c r="U3549" s="193"/>
      <c r="V3549" s="193"/>
      <c r="W3549" s="193"/>
      <c r="X3549" s="193"/>
      <c r="Y3549" s="193"/>
      <c r="Z3549" s="193"/>
      <c r="AC3549" s="193"/>
      <c r="AD3549" s="193"/>
      <c r="AE3549" s="193"/>
      <c r="AF3549" s="193"/>
    </row>
    <row r="3550" spans="21:32" x14ac:dyDescent="0.3">
      <c r="U3550" s="193"/>
      <c r="V3550" s="193"/>
      <c r="W3550" s="193"/>
      <c r="X3550" s="193"/>
      <c r="Y3550" s="193"/>
      <c r="Z3550" s="193"/>
      <c r="AC3550" s="193"/>
      <c r="AD3550" s="193"/>
      <c r="AE3550" s="193"/>
      <c r="AF3550" s="193"/>
    </row>
    <row r="3551" spans="21:32" x14ac:dyDescent="0.3">
      <c r="U3551" s="193"/>
      <c r="V3551" s="193"/>
      <c r="W3551" s="193"/>
      <c r="X3551" s="193"/>
      <c r="Y3551" s="193"/>
      <c r="Z3551" s="193"/>
      <c r="AC3551" s="193"/>
      <c r="AD3551" s="193"/>
      <c r="AE3551" s="193"/>
      <c r="AF3551" s="193"/>
    </row>
    <row r="3552" spans="21:32" x14ac:dyDescent="0.3">
      <c r="U3552" s="193"/>
      <c r="V3552" s="193"/>
      <c r="W3552" s="193"/>
      <c r="X3552" s="193"/>
      <c r="Y3552" s="193"/>
      <c r="Z3552" s="193"/>
      <c r="AC3552" s="193"/>
      <c r="AD3552" s="193"/>
      <c r="AE3552" s="193"/>
      <c r="AF3552" s="193"/>
    </row>
    <row r="3553" spans="21:32" x14ac:dyDescent="0.3">
      <c r="U3553" s="193"/>
      <c r="V3553" s="193"/>
      <c r="W3553" s="193"/>
      <c r="X3553" s="193"/>
      <c r="Y3553" s="193"/>
      <c r="Z3553" s="193"/>
      <c r="AC3553" s="193"/>
      <c r="AD3553" s="193"/>
      <c r="AE3553" s="193"/>
      <c r="AF3553" s="193"/>
    </row>
    <row r="3554" spans="21:32" x14ac:dyDescent="0.3">
      <c r="U3554" s="193"/>
      <c r="V3554" s="193"/>
      <c r="W3554" s="193"/>
      <c r="X3554" s="193"/>
      <c r="Y3554" s="193"/>
      <c r="Z3554" s="193"/>
      <c r="AC3554" s="193"/>
      <c r="AD3554" s="193"/>
      <c r="AE3554" s="193"/>
      <c r="AF3554" s="193"/>
    </row>
    <row r="3555" spans="21:32" x14ac:dyDescent="0.3">
      <c r="U3555" s="193"/>
      <c r="V3555" s="193"/>
      <c r="W3555" s="193"/>
      <c r="X3555" s="193"/>
      <c r="Y3555" s="193"/>
      <c r="Z3555" s="193"/>
      <c r="AC3555" s="193"/>
      <c r="AD3555" s="193"/>
      <c r="AE3555" s="193"/>
      <c r="AF3555" s="193"/>
    </row>
    <row r="3556" spans="21:32" x14ac:dyDescent="0.3">
      <c r="U3556" s="193"/>
      <c r="V3556" s="193"/>
      <c r="W3556" s="193"/>
      <c r="X3556" s="193"/>
      <c r="Y3556" s="193"/>
      <c r="Z3556" s="193"/>
      <c r="AC3556" s="193"/>
      <c r="AD3556" s="193"/>
      <c r="AE3556" s="193"/>
      <c r="AF3556" s="193"/>
    </row>
    <row r="3557" spans="21:32" x14ac:dyDescent="0.3">
      <c r="U3557" s="193"/>
      <c r="V3557" s="193"/>
      <c r="W3557" s="193"/>
      <c r="X3557" s="193"/>
      <c r="Y3557" s="193"/>
      <c r="Z3557" s="193"/>
      <c r="AC3557" s="193"/>
      <c r="AD3557" s="193"/>
      <c r="AE3557" s="193"/>
      <c r="AF3557" s="193"/>
    </row>
    <row r="3558" spans="21:32" x14ac:dyDescent="0.3">
      <c r="U3558" s="193"/>
      <c r="V3558" s="193"/>
      <c r="W3558" s="193"/>
      <c r="X3558" s="193"/>
      <c r="Y3558" s="193"/>
      <c r="Z3558" s="193"/>
      <c r="AC3558" s="193"/>
      <c r="AD3558" s="193"/>
      <c r="AE3558" s="193"/>
      <c r="AF3558" s="193"/>
    </row>
    <row r="3559" spans="21:32" x14ac:dyDescent="0.3">
      <c r="U3559" s="193"/>
      <c r="V3559" s="193"/>
      <c r="W3559" s="193"/>
      <c r="X3559" s="193"/>
      <c r="Y3559" s="193"/>
      <c r="Z3559" s="193"/>
      <c r="AC3559" s="193"/>
      <c r="AD3559" s="193"/>
      <c r="AE3559" s="193"/>
      <c r="AF3559" s="193"/>
    </row>
    <row r="3560" spans="21:32" x14ac:dyDescent="0.3">
      <c r="U3560" s="193"/>
      <c r="V3560" s="193"/>
      <c r="W3560" s="193"/>
      <c r="X3560" s="193"/>
      <c r="Y3560" s="193"/>
      <c r="Z3560" s="193"/>
      <c r="AC3560" s="193"/>
      <c r="AD3560" s="193"/>
      <c r="AE3560" s="193"/>
      <c r="AF3560" s="193"/>
    </row>
    <row r="3561" spans="21:32" x14ac:dyDescent="0.3">
      <c r="U3561" s="193"/>
      <c r="V3561" s="193"/>
      <c r="W3561" s="193"/>
      <c r="X3561" s="193"/>
      <c r="Y3561" s="193"/>
      <c r="Z3561" s="193"/>
      <c r="AC3561" s="193"/>
      <c r="AD3561" s="193"/>
      <c r="AE3561" s="193"/>
      <c r="AF3561" s="193"/>
    </row>
    <row r="3562" spans="21:32" x14ac:dyDescent="0.3">
      <c r="U3562" s="193"/>
      <c r="V3562" s="193"/>
      <c r="W3562" s="193"/>
      <c r="X3562" s="193"/>
      <c r="Y3562" s="193"/>
      <c r="Z3562" s="193"/>
      <c r="AC3562" s="193"/>
      <c r="AD3562" s="193"/>
      <c r="AE3562" s="193"/>
      <c r="AF3562" s="193"/>
    </row>
    <row r="3563" spans="21:32" x14ac:dyDescent="0.3">
      <c r="U3563" s="193"/>
      <c r="V3563" s="193"/>
      <c r="W3563" s="193"/>
      <c r="X3563" s="193"/>
      <c r="Y3563" s="193"/>
      <c r="Z3563" s="193"/>
      <c r="AC3563" s="193"/>
      <c r="AD3563" s="193"/>
      <c r="AE3563" s="193"/>
      <c r="AF3563" s="193"/>
    </row>
    <row r="3564" spans="21:32" x14ac:dyDescent="0.3">
      <c r="U3564" s="193"/>
      <c r="V3564" s="193"/>
      <c r="W3564" s="193"/>
      <c r="X3564" s="193"/>
      <c r="Y3564" s="193"/>
      <c r="Z3564" s="193"/>
      <c r="AC3564" s="193"/>
      <c r="AD3564" s="193"/>
      <c r="AE3564" s="193"/>
      <c r="AF3564" s="193"/>
    </row>
    <row r="3565" spans="21:32" x14ac:dyDescent="0.3">
      <c r="U3565" s="193"/>
      <c r="V3565" s="193"/>
      <c r="W3565" s="193"/>
      <c r="X3565" s="193"/>
      <c r="Y3565" s="193"/>
      <c r="Z3565" s="193"/>
      <c r="AC3565" s="193"/>
      <c r="AD3565" s="193"/>
      <c r="AE3565" s="193"/>
      <c r="AF3565" s="193"/>
    </row>
    <row r="3566" spans="21:32" x14ac:dyDescent="0.3">
      <c r="U3566" s="193"/>
      <c r="V3566" s="193"/>
      <c r="W3566" s="193"/>
      <c r="X3566" s="193"/>
      <c r="Y3566" s="193"/>
      <c r="Z3566" s="193"/>
      <c r="AC3566" s="193"/>
      <c r="AD3566" s="193"/>
      <c r="AE3566" s="193"/>
      <c r="AF3566" s="193"/>
    </row>
    <row r="3567" spans="21:32" x14ac:dyDescent="0.3">
      <c r="U3567" s="193"/>
      <c r="V3567" s="193"/>
      <c r="W3567" s="193"/>
      <c r="X3567" s="193"/>
      <c r="Y3567" s="193"/>
      <c r="Z3567" s="193"/>
      <c r="AC3567" s="193"/>
      <c r="AD3567" s="193"/>
      <c r="AE3567" s="193"/>
      <c r="AF3567" s="193"/>
    </row>
    <row r="3568" spans="21:32" x14ac:dyDescent="0.3">
      <c r="U3568" s="193"/>
      <c r="V3568" s="193"/>
      <c r="W3568" s="193"/>
      <c r="X3568" s="193"/>
      <c r="Y3568" s="193"/>
      <c r="Z3568" s="193"/>
      <c r="AC3568" s="193"/>
      <c r="AD3568" s="193"/>
      <c r="AE3568" s="193"/>
      <c r="AF3568" s="193"/>
    </row>
    <row r="3569" spans="21:32" x14ac:dyDescent="0.3">
      <c r="U3569" s="193"/>
      <c r="V3569" s="193"/>
      <c r="W3569" s="193"/>
      <c r="X3569" s="193"/>
      <c r="Y3569" s="193"/>
      <c r="Z3569" s="193"/>
      <c r="AC3569" s="193"/>
      <c r="AD3569" s="193"/>
      <c r="AE3569" s="193"/>
      <c r="AF3569" s="193"/>
    </row>
    <row r="3570" spans="21:32" x14ac:dyDescent="0.3">
      <c r="U3570" s="193"/>
      <c r="V3570" s="193"/>
      <c r="W3570" s="193"/>
      <c r="X3570" s="193"/>
      <c r="Y3570" s="193"/>
      <c r="Z3570" s="193"/>
      <c r="AC3570" s="193"/>
      <c r="AD3570" s="193"/>
      <c r="AE3570" s="193"/>
      <c r="AF3570" s="193"/>
    </row>
    <row r="3571" spans="21:32" x14ac:dyDescent="0.3">
      <c r="U3571" s="193"/>
      <c r="V3571" s="193"/>
      <c r="W3571" s="193"/>
      <c r="X3571" s="193"/>
      <c r="Y3571" s="193"/>
      <c r="Z3571" s="193"/>
      <c r="AC3571" s="193"/>
      <c r="AD3571" s="193"/>
      <c r="AE3571" s="193"/>
      <c r="AF3571" s="193"/>
    </row>
    <row r="3572" spans="21:32" x14ac:dyDescent="0.3">
      <c r="U3572" s="193"/>
      <c r="V3572" s="193"/>
      <c r="W3572" s="193"/>
      <c r="X3572" s="193"/>
      <c r="Y3572" s="193"/>
      <c r="Z3572" s="193"/>
      <c r="AC3572" s="193"/>
      <c r="AD3572" s="193"/>
      <c r="AE3572" s="193"/>
      <c r="AF3572" s="193"/>
    </row>
    <row r="3573" spans="21:32" x14ac:dyDescent="0.3">
      <c r="U3573" s="193"/>
      <c r="V3573" s="193"/>
      <c r="W3573" s="193"/>
      <c r="X3573" s="193"/>
      <c r="Y3573" s="193"/>
      <c r="Z3573" s="193"/>
      <c r="AC3573" s="193"/>
      <c r="AD3573" s="193"/>
      <c r="AE3573" s="193"/>
      <c r="AF3573" s="193"/>
    </row>
    <row r="3574" spans="21:32" x14ac:dyDescent="0.3">
      <c r="U3574" s="193"/>
      <c r="V3574" s="193"/>
      <c r="W3574" s="193"/>
      <c r="X3574" s="193"/>
      <c r="Y3574" s="193"/>
      <c r="Z3574" s="193"/>
      <c r="AC3574" s="193"/>
      <c r="AD3574" s="193"/>
      <c r="AE3574" s="193"/>
      <c r="AF3574" s="193"/>
    </row>
    <row r="3575" spans="21:32" x14ac:dyDescent="0.3">
      <c r="U3575" s="193"/>
      <c r="V3575" s="193"/>
      <c r="W3575" s="193"/>
      <c r="X3575" s="193"/>
      <c r="Y3575" s="193"/>
      <c r="Z3575" s="193"/>
      <c r="AC3575" s="193"/>
      <c r="AD3575" s="193"/>
      <c r="AE3575" s="193"/>
      <c r="AF3575" s="193"/>
    </row>
    <row r="3576" spans="21:32" x14ac:dyDescent="0.3">
      <c r="U3576" s="193"/>
      <c r="V3576" s="193"/>
      <c r="W3576" s="193"/>
      <c r="X3576" s="193"/>
      <c r="Y3576" s="193"/>
      <c r="Z3576" s="193"/>
      <c r="AC3576" s="193"/>
      <c r="AD3576" s="193"/>
      <c r="AE3576" s="193"/>
      <c r="AF3576" s="193"/>
    </row>
    <row r="3577" spans="21:32" x14ac:dyDescent="0.3">
      <c r="U3577" s="193"/>
      <c r="V3577" s="193"/>
      <c r="W3577" s="193"/>
      <c r="X3577" s="193"/>
      <c r="Y3577" s="193"/>
      <c r="Z3577" s="193"/>
      <c r="AC3577" s="193"/>
      <c r="AD3577" s="193"/>
      <c r="AE3577" s="193"/>
      <c r="AF3577" s="193"/>
    </row>
    <row r="3578" spans="21:32" x14ac:dyDescent="0.3">
      <c r="U3578" s="193"/>
      <c r="V3578" s="193"/>
      <c r="W3578" s="193"/>
      <c r="X3578" s="193"/>
      <c r="Y3578" s="193"/>
      <c r="Z3578" s="193"/>
      <c r="AC3578" s="193"/>
      <c r="AD3578" s="193"/>
      <c r="AE3578" s="193"/>
      <c r="AF3578" s="193"/>
    </row>
    <row r="3579" spans="21:32" x14ac:dyDescent="0.3">
      <c r="U3579" s="193"/>
      <c r="V3579" s="193"/>
      <c r="W3579" s="193"/>
      <c r="X3579" s="193"/>
      <c r="Y3579" s="193"/>
      <c r="Z3579" s="193"/>
      <c r="AC3579" s="193"/>
      <c r="AD3579" s="193"/>
      <c r="AE3579" s="193"/>
      <c r="AF3579" s="193"/>
    </row>
    <row r="3580" spans="21:32" x14ac:dyDescent="0.3">
      <c r="U3580" s="193"/>
      <c r="V3580" s="193"/>
      <c r="W3580" s="193"/>
      <c r="X3580" s="193"/>
      <c r="Y3580" s="193"/>
      <c r="Z3580" s="193"/>
      <c r="AC3580" s="193"/>
      <c r="AD3580" s="193"/>
      <c r="AE3580" s="193"/>
      <c r="AF3580" s="193"/>
    </row>
    <row r="3581" spans="21:32" x14ac:dyDescent="0.3">
      <c r="U3581" s="193"/>
      <c r="V3581" s="193"/>
      <c r="W3581" s="193"/>
      <c r="X3581" s="193"/>
      <c r="Y3581" s="193"/>
      <c r="Z3581" s="193"/>
      <c r="AC3581" s="193"/>
      <c r="AD3581" s="193"/>
      <c r="AE3581" s="193"/>
      <c r="AF3581" s="193"/>
    </row>
    <row r="3582" spans="21:32" x14ac:dyDescent="0.3">
      <c r="U3582" s="193"/>
      <c r="V3582" s="193"/>
      <c r="W3582" s="193"/>
      <c r="X3582" s="193"/>
      <c r="Y3582" s="193"/>
      <c r="Z3582" s="193"/>
      <c r="AC3582" s="193"/>
      <c r="AD3582" s="193"/>
      <c r="AE3582" s="193"/>
      <c r="AF3582" s="193"/>
    </row>
    <row r="3583" spans="21:32" x14ac:dyDescent="0.3">
      <c r="U3583" s="193"/>
      <c r="V3583" s="193"/>
      <c r="W3583" s="193"/>
      <c r="X3583" s="193"/>
      <c r="Y3583" s="193"/>
      <c r="Z3583" s="193"/>
      <c r="AC3583" s="193"/>
      <c r="AD3583" s="193"/>
      <c r="AE3583" s="193"/>
      <c r="AF3583" s="193"/>
    </row>
    <row r="3584" spans="21:32" x14ac:dyDescent="0.3">
      <c r="U3584" s="193"/>
      <c r="V3584" s="193"/>
      <c r="W3584" s="193"/>
      <c r="X3584" s="193"/>
      <c r="Y3584" s="193"/>
      <c r="Z3584" s="193"/>
      <c r="AC3584" s="193"/>
      <c r="AD3584" s="193"/>
      <c r="AE3584" s="193"/>
      <c r="AF3584" s="193"/>
    </row>
    <row r="3585" spans="21:32" x14ac:dyDescent="0.3">
      <c r="U3585" s="193"/>
      <c r="V3585" s="193"/>
      <c r="W3585" s="193"/>
      <c r="X3585" s="193"/>
      <c r="Y3585" s="193"/>
      <c r="Z3585" s="193"/>
      <c r="AC3585" s="193"/>
      <c r="AD3585" s="193"/>
      <c r="AE3585" s="193"/>
      <c r="AF3585" s="193"/>
    </row>
    <row r="3586" spans="21:32" x14ac:dyDescent="0.3">
      <c r="U3586" s="193"/>
      <c r="V3586" s="193"/>
      <c r="W3586" s="193"/>
      <c r="X3586" s="193"/>
      <c r="Y3586" s="193"/>
      <c r="Z3586" s="193"/>
      <c r="AC3586" s="193"/>
      <c r="AD3586" s="193"/>
      <c r="AE3586" s="193"/>
      <c r="AF3586" s="193"/>
    </row>
    <row r="3587" spans="21:32" x14ac:dyDescent="0.3">
      <c r="U3587" s="193"/>
      <c r="V3587" s="193"/>
      <c r="W3587" s="193"/>
      <c r="X3587" s="193"/>
      <c r="Y3587" s="193"/>
      <c r="Z3587" s="193"/>
      <c r="AC3587" s="193"/>
      <c r="AD3587" s="193"/>
      <c r="AE3587" s="193"/>
      <c r="AF3587" s="193"/>
    </row>
    <row r="3588" spans="21:32" x14ac:dyDescent="0.3">
      <c r="U3588" s="193"/>
      <c r="V3588" s="193"/>
      <c r="W3588" s="193"/>
      <c r="X3588" s="193"/>
      <c r="Y3588" s="193"/>
      <c r="Z3588" s="193"/>
      <c r="AC3588" s="193"/>
      <c r="AD3588" s="193"/>
      <c r="AE3588" s="193"/>
      <c r="AF3588" s="193"/>
    </row>
    <row r="3589" spans="21:32" x14ac:dyDescent="0.3">
      <c r="U3589" s="193"/>
      <c r="V3589" s="193"/>
      <c r="W3589" s="193"/>
      <c r="X3589" s="193"/>
      <c r="Y3589" s="193"/>
      <c r="Z3589" s="193"/>
      <c r="AC3589" s="193"/>
      <c r="AD3589" s="193"/>
      <c r="AE3589" s="193"/>
      <c r="AF3589" s="193"/>
    </row>
    <row r="3590" spans="21:32" x14ac:dyDescent="0.3">
      <c r="U3590" s="193"/>
      <c r="V3590" s="193"/>
      <c r="W3590" s="193"/>
      <c r="X3590" s="193"/>
      <c r="Y3590" s="193"/>
      <c r="Z3590" s="193"/>
      <c r="AC3590" s="193"/>
      <c r="AD3590" s="193"/>
      <c r="AE3590" s="193"/>
      <c r="AF3590" s="193"/>
    </row>
    <row r="3591" spans="21:32" x14ac:dyDescent="0.3">
      <c r="U3591" s="193"/>
      <c r="V3591" s="193"/>
      <c r="W3591" s="193"/>
      <c r="X3591" s="193"/>
      <c r="Y3591" s="193"/>
      <c r="Z3591" s="193"/>
      <c r="AC3591" s="193"/>
      <c r="AD3591" s="193"/>
      <c r="AE3591" s="193"/>
      <c r="AF3591" s="193"/>
    </row>
    <row r="3592" spans="21:32" x14ac:dyDescent="0.3">
      <c r="U3592" s="193"/>
      <c r="V3592" s="193"/>
      <c r="W3592" s="193"/>
      <c r="X3592" s="193"/>
      <c r="Y3592" s="193"/>
      <c r="Z3592" s="193"/>
      <c r="AC3592" s="193"/>
      <c r="AD3592" s="193"/>
      <c r="AE3592" s="193"/>
      <c r="AF3592" s="193"/>
    </row>
    <row r="3593" spans="21:32" x14ac:dyDescent="0.3">
      <c r="U3593" s="193"/>
      <c r="V3593" s="193"/>
      <c r="W3593" s="193"/>
      <c r="X3593" s="193"/>
      <c r="Y3593" s="193"/>
      <c r="Z3593" s="193"/>
      <c r="AC3593" s="193"/>
      <c r="AD3593" s="193"/>
      <c r="AE3593" s="193"/>
      <c r="AF3593" s="193"/>
    </row>
    <row r="3594" spans="21:32" x14ac:dyDescent="0.3">
      <c r="U3594" s="193"/>
      <c r="V3594" s="193"/>
      <c r="W3594" s="193"/>
      <c r="X3594" s="193"/>
      <c r="Y3594" s="193"/>
      <c r="Z3594" s="193"/>
      <c r="AC3594" s="193"/>
      <c r="AD3594" s="193"/>
      <c r="AE3594" s="193"/>
      <c r="AF3594" s="193"/>
    </row>
    <row r="3595" spans="21:32" x14ac:dyDescent="0.3">
      <c r="U3595" s="193"/>
      <c r="V3595" s="193"/>
      <c r="W3595" s="193"/>
      <c r="X3595" s="193"/>
      <c r="Y3595" s="193"/>
      <c r="Z3595" s="193"/>
      <c r="AC3595" s="193"/>
      <c r="AD3595" s="193"/>
      <c r="AE3595" s="193"/>
      <c r="AF3595" s="193"/>
    </row>
    <row r="3596" spans="21:32" x14ac:dyDescent="0.3">
      <c r="U3596" s="193"/>
      <c r="V3596" s="193"/>
      <c r="W3596" s="193"/>
      <c r="X3596" s="193"/>
      <c r="Y3596" s="193"/>
      <c r="Z3596" s="193"/>
      <c r="AC3596" s="193"/>
      <c r="AD3596" s="193"/>
      <c r="AE3596" s="193"/>
      <c r="AF3596" s="193"/>
    </row>
    <row r="3597" spans="21:32" x14ac:dyDescent="0.3">
      <c r="U3597" s="193"/>
      <c r="V3597" s="193"/>
      <c r="W3597" s="193"/>
      <c r="X3597" s="193"/>
      <c r="Y3597" s="193"/>
      <c r="Z3597" s="193"/>
      <c r="AC3597" s="193"/>
      <c r="AD3597" s="193"/>
      <c r="AE3597" s="193"/>
      <c r="AF3597" s="193"/>
    </row>
    <row r="3598" spans="21:32" x14ac:dyDescent="0.3">
      <c r="U3598" s="193"/>
      <c r="V3598" s="193"/>
      <c r="W3598" s="193"/>
      <c r="X3598" s="193"/>
      <c r="Y3598" s="193"/>
      <c r="Z3598" s="193"/>
      <c r="AC3598" s="193"/>
      <c r="AD3598" s="193"/>
      <c r="AE3598" s="193"/>
      <c r="AF3598" s="193"/>
    </row>
    <row r="3599" spans="21:32" x14ac:dyDescent="0.3">
      <c r="U3599" s="193"/>
      <c r="V3599" s="193"/>
      <c r="W3599" s="193"/>
      <c r="X3599" s="193"/>
      <c r="Y3599" s="193"/>
      <c r="Z3599" s="193"/>
      <c r="AC3599" s="193"/>
      <c r="AD3599" s="193"/>
      <c r="AE3599" s="193"/>
      <c r="AF3599" s="193"/>
    </row>
    <row r="3600" spans="21:32" x14ac:dyDescent="0.3">
      <c r="U3600" s="193"/>
      <c r="V3600" s="193"/>
      <c r="W3600" s="193"/>
      <c r="X3600" s="193"/>
      <c r="Y3600" s="193"/>
      <c r="Z3600" s="193"/>
      <c r="AC3600" s="193"/>
      <c r="AD3600" s="193"/>
      <c r="AE3600" s="193"/>
      <c r="AF3600" s="193"/>
    </row>
    <row r="3601" spans="21:32" x14ac:dyDescent="0.3">
      <c r="U3601" s="193"/>
      <c r="V3601" s="193"/>
      <c r="W3601" s="193"/>
      <c r="X3601" s="193"/>
      <c r="Y3601" s="193"/>
      <c r="Z3601" s="193"/>
      <c r="AC3601" s="193"/>
      <c r="AD3601" s="193"/>
      <c r="AE3601" s="193"/>
      <c r="AF3601" s="193"/>
    </row>
    <row r="3602" spans="21:32" x14ac:dyDescent="0.3">
      <c r="U3602" s="193"/>
      <c r="V3602" s="193"/>
      <c r="W3602" s="193"/>
      <c r="X3602" s="193"/>
      <c r="Y3602" s="193"/>
      <c r="Z3602" s="193"/>
      <c r="AC3602" s="193"/>
      <c r="AD3602" s="193"/>
      <c r="AE3602" s="193"/>
      <c r="AF3602" s="193"/>
    </row>
    <row r="3603" spans="21:32" x14ac:dyDescent="0.3">
      <c r="U3603" s="193"/>
      <c r="V3603" s="193"/>
      <c r="W3603" s="193"/>
      <c r="X3603" s="193"/>
      <c r="Y3603" s="193"/>
      <c r="Z3603" s="193"/>
      <c r="AC3603" s="193"/>
      <c r="AD3603" s="193"/>
      <c r="AE3603" s="193"/>
      <c r="AF3603" s="193"/>
    </row>
    <row r="3604" spans="21:32" x14ac:dyDescent="0.3">
      <c r="U3604" s="193"/>
      <c r="V3604" s="193"/>
      <c r="W3604" s="193"/>
      <c r="X3604" s="193"/>
      <c r="Y3604" s="193"/>
      <c r="Z3604" s="193"/>
      <c r="AC3604" s="193"/>
      <c r="AD3604" s="193"/>
      <c r="AE3604" s="193"/>
      <c r="AF3604" s="193"/>
    </row>
    <row r="3605" spans="21:32" x14ac:dyDescent="0.3">
      <c r="U3605" s="193"/>
      <c r="V3605" s="193"/>
      <c r="W3605" s="193"/>
      <c r="X3605" s="193"/>
      <c r="Y3605" s="193"/>
      <c r="Z3605" s="193"/>
      <c r="AC3605" s="193"/>
      <c r="AD3605" s="193"/>
      <c r="AE3605" s="193"/>
      <c r="AF3605" s="193"/>
    </row>
    <row r="3606" spans="21:32" x14ac:dyDescent="0.3">
      <c r="U3606" s="193"/>
      <c r="V3606" s="193"/>
      <c r="W3606" s="193"/>
      <c r="X3606" s="193"/>
      <c r="Y3606" s="193"/>
      <c r="Z3606" s="193"/>
      <c r="AC3606" s="193"/>
      <c r="AD3606" s="193"/>
      <c r="AE3606" s="193"/>
      <c r="AF3606" s="193"/>
    </row>
    <row r="3607" spans="21:32" x14ac:dyDescent="0.3">
      <c r="U3607" s="193"/>
      <c r="V3607" s="193"/>
      <c r="W3607" s="193"/>
      <c r="X3607" s="193"/>
      <c r="Y3607" s="193"/>
      <c r="Z3607" s="193"/>
      <c r="AC3607" s="193"/>
      <c r="AD3607" s="193"/>
      <c r="AE3607" s="193"/>
      <c r="AF3607" s="193"/>
    </row>
    <row r="3608" spans="21:32" x14ac:dyDescent="0.3">
      <c r="U3608" s="193"/>
      <c r="V3608" s="193"/>
      <c r="W3608" s="193"/>
      <c r="X3608" s="193"/>
      <c r="Y3608" s="193"/>
      <c r="Z3608" s="193"/>
      <c r="AC3608" s="193"/>
      <c r="AD3608" s="193"/>
      <c r="AE3608" s="193"/>
      <c r="AF3608" s="193"/>
    </row>
    <row r="3609" spans="21:32" x14ac:dyDescent="0.3">
      <c r="U3609" s="193"/>
      <c r="V3609" s="193"/>
      <c r="W3609" s="193"/>
      <c r="X3609" s="193"/>
      <c r="Y3609" s="193"/>
      <c r="Z3609" s="193"/>
      <c r="AC3609" s="193"/>
      <c r="AD3609" s="193"/>
      <c r="AE3609" s="193"/>
      <c r="AF3609" s="193"/>
    </row>
    <row r="3610" spans="21:32" x14ac:dyDescent="0.3">
      <c r="U3610" s="193"/>
      <c r="V3610" s="193"/>
      <c r="W3610" s="193"/>
      <c r="X3610" s="193"/>
      <c r="Y3610" s="193"/>
      <c r="Z3610" s="193"/>
      <c r="AC3610" s="193"/>
      <c r="AD3610" s="193"/>
      <c r="AE3610" s="193"/>
      <c r="AF3610" s="193"/>
    </row>
    <row r="3611" spans="21:32" x14ac:dyDescent="0.3">
      <c r="U3611" s="193"/>
      <c r="V3611" s="193"/>
      <c r="W3611" s="193"/>
      <c r="X3611" s="193"/>
      <c r="Y3611" s="193"/>
      <c r="Z3611" s="193"/>
      <c r="AC3611" s="193"/>
      <c r="AD3611" s="193"/>
      <c r="AE3611" s="193"/>
      <c r="AF3611" s="193"/>
    </row>
    <row r="3612" spans="21:32" x14ac:dyDescent="0.3">
      <c r="U3612" s="193"/>
      <c r="V3612" s="193"/>
      <c r="W3612" s="193"/>
      <c r="X3612" s="193"/>
      <c r="Y3612" s="193"/>
      <c r="Z3612" s="193"/>
      <c r="AC3612" s="193"/>
      <c r="AD3612" s="193"/>
      <c r="AE3612" s="193"/>
      <c r="AF3612" s="193"/>
    </row>
    <row r="3613" spans="21:32" x14ac:dyDescent="0.3">
      <c r="U3613" s="193"/>
      <c r="V3613" s="193"/>
      <c r="W3613" s="193"/>
      <c r="X3613" s="193"/>
      <c r="Y3613" s="193"/>
      <c r="Z3613" s="193"/>
      <c r="AC3613" s="193"/>
      <c r="AD3613" s="193"/>
      <c r="AE3613" s="193"/>
      <c r="AF3613" s="193"/>
    </row>
    <row r="3614" spans="21:32" x14ac:dyDescent="0.3">
      <c r="U3614" s="193"/>
      <c r="V3614" s="193"/>
      <c r="W3614" s="193"/>
      <c r="X3614" s="193"/>
      <c r="Y3614" s="193"/>
      <c r="Z3614" s="193"/>
      <c r="AC3614" s="193"/>
      <c r="AD3614" s="193"/>
      <c r="AE3614" s="193"/>
      <c r="AF3614" s="193"/>
    </row>
    <row r="3615" spans="21:32" x14ac:dyDescent="0.3">
      <c r="U3615" s="193"/>
      <c r="V3615" s="193"/>
      <c r="W3615" s="193"/>
      <c r="X3615" s="193"/>
      <c r="Y3615" s="193"/>
      <c r="Z3615" s="193"/>
      <c r="AC3615" s="193"/>
      <c r="AD3615" s="193"/>
      <c r="AE3615" s="193"/>
      <c r="AF3615" s="193"/>
    </row>
    <row r="3616" spans="21:32" x14ac:dyDescent="0.3">
      <c r="U3616" s="193"/>
      <c r="V3616" s="193"/>
      <c r="W3616" s="193"/>
      <c r="X3616" s="193"/>
      <c r="Y3616" s="193"/>
      <c r="Z3616" s="193"/>
      <c r="AC3616" s="193"/>
      <c r="AD3616" s="193"/>
      <c r="AE3616" s="193"/>
      <c r="AF3616" s="193"/>
    </row>
    <row r="3617" spans="21:32" x14ac:dyDescent="0.3">
      <c r="U3617" s="193"/>
      <c r="V3617" s="193"/>
      <c r="W3617" s="193"/>
      <c r="X3617" s="193"/>
      <c r="Y3617" s="193"/>
      <c r="Z3617" s="193"/>
      <c r="AC3617" s="193"/>
      <c r="AD3617" s="193"/>
      <c r="AE3617" s="193"/>
      <c r="AF3617" s="193"/>
    </row>
    <row r="3618" spans="21:32" x14ac:dyDescent="0.3">
      <c r="U3618" s="193"/>
      <c r="V3618" s="193"/>
      <c r="W3618" s="193"/>
      <c r="X3618" s="193"/>
      <c r="Y3618" s="193"/>
      <c r="Z3618" s="193"/>
      <c r="AC3618" s="193"/>
      <c r="AD3618" s="193"/>
      <c r="AE3618" s="193"/>
      <c r="AF3618" s="193"/>
    </row>
    <row r="3619" spans="21:32" x14ac:dyDescent="0.3">
      <c r="U3619" s="193"/>
      <c r="V3619" s="193"/>
      <c r="W3619" s="193"/>
      <c r="X3619" s="193"/>
      <c r="Y3619" s="193"/>
      <c r="Z3619" s="193"/>
      <c r="AC3619" s="193"/>
      <c r="AD3619" s="193"/>
      <c r="AE3619" s="193"/>
      <c r="AF3619" s="193"/>
    </row>
    <row r="3620" spans="21:32" x14ac:dyDescent="0.3">
      <c r="U3620" s="193"/>
      <c r="V3620" s="193"/>
      <c r="W3620" s="193"/>
      <c r="X3620" s="193"/>
      <c r="Y3620" s="193"/>
      <c r="Z3620" s="193"/>
      <c r="AC3620" s="193"/>
      <c r="AD3620" s="193"/>
      <c r="AE3620" s="193"/>
      <c r="AF3620" s="193"/>
    </row>
    <row r="3621" spans="21:32" x14ac:dyDescent="0.3">
      <c r="U3621" s="193"/>
      <c r="V3621" s="193"/>
      <c r="W3621" s="193"/>
      <c r="X3621" s="193"/>
      <c r="Y3621" s="193"/>
      <c r="Z3621" s="193"/>
      <c r="AC3621" s="193"/>
      <c r="AD3621" s="193"/>
      <c r="AE3621" s="193"/>
      <c r="AF3621" s="193"/>
    </row>
    <row r="3622" spans="21:32" x14ac:dyDescent="0.3">
      <c r="U3622" s="193"/>
      <c r="V3622" s="193"/>
      <c r="W3622" s="193"/>
      <c r="X3622" s="193"/>
      <c r="Y3622" s="193"/>
      <c r="Z3622" s="193"/>
      <c r="AC3622" s="193"/>
      <c r="AD3622" s="193"/>
      <c r="AE3622" s="193"/>
      <c r="AF3622" s="193"/>
    </row>
    <row r="3623" spans="21:32" x14ac:dyDescent="0.3">
      <c r="U3623" s="193"/>
      <c r="V3623" s="193"/>
      <c r="W3623" s="193"/>
      <c r="X3623" s="193"/>
      <c r="Y3623" s="193"/>
      <c r="Z3623" s="193"/>
      <c r="AC3623" s="193"/>
      <c r="AD3623" s="193"/>
      <c r="AE3623" s="193"/>
      <c r="AF3623" s="193"/>
    </row>
    <row r="3624" spans="21:32" x14ac:dyDescent="0.3">
      <c r="U3624" s="193"/>
      <c r="V3624" s="193"/>
      <c r="W3624" s="193"/>
      <c r="X3624" s="193"/>
      <c r="Y3624" s="193"/>
      <c r="Z3624" s="193"/>
      <c r="AC3624" s="193"/>
      <c r="AD3624" s="193"/>
      <c r="AE3624" s="193"/>
      <c r="AF3624" s="193"/>
    </row>
    <row r="3625" spans="21:32" x14ac:dyDescent="0.3">
      <c r="U3625" s="193"/>
      <c r="V3625" s="193"/>
      <c r="W3625" s="193"/>
      <c r="X3625" s="193"/>
      <c r="Y3625" s="193"/>
      <c r="Z3625" s="193"/>
      <c r="AC3625" s="193"/>
      <c r="AD3625" s="193"/>
      <c r="AE3625" s="193"/>
      <c r="AF3625" s="193"/>
    </row>
    <row r="3626" spans="21:32" x14ac:dyDescent="0.3">
      <c r="U3626" s="193"/>
      <c r="V3626" s="193"/>
      <c r="W3626" s="193"/>
      <c r="X3626" s="193"/>
      <c r="Y3626" s="193"/>
      <c r="Z3626" s="193"/>
      <c r="AC3626" s="193"/>
      <c r="AD3626" s="193"/>
      <c r="AE3626" s="193"/>
      <c r="AF3626" s="193"/>
    </row>
    <row r="3627" spans="21:32" x14ac:dyDescent="0.3">
      <c r="U3627" s="193"/>
      <c r="V3627" s="193"/>
      <c r="W3627" s="193"/>
      <c r="X3627" s="193"/>
      <c r="Y3627" s="193"/>
      <c r="Z3627" s="193"/>
      <c r="AC3627" s="193"/>
      <c r="AD3627" s="193"/>
      <c r="AE3627" s="193"/>
      <c r="AF3627" s="193"/>
    </row>
    <row r="3628" spans="21:32" x14ac:dyDescent="0.3">
      <c r="U3628" s="193"/>
      <c r="V3628" s="193"/>
      <c r="W3628" s="193"/>
      <c r="X3628" s="193"/>
      <c r="Y3628" s="193"/>
      <c r="Z3628" s="193"/>
      <c r="AC3628" s="193"/>
      <c r="AD3628" s="193"/>
      <c r="AE3628" s="193"/>
      <c r="AF3628" s="193"/>
    </row>
    <row r="3629" spans="21:32" x14ac:dyDescent="0.3">
      <c r="U3629" s="193"/>
      <c r="V3629" s="193"/>
      <c r="W3629" s="193"/>
      <c r="X3629" s="193"/>
      <c r="Y3629" s="193"/>
      <c r="Z3629" s="193"/>
      <c r="AC3629" s="193"/>
      <c r="AD3629" s="193"/>
      <c r="AE3629" s="193"/>
      <c r="AF3629" s="193"/>
    </row>
    <row r="3630" spans="21:32" x14ac:dyDescent="0.3">
      <c r="U3630" s="193"/>
      <c r="V3630" s="193"/>
      <c r="W3630" s="193"/>
      <c r="X3630" s="193"/>
      <c r="Y3630" s="193"/>
      <c r="Z3630" s="193"/>
      <c r="AC3630" s="193"/>
      <c r="AD3630" s="193"/>
      <c r="AE3630" s="193"/>
      <c r="AF3630" s="193"/>
    </row>
    <row r="3631" spans="21:32" x14ac:dyDescent="0.3">
      <c r="U3631" s="193"/>
      <c r="V3631" s="193"/>
      <c r="W3631" s="193"/>
      <c r="X3631" s="193"/>
      <c r="Y3631" s="193"/>
      <c r="Z3631" s="193"/>
      <c r="AC3631" s="193"/>
      <c r="AD3631" s="193"/>
      <c r="AE3631" s="193"/>
      <c r="AF3631" s="193"/>
    </row>
    <row r="3632" spans="21:32" x14ac:dyDescent="0.3">
      <c r="U3632" s="193"/>
      <c r="V3632" s="193"/>
      <c r="W3632" s="193"/>
      <c r="X3632" s="193"/>
      <c r="Y3632" s="193"/>
      <c r="Z3632" s="193"/>
      <c r="AC3632" s="193"/>
      <c r="AD3632" s="193"/>
      <c r="AE3632" s="193"/>
      <c r="AF3632" s="193"/>
    </row>
    <row r="3633" spans="21:32" x14ac:dyDescent="0.3">
      <c r="U3633" s="193"/>
      <c r="V3633" s="193"/>
      <c r="W3633" s="193"/>
      <c r="X3633" s="193"/>
      <c r="Y3633" s="193"/>
      <c r="Z3633" s="193"/>
      <c r="AC3633" s="193"/>
      <c r="AD3633" s="193"/>
      <c r="AE3633" s="193"/>
      <c r="AF3633" s="193"/>
    </row>
    <row r="3634" spans="21:32" x14ac:dyDescent="0.3">
      <c r="U3634" s="193"/>
      <c r="V3634" s="193"/>
      <c r="W3634" s="193"/>
      <c r="X3634" s="193"/>
      <c r="Y3634" s="193"/>
      <c r="Z3634" s="193"/>
      <c r="AC3634" s="193"/>
      <c r="AD3634" s="193"/>
      <c r="AE3634" s="193"/>
      <c r="AF3634" s="193"/>
    </row>
    <row r="3635" spans="21:32" x14ac:dyDescent="0.3">
      <c r="U3635" s="193"/>
      <c r="V3635" s="193"/>
      <c r="W3635" s="193"/>
      <c r="X3635" s="193"/>
      <c r="Y3635" s="193"/>
      <c r="Z3635" s="193"/>
      <c r="AC3635" s="193"/>
      <c r="AD3635" s="193"/>
      <c r="AE3635" s="193"/>
      <c r="AF3635" s="193"/>
    </row>
    <row r="3636" spans="21:32" x14ac:dyDescent="0.3">
      <c r="U3636" s="193"/>
      <c r="V3636" s="193"/>
      <c r="W3636" s="193"/>
      <c r="X3636" s="193"/>
      <c r="Y3636" s="193"/>
      <c r="Z3636" s="193"/>
      <c r="AC3636" s="193"/>
      <c r="AD3636" s="193"/>
      <c r="AE3636" s="193"/>
      <c r="AF3636" s="193"/>
    </row>
    <row r="3637" spans="21:32" x14ac:dyDescent="0.3">
      <c r="U3637" s="193"/>
      <c r="V3637" s="193"/>
      <c r="W3637" s="193"/>
      <c r="X3637" s="193"/>
      <c r="Y3637" s="193"/>
      <c r="Z3637" s="193"/>
      <c r="AC3637" s="193"/>
      <c r="AD3637" s="193"/>
      <c r="AE3637" s="193"/>
      <c r="AF3637" s="193"/>
    </row>
    <row r="3638" spans="21:32" x14ac:dyDescent="0.3">
      <c r="U3638" s="193"/>
      <c r="V3638" s="193"/>
      <c r="W3638" s="193"/>
      <c r="X3638" s="193"/>
      <c r="Y3638" s="193"/>
      <c r="Z3638" s="193"/>
      <c r="AC3638" s="193"/>
      <c r="AD3638" s="193"/>
      <c r="AE3638" s="193"/>
      <c r="AF3638" s="193"/>
    </row>
    <row r="3639" spans="21:32" x14ac:dyDescent="0.3">
      <c r="U3639" s="193"/>
      <c r="V3639" s="193"/>
      <c r="W3639" s="193"/>
      <c r="X3639" s="193"/>
      <c r="Y3639" s="193"/>
      <c r="Z3639" s="193"/>
      <c r="AC3639" s="193"/>
      <c r="AD3639" s="193"/>
      <c r="AE3639" s="193"/>
      <c r="AF3639" s="193"/>
    </row>
    <row r="3640" spans="21:32" x14ac:dyDescent="0.3">
      <c r="U3640" s="193"/>
      <c r="V3640" s="193"/>
      <c r="W3640" s="193"/>
      <c r="X3640" s="193"/>
      <c r="Y3640" s="193"/>
      <c r="Z3640" s="193"/>
      <c r="AC3640" s="193"/>
      <c r="AD3640" s="193"/>
      <c r="AE3640" s="193"/>
      <c r="AF3640" s="193"/>
    </row>
    <row r="3641" spans="21:32" x14ac:dyDescent="0.3">
      <c r="U3641" s="193"/>
      <c r="V3641" s="193"/>
      <c r="W3641" s="193"/>
      <c r="X3641" s="193"/>
      <c r="Y3641" s="193"/>
      <c r="Z3641" s="193"/>
      <c r="AC3641" s="193"/>
      <c r="AD3641" s="193"/>
      <c r="AE3641" s="193"/>
      <c r="AF3641" s="193"/>
    </row>
    <row r="3642" spans="21:32" x14ac:dyDescent="0.3">
      <c r="U3642" s="193"/>
      <c r="V3642" s="193"/>
      <c r="W3642" s="193"/>
      <c r="X3642" s="193"/>
      <c r="Y3642" s="193"/>
      <c r="Z3642" s="193"/>
      <c r="AC3642" s="193"/>
      <c r="AD3642" s="193"/>
      <c r="AE3642" s="193"/>
      <c r="AF3642" s="193"/>
    </row>
    <row r="3643" spans="21:32" x14ac:dyDescent="0.3">
      <c r="U3643" s="193"/>
      <c r="V3643" s="193"/>
      <c r="W3643" s="193"/>
      <c r="X3643" s="193"/>
      <c r="Y3643" s="193"/>
      <c r="Z3643" s="193"/>
      <c r="AC3643" s="193"/>
      <c r="AD3643" s="193"/>
      <c r="AE3643" s="193"/>
      <c r="AF3643" s="193"/>
    </row>
    <row r="3644" spans="21:32" x14ac:dyDescent="0.3">
      <c r="U3644" s="193"/>
      <c r="V3644" s="193"/>
      <c r="W3644" s="193"/>
      <c r="X3644" s="193"/>
      <c r="Y3644" s="193"/>
      <c r="Z3644" s="193"/>
      <c r="AC3644" s="193"/>
      <c r="AD3644" s="193"/>
      <c r="AE3644" s="193"/>
      <c r="AF3644" s="193"/>
    </row>
    <row r="3645" spans="21:32" x14ac:dyDescent="0.3">
      <c r="U3645" s="193"/>
      <c r="V3645" s="193"/>
      <c r="W3645" s="193"/>
      <c r="X3645" s="193"/>
      <c r="Y3645" s="193"/>
      <c r="Z3645" s="193"/>
      <c r="AC3645" s="193"/>
      <c r="AD3645" s="193"/>
      <c r="AE3645" s="193"/>
      <c r="AF3645" s="193"/>
    </row>
    <row r="3646" spans="21:32" x14ac:dyDescent="0.3">
      <c r="U3646" s="193"/>
      <c r="V3646" s="193"/>
      <c r="W3646" s="193"/>
      <c r="X3646" s="193"/>
      <c r="Y3646" s="193"/>
      <c r="Z3646" s="193"/>
      <c r="AC3646" s="193"/>
      <c r="AD3646" s="193"/>
      <c r="AE3646" s="193"/>
      <c r="AF3646" s="193"/>
    </row>
    <row r="3647" spans="21:32" x14ac:dyDescent="0.3">
      <c r="U3647" s="193"/>
      <c r="V3647" s="193"/>
      <c r="W3647" s="193"/>
      <c r="X3647" s="193"/>
      <c r="Y3647" s="193"/>
      <c r="Z3647" s="193"/>
      <c r="AC3647" s="193"/>
      <c r="AD3647" s="193"/>
      <c r="AE3647" s="193"/>
      <c r="AF3647" s="193"/>
    </row>
    <row r="3648" spans="21:32" x14ac:dyDescent="0.3">
      <c r="U3648" s="193"/>
      <c r="V3648" s="193"/>
      <c r="W3648" s="193"/>
      <c r="X3648" s="193"/>
      <c r="Y3648" s="193"/>
      <c r="Z3648" s="193"/>
      <c r="AC3648" s="193"/>
      <c r="AD3648" s="193"/>
      <c r="AE3648" s="193"/>
      <c r="AF3648" s="193"/>
    </row>
    <row r="3649" spans="21:32" x14ac:dyDescent="0.3">
      <c r="U3649" s="193"/>
      <c r="V3649" s="193"/>
      <c r="W3649" s="193"/>
      <c r="X3649" s="193"/>
      <c r="Y3649" s="193"/>
      <c r="Z3649" s="193"/>
      <c r="AC3649" s="193"/>
      <c r="AD3649" s="193"/>
      <c r="AE3649" s="193"/>
      <c r="AF3649" s="193"/>
    </row>
    <row r="3650" spans="21:32" x14ac:dyDescent="0.3">
      <c r="U3650" s="193"/>
      <c r="V3650" s="193"/>
      <c r="W3650" s="193"/>
      <c r="X3650" s="193"/>
      <c r="Y3650" s="193"/>
      <c r="Z3650" s="193"/>
      <c r="AC3650" s="193"/>
      <c r="AD3650" s="193"/>
      <c r="AE3650" s="193"/>
      <c r="AF3650" s="193"/>
    </row>
    <row r="3651" spans="21:32" x14ac:dyDescent="0.3">
      <c r="U3651" s="193"/>
      <c r="V3651" s="193"/>
      <c r="W3651" s="193"/>
      <c r="X3651" s="193"/>
      <c r="Y3651" s="193"/>
      <c r="Z3651" s="193"/>
      <c r="AC3651" s="193"/>
      <c r="AD3651" s="193"/>
      <c r="AE3651" s="193"/>
      <c r="AF3651" s="193"/>
    </row>
    <row r="3652" spans="21:32" x14ac:dyDescent="0.3">
      <c r="U3652" s="193"/>
      <c r="V3652" s="193"/>
      <c r="W3652" s="193"/>
      <c r="X3652" s="193"/>
      <c r="Y3652" s="193"/>
      <c r="Z3652" s="193"/>
      <c r="AC3652" s="193"/>
      <c r="AD3652" s="193"/>
      <c r="AE3652" s="193"/>
      <c r="AF3652" s="193"/>
    </row>
    <row r="3653" spans="21:32" x14ac:dyDescent="0.3">
      <c r="U3653" s="193"/>
      <c r="V3653" s="193"/>
      <c r="W3653" s="193"/>
      <c r="X3653" s="193"/>
      <c r="Y3653" s="193"/>
      <c r="Z3653" s="193"/>
      <c r="AC3653" s="193"/>
      <c r="AD3653" s="193"/>
      <c r="AE3653" s="193"/>
      <c r="AF3653" s="193"/>
    </row>
    <row r="3654" spans="21:32" x14ac:dyDescent="0.3">
      <c r="U3654" s="193"/>
      <c r="V3654" s="193"/>
      <c r="W3654" s="193"/>
      <c r="X3654" s="193"/>
      <c r="Y3654" s="193"/>
      <c r="Z3654" s="193"/>
      <c r="AC3654" s="193"/>
      <c r="AD3654" s="193"/>
      <c r="AE3654" s="193"/>
      <c r="AF3654" s="193"/>
    </row>
    <row r="3655" spans="21:32" x14ac:dyDescent="0.3">
      <c r="U3655" s="193"/>
      <c r="V3655" s="193"/>
      <c r="W3655" s="193"/>
      <c r="X3655" s="193"/>
      <c r="Y3655" s="193"/>
      <c r="Z3655" s="193"/>
      <c r="AC3655" s="193"/>
      <c r="AD3655" s="193"/>
      <c r="AE3655" s="193"/>
      <c r="AF3655" s="193"/>
    </row>
    <row r="3656" spans="21:32" x14ac:dyDescent="0.3">
      <c r="U3656" s="193"/>
      <c r="V3656" s="193"/>
      <c r="W3656" s="193"/>
      <c r="X3656" s="193"/>
      <c r="Y3656" s="193"/>
      <c r="Z3656" s="193"/>
      <c r="AC3656" s="193"/>
      <c r="AD3656" s="193"/>
      <c r="AE3656" s="193"/>
      <c r="AF3656" s="193"/>
    </row>
    <row r="3657" spans="21:32" x14ac:dyDescent="0.3">
      <c r="U3657" s="193"/>
      <c r="V3657" s="193"/>
      <c r="W3657" s="193"/>
      <c r="X3657" s="193"/>
      <c r="Y3657" s="193"/>
      <c r="Z3657" s="193"/>
      <c r="AC3657" s="193"/>
      <c r="AD3657" s="193"/>
      <c r="AE3657" s="193"/>
      <c r="AF3657" s="193"/>
    </row>
    <row r="3658" spans="21:32" x14ac:dyDescent="0.3">
      <c r="U3658" s="193"/>
      <c r="V3658" s="193"/>
      <c r="W3658" s="193"/>
      <c r="X3658" s="193"/>
      <c r="Y3658" s="193"/>
      <c r="Z3658" s="193"/>
      <c r="AC3658" s="193"/>
      <c r="AD3658" s="193"/>
      <c r="AE3658" s="193"/>
      <c r="AF3658" s="193"/>
    </row>
    <row r="3659" spans="21:32" x14ac:dyDescent="0.3">
      <c r="U3659" s="193"/>
      <c r="V3659" s="193"/>
      <c r="W3659" s="193"/>
      <c r="X3659" s="193"/>
      <c r="Y3659" s="193"/>
      <c r="Z3659" s="193"/>
      <c r="AC3659" s="193"/>
      <c r="AD3659" s="193"/>
      <c r="AE3659" s="193"/>
      <c r="AF3659" s="193"/>
    </row>
    <row r="3660" spans="21:32" x14ac:dyDescent="0.3">
      <c r="U3660" s="193"/>
      <c r="V3660" s="193"/>
      <c r="W3660" s="193"/>
      <c r="X3660" s="193"/>
      <c r="Y3660" s="193"/>
      <c r="Z3660" s="193"/>
      <c r="AC3660" s="193"/>
      <c r="AD3660" s="193"/>
      <c r="AE3660" s="193"/>
      <c r="AF3660" s="193"/>
    </row>
    <row r="3661" spans="21:32" x14ac:dyDescent="0.3">
      <c r="U3661" s="193"/>
      <c r="V3661" s="193"/>
      <c r="W3661" s="193"/>
      <c r="X3661" s="193"/>
      <c r="Y3661" s="193"/>
      <c r="Z3661" s="193"/>
      <c r="AC3661" s="193"/>
      <c r="AD3661" s="193"/>
      <c r="AE3661" s="193"/>
      <c r="AF3661" s="193"/>
    </row>
    <row r="3662" spans="21:32" x14ac:dyDescent="0.3">
      <c r="U3662" s="193"/>
      <c r="V3662" s="193"/>
      <c r="W3662" s="193"/>
      <c r="X3662" s="193"/>
      <c r="Y3662" s="193"/>
      <c r="Z3662" s="193"/>
      <c r="AC3662" s="193"/>
      <c r="AD3662" s="193"/>
      <c r="AE3662" s="193"/>
      <c r="AF3662" s="193"/>
    </row>
    <row r="3663" spans="21:32" x14ac:dyDescent="0.3">
      <c r="U3663" s="193"/>
      <c r="V3663" s="193"/>
      <c r="W3663" s="193"/>
      <c r="X3663" s="193"/>
      <c r="Y3663" s="193"/>
      <c r="Z3663" s="193"/>
      <c r="AC3663" s="193"/>
      <c r="AD3663" s="193"/>
      <c r="AE3663" s="193"/>
      <c r="AF3663" s="193"/>
    </row>
    <row r="3664" spans="21:32" x14ac:dyDescent="0.3">
      <c r="U3664" s="193"/>
      <c r="V3664" s="193"/>
      <c r="W3664" s="193"/>
      <c r="X3664" s="193"/>
      <c r="Y3664" s="193"/>
      <c r="Z3664" s="193"/>
      <c r="AC3664" s="193"/>
      <c r="AD3664" s="193"/>
      <c r="AE3664" s="193"/>
      <c r="AF3664" s="193"/>
    </row>
    <row r="3665" spans="21:32" x14ac:dyDescent="0.3">
      <c r="U3665" s="193"/>
      <c r="V3665" s="193"/>
      <c r="W3665" s="193"/>
      <c r="X3665" s="193"/>
      <c r="Y3665" s="193"/>
      <c r="Z3665" s="193"/>
      <c r="AC3665" s="193"/>
      <c r="AD3665" s="193"/>
      <c r="AE3665" s="193"/>
      <c r="AF3665" s="193"/>
    </row>
    <row r="3666" spans="21:32" x14ac:dyDescent="0.3">
      <c r="U3666" s="193"/>
      <c r="V3666" s="193"/>
      <c r="W3666" s="193"/>
      <c r="X3666" s="193"/>
      <c r="Y3666" s="193"/>
      <c r="Z3666" s="193"/>
      <c r="AC3666" s="193"/>
      <c r="AD3666" s="193"/>
      <c r="AE3666" s="193"/>
      <c r="AF3666" s="193"/>
    </row>
    <row r="3667" spans="21:32" x14ac:dyDescent="0.3">
      <c r="U3667" s="193"/>
      <c r="V3667" s="193"/>
      <c r="W3667" s="193"/>
      <c r="X3667" s="193"/>
      <c r="Y3667" s="193"/>
      <c r="Z3667" s="193"/>
      <c r="AC3667" s="193"/>
      <c r="AD3667" s="193"/>
      <c r="AE3667" s="193"/>
      <c r="AF3667" s="193"/>
    </row>
    <row r="3668" spans="21:32" x14ac:dyDescent="0.3">
      <c r="U3668" s="193"/>
      <c r="V3668" s="193"/>
      <c r="W3668" s="193"/>
      <c r="X3668" s="193"/>
      <c r="Y3668" s="193"/>
      <c r="Z3668" s="193"/>
      <c r="AC3668" s="193"/>
      <c r="AD3668" s="193"/>
      <c r="AE3668" s="193"/>
      <c r="AF3668" s="193"/>
    </row>
    <row r="3669" spans="21:32" x14ac:dyDescent="0.3">
      <c r="U3669" s="193"/>
      <c r="V3669" s="193"/>
      <c r="W3669" s="193"/>
      <c r="X3669" s="193"/>
      <c r="Y3669" s="193"/>
      <c r="Z3669" s="193"/>
      <c r="AC3669" s="193"/>
      <c r="AD3669" s="193"/>
      <c r="AE3669" s="193"/>
      <c r="AF3669" s="193"/>
    </row>
    <row r="3670" spans="21:32" x14ac:dyDescent="0.3">
      <c r="U3670" s="193"/>
      <c r="V3670" s="193"/>
      <c r="W3670" s="193"/>
      <c r="X3670" s="193"/>
      <c r="Y3670" s="193"/>
      <c r="Z3670" s="193"/>
      <c r="AC3670" s="193"/>
      <c r="AD3670" s="193"/>
      <c r="AE3670" s="193"/>
      <c r="AF3670" s="193"/>
    </row>
    <row r="3671" spans="21:32" x14ac:dyDescent="0.3">
      <c r="U3671" s="193"/>
      <c r="V3671" s="193"/>
      <c r="W3671" s="193"/>
      <c r="X3671" s="193"/>
      <c r="Y3671" s="193"/>
      <c r="Z3671" s="193"/>
      <c r="AC3671" s="193"/>
      <c r="AD3671" s="193"/>
      <c r="AE3671" s="193"/>
      <c r="AF3671" s="193"/>
    </row>
    <row r="3672" spans="21:32" x14ac:dyDescent="0.3">
      <c r="U3672" s="193"/>
      <c r="V3672" s="193"/>
      <c r="W3672" s="193"/>
      <c r="X3672" s="193"/>
      <c r="Y3672" s="193"/>
      <c r="Z3672" s="193"/>
      <c r="AC3672" s="193"/>
      <c r="AD3672" s="193"/>
      <c r="AE3672" s="193"/>
      <c r="AF3672" s="193"/>
    </row>
    <row r="3673" spans="21:32" x14ac:dyDescent="0.3">
      <c r="U3673" s="193"/>
      <c r="V3673" s="193"/>
      <c r="W3673" s="193"/>
      <c r="X3673" s="193"/>
      <c r="Y3673" s="193"/>
      <c r="Z3673" s="193"/>
      <c r="AC3673" s="193"/>
      <c r="AD3673" s="193"/>
      <c r="AE3673" s="193"/>
      <c r="AF3673" s="193"/>
    </row>
    <row r="3674" spans="21:32" x14ac:dyDescent="0.3">
      <c r="U3674" s="193"/>
      <c r="V3674" s="193"/>
      <c r="W3674" s="193"/>
      <c r="X3674" s="193"/>
      <c r="Y3674" s="193"/>
      <c r="Z3674" s="193"/>
      <c r="AC3674" s="193"/>
      <c r="AD3674" s="193"/>
      <c r="AE3674" s="193"/>
      <c r="AF3674" s="193"/>
    </row>
    <row r="3675" spans="21:32" x14ac:dyDescent="0.3">
      <c r="U3675" s="193"/>
      <c r="V3675" s="193"/>
      <c r="W3675" s="193"/>
      <c r="X3675" s="193"/>
      <c r="Y3675" s="193"/>
      <c r="Z3675" s="193"/>
      <c r="AC3675" s="193"/>
      <c r="AD3675" s="193"/>
      <c r="AE3675" s="193"/>
      <c r="AF3675" s="193"/>
    </row>
    <row r="3676" spans="21:32" x14ac:dyDescent="0.3">
      <c r="U3676" s="193"/>
      <c r="V3676" s="193"/>
      <c r="W3676" s="193"/>
      <c r="X3676" s="193"/>
      <c r="Y3676" s="193"/>
      <c r="Z3676" s="193"/>
      <c r="AC3676" s="193"/>
      <c r="AD3676" s="193"/>
      <c r="AE3676" s="193"/>
      <c r="AF3676" s="193"/>
    </row>
    <row r="3677" spans="21:32" x14ac:dyDescent="0.3">
      <c r="U3677" s="193"/>
      <c r="V3677" s="193"/>
      <c r="W3677" s="193"/>
      <c r="X3677" s="193"/>
      <c r="Y3677" s="193"/>
      <c r="Z3677" s="193"/>
      <c r="AC3677" s="193"/>
      <c r="AD3677" s="193"/>
      <c r="AE3677" s="193"/>
      <c r="AF3677" s="193"/>
    </row>
    <row r="3678" spans="21:32" x14ac:dyDescent="0.3">
      <c r="U3678" s="193"/>
      <c r="V3678" s="193"/>
      <c r="W3678" s="193"/>
      <c r="X3678" s="193"/>
      <c r="Y3678" s="193"/>
      <c r="Z3678" s="193"/>
      <c r="AC3678" s="193"/>
      <c r="AD3678" s="193"/>
      <c r="AE3678" s="193"/>
      <c r="AF3678" s="193"/>
    </row>
    <row r="3679" spans="21:32" x14ac:dyDescent="0.3">
      <c r="U3679" s="193"/>
      <c r="V3679" s="193"/>
      <c r="W3679" s="193"/>
      <c r="X3679" s="193"/>
      <c r="Y3679" s="193"/>
      <c r="Z3679" s="193"/>
      <c r="AC3679" s="193"/>
      <c r="AD3679" s="193"/>
      <c r="AE3679" s="193"/>
      <c r="AF3679" s="193"/>
    </row>
    <row r="3680" spans="21:32" x14ac:dyDescent="0.3">
      <c r="U3680" s="193"/>
      <c r="V3680" s="193"/>
      <c r="W3680" s="193"/>
      <c r="X3680" s="193"/>
      <c r="Y3680" s="193"/>
      <c r="Z3680" s="193"/>
      <c r="AC3680" s="193"/>
      <c r="AD3680" s="193"/>
      <c r="AE3680" s="193"/>
      <c r="AF3680" s="193"/>
    </row>
    <row r="3681" spans="21:32" x14ac:dyDescent="0.3">
      <c r="U3681" s="193"/>
      <c r="V3681" s="193"/>
      <c r="W3681" s="193"/>
      <c r="X3681" s="193"/>
      <c r="Y3681" s="193"/>
      <c r="Z3681" s="193"/>
      <c r="AC3681" s="193"/>
      <c r="AD3681" s="193"/>
      <c r="AE3681" s="193"/>
      <c r="AF3681" s="193"/>
    </row>
    <row r="3682" spans="21:32" x14ac:dyDescent="0.3">
      <c r="U3682" s="193"/>
      <c r="V3682" s="193"/>
      <c r="W3682" s="193"/>
      <c r="X3682" s="193"/>
      <c r="Y3682" s="193"/>
      <c r="Z3682" s="193"/>
      <c r="AC3682" s="193"/>
      <c r="AD3682" s="193"/>
      <c r="AE3682" s="193"/>
      <c r="AF3682" s="193"/>
    </row>
    <row r="3683" spans="21:32" x14ac:dyDescent="0.3">
      <c r="U3683" s="193"/>
      <c r="V3683" s="193"/>
      <c r="W3683" s="193"/>
      <c r="X3683" s="193"/>
      <c r="Y3683" s="193"/>
      <c r="Z3683" s="193"/>
      <c r="AC3683" s="193"/>
      <c r="AD3683" s="193"/>
      <c r="AE3683" s="193"/>
      <c r="AF3683" s="193"/>
    </row>
    <row r="3684" spans="21:32" x14ac:dyDescent="0.3">
      <c r="U3684" s="193"/>
      <c r="V3684" s="193"/>
      <c r="W3684" s="193"/>
      <c r="X3684" s="193"/>
      <c r="Y3684" s="193"/>
      <c r="Z3684" s="193"/>
      <c r="AC3684" s="193"/>
      <c r="AD3684" s="193"/>
      <c r="AE3684" s="193"/>
      <c r="AF3684" s="193"/>
    </row>
    <row r="3685" spans="21:32" x14ac:dyDescent="0.3">
      <c r="U3685" s="193"/>
      <c r="V3685" s="193"/>
      <c r="W3685" s="193"/>
      <c r="X3685" s="193"/>
      <c r="Y3685" s="193"/>
      <c r="Z3685" s="193"/>
      <c r="AC3685" s="193"/>
      <c r="AD3685" s="193"/>
      <c r="AE3685" s="193"/>
      <c r="AF3685" s="193"/>
    </row>
    <row r="3686" spans="21:32" x14ac:dyDescent="0.3">
      <c r="U3686" s="193"/>
      <c r="V3686" s="193"/>
      <c r="W3686" s="193"/>
      <c r="X3686" s="193"/>
      <c r="Y3686" s="193"/>
      <c r="Z3686" s="193"/>
      <c r="AC3686" s="193"/>
      <c r="AD3686" s="193"/>
      <c r="AE3686" s="193"/>
      <c r="AF3686" s="193"/>
    </row>
    <row r="3687" spans="21:32" x14ac:dyDescent="0.3">
      <c r="U3687" s="193"/>
      <c r="V3687" s="193"/>
      <c r="W3687" s="193"/>
      <c r="X3687" s="193"/>
      <c r="Y3687" s="193"/>
      <c r="Z3687" s="193"/>
      <c r="AC3687" s="193"/>
      <c r="AD3687" s="193"/>
      <c r="AE3687" s="193"/>
      <c r="AF3687" s="193"/>
    </row>
    <row r="3688" spans="21:32" x14ac:dyDescent="0.3">
      <c r="U3688" s="193"/>
      <c r="V3688" s="193"/>
      <c r="W3688" s="193"/>
      <c r="X3688" s="193"/>
      <c r="Y3688" s="193"/>
      <c r="Z3688" s="193"/>
      <c r="AC3688" s="193"/>
      <c r="AD3688" s="193"/>
      <c r="AE3688" s="193"/>
      <c r="AF3688" s="193"/>
    </row>
    <row r="3689" spans="21:32" x14ac:dyDescent="0.3">
      <c r="U3689" s="193"/>
      <c r="V3689" s="193"/>
      <c r="W3689" s="193"/>
      <c r="X3689" s="193"/>
      <c r="Y3689" s="193"/>
      <c r="Z3689" s="193"/>
      <c r="AC3689" s="193"/>
      <c r="AD3689" s="193"/>
      <c r="AE3689" s="193"/>
      <c r="AF3689" s="193"/>
    </row>
    <row r="3690" spans="21:32" x14ac:dyDescent="0.3">
      <c r="U3690" s="193"/>
      <c r="V3690" s="193"/>
      <c r="W3690" s="193"/>
      <c r="X3690" s="193"/>
      <c r="Y3690" s="193"/>
      <c r="Z3690" s="193"/>
      <c r="AC3690" s="193"/>
      <c r="AD3690" s="193"/>
      <c r="AE3690" s="193"/>
      <c r="AF3690" s="193"/>
    </row>
    <row r="3691" spans="21:32" x14ac:dyDescent="0.3">
      <c r="U3691" s="193"/>
      <c r="V3691" s="193"/>
      <c r="W3691" s="193"/>
      <c r="X3691" s="193"/>
      <c r="Y3691" s="193"/>
      <c r="Z3691" s="193"/>
      <c r="AC3691" s="193"/>
      <c r="AD3691" s="193"/>
      <c r="AE3691" s="193"/>
      <c r="AF3691" s="193"/>
    </row>
    <row r="3692" spans="21:32" x14ac:dyDescent="0.3">
      <c r="U3692" s="193"/>
      <c r="V3692" s="193"/>
      <c r="W3692" s="193"/>
      <c r="X3692" s="193"/>
      <c r="Y3692" s="193"/>
      <c r="Z3692" s="193"/>
      <c r="AC3692" s="193"/>
      <c r="AD3692" s="193"/>
      <c r="AE3692" s="193"/>
      <c r="AF3692" s="193"/>
    </row>
    <row r="3693" spans="21:32" x14ac:dyDescent="0.3">
      <c r="U3693" s="193"/>
      <c r="V3693" s="193"/>
      <c r="W3693" s="193"/>
      <c r="X3693" s="193"/>
      <c r="Y3693" s="193"/>
      <c r="Z3693" s="193"/>
      <c r="AC3693" s="193"/>
      <c r="AD3693" s="193"/>
      <c r="AE3693" s="193"/>
      <c r="AF3693" s="193"/>
    </row>
    <row r="3694" spans="21:32" x14ac:dyDescent="0.3">
      <c r="U3694" s="193"/>
      <c r="V3694" s="193"/>
      <c r="W3694" s="193"/>
      <c r="X3694" s="193"/>
      <c r="Y3694" s="193"/>
      <c r="Z3694" s="193"/>
      <c r="AC3694" s="193"/>
      <c r="AD3694" s="193"/>
      <c r="AE3694" s="193"/>
      <c r="AF3694" s="193"/>
    </row>
    <row r="3695" spans="21:32" x14ac:dyDescent="0.3">
      <c r="U3695" s="193"/>
      <c r="V3695" s="193"/>
      <c r="W3695" s="193"/>
      <c r="X3695" s="193"/>
      <c r="Y3695" s="193"/>
      <c r="Z3695" s="193"/>
      <c r="AC3695" s="193"/>
      <c r="AD3695" s="193"/>
      <c r="AE3695" s="193"/>
      <c r="AF3695" s="193"/>
    </row>
    <row r="3696" spans="21:32" x14ac:dyDescent="0.3">
      <c r="U3696" s="193"/>
      <c r="V3696" s="193"/>
      <c r="W3696" s="193"/>
      <c r="X3696" s="193"/>
      <c r="Y3696" s="193"/>
      <c r="Z3696" s="193"/>
      <c r="AC3696" s="193"/>
      <c r="AD3696" s="193"/>
      <c r="AE3696" s="193"/>
      <c r="AF3696" s="193"/>
    </row>
    <row r="3697" spans="21:32" x14ac:dyDescent="0.3">
      <c r="U3697" s="193"/>
      <c r="V3697" s="193"/>
      <c r="W3697" s="193"/>
      <c r="X3697" s="193"/>
      <c r="Y3697" s="193"/>
      <c r="Z3697" s="193"/>
      <c r="AC3697" s="193"/>
      <c r="AD3697" s="193"/>
      <c r="AE3697" s="193"/>
      <c r="AF3697" s="193"/>
    </row>
    <row r="3698" spans="21:32" x14ac:dyDescent="0.3">
      <c r="U3698" s="193"/>
      <c r="V3698" s="193"/>
      <c r="W3698" s="193"/>
      <c r="X3698" s="193"/>
      <c r="Y3698" s="193"/>
      <c r="Z3698" s="193"/>
      <c r="AC3698" s="193"/>
      <c r="AD3698" s="193"/>
      <c r="AE3698" s="193"/>
      <c r="AF3698" s="193"/>
    </row>
    <row r="3699" spans="21:32" x14ac:dyDescent="0.3">
      <c r="U3699" s="193"/>
      <c r="V3699" s="193"/>
      <c r="W3699" s="193"/>
      <c r="X3699" s="193"/>
      <c r="Y3699" s="193"/>
      <c r="Z3699" s="193"/>
      <c r="AC3699" s="193"/>
      <c r="AD3699" s="193"/>
      <c r="AE3699" s="193"/>
      <c r="AF3699" s="193"/>
    </row>
    <row r="3700" spans="21:32" x14ac:dyDescent="0.3">
      <c r="U3700" s="193"/>
      <c r="V3700" s="193"/>
      <c r="W3700" s="193"/>
      <c r="X3700" s="193"/>
      <c r="Y3700" s="193"/>
      <c r="Z3700" s="193"/>
      <c r="AC3700" s="193"/>
      <c r="AD3700" s="193"/>
      <c r="AE3700" s="193"/>
      <c r="AF3700" s="193"/>
    </row>
    <row r="3701" spans="21:32" x14ac:dyDescent="0.3">
      <c r="U3701" s="193"/>
      <c r="V3701" s="193"/>
      <c r="W3701" s="193"/>
      <c r="X3701" s="193"/>
      <c r="Y3701" s="193"/>
      <c r="Z3701" s="193"/>
      <c r="AC3701" s="193"/>
      <c r="AD3701" s="193"/>
      <c r="AE3701" s="193"/>
      <c r="AF3701" s="193"/>
    </row>
    <row r="3702" spans="21:32" x14ac:dyDescent="0.3">
      <c r="U3702" s="193"/>
      <c r="V3702" s="193"/>
      <c r="W3702" s="193"/>
      <c r="X3702" s="193"/>
      <c r="Y3702" s="193"/>
      <c r="Z3702" s="193"/>
      <c r="AC3702" s="193"/>
      <c r="AD3702" s="193"/>
      <c r="AE3702" s="193"/>
      <c r="AF3702" s="193"/>
    </row>
    <row r="3703" spans="21:32" x14ac:dyDescent="0.3">
      <c r="U3703" s="193"/>
      <c r="V3703" s="193"/>
      <c r="W3703" s="193"/>
      <c r="X3703" s="193"/>
      <c r="Y3703" s="193"/>
      <c r="Z3703" s="193"/>
      <c r="AC3703" s="193"/>
      <c r="AD3703" s="193"/>
      <c r="AE3703" s="193"/>
      <c r="AF3703" s="193"/>
    </row>
    <row r="3704" spans="21:32" x14ac:dyDescent="0.3">
      <c r="U3704" s="193"/>
      <c r="V3704" s="193"/>
      <c r="W3704" s="193"/>
      <c r="X3704" s="193"/>
      <c r="Y3704" s="193"/>
      <c r="Z3704" s="193"/>
      <c r="AC3704" s="193"/>
      <c r="AD3704" s="193"/>
      <c r="AE3704" s="193"/>
      <c r="AF3704" s="193"/>
    </row>
    <row r="3705" spans="21:32" x14ac:dyDescent="0.3">
      <c r="U3705" s="193"/>
      <c r="V3705" s="193"/>
      <c r="W3705" s="193"/>
      <c r="X3705" s="193"/>
      <c r="Y3705" s="193"/>
      <c r="Z3705" s="193"/>
      <c r="AC3705" s="193"/>
      <c r="AD3705" s="193"/>
      <c r="AE3705" s="193"/>
      <c r="AF3705" s="193"/>
    </row>
    <row r="3706" spans="21:32" x14ac:dyDescent="0.3">
      <c r="U3706" s="193"/>
      <c r="V3706" s="193"/>
      <c r="W3706" s="193"/>
      <c r="X3706" s="193"/>
      <c r="Y3706" s="193"/>
      <c r="Z3706" s="193"/>
      <c r="AC3706" s="193"/>
      <c r="AD3706" s="193"/>
      <c r="AE3706" s="193"/>
      <c r="AF3706" s="193"/>
    </row>
    <row r="3707" spans="21:32" x14ac:dyDescent="0.3">
      <c r="U3707" s="193"/>
      <c r="V3707" s="193"/>
      <c r="W3707" s="193"/>
      <c r="X3707" s="193"/>
      <c r="Y3707" s="193"/>
      <c r="Z3707" s="193"/>
      <c r="AC3707" s="193"/>
      <c r="AD3707" s="193"/>
      <c r="AE3707" s="193"/>
      <c r="AF3707" s="193"/>
    </row>
    <row r="3708" spans="21:32" x14ac:dyDescent="0.3">
      <c r="U3708" s="193"/>
      <c r="V3708" s="193"/>
      <c r="W3708" s="193"/>
      <c r="X3708" s="193"/>
      <c r="Y3708" s="193"/>
      <c r="Z3708" s="193"/>
      <c r="AC3708" s="193"/>
      <c r="AD3708" s="193"/>
      <c r="AE3708" s="193"/>
      <c r="AF3708" s="193"/>
    </row>
    <row r="3709" spans="21:32" x14ac:dyDescent="0.3">
      <c r="U3709" s="193"/>
      <c r="V3709" s="193"/>
      <c r="W3709" s="193"/>
      <c r="X3709" s="193"/>
      <c r="Y3709" s="193"/>
      <c r="Z3709" s="193"/>
      <c r="AC3709" s="193"/>
      <c r="AD3709" s="193"/>
      <c r="AE3709" s="193"/>
      <c r="AF3709" s="193"/>
    </row>
    <row r="3710" spans="21:32" x14ac:dyDescent="0.3">
      <c r="U3710" s="193"/>
      <c r="V3710" s="193"/>
      <c r="W3710" s="193"/>
      <c r="X3710" s="193"/>
      <c r="Y3710" s="193"/>
      <c r="Z3710" s="193"/>
      <c r="AC3710" s="193"/>
      <c r="AD3710" s="193"/>
      <c r="AE3710" s="193"/>
      <c r="AF3710" s="193"/>
    </row>
    <row r="3711" spans="21:32" x14ac:dyDescent="0.3">
      <c r="U3711" s="193"/>
      <c r="V3711" s="193"/>
      <c r="W3711" s="193"/>
      <c r="X3711" s="193"/>
      <c r="Y3711" s="193"/>
      <c r="Z3711" s="193"/>
      <c r="AC3711" s="193"/>
      <c r="AD3711" s="193"/>
      <c r="AE3711" s="193"/>
      <c r="AF3711" s="193"/>
    </row>
    <row r="3712" spans="21:32" x14ac:dyDescent="0.3">
      <c r="U3712" s="193"/>
      <c r="V3712" s="193"/>
      <c r="W3712" s="193"/>
      <c r="X3712" s="193"/>
      <c r="Y3712" s="193"/>
      <c r="Z3712" s="193"/>
      <c r="AC3712" s="193"/>
      <c r="AD3712" s="193"/>
      <c r="AE3712" s="193"/>
      <c r="AF3712" s="193"/>
    </row>
    <row r="3713" spans="21:32" x14ac:dyDescent="0.3">
      <c r="U3713" s="193"/>
      <c r="V3713" s="193"/>
      <c r="W3713" s="193"/>
      <c r="X3713" s="193"/>
      <c r="Y3713" s="193"/>
      <c r="Z3713" s="193"/>
      <c r="AC3713" s="193"/>
      <c r="AD3713" s="193"/>
      <c r="AE3713" s="193"/>
      <c r="AF3713" s="193"/>
    </row>
    <row r="3714" spans="21:32" x14ac:dyDescent="0.3">
      <c r="U3714" s="193"/>
      <c r="V3714" s="193"/>
      <c r="W3714" s="193"/>
      <c r="X3714" s="193"/>
      <c r="Y3714" s="193"/>
      <c r="Z3714" s="193"/>
      <c r="AC3714" s="193"/>
      <c r="AD3714" s="193"/>
      <c r="AE3714" s="193"/>
      <c r="AF3714" s="193"/>
    </row>
    <row r="3715" spans="21:32" x14ac:dyDescent="0.3">
      <c r="U3715" s="193"/>
      <c r="V3715" s="193"/>
      <c r="W3715" s="193"/>
      <c r="X3715" s="193"/>
      <c r="Y3715" s="193"/>
      <c r="Z3715" s="193"/>
      <c r="AC3715" s="193"/>
      <c r="AD3715" s="193"/>
      <c r="AE3715" s="193"/>
      <c r="AF3715" s="193"/>
    </row>
    <row r="3716" spans="21:32" x14ac:dyDescent="0.3">
      <c r="U3716" s="193"/>
      <c r="V3716" s="193"/>
      <c r="W3716" s="193"/>
      <c r="X3716" s="193"/>
      <c r="Y3716" s="193"/>
      <c r="Z3716" s="193"/>
      <c r="AC3716" s="193"/>
      <c r="AD3716" s="193"/>
      <c r="AE3716" s="193"/>
      <c r="AF3716" s="193"/>
    </row>
    <row r="3717" spans="21:32" x14ac:dyDescent="0.3">
      <c r="U3717" s="193"/>
      <c r="V3717" s="193"/>
      <c r="W3717" s="193"/>
      <c r="X3717" s="193"/>
      <c r="Y3717" s="193"/>
      <c r="Z3717" s="193"/>
      <c r="AC3717" s="193"/>
      <c r="AD3717" s="193"/>
      <c r="AE3717" s="193"/>
      <c r="AF3717" s="193"/>
    </row>
    <row r="3718" spans="21:32" x14ac:dyDescent="0.3">
      <c r="U3718" s="193"/>
      <c r="V3718" s="193"/>
      <c r="W3718" s="193"/>
      <c r="X3718" s="193"/>
      <c r="Y3718" s="193"/>
      <c r="Z3718" s="193"/>
      <c r="AC3718" s="193"/>
      <c r="AD3718" s="193"/>
      <c r="AE3718" s="193"/>
      <c r="AF3718" s="193"/>
    </row>
    <row r="3719" spans="21:32" x14ac:dyDescent="0.3">
      <c r="U3719" s="193"/>
      <c r="V3719" s="193"/>
      <c r="W3719" s="193"/>
      <c r="X3719" s="193"/>
      <c r="Y3719" s="193"/>
      <c r="Z3719" s="193"/>
      <c r="AC3719" s="193"/>
      <c r="AD3719" s="193"/>
      <c r="AE3719" s="193"/>
      <c r="AF3719" s="193"/>
    </row>
    <row r="3720" spans="21:32" x14ac:dyDescent="0.3">
      <c r="U3720" s="193"/>
      <c r="V3720" s="193"/>
      <c r="W3720" s="193"/>
      <c r="X3720" s="193"/>
      <c r="Y3720" s="193"/>
      <c r="Z3720" s="193"/>
      <c r="AC3720" s="193"/>
      <c r="AD3720" s="193"/>
      <c r="AE3720" s="193"/>
      <c r="AF3720" s="193"/>
    </row>
    <row r="3721" spans="21:32" x14ac:dyDescent="0.3">
      <c r="U3721" s="193"/>
      <c r="V3721" s="193"/>
      <c r="W3721" s="193"/>
      <c r="X3721" s="193"/>
      <c r="Y3721" s="193"/>
      <c r="Z3721" s="193"/>
      <c r="AC3721" s="193"/>
      <c r="AD3721" s="193"/>
      <c r="AE3721" s="193"/>
      <c r="AF3721" s="193"/>
    </row>
    <row r="3722" spans="21:32" x14ac:dyDescent="0.3">
      <c r="U3722" s="193"/>
      <c r="V3722" s="193"/>
      <c r="W3722" s="193"/>
      <c r="X3722" s="193"/>
      <c r="Y3722" s="193"/>
      <c r="Z3722" s="193"/>
      <c r="AC3722" s="193"/>
      <c r="AD3722" s="193"/>
      <c r="AE3722" s="193"/>
      <c r="AF3722" s="193"/>
    </row>
    <row r="3723" spans="21:32" x14ac:dyDescent="0.3">
      <c r="U3723" s="193"/>
      <c r="V3723" s="193"/>
      <c r="W3723" s="193"/>
      <c r="X3723" s="193"/>
      <c r="Y3723" s="193"/>
      <c r="Z3723" s="193"/>
      <c r="AC3723" s="193"/>
      <c r="AD3723" s="193"/>
      <c r="AE3723" s="193"/>
      <c r="AF3723" s="193"/>
    </row>
    <row r="3724" spans="21:32" x14ac:dyDescent="0.3">
      <c r="U3724" s="193"/>
      <c r="V3724" s="193"/>
      <c r="W3724" s="193"/>
      <c r="X3724" s="193"/>
      <c r="Y3724" s="193"/>
      <c r="Z3724" s="193"/>
      <c r="AC3724" s="193"/>
      <c r="AD3724" s="193"/>
      <c r="AE3724" s="193"/>
      <c r="AF3724" s="193"/>
    </row>
    <row r="3725" spans="21:32" x14ac:dyDescent="0.3">
      <c r="U3725" s="193"/>
      <c r="V3725" s="193"/>
      <c r="W3725" s="193"/>
      <c r="X3725" s="193"/>
      <c r="Y3725" s="193"/>
      <c r="Z3725" s="193"/>
      <c r="AC3725" s="193"/>
      <c r="AD3725" s="193"/>
      <c r="AE3725" s="193"/>
      <c r="AF3725" s="193"/>
    </row>
    <row r="3726" spans="21:32" x14ac:dyDescent="0.3">
      <c r="U3726" s="193"/>
      <c r="V3726" s="193"/>
      <c r="W3726" s="193"/>
      <c r="X3726" s="193"/>
      <c r="Y3726" s="193"/>
      <c r="Z3726" s="193"/>
      <c r="AC3726" s="193"/>
      <c r="AD3726" s="193"/>
      <c r="AE3726" s="193"/>
      <c r="AF3726" s="193"/>
    </row>
    <row r="3727" spans="21:32" x14ac:dyDescent="0.3">
      <c r="U3727" s="193"/>
      <c r="V3727" s="193"/>
      <c r="W3727" s="193"/>
      <c r="X3727" s="193"/>
      <c r="Y3727" s="193"/>
      <c r="Z3727" s="193"/>
      <c r="AC3727" s="193"/>
      <c r="AD3727" s="193"/>
      <c r="AE3727" s="193"/>
      <c r="AF3727" s="193"/>
    </row>
    <row r="3728" spans="21:32" x14ac:dyDescent="0.3">
      <c r="U3728" s="193"/>
      <c r="V3728" s="193"/>
      <c r="W3728" s="193"/>
      <c r="X3728" s="193"/>
      <c r="Y3728" s="193"/>
      <c r="Z3728" s="193"/>
      <c r="AC3728" s="193"/>
      <c r="AD3728" s="193"/>
      <c r="AE3728" s="193"/>
      <c r="AF3728" s="193"/>
    </row>
    <row r="3729" spans="21:32" x14ac:dyDescent="0.3">
      <c r="U3729" s="193"/>
      <c r="V3729" s="193"/>
      <c r="W3729" s="193"/>
      <c r="X3729" s="193"/>
      <c r="Y3729" s="193"/>
      <c r="Z3729" s="193"/>
      <c r="AC3729" s="193"/>
      <c r="AD3729" s="193"/>
      <c r="AE3729" s="193"/>
      <c r="AF3729" s="193"/>
    </row>
    <row r="3730" spans="21:32" x14ac:dyDescent="0.3">
      <c r="U3730" s="193"/>
      <c r="V3730" s="193"/>
      <c r="W3730" s="193"/>
      <c r="X3730" s="193"/>
      <c r="Y3730" s="193"/>
      <c r="Z3730" s="193"/>
      <c r="AC3730" s="193"/>
      <c r="AD3730" s="193"/>
      <c r="AE3730" s="193"/>
      <c r="AF3730" s="193"/>
    </row>
    <row r="3731" spans="21:32" x14ac:dyDescent="0.3">
      <c r="U3731" s="193"/>
      <c r="V3731" s="193"/>
      <c r="W3731" s="193"/>
      <c r="X3731" s="193"/>
      <c r="Y3731" s="193"/>
      <c r="Z3731" s="193"/>
      <c r="AC3731" s="193"/>
      <c r="AD3731" s="193"/>
      <c r="AE3731" s="193"/>
      <c r="AF3731" s="193"/>
    </row>
    <row r="3732" spans="21:32" x14ac:dyDescent="0.3">
      <c r="U3732" s="193"/>
      <c r="V3732" s="193"/>
      <c r="W3732" s="193"/>
      <c r="X3732" s="193"/>
      <c r="Y3732" s="193"/>
      <c r="Z3732" s="193"/>
      <c r="AC3732" s="193"/>
      <c r="AD3732" s="193"/>
      <c r="AE3732" s="193"/>
      <c r="AF3732" s="193"/>
    </row>
    <row r="3733" spans="21:32" x14ac:dyDescent="0.3">
      <c r="U3733" s="193"/>
      <c r="V3733" s="193"/>
      <c r="W3733" s="193"/>
      <c r="X3733" s="193"/>
      <c r="Y3733" s="193"/>
      <c r="Z3733" s="193"/>
      <c r="AC3733" s="193"/>
      <c r="AD3733" s="193"/>
      <c r="AE3733" s="193"/>
      <c r="AF3733" s="193"/>
    </row>
    <row r="3734" spans="21:32" x14ac:dyDescent="0.3">
      <c r="U3734" s="193"/>
      <c r="V3734" s="193"/>
      <c r="W3734" s="193"/>
      <c r="X3734" s="193"/>
      <c r="Y3734" s="193"/>
      <c r="Z3734" s="193"/>
      <c r="AC3734" s="193"/>
      <c r="AD3734" s="193"/>
      <c r="AE3734" s="193"/>
      <c r="AF3734" s="193"/>
    </row>
    <row r="3735" spans="21:32" x14ac:dyDescent="0.3">
      <c r="U3735" s="193"/>
      <c r="V3735" s="193"/>
      <c r="W3735" s="193"/>
      <c r="X3735" s="193"/>
      <c r="Y3735" s="193"/>
      <c r="Z3735" s="193"/>
      <c r="AC3735" s="193"/>
      <c r="AD3735" s="193"/>
      <c r="AE3735" s="193"/>
      <c r="AF3735" s="193"/>
    </row>
    <row r="3736" spans="21:32" x14ac:dyDescent="0.3">
      <c r="U3736" s="193"/>
      <c r="V3736" s="193"/>
      <c r="W3736" s="193"/>
      <c r="X3736" s="193"/>
      <c r="Y3736" s="193"/>
      <c r="Z3736" s="193"/>
      <c r="AC3736" s="193"/>
      <c r="AD3736" s="193"/>
      <c r="AE3736" s="193"/>
      <c r="AF3736" s="193"/>
    </row>
    <row r="3737" spans="21:32" x14ac:dyDescent="0.3">
      <c r="U3737" s="193"/>
      <c r="V3737" s="193"/>
      <c r="W3737" s="193"/>
      <c r="X3737" s="193"/>
      <c r="Y3737" s="193"/>
      <c r="Z3737" s="193"/>
      <c r="AC3737" s="193"/>
      <c r="AD3737" s="193"/>
      <c r="AE3737" s="193"/>
      <c r="AF3737" s="193"/>
    </row>
    <row r="3738" spans="21:32" x14ac:dyDescent="0.3">
      <c r="U3738" s="193"/>
      <c r="V3738" s="193"/>
      <c r="W3738" s="193"/>
      <c r="X3738" s="193"/>
      <c r="Y3738" s="193"/>
      <c r="Z3738" s="193"/>
      <c r="AC3738" s="193"/>
      <c r="AD3738" s="193"/>
      <c r="AE3738" s="193"/>
      <c r="AF3738" s="193"/>
    </row>
    <row r="3739" spans="21:32" x14ac:dyDescent="0.3">
      <c r="U3739" s="193"/>
      <c r="V3739" s="193"/>
      <c r="W3739" s="193"/>
      <c r="X3739" s="193"/>
      <c r="Y3739" s="193"/>
      <c r="Z3739" s="193"/>
      <c r="AC3739" s="193"/>
      <c r="AD3739" s="193"/>
      <c r="AE3739" s="193"/>
      <c r="AF3739" s="193"/>
    </row>
    <row r="3740" spans="21:32" x14ac:dyDescent="0.3">
      <c r="U3740" s="193"/>
      <c r="V3740" s="193"/>
      <c r="W3740" s="193"/>
      <c r="X3740" s="193"/>
      <c r="Y3740" s="193"/>
      <c r="Z3740" s="193"/>
      <c r="AC3740" s="193"/>
      <c r="AD3740" s="193"/>
      <c r="AE3740" s="193"/>
      <c r="AF3740" s="193"/>
    </row>
    <row r="3741" spans="21:32" x14ac:dyDescent="0.3">
      <c r="U3741" s="193"/>
      <c r="V3741" s="193"/>
      <c r="W3741" s="193"/>
      <c r="X3741" s="193"/>
      <c r="Y3741" s="193"/>
      <c r="Z3741" s="193"/>
      <c r="AC3741" s="193"/>
      <c r="AD3741" s="193"/>
      <c r="AE3741" s="193"/>
      <c r="AF3741" s="193"/>
    </row>
    <row r="3742" spans="21:32" x14ac:dyDescent="0.3">
      <c r="U3742" s="193"/>
      <c r="V3742" s="193"/>
      <c r="W3742" s="193"/>
      <c r="X3742" s="193"/>
      <c r="Y3742" s="193"/>
      <c r="Z3742" s="193"/>
      <c r="AC3742" s="193"/>
      <c r="AD3742" s="193"/>
      <c r="AE3742" s="193"/>
      <c r="AF3742" s="193"/>
    </row>
    <row r="3743" spans="21:32" x14ac:dyDescent="0.3">
      <c r="U3743" s="193"/>
      <c r="V3743" s="193"/>
      <c r="W3743" s="193"/>
      <c r="X3743" s="193"/>
      <c r="Y3743" s="193"/>
      <c r="Z3743" s="193"/>
      <c r="AC3743" s="193"/>
      <c r="AD3743" s="193"/>
      <c r="AE3743" s="193"/>
      <c r="AF3743" s="193"/>
    </row>
    <row r="3744" spans="21:32" x14ac:dyDescent="0.3">
      <c r="U3744" s="193"/>
      <c r="V3744" s="193"/>
      <c r="W3744" s="193"/>
      <c r="X3744" s="193"/>
      <c r="Y3744" s="193"/>
      <c r="Z3744" s="193"/>
      <c r="AC3744" s="193"/>
      <c r="AD3744" s="193"/>
      <c r="AE3744" s="193"/>
      <c r="AF3744" s="193"/>
    </row>
    <row r="3745" spans="21:32" x14ac:dyDescent="0.3">
      <c r="U3745" s="193"/>
      <c r="V3745" s="193"/>
      <c r="W3745" s="193"/>
      <c r="X3745" s="193"/>
      <c r="Y3745" s="193"/>
      <c r="Z3745" s="193"/>
      <c r="AC3745" s="193"/>
      <c r="AD3745" s="193"/>
      <c r="AE3745" s="193"/>
      <c r="AF3745" s="193"/>
    </row>
    <row r="3746" spans="21:32" x14ac:dyDescent="0.3">
      <c r="U3746" s="193"/>
      <c r="V3746" s="193"/>
      <c r="W3746" s="193"/>
      <c r="X3746" s="193"/>
      <c r="Y3746" s="193"/>
      <c r="Z3746" s="193"/>
      <c r="AC3746" s="193"/>
      <c r="AD3746" s="193"/>
      <c r="AE3746" s="193"/>
      <c r="AF3746" s="193"/>
    </row>
    <row r="3747" spans="21:32" x14ac:dyDescent="0.3">
      <c r="U3747" s="193"/>
      <c r="V3747" s="193"/>
      <c r="W3747" s="193"/>
      <c r="X3747" s="193"/>
      <c r="Y3747" s="193"/>
      <c r="Z3747" s="193"/>
      <c r="AC3747" s="193"/>
      <c r="AD3747" s="193"/>
      <c r="AE3747" s="193"/>
      <c r="AF3747" s="193"/>
    </row>
    <row r="3748" spans="21:32" x14ac:dyDescent="0.3">
      <c r="U3748" s="193"/>
      <c r="V3748" s="193"/>
      <c r="W3748" s="193"/>
      <c r="X3748" s="193"/>
      <c r="Y3748" s="193"/>
      <c r="Z3748" s="193"/>
      <c r="AC3748" s="193"/>
      <c r="AD3748" s="193"/>
      <c r="AE3748" s="193"/>
      <c r="AF3748" s="193"/>
    </row>
    <row r="3749" spans="21:32" x14ac:dyDescent="0.3">
      <c r="U3749" s="193"/>
      <c r="V3749" s="193"/>
      <c r="W3749" s="193"/>
      <c r="X3749" s="193"/>
      <c r="Y3749" s="193"/>
      <c r="Z3749" s="193"/>
      <c r="AC3749" s="193"/>
      <c r="AD3749" s="193"/>
      <c r="AE3749" s="193"/>
      <c r="AF3749" s="193"/>
    </row>
    <row r="3750" spans="21:32" x14ac:dyDescent="0.3">
      <c r="U3750" s="193"/>
      <c r="V3750" s="193"/>
      <c r="W3750" s="193"/>
      <c r="X3750" s="193"/>
      <c r="Y3750" s="193"/>
      <c r="Z3750" s="193"/>
      <c r="AC3750" s="193"/>
      <c r="AD3750" s="193"/>
      <c r="AE3750" s="193"/>
      <c r="AF3750" s="193"/>
    </row>
    <row r="3751" spans="21:32" x14ac:dyDescent="0.3">
      <c r="U3751" s="193"/>
      <c r="V3751" s="193"/>
      <c r="W3751" s="193"/>
      <c r="X3751" s="193"/>
      <c r="Y3751" s="193"/>
      <c r="Z3751" s="193"/>
      <c r="AC3751" s="193"/>
      <c r="AD3751" s="193"/>
      <c r="AE3751" s="193"/>
      <c r="AF3751" s="193"/>
    </row>
    <row r="3752" spans="21:32" x14ac:dyDescent="0.3">
      <c r="U3752" s="193"/>
      <c r="V3752" s="193"/>
      <c r="W3752" s="193"/>
      <c r="X3752" s="193"/>
      <c r="Y3752" s="193"/>
      <c r="Z3752" s="193"/>
      <c r="AC3752" s="193"/>
      <c r="AD3752" s="193"/>
      <c r="AE3752" s="193"/>
      <c r="AF3752" s="193"/>
    </row>
    <row r="3753" spans="21:32" x14ac:dyDescent="0.3">
      <c r="U3753" s="193"/>
      <c r="V3753" s="193"/>
      <c r="W3753" s="193"/>
      <c r="X3753" s="193"/>
      <c r="Y3753" s="193"/>
      <c r="Z3753" s="193"/>
      <c r="AC3753" s="193"/>
      <c r="AD3753" s="193"/>
      <c r="AE3753" s="193"/>
      <c r="AF3753" s="193"/>
    </row>
    <row r="3754" spans="21:32" x14ac:dyDescent="0.3">
      <c r="U3754" s="193"/>
      <c r="V3754" s="193"/>
      <c r="W3754" s="193"/>
      <c r="X3754" s="193"/>
      <c r="Y3754" s="193"/>
      <c r="Z3754" s="193"/>
      <c r="AC3754" s="193"/>
      <c r="AD3754" s="193"/>
      <c r="AE3754" s="193"/>
      <c r="AF3754" s="193"/>
    </row>
    <row r="3755" spans="21:32" x14ac:dyDescent="0.3">
      <c r="U3755" s="193"/>
      <c r="V3755" s="193"/>
      <c r="W3755" s="193"/>
      <c r="X3755" s="193"/>
      <c r="Y3755" s="193"/>
      <c r="Z3755" s="193"/>
      <c r="AC3755" s="193"/>
      <c r="AD3755" s="193"/>
      <c r="AE3755" s="193"/>
      <c r="AF3755" s="193"/>
    </row>
    <row r="3756" spans="21:32" x14ac:dyDescent="0.3">
      <c r="U3756" s="193"/>
      <c r="V3756" s="193"/>
      <c r="W3756" s="193"/>
      <c r="X3756" s="193"/>
      <c r="Y3756" s="193"/>
      <c r="Z3756" s="193"/>
      <c r="AC3756" s="193"/>
      <c r="AD3756" s="193"/>
      <c r="AE3756" s="193"/>
      <c r="AF3756" s="193"/>
    </row>
    <row r="3757" spans="21:32" x14ac:dyDescent="0.3">
      <c r="U3757" s="193"/>
      <c r="V3757" s="193"/>
      <c r="W3757" s="193"/>
      <c r="X3757" s="193"/>
      <c r="Y3757" s="193"/>
      <c r="Z3757" s="193"/>
      <c r="AC3757" s="193"/>
      <c r="AD3757" s="193"/>
      <c r="AE3757" s="193"/>
      <c r="AF3757" s="193"/>
    </row>
    <row r="3758" spans="21:32" x14ac:dyDescent="0.3">
      <c r="U3758" s="193"/>
      <c r="V3758" s="193"/>
      <c r="W3758" s="193"/>
      <c r="X3758" s="193"/>
      <c r="Y3758" s="193"/>
      <c r="Z3758" s="193"/>
      <c r="AC3758" s="193"/>
      <c r="AD3758" s="193"/>
      <c r="AE3758" s="193"/>
      <c r="AF3758" s="193"/>
    </row>
    <row r="3759" spans="21:32" x14ac:dyDescent="0.3">
      <c r="U3759" s="193"/>
      <c r="V3759" s="193"/>
      <c r="W3759" s="193"/>
      <c r="X3759" s="193"/>
      <c r="Y3759" s="193"/>
      <c r="Z3759" s="193"/>
      <c r="AC3759" s="193"/>
      <c r="AD3759" s="193"/>
      <c r="AE3759" s="193"/>
      <c r="AF3759" s="193"/>
    </row>
    <row r="3760" spans="21:32" x14ac:dyDescent="0.3">
      <c r="U3760" s="193"/>
      <c r="V3760" s="193"/>
      <c r="W3760" s="193"/>
      <c r="X3760" s="193"/>
      <c r="Y3760" s="193"/>
      <c r="Z3760" s="193"/>
      <c r="AC3760" s="193"/>
      <c r="AD3760" s="193"/>
      <c r="AE3760" s="193"/>
      <c r="AF3760" s="193"/>
    </row>
    <row r="3761" spans="21:32" x14ac:dyDescent="0.3">
      <c r="U3761" s="193"/>
      <c r="V3761" s="193"/>
      <c r="W3761" s="193"/>
      <c r="X3761" s="193"/>
      <c r="Y3761" s="193"/>
      <c r="Z3761" s="193"/>
      <c r="AC3761" s="193"/>
      <c r="AD3761" s="193"/>
      <c r="AE3761" s="193"/>
      <c r="AF3761" s="193"/>
    </row>
    <row r="3762" spans="21:32" x14ac:dyDescent="0.3">
      <c r="U3762" s="193"/>
      <c r="V3762" s="193"/>
      <c r="W3762" s="193"/>
      <c r="X3762" s="193"/>
      <c r="Y3762" s="193"/>
      <c r="Z3762" s="193"/>
      <c r="AC3762" s="193"/>
      <c r="AD3762" s="193"/>
      <c r="AE3762" s="193"/>
      <c r="AF3762" s="193"/>
    </row>
    <row r="3763" spans="21:32" x14ac:dyDescent="0.3">
      <c r="U3763" s="193"/>
      <c r="V3763" s="193"/>
      <c r="W3763" s="193"/>
      <c r="X3763" s="193"/>
      <c r="Y3763" s="193"/>
      <c r="Z3763" s="193"/>
      <c r="AC3763" s="193"/>
      <c r="AD3763" s="193"/>
      <c r="AE3763" s="193"/>
      <c r="AF3763" s="193"/>
    </row>
    <row r="3764" spans="21:32" x14ac:dyDescent="0.3">
      <c r="U3764" s="193"/>
      <c r="V3764" s="193"/>
      <c r="W3764" s="193"/>
      <c r="X3764" s="193"/>
      <c r="Y3764" s="193"/>
      <c r="Z3764" s="193"/>
      <c r="AC3764" s="193"/>
      <c r="AD3764" s="193"/>
      <c r="AE3764" s="193"/>
      <c r="AF3764" s="193"/>
    </row>
    <row r="3765" spans="21:32" x14ac:dyDescent="0.3">
      <c r="U3765" s="193"/>
      <c r="V3765" s="193"/>
      <c r="W3765" s="193"/>
      <c r="X3765" s="193"/>
      <c r="Y3765" s="193"/>
      <c r="Z3765" s="193"/>
      <c r="AC3765" s="193"/>
      <c r="AD3765" s="193"/>
      <c r="AE3765" s="193"/>
      <c r="AF3765" s="193"/>
    </row>
    <row r="3766" spans="21:32" x14ac:dyDescent="0.3">
      <c r="U3766" s="193"/>
      <c r="V3766" s="193"/>
      <c r="W3766" s="193"/>
      <c r="X3766" s="193"/>
      <c r="Y3766" s="193"/>
      <c r="Z3766" s="193"/>
      <c r="AC3766" s="193"/>
      <c r="AD3766" s="193"/>
      <c r="AE3766" s="193"/>
      <c r="AF3766" s="193"/>
    </row>
    <row r="3767" spans="21:32" x14ac:dyDescent="0.3">
      <c r="U3767" s="193"/>
      <c r="V3767" s="193"/>
      <c r="W3767" s="193"/>
      <c r="X3767" s="193"/>
      <c r="Y3767" s="193"/>
      <c r="Z3767" s="193"/>
      <c r="AC3767" s="193"/>
      <c r="AD3767" s="193"/>
      <c r="AE3767" s="193"/>
      <c r="AF3767" s="193"/>
    </row>
    <row r="3768" spans="21:32" x14ac:dyDescent="0.3">
      <c r="U3768" s="193"/>
      <c r="V3768" s="193"/>
      <c r="W3768" s="193"/>
      <c r="X3768" s="193"/>
      <c r="Y3768" s="193"/>
      <c r="Z3768" s="193"/>
      <c r="AC3768" s="193"/>
      <c r="AD3768" s="193"/>
      <c r="AE3768" s="193"/>
      <c r="AF3768" s="193"/>
    </row>
    <row r="3769" spans="21:32" x14ac:dyDescent="0.3">
      <c r="U3769" s="193"/>
      <c r="V3769" s="193"/>
      <c r="W3769" s="193"/>
      <c r="X3769" s="193"/>
      <c r="Y3769" s="193"/>
      <c r="Z3769" s="193"/>
      <c r="AC3769" s="193"/>
      <c r="AD3769" s="193"/>
      <c r="AE3769" s="193"/>
      <c r="AF3769" s="193"/>
    </row>
    <row r="3770" spans="21:32" x14ac:dyDescent="0.3">
      <c r="U3770" s="193"/>
      <c r="V3770" s="193"/>
      <c r="W3770" s="193"/>
      <c r="X3770" s="193"/>
      <c r="Y3770" s="193"/>
      <c r="Z3770" s="193"/>
      <c r="AC3770" s="193"/>
      <c r="AD3770" s="193"/>
      <c r="AE3770" s="193"/>
      <c r="AF3770" s="193"/>
    </row>
    <row r="3771" spans="21:32" x14ac:dyDescent="0.3">
      <c r="U3771" s="193"/>
      <c r="V3771" s="193"/>
      <c r="W3771" s="193"/>
      <c r="X3771" s="193"/>
      <c r="Y3771" s="193"/>
      <c r="Z3771" s="193"/>
      <c r="AC3771" s="193"/>
      <c r="AD3771" s="193"/>
      <c r="AE3771" s="193"/>
      <c r="AF3771" s="193"/>
    </row>
    <row r="3772" spans="21:32" x14ac:dyDescent="0.3">
      <c r="U3772" s="193"/>
      <c r="V3772" s="193"/>
      <c r="W3772" s="193"/>
      <c r="X3772" s="193"/>
      <c r="Y3772" s="193"/>
      <c r="Z3772" s="193"/>
      <c r="AC3772" s="193"/>
      <c r="AD3772" s="193"/>
      <c r="AE3772" s="193"/>
      <c r="AF3772" s="193"/>
    </row>
    <row r="3773" spans="21:32" x14ac:dyDescent="0.3">
      <c r="U3773" s="193"/>
      <c r="V3773" s="193"/>
      <c r="W3773" s="193"/>
      <c r="X3773" s="193"/>
      <c r="Y3773" s="193"/>
      <c r="Z3773" s="193"/>
      <c r="AC3773" s="193"/>
      <c r="AD3773" s="193"/>
      <c r="AE3773" s="193"/>
      <c r="AF3773" s="193"/>
    </row>
    <row r="3774" spans="21:32" x14ac:dyDescent="0.3">
      <c r="U3774" s="193"/>
      <c r="V3774" s="193"/>
      <c r="W3774" s="193"/>
      <c r="X3774" s="193"/>
      <c r="Y3774" s="193"/>
      <c r="Z3774" s="193"/>
      <c r="AC3774" s="193"/>
      <c r="AD3774" s="193"/>
      <c r="AE3774" s="193"/>
      <c r="AF3774" s="193"/>
    </row>
    <row r="3775" spans="21:32" x14ac:dyDescent="0.3">
      <c r="U3775" s="193"/>
      <c r="V3775" s="193"/>
      <c r="W3775" s="193"/>
      <c r="X3775" s="193"/>
      <c r="Y3775" s="193"/>
      <c r="Z3775" s="193"/>
      <c r="AC3775" s="193"/>
      <c r="AD3775" s="193"/>
      <c r="AE3775" s="193"/>
      <c r="AF3775" s="193"/>
    </row>
    <row r="3776" spans="21:32" x14ac:dyDescent="0.3">
      <c r="U3776" s="193"/>
      <c r="V3776" s="193"/>
      <c r="W3776" s="193"/>
      <c r="X3776" s="193"/>
      <c r="Y3776" s="193"/>
      <c r="Z3776" s="193"/>
      <c r="AC3776" s="193"/>
      <c r="AD3776" s="193"/>
      <c r="AE3776" s="193"/>
      <c r="AF3776" s="193"/>
    </row>
    <row r="3777" spans="21:32" x14ac:dyDescent="0.3">
      <c r="U3777" s="193"/>
      <c r="V3777" s="193"/>
      <c r="W3777" s="193"/>
      <c r="X3777" s="193"/>
      <c r="Y3777" s="193"/>
      <c r="Z3777" s="193"/>
      <c r="AC3777" s="193"/>
      <c r="AD3777" s="193"/>
      <c r="AE3777" s="193"/>
      <c r="AF3777" s="193"/>
    </row>
    <row r="3778" spans="21:32" x14ac:dyDescent="0.3">
      <c r="U3778" s="193"/>
      <c r="V3778" s="193"/>
      <c r="W3778" s="193"/>
      <c r="X3778" s="193"/>
      <c r="Y3778" s="193"/>
      <c r="Z3778" s="193"/>
      <c r="AC3778" s="193"/>
      <c r="AD3778" s="193"/>
      <c r="AE3778" s="193"/>
      <c r="AF3778" s="193"/>
    </row>
    <row r="3779" spans="21:32" x14ac:dyDescent="0.3">
      <c r="U3779" s="193"/>
      <c r="V3779" s="193"/>
      <c r="W3779" s="193"/>
      <c r="X3779" s="193"/>
      <c r="Y3779" s="193"/>
      <c r="Z3779" s="193"/>
      <c r="AC3779" s="193"/>
      <c r="AD3779" s="193"/>
      <c r="AE3779" s="193"/>
      <c r="AF3779" s="193"/>
    </row>
    <row r="3780" spans="21:32" x14ac:dyDescent="0.3">
      <c r="U3780" s="193"/>
      <c r="V3780" s="193"/>
      <c r="W3780" s="193"/>
      <c r="X3780" s="193"/>
      <c r="Y3780" s="193"/>
      <c r="Z3780" s="193"/>
      <c r="AC3780" s="193"/>
      <c r="AD3780" s="193"/>
      <c r="AE3780" s="193"/>
      <c r="AF3780" s="193"/>
    </row>
    <row r="3781" spans="21:32" x14ac:dyDescent="0.3">
      <c r="U3781" s="193"/>
      <c r="V3781" s="193"/>
      <c r="W3781" s="193"/>
      <c r="X3781" s="193"/>
      <c r="Y3781" s="193"/>
      <c r="Z3781" s="193"/>
      <c r="AC3781" s="193"/>
      <c r="AD3781" s="193"/>
      <c r="AE3781" s="193"/>
      <c r="AF3781" s="193"/>
    </row>
    <row r="3782" spans="21:32" x14ac:dyDescent="0.3">
      <c r="U3782" s="193"/>
      <c r="V3782" s="193"/>
      <c r="W3782" s="193"/>
      <c r="X3782" s="193"/>
      <c r="Y3782" s="193"/>
      <c r="Z3782" s="193"/>
      <c r="AC3782" s="193"/>
      <c r="AD3782" s="193"/>
      <c r="AE3782" s="193"/>
      <c r="AF3782" s="193"/>
    </row>
    <row r="3783" spans="21:32" x14ac:dyDescent="0.3">
      <c r="U3783" s="193"/>
      <c r="V3783" s="193"/>
      <c r="W3783" s="193"/>
      <c r="X3783" s="193"/>
      <c r="Y3783" s="193"/>
      <c r="Z3783" s="193"/>
      <c r="AC3783" s="193"/>
      <c r="AD3783" s="193"/>
      <c r="AE3783" s="193"/>
      <c r="AF3783" s="193"/>
    </row>
    <row r="3784" spans="21:32" x14ac:dyDescent="0.3">
      <c r="U3784" s="193"/>
      <c r="V3784" s="193"/>
      <c r="W3784" s="193"/>
      <c r="X3784" s="193"/>
      <c r="Y3784" s="193"/>
      <c r="Z3784" s="193"/>
      <c r="AC3784" s="193"/>
      <c r="AD3784" s="193"/>
      <c r="AE3784" s="193"/>
      <c r="AF3784" s="193"/>
    </row>
    <row r="3785" spans="21:32" x14ac:dyDescent="0.3">
      <c r="U3785" s="193"/>
      <c r="V3785" s="193"/>
      <c r="W3785" s="193"/>
      <c r="X3785" s="193"/>
      <c r="Y3785" s="193"/>
      <c r="Z3785" s="193"/>
      <c r="AC3785" s="193"/>
      <c r="AD3785" s="193"/>
      <c r="AE3785" s="193"/>
      <c r="AF3785" s="193"/>
    </row>
    <row r="3786" spans="21:32" x14ac:dyDescent="0.3">
      <c r="U3786" s="193"/>
      <c r="V3786" s="193"/>
      <c r="W3786" s="193"/>
      <c r="X3786" s="193"/>
      <c r="Y3786" s="193"/>
      <c r="Z3786" s="193"/>
      <c r="AC3786" s="193"/>
      <c r="AD3786" s="193"/>
      <c r="AE3786" s="193"/>
      <c r="AF3786" s="193"/>
    </row>
    <row r="3787" spans="21:32" x14ac:dyDescent="0.3">
      <c r="U3787" s="193"/>
      <c r="V3787" s="193"/>
      <c r="W3787" s="193"/>
      <c r="X3787" s="193"/>
      <c r="Y3787" s="193"/>
      <c r="Z3787" s="193"/>
      <c r="AC3787" s="193"/>
      <c r="AD3787" s="193"/>
      <c r="AE3787" s="193"/>
      <c r="AF3787" s="193"/>
    </row>
    <row r="3788" spans="21:32" x14ac:dyDescent="0.3">
      <c r="U3788" s="193"/>
      <c r="V3788" s="193"/>
      <c r="W3788" s="193"/>
      <c r="X3788" s="193"/>
      <c r="Y3788" s="193"/>
      <c r="Z3788" s="193"/>
      <c r="AC3788" s="193"/>
      <c r="AD3788" s="193"/>
      <c r="AE3788" s="193"/>
      <c r="AF3788" s="193"/>
    </row>
    <row r="3789" spans="21:32" x14ac:dyDescent="0.3">
      <c r="U3789" s="193"/>
      <c r="V3789" s="193"/>
      <c r="W3789" s="193"/>
      <c r="X3789" s="193"/>
      <c r="Y3789" s="193"/>
      <c r="Z3789" s="193"/>
      <c r="AC3789" s="193"/>
      <c r="AD3789" s="193"/>
      <c r="AE3789" s="193"/>
      <c r="AF3789" s="193"/>
    </row>
    <row r="3790" spans="21:32" x14ac:dyDescent="0.3">
      <c r="U3790" s="193"/>
      <c r="V3790" s="193"/>
      <c r="W3790" s="193"/>
      <c r="X3790" s="193"/>
      <c r="Y3790" s="193"/>
      <c r="Z3790" s="193"/>
      <c r="AC3790" s="193"/>
      <c r="AD3790" s="193"/>
      <c r="AE3790" s="193"/>
      <c r="AF3790" s="193"/>
    </row>
    <row r="3791" spans="21:32" x14ac:dyDescent="0.3">
      <c r="U3791" s="193"/>
      <c r="V3791" s="193"/>
      <c r="W3791" s="193"/>
      <c r="X3791" s="193"/>
      <c r="Y3791" s="193"/>
      <c r="Z3791" s="193"/>
      <c r="AC3791" s="193"/>
      <c r="AD3791" s="193"/>
      <c r="AE3791" s="193"/>
      <c r="AF3791" s="193"/>
    </row>
    <row r="3792" spans="21:32" x14ac:dyDescent="0.3">
      <c r="U3792" s="193"/>
      <c r="V3792" s="193"/>
      <c r="W3792" s="193"/>
      <c r="X3792" s="193"/>
      <c r="Y3792" s="193"/>
      <c r="Z3792" s="193"/>
      <c r="AC3792" s="193"/>
      <c r="AD3792" s="193"/>
      <c r="AE3792" s="193"/>
      <c r="AF3792" s="193"/>
    </row>
    <row r="3793" spans="21:32" x14ac:dyDescent="0.3">
      <c r="U3793" s="193"/>
      <c r="V3793" s="193"/>
      <c r="W3793" s="193"/>
      <c r="X3793" s="193"/>
      <c r="Y3793" s="193"/>
      <c r="Z3793" s="193"/>
      <c r="AC3793" s="193"/>
      <c r="AD3793" s="193"/>
      <c r="AE3793" s="193"/>
      <c r="AF3793" s="193"/>
    </row>
    <row r="3794" spans="21:32" x14ac:dyDescent="0.3">
      <c r="U3794" s="193"/>
      <c r="V3794" s="193"/>
      <c r="W3794" s="193"/>
      <c r="X3794" s="193"/>
      <c r="Y3794" s="193"/>
      <c r="Z3794" s="193"/>
      <c r="AC3794" s="193"/>
      <c r="AD3794" s="193"/>
      <c r="AE3794" s="193"/>
      <c r="AF3794" s="193"/>
    </row>
    <row r="3795" spans="21:32" x14ac:dyDescent="0.3">
      <c r="U3795" s="193"/>
      <c r="V3795" s="193"/>
      <c r="W3795" s="193"/>
      <c r="X3795" s="193"/>
      <c r="Y3795" s="193"/>
      <c r="Z3795" s="193"/>
      <c r="AC3795" s="193"/>
      <c r="AD3795" s="193"/>
      <c r="AE3795" s="193"/>
      <c r="AF3795" s="193"/>
    </row>
    <row r="3796" spans="21:32" x14ac:dyDescent="0.3">
      <c r="U3796" s="193"/>
      <c r="V3796" s="193"/>
      <c r="W3796" s="193"/>
      <c r="X3796" s="193"/>
      <c r="Y3796" s="193"/>
      <c r="Z3796" s="193"/>
      <c r="AC3796" s="193"/>
      <c r="AD3796" s="193"/>
      <c r="AE3796" s="193"/>
      <c r="AF3796" s="193"/>
    </row>
    <row r="3797" spans="21:32" x14ac:dyDescent="0.3">
      <c r="U3797" s="193"/>
      <c r="V3797" s="193"/>
      <c r="W3797" s="193"/>
      <c r="X3797" s="193"/>
      <c r="Y3797" s="193"/>
      <c r="Z3797" s="193"/>
      <c r="AC3797" s="193"/>
      <c r="AD3797" s="193"/>
      <c r="AE3797" s="193"/>
      <c r="AF3797" s="193"/>
    </row>
    <row r="3798" spans="21:32" x14ac:dyDescent="0.3">
      <c r="U3798" s="193"/>
      <c r="V3798" s="193"/>
      <c r="W3798" s="193"/>
      <c r="X3798" s="193"/>
      <c r="Y3798" s="193"/>
      <c r="Z3798" s="193"/>
      <c r="AC3798" s="193"/>
      <c r="AD3798" s="193"/>
      <c r="AE3798" s="193"/>
      <c r="AF3798" s="193"/>
    </row>
    <row r="3799" spans="21:32" x14ac:dyDescent="0.3">
      <c r="U3799" s="193"/>
      <c r="V3799" s="193"/>
      <c r="W3799" s="193"/>
      <c r="X3799" s="193"/>
      <c r="Y3799" s="193"/>
      <c r="Z3799" s="193"/>
      <c r="AC3799" s="193"/>
      <c r="AD3799" s="193"/>
      <c r="AE3799" s="193"/>
      <c r="AF3799" s="193"/>
    </row>
    <row r="3800" spans="21:32" x14ac:dyDescent="0.3">
      <c r="U3800" s="193"/>
      <c r="V3800" s="193"/>
      <c r="W3800" s="193"/>
      <c r="X3800" s="193"/>
      <c r="Y3800" s="193"/>
      <c r="Z3800" s="193"/>
      <c r="AC3800" s="193"/>
      <c r="AD3800" s="193"/>
      <c r="AE3800" s="193"/>
      <c r="AF3800" s="193"/>
    </row>
    <row r="3801" spans="21:32" x14ac:dyDescent="0.3">
      <c r="U3801" s="193"/>
      <c r="V3801" s="193"/>
      <c r="W3801" s="193"/>
      <c r="X3801" s="193"/>
      <c r="Y3801" s="193"/>
      <c r="Z3801" s="193"/>
      <c r="AC3801" s="193"/>
      <c r="AD3801" s="193"/>
      <c r="AE3801" s="193"/>
      <c r="AF3801" s="193"/>
    </row>
    <row r="3802" spans="21:32" x14ac:dyDescent="0.3">
      <c r="U3802" s="193"/>
      <c r="V3802" s="193"/>
      <c r="W3802" s="193"/>
      <c r="X3802" s="193"/>
      <c r="Y3802" s="193"/>
      <c r="Z3802" s="193"/>
      <c r="AC3802" s="193"/>
      <c r="AD3802" s="193"/>
      <c r="AE3802" s="193"/>
      <c r="AF3802" s="193"/>
    </row>
    <row r="3803" spans="21:32" x14ac:dyDescent="0.3">
      <c r="U3803" s="193"/>
      <c r="V3803" s="193"/>
      <c r="W3803" s="193"/>
      <c r="X3803" s="193"/>
      <c r="Y3803" s="193"/>
      <c r="Z3803" s="193"/>
      <c r="AC3803" s="193"/>
      <c r="AD3803" s="193"/>
      <c r="AE3803" s="193"/>
      <c r="AF3803" s="193"/>
    </row>
    <row r="3804" spans="21:32" x14ac:dyDescent="0.3">
      <c r="U3804" s="193"/>
      <c r="V3804" s="193"/>
      <c r="W3804" s="193"/>
      <c r="X3804" s="193"/>
      <c r="Y3804" s="193"/>
      <c r="Z3804" s="193"/>
      <c r="AC3804" s="193"/>
      <c r="AD3804" s="193"/>
      <c r="AE3804" s="193"/>
      <c r="AF3804" s="193"/>
    </row>
    <row r="3805" spans="21:32" x14ac:dyDescent="0.3">
      <c r="U3805" s="193"/>
      <c r="V3805" s="193"/>
      <c r="W3805" s="193"/>
      <c r="X3805" s="193"/>
      <c r="Y3805" s="193"/>
      <c r="Z3805" s="193"/>
      <c r="AC3805" s="193"/>
      <c r="AD3805" s="193"/>
      <c r="AE3805" s="193"/>
      <c r="AF3805" s="193"/>
    </row>
    <row r="3806" spans="21:32" x14ac:dyDescent="0.3">
      <c r="U3806" s="193"/>
      <c r="V3806" s="193"/>
      <c r="W3806" s="193"/>
      <c r="X3806" s="193"/>
      <c r="Y3806" s="193"/>
      <c r="Z3806" s="193"/>
      <c r="AC3806" s="193"/>
      <c r="AD3806" s="193"/>
      <c r="AE3806" s="193"/>
      <c r="AF3806" s="193"/>
    </row>
    <row r="3807" spans="21:32" x14ac:dyDescent="0.3">
      <c r="U3807" s="193"/>
      <c r="V3807" s="193"/>
      <c r="W3807" s="193"/>
      <c r="X3807" s="193"/>
      <c r="Y3807" s="193"/>
      <c r="Z3807" s="193"/>
      <c r="AC3807" s="193"/>
      <c r="AD3807" s="193"/>
      <c r="AE3807" s="193"/>
      <c r="AF3807" s="193"/>
    </row>
    <row r="3808" spans="21:32" x14ac:dyDescent="0.3">
      <c r="U3808" s="193"/>
      <c r="V3808" s="193"/>
      <c r="W3808" s="193"/>
      <c r="X3808" s="193"/>
      <c r="Y3808" s="193"/>
      <c r="Z3808" s="193"/>
      <c r="AC3808" s="193"/>
      <c r="AD3808" s="193"/>
      <c r="AE3808" s="193"/>
      <c r="AF3808" s="193"/>
    </row>
    <row r="3809" spans="21:32" x14ac:dyDescent="0.3">
      <c r="U3809" s="193"/>
      <c r="V3809" s="193"/>
      <c r="W3809" s="193"/>
      <c r="X3809" s="193"/>
      <c r="Y3809" s="193"/>
      <c r="Z3809" s="193"/>
      <c r="AC3809" s="193"/>
      <c r="AD3809" s="193"/>
      <c r="AE3809" s="193"/>
      <c r="AF3809" s="193"/>
    </row>
    <row r="3810" spans="21:32" x14ac:dyDescent="0.3">
      <c r="U3810" s="193"/>
      <c r="V3810" s="193"/>
      <c r="W3810" s="193"/>
      <c r="X3810" s="193"/>
      <c r="Y3810" s="193"/>
      <c r="Z3810" s="193"/>
      <c r="AC3810" s="193"/>
      <c r="AD3810" s="193"/>
      <c r="AE3810" s="193"/>
      <c r="AF3810" s="193"/>
    </row>
    <row r="3811" spans="21:32" x14ac:dyDescent="0.3">
      <c r="U3811" s="193"/>
      <c r="V3811" s="193"/>
      <c r="W3811" s="193"/>
      <c r="X3811" s="193"/>
      <c r="Y3811" s="193"/>
      <c r="Z3811" s="193"/>
      <c r="AC3811" s="193"/>
      <c r="AD3811" s="193"/>
      <c r="AE3811" s="193"/>
      <c r="AF3811" s="193"/>
    </row>
    <row r="3812" spans="21:32" x14ac:dyDescent="0.3">
      <c r="U3812" s="193"/>
      <c r="V3812" s="193"/>
      <c r="W3812" s="193"/>
      <c r="X3812" s="193"/>
      <c r="Y3812" s="193"/>
      <c r="Z3812" s="193"/>
      <c r="AC3812" s="193"/>
      <c r="AD3812" s="193"/>
      <c r="AE3812" s="193"/>
      <c r="AF3812" s="193"/>
    </row>
    <row r="3813" spans="21:32" x14ac:dyDescent="0.3">
      <c r="U3813" s="193"/>
      <c r="V3813" s="193"/>
      <c r="W3813" s="193"/>
      <c r="X3813" s="193"/>
      <c r="Y3813" s="193"/>
      <c r="Z3813" s="193"/>
      <c r="AC3813" s="193"/>
      <c r="AD3813" s="193"/>
      <c r="AE3813" s="193"/>
      <c r="AF3813" s="193"/>
    </row>
    <row r="3814" spans="21:32" x14ac:dyDescent="0.3">
      <c r="U3814" s="193"/>
      <c r="V3814" s="193"/>
      <c r="W3814" s="193"/>
      <c r="X3814" s="193"/>
      <c r="Y3814" s="193"/>
      <c r="Z3814" s="193"/>
      <c r="AC3814" s="193"/>
      <c r="AD3814" s="193"/>
      <c r="AE3814" s="193"/>
      <c r="AF3814" s="193"/>
    </row>
    <row r="3815" spans="21:32" x14ac:dyDescent="0.3">
      <c r="U3815" s="193"/>
      <c r="V3815" s="193"/>
      <c r="W3815" s="193"/>
      <c r="X3815" s="193"/>
      <c r="Y3815" s="193"/>
      <c r="Z3815" s="193"/>
      <c r="AC3815" s="193"/>
      <c r="AD3815" s="193"/>
      <c r="AE3815" s="193"/>
      <c r="AF3815" s="193"/>
    </row>
    <row r="3816" spans="21:32" x14ac:dyDescent="0.3">
      <c r="U3816" s="193"/>
      <c r="V3816" s="193"/>
      <c r="W3816" s="193"/>
      <c r="X3816" s="193"/>
      <c r="Y3816" s="193"/>
      <c r="Z3816" s="193"/>
      <c r="AC3816" s="193"/>
      <c r="AD3816" s="193"/>
      <c r="AE3816" s="193"/>
      <c r="AF3816" s="193"/>
    </row>
    <row r="3817" spans="21:32" x14ac:dyDescent="0.3">
      <c r="U3817" s="193"/>
      <c r="V3817" s="193"/>
      <c r="W3817" s="193"/>
      <c r="X3817" s="193"/>
      <c r="Y3817" s="193"/>
      <c r="Z3817" s="193"/>
      <c r="AC3817" s="193"/>
      <c r="AD3817" s="193"/>
      <c r="AE3817" s="193"/>
      <c r="AF3817" s="193"/>
    </row>
    <row r="3818" spans="21:32" x14ac:dyDescent="0.3">
      <c r="U3818" s="193"/>
      <c r="V3818" s="193"/>
      <c r="W3818" s="193"/>
      <c r="X3818" s="193"/>
      <c r="Y3818" s="193"/>
      <c r="Z3818" s="193"/>
      <c r="AC3818" s="193"/>
      <c r="AD3818" s="193"/>
      <c r="AE3818" s="193"/>
      <c r="AF3818" s="193"/>
    </row>
    <row r="3819" spans="21:32" x14ac:dyDescent="0.3">
      <c r="U3819" s="193"/>
      <c r="V3819" s="193"/>
      <c r="W3819" s="193"/>
      <c r="X3819" s="193"/>
      <c r="Y3819" s="193"/>
      <c r="Z3819" s="193"/>
      <c r="AC3819" s="193"/>
      <c r="AD3819" s="193"/>
      <c r="AE3819" s="193"/>
      <c r="AF3819" s="193"/>
    </row>
    <row r="3820" spans="21:32" x14ac:dyDescent="0.3">
      <c r="U3820" s="193"/>
      <c r="V3820" s="193"/>
      <c r="W3820" s="193"/>
      <c r="X3820" s="193"/>
      <c r="Y3820" s="193"/>
      <c r="Z3820" s="193"/>
      <c r="AC3820" s="193"/>
      <c r="AD3820" s="193"/>
      <c r="AE3820" s="193"/>
      <c r="AF3820" s="193"/>
    </row>
    <row r="3821" spans="21:32" x14ac:dyDescent="0.3">
      <c r="U3821" s="193"/>
      <c r="V3821" s="193"/>
      <c r="W3821" s="193"/>
      <c r="X3821" s="193"/>
      <c r="Y3821" s="193"/>
      <c r="Z3821" s="193"/>
      <c r="AC3821" s="193"/>
      <c r="AD3821" s="193"/>
      <c r="AE3821" s="193"/>
      <c r="AF3821" s="193"/>
    </row>
    <row r="3822" spans="21:32" x14ac:dyDescent="0.3">
      <c r="U3822" s="193"/>
      <c r="V3822" s="193"/>
      <c r="W3822" s="193"/>
      <c r="X3822" s="193"/>
      <c r="Y3822" s="193"/>
      <c r="Z3822" s="193"/>
      <c r="AC3822" s="193"/>
      <c r="AD3822" s="193"/>
      <c r="AE3822" s="193"/>
      <c r="AF3822" s="193"/>
    </row>
    <row r="3823" spans="21:32" x14ac:dyDescent="0.3">
      <c r="U3823" s="193"/>
      <c r="V3823" s="193"/>
      <c r="W3823" s="193"/>
      <c r="X3823" s="193"/>
      <c r="Y3823" s="193"/>
      <c r="Z3823" s="193"/>
      <c r="AC3823" s="193"/>
      <c r="AD3823" s="193"/>
      <c r="AE3823" s="193"/>
      <c r="AF3823" s="193"/>
    </row>
    <row r="3824" spans="21:32" x14ac:dyDescent="0.3">
      <c r="U3824" s="193"/>
      <c r="V3824" s="193"/>
      <c r="W3824" s="193"/>
      <c r="X3824" s="193"/>
      <c r="Y3824" s="193"/>
      <c r="Z3824" s="193"/>
      <c r="AC3824" s="193"/>
      <c r="AD3824" s="193"/>
      <c r="AE3824" s="193"/>
      <c r="AF3824" s="193"/>
    </row>
    <row r="3825" spans="21:32" x14ac:dyDescent="0.3">
      <c r="U3825" s="193"/>
      <c r="V3825" s="193"/>
      <c r="W3825" s="193"/>
      <c r="X3825" s="193"/>
      <c r="Y3825" s="193"/>
      <c r="Z3825" s="193"/>
      <c r="AC3825" s="193"/>
      <c r="AD3825" s="193"/>
      <c r="AE3825" s="193"/>
      <c r="AF3825" s="193"/>
    </row>
    <row r="3826" spans="21:32" x14ac:dyDescent="0.3">
      <c r="U3826" s="193"/>
      <c r="V3826" s="193"/>
      <c r="W3826" s="193"/>
      <c r="X3826" s="193"/>
      <c r="Y3826" s="193"/>
      <c r="Z3826" s="193"/>
      <c r="AC3826" s="193"/>
      <c r="AD3826" s="193"/>
      <c r="AE3826" s="193"/>
      <c r="AF3826" s="193"/>
    </row>
    <row r="3827" spans="21:32" x14ac:dyDescent="0.3">
      <c r="U3827" s="193"/>
      <c r="V3827" s="193"/>
      <c r="W3827" s="193"/>
      <c r="X3827" s="193"/>
      <c r="Y3827" s="193"/>
      <c r="Z3827" s="193"/>
      <c r="AC3827" s="193"/>
      <c r="AD3827" s="193"/>
      <c r="AE3827" s="193"/>
      <c r="AF3827" s="193"/>
    </row>
    <row r="3828" spans="21:32" x14ac:dyDescent="0.3">
      <c r="U3828" s="193"/>
      <c r="V3828" s="193"/>
      <c r="W3828" s="193"/>
      <c r="X3828" s="193"/>
      <c r="Y3828" s="193"/>
      <c r="Z3828" s="193"/>
      <c r="AC3828" s="193"/>
      <c r="AD3828" s="193"/>
      <c r="AE3828" s="193"/>
      <c r="AF3828" s="193"/>
    </row>
    <row r="3829" spans="21:32" x14ac:dyDescent="0.3">
      <c r="U3829" s="193"/>
      <c r="V3829" s="193"/>
      <c r="W3829" s="193"/>
      <c r="X3829" s="193"/>
      <c r="Y3829" s="193"/>
      <c r="Z3829" s="193"/>
      <c r="AC3829" s="193"/>
      <c r="AD3829" s="193"/>
      <c r="AE3829" s="193"/>
      <c r="AF3829" s="193"/>
    </row>
    <row r="3830" spans="21:32" x14ac:dyDescent="0.3">
      <c r="U3830" s="193"/>
      <c r="V3830" s="193"/>
      <c r="W3830" s="193"/>
      <c r="X3830" s="193"/>
      <c r="Y3830" s="193"/>
      <c r="Z3830" s="193"/>
      <c r="AC3830" s="193"/>
      <c r="AD3830" s="193"/>
      <c r="AE3830" s="193"/>
      <c r="AF3830" s="193"/>
    </row>
    <row r="3831" spans="21:32" x14ac:dyDescent="0.3">
      <c r="U3831" s="193"/>
      <c r="V3831" s="193"/>
      <c r="W3831" s="193"/>
      <c r="X3831" s="193"/>
      <c r="Y3831" s="193"/>
      <c r="Z3831" s="193"/>
      <c r="AC3831" s="193"/>
      <c r="AD3831" s="193"/>
      <c r="AE3831" s="193"/>
      <c r="AF3831" s="193"/>
    </row>
    <row r="3832" spans="21:32" x14ac:dyDescent="0.3">
      <c r="U3832" s="193"/>
      <c r="V3832" s="193"/>
      <c r="W3832" s="193"/>
      <c r="X3832" s="193"/>
      <c r="Y3832" s="193"/>
      <c r="Z3832" s="193"/>
      <c r="AC3832" s="193"/>
      <c r="AD3832" s="193"/>
      <c r="AE3832" s="193"/>
      <c r="AF3832" s="193"/>
    </row>
    <row r="3833" spans="21:32" x14ac:dyDescent="0.3">
      <c r="U3833" s="193"/>
      <c r="V3833" s="193"/>
      <c r="W3833" s="193"/>
      <c r="X3833" s="193"/>
      <c r="Y3833" s="193"/>
      <c r="Z3833" s="193"/>
      <c r="AC3833" s="193"/>
      <c r="AD3833" s="193"/>
      <c r="AE3833" s="193"/>
      <c r="AF3833" s="193"/>
    </row>
    <row r="3834" spans="21:32" x14ac:dyDescent="0.3">
      <c r="U3834" s="193"/>
      <c r="V3834" s="193"/>
      <c r="W3834" s="193"/>
      <c r="X3834" s="193"/>
      <c r="Y3834" s="193"/>
      <c r="Z3834" s="193"/>
      <c r="AC3834" s="193"/>
      <c r="AD3834" s="193"/>
      <c r="AE3834" s="193"/>
      <c r="AF3834" s="193"/>
    </row>
    <row r="3835" spans="21:32" x14ac:dyDescent="0.3">
      <c r="U3835" s="193"/>
      <c r="V3835" s="193"/>
      <c r="W3835" s="193"/>
      <c r="X3835" s="193"/>
      <c r="Y3835" s="193"/>
      <c r="Z3835" s="193"/>
      <c r="AC3835" s="193"/>
      <c r="AD3835" s="193"/>
      <c r="AE3835" s="193"/>
      <c r="AF3835" s="193"/>
    </row>
    <row r="3836" spans="21:32" x14ac:dyDescent="0.3">
      <c r="U3836" s="193"/>
      <c r="V3836" s="193"/>
      <c r="W3836" s="193"/>
      <c r="X3836" s="193"/>
      <c r="Y3836" s="193"/>
      <c r="Z3836" s="193"/>
      <c r="AC3836" s="193"/>
      <c r="AD3836" s="193"/>
      <c r="AE3836" s="193"/>
      <c r="AF3836" s="193"/>
    </row>
    <row r="3837" spans="21:32" x14ac:dyDescent="0.3">
      <c r="U3837" s="193"/>
      <c r="V3837" s="193"/>
      <c r="W3837" s="193"/>
      <c r="X3837" s="193"/>
      <c r="Y3837" s="193"/>
      <c r="Z3837" s="193"/>
      <c r="AC3837" s="193"/>
      <c r="AD3837" s="193"/>
      <c r="AE3837" s="193"/>
      <c r="AF3837" s="193"/>
    </row>
    <row r="3838" spans="21:32" x14ac:dyDescent="0.3">
      <c r="U3838" s="193"/>
      <c r="V3838" s="193"/>
      <c r="W3838" s="193"/>
      <c r="X3838" s="193"/>
      <c r="Y3838" s="193"/>
      <c r="Z3838" s="193"/>
      <c r="AC3838" s="193"/>
      <c r="AD3838" s="193"/>
      <c r="AE3838" s="193"/>
      <c r="AF3838" s="193"/>
    </row>
    <row r="3839" spans="21:32" x14ac:dyDescent="0.3">
      <c r="U3839" s="193"/>
      <c r="V3839" s="193"/>
      <c r="W3839" s="193"/>
      <c r="X3839" s="193"/>
      <c r="Y3839" s="193"/>
      <c r="Z3839" s="193"/>
      <c r="AC3839" s="193"/>
      <c r="AD3839" s="193"/>
      <c r="AE3839" s="193"/>
      <c r="AF3839" s="193"/>
    </row>
    <row r="3840" spans="21:32" x14ac:dyDescent="0.3">
      <c r="U3840" s="193"/>
      <c r="V3840" s="193"/>
      <c r="W3840" s="193"/>
      <c r="X3840" s="193"/>
      <c r="Y3840" s="193"/>
      <c r="Z3840" s="193"/>
      <c r="AC3840" s="193"/>
      <c r="AD3840" s="193"/>
      <c r="AE3840" s="193"/>
      <c r="AF3840" s="193"/>
    </row>
    <row r="3841" spans="21:32" x14ac:dyDescent="0.3">
      <c r="U3841" s="193"/>
      <c r="V3841" s="193"/>
      <c r="W3841" s="193"/>
      <c r="X3841" s="193"/>
      <c r="Y3841" s="193"/>
      <c r="Z3841" s="193"/>
      <c r="AC3841" s="193"/>
      <c r="AD3841" s="193"/>
      <c r="AE3841" s="193"/>
      <c r="AF3841" s="193"/>
    </row>
    <row r="3842" spans="21:32" x14ac:dyDescent="0.3">
      <c r="U3842" s="193"/>
      <c r="V3842" s="193"/>
      <c r="W3842" s="193"/>
      <c r="X3842" s="193"/>
      <c r="Y3842" s="193"/>
      <c r="Z3842" s="193"/>
      <c r="AC3842" s="193"/>
      <c r="AD3842" s="193"/>
      <c r="AE3842" s="193"/>
      <c r="AF3842" s="193"/>
    </row>
    <row r="3843" spans="21:32" x14ac:dyDescent="0.3">
      <c r="U3843" s="193"/>
      <c r="V3843" s="193"/>
      <c r="W3843" s="193"/>
      <c r="X3843" s="193"/>
      <c r="Y3843" s="193"/>
      <c r="Z3843" s="193"/>
      <c r="AC3843" s="193"/>
      <c r="AD3843" s="193"/>
      <c r="AE3843" s="193"/>
      <c r="AF3843" s="193"/>
    </row>
    <row r="3844" spans="21:32" x14ac:dyDescent="0.3">
      <c r="U3844" s="193"/>
      <c r="V3844" s="193"/>
      <c r="W3844" s="193"/>
      <c r="X3844" s="193"/>
      <c r="Y3844" s="193"/>
      <c r="Z3844" s="193"/>
      <c r="AC3844" s="193"/>
      <c r="AD3844" s="193"/>
      <c r="AE3844" s="193"/>
      <c r="AF3844" s="193"/>
    </row>
    <row r="3845" spans="21:32" x14ac:dyDescent="0.3">
      <c r="U3845" s="193"/>
      <c r="V3845" s="193"/>
      <c r="W3845" s="193"/>
      <c r="X3845" s="193"/>
      <c r="Y3845" s="193"/>
      <c r="Z3845" s="193"/>
      <c r="AC3845" s="193"/>
      <c r="AD3845" s="193"/>
      <c r="AE3845" s="193"/>
      <c r="AF3845" s="193"/>
    </row>
    <row r="3846" spans="21:32" x14ac:dyDescent="0.3">
      <c r="U3846" s="193"/>
      <c r="V3846" s="193"/>
      <c r="W3846" s="193"/>
      <c r="X3846" s="193"/>
      <c r="Y3846" s="193"/>
      <c r="Z3846" s="193"/>
      <c r="AC3846" s="193"/>
      <c r="AD3846" s="193"/>
      <c r="AE3846" s="193"/>
      <c r="AF3846" s="193"/>
    </row>
    <row r="3847" spans="21:32" x14ac:dyDescent="0.3">
      <c r="U3847" s="193"/>
      <c r="V3847" s="193"/>
      <c r="W3847" s="193"/>
      <c r="X3847" s="193"/>
      <c r="Y3847" s="193"/>
      <c r="Z3847" s="193"/>
      <c r="AC3847" s="193"/>
      <c r="AD3847" s="193"/>
      <c r="AE3847" s="193"/>
      <c r="AF3847" s="193"/>
    </row>
    <row r="3848" spans="21:32" x14ac:dyDescent="0.3">
      <c r="U3848" s="193"/>
      <c r="V3848" s="193"/>
      <c r="W3848" s="193"/>
      <c r="X3848" s="193"/>
      <c r="Y3848" s="193"/>
      <c r="Z3848" s="193"/>
      <c r="AC3848" s="193"/>
      <c r="AD3848" s="193"/>
      <c r="AE3848" s="193"/>
      <c r="AF3848" s="193"/>
    </row>
    <row r="3849" spans="21:32" x14ac:dyDescent="0.3">
      <c r="U3849" s="193"/>
      <c r="V3849" s="193"/>
      <c r="W3849" s="193"/>
      <c r="X3849" s="193"/>
      <c r="Y3849" s="193"/>
      <c r="Z3849" s="193"/>
      <c r="AC3849" s="193"/>
      <c r="AD3849" s="193"/>
      <c r="AE3849" s="193"/>
      <c r="AF3849" s="193"/>
    </row>
    <row r="3850" spans="21:32" x14ac:dyDescent="0.3">
      <c r="U3850" s="193"/>
      <c r="V3850" s="193"/>
      <c r="W3850" s="193"/>
      <c r="X3850" s="193"/>
      <c r="Y3850" s="193"/>
      <c r="Z3850" s="193"/>
      <c r="AC3850" s="193"/>
      <c r="AD3850" s="193"/>
      <c r="AE3850" s="193"/>
      <c r="AF3850" s="193"/>
    </row>
    <row r="3851" spans="21:32" x14ac:dyDescent="0.3">
      <c r="U3851" s="193"/>
      <c r="V3851" s="193"/>
      <c r="W3851" s="193"/>
      <c r="X3851" s="193"/>
      <c r="Y3851" s="193"/>
      <c r="Z3851" s="193"/>
      <c r="AC3851" s="193"/>
      <c r="AD3851" s="193"/>
      <c r="AE3851" s="193"/>
      <c r="AF3851" s="193"/>
    </row>
    <row r="3852" spans="21:32" x14ac:dyDescent="0.3">
      <c r="U3852" s="193"/>
      <c r="V3852" s="193"/>
      <c r="W3852" s="193"/>
      <c r="X3852" s="193"/>
      <c r="Y3852" s="193"/>
      <c r="Z3852" s="193"/>
      <c r="AC3852" s="193"/>
      <c r="AD3852" s="193"/>
      <c r="AE3852" s="193"/>
      <c r="AF3852" s="193"/>
    </row>
    <row r="3853" spans="21:32" x14ac:dyDescent="0.3">
      <c r="U3853" s="193"/>
      <c r="V3853" s="193"/>
      <c r="W3853" s="193"/>
      <c r="X3853" s="193"/>
      <c r="Y3853" s="193"/>
      <c r="Z3853" s="193"/>
      <c r="AC3853" s="193"/>
      <c r="AD3853" s="193"/>
      <c r="AE3853" s="193"/>
      <c r="AF3853" s="193"/>
    </row>
    <row r="3854" spans="21:32" x14ac:dyDescent="0.3">
      <c r="U3854" s="193"/>
      <c r="V3854" s="193"/>
      <c r="W3854" s="193"/>
      <c r="X3854" s="193"/>
      <c r="Y3854" s="193"/>
      <c r="Z3854" s="193"/>
      <c r="AC3854" s="193"/>
      <c r="AD3854" s="193"/>
      <c r="AE3854" s="193"/>
      <c r="AF3854" s="193"/>
    </row>
    <row r="3855" spans="21:32" x14ac:dyDescent="0.3">
      <c r="U3855" s="193"/>
      <c r="V3855" s="193"/>
      <c r="W3855" s="193"/>
      <c r="X3855" s="193"/>
      <c r="Y3855" s="193"/>
      <c r="Z3855" s="193"/>
      <c r="AC3855" s="193"/>
      <c r="AD3855" s="193"/>
      <c r="AE3855" s="193"/>
      <c r="AF3855" s="193"/>
    </row>
    <row r="3856" spans="21:32" x14ac:dyDescent="0.3">
      <c r="U3856" s="193"/>
      <c r="V3856" s="193"/>
      <c r="W3856" s="193"/>
      <c r="X3856" s="193"/>
      <c r="Y3856" s="193"/>
      <c r="Z3856" s="193"/>
      <c r="AC3856" s="193"/>
      <c r="AD3856" s="193"/>
      <c r="AE3856" s="193"/>
      <c r="AF3856" s="193"/>
    </row>
    <row r="3857" spans="21:32" x14ac:dyDescent="0.3">
      <c r="U3857" s="193"/>
      <c r="V3857" s="193"/>
      <c r="W3857" s="193"/>
      <c r="X3857" s="193"/>
      <c r="Y3857" s="193"/>
      <c r="Z3857" s="193"/>
      <c r="AC3857" s="193"/>
      <c r="AD3857" s="193"/>
      <c r="AE3857" s="193"/>
      <c r="AF3857" s="193"/>
    </row>
    <row r="3858" spans="21:32" x14ac:dyDescent="0.3">
      <c r="U3858" s="193"/>
      <c r="V3858" s="193"/>
      <c r="W3858" s="193"/>
      <c r="X3858" s="193"/>
      <c r="Y3858" s="193"/>
      <c r="Z3858" s="193"/>
      <c r="AC3858" s="193"/>
      <c r="AD3858" s="193"/>
      <c r="AE3858" s="193"/>
      <c r="AF3858" s="193"/>
    </row>
    <row r="3859" spans="21:32" x14ac:dyDescent="0.3">
      <c r="U3859" s="193"/>
      <c r="V3859" s="193"/>
      <c r="W3859" s="193"/>
      <c r="X3859" s="193"/>
      <c r="Y3859" s="193"/>
      <c r="Z3859" s="193"/>
      <c r="AC3859" s="193"/>
      <c r="AD3859" s="193"/>
      <c r="AE3859" s="193"/>
      <c r="AF3859" s="193"/>
    </row>
    <row r="3860" spans="21:32" x14ac:dyDescent="0.3">
      <c r="U3860" s="193"/>
      <c r="V3860" s="193"/>
      <c r="W3860" s="193"/>
      <c r="X3860" s="193"/>
      <c r="Y3860" s="193"/>
      <c r="Z3860" s="193"/>
      <c r="AC3860" s="193"/>
      <c r="AD3860" s="193"/>
      <c r="AE3860" s="193"/>
      <c r="AF3860" s="193"/>
    </row>
    <row r="3861" spans="21:32" x14ac:dyDescent="0.3">
      <c r="U3861" s="193"/>
      <c r="V3861" s="193"/>
      <c r="W3861" s="193"/>
      <c r="X3861" s="193"/>
      <c r="Y3861" s="193"/>
      <c r="Z3861" s="193"/>
      <c r="AC3861" s="193"/>
      <c r="AD3861" s="193"/>
      <c r="AE3861" s="193"/>
      <c r="AF3861" s="193"/>
    </row>
    <row r="3862" spans="21:32" x14ac:dyDescent="0.3">
      <c r="U3862" s="193"/>
      <c r="V3862" s="193"/>
      <c r="W3862" s="193"/>
      <c r="X3862" s="193"/>
      <c r="Y3862" s="193"/>
      <c r="Z3862" s="193"/>
      <c r="AC3862" s="193"/>
      <c r="AD3862" s="193"/>
      <c r="AE3862" s="193"/>
      <c r="AF3862" s="193"/>
    </row>
    <row r="3863" spans="21:32" x14ac:dyDescent="0.3">
      <c r="U3863" s="193"/>
      <c r="V3863" s="193"/>
      <c r="W3863" s="193"/>
      <c r="X3863" s="193"/>
      <c r="Y3863" s="193"/>
      <c r="Z3863" s="193"/>
      <c r="AC3863" s="193"/>
      <c r="AD3863" s="193"/>
      <c r="AE3863" s="193"/>
      <c r="AF3863" s="193"/>
    </row>
    <row r="3864" spans="21:32" x14ac:dyDescent="0.3">
      <c r="U3864" s="193"/>
      <c r="V3864" s="193"/>
      <c r="W3864" s="193"/>
      <c r="X3864" s="193"/>
      <c r="Y3864" s="193"/>
      <c r="Z3864" s="193"/>
      <c r="AC3864" s="193"/>
      <c r="AD3864" s="193"/>
      <c r="AE3864" s="193"/>
      <c r="AF3864" s="193"/>
    </row>
    <row r="3865" spans="21:32" x14ac:dyDescent="0.3">
      <c r="U3865" s="193"/>
      <c r="V3865" s="193"/>
      <c r="W3865" s="193"/>
      <c r="X3865" s="193"/>
      <c r="Y3865" s="193"/>
      <c r="Z3865" s="193"/>
      <c r="AC3865" s="193"/>
      <c r="AD3865" s="193"/>
      <c r="AE3865" s="193"/>
      <c r="AF3865" s="193"/>
    </row>
    <row r="3866" spans="21:32" x14ac:dyDescent="0.3">
      <c r="U3866" s="193"/>
      <c r="V3866" s="193"/>
      <c r="W3866" s="193"/>
      <c r="X3866" s="193"/>
      <c r="Y3866" s="193"/>
      <c r="Z3866" s="193"/>
      <c r="AC3866" s="193"/>
      <c r="AD3866" s="193"/>
      <c r="AE3866" s="193"/>
      <c r="AF3866" s="193"/>
    </row>
    <row r="3867" spans="21:32" x14ac:dyDescent="0.3">
      <c r="U3867" s="193"/>
      <c r="V3867" s="193"/>
      <c r="W3867" s="193"/>
      <c r="X3867" s="193"/>
      <c r="Y3867" s="193"/>
      <c r="Z3867" s="193"/>
      <c r="AC3867" s="193"/>
      <c r="AD3867" s="193"/>
      <c r="AE3867" s="193"/>
      <c r="AF3867" s="193"/>
    </row>
    <row r="3868" spans="21:32" x14ac:dyDescent="0.3">
      <c r="U3868" s="193"/>
      <c r="V3868" s="193"/>
      <c r="W3868" s="193"/>
      <c r="X3868" s="193"/>
      <c r="Y3868" s="193"/>
      <c r="Z3868" s="193"/>
      <c r="AC3868" s="193"/>
      <c r="AD3868" s="193"/>
      <c r="AE3868" s="193"/>
      <c r="AF3868" s="193"/>
    </row>
    <row r="3869" spans="21:32" x14ac:dyDescent="0.3">
      <c r="U3869" s="193"/>
      <c r="V3869" s="193"/>
      <c r="W3869" s="193"/>
      <c r="X3869" s="193"/>
      <c r="Y3869" s="193"/>
      <c r="Z3869" s="193"/>
      <c r="AC3869" s="193"/>
      <c r="AD3869" s="193"/>
      <c r="AE3869" s="193"/>
      <c r="AF3869" s="193"/>
    </row>
    <row r="3870" spans="21:32" x14ac:dyDescent="0.3">
      <c r="U3870" s="193"/>
      <c r="V3870" s="193"/>
      <c r="W3870" s="193"/>
      <c r="X3870" s="193"/>
      <c r="Y3870" s="193"/>
      <c r="Z3870" s="193"/>
      <c r="AC3870" s="193"/>
      <c r="AD3870" s="193"/>
      <c r="AE3870" s="193"/>
      <c r="AF3870" s="193"/>
    </row>
    <row r="3871" spans="21:32" x14ac:dyDescent="0.3">
      <c r="U3871" s="193"/>
      <c r="V3871" s="193"/>
      <c r="W3871" s="193"/>
      <c r="X3871" s="193"/>
      <c r="Y3871" s="193"/>
      <c r="Z3871" s="193"/>
      <c r="AC3871" s="193"/>
      <c r="AD3871" s="193"/>
      <c r="AE3871" s="193"/>
      <c r="AF3871" s="193"/>
    </row>
    <row r="3872" spans="21:32" x14ac:dyDescent="0.3">
      <c r="U3872" s="193"/>
      <c r="V3872" s="193"/>
      <c r="W3872" s="193"/>
      <c r="X3872" s="193"/>
      <c r="Y3872" s="193"/>
      <c r="Z3872" s="193"/>
      <c r="AC3872" s="193"/>
      <c r="AD3872" s="193"/>
      <c r="AE3872" s="193"/>
      <c r="AF3872" s="193"/>
    </row>
    <row r="3873" spans="21:32" x14ac:dyDescent="0.3">
      <c r="U3873" s="193"/>
      <c r="V3873" s="193"/>
      <c r="W3873" s="193"/>
      <c r="X3873" s="193"/>
      <c r="Y3873" s="193"/>
      <c r="Z3873" s="193"/>
      <c r="AC3873" s="193"/>
      <c r="AD3873" s="193"/>
      <c r="AE3873" s="193"/>
      <c r="AF3873" s="193"/>
    </row>
    <row r="3874" spans="21:32" x14ac:dyDescent="0.3">
      <c r="U3874" s="193"/>
      <c r="V3874" s="193"/>
      <c r="W3874" s="193"/>
      <c r="X3874" s="193"/>
      <c r="Y3874" s="193"/>
      <c r="Z3874" s="193"/>
      <c r="AC3874" s="193"/>
      <c r="AD3874" s="193"/>
      <c r="AE3874" s="193"/>
      <c r="AF3874" s="193"/>
    </row>
    <row r="3875" spans="21:32" x14ac:dyDescent="0.3">
      <c r="U3875" s="193"/>
      <c r="V3875" s="193"/>
      <c r="W3875" s="193"/>
      <c r="X3875" s="193"/>
      <c r="Y3875" s="193"/>
      <c r="Z3875" s="193"/>
      <c r="AC3875" s="193"/>
      <c r="AD3875" s="193"/>
      <c r="AE3875" s="193"/>
      <c r="AF3875" s="193"/>
    </row>
    <row r="3876" spans="21:32" x14ac:dyDescent="0.3">
      <c r="U3876" s="193"/>
      <c r="V3876" s="193"/>
      <c r="W3876" s="193"/>
      <c r="X3876" s="193"/>
      <c r="Y3876" s="193"/>
      <c r="Z3876" s="193"/>
      <c r="AC3876" s="193"/>
      <c r="AD3876" s="193"/>
      <c r="AE3876" s="193"/>
      <c r="AF3876" s="193"/>
    </row>
    <row r="3877" spans="21:32" x14ac:dyDescent="0.3">
      <c r="U3877" s="193"/>
      <c r="V3877" s="193"/>
      <c r="W3877" s="193"/>
      <c r="X3877" s="193"/>
      <c r="Y3877" s="193"/>
      <c r="Z3877" s="193"/>
      <c r="AC3877" s="193"/>
      <c r="AD3877" s="193"/>
      <c r="AE3877" s="193"/>
      <c r="AF3877" s="193"/>
    </row>
    <row r="3878" spans="21:32" x14ac:dyDescent="0.3">
      <c r="U3878" s="193"/>
      <c r="V3878" s="193"/>
      <c r="W3878" s="193"/>
      <c r="X3878" s="193"/>
      <c r="Y3878" s="193"/>
      <c r="Z3878" s="193"/>
      <c r="AC3878" s="193"/>
      <c r="AD3878" s="193"/>
      <c r="AE3878" s="193"/>
      <c r="AF3878" s="193"/>
    </row>
    <row r="3879" spans="21:32" x14ac:dyDescent="0.3">
      <c r="U3879" s="193"/>
      <c r="V3879" s="193"/>
      <c r="W3879" s="193"/>
      <c r="X3879" s="193"/>
      <c r="Y3879" s="193"/>
      <c r="Z3879" s="193"/>
      <c r="AC3879" s="193"/>
      <c r="AD3879" s="193"/>
      <c r="AE3879" s="193"/>
      <c r="AF3879" s="193"/>
    </row>
    <row r="3880" spans="21:32" x14ac:dyDescent="0.3">
      <c r="U3880" s="193"/>
      <c r="V3880" s="193"/>
      <c r="W3880" s="193"/>
      <c r="X3880" s="193"/>
      <c r="Y3880" s="193"/>
      <c r="Z3880" s="193"/>
      <c r="AC3880" s="193"/>
      <c r="AD3880" s="193"/>
      <c r="AE3880" s="193"/>
      <c r="AF3880" s="193"/>
    </row>
    <row r="3881" spans="21:32" x14ac:dyDescent="0.3">
      <c r="U3881" s="193"/>
      <c r="V3881" s="193"/>
      <c r="W3881" s="193"/>
      <c r="X3881" s="193"/>
      <c r="Y3881" s="193"/>
      <c r="Z3881" s="193"/>
      <c r="AC3881" s="193"/>
      <c r="AD3881" s="193"/>
      <c r="AE3881" s="193"/>
      <c r="AF3881" s="193"/>
    </row>
    <row r="3882" spans="21:32" x14ac:dyDescent="0.3">
      <c r="U3882" s="193"/>
      <c r="V3882" s="193"/>
      <c r="W3882" s="193"/>
      <c r="X3882" s="193"/>
      <c r="Y3882" s="193"/>
      <c r="Z3882" s="193"/>
      <c r="AC3882" s="193"/>
      <c r="AD3882" s="193"/>
      <c r="AE3882" s="193"/>
      <c r="AF3882" s="193"/>
    </row>
    <row r="3883" spans="21:32" x14ac:dyDescent="0.3">
      <c r="U3883" s="193"/>
      <c r="V3883" s="193"/>
      <c r="W3883" s="193"/>
      <c r="X3883" s="193"/>
      <c r="Y3883" s="193"/>
      <c r="Z3883" s="193"/>
      <c r="AC3883" s="193"/>
      <c r="AD3883" s="193"/>
      <c r="AE3883" s="193"/>
      <c r="AF3883" s="193"/>
    </row>
    <row r="3884" spans="21:32" x14ac:dyDescent="0.3">
      <c r="U3884" s="193"/>
      <c r="V3884" s="193"/>
      <c r="W3884" s="193"/>
      <c r="X3884" s="193"/>
      <c r="Y3884" s="193"/>
      <c r="Z3884" s="193"/>
      <c r="AC3884" s="193"/>
      <c r="AD3884" s="193"/>
      <c r="AE3884" s="193"/>
      <c r="AF3884" s="193"/>
    </row>
    <row r="3885" spans="21:32" x14ac:dyDescent="0.3">
      <c r="U3885" s="193"/>
      <c r="V3885" s="193"/>
      <c r="W3885" s="193"/>
      <c r="X3885" s="193"/>
      <c r="Y3885" s="193"/>
      <c r="Z3885" s="193"/>
      <c r="AC3885" s="193"/>
      <c r="AD3885" s="193"/>
      <c r="AE3885" s="193"/>
      <c r="AF3885" s="193"/>
    </row>
    <row r="3886" spans="21:32" x14ac:dyDescent="0.3">
      <c r="U3886" s="193"/>
      <c r="V3886" s="193"/>
      <c r="W3886" s="193"/>
      <c r="X3886" s="193"/>
      <c r="Y3886" s="193"/>
      <c r="Z3886" s="193"/>
      <c r="AC3886" s="193"/>
      <c r="AD3886" s="193"/>
      <c r="AE3886" s="193"/>
      <c r="AF3886" s="193"/>
    </row>
    <row r="3887" spans="21:32" x14ac:dyDescent="0.3">
      <c r="U3887" s="193"/>
      <c r="V3887" s="193"/>
      <c r="W3887" s="193"/>
      <c r="X3887" s="193"/>
      <c r="Y3887" s="193"/>
      <c r="Z3887" s="193"/>
      <c r="AC3887" s="193"/>
      <c r="AD3887" s="193"/>
      <c r="AE3887" s="193"/>
      <c r="AF3887" s="193"/>
    </row>
    <row r="3888" spans="21:32" x14ac:dyDescent="0.3">
      <c r="U3888" s="193"/>
      <c r="V3888" s="193"/>
      <c r="W3888" s="193"/>
      <c r="X3888" s="193"/>
      <c r="Y3888" s="193"/>
      <c r="Z3888" s="193"/>
      <c r="AC3888" s="193"/>
      <c r="AD3888" s="193"/>
      <c r="AE3888" s="193"/>
      <c r="AF3888" s="193"/>
    </row>
    <row r="3889" spans="21:32" x14ac:dyDescent="0.3">
      <c r="U3889" s="193"/>
      <c r="V3889" s="193"/>
      <c r="W3889" s="193"/>
      <c r="X3889" s="193"/>
      <c r="Y3889" s="193"/>
      <c r="Z3889" s="193"/>
      <c r="AC3889" s="193"/>
      <c r="AD3889" s="193"/>
      <c r="AE3889" s="193"/>
      <c r="AF3889" s="193"/>
    </row>
    <row r="3890" spans="21:32" x14ac:dyDescent="0.3">
      <c r="U3890" s="193"/>
      <c r="V3890" s="193"/>
      <c r="W3890" s="193"/>
      <c r="X3890" s="193"/>
      <c r="Y3890" s="193"/>
      <c r="Z3890" s="193"/>
      <c r="AC3890" s="193"/>
      <c r="AD3890" s="193"/>
      <c r="AE3890" s="193"/>
      <c r="AF3890" s="193"/>
    </row>
    <row r="3891" spans="21:32" x14ac:dyDescent="0.3">
      <c r="U3891" s="193"/>
      <c r="V3891" s="193"/>
      <c r="W3891" s="193"/>
      <c r="X3891" s="193"/>
      <c r="Y3891" s="193"/>
      <c r="Z3891" s="193"/>
      <c r="AC3891" s="193"/>
      <c r="AD3891" s="193"/>
      <c r="AE3891" s="193"/>
      <c r="AF3891" s="193"/>
    </row>
    <row r="3892" spans="21:32" x14ac:dyDescent="0.3">
      <c r="U3892" s="193"/>
      <c r="V3892" s="193"/>
      <c r="W3892" s="193"/>
      <c r="X3892" s="193"/>
      <c r="Y3892" s="193"/>
      <c r="Z3892" s="193"/>
      <c r="AC3892" s="193"/>
      <c r="AD3892" s="193"/>
      <c r="AE3892" s="193"/>
      <c r="AF3892" s="193"/>
    </row>
    <row r="3893" spans="21:32" x14ac:dyDescent="0.3">
      <c r="U3893" s="193"/>
      <c r="V3893" s="193"/>
      <c r="W3893" s="193"/>
      <c r="X3893" s="193"/>
      <c r="Y3893" s="193"/>
      <c r="Z3893" s="193"/>
      <c r="AC3893" s="193"/>
      <c r="AD3893" s="193"/>
      <c r="AE3893" s="193"/>
      <c r="AF3893" s="193"/>
    </row>
    <row r="3894" spans="21:32" x14ac:dyDescent="0.3">
      <c r="U3894" s="193"/>
      <c r="V3894" s="193"/>
      <c r="W3894" s="193"/>
      <c r="X3894" s="193"/>
      <c r="Y3894" s="193"/>
      <c r="Z3894" s="193"/>
      <c r="AC3894" s="193"/>
      <c r="AD3894" s="193"/>
      <c r="AE3894" s="193"/>
      <c r="AF3894" s="193"/>
    </row>
    <row r="3895" spans="21:32" x14ac:dyDescent="0.3">
      <c r="U3895" s="193"/>
      <c r="V3895" s="193"/>
      <c r="W3895" s="193"/>
      <c r="X3895" s="193"/>
      <c r="Y3895" s="193"/>
      <c r="Z3895" s="193"/>
      <c r="AC3895" s="193"/>
      <c r="AD3895" s="193"/>
      <c r="AE3895" s="193"/>
      <c r="AF3895" s="193"/>
    </row>
    <row r="3896" spans="21:32" x14ac:dyDescent="0.3">
      <c r="U3896" s="193"/>
      <c r="V3896" s="193"/>
      <c r="W3896" s="193"/>
      <c r="X3896" s="193"/>
      <c r="Y3896" s="193"/>
      <c r="Z3896" s="193"/>
      <c r="AC3896" s="193"/>
      <c r="AD3896" s="193"/>
      <c r="AE3896" s="193"/>
      <c r="AF3896" s="193"/>
    </row>
    <row r="3897" spans="21:32" x14ac:dyDescent="0.3">
      <c r="U3897" s="193"/>
      <c r="V3897" s="193"/>
      <c r="W3897" s="193"/>
      <c r="X3897" s="193"/>
      <c r="Y3897" s="193"/>
      <c r="Z3897" s="193"/>
      <c r="AC3897" s="193"/>
      <c r="AD3897" s="193"/>
      <c r="AE3897" s="193"/>
      <c r="AF3897" s="193"/>
    </row>
    <row r="3898" spans="21:32" x14ac:dyDescent="0.3">
      <c r="U3898" s="193"/>
      <c r="V3898" s="193"/>
      <c r="W3898" s="193"/>
      <c r="X3898" s="193"/>
      <c r="Y3898" s="193"/>
      <c r="Z3898" s="193"/>
      <c r="AC3898" s="193"/>
      <c r="AD3898" s="193"/>
      <c r="AE3898" s="193"/>
      <c r="AF3898" s="193"/>
    </row>
    <row r="3899" spans="21:32" x14ac:dyDescent="0.3">
      <c r="U3899" s="193"/>
      <c r="V3899" s="193"/>
      <c r="W3899" s="193"/>
      <c r="X3899" s="193"/>
      <c r="Y3899" s="193"/>
      <c r="Z3899" s="193"/>
      <c r="AC3899" s="193"/>
      <c r="AD3899" s="193"/>
      <c r="AE3899" s="193"/>
      <c r="AF3899" s="193"/>
    </row>
    <row r="3900" spans="21:32" x14ac:dyDescent="0.3">
      <c r="U3900" s="193"/>
      <c r="V3900" s="193"/>
      <c r="W3900" s="193"/>
      <c r="X3900" s="193"/>
      <c r="Y3900" s="193"/>
      <c r="Z3900" s="193"/>
      <c r="AC3900" s="193"/>
      <c r="AD3900" s="193"/>
      <c r="AE3900" s="193"/>
      <c r="AF3900" s="193"/>
    </row>
    <row r="3901" spans="21:32" x14ac:dyDescent="0.3">
      <c r="U3901" s="193"/>
      <c r="V3901" s="193"/>
      <c r="W3901" s="193"/>
      <c r="X3901" s="193"/>
      <c r="Y3901" s="193"/>
      <c r="Z3901" s="193"/>
      <c r="AC3901" s="193"/>
      <c r="AD3901" s="193"/>
      <c r="AE3901" s="193"/>
      <c r="AF3901" s="193"/>
    </row>
    <row r="3902" spans="21:32" x14ac:dyDescent="0.3">
      <c r="U3902" s="193"/>
      <c r="V3902" s="193"/>
      <c r="W3902" s="193"/>
      <c r="X3902" s="193"/>
      <c r="Y3902" s="193"/>
      <c r="Z3902" s="193"/>
      <c r="AC3902" s="193"/>
      <c r="AD3902" s="193"/>
      <c r="AE3902" s="193"/>
      <c r="AF3902" s="193"/>
    </row>
    <row r="3903" spans="21:32" x14ac:dyDescent="0.3">
      <c r="U3903" s="193"/>
      <c r="V3903" s="193"/>
      <c r="W3903" s="193"/>
      <c r="X3903" s="193"/>
      <c r="Y3903" s="193"/>
      <c r="Z3903" s="193"/>
      <c r="AC3903" s="193"/>
      <c r="AD3903" s="193"/>
      <c r="AE3903" s="193"/>
      <c r="AF3903" s="193"/>
    </row>
    <row r="3904" spans="21:32" x14ac:dyDescent="0.3">
      <c r="U3904" s="193"/>
      <c r="V3904" s="193"/>
      <c r="W3904" s="193"/>
      <c r="X3904" s="193"/>
      <c r="Y3904" s="193"/>
      <c r="Z3904" s="193"/>
      <c r="AC3904" s="193"/>
      <c r="AD3904" s="193"/>
      <c r="AE3904" s="193"/>
      <c r="AF3904" s="193"/>
    </row>
    <row r="3905" spans="21:32" x14ac:dyDescent="0.3">
      <c r="U3905" s="193"/>
      <c r="V3905" s="193"/>
      <c r="W3905" s="193"/>
      <c r="X3905" s="193"/>
      <c r="Y3905" s="193"/>
      <c r="Z3905" s="193"/>
      <c r="AC3905" s="193"/>
      <c r="AD3905" s="193"/>
      <c r="AE3905" s="193"/>
      <c r="AF3905" s="193"/>
    </row>
    <row r="3906" spans="21:32" x14ac:dyDescent="0.3">
      <c r="U3906" s="193"/>
      <c r="V3906" s="193"/>
      <c r="W3906" s="193"/>
      <c r="X3906" s="193"/>
      <c r="Y3906" s="193"/>
      <c r="Z3906" s="193"/>
      <c r="AC3906" s="193"/>
      <c r="AD3906" s="193"/>
      <c r="AE3906" s="193"/>
      <c r="AF3906" s="193"/>
    </row>
    <row r="3907" spans="21:32" x14ac:dyDescent="0.3">
      <c r="U3907" s="193"/>
      <c r="V3907" s="193"/>
      <c r="W3907" s="193"/>
      <c r="X3907" s="193"/>
      <c r="Y3907" s="193"/>
      <c r="Z3907" s="193"/>
      <c r="AC3907" s="193"/>
      <c r="AD3907" s="193"/>
      <c r="AE3907" s="193"/>
      <c r="AF3907" s="193"/>
    </row>
    <row r="3908" spans="21:32" x14ac:dyDescent="0.3">
      <c r="U3908" s="193"/>
      <c r="V3908" s="193"/>
      <c r="W3908" s="193"/>
      <c r="X3908" s="193"/>
      <c r="Y3908" s="193"/>
      <c r="Z3908" s="193"/>
      <c r="AC3908" s="193"/>
      <c r="AD3908" s="193"/>
      <c r="AE3908" s="193"/>
      <c r="AF3908" s="193"/>
    </row>
    <row r="3909" spans="21:32" x14ac:dyDescent="0.3">
      <c r="U3909" s="193"/>
      <c r="V3909" s="193"/>
      <c r="W3909" s="193"/>
      <c r="X3909" s="193"/>
      <c r="Y3909" s="193"/>
      <c r="Z3909" s="193"/>
      <c r="AC3909" s="193"/>
      <c r="AD3909" s="193"/>
      <c r="AE3909" s="193"/>
      <c r="AF3909" s="193"/>
    </row>
    <row r="3910" spans="21:32" x14ac:dyDescent="0.3">
      <c r="U3910" s="193"/>
      <c r="V3910" s="193"/>
      <c r="W3910" s="193"/>
      <c r="X3910" s="193"/>
      <c r="Y3910" s="193"/>
      <c r="Z3910" s="193"/>
      <c r="AC3910" s="193"/>
      <c r="AD3910" s="193"/>
      <c r="AE3910" s="193"/>
      <c r="AF3910" s="193"/>
    </row>
    <row r="3911" spans="21:32" x14ac:dyDescent="0.3">
      <c r="U3911" s="193"/>
      <c r="V3911" s="193"/>
      <c r="W3911" s="193"/>
      <c r="X3911" s="193"/>
      <c r="Y3911" s="193"/>
      <c r="Z3911" s="193"/>
      <c r="AC3911" s="193"/>
      <c r="AD3911" s="193"/>
      <c r="AE3911" s="193"/>
      <c r="AF3911" s="193"/>
    </row>
    <row r="3912" spans="21:32" x14ac:dyDescent="0.3">
      <c r="U3912" s="193"/>
      <c r="V3912" s="193"/>
      <c r="W3912" s="193"/>
      <c r="X3912" s="193"/>
      <c r="Y3912" s="193"/>
      <c r="Z3912" s="193"/>
      <c r="AC3912" s="193"/>
      <c r="AD3912" s="193"/>
      <c r="AE3912" s="193"/>
      <c r="AF3912" s="193"/>
    </row>
    <row r="3913" spans="21:32" x14ac:dyDescent="0.3">
      <c r="U3913" s="193"/>
      <c r="V3913" s="193"/>
      <c r="W3913" s="193"/>
      <c r="X3913" s="193"/>
      <c r="Y3913" s="193"/>
      <c r="Z3913" s="193"/>
      <c r="AC3913" s="193"/>
      <c r="AD3913" s="193"/>
      <c r="AE3913" s="193"/>
      <c r="AF3913" s="193"/>
    </row>
    <row r="3914" spans="21:32" x14ac:dyDescent="0.3">
      <c r="U3914" s="193"/>
      <c r="V3914" s="193"/>
      <c r="W3914" s="193"/>
      <c r="X3914" s="193"/>
      <c r="Y3914" s="193"/>
      <c r="Z3914" s="193"/>
      <c r="AC3914" s="193"/>
      <c r="AD3914" s="193"/>
      <c r="AE3914" s="193"/>
      <c r="AF3914" s="193"/>
    </row>
    <row r="3915" spans="21:32" x14ac:dyDescent="0.3">
      <c r="U3915" s="193"/>
      <c r="V3915" s="193"/>
      <c r="W3915" s="193"/>
      <c r="X3915" s="193"/>
      <c r="Y3915" s="193"/>
      <c r="Z3915" s="193"/>
      <c r="AC3915" s="193"/>
      <c r="AD3915" s="193"/>
      <c r="AE3915" s="193"/>
      <c r="AF3915" s="193"/>
    </row>
    <row r="3916" spans="21:32" x14ac:dyDescent="0.3">
      <c r="U3916" s="193"/>
      <c r="V3916" s="193"/>
      <c r="W3916" s="193"/>
      <c r="X3916" s="193"/>
      <c r="Y3916" s="193"/>
      <c r="Z3916" s="193"/>
      <c r="AC3916" s="193"/>
      <c r="AD3916" s="193"/>
      <c r="AE3916" s="193"/>
      <c r="AF3916" s="193"/>
    </row>
    <row r="3917" spans="21:32" x14ac:dyDescent="0.3">
      <c r="U3917" s="193"/>
      <c r="V3917" s="193"/>
      <c r="W3917" s="193"/>
      <c r="X3917" s="193"/>
      <c r="Y3917" s="193"/>
      <c r="Z3917" s="193"/>
      <c r="AC3917" s="193"/>
      <c r="AD3917" s="193"/>
      <c r="AE3917" s="193"/>
      <c r="AF3917" s="193"/>
    </row>
    <row r="3918" spans="21:32" x14ac:dyDescent="0.3">
      <c r="U3918" s="193"/>
      <c r="V3918" s="193"/>
      <c r="W3918" s="193"/>
      <c r="X3918" s="193"/>
      <c r="Y3918" s="193"/>
      <c r="Z3918" s="193"/>
      <c r="AC3918" s="193"/>
      <c r="AD3918" s="193"/>
      <c r="AE3918" s="193"/>
      <c r="AF3918" s="193"/>
    </row>
    <row r="3919" spans="21:32" x14ac:dyDescent="0.3">
      <c r="U3919" s="193"/>
      <c r="V3919" s="193"/>
      <c r="W3919" s="193"/>
      <c r="X3919" s="193"/>
      <c r="Y3919" s="193"/>
      <c r="Z3919" s="193"/>
      <c r="AC3919" s="193"/>
      <c r="AD3919" s="193"/>
      <c r="AE3919" s="193"/>
      <c r="AF3919" s="193"/>
    </row>
    <row r="3920" spans="21:32" x14ac:dyDescent="0.3">
      <c r="U3920" s="193"/>
      <c r="V3920" s="193"/>
      <c r="W3920" s="193"/>
      <c r="X3920" s="193"/>
      <c r="Y3920" s="193"/>
      <c r="Z3920" s="193"/>
      <c r="AC3920" s="193"/>
      <c r="AD3920" s="193"/>
      <c r="AE3920" s="193"/>
      <c r="AF3920" s="193"/>
    </row>
    <row r="3921" spans="21:32" x14ac:dyDescent="0.3">
      <c r="U3921" s="193"/>
      <c r="V3921" s="193"/>
      <c r="W3921" s="193"/>
      <c r="X3921" s="193"/>
      <c r="Y3921" s="193"/>
      <c r="Z3921" s="193"/>
      <c r="AC3921" s="193"/>
      <c r="AD3921" s="193"/>
      <c r="AE3921" s="193"/>
      <c r="AF3921" s="193"/>
    </row>
    <row r="3922" spans="21:32" x14ac:dyDescent="0.3">
      <c r="U3922" s="193"/>
      <c r="V3922" s="193"/>
      <c r="W3922" s="193"/>
      <c r="X3922" s="193"/>
      <c r="Y3922" s="193"/>
      <c r="Z3922" s="193"/>
      <c r="AC3922" s="193"/>
      <c r="AD3922" s="193"/>
      <c r="AE3922" s="193"/>
      <c r="AF3922" s="193"/>
    </row>
    <row r="3923" spans="21:32" x14ac:dyDescent="0.3">
      <c r="U3923" s="193"/>
      <c r="V3923" s="193"/>
      <c r="W3923" s="193"/>
      <c r="X3923" s="193"/>
      <c r="Y3923" s="193"/>
      <c r="Z3923" s="193"/>
      <c r="AC3923" s="193"/>
      <c r="AD3923" s="193"/>
      <c r="AE3923" s="193"/>
      <c r="AF3923" s="193"/>
    </row>
    <row r="3924" spans="21:32" x14ac:dyDescent="0.3">
      <c r="U3924" s="193"/>
      <c r="V3924" s="193"/>
      <c r="W3924" s="193"/>
      <c r="X3924" s="193"/>
      <c r="Y3924" s="193"/>
      <c r="Z3924" s="193"/>
      <c r="AC3924" s="193"/>
      <c r="AD3924" s="193"/>
      <c r="AE3924" s="193"/>
      <c r="AF3924" s="193"/>
    </row>
    <row r="3925" spans="21:32" x14ac:dyDescent="0.3">
      <c r="U3925" s="193"/>
      <c r="V3925" s="193"/>
      <c r="W3925" s="193"/>
      <c r="X3925" s="193"/>
      <c r="Y3925" s="193"/>
      <c r="Z3925" s="193"/>
      <c r="AC3925" s="193"/>
      <c r="AD3925" s="193"/>
      <c r="AE3925" s="193"/>
      <c r="AF3925" s="193"/>
    </row>
    <row r="3926" spans="21:32" x14ac:dyDescent="0.3">
      <c r="U3926" s="193"/>
      <c r="V3926" s="193"/>
      <c r="W3926" s="193"/>
      <c r="X3926" s="193"/>
      <c r="Y3926" s="193"/>
      <c r="Z3926" s="193"/>
      <c r="AC3926" s="193"/>
      <c r="AD3926" s="193"/>
      <c r="AE3926" s="193"/>
      <c r="AF3926" s="193"/>
    </row>
    <row r="3927" spans="21:32" x14ac:dyDescent="0.3">
      <c r="U3927" s="193"/>
      <c r="V3927" s="193"/>
      <c r="W3927" s="193"/>
      <c r="X3927" s="193"/>
      <c r="Y3927" s="193"/>
      <c r="Z3927" s="193"/>
      <c r="AC3927" s="193"/>
      <c r="AD3927" s="193"/>
      <c r="AE3927" s="193"/>
      <c r="AF3927" s="193"/>
    </row>
    <row r="3928" spans="21:32" x14ac:dyDescent="0.3">
      <c r="U3928" s="193"/>
      <c r="V3928" s="193"/>
      <c r="W3928" s="193"/>
      <c r="X3928" s="193"/>
      <c r="Y3928" s="193"/>
      <c r="Z3928" s="193"/>
      <c r="AC3928" s="193"/>
      <c r="AD3928" s="193"/>
      <c r="AE3928" s="193"/>
      <c r="AF3928" s="193"/>
    </row>
    <row r="3929" spans="21:32" x14ac:dyDescent="0.3">
      <c r="U3929" s="193"/>
      <c r="V3929" s="193"/>
      <c r="W3929" s="193"/>
      <c r="X3929" s="193"/>
      <c r="Y3929" s="193"/>
      <c r="Z3929" s="193"/>
      <c r="AC3929" s="193"/>
      <c r="AD3929" s="193"/>
      <c r="AE3929" s="193"/>
      <c r="AF3929" s="193"/>
    </row>
    <row r="3930" spans="21:32" x14ac:dyDescent="0.3">
      <c r="U3930" s="193"/>
      <c r="V3930" s="193"/>
      <c r="W3930" s="193"/>
      <c r="X3930" s="193"/>
      <c r="Y3930" s="193"/>
      <c r="Z3930" s="193"/>
      <c r="AC3930" s="193"/>
      <c r="AD3930" s="193"/>
      <c r="AE3930" s="193"/>
      <c r="AF3930" s="193"/>
    </row>
    <row r="3931" spans="21:32" x14ac:dyDescent="0.3">
      <c r="U3931" s="193"/>
      <c r="V3931" s="193"/>
      <c r="W3931" s="193"/>
      <c r="X3931" s="193"/>
      <c r="Y3931" s="193"/>
      <c r="Z3931" s="193"/>
      <c r="AC3931" s="193"/>
      <c r="AD3931" s="193"/>
      <c r="AE3931" s="193"/>
      <c r="AF3931" s="193"/>
    </row>
    <row r="3932" spans="21:32" x14ac:dyDescent="0.3">
      <c r="U3932" s="193"/>
      <c r="V3932" s="193"/>
      <c r="W3932" s="193"/>
      <c r="X3932" s="193"/>
      <c r="Y3932" s="193"/>
      <c r="Z3932" s="193"/>
      <c r="AC3932" s="193"/>
      <c r="AD3932" s="193"/>
      <c r="AE3932" s="193"/>
      <c r="AF3932" s="193"/>
    </row>
    <row r="3933" spans="21:32" x14ac:dyDescent="0.3">
      <c r="U3933" s="193"/>
      <c r="V3933" s="193"/>
      <c r="W3933" s="193"/>
      <c r="X3933" s="193"/>
      <c r="Y3933" s="193"/>
      <c r="Z3933" s="193"/>
      <c r="AC3933" s="193"/>
      <c r="AD3933" s="193"/>
      <c r="AE3933" s="193"/>
      <c r="AF3933" s="193"/>
    </row>
    <row r="3934" spans="21:32" x14ac:dyDescent="0.3">
      <c r="U3934" s="193"/>
      <c r="V3934" s="193"/>
      <c r="W3934" s="193"/>
      <c r="X3934" s="193"/>
      <c r="Y3934" s="193"/>
      <c r="Z3934" s="193"/>
      <c r="AC3934" s="193"/>
      <c r="AD3934" s="193"/>
      <c r="AE3934" s="193"/>
      <c r="AF3934" s="193"/>
    </row>
    <row r="3935" spans="21:32" x14ac:dyDescent="0.3">
      <c r="U3935" s="193"/>
      <c r="V3935" s="193"/>
      <c r="W3935" s="193"/>
      <c r="X3935" s="193"/>
      <c r="Y3935" s="193"/>
      <c r="Z3935" s="193"/>
      <c r="AC3935" s="193"/>
      <c r="AD3935" s="193"/>
      <c r="AE3935" s="193"/>
      <c r="AF3935" s="193"/>
    </row>
    <row r="3936" spans="21:32" x14ac:dyDescent="0.3">
      <c r="U3936" s="193"/>
      <c r="V3936" s="193"/>
      <c r="W3936" s="193"/>
      <c r="X3936" s="193"/>
      <c r="Y3936" s="193"/>
      <c r="Z3936" s="193"/>
      <c r="AC3936" s="193"/>
      <c r="AD3936" s="193"/>
      <c r="AE3936" s="193"/>
      <c r="AF3936" s="193"/>
    </row>
    <row r="3937" spans="21:32" x14ac:dyDescent="0.3">
      <c r="U3937" s="193"/>
      <c r="V3937" s="193"/>
      <c r="W3937" s="193"/>
      <c r="X3937" s="193"/>
      <c r="Y3937" s="193"/>
      <c r="Z3937" s="193"/>
      <c r="AC3937" s="193"/>
      <c r="AD3937" s="193"/>
      <c r="AE3937" s="193"/>
      <c r="AF3937" s="193"/>
    </row>
    <row r="3938" spans="21:32" x14ac:dyDescent="0.3">
      <c r="U3938" s="193"/>
      <c r="V3938" s="193"/>
      <c r="W3938" s="193"/>
      <c r="X3938" s="193"/>
      <c r="Y3938" s="193"/>
      <c r="Z3938" s="193"/>
      <c r="AC3938" s="193"/>
      <c r="AD3938" s="193"/>
      <c r="AE3938" s="193"/>
      <c r="AF3938" s="193"/>
    </row>
    <row r="3939" spans="21:32" x14ac:dyDescent="0.3">
      <c r="U3939" s="193"/>
      <c r="V3939" s="193"/>
      <c r="W3939" s="193"/>
      <c r="X3939" s="193"/>
      <c r="Y3939" s="193"/>
      <c r="Z3939" s="193"/>
      <c r="AC3939" s="193"/>
      <c r="AD3939" s="193"/>
      <c r="AE3939" s="193"/>
      <c r="AF3939" s="193"/>
    </row>
    <row r="3940" spans="21:32" x14ac:dyDescent="0.3">
      <c r="U3940" s="193"/>
      <c r="V3940" s="193"/>
      <c r="W3940" s="193"/>
      <c r="X3940" s="193"/>
      <c r="Y3940" s="193"/>
      <c r="Z3940" s="193"/>
      <c r="AC3940" s="193"/>
      <c r="AD3940" s="193"/>
      <c r="AE3940" s="193"/>
      <c r="AF3940" s="193"/>
    </row>
    <row r="3941" spans="21:32" x14ac:dyDescent="0.3">
      <c r="U3941" s="193"/>
      <c r="V3941" s="193"/>
      <c r="W3941" s="193"/>
      <c r="X3941" s="193"/>
      <c r="Y3941" s="193"/>
      <c r="Z3941" s="193"/>
      <c r="AC3941" s="193"/>
      <c r="AD3941" s="193"/>
      <c r="AE3941" s="193"/>
      <c r="AF3941" s="193"/>
    </row>
    <row r="3942" spans="21:32" x14ac:dyDescent="0.3">
      <c r="U3942" s="193"/>
      <c r="V3942" s="193"/>
      <c r="W3942" s="193"/>
      <c r="X3942" s="193"/>
      <c r="Y3942" s="193"/>
      <c r="Z3942" s="193"/>
      <c r="AC3942" s="193"/>
      <c r="AD3942" s="193"/>
      <c r="AE3942" s="193"/>
      <c r="AF3942" s="193"/>
    </row>
    <row r="3943" spans="21:32" x14ac:dyDescent="0.3">
      <c r="U3943" s="193"/>
      <c r="V3943" s="193"/>
      <c r="W3943" s="193"/>
      <c r="X3943" s="193"/>
      <c r="Y3943" s="193"/>
      <c r="Z3943" s="193"/>
      <c r="AC3943" s="193"/>
      <c r="AD3943" s="193"/>
      <c r="AE3943" s="193"/>
      <c r="AF3943" s="193"/>
    </row>
    <row r="3944" spans="21:32" x14ac:dyDescent="0.3">
      <c r="U3944" s="193"/>
      <c r="V3944" s="193"/>
      <c r="W3944" s="193"/>
      <c r="X3944" s="193"/>
      <c r="Y3944" s="193"/>
      <c r="Z3944" s="193"/>
      <c r="AC3944" s="193"/>
      <c r="AD3944" s="193"/>
      <c r="AE3944" s="193"/>
      <c r="AF3944" s="193"/>
    </row>
    <row r="3945" spans="21:32" x14ac:dyDescent="0.3">
      <c r="U3945" s="193"/>
      <c r="V3945" s="193"/>
      <c r="W3945" s="193"/>
      <c r="X3945" s="193"/>
      <c r="Y3945" s="193"/>
      <c r="Z3945" s="193"/>
      <c r="AC3945" s="193"/>
      <c r="AD3945" s="193"/>
      <c r="AE3945" s="193"/>
      <c r="AF3945" s="193"/>
    </row>
    <row r="3946" spans="21:32" x14ac:dyDescent="0.3">
      <c r="U3946" s="193"/>
      <c r="V3946" s="193"/>
      <c r="W3946" s="193"/>
      <c r="X3946" s="193"/>
      <c r="Y3946" s="193"/>
      <c r="Z3946" s="193"/>
      <c r="AC3946" s="193"/>
      <c r="AD3946" s="193"/>
      <c r="AE3946" s="193"/>
      <c r="AF3946" s="193"/>
    </row>
    <row r="3947" spans="21:32" x14ac:dyDescent="0.3">
      <c r="U3947" s="193"/>
      <c r="V3947" s="193"/>
      <c r="W3947" s="193"/>
      <c r="X3947" s="193"/>
      <c r="Y3947" s="193"/>
      <c r="Z3947" s="193"/>
      <c r="AC3947" s="193"/>
      <c r="AD3947" s="193"/>
      <c r="AE3947" s="193"/>
      <c r="AF3947" s="193"/>
    </row>
    <row r="3948" spans="21:32" x14ac:dyDescent="0.3">
      <c r="U3948" s="193"/>
      <c r="V3948" s="193"/>
      <c r="W3948" s="193"/>
      <c r="X3948" s="193"/>
      <c r="Y3948" s="193"/>
      <c r="Z3948" s="193"/>
      <c r="AC3948" s="193"/>
      <c r="AD3948" s="193"/>
      <c r="AE3948" s="193"/>
      <c r="AF3948" s="193"/>
    </row>
    <row r="3949" spans="21:32" x14ac:dyDescent="0.3">
      <c r="U3949" s="193"/>
      <c r="V3949" s="193"/>
      <c r="W3949" s="193"/>
      <c r="X3949" s="193"/>
      <c r="Y3949" s="193"/>
      <c r="Z3949" s="193"/>
      <c r="AC3949" s="193"/>
      <c r="AD3949" s="193"/>
      <c r="AE3949" s="193"/>
      <c r="AF3949" s="193"/>
    </row>
    <row r="3950" spans="21:32" x14ac:dyDescent="0.3">
      <c r="U3950" s="193"/>
      <c r="V3950" s="193"/>
      <c r="W3950" s="193"/>
      <c r="X3950" s="193"/>
      <c r="Y3950" s="193"/>
      <c r="Z3950" s="193"/>
      <c r="AC3950" s="193"/>
      <c r="AD3950" s="193"/>
      <c r="AE3950" s="193"/>
      <c r="AF3950" s="193"/>
    </row>
    <row r="3951" spans="21:32" x14ac:dyDescent="0.3">
      <c r="U3951" s="193"/>
      <c r="V3951" s="193"/>
      <c r="W3951" s="193"/>
      <c r="X3951" s="193"/>
      <c r="Y3951" s="193"/>
      <c r="Z3951" s="193"/>
      <c r="AC3951" s="193"/>
      <c r="AD3951" s="193"/>
      <c r="AE3951" s="193"/>
      <c r="AF3951" s="193"/>
    </row>
    <row r="3952" spans="21:32" x14ac:dyDescent="0.3">
      <c r="U3952" s="193"/>
      <c r="V3952" s="193"/>
      <c r="W3952" s="193"/>
      <c r="X3952" s="193"/>
      <c r="Y3952" s="193"/>
      <c r="Z3952" s="193"/>
      <c r="AC3952" s="193"/>
      <c r="AD3952" s="193"/>
      <c r="AE3952" s="193"/>
      <c r="AF3952" s="193"/>
    </row>
    <row r="3953" spans="21:32" x14ac:dyDescent="0.3">
      <c r="U3953" s="193"/>
      <c r="V3953" s="193"/>
      <c r="W3953" s="193"/>
      <c r="X3953" s="193"/>
      <c r="Y3953" s="193"/>
      <c r="Z3953" s="193"/>
      <c r="AC3953" s="193"/>
      <c r="AD3953" s="193"/>
      <c r="AE3953" s="193"/>
      <c r="AF3953" s="193"/>
    </row>
    <row r="3954" spans="21:32" x14ac:dyDescent="0.3">
      <c r="U3954" s="193"/>
      <c r="V3954" s="193"/>
      <c r="W3954" s="193"/>
      <c r="X3954" s="193"/>
      <c r="Y3954" s="193"/>
      <c r="Z3954" s="193"/>
      <c r="AC3954" s="193"/>
      <c r="AD3954" s="193"/>
      <c r="AE3954" s="193"/>
      <c r="AF3954" s="193"/>
    </row>
    <row r="3955" spans="21:32" x14ac:dyDescent="0.3">
      <c r="U3955" s="193"/>
      <c r="V3955" s="193"/>
      <c r="W3955" s="193"/>
      <c r="X3955" s="193"/>
      <c r="Y3955" s="193"/>
      <c r="Z3955" s="193"/>
      <c r="AC3955" s="193"/>
      <c r="AD3955" s="193"/>
      <c r="AE3955" s="193"/>
      <c r="AF3955" s="193"/>
    </row>
    <row r="3956" spans="21:32" x14ac:dyDescent="0.3">
      <c r="U3956" s="193"/>
      <c r="V3956" s="193"/>
      <c r="W3956" s="193"/>
      <c r="X3956" s="193"/>
      <c r="Y3956" s="193"/>
      <c r="Z3956" s="193"/>
      <c r="AC3956" s="193"/>
      <c r="AD3956" s="193"/>
      <c r="AE3956" s="193"/>
      <c r="AF3956" s="193"/>
    </row>
    <row r="3957" spans="21:32" x14ac:dyDescent="0.3">
      <c r="U3957" s="193"/>
      <c r="V3957" s="193"/>
      <c r="W3957" s="193"/>
      <c r="X3957" s="193"/>
      <c r="Y3957" s="193"/>
      <c r="Z3957" s="193"/>
      <c r="AC3957" s="193"/>
      <c r="AD3957" s="193"/>
      <c r="AE3957" s="193"/>
      <c r="AF3957" s="193"/>
    </row>
    <row r="3958" spans="21:32" x14ac:dyDescent="0.3">
      <c r="U3958" s="193"/>
      <c r="V3958" s="193"/>
      <c r="W3958" s="193"/>
      <c r="X3958" s="193"/>
      <c r="Y3958" s="193"/>
      <c r="Z3958" s="193"/>
      <c r="AC3958" s="193"/>
      <c r="AD3958" s="193"/>
      <c r="AE3958" s="193"/>
      <c r="AF3958" s="193"/>
    </row>
    <row r="3959" spans="21:32" x14ac:dyDescent="0.3">
      <c r="U3959" s="193"/>
      <c r="V3959" s="193"/>
      <c r="W3959" s="193"/>
      <c r="X3959" s="193"/>
      <c r="Y3959" s="193"/>
      <c r="Z3959" s="193"/>
      <c r="AC3959" s="193"/>
      <c r="AD3959" s="193"/>
      <c r="AE3959" s="193"/>
      <c r="AF3959" s="193"/>
    </row>
    <row r="3960" spans="21:32" x14ac:dyDescent="0.3">
      <c r="U3960" s="193"/>
      <c r="V3960" s="193"/>
      <c r="W3960" s="193"/>
      <c r="X3960" s="193"/>
      <c r="Y3960" s="193"/>
      <c r="Z3960" s="193"/>
      <c r="AC3960" s="193"/>
      <c r="AD3960" s="193"/>
      <c r="AE3960" s="193"/>
      <c r="AF3960" s="193"/>
    </row>
    <row r="3961" spans="21:32" x14ac:dyDescent="0.3">
      <c r="U3961" s="193"/>
      <c r="V3961" s="193"/>
      <c r="W3961" s="193"/>
      <c r="X3961" s="193"/>
      <c r="Y3961" s="193"/>
      <c r="Z3961" s="193"/>
      <c r="AC3961" s="193"/>
      <c r="AD3961" s="193"/>
      <c r="AE3961" s="193"/>
      <c r="AF3961" s="193"/>
    </row>
    <row r="3962" spans="21:32" x14ac:dyDescent="0.3">
      <c r="U3962" s="193"/>
      <c r="V3962" s="193"/>
      <c r="W3962" s="193"/>
      <c r="X3962" s="193"/>
      <c r="Y3962" s="193"/>
      <c r="Z3962" s="193"/>
      <c r="AC3962" s="193"/>
      <c r="AD3962" s="193"/>
      <c r="AE3962" s="193"/>
      <c r="AF3962" s="193"/>
    </row>
    <row r="3963" spans="21:32" x14ac:dyDescent="0.3">
      <c r="U3963" s="193"/>
      <c r="V3963" s="193"/>
      <c r="W3963" s="193"/>
      <c r="X3963" s="193"/>
      <c r="Y3963" s="193"/>
      <c r="Z3963" s="193"/>
      <c r="AC3963" s="193"/>
      <c r="AD3963" s="193"/>
      <c r="AE3963" s="193"/>
      <c r="AF3963" s="193"/>
    </row>
    <row r="3964" spans="21:32" x14ac:dyDescent="0.3">
      <c r="U3964" s="193"/>
      <c r="V3964" s="193"/>
      <c r="W3964" s="193"/>
      <c r="X3964" s="193"/>
      <c r="Y3964" s="193"/>
      <c r="Z3964" s="193"/>
      <c r="AC3964" s="193"/>
      <c r="AD3964" s="193"/>
      <c r="AE3964" s="193"/>
      <c r="AF3964" s="193"/>
    </row>
    <row r="3965" spans="21:32" x14ac:dyDescent="0.3">
      <c r="U3965" s="193"/>
      <c r="V3965" s="193"/>
      <c r="W3965" s="193"/>
      <c r="X3965" s="193"/>
      <c r="Y3965" s="193"/>
      <c r="Z3965" s="193"/>
      <c r="AC3965" s="193"/>
      <c r="AD3965" s="193"/>
      <c r="AE3965" s="193"/>
      <c r="AF3965" s="193"/>
    </row>
    <row r="3966" spans="21:32" x14ac:dyDescent="0.3">
      <c r="U3966" s="193"/>
      <c r="V3966" s="193"/>
      <c r="W3966" s="193"/>
      <c r="X3966" s="193"/>
      <c r="Y3966" s="193"/>
      <c r="Z3966" s="193"/>
      <c r="AC3966" s="193"/>
      <c r="AD3966" s="193"/>
      <c r="AE3966" s="193"/>
      <c r="AF3966" s="193"/>
    </row>
    <row r="3967" spans="21:32" x14ac:dyDescent="0.3">
      <c r="U3967" s="193"/>
      <c r="V3967" s="193"/>
      <c r="W3967" s="193"/>
      <c r="X3967" s="193"/>
      <c r="Y3967" s="193"/>
      <c r="Z3967" s="193"/>
      <c r="AC3967" s="193"/>
      <c r="AD3967" s="193"/>
      <c r="AE3967" s="193"/>
      <c r="AF3967" s="193"/>
    </row>
    <row r="3968" spans="21:32" x14ac:dyDescent="0.3">
      <c r="U3968" s="193"/>
      <c r="V3968" s="193"/>
      <c r="W3968" s="193"/>
      <c r="X3968" s="193"/>
      <c r="Y3968" s="193"/>
      <c r="Z3968" s="193"/>
      <c r="AC3968" s="193"/>
      <c r="AD3968" s="193"/>
      <c r="AE3968" s="193"/>
      <c r="AF3968" s="193"/>
    </row>
    <row r="3969" spans="21:32" x14ac:dyDescent="0.3">
      <c r="U3969" s="193"/>
      <c r="V3969" s="193"/>
      <c r="W3969" s="193"/>
      <c r="X3969" s="193"/>
      <c r="Y3969" s="193"/>
      <c r="Z3969" s="193"/>
      <c r="AC3969" s="193"/>
      <c r="AD3969" s="193"/>
      <c r="AE3969" s="193"/>
      <c r="AF3969" s="193"/>
    </row>
    <row r="3970" spans="21:32" x14ac:dyDescent="0.3">
      <c r="U3970" s="193"/>
      <c r="V3970" s="193"/>
      <c r="W3970" s="193"/>
      <c r="X3970" s="193"/>
      <c r="Y3970" s="193"/>
      <c r="Z3970" s="193"/>
      <c r="AC3970" s="193"/>
      <c r="AD3970" s="193"/>
      <c r="AE3970" s="193"/>
      <c r="AF3970" s="193"/>
    </row>
    <row r="3971" spans="21:32" x14ac:dyDescent="0.3">
      <c r="U3971" s="193"/>
      <c r="V3971" s="193"/>
      <c r="W3971" s="193"/>
      <c r="X3971" s="193"/>
      <c r="Y3971" s="193"/>
      <c r="Z3971" s="193"/>
      <c r="AC3971" s="193"/>
      <c r="AD3971" s="193"/>
      <c r="AE3971" s="193"/>
      <c r="AF3971" s="193"/>
    </row>
    <row r="3972" spans="21:32" x14ac:dyDescent="0.3">
      <c r="U3972" s="193"/>
      <c r="V3972" s="193"/>
      <c r="W3972" s="193"/>
      <c r="X3972" s="193"/>
      <c r="Y3972" s="193"/>
      <c r="Z3972" s="193"/>
      <c r="AC3972" s="193"/>
      <c r="AD3972" s="193"/>
      <c r="AE3972" s="193"/>
      <c r="AF3972" s="193"/>
    </row>
    <row r="3973" spans="21:32" x14ac:dyDescent="0.3">
      <c r="U3973" s="193"/>
      <c r="V3973" s="193"/>
      <c r="W3973" s="193"/>
      <c r="X3973" s="193"/>
      <c r="Y3973" s="193"/>
      <c r="Z3973" s="193"/>
      <c r="AC3973" s="193"/>
      <c r="AD3973" s="193"/>
      <c r="AE3973" s="193"/>
      <c r="AF3973" s="193"/>
    </row>
    <row r="3974" spans="21:32" x14ac:dyDescent="0.3">
      <c r="U3974" s="193"/>
      <c r="V3974" s="193"/>
      <c r="W3974" s="193"/>
      <c r="X3974" s="193"/>
      <c r="Y3974" s="193"/>
      <c r="Z3974" s="193"/>
      <c r="AC3974" s="193"/>
      <c r="AD3974" s="193"/>
      <c r="AE3974" s="193"/>
      <c r="AF3974" s="193"/>
    </row>
    <row r="3975" spans="21:32" x14ac:dyDescent="0.3">
      <c r="U3975" s="193"/>
      <c r="V3975" s="193"/>
      <c r="W3975" s="193"/>
      <c r="X3975" s="193"/>
      <c r="Y3975" s="193"/>
      <c r="Z3975" s="193"/>
      <c r="AC3975" s="193"/>
      <c r="AD3975" s="193"/>
      <c r="AE3975" s="193"/>
      <c r="AF3975" s="193"/>
    </row>
    <row r="3976" spans="21:32" x14ac:dyDescent="0.3">
      <c r="U3976" s="193"/>
      <c r="V3976" s="193"/>
      <c r="W3976" s="193"/>
      <c r="X3976" s="193"/>
      <c r="Y3976" s="193"/>
      <c r="Z3976" s="193"/>
      <c r="AC3976" s="193"/>
      <c r="AD3976" s="193"/>
      <c r="AE3976" s="193"/>
      <c r="AF3976" s="193"/>
    </row>
    <row r="3977" spans="21:32" x14ac:dyDescent="0.3">
      <c r="U3977" s="193"/>
      <c r="V3977" s="193"/>
      <c r="W3977" s="193"/>
      <c r="X3977" s="193"/>
      <c r="Y3977" s="193"/>
      <c r="Z3977" s="193"/>
      <c r="AC3977" s="193"/>
      <c r="AD3977" s="193"/>
      <c r="AE3977" s="193"/>
      <c r="AF3977" s="193"/>
    </row>
    <row r="3978" spans="21:32" x14ac:dyDescent="0.3">
      <c r="U3978" s="193"/>
      <c r="V3978" s="193"/>
      <c r="W3978" s="193"/>
      <c r="X3978" s="193"/>
      <c r="Y3978" s="193"/>
      <c r="Z3978" s="193"/>
      <c r="AC3978" s="193"/>
      <c r="AD3978" s="193"/>
      <c r="AE3978" s="193"/>
      <c r="AF3978" s="193"/>
    </row>
    <row r="3979" spans="21:32" x14ac:dyDescent="0.3">
      <c r="U3979" s="193"/>
      <c r="V3979" s="193"/>
      <c r="W3979" s="193"/>
      <c r="X3979" s="193"/>
      <c r="Y3979" s="193"/>
      <c r="Z3979" s="193"/>
      <c r="AC3979" s="193"/>
      <c r="AD3979" s="193"/>
      <c r="AE3979" s="193"/>
      <c r="AF3979" s="193"/>
    </row>
    <row r="3980" spans="21:32" x14ac:dyDescent="0.3">
      <c r="U3980" s="193"/>
      <c r="V3980" s="193"/>
      <c r="W3980" s="193"/>
      <c r="X3980" s="193"/>
      <c r="Y3980" s="193"/>
      <c r="Z3980" s="193"/>
      <c r="AC3980" s="193"/>
      <c r="AD3980" s="193"/>
      <c r="AE3980" s="193"/>
      <c r="AF3980" s="193"/>
    </row>
    <row r="3981" spans="21:32" x14ac:dyDescent="0.3">
      <c r="U3981" s="193"/>
      <c r="V3981" s="193"/>
      <c r="W3981" s="193"/>
      <c r="X3981" s="193"/>
      <c r="Y3981" s="193"/>
      <c r="Z3981" s="193"/>
      <c r="AC3981" s="193"/>
      <c r="AD3981" s="193"/>
      <c r="AE3981" s="193"/>
      <c r="AF3981" s="193"/>
    </row>
    <row r="3982" spans="21:32" x14ac:dyDescent="0.3">
      <c r="U3982" s="193"/>
      <c r="V3982" s="193"/>
      <c r="W3982" s="193"/>
      <c r="X3982" s="193"/>
      <c r="Y3982" s="193"/>
      <c r="Z3982" s="193"/>
      <c r="AC3982" s="193"/>
      <c r="AD3982" s="193"/>
      <c r="AE3982" s="193"/>
      <c r="AF3982" s="193"/>
    </row>
    <row r="3983" spans="21:32" x14ac:dyDescent="0.3">
      <c r="U3983" s="193"/>
      <c r="V3983" s="193"/>
      <c r="W3983" s="193"/>
      <c r="X3983" s="193"/>
      <c r="Y3983" s="193"/>
      <c r="Z3983" s="193"/>
      <c r="AC3983" s="193"/>
      <c r="AD3983" s="193"/>
      <c r="AE3983" s="193"/>
      <c r="AF3983" s="193"/>
    </row>
    <row r="3984" spans="21:32" x14ac:dyDescent="0.3">
      <c r="U3984" s="193"/>
      <c r="V3984" s="193"/>
      <c r="W3984" s="193"/>
      <c r="X3984" s="193"/>
      <c r="Y3984" s="193"/>
      <c r="Z3984" s="193"/>
      <c r="AC3984" s="193"/>
      <c r="AD3984" s="193"/>
      <c r="AE3984" s="193"/>
      <c r="AF3984" s="193"/>
    </row>
    <row r="3985" spans="21:32" x14ac:dyDescent="0.3">
      <c r="U3985" s="193"/>
      <c r="V3985" s="193"/>
      <c r="W3985" s="193"/>
      <c r="X3985" s="193"/>
      <c r="Y3985" s="193"/>
      <c r="Z3985" s="193"/>
      <c r="AC3985" s="193"/>
      <c r="AD3985" s="193"/>
      <c r="AE3985" s="193"/>
      <c r="AF3985" s="193"/>
    </row>
    <row r="3986" spans="21:32" x14ac:dyDescent="0.3">
      <c r="U3986" s="193"/>
      <c r="V3986" s="193"/>
      <c r="W3986" s="193"/>
      <c r="X3986" s="193"/>
      <c r="Y3986" s="193"/>
      <c r="Z3986" s="193"/>
      <c r="AC3986" s="193"/>
      <c r="AD3986" s="193"/>
      <c r="AE3986" s="193"/>
      <c r="AF3986" s="193"/>
    </row>
    <row r="3987" spans="21:32" x14ac:dyDescent="0.3">
      <c r="U3987" s="193"/>
      <c r="V3987" s="193"/>
      <c r="W3987" s="193"/>
      <c r="X3987" s="193"/>
      <c r="Y3987" s="193"/>
      <c r="Z3987" s="193"/>
      <c r="AC3987" s="193"/>
      <c r="AD3987" s="193"/>
      <c r="AE3987" s="193"/>
      <c r="AF3987" s="193"/>
    </row>
    <row r="3988" spans="21:32" x14ac:dyDescent="0.3">
      <c r="U3988" s="193"/>
      <c r="V3988" s="193"/>
      <c r="W3988" s="193"/>
      <c r="X3988" s="193"/>
      <c r="Y3988" s="193"/>
      <c r="Z3988" s="193"/>
      <c r="AC3988" s="193"/>
      <c r="AD3988" s="193"/>
      <c r="AE3988" s="193"/>
      <c r="AF3988" s="193"/>
    </row>
    <row r="3989" spans="21:32" x14ac:dyDescent="0.3">
      <c r="U3989" s="193"/>
      <c r="V3989" s="193"/>
      <c r="W3989" s="193"/>
      <c r="X3989" s="193"/>
      <c r="Y3989" s="193"/>
      <c r="Z3989" s="193"/>
      <c r="AC3989" s="193"/>
      <c r="AD3989" s="193"/>
      <c r="AE3989" s="193"/>
      <c r="AF3989" s="193"/>
    </row>
    <row r="3990" spans="21:32" x14ac:dyDescent="0.3">
      <c r="U3990" s="193"/>
      <c r="V3990" s="193"/>
      <c r="W3990" s="193"/>
      <c r="X3990" s="193"/>
      <c r="Y3990" s="193"/>
      <c r="Z3990" s="193"/>
      <c r="AC3990" s="193"/>
      <c r="AD3990" s="193"/>
      <c r="AE3990" s="193"/>
      <c r="AF3990" s="193"/>
    </row>
    <row r="3991" spans="21:32" x14ac:dyDescent="0.3">
      <c r="U3991" s="193"/>
      <c r="V3991" s="193"/>
      <c r="W3991" s="193"/>
      <c r="X3991" s="193"/>
      <c r="Y3991" s="193"/>
      <c r="Z3991" s="193"/>
      <c r="AC3991" s="193"/>
      <c r="AD3991" s="193"/>
      <c r="AE3991" s="193"/>
      <c r="AF3991" s="193"/>
    </row>
    <row r="3992" spans="21:32" x14ac:dyDescent="0.3">
      <c r="U3992" s="193"/>
      <c r="V3992" s="193"/>
      <c r="W3992" s="193"/>
      <c r="X3992" s="193"/>
      <c r="Y3992" s="193"/>
      <c r="Z3992" s="193"/>
      <c r="AC3992" s="193"/>
      <c r="AD3992" s="193"/>
      <c r="AE3992" s="193"/>
      <c r="AF3992" s="193"/>
    </row>
    <row r="3993" spans="21:32" x14ac:dyDescent="0.3">
      <c r="U3993" s="193"/>
      <c r="V3993" s="193"/>
      <c r="W3993" s="193"/>
      <c r="X3993" s="193"/>
      <c r="Y3993" s="193"/>
      <c r="Z3993" s="193"/>
      <c r="AC3993" s="193"/>
      <c r="AD3993" s="193"/>
      <c r="AE3993" s="193"/>
      <c r="AF3993" s="193"/>
    </row>
    <row r="3994" spans="21:32" x14ac:dyDescent="0.3">
      <c r="U3994" s="193"/>
      <c r="V3994" s="193"/>
      <c r="W3994" s="193"/>
      <c r="X3994" s="193"/>
      <c r="Y3994" s="193"/>
      <c r="Z3994" s="193"/>
      <c r="AC3994" s="193"/>
      <c r="AD3994" s="193"/>
      <c r="AE3994" s="193"/>
      <c r="AF3994" s="193"/>
    </row>
    <row r="3995" spans="21:32" x14ac:dyDescent="0.3">
      <c r="U3995" s="193"/>
      <c r="V3995" s="193"/>
      <c r="W3995" s="193"/>
      <c r="X3995" s="193"/>
      <c r="Y3995" s="193"/>
      <c r="Z3995" s="193"/>
      <c r="AC3995" s="193"/>
      <c r="AD3995" s="193"/>
      <c r="AE3995" s="193"/>
      <c r="AF3995" s="193"/>
    </row>
    <row r="3996" spans="21:32" x14ac:dyDescent="0.3">
      <c r="U3996" s="193"/>
      <c r="V3996" s="193"/>
      <c r="W3996" s="193"/>
      <c r="X3996" s="193"/>
      <c r="Y3996" s="193"/>
      <c r="Z3996" s="193"/>
      <c r="AC3996" s="193"/>
      <c r="AD3996" s="193"/>
      <c r="AE3996" s="193"/>
      <c r="AF3996" s="193"/>
    </row>
    <row r="3997" spans="21:32" x14ac:dyDescent="0.3">
      <c r="U3997" s="193"/>
      <c r="V3997" s="193"/>
      <c r="W3997" s="193"/>
      <c r="X3997" s="193"/>
      <c r="Y3997" s="193"/>
      <c r="Z3997" s="193"/>
      <c r="AC3997" s="193"/>
      <c r="AD3997" s="193"/>
      <c r="AE3997" s="193"/>
      <c r="AF3997" s="193"/>
    </row>
    <row r="3998" spans="21:32" x14ac:dyDescent="0.3">
      <c r="U3998" s="193"/>
      <c r="V3998" s="193"/>
      <c r="W3998" s="193"/>
      <c r="X3998" s="193"/>
      <c r="Y3998" s="193"/>
      <c r="Z3998" s="193"/>
      <c r="AC3998" s="193"/>
      <c r="AD3998" s="193"/>
      <c r="AE3998" s="193"/>
      <c r="AF3998" s="193"/>
    </row>
    <row r="3999" spans="21:32" x14ac:dyDescent="0.3">
      <c r="U3999" s="193"/>
      <c r="V3999" s="193"/>
      <c r="W3999" s="193"/>
      <c r="X3999" s="193"/>
      <c r="Y3999" s="193"/>
      <c r="Z3999" s="193"/>
      <c r="AC3999" s="193"/>
      <c r="AD3999" s="193"/>
      <c r="AE3999" s="193"/>
      <c r="AF3999" s="193"/>
    </row>
    <row r="4000" spans="21:32" x14ac:dyDescent="0.3">
      <c r="U4000" s="193"/>
      <c r="V4000" s="193"/>
      <c r="W4000" s="193"/>
      <c r="X4000" s="193"/>
      <c r="Y4000" s="193"/>
      <c r="Z4000" s="193"/>
      <c r="AC4000" s="193"/>
      <c r="AD4000" s="193"/>
      <c r="AE4000" s="193"/>
      <c r="AF4000" s="193"/>
    </row>
    <row r="4001" spans="21:32" x14ac:dyDescent="0.3">
      <c r="U4001" s="193"/>
      <c r="V4001" s="193"/>
      <c r="W4001" s="193"/>
      <c r="X4001" s="193"/>
      <c r="Y4001" s="193"/>
      <c r="Z4001" s="193"/>
      <c r="AC4001" s="193"/>
      <c r="AD4001" s="193"/>
      <c r="AE4001" s="193"/>
      <c r="AF4001" s="193"/>
    </row>
    <row r="4002" spans="21:32" x14ac:dyDescent="0.3">
      <c r="U4002" s="193"/>
      <c r="V4002" s="193"/>
      <c r="W4002" s="193"/>
      <c r="X4002" s="193"/>
      <c r="Y4002" s="193"/>
      <c r="Z4002" s="193"/>
      <c r="AC4002" s="193"/>
      <c r="AD4002" s="193"/>
      <c r="AE4002" s="193"/>
      <c r="AF4002" s="193"/>
    </row>
    <row r="4003" spans="21:32" x14ac:dyDescent="0.3">
      <c r="U4003" s="193"/>
      <c r="V4003" s="193"/>
      <c r="W4003" s="193"/>
      <c r="X4003" s="193"/>
      <c r="Y4003" s="193"/>
      <c r="Z4003" s="193"/>
      <c r="AC4003" s="193"/>
      <c r="AD4003" s="193"/>
      <c r="AE4003" s="193"/>
      <c r="AF4003" s="193"/>
    </row>
    <row r="4004" spans="21:32" x14ac:dyDescent="0.3">
      <c r="U4004" s="193"/>
      <c r="V4004" s="193"/>
      <c r="W4004" s="193"/>
      <c r="X4004" s="193"/>
      <c r="Y4004" s="193"/>
      <c r="Z4004" s="193"/>
      <c r="AC4004" s="193"/>
      <c r="AD4004" s="193"/>
      <c r="AE4004" s="193"/>
      <c r="AF4004" s="193"/>
    </row>
    <row r="4005" spans="21:32" x14ac:dyDescent="0.3">
      <c r="U4005" s="193"/>
      <c r="V4005" s="193"/>
      <c r="W4005" s="193"/>
      <c r="X4005" s="193"/>
      <c r="Y4005" s="193"/>
      <c r="Z4005" s="193"/>
      <c r="AC4005" s="193"/>
      <c r="AD4005" s="193"/>
      <c r="AE4005" s="193"/>
      <c r="AF4005" s="193"/>
    </row>
    <row r="4006" spans="21:32" x14ac:dyDescent="0.3">
      <c r="U4006" s="193"/>
      <c r="V4006" s="193"/>
      <c r="W4006" s="193"/>
      <c r="X4006" s="193"/>
      <c r="Y4006" s="193"/>
      <c r="Z4006" s="193"/>
      <c r="AC4006" s="193"/>
      <c r="AD4006" s="193"/>
      <c r="AE4006" s="193"/>
      <c r="AF4006" s="193"/>
    </row>
    <row r="4007" spans="21:32" x14ac:dyDescent="0.3">
      <c r="U4007" s="193"/>
      <c r="V4007" s="193"/>
      <c r="W4007" s="193"/>
      <c r="X4007" s="193"/>
      <c r="Y4007" s="193"/>
      <c r="Z4007" s="193"/>
      <c r="AC4007" s="193"/>
      <c r="AD4007" s="193"/>
      <c r="AE4007" s="193"/>
      <c r="AF4007" s="193"/>
    </row>
    <row r="4008" spans="21:32" x14ac:dyDescent="0.3">
      <c r="U4008" s="193"/>
      <c r="V4008" s="193"/>
      <c r="W4008" s="193"/>
      <c r="X4008" s="193"/>
      <c r="Y4008" s="193"/>
      <c r="Z4008" s="193"/>
      <c r="AC4008" s="193"/>
      <c r="AD4008" s="193"/>
      <c r="AE4008" s="193"/>
      <c r="AF4008" s="193"/>
    </row>
    <row r="4009" spans="21:32" x14ac:dyDescent="0.3">
      <c r="U4009" s="193"/>
      <c r="V4009" s="193"/>
      <c r="W4009" s="193"/>
      <c r="X4009" s="193"/>
      <c r="Y4009" s="193"/>
      <c r="Z4009" s="193"/>
      <c r="AC4009" s="193"/>
      <c r="AD4009" s="193"/>
      <c r="AE4009" s="193"/>
      <c r="AF4009" s="193"/>
    </row>
    <row r="4010" spans="21:32" x14ac:dyDescent="0.3">
      <c r="U4010" s="193"/>
      <c r="V4010" s="193"/>
      <c r="W4010" s="193"/>
      <c r="X4010" s="193"/>
      <c r="Y4010" s="193"/>
      <c r="Z4010" s="193"/>
      <c r="AC4010" s="193"/>
      <c r="AD4010" s="193"/>
      <c r="AE4010" s="193"/>
      <c r="AF4010" s="193"/>
    </row>
    <row r="4011" spans="21:32" x14ac:dyDescent="0.3">
      <c r="U4011" s="193"/>
      <c r="V4011" s="193"/>
      <c r="W4011" s="193"/>
      <c r="X4011" s="193"/>
      <c r="Y4011" s="193"/>
      <c r="Z4011" s="193"/>
      <c r="AC4011" s="193"/>
      <c r="AD4011" s="193"/>
      <c r="AE4011" s="193"/>
      <c r="AF4011" s="193"/>
    </row>
    <row r="4012" spans="21:32" x14ac:dyDescent="0.3">
      <c r="U4012" s="193"/>
      <c r="V4012" s="193"/>
      <c r="W4012" s="193"/>
      <c r="X4012" s="193"/>
      <c r="Y4012" s="193"/>
      <c r="Z4012" s="193"/>
      <c r="AC4012" s="193"/>
      <c r="AD4012" s="193"/>
      <c r="AE4012" s="193"/>
      <c r="AF4012" s="193"/>
    </row>
    <row r="4013" spans="21:32" x14ac:dyDescent="0.3">
      <c r="U4013" s="193"/>
      <c r="V4013" s="193"/>
      <c r="W4013" s="193"/>
      <c r="X4013" s="193"/>
      <c r="Y4013" s="193"/>
      <c r="Z4013" s="193"/>
      <c r="AC4013" s="193"/>
      <c r="AD4013" s="193"/>
      <c r="AE4013" s="193"/>
      <c r="AF4013" s="193"/>
    </row>
    <row r="4014" spans="21:32" x14ac:dyDescent="0.3">
      <c r="U4014" s="193"/>
      <c r="V4014" s="193"/>
      <c r="W4014" s="193"/>
      <c r="X4014" s="193"/>
      <c r="Y4014" s="193"/>
      <c r="Z4014" s="193"/>
      <c r="AC4014" s="193"/>
      <c r="AD4014" s="193"/>
      <c r="AE4014" s="193"/>
      <c r="AF4014" s="193"/>
    </row>
    <row r="4015" spans="21:32" x14ac:dyDescent="0.3">
      <c r="U4015" s="193"/>
      <c r="V4015" s="193"/>
      <c r="W4015" s="193"/>
      <c r="X4015" s="193"/>
      <c r="Y4015" s="193"/>
      <c r="Z4015" s="193"/>
      <c r="AC4015" s="193"/>
      <c r="AD4015" s="193"/>
      <c r="AE4015" s="193"/>
      <c r="AF4015" s="193"/>
    </row>
    <row r="4016" spans="21:32" x14ac:dyDescent="0.3">
      <c r="U4016" s="193"/>
      <c r="V4016" s="193"/>
      <c r="W4016" s="193"/>
      <c r="X4016" s="193"/>
      <c r="Y4016" s="193"/>
      <c r="Z4016" s="193"/>
      <c r="AC4016" s="193"/>
      <c r="AD4016" s="193"/>
      <c r="AE4016" s="193"/>
      <c r="AF4016" s="193"/>
    </row>
    <row r="4017" spans="21:32" x14ac:dyDescent="0.3">
      <c r="U4017" s="193"/>
      <c r="V4017" s="193"/>
      <c r="W4017" s="193"/>
      <c r="X4017" s="193"/>
      <c r="Y4017" s="193"/>
      <c r="Z4017" s="193"/>
      <c r="AC4017" s="193"/>
      <c r="AD4017" s="193"/>
      <c r="AE4017" s="193"/>
      <c r="AF4017" s="193"/>
    </row>
    <row r="4018" spans="21:32" x14ac:dyDescent="0.3">
      <c r="U4018" s="193"/>
      <c r="V4018" s="193"/>
      <c r="W4018" s="193"/>
      <c r="X4018" s="193"/>
      <c r="Y4018" s="193"/>
      <c r="Z4018" s="193"/>
      <c r="AC4018" s="193"/>
      <c r="AD4018" s="193"/>
      <c r="AE4018" s="193"/>
      <c r="AF4018" s="193"/>
    </row>
    <row r="4019" spans="21:32" x14ac:dyDescent="0.3">
      <c r="U4019" s="193"/>
      <c r="V4019" s="193"/>
      <c r="W4019" s="193"/>
      <c r="X4019" s="193"/>
      <c r="Y4019" s="193"/>
      <c r="Z4019" s="193"/>
      <c r="AC4019" s="193"/>
      <c r="AD4019" s="193"/>
      <c r="AE4019" s="193"/>
      <c r="AF4019" s="193"/>
    </row>
    <row r="4020" spans="21:32" x14ac:dyDescent="0.3">
      <c r="U4020" s="193"/>
      <c r="V4020" s="193"/>
      <c r="W4020" s="193"/>
      <c r="X4020" s="193"/>
      <c r="Y4020" s="193"/>
      <c r="Z4020" s="193"/>
      <c r="AC4020" s="193"/>
      <c r="AD4020" s="193"/>
      <c r="AE4020" s="193"/>
      <c r="AF4020" s="193"/>
    </row>
    <row r="4021" spans="21:32" x14ac:dyDescent="0.3">
      <c r="U4021" s="193"/>
      <c r="V4021" s="193"/>
      <c r="W4021" s="193"/>
      <c r="X4021" s="193"/>
      <c r="Y4021" s="193"/>
      <c r="Z4021" s="193"/>
      <c r="AC4021" s="193"/>
      <c r="AD4021" s="193"/>
      <c r="AE4021" s="193"/>
      <c r="AF4021" s="193"/>
    </row>
    <row r="4022" spans="21:32" x14ac:dyDescent="0.3">
      <c r="U4022" s="193"/>
      <c r="V4022" s="193"/>
      <c r="W4022" s="193"/>
      <c r="X4022" s="193"/>
      <c r="Y4022" s="193"/>
      <c r="Z4022" s="193"/>
      <c r="AC4022" s="193"/>
      <c r="AD4022" s="193"/>
      <c r="AE4022" s="193"/>
      <c r="AF4022" s="193"/>
    </row>
    <row r="4023" spans="21:32" x14ac:dyDescent="0.3">
      <c r="U4023" s="193"/>
      <c r="V4023" s="193"/>
      <c r="W4023" s="193"/>
      <c r="X4023" s="193"/>
      <c r="Y4023" s="193"/>
      <c r="Z4023" s="193"/>
      <c r="AC4023" s="193"/>
      <c r="AD4023" s="193"/>
      <c r="AE4023" s="193"/>
      <c r="AF4023" s="193"/>
    </row>
    <row r="4024" spans="21:32" x14ac:dyDescent="0.3">
      <c r="U4024" s="193"/>
      <c r="V4024" s="193"/>
      <c r="W4024" s="193"/>
      <c r="X4024" s="193"/>
      <c r="Y4024" s="193"/>
      <c r="Z4024" s="193"/>
      <c r="AC4024" s="193"/>
      <c r="AD4024" s="193"/>
      <c r="AE4024" s="193"/>
      <c r="AF4024" s="193"/>
    </row>
    <row r="4025" spans="21:32" x14ac:dyDescent="0.3">
      <c r="U4025" s="193"/>
      <c r="V4025" s="193"/>
      <c r="W4025" s="193"/>
      <c r="X4025" s="193"/>
      <c r="Y4025" s="193"/>
      <c r="Z4025" s="193"/>
      <c r="AC4025" s="193"/>
      <c r="AD4025" s="193"/>
      <c r="AE4025" s="193"/>
      <c r="AF4025" s="193"/>
    </row>
    <row r="4026" spans="21:32" x14ac:dyDescent="0.3">
      <c r="U4026" s="193"/>
      <c r="V4026" s="193"/>
      <c r="W4026" s="193"/>
      <c r="X4026" s="193"/>
      <c r="Y4026" s="193"/>
      <c r="Z4026" s="193"/>
      <c r="AC4026" s="193"/>
      <c r="AD4026" s="193"/>
      <c r="AE4026" s="193"/>
      <c r="AF4026" s="193"/>
    </row>
    <row r="4027" spans="21:32" x14ac:dyDescent="0.3">
      <c r="U4027" s="193"/>
      <c r="V4027" s="193"/>
      <c r="W4027" s="193"/>
      <c r="X4027" s="193"/>
      <c r="Y4027" s="193"/>
      <c r="Z4027" s="193"/>
      <c r="AC4027" s="193"/>
      <c r="AD4027" s="193"/>
      <c r="AE4027" s="193"/>
      <c r="AF4027" s="193"/>
    </row>
    <row r="4028" spans="21:32" x14ac:dyDescent="0.3">
      <c r="U4028" s="193"/>
      <c r="V4028" s="193"/>
      <c r="W4028" s="193"/>
      <c r="X4028" s="193"/>
      <c r="Y4028" s="193"/>
      <c r="Z4028" s="193"/>
      <c r="AC4028" s="193"/>
      <c r="AD4028" s="193"/>
      <c r="AE4028" s="193"/>
      <c r="AF4028" s="193"/>
    </row>
    <row r="4029" spans="21:32" x14ac:dyDescent="0.3">
      <c r="U4029" s="193"/>
      <c r="V4029" s="193"/>
      <c r="W4029" s="193"/>
      <c r="X4029" s="193"/>
      <c r="Y4029" s="193"/>
      <c r="Z4029" s="193"/>
      <c r="AC4029" s="193"/>
      <c r="AD4029" s="193"/>
      <c r="AE4029" s="193"/>
      <c r="AF4029" s="193"/>
    </row>
    <row r="4030" spans="21:32" x14ac:dyDescent="0.3">
      <c r="U4030" s="193"/>
      <c r="V4030" s="193"/>
      <c r="W4030" s="193"/>
      <c r="X4030" s="193"/>
      <c r="Y4030" s="193"/>
      <c r="Z4030" s="193"/>
      <c r="AC4030" s="193"/>
      <c r="AD4030" s="193"/>
      <c r="AE4030" s="193"/>
      <c r="AF4030" s="193"/>
    </row>
    <row r="4031" spans="21:32" x14ac:dyDescent="0.3">
      <c r="U4031" s="193"/>
      <c r="V4031" s="193"/>
      <c r="W4031" s="193"/>
      <c r="X4031" s="193"/>
      <c r="Y4031" s="193"/>
      <c r="Z4031" s="193"/>
      <c r="AC4031" s="193"/>
      <c r="AD4031" s="193"/>
      <c r="AE4031" s="193"/>
      <c r="AF4031" s="193"/>
    </row>
    <row r="4032" spans="21:32" x14ac:dyDescent="0.3">
      <c r="U4032" s="193"/>
      <c r="V4032" s="193"/>
      <c r="W4032" s="193"/>
      <c r="X4032" s="193"/>
      <c r="Y4032" s="193"/>
      <c r="Z4032" s="193"/>
      <c r="AC4032" s="193"/>
      <c r="AD4032" s="193"/>
      <c r="AE4032" s="193"/>
      <c r="AF4032" s="193"/>
    </row>
    <row r="4033" spans="21:32" x14ac:dyDescent="0.3">
      <c r="U4033" s="193"/>
      <c r="V4033" s="193"/>
      <c r="W4033" s="193"/>
      <c r="X4033" s="193"/>
      <c r="Y4033" s="193"/>
      <c r="Z4033" s="193"/>
      <c r="AC4033" s="193"/>
      <c r="AD4033" s="193"/>
      <c r="AE4033" s="193"/>
      <c r="AF4033" s="193"/>
    </row>
    <row r="4034" spans="21:32" x14ac:dyDescent="0.3">
      <c r="U4034" s="193"/>
      <c r="V4034" s="193"/>
      <c r="W4034" s="193"/>
      <c r="X4034" s="193"/>
      <c r="Y4034" s="193"/>
      <c r="Z4034" s="193"/>
      <c r="AC4034" s="193"/>
      <c r="AD4034" s="193"/>
      <c r="AE4034" s="193"/>
      <c r="AF4034" s="193"/>
    </row>
    <row r="4035" spans="21:32" x14ac:dyDescent="0.3">
      <c r="U4035" s="193"/>
      <c r="V4035" s="193"/>
      <c r="W4035" s="193"/>
      <c r="X4035" s="193"/>
      <c r="Y4035" s="193"/>
      <c r="Z4035" s="193"/>
      <c r="AC4035" s="193"/>
      <c r="AD4035" s="193"/>
      <c r="AE4035" s="193"/>
      <c r="AF4035" s="193"/>
    </row>
    <row r="4036" spans="21:32" x14ac:dyDescent="0.3">
      <c r="U4036" s="193"/>
      <c r="V4036" s="193"/>
      <c r="W4036" s="193"/>
      <c r="X4036" s="193"/>
      <c r="Y4036" s="193"/>
      <c r="Z4036" s="193"/>
      <c r="AC4036" s="193"/>
      <c r="AD4036" s="193"/>
      <c r="AE4036" s="193"/>
      <c r="AF4036" s="193"/>
    </row>
    <row r="4037" spans="21:32" x14ac:dyDescent="0.3">
      <c r="U4037" s="193"/>
      <c r="V4037" s="193"/>
      <c r="W4037" s="193"/>
      <c r="X4037" s="193"/>
      <c r="Y4037" s="193"/>
      <c r="Z4037" s="193"/>
      <c r="AC4037" s="193"/>
      <c r="AD4037" s="193"/>
      <c r="AE4037" s="193"/>
      <c r="AF4037" s="193"/>
    </row>
    <row r="4038" spans="21:32" x14ac:dyDescent="0.3">
      <c r="U4038" s="193"/>
      <c r="V4038" s="193"/>
      <c r="W4038" s="193"/>
      <c r="X4038" s="193"/>
      <c r="Y4038" s="193"/>
      <c r="Z4038" s="193"/>
      <c r="AC4038" s="193"/>
      <c r="AD4038" s="193"/>
      <c r="AE4038" s="193"/>
      <c r="AF4038" s="193"/>
    </row>
    <row r="4039" spans="21:32" x14ac:dyDescent="0.3">
      <c r="U4039" s="193"/>
      <c r="V4039" s="193"/>
      <c r="W4039" s="193"/>
      <c r="X4039" s="193"/>
      <c r="Y4039" s="193"/>
      <c r="Z4039" s="193"/>
      <c r="AC4039" s="193"/>
      <c r="AD4039" s="193"/>
      <c r="AE4039" s="193"/>
      <c r="AF4039" s="193"/>
    </row>
    <row r="4040" spans="21:32" x14ac:dyDescent="0.3">
      <c r="U4040" s="193"/>
      <c r="V4040" s="193"/>
      <c r="W4040" s="193"/>
      <c r="X4040" s="193"/>
      <c r="Y4040" s="193"/>
      <c r="Z4040" s="193"/>
      <c r="AC4040" s="193"/>
      <c r="AD4040" s="193"/>
      <c r="AE4040" s="193"/>
      <c r="AF4040" s="193"/>
    </row>
    <row r="4041" spans="21:32" x14ac:dyDescent="0.3">
      <c r="U4041" s="193"/>
      <c r="V4041" s="193"/>
      <c r="W4041" s="193"/>
      <c r="X4041" s="193"/>
      <c r="Y4041" s="193"/>
      <c r="Z4041" s="193"/>
      <c r="AC4041" s="193"/>
      <c r="AD4041" s="193"/>
      <c r="AE4041" s="193"/>
      <c r="AF4041" s="193"/>
    </row>
    <row r="4042" spans="21:32" x14ac:dyDescent="0.3">
      <c r="U4042" s="193"/>
      <c r="V4042" s="193"/>
      <c r="W4042" s="193"/>
      <c r="X4042" s="193"/>
      <c r="Y4042" s="193"/>
      <c r="Z4042" s="193"/>
      <c r="AC4042" s="193"/>
      <c r="AD4042" s="193"/>
      <c r="AE4042" s="193"/>
      <c r="AF4042" s="193"/>
    </row>
    <row r="4043" spans="21:32" x14ac:dyDescent="0.3">
      <c r="U4043" s="193"/>
      <c r="V4043" s="193"/>
      <c r="W4043" s="193"/>
      <c r="X4043" s="193"/>
      <c r="Y4043" s="193"/>
      <c r="Z4043" s="193"/>
      <c r="AC4043" s="193"/>
      <c r="AD4043" s="193"/>
      <c r="AE4043" s="193"/>
      <c r="AF4043" s="193"/>
    </row>
    <row r="4044" spans="21:32" x14ac:dyDescent="0.3">
      <c r="U4044" s="193"/>
      <c r="V4044" s="193"/>
      <c r="W4044" s="193"/>
      <c r="X4044" s="193"/>
      <c r="Y4044" s="193"/>
      <c r="Z4044" s="193"/>
      <c r="AC4044" s="193"/>
      <c r="AD4044" s="193"/>
      <c r="AE4044" s="193"/>
      <c r="AF4044" s="193"/>
    </row>
    <row r="4045" spans="21:32" x14ac:dyDescent="0.3">
      <c r="U4045" s="193"/>
      <c r="V4045" s="193"/>
      <c r="W4045" s="193"/>
      <c r="X4045" s="193"/>
      <c r="Y4045" s="193"/>
      <c r="Z4045" s="193"/>
      <c r="AC4045" s="193"/>
      <c r="AD4045" s="193"/>
      <c r="AE4045" s="193"/>
      <c r="AF4045" s="193"/>
    </row>
    <row r="4046" spans="21:32" x14ac:dyDescent="0.3">
      <c r="U4046" s="193"/>
      <c r="V4046" s="193"/>
      <c r="W4046" s="193"/>
      <c r="X4046" s="193"/>
      <c r="Y4046" s="193"/>
      <c r="Z4046" s="193"/>
      <c r="AC4046" s="193"/>
      <c r="AD4046" s="193"/>
      <c r="AE4046" s="193"/>
      <c r="AF4046" s="193"/>
    </row>
    <row r="4047" spans="21:32" x14ac:dyDescent="0.3">
      <c r="U4047" s="193"/>
      <c r="V4047" s="193"/>
      <c r="W4047" s="193"/>
      <c r="X4047" s="193"/>
      <c r="Y4047" s="193"/>
      <c r="Z4047" s="193"/>
      <c r="AC4047" s="193"/>
      <c r="AD4047" s="193"/>
      <c r="AE4047" s="193"/>
      <c r="AF4047" s="193"/>
    </row>
    <row r="4048" spans="21:32" x14ac:dyDescent="0.3">
      <c r="U4048" s="193"/>
      <c r="V4048" s="193"/>
      <c r="W4048" s="193"/>
      <c r="X4048" s="193"/>
      <c r="Y4048" s="193"/>
      <c r="Z4048" s="193"/>
      <c r="AC4048" s="193"/>
      <c r="AD4048" s="193"/>
      <c r="AE4048" s="193"/>
      <c r="AF4048" s="193"/>
    </row>
    <row r="4049" spans="21:32" x14ac:dyDescent="0.3">
      <c r="U4049" s="193"/>
      <c r="V4049" s="193"/>
      <c r="W4049" s="193"/>
      <c r="X4049" s="193"/>
      <c r="Y4049" s="193"/>
      <c r="Z4049" s="193"/>
      <c r="AC4049" s="193"/>
      <c r="AD4049" s="193"/>
      <c r="AE4049" s="193"/>
      <c r="AF4049" s="193"/>
    </row>
    <row r="4050" spans="21:32" x14ac:dyDescent="0.3">
      <c r="U4050" s="193"/>
      <c r="V4050" s="193"/>
      <c r="W4050" s="193"/>
      <c r="X4050" s="193"/>
      <c r="Y4050" s="193"/>
      <c r="Z4050" s="193"/>
      <c r="AC4050" s="193"/>
      <c r="AD4050" s="193"/>
      <c r="AE4050" s="193"/>
      <c r="AF4050" s="193"/>
    </row>
    <row r="4051" spans="21:32" x14ac:dyDescent="0.3">
      <c r="U4051" s="193"/>
      <c r="V4051" s="193"/>
      <c r="W4051" s="193"/>
      <c r="X4051" s="193"/>
      <c r="Y4051" s="193"/>
      <c r="Z4051" s="193"/>
      <c r="AC4051" s="193"/>
      <c r="AD4051" s="193"/>
      <c r="AE4051" s="193"/>
      <c r="AF4051" s="193"/>
    </row>
    <row r="4052" spans="21:32" x14ac:dyDescent="0.3">
      <c r="U4052" s="193"/>
      <c r="V4052" s="193"/>
      <c r="W4052" s="193"/>
      <c r="X4052" s="193"/>
      <c r="Y4052" s="193"/>
      <c r="Z4052" s="193"/>
      <c r="AC4052" s="193"/>
      <c r="AD4052" s="193"/>
      <c r="AE4052" s="193"/>
      <c r="AF4052" s="193"/>
    </row>
    <row r="4053" spans="21:32" x14ac:dyDescent="0.3">
      <c r="U4053" s="193"/>
      <c r="V4053" s="193"/>
      <c r="W4053" s="193"/>
      <c r="X4053" s="193"/>
      <c r="Y4053" s="193"/>
      <c r="Z4053" s="193"/>
      <c r="AC4053" s="193"/>
      <c r="AD4053" s="193"/>
      <c r="AE4053" s="193"/>
      <c r="AF4053" s="193"/>
    </row>
    <row r="4054" spans="21:32" x14ac:dyDescent="0.3">
      <c r="U4054" s="193"/>
      <c r="V4054" s="193"/>
      <c r="W4054" s="193"/>
      <c r="X4054" s="193"/>
      <c r="Y4054" s="193"/>
      <c r="Z4054" s="193"/>
      <c r="AC4054" s="193"/>
      <c r="AD4054" s="193"/>
      <c r="AE4054" s="193"/>
      <c r="AF4054" s="193"/>
    </row>
    <row r="4055" spans="21:32" x14ac:dyDescent="0.3">
      <c r="U4055" s="193"/>
      <c r="V4055" s="193"/>
      <c r="W4055" s="193"/>
      <c r="X4055" s="193"/>
      <c r="Y4055" s="193"/>
      <c r="Z4055" s="193"/>
      <c r="AC4055" s="193"/>
      <c r="AD4055" s="193"/>
      <c r="AE4055" s="193"/>
      <c r="AF4055" s="193"/>
    </row>
    <row r="4056" spans="21:32" x14ac:dyDescent="0.3">
      <c r="U4056" s="193"/>
      <c r="V4056" s="193"/>
      <c r="W4056" s="193"/>
      <c r="X4056" s="193"/>
      <c r="Y4056" s="193"/>
      <c r="Z4056" s="193"/>
      <c r="AC4056" s="193"/>
      <c r="AD4056" s="193"/>
      <c r="AE4056" s="193"/>
      <c r="AF4056" s="193"/>
    </row>
    <row r="4057" spans="21:32" x14ac:dyDescent="0.3">
      <c r="U4057" s="193"/>
      <c r="V4057" s="193"/>
      <c r="W4057" s="193"/>
      <c r="X4057" s="193"/>
      <c r="Y4057" s="193"/>
      <c r="Z4057" s="193"/>
      <c r="AC4057" s="193"/>
      <c r="AD4057" s="193"/>
      <c r="AE4057" s="193"/>
      <c r="AF4057" s="193"/>
    </row>
    <row r="4058" spans="21:32" x14ac:dyDescent="0.3">
      <c r="U4058" s="193"/>
      <c r="V4058" s="193"/>
      <c r="W4058" s="193"/>
      <c r="X4058" s="193"/>
      <c r="Y4058" s="193"/>
      <c r="Z4058" s="193"/>
      <c r="AC4058" s="193"/>
      <c r="AD4058" s="193"/>
      <c r="AE4058" s="193"/>
      <c r="AF4058" s="193"/>
    </row>
    <row r="4059" spans="21:32" x14ac:dyDescent="0.3">
      <c r="U4059" s="193"/>
      <c r="V4059" s="193"/>
      <c r="W4059" s="193"/>
      <c r="X4059" s="193"/>
      <c r="Y4059" s="193"/>
      <c r="Z4059" s="193"/>
      <c r="AC4059" s="193"/>
      <c r="AD4059" s="193"/>
      <c r="AE4059" s="193"/>
      <c r="AF4059" s="193"/>
    </row>
    <row r="4060" spans="21:32" x14ac:dyDescent="0.3">
      <c r="U4060" s="193"/>
      <c r="V4060" s="193"/>
      <c r="W4060" s="193"/>
      <c r="X4060" s="193"/>
      <c r="Y4060" s="193"/>
      <c r="Z4060" s="193"/>
      <c r="AC4060" s="193"/>
      <c r="AD4060" s="193"/>
      <c r="AE4060" s="193"/>
      <c r="AF4060" s="193"/>
    </row>
    <row r="4061" spans="21:32" x14ac:dyDescent="0.3">
      <c r="U4061" s="193"/>
      <c r="V4061" s="193"/>
      <c r="W4061" s="193"/>
      <c r="X4061" s="193"/>
      <c r="Y4061" s="193"/>
      <c r="Z4061" s="193"/>
      <c r="AC4061" s="193"/>
      <c r="AD4061" s="193"/>
      <c r="AE4061" s="193"/>
      <c r="AF4061" s="193"/>
    </row>
    <row r="4062" spans="21:32" x14ac:dyDescent="0.3">
      <c r="U4062" s="193"/>
      <c r="V4062" s="193"/>
      <c r="W4062" s="193"/>
      <c r="X4062" s="193"/>
      <c r="Y4062" s="193"/>
      <c r="Z4062" s="193"/>
      <c r="AC4062" s="193"/>
      <c r="AD4062" s="193"/>
      <c r="AE4062" s="193"/>
      <c r="AF4062" s="193"/>
    </row>
    <row r="4063" spans="21:32" x14ac:dyDescent="0.3">
      <c r="U4063" s="193"/>
      <c r="V4063" s="193"/>
      <c r="W4063" s="193"/>
      <c r="X4063" s="193"/>
      <c r="Y4063" s="193"/>
      <c r="Z4063" s="193"/>
      <c r="AC4063" s="193"/>
      <c r="AD4063" s="193"/>
      <c r="AE4063" s="193"/>
      <c r="AF4063" s="193"/>
    </row>
    <row r="4064" spans="21:32" x14ac:dyDescent="0.3">
      <c r="U4064" s="193"/>
      <c r="V4064" s="193"/>
      <c r="W4064" s="193"/>
      <c r="X4064" s="193"/>
      <c r="Y4064" s="193"/>
      <c r="Z4064" s="193"/>
      <c r="AC4064" s="193"/>
      <c r="AD4064" s="193"/>
      <c r="AE4064" s="193"/>
      <c r="AF4064" s="193"/>
    </row>
    <row r="4065" spans="21:32" x14ac:dyDescent="0.3">
      <c r="U4065" s="193"/>
      <c r="V4065" s="193"/>
      <c r="W4065" s="193"/>
      <c r="X4065" s="193"/>
      <c r="Y4065" s="193"/>
      <c r="Z4065" s="193"/>
      <c r="AC4065" s="193"/>
      <c r="AD4065" s="193"/>
      <c r="AE4065" s="193"/>
      <c r="AF4065" s="193"/>
    </row>
    <row r="4066" spans="21:32" x14ac:dyDescent="0.3">
      <c r="U4066" s="193"/>
      <c r="V4066" s="193"/>
      <c r="W4066" s="193"/>
      <c r="X4066" s="193"/>
      <c r="Y4066" s="193"/>
      <c r="Z4066" s="193"/>
      <c r="AC4066" s="193"/>
      <c r="AD4066" s="193"/>
      <c r="AE4066" s="193"/>
      <c r="AF4066" s="193"/>
    </row>
    <row r="4067" spans="21:32" x14ac:dyDescent="0.3">
      <c r="U4067" s="193"/>
      <c r="V4067" s="193"/>
      <c r="W4067" s="193"/>
      <c r="X4067" s="193"/>
      <c r="Y4067" s="193"/>
      <c r="Z4067" s="193"/>
      <c r="AC4067" s="193"/>
      <c r="AD4067" s="193"/>
      <c r="AE4067" s="193"/>
      <c r="AF4067" s="193"/>
    </row>
    <row r="4068" spans="21:32" x14ac:dyDescent="0.3">
      <c r="U4068" s="193"/>
      <c r="V4068" s="193"/>
      <c r="W4068" s="193"/>
      <c r="X4068" s="193"/>
      <c r="Y4068" s="193"/>
      <c r="Z4068" s="193"/>
      <c r="AC4068" s="193"/>
      <c r="AD4068" s="193"/>
      <c r="AE4068" s="193"/>
      <c r="AF4068" s="193"/>
    </row>
    <row r="4069" spans="21:32" x14ac:dyDescent="0.3">
      <c r="U4069" s="193"/>
      <c r="V4069" s="193"/>
      <c r="W4069" s="193"/>
      <c r="X4069" s="193"/>
      <c r="Y4069" s="193"/>
      <c r="Z4069" s="193"/>
      <c r="AC4069" s="193"/>
      <c r="AD4069" s="193"/>
      <c r="AE4069" s="193"/>
      <c r="AF4069" s="193"/>
    </row>
    <row r="4070" spans="21:32" x14ac:dyDescent="0.3">
      <c r="U4070" s="193"/>
      <c r="V4070" s="193"/>
      <c r="W4070" s="193"/>
      <c r="X4070" s="193"/>
      <c r="Y4070" s="193"/>
      <c r="Z4070" s="193"/>
      <c r="AC4070" s="193"/>
      <c r="AD4070" s="193"/>
      <c r="AE4070" s="193"/>
      <c r="AF4070" s="193"/>
    </row>
    <row r="4071" spans="21:32" x14ac:dyDescent="0.3">
      <c r="U4071" s="193"/>
      <c r="V4071" s="193"/>
      <c r="W4071" s="193"/>
      <c r="X4071" s="193"/>
      <c r="Y4071" s="193"/>
      <c r="Z4071" s="193"/>
      <c r="AC4071" s="193"/>
      <c r="AD4071" s="193"/>
      <c r="AE4071" s="193"/>
      <c r="AF4071" s="193"/>
    </row>
    <row r="4072" spans="21:32" x14ac:dyDescent="0.3">
      <c r="U4072" s="193"/>
      <c r="V4072" s="193"/>
      <c r="W4072" s="193"/>
      <c r="X4072" s="193"/>
      <c r="Y4072" s="193"/>
      <c r="Z4072" s="193"/>
      <c r="AC4072" s="193"/>
      <c r="AD4072" s="193"/>
      <c r="AE4072" s="193"/>
      <c r="AF4072" s="193"/>
    </row>
    <row r="4073" spans="21:32" x14ac:dyDescent="0.3">
      <c r="U4073" s="193"/>
      <c r="V4073" s="193"/>
      <c r="W4073" s="193"/>
      <c r="X4073" s="193"/>
      <c r="Y4073" s="193"/>
      <c r="Z4073" s="193"/>
      <c r="AC4073" s="193"/>
      <c r="AD4073" s="193"/>
      <c r="AE4073" s="193"/>
      <c r="AF4073" s="193"/>
    </row>
    <row r="4074" spans="21:32" x14ac:dyDescent="0.3">
      <c r="U4074" s="193"/>
      <c r="V4074" s="193"/>
      <c r="W4074" s="193"/>
      <c r="X4074" s="193"/>
      <c r="Y4074" s="193"/>
      <c r="Z4074" s="193"/>
      <c r="AC4074" s="193"/>
      <c r="AD4074" s="193"/>
      <c r="AE4074" s="193"/>
      <c r="AF4074" s="193"/>
    </row>
    <row r="4075" spans="21:32" x14ac:dyDescent="0.3">
      <c r="U4075" s="193"/>
      <c r="V4075" s="193"/>
      <c r="W4075" s="193"/>
      <c r="X4075" s="193"/>
      <c r="Y4075" s="193"/>
      <c r="Z4075" s="193"/>
      <c r="AC4075" s="193"/>
      <c r="AD4075" s="193"/>
      <c r="AE4075" s="193"/>
      <c r="AF4075" s="193"/>
    </row>
    <row r="4076" spans="21:32" x14ac:dyDescent="0.3">
      <c r="U4076" s="193"/>
      <c r="V4076" s="193"/>
      <c r="W4076" s="193"/>
      <c r="X4076" s="193"/>
      <c r="Y4076" s="193"/>
      <c r="Z4076" s="193"/>
      <c r="AC4076" s="193"/>
      <c r="AD4076" s="193"/>
      <c r="AE4076" s="193"/>
      <c r="AF4076" s="193"/>
    </row>
    <row r="4077" spans="21:32" x14ac:dyDescent="0.3">
      <c r="U4077" s="193"/>
      <c r="V4077" s="193"/>
      <c r="W4077" s="193"/>
      <c r="X4077" s="193"/>
      <c r="Y4077" s="193"/>
      <c r="Z4077" s="193"/>
      <c r="AC4077" s="193"/>
      <c r="AD4077" s="193"/>
      <c r="AE4077" s="193"/>
      <c r="AF4077" s="193"/>
    </row>
    <row r="4078" spans="21:32" x14ac:dyDescent="0.3">
      <c r="U4078" s="193"/>
      <c r="V4078" s="193"/>
      <c r="W4078" s="193"/>
      <c r="X4078" s="193"/>
      <c r="Y4078" s="193"/>
      <c r="Z4078" s="193"/>
      <c r="AC4078" s="193"/>
      <c r="AD4078" s="193"/>
      <c r="AE4078" s="193"/>
      <c r="AF4078" s="193"/>
    </row>
    <row r="4079" spans="21:32" x14ac:dyDescent="0.3">
      <c r="U4079" s="193"/>
      <c r="V4079" s="193"/>
      <c r="W4079" s="193"/>
      <c r="X4079" s="193"/>
      <c r="Y4079" s="193"/>
      <c r="Z4079" s="193"/>
      <c r="AC4079" s="193"/>
      <c r="AD4079" s="193"/>
      <c r="AE4079" s="193"/>
      <c r="AF4079" s="193"/>
    </row>
    <row r="4080" spans="21:32" x14ac:dyDescent="0.3">
      <c r="U4080" s="193"/>
      <c r="V4080" s="193"/>
      <c r="W4080" s="193"/>
      <c r="X4080" s="193"/>
      <c r="Y4080" s="193"/>
      <c r="Z4080" s="193"/>
      <c r="AC4080" s="193"/>
      <c r="AD4080" s="193"/>
      <c r="AE4080" s="193"/>
      <c r="AF4080" s="193"/>
    </row>
    <row r="4081" spans="21:32" x14ac:dyDescent="0.3">
      <c r="U4081" s="193"/>
      <c r="V4081" s="193"/>
      <c r="W4081" s="193"/>
      <c r="X4081" s="193"/>
      <c r="Y4081" s="193"/>
      <c r="Z4081" s="193"/>
      <c r="AC4081" s="193"/>
      <c r="AD4081" s="193"/>
      <c r="AE4081" s="193"/>
      <c r="AF4081" s="193"/>
    </row>
    <row r="4082" spans="21:32" x14ac:dyDescent="0.3">
      <c r="U4082" s="193"/>
      <c r="V4082" s="193"/>
      <c r="W4082" s="193"/>
      <c r="X4082" s="193"/>
      <c r="Y4082" s="193"/>
      <c r="Z4082" s="193"/>
      <c r="AC4082" s="193"/>
      <c r="AD4082" s="193"/>
      <c r="AE4082" s="193"/>
      <c r="AF4082" s="193"/>
    </row>
    <row r="4083" spans="21:32" x14ac:dyDescent="0.3">
      <c r="U4083" s="193"/>
      <c r="V4083" s="193"/>
      <c r="W4083" s="193"/>
      <c r="X4083" s="193"/>
      <c r="Y4083" s="193"/>
      <c r="Z4083" s="193"/>
      <c r="AC4083" s="193"/>
      <c r="AD4083" s="193"/>
      <c r="AE4083" s="193"/>
      <c r="AF4083" s="193"/>
    </row>
    <row r="4084" spans="21:32" x14ac:dyDescent="0.3">
      <c r="U4084" s="193"/>
      <c r="V4084" s="193"/>
      <c r="W4084" s="193"/>
      <c r="X4084" s="193"/>
      <c r="Y4084" s="193"/>
      <c r="Z4084" s="193"/>
      <c r="AC4084" s="193"/>
      <c r="AD4084" s="193"/>
      <c r="AE4084" s="193"/>
      <c r="AF4084" s="193"/>
    </row>
    <row r="4085" spans="21:32" x14ac:dyDescent="0.3">
      <c r="U4085" s="193"/>
      <c r="V4085" s="193"/>
      <c r="W4085" s="193"/>
      <c r="X4085" s="193"/>
      <c r="Y4085" s="193"/>
      <c r="Z4085" s="193"/>
      <c r="AC4085" s="193"/>
      <c r="AD4085" s="193"/>
      <c r="AE4085" s="193"/>
      <c r="AF4085" s="193"/>
    </row>
    <row r="4086" spans="21:32" x14ac:dyDescent="0.3">
      <c r="U4086" s="193"/>
      <c r="V4086" s="193"/>
      <c r="W4086" s="193"/>
      <c r="X4086" s="193"/>
      <c r="Y4086" s="193"/>
      <c r="Z4086" s="193"/>
      <c r="AC4086" s="193"/>
      <c r="AD4086" s="193"/>
      <c r="AE4086" s="193"/>
      <c r="AF4086" s="193"/>
    </row>
    <row r="4087" spans="21:32" x14ac:dyDescent="0.3">
      <c r="U4087" s="193"/>
      <c r="V4087" s="193"/>
      <c r="W4087" s="193"/>
      <c r="X4087" s="193"/>
      <c r="Y4087" s="193"/>
      <c r="Z4087" s="193"/>
      <c r="AC4087" s="193"/>
      <c r="AD4087" s="193"/>
      <c r="AE4087" s="193"/>
      <c r="AF4087" s="193"/>
    </row>
    <row r="4088" spans="21:32" x14ac:dyDescent="0.3">
      <c r="U4088" s="193"/>
      <c r="V4088" s="193"/>
      <c r="W4088" s="193"/>
      <c r="X4088" s="193"/>
      <c r="Y4088" s="193"/>
      <c r="Z4088" s="193"/>
      <c r="AC4088" s="193"/>
      <c r="AD4088" s="193"/>
      <c r="AE4088" s="193"/>
      <c r="AF4088" s="193"/>
    </row>
    <row r="4089" spans="21:32" x14ac:dyDescent="0.3">
      <c r="U4089" s="193"/>
      <c r="V4089" s="193"/>
      <c r="W4089" s="193"/>
      <c r="X4089" s="193"/>
      <c r="Y4089" s="193"/>
      <c r="Z4089" s="193"/>
      <c r="AC4089" s="193"/>
      <c r="AD4089" s="193"/>
      <c r="AE4089" s="193"/>
      <c r="AF4089" s="193"/>
    </row>
    <row r="4090" spans="21:32" x14ac:dyDescent="0.3">
      <c r="U4090" s="193"/>
      <c r="V4090" s="193"/>
      <c r="W4090" s="193"/>
      <c r="X4090" s="193"/>
      <c r="Y4090" s="193"/>
      <c r="Z4090" s="193"/>
      <c r="AC4090" s="193"/>
      <c r="AD4090" s="193"/>
      <c r="AE4090" s="193"/>
      <c r="AF4090" s="193"/>
    </row>
    <row r="4091" spans="21:32" x14ac:dyDescent="0.3">
      <c r="U4091" s="193"/>
      <c r="V4091" s="193"/>
      <c r="W4091" s="193"/>
      <c r="X4091" s="193"/>
      <c r="Y4091" s="193"/>
      <c r="Z4091" s="193"/>
      <c r="AC4091" s="193"/>
      <c r="AD4091" s="193"/>
      <c r="AE4091" s="193"/>
      <c r="AF4091" s="193"/>
    </row>
    <row r="4092" spans="21:32" x14ac:dyDescent="0.3">
      <c r="U4092" s="193"/>
      <c r="V4092" s="193"/>
      <c r="W4092" s="193"/>
      <c r="X4092" s="193"/>
      <c r="Y4092" s="193"/>
      <c r="Z4092" s="193"/>
      <c r="AC4092" s="193"/>
      <c r="AD4092" s="193"/>
      <c r="AE4092" s="193"/>
      <c r="AF4092" s="193"/>
    </row>
    <row r="4093" spans="21:32" x14ac:dyDescent="0.3">
      <c r="U4093" s="193"/>
      <c r="V4093" s="193"/>
      <c r="W4093" s="193"/>
      <c r="X4093" s="193"/>
      <c r="Y4093" s="193"/>
      <c r="Z4093" s="193"/>
      <c r="AC4093" s="193"/>
      <c r="AD4093" s="193"/>
      <c r="AE4093" s="193"/>
      <c r="AF4093" s="193"/>
    </row>
    <row r="4094" spans="21:32" x14ac:dyDescent="0.3">
      <c r="U4094" s="193"/>
      <c r="V4094" s="193"/>
      <c r="W4094" s="193"/>
      <c r="X4094" s="193"/>
      <c r="Y4094" s="193"/>
      <c r="Z4094" s="193"/>
      <c r="AC4094" s="193"/>
      <c r="AD4094" s="193"/>
      <c r="AE4094" s="193"/>
      <c r="AF4094" s="193"/>
    </row>
    <row r="4095" spans="21:32" x14ac:dyDescent="0.3">
      <c r="U4095" s="193"/>
      <c r="V4095" s="193"/>
      <c r="W4095" s="193"/>
      <c r="X4095" s="193"/>
      <c r="Y4095" s="193"/>
      <c r="Z4095" s="193"/>
      <c r="AC4095" s="193"/>
      <c r="AD4095" s="193"/>
      <c r="AE4095" s="193"/>
      <c r="AF4095" s="193"/>
    </row>
    <row r="4096" spans="21:32" x14ac:dyDescent="0.3">
      <c r="U4096" s="193"/>
      <c r="V4096" s="193"/>
      <c r="W4096" s="193"/>
      <c r="X4096" s="193"/>
      <c r="Y4096" s="193"/>
      <c r="Z4096" s="193"/>
      <c r="AC4096" s="193"/>
      <c r="AD4096" s="193"/>
      <c r="AE4096" s="193"/>
      <c r="AF4096" s="193"/>
    </row>
    <row r="4097" spans="21:32" x14ac:dyDescent="0.3">
      <c r="U4097" s="193"/>
      <c r="V4097" s="193"/>
      <c r="W4097" s="193"/>
      <c r="X4097" s="193"/>
      <c r="Y4097" s="193"/>
      <c r="Z4097" s="193"/>
      <c r="AC4097" s="193"/>
      <c r="AD4097" s="193"/>
      <c r="AE4097" s="193"/>
      <c r="AF4097" s="193"/>
    </row>
    <row r="4098" spans="21:32" x14ac:dyDescent="0.3">
      <c r="U4098" s="193"/>
      <c r="V4098" s="193"/>
      <c r="W4098" s="193"/>
      <c r="X4098" s="193"/>
      <c r="Y4098" s="193"/>
      <c r="Z4098" s="193"/>
      <c r="AC4098" s="193"/>
      <c r="AD4098" s="193"/>
      <c r="AE4098" s="193"/>
      <c r="AF4098" s="193"/>
    </row>
    <row r="4099" spans="21:32" x14ac:dyDescent="0.3">
      <c r="U4099" s="193"/>
      <c r="V4099" s="193"/>
      <c r="W4099" s="193"/>
      <c r="X4099" s="193"/>
      <c r="Y4099" s="193"/>
      <c r="Z4099" s="193"/>
      <c r="AC4099" s="193"/>
      <c r="AD4099" s="193"/>
      <c r="AE4099" s="193"/>
      <c r="AF4099" s="193"/>
    </row>
    <row r="4100" spans="21:32" x14ac:dyDescent="0.3">
      <c r="U4100" s="193"/>
      <c r="V4100" s="193"/>
      <c r="W4100" s="193"/>
      <c r="X4100" s="193"/>
      <c r="Y4100" s="193"/>
      <c r="Z4100" s="193"/>
      <c r="AC4100" s="193"/>
      <c r="AD4100" s="193"/>
      <c r="AE4100" s="193"/>
      <c r="AF4100" s="193"/>
    </row>
    <row r="4101" spans="21:32" x14ac:dyDescent="0.3">
      <c r="U4101" s="193"/>
      <c r="V4101" s="193"/>
      <c r="W4101" s="193"/>
      <c r="X4101" s="193"/>
      <c r="Y4101" s="193"/>
      <c r="Z4101" s="193"/>
      <c r="AC4101" s="193"/>
      <c r="AD4101" s="193"/>
      <c r="AE4101" s="193"/>
      <c r="AF4101" s="193"/>
    </row>
    <row r="4102" spans="21:32" x14ac:dyDescent="0.3">
      <c r="U4102" s="193"/>
      <c r="V4102" s="193"/>
      <c r="W4102" s="193"/>
      <c r="X4102" s="193"/>
      <c r="Y4102" s="193"/>
      <c r="Z4102" s="193"/>
      <c r="AC4102" s="193"/>
      <c r="AD4102" s="193"/>
      <c r="AE4102" s="193"/>
      <c r="AF4102" s="193"/>
    </row>
    <row r="4103" spans="21:32" x14ac:dyDescent="0.3">
      <c r="U4103" s="193"/>
      <c r="V4103" s="193"/>
      <c r="W4103" s="193"/>
      <c r="X4103" s="193"/>
      <c r="Y4103" s="193"/>
      <c r="Z4103" s="193"/>
      <c r="AC4103" s="193"/>
      <c r="AD4103" s="193"/>
      <c r="AE4103" s="193"/>
      <c r="AF4103" s="193"/>
    </row>
    <row r="4104" spans="21:32" x14ac:dyDescent="0.3">
      <c r="U4104" s="193"/>
      <c r="V4104" s="193"/>
      <c r="W4104" s="193"/>
      <c r="X4104" s="193"/>
      <c r="Y4104" s="193"/>
      <c r="Z4104" s="193"/>
      <c r="AC4104" s="193"/>
      <c r="AD4104" s="193"/>
      <c r="AE4104" s="193"/>
      <c r="AF4104" s="193"/>
    </row>
    <row r="4105" spans="21:32" x14ac:dyDescent="0.3">
      <c r="U4105" s="193"/>
      <c r="V4105" s="193"/>
      <c r="W4105" s="193"/>
      <c r="X4105" s="193"/>
      <c r="Y4105" s="193"/>
      <c r="Z4105" s="193"/>
      <c r="AC4105" s="193"/>
      <c r="AD4105" s="193"/>
      <c r="AE4105" s="193"/>
      <c r="AF4105" s="193"/>
    </row>
    <row r="4106" spans="21:32" x14ac:dyDescent="0.3">
      <c r="U4106" s="193"/>
      <c r="V4106" s="193"/>
      <c r="W4106" s="193"/>
      <c r="X4106" s="193"/>
      <c r="Y4106" s="193"/>
      <c r="Z4106" s="193"/>
      <c r="AC4106" s="193"/>
      <c r="AD4106" s="193"/>
      <c r="AE4106" s="193"/>
      <c r="AF4106" s="193"/>
    </row>
    <row r="4107" spans="21:32" x14ac:dyDescent="0.3">
      <c r="U4107" s="193"/>
      <c r="V4107" s="193"/>
      <c r="W4107" s="193"/>
      <c r="X4107" s="193"/>
      <c r="Y4107" s="193"/>
      <c r="Z4107" s="193"/>
      <c r="AC4107" s="193"/>
      <c r="AD4107" s="193"/>
      <c r="AE4107" s="193"/>
      <c r="AF4107" s="193"/>
    </row>
    <row r="4108" spans="21:32" x14ac:dyDescent="0.3">
      <c r="U4108" s="193"/>
      <c r="V4108" s="193"/>
      <c r="W4108" s="193"/>
      <c r="X4108" s="193"/>
      <c r="Y4108" s="193"/>
      <c r="Z4108" s="193"/>
      <c r="AC4108" s="193"/>
      <c r="AD4108" s="193"/>
      <c r="AE4108" s="193"/>
      <c r="AF4108" s="193"/>
    </row>
    <row r="4109" spans="21:32" x14ac:dyDescent="0.3">
      <c r="U4109" s="193"/>
      <c r="V4109" s="193"/>
      <c r="W4109" s="193"/>
      <c r="X4109" s="193"/>
      <c r="Y4109" s="193"/>
      <c r="Z4109" s="193"/>
      <c r="AC4109" s="193"/>
      <c r="AD4109" s="193"/>
      <c r="AE4109" s="193"/>
      <c r="AF4109" s="193"/>
    </row>
    <row r="4110" spans="21:32" x14ac:dyDescent="0.3">
      <c r="U4110" s="193"/>
      <c r="V4110" s="193"/>
      <c r="W4110" s="193"/>
      <c r="X4110" s="193"/>
      <c r="Y4110" s="193"/>
      <c r="Z4110" s="193"/>
      <c r="AC4110" s="193"/>
      <c r="AD4110" s="193"/>
      <c r="AE4110" s="193"/>
      <c r="AF4110" s="193"/>
    </row>
    <row r="4111" spans="21:32" x14ac:dyDescent="0.3">
      <c r="U4111" s="193"/>
      <c r="V4111" s="193"/>
      <c r="W4111" s="193"/>
      <c r="X4111" s="193"/>
      <c r="Y4111" s="193"/>
      <c r="Z4111" s="193"/>
      <c r="AC4111" s="193"/>
      <c r="AD4111" s="193"/>
      <c r="AE4111" s="193"/>
      <c r="AF4111" s="193"/>
    </row>
    <row r="4112" spans="21:32" x14ac:dyDescent="0.3">
      <c r="U4112" s="193"/>
      <c r="V4112" s="193"/>
      <c r="W4112" s="193"/>
      <c r="X4112" s="193"/>
      <c r="Y4112" s="193"/>
      <c r="Z4112" s="193"/>
      <c r="AC4112" s="193"/>
      <c r="AD4112" s="193"/>
      <c r="AE4112" s="193"/>
      <c r="AF4112" s="193"/>
    </row>
    <row r="4113" spans="21:32" x14ac:dyDescent="0.3">
      <c r="U4113" s="193"/>
      <c r="V4113" s="193"/>
      <c r="W4113" s="193"/>
      <c r="X4113" s="193"/>
      <c r="Y4113" s="193"/>
      <c r="Z4113" s="193"/>
      <c r="AC4113" s="193"/>
      <c r="AD4113" s="193"/>
      <c r="AE4113" s="193"/>
      <c r="AF4113" s="193"/>
    </row>
    <row r="4114" spans="21:32" x14ac:dyDescent="0.3">
      <c r="U4114" s="193"/>
      <c r="V4114" s="193"/>
      <c r="W4114" s="193"/>
      <c r="X4114" s="193"/>
      <c r="Y4114" s="193"/>
      <c r="Z4114" s="193"/>
      <c r="AC4114" s="193"/>
      <c r="AD4114" s="193"/>
      <c r="AE4114" s="193"/>
      <c r="AF4114" s="193"/>
    </row>
    <row r="4115" spans="21:32" x14ac:dyDescent="0.3">
      <c r="U4115" s="193"/>
      <c r="V4115" s="193"/>
      <c r="W4115" s="193"/>
      <c r="X4115" s="193"/>
      <c r="Y4115" s="193"/>
      <c r="Z4115" s="193"/>
      <c r="AC4115" s="193"/>
      <c r="AD4115" s="193"/>
      <c r="AE4115" s="193"/>
      <c r="AF4115" s="193"/>
    </row>
    <row r="4116" spans="21:32" x14ac:dyDescent="0.3">
      <c r="U4116" s="193"/>
      <c r="V4116" s="193"/>
      <c r="W4116" s="193"/>
      <c r="X4116" s="193"/>
      <c r="Y4116" s="193"/>
      <c r="Z4116" s="193"/>
      <c r="AC4116" s="193"/>
      <c r="AD4116" s="193"/>
      <c r="AE4116" s="193"/>
      <c r="AF4116" s="193"/>
    </row>
    <row r="4117" spans="21:32" x14ac:dyDescent="0.3">
      <c r="U4117" s="193"/>
      <c r="V4117" s="193"/>
      <c r="W4117" s="193"/>
      <c r="X4117" s="193"/>
      <c r="Y4117" s="193"/>
      <c r="Z4117" s="193"/>
      <c r="AC4117" s="193"/>
      <c r="AD4117" s="193"/>
      <c r="AE4117" s="193"/>
      <c r="AF4117" s="193"/>
    </row>
    <row r="4118" spans="21:32" x14ac:dyDescent="0.3">
      <c r="U4118" s="193"/>
      <c r="V4118" s="193"/>
      <c r="W4118" s="193"/>
      <c r="X4118" s="193"/>
      <c r="Y4118" s="193"/>
      <c r="Z4118" s="193"/>
      <c r="AC4118" s="193"/>
      <c r="AD4118" s="193"/>
      <c r="AE4118" s="193"/>
      <c r="AF4118" s="193"/>
    </row>
    <row r="4119" spans="21:32" x14ac:dyDescent="0.3">
      <c r="U4119" s="193"/>
      <c r="V4119" s="193"/>
      <c r="W4119" s="193"/>
      <c r="X4119" s="193"/>
      <c r="Y4119" s="193"/>
      <c r="Z4119" s="193"/>
      <c r="AC4119" s="193"/>
      <c r="AD4119" s="193"/>
      <c r="AE4119" s="193"/>
      <c r="AF4119" s="193"/>
    </row>
    <row r="4120" spans="21:32" x14ac:dyDescent="0.3">
      <c r="U4120" s="193"/>
      <c r="V4120" s="193"/>
      <c r="W4120" s="193"/>
      <c r="X4120" s="193"/>
      <c r="Y4120" s="193"/>
      <c r="Z4120" s="193"/>
      <c r="AC4120" s="193"/>
      <c r="AD4120" s="193"/>
      <c r="AE4120" s="193"/>
      <c r="AF4120" s="193"/>
    </row>
    <row r="4121" spans="21:32" x14ac:dyDescent="0.3">
      <c r="U4121" s="193"/>
      <c r="V4121" s="193"/>
      <c r="W4121" s="193"/>
      <c r="X4121" s="193"/>
      <c r="Y4121" s="193"/>
      <c r="Z4121" s="193"/>
      <c r="AC4121" s="193"/>
      <c r="AD4121" s="193"/>
      <c r="AE4121" s="193"/>
      <c r="AF4121" s="193"/>
    </row>
    <row r="4122" spans="21:32" x14ac:dyDescent="0.3">
      <c r="U4122" s="193"/>
      <c r="V4122" s="193"/>
      <c r="W4122" s="193"/>
      <c r="X4122" s="193"/>
      <c r="Y4122" s="193"/>
      <c r="Z4122" s="193"/>
      <c r="AC4122" s="193"/>
      <c r="AD4122" s="193"/>
      <c r="AE4122" s="193"/>
      <c r="AF4122" s="193"/>
    </row>
    <row r="4123" spans="21:32" x14ac:dyDescent="0.3">
      <c r="U4123" s="193"/>
      <c r="V4123" s="193"/>
      <c r="W4123" s="193"/>
      <c r="X4123" s="193"/>
      <c r="Y4123" s="193"/>
      <c r="Z4123" s="193"/>
      <c r="AC4123" s="193"/>
      <c r="AD4123" s="193"/>
      <c r="AE4123" s="193"/>
      <c r="AF4123" s="193"/>
    </row>
    <row r="4124" spans="21:32" x14ac:dyDescent="0.3">
      <c r="U4124" s="193"/>
      <c r="V4124" s="193"/>
      <c r="W4124" s="193"/>
      <c r="X4124" s="193"/>
      <c r="Y4124" s="193"/>
      <c r="Z4124" s="193"/>
      <c r="AC4124" s="193"/>
      <c r="AD4124" s="193"/>
      <c r="AE4124" s="193"/>
      <c r="AF4124" s="193"/>
    </row>
    <row r="4125" spans="21:32" x14ac:dyDescent="0.3">
      <c r="U4125" s="193"/>
      <c r="V4125" s="193"/>
      <c r="W4125" s="193"/>
      <c r="X4125" s="193"/>
      <c r="Y4125" s="193"/>
      <c r="Z4125" s="193"/>
      <c r="AC4125" s="193"/>
      <c r="AD4125" s="193"/>
      <c r="AE4125" s="193"/>
      <c r="AF4125" s="193"/>
    </row>
    <row r="4126" spans="21:32" x14ac:dyDescent="0.3">
      <c r="U4126" s="193"/>
      <c r="V4126" s="193"/>
      <c r="W4126" s="193"/>
      <c r="X4126" s="193"/>
      <c r="Y4126" s="193"/>
      <c r="Z4126" s="193"/>
      <c r="AC4126" s="193"/>
      <c r="AD4126" s="193"/>
      <c r="AE4126" s="193"/>
      <c r="AF4126" s="193"/>
    </row>
    <row r="4127" spans="21:32" x14ac:dyDescent="0.3">
      <c r="U4127" s="193"/>
      <c r="V4127" s="193"/>
      <c r="W4127" s="193"/>
      <c r="X4127" s="193"/>
      <c r="Y4127" s="193"/>
      <c r="Z4127" s="193"/>
      <c r="AC4127" s="193"/>
      <c r="AD4127" s="193"/>
      <c r="AE4127" s="193"/>
      <c r="AF4127" s="193"/>
    </row>
    <row r="4128" spans="21:32" x14ac:dyDescent="0.3">
      <c r="U4128" s="193"/>
      <c r="V4128" s="193"/>
      <c r="W4128" s="193"/>
      <c r="X4128" s="193"/>
      <c r="Y4128" s="193"/>
      <c r="Z4128" s="193"/>
      <c r="AC4128" s="193"/>
      <c r="AD4128" s="193"/>
      <c r="AE4128" s="193"/>
      <c r="AF4128" s="193"/>
    </row>
    <row r="4129" spans="21:32" x14ac:dyDescent="0.3">
      <c r="U4129" s="193"/>
      <c r="V4129" s="193"/>
      <c r="W4129" s="193"/>
      <c r="X4129" s="193"/>
      <c r="Y4129" s="193"/>
      <c r="Z4129" s="193"/>
      <c r="AC4129" s="193"/>
      <c r="AD4129" s="193"/>
      <c r="AE4129" s="193"/>
      <c r="AF4129" s="193"/>
    </row>
    <row r="4130" spans="21:32" x14ac:dyDescent="0.3">
      <c r="U4130" s="193"/>
      <c r="V4130" s="193"/>
      <c r="W4130" s="193"/>
      <c r="X4130" s="193"/>
      <c r="Y4130" s="193"/>
      <c r="Z4130" s="193"/>
      <c r="AC4130" s="193"/>
      <c r="AD4130" s="193"/>
      <c r="AE4130" s="193"/>
      <c r="AF4130" s="193"/>
    </row>
    <row r="4131" spans="21:32" x14ac:dyDescent="0.3">
      <c r="U4131" s="193"/>
      <c r="V4131" s="193"/>
      <c r="W4131" s="193"/>
      <c r="X4131" s="193"/>
      <c r="Y4131" s="193"/>
      <c r="Z4131" s="193"/>
      <c r="AC4131" s="193"/>
      <c r="AD4131" s="193"/>
      <c r="AE4131" s="193"/>
      <c r="AF4131" s="193"/>
    </row>
    <row r="4132" spans="21:32" x14ac:dyDescent="0.3">
      <c r="U4132" s="193"/>
      <c r="V4132" s="193"/>
      <c r="W4132" s="193"/>
      <c r="X4132" s="193"/>
      <c r="Y4132" s="193"/>
      <c r="Z4132" s="193"/>
      <c r="AC4132" s="193"/>
      <c r="AD4132" s="193"/>
      <c r="AE4132" s="193"/>
      <c r="AF4132" s="193"/>
    </row>
    <row r="4133" spans="21:32" x14ac:dyDescent="0.3">
      <c r="U4133" s="193"/>
      <c r="V4133" s="193"/>
      <c r="W4133" s="193"/>
      <c r="X4133" s="193"/>
      <c r="Y4133" s="193"/>
      <c r="Z4133" s="193"/>
      <c r="AC4133" s="193"/>
      <c r="AD4133" s="193"/>
      <c r="AE4133" s="193"/>
      <c r="AF4133" s="193"/>
    </row>
    <row r="4134" spans="21:32" x14ac:dyDescent="0.3">
      <c r="U4134" s="193"/>
      <c r="V4134" s="193"/>
      <c r="W4134" s="193"/>
      <c r="X4134" s="193"/>
      <c r="Y4134" s="193"/>
      <c r="Z4134" s="193"/>
      <c r="AC4134" s="193"/>
      <c r="AD4134" s="193"/>
      <c r="AE4134" s="193"/>
      <c r="AF4134" s="193"/>
    </row>
    <row r="4135" spans="21:32" x14ac:dyDescent="0.3">
      <c r="U4135" s="193"/>
      <c r="V4135" s="193"/>
      <c r="W4135" s="193"/>
      <c r="X4135" s="193"/>
      <c r="Y4135" s="193"/>
      <c r="Z4135" s="193"/>
      <c r="AC4135" s="193"/>
      <c r="AD4135" s="193"/>
      <c r="AE4135" s="193"/>
      <c r="AF4135" s="193"/>
    </row>
    <row r="4136" spans="21:32" x14ac:dyDescent="0.3">
      <c r="U4136" s="193"/>
      <c r="V4136" s="193"/>
      <c r="W4136" s="193"/>
      <c r="X4136" s="193"/>
      <c r="Y4136" s="193"/>
      <c r="Z4136" s="193"/>
      <c r="AC4136" s="193"/>
      <c r="AD4136" s="193"/>
      <c r="AE4136" s="193"/>
      <c r="AF4136" s="193"/>
    </row>
    <row r="4137" spans="21:32" x14ac:dyDescent="0.3">
      <c r="U4137" s="193"/>
      <c r="V4137" s="193"/>
      <c r="W4137" s="193"/>
      <c r="X4137" s="193"/>
      <c r="Y4137" s="193"/>
      <c r="Z4137" s="193"/>
      <c r="AC4137" s="193"/>
      <c r="AD4137" s="193"/>
      <c r="AE4137" s="193"/>
      <c r="AF4137" s="193"/>
    </row>
    <row r="4138" spans="21:32" x14ac:dyDescent="0.3">
      <c r="U4138" s="193"/>
      <c r="V4138" s="193"/>
      <c r="W4138" s="193"/>
      <c r="X4138" s="193"/>
      <c r="Y4138" s="193"/>
      <c r="Z4138" s="193"/>
      <c r="AC4138" s="193"/>
      <c r="AD4138" s="193"/>
      <c r="AE4138" s="193"/>
      <c r="AF4138" s="193"/>
    </row>
    <row r="4139" spans="21:32" x14ac:dyDescent="0.3">
      <c r="U4139" s="193"/>
      <c r="V4139" s="193"/>
      <c r="W4139" s="193"/>
      <c r="X4139" s="193"/>
      <c r="Y4139" s="193"/>
      <c r="Z4139" s="193"/>
      <c r="AC4139" s="193"/>
      <c r="AD4139" s="193"/>
      <c r="AE4139" s="193"/>
      <c r="AF4139" s="193"/>
    </row>
    <row r="4140" spans="21:32" x14ac:dyDescent="0.3">
      <c r="U4140" s="193"/>
      <c r="V4140" s="193"/>
      <c r="W4140" s="193"/>
      <c r="X4140" s="193"/>
      <c r="Y4140" s="193"/>
      <c r="Z4140" s="193"/>
      <c r="AC4140" s="193"/>
      <c r="AD4140" s="193"/>
      <c r="AE4140" s="193"/>
      <c r="AF4140" s="193"/>
    </row>
    <row r="4141" spans="21:32" x14ac:dyDescent="0.3">
      <c r="U4141" s="193"/>
      <c r="V4141" s="193"/>
      <c r="W4141" s="193"/>
      <c r="X4141" s="193"/>
      <c r="Y4141" s="193"/>
      <c r="Z4141" s="193"/>
      <c r="AC4141" s="193"/>
      <c r="AD4141" s="193"/>
      <c r="AE4141" s="193"/>
      <c r="AF4141" s="193"/>
    </row>
    <row r="4142" spans="21:32" x14ac:dyDescent="0.3">
      <c r="U4142" s="193"/>
      <c r="V4142" s="193"/>
      <c r="W4142" s="193"/>
      <c r="X4142" s="193"/>
      <c r="Y4142" s="193"/>
      <c r="Z4142" s="193"/>
      <c r="AC4142" s="193"/>
      <c r="AD4142" s="193"/>
      <c r="AE4142" s="193"/>
      <c r="AF4142" s="193"/>
    </row>
    <row r="4143" spans="21:32" x14ac:dyDescent="0.3">
      <c r="U4143" s="193"/>
      <c r="V4143" s="193"/>
      <c r="W4143" s="193"/>
      <c r="X4143" s="193"/>
      <c r="Y4143" s="193"/>
      <c r="Z4143" s="193"/>
      <c r="AC4143" s="193"/>
      <c r="AD4143" s="193"/>
      <c r="AE4143" s="193"/>
      <c r="AF4143" s="193"/>
    </row>
    <row r="4144" spans="21:32" x14ac:dyDescent="0.3">
      <c r="U4144" s="193"/>
      <c r="V4144" s="193"/>
      <c r="W4144" s="193"/>
      <c r="X4144" s="193"/>
      <c r="Y4144" s="193"/>
      <c r="Z4144" s="193"/>
      <c r="AC4144" s="193"/>
      <c r="AD4144" s="193"/>
      <c r="AE4144" s="193"/>
      <c r="AF4144" s="193"/>
    </row>
    <row r="4145" spans="21:32" x14ac:dyDescent="0.3">
      <c r="U4145" s="193"/>
      <c r="V4145" s="193"/>
      <c r="W4145" s="193"/>
      <c r="X4145" s="193"/>
      <c r="Y4145" s="193"/>
      <c r="Z4145" s="193"/>
      <c r="AC4145" s="193"/>
      <c r="AD4145" s="193"/>
      <c r="AE4145" s="193"/>
      <c r="AF4145" s="193"/>
    </row>
    <row r="4146" spans="21:32" x14ac:dyDescent="0.3">
      <c r="U4146" s="193"/>
      <c r="V4146" s="193"/>
      <c r="W4146" s="193"/>
      <c r="X4146" s="193"/>
      <c r="Y4146" s="193"/>
      <c r="Z4146" s="193"/>
      <c r="AC4146" s="193"/>
      <c r="AD4146" s="193"/>
      <c r="AE4146" s="193"/>
      <c r="AF4146" s="193"/>
    </row>
    <row r="4147" spans="21:32" x14ac:dyDescent="0.3">
      <c r="U4147" s="193"/>
      <c r="V4147" s="193"/>
      <c r="W4147" s="193"/>
      <c r="X4147" s="193"/>
      <c r="Y4147" s="193"/>
      <c r="Z4147" s="193"/>
      <c r="AC4147" s="193"/>
      <c r="AD4147" s="193"/>
      <c r="AE4147" s="193"/>
      <c r="AF4147" s="193"/>
    </row>
    <row r="4148" spans="21:32" x14ac:dyDescent="0.3">
      <c r="U4148" s="193"/>
      <c r="V4148" s="193"/>
      <c r="W4148" s="193"/>
      <c r="X4148" s="193"/>
      <c r="Y4148" s="193"/>
      <c r="Z4148" s="193"/>
      <c r="AC4148" s="193"/>
      <c r="AD4148" s="193"/>
      <c r="AE4148" s="193"/>
      <c r="AF4148" s="193"/>
    </row>
    <row r="4149" spans="21:32" x14ac:dyDescent="0.3">
      <c r="U4149" s="193"/>
      <c r="V4149" s="193"/>
      <c r="W4149" s="193"/>
      <c r="X4149" s="193"/>
      <c r="Y4149" s="193"/>
      <c r="Z4149" s="193"/>
      <c r="AC4149" s="193"/>
      <c r="AD4149" s="193"/>
      <c r="AE4149" s="193"/>
      <c r="AF4149" s="193"/>
    </row>
    <row r="4150" spans="21:32" x14ac:dyDescent="0.3">
      <c r="U4150" s="193"/>
      <c r="V4150" s="193"/>
      <c r="W4150" s="193"/>
      <c r="X4150" s="193"/>
      <c r="Y4150" s="193"/>
      <c r="Z4150" s="193"/>
      <c r="AC4150" s="193"/>
      <c r="AD4150" s="193"/>
      <c r="AE4150" s="193"/>
      <c r="AF4150" s="193"/>
    </row>
    <row r="4151" spans="21:32" x14ac:dyDescent="0.3">
      <c r="U4151" s="193"/>
      <c r="V4151" s="193"/>
      <c r="W4151" s="193"/>
      <c r="X4151" s="193"/>
      <c r="Y4151" s="193"/>
      <c r="Z4151" s="193"/>
      <c r="AC4151" s="193"/>
      <c r="AD4151" s="193"/>
      <c r="AE4151" s="193"/>
      <c r="AF4151" s="193"/>
    </row>
    <row r="4152" spans="21:32" x14ac:dyDescent="0.3">
      <c r="U4152" s="193"/>
      <c r="V4152" s="193"/>
      <c r="W4152" s="193"/>
      <c r="X4152" s="193"/>
      <c r="Y4152" s="193"/>
      <c r="Z4152" s="193"/>
      <c r="AC4152" s="193"/>
      <c r="AD4152" s="193"/>
      <c r="AE4152" s="193"/>
      <c r="AF4152" s="193"/>
    </row>
    <row r="4153" spans="21:32" x14ac:dyDescent="0.3">
      <c r="U4153" s="193"/>
      <c r="V4153" s="193"/>
      <c r="W4153" s="193"/>
      <c r="X4153" s="193"/>
      <c r="Y4153" s="193"/>
      <c r="Z4153" s="193"/>
      <c r="AC4153" s="193"/>
      <c r="AD4153" s="193"/>
      <c r="AE4153" s="193"/>
      <c r="AF4153" s="193"/>
    </row>
    <row r="4154" spans="21:32" x14ac:dyDescent="0.3">
      <c r="U4154" s="193"/>
      <c r="V4154" s="193"/>
      <c r="W4154" s="193"/>
      <c r="X4154" s="193"/>
      <c r="Y4154" s="193"/>
      <c r="Z4154" s="193"/>
      <c r="AC4154" s="193"/>
      <c r="AD4154" s="193"/>
      <c r="AE4154" s="193"/>
      <c r="AF4154" s="193"/>
    </row>
    <row r="4155" spans="21:32" x14ac:dyDescent="0.3">
      <c r="U4155" s="193"/>
      <c r="V4155" s="193"/>
      <c r="W4155" s="193"/>
      <c r="X4155" s="193"/>
      <c r="Y4155" s="193"/>
      <c r="Z4155" s="193"/>
      <c r="AC4155" s="193"/>
      <c r="AD4155" s="193"/>
      <c r="AE4155" s="193"/>
      <c r="AF4155" s="193"/>
    </row>
    <row r="4156" spans="21:32" x14ac:dyDescent="0.3">
      <c r="U4156" s="193"/>
      <c r="V4156" s="193"/>
      <c r="W4156" s="193"/>
      <c r="X4156" s="193"/>
      <c r="Y4156" s="193"/>
      <c r="Z4156" s="193"/>
      <c r="AC4156" s="193"/>
      <c r="AD4156" s="193"/>
      <c r="AE4156" s="193"/>
      <c r="AF4156" s="193"/>
    </row>
    <row r="4157" spans="21:32" x14ac:dyDescent="0.3">
      <c r="U4157" s="193"/>
      <c r="V4157" s="193"/>
      <c r="W4157" s="193"/>
      <c r="X4157" s="193"/>
      <c r="Y4157" s="193"/>
      <c r="Z4157" s="193"/>
      <c r="AC4157" s="193"/>
      <c r="AD4157" s="193"/>
      <c r="AE4157" s="193"/>
      <c r="AF4157" s="193"/>
    </row>
    <row r="4158" spans="21:32" x14ac:dyDescent="0.3">
      <c r="U4158" s="193"/>
      <c r="V4158" s="193"/>
      <c r="W4158" s="193"/>
      <c r="X4158" s="193"/>
      <c r="Y4158" s="193"/>
      <c r="Z4158" s="193"/>
      <c r="AC4158" s="193"/>
      <c r="AD4158" s="193"/>
      <c r="AE4158" s="193"/>
      <c r="AF4158" s="193"/>
    </row>
    <row r="4159" spans="21:32" x14ac:dyDescent="0.3">
      <c r="U4159" s="193"/>
      <c r="V4159" s="193"/>
      <c r="W4159" s="193"/>
      <c r="X4159" s="193"/>
      <c r="Y4159" s="193"/>
      <c r="Z4159" s="193"/>
      <c r="AC4159" s="193"/>
      <c r="AD4159" s="193"/>
      <c r="AE4159" s="193"/>
      <c r="AF4159" s="193"/>
    </row>
    <row r="4160" spans="21:32" x14ac:dyDescent="0.3">
      <c r="U4160" s="193"/>
      <c r="V4160" s="193"/>
      <c r="W4160" s="193"/>
      <c r="X4160" s="193"/>
      <c r="Y4160" s="193"/>
      <c r="Z4160" s="193"/>
      <c r="AC4160" s="193"/>
      <c r="AD4160" s="193"/>
      <c r="AE4160" s="193"/>
      <c r="AF4160" s="193"/>
    </row>
    <row r="4161" spans="21:32" x14ac:dyDescent="0.3">
      <c r="U4161" s="193"/>
      <c r="V4161" s="193"/>
      <c r="W4161" s="193"/>
      <c r="X4161" s="193"/>
      <c r="Y4161" s="193"/>
      <c r="Z4161" s="193"/>
      <c r="AC4161" s="193"/>
      <c r="AD4161" s="193"/>
      <c r="AE4161" s="193"/>
      <c r="AF4161" s="193"/>
    </row>
    <row r="4162" spans="21:32" x14ac:dyDescent="0.3">
      <c r="U4162" s="193"/>
      <c r="V4162" s="193"/>
      <c r="W4162" s="193"/>
      <c r="X4162" s="193"/>
      <c r="Y4162" s="193"/>
      <c r="Z4162" s="193"/>
      <c r="AC4162" s="193"/>
      <c r="AD4162" s="193"/>
      <c r="AE4162" s="193"/>
      <c r="AF4162" s="193"/>
    </row>
    <row r="4163" spans="21:32" x14ac:dyDescent="0.3">
      <c r="U4163" s="193"/>
      <c r="V4163" s="193"/>
      <c r="W4163" s="193"/>
      <c r="X4163" s="193"/>
      <c r="Y4163" s="193"/>
      <c r="Z4163" s="193"/>
      <c r="AC4163" s="193"/>
      <c r="AD4163" s="193"/>
      <c r="AE4163" s="193"/>
      <c r="AF4163" s="193"/>
    </row>
    <row r="4164" spans="21:32" x14ac:dyDescent="0.3">
      <c r="U4164" s="193"/>
      <c r="V4164" s="193"/>
      <c r="W4164" s="193"/>
      <c r="X4164" s="193"/>
      <c r="Y4164" s="193"/>
      <c r="Z4164" s="193"/>
      <c r="AC4164" s="193"/>
      <c r="AD4164" s="193"/>
      <c r="AE4164" s="193"/>
      <c r="AF4164" s="193"/>
    </row>
    <row r="4165" spans="21:32" x14ac:dyDescent="0.3">
      <c r="U4165" s="193"/>
      <c r="V4165" s="193"/>
      <c r="W4165" s="193"/>
      <c r="X4165" s="193"/>
      <c r="Y4165" s="193"/>
      <c r="Z4165" s="193"/>
      <c r="AC4165" s="193"/>
      <c r="AD4165" s="193"/>
      <c r="AE4165" s="193"/>
      <c r="AF4165" s="193"/>
    </row>
    <row r="4166" spans="21:32" x14ac:dyDescent="0.3">
      <c r="U4166" s="193"/>
      <c r="V4166" s="193"/>
      <c r="W4166" s="193"/>
      <c r="X4166" s="193"/>
      <c r="Y4166" s="193"/>
      <c r="Z4166" s="193"/>
      <c r="AC4166" s="193"/>
      <c r="AD4166" s="193"/>
      <c r="AE4166" s="193"/>
      <c r="AF4166" s="193"/>
    </row>
    <row r="4167" spans="21:32" x14ac:dyDescent="0.3">
      <c r="U4167" s="193"/>
      <c r="V4167" s="193"/>
      <c r="W4167" s="193"/>
      <c r="X4167" s="193"/>
      <c r="Y4167" s="193"/>
      <c r="Z4167" s="193"/>
      <c r="AC4167" s="193"/>
      <c r="AD4167" s="193"/>
      <c r="AE4167" s="193"/>
      <c r="AF4167" s="193"/>
    </row>
    <row r="4168" spans="21:32" x14ac:dyDescent="0.3">
      <c r="U4168" s="193"/>
      <c r="V4168" s="193"/>
      <c r="W4168" s="193"/>
      <c r="X4168" s="193"/>
      <c r="Y4168" s="193"/>
      <c r="Z4168" s="193"/>
      <c r="AC4168" s="193"/>
      <c r="AD4168" s="193"/>
      <c r="AE4168" s="193"/>
      <c r="AF4168" s="193"/>
    </row>
    <row r="4169" spans="21:32" x14ac:dyDescent="0.3">
      <c r="U4169" s="193"/>
      <c r="V4169" s="193"/>
      <c r="W4169" s="193"/>
      <c r="X4169" s="193"/>
      <c r="Y4169" s="193"/>
      <c r="Z4169" s="193"/>
      <c r="AC4169" s="193"/>
      <c r="AD4169" s="193"/>
      <c r="AE4169" s="193"/>
      <c r="AF4169" s="193"/>
    </row>
    <row r="4170" spans="21:32" x14ac:dyDescent="0.3">
      <c r="U4170" s="193"/>
      <c r="V4170" s="193"/>
      <c r="W4170" s="193"/>
      <c r="X4170" s="193"/>
      <c r="Y4170" s="193"/>
      <c r="Z4170" s="193"/>
      <c r="AC4170" s="193"/>
      <c r="AD4170" s="193"/>
      <c r="AE4170" s="193"/>
      <c r="AF4170" s="193"/>
    </row>
    <row r="4171" spans="21:32" x14ac:dyDescent="0.3">
      <c r="U4171" s="193"/>
      <c r="V4171" s="193"/>
      <c r="W4171" s="193"/>
      <c r="X4171" s="193"/>
      <c r="Y4171" s="193"/>
      <c r="Z4171" s="193"/>
      <c r="AC4171" s="193"/>
      <c r="AD4171" s="193"/>
      <c r="AE4171" s="193"/>
      <c r="AF4171" s="193"/>
    </row>
    <row r="4172" spans="21:32" x14ac:dyDescent="0.3">
      <c r="U4172" s="193"/>
      <c r="V4172" s="193"/>
      <c r="W4172" s="193"/>
      <c r="X4172" s="193"/>
      <c r="Y4172" s="193"/>
      <c r="Z4172" s="193"/>
      <c r="AC4172" s="193"/>
      <c r="AD4172" s="193"/>
      <c r="AE4172" s="193"/>
      <c r="AF4172" s="193"/>
    </row>
    <row r="4173" spans="21:32" x14ac:dyDescent="0.3">
      <c r="U4173" s="193"/>
      <c r="V4173" s="193"/>
      <c r="W4173" s="193"/>
      <c r="X4173" s="193"/>
      <c r="Y4173" s="193"/>
      <c r="Z4173" s="193"/>
      <c r="AC4173" s="193"/>
      <c r="AD4173" s="193"/>
      <c r="AE4173" s="193"/>
      <c r="AF4173" s="193"/>
    </row>
    <row r="4174" spans="21:32" x14ac:dyDescent="0.3">
      <c r="U4174" s="193"/>
      <c r="V4174" s="193"/>
      <c r="W4174" s="193"/>
      <c r="X4174" s="193"/>
      <c r="Y4174" s="193"/>
      <c r="Z4174" s="193"/>
      <c r="AC4174" s="193"/>
      <c r="AD4174" s="193"/>
      <c r="AE4174" s="193"/>
      <c r="AF4174" s="193"/>
    </row>
    <row r="4175" spans="21:32" x14ac:dyDescent="0.3">
      <c r="U4175" s="193"/>
      <c r="V4175" s="193"/>
      <c r="W4175" s="193"/>
      <c r="X4175" s="193"/>
      <c r="Y4175" s="193"/>
      <c r="Z4175" s="193"/>
      <c r="AC4175" s="193"/>
      <c r="AD4175" s="193"/>
      <c r="AE4175" s="193"/>
      <c r="AF4175" s="193"/>
    </row>
    <row r="4176" spans="21:32" x14ac:dyDescent="0.3">
      <c r="U4176" s="193"/>
      <c r="V4176" s="193"/>
      <c r="W4176" s="193"/>
      <c r="X4176" s="193"/>
      <c r="Y4176" s="193"/>
      <c r="Z4176" s="193"/>
      <c r="AC4176" s="193"/>
      <c r="AD4176" s="193"/>
      <c r="AE4176" s="193"/>
      <c r="AF4176" s="193"/>
    </row>
    <row r="4177" spans="21:32" x14ac:dyDescent="0.3">
      <c r="U4177" s="193"/>
      <c r="V4177" s="193"/>
      <c r="W4177" s="193"/>
      <c r="X4177" s="193"/>
      <c r="Y4177" s="193"/>
      <c r="Z4177" s="193"/>
      <c r="AC4177" s="193"/>
      <c r="AD4177" s="193"/>
      <c r="AE4177" s="193"/>
      <c r="AF4177" s="193"/>
    </row>
    <row r="4178" spans="21:32" x14ac:dyDescent="0.3">
      <c r="U4178" s="193"/>
      <c r="V4178" s="193"/>
      <c r="W4178" s="193"/>
      <c r="X4178" s="193"/>
      <c r="Y4178" s="193"/>
      <c r="Z4178" s="193"/>
      <c r="AC4178" s="193"/>
      <c r="AD4178" s="193"/>
      <c r="AE4178" s="193"/>
      <c r="AF4178" s="193"/>
    </row>
    <row r="4179" spans="21:32" x14ac:dyDescent="0.3">
      <c r="U4179" s="193"/>
      <c r="V4179" s="193"/>
      <c r="W4179" s="193"/>
      <c r="X4179" s="193"/>
      <c r="Y4179" s="193"/>
      <c r="Z4179" s="193"/>
      <c r="AC4179" s="193"/>
      <c r="AD4179" s="193"/>
      <c r="AE4179" s="193"/>
      <c r="AF4179" s="193"/>
    </row>
    <row r="4180" spans="21:32" x14ac:dyDescent="0.3">
      <c r="U4180" s="193"/>
      <c r="V4180" s="193"/>
      <c r="W4180" s="193"/>
      <c r="X4180" s="193"/>
      <c r="Y4180" s="193"/>
      <c r="Z4180" s="193"/>
      <c r="AC4180" s="193"/>
      <c r="AD4180" s="193"/>
      <c r="AE4180" s="193"/>
      <c r="AF4180" s="193"/>
    </row>
    <row r="4181" spans="21:32" x14ac:dyDescent="0.3">
      <c r="U4181" s="193"/>
      <c r="V4181" s="193"/>
      <c r="W4181" s="193"/>
      <c r="X4181" s="193"/>
      <c r="Y4181" s="193"/>
      <c r="Z4181" s="193"/>
      <c r="AC4181" s="193"/>
      <c r="AD4181" s="193"/>
      <c r="AE4181" s="193"/>
      <c r="AF4181" s="193"/>
    </row>
    <row r="4182" spans="21:32" x14ac:dyDescent="0.3">
      <c r="U4182" s="193"/>
      <c r="V4182" s="193"/>
      <c r="W4182" s="193"/>
      <c r="X4182" s="193"/>
      <c r="Y4182" s="193"/>
      <c r="Z4182" s="193"/>
      <c r="AC4182" s="193"/>
      <c r="AD4182" s="193"/>
      <c r="AE4182" s="193"/>
      <c r="AF4182" s="193"/>
    </row>
    <row r="4183" spans="21:32" x14ac:dyDescent="0.3">
      <c r="U4183" s="193"/>
      <c r="V4183" s="193"/>
      <c r="W4183" s="193"/>
      <c r="X4183" s="193"/>
      <c r="Y4183" s="193"/>
      <c r="Z4183" s="193"/>
      <c r="AC4183" s="193"/>
      <c r="AD4183" s="193"/>
      <c r="AE4183" s="193"/>
      <c r="AF4183" s="193"/>
    </row>
    <row r="4184" spans="21:32" x14ac:dyDescent="0.3">
      <c r="U4184" s="193"/>
      <c r="V4184" s="193"/>
      <c r="W4184" s="193"/>
      <c r="X4184" s="193"/>
      <c r="Y4184" s="193"/>
      <c r="Z4184" s="193"/>
      <c r="AC4184" s="193"/>
      <c r="AD4184" s="193"/>
      <c r="AE4184" s="193"/>
      <c r="AF4184" s="193"/>
    </row>
    <row r="4185" spans="21:32" x14ac:dyDescent="0.3">
      <c r="U4185" s="193"/>
      <c r="V4185" s="193"/>
      <c r="W4185" s="193"/>
      <c r="X4185" s="193"/>
      <c r="Y4185" s="193"/>
      <c r="Z4185" s="193"/>
      <c r="AC4185" s="193"/>
      <c r="AD4185" s="193"/>
      <c r="AE4185" s="193"/>
      <c r="AF4185" s="193"/>
    </row>
    <row r="4186" spans="21:32" x14ac:dyDescent="0.3">
      <c r="U4186" s="193"/>
      <c r="V4186" s="193"/>
      <c r="W4186" s="193"/>
      <c r="X4186" s="193"/>
      <c r="Y4186" s="193"/>
      <c r="Z4186" s="193"/>
      <c r="AC4186" s="193"/>
      <c r="AD4186" s="193"/>
      <c r="AE4186" s="193"/>
      <c r="AF4186" s="193"/>
    </row>
    <row r="4187" spans="21:32" x14ac:dyDescent="0.3">
      <c r="U4187" s="193"/>
      <c r="V4187" s="193"/>
      <c r="W4187" s="193"/>
      <c r="X4187" s="193"/>
      <c r="Y4187" s="193"/>
      <c r="Z4187" s="193"/>
      <c r="AC4187" s="193"/>
      <c r="AD4187" s="193"/>
      <c r="AE4187" s="193"/>
      <c r="AF4187" s="193"/>
    </row>
    <row r="4188" spans="21:32" x14ac:dyDescent="0.3">
      <c r="U4188" s="193"/>
      <c r="V4188" s="193"/>
      <c r="W4188" s="193"/>
      <c r="X4188" s="193"/>
      <c r="Y4188" s="193"/>
      <c r="Z4188" s="193"/>
      <c r="AC4188" s="193"/>
      <c r="AD4188" s="193"/>
      <c r="AE4188" s="193"/>
      <c r="AF4188" s="193"/>
    </row>
    <row r="4189" spans="21:32" x14ac:dyDescent="0.3">
      <c r="U4189" s="193"/>
      <c r="V4189" s="193"/>
      <c r="W4189" s="193"/>
      <c r="X4189" s="193"/>
      <c r="Y4189" s="193"/>
      <c r="Z4189" s="193"/>
      <c r="AC4189" s="193"/>
      <c r="AD4189" s="193"/>
      <c r="AE4189" s="193"/>
      <c r="AF4189" s="193"/>
    </row>
    <row r="4190" spans="21:32" x14ac:dyDescent="0.3">
      <c r="U4190" s="193"/>
      <c r="V4190" s="193"/>
      <c r="W4190" s="193"/>
      <c r="X4190" s="193"/>
      <c r="Y4190" s="193"/>
      <c r="Z4190" s="193"/>
      <c r="AC4190" s="193"/>
      <c r="AD4190" s="193"/>
      <c r="AE4190" s="193"/>
      <c r="AF4190" s="193"/>
    </row>
    <row r="4191" spans="21:32" x14ac:dyDescent="0.3">
      <c r="U4191" s="193"/>
      <c r="V4191" s="193"/>
      <c r="W4191" s="193"/>
      <c r="X4191" s="193"/>
      <c r="Y4191" s="193"/>
      <c r="Z4191" s="193"/>
      <c r="AC4191" s="193"/>
      <c r="AD4191" s="193"/>
      <c r="AE4191" s="193"/>
      <c r="AF4191" s="193"/>
    </row>
    <row r="4192" spans="21:32" x14ac:dyDescent="0.3">
      <c r="U4192" s="193"/>
      <c r="V4192" s="193"/>
      <c r="W4192" s="193"/>
      <c r="X4192" s="193"/>
      <c r="Y4192" s="193"/>
      <c r="Z4192" s="193"/>
      <c r="AC4192" s="193"/>
      <c r="AD4192" s="193"/>
      <c r="AE4192" s="193"/>
      <c r="AF4192" s="193"/>
    </row>
    <row r="4193" spans="21:32" x14ac:dyDescent="0.3">
      <c r="U4193" s="193"/>
      <c r="V4193" s="193"/>
      <c r="W4193" s="193"/>
      <c r="X4193" s="193"/>
      <c r="Y4193" s="193"/>
      <c r="Z4193" s="193"/>
      <c r="AC4193" s="193"/>
      <c r="AD4193" s="193"/>
      <c r="AE4193" s="193"/>
      <c r="AF4193" s="193"/>
    </row>
    <row r="4194" spans="21:32" x14ac:dyDescent="0.3">
      <c r="U4194" s="193"/>
      <c r="V4194" s="193"/>
      <c r="W4194" s="193"/>
      <c r="X4194" s="193"/>
      <c r="Y4194" s="193"/>
      <c r="Z4194" s="193"/>
      <c r="AC4194" s="193"/>
      <c r="AD4194" s="193"/>
      <c r="AE4194" s="193"/>
      <c r="AF4194" s="193"/>
    </row>
    <row r="4195" spans="21:32" x14ac:dyDescent="0.3">
      <c r="U4195" s="193"/>
      <c r="V4195" s="193"/>
      <c r="W4195" s="193"/>
      <c r="X4195" s="193"/>
      <c r="Y4195" s="193"/>
      <c r="Z4195" s="193"/>
      <c r="AC4195" s="193"/>
      <c r="AD4195" s="193"/>
      <c r="AE4195" s="193"/>
      <c r="AF4195" s="193"/>
    </row>
    <row r="4196" spans="21:32" x14ac:dyDescent="0.3">
      <c r="U4196" s="193"/>
      <c r="V4196" s="193"/>
      <c r="W4196" s="193"/>
      <c r="X4196" s="193"/>
      <c r="Y4196" s="193"/>
      <c r="Z4196" s="193"/>
      <c r="AC4196" s="193"/>
      <c r="AD4196" s="193"/>
      <c r="AE4196" s="193"/>
      <c r="AF4196" s="193"/>
    </row>
    <row r="4197" spans="21:32" x14ac:dyDescent="0.3">
      <c r="U4197" s="193"/>
      <c r="V4197" s="193"/>
      <c r="W4197" s="193"/>
      <c r="X4197" s="193"/>
      <c r="Y4197" s="193"/>
      <c r="Z4197" s="193"/>
      <c r="AC4197" s="193"/>
      <c r="AD4197" s="193"/>
      <c r="AE4197" s="193"/>
      <c r="AF4197" s="193"/>
    </row>
    <row r="4198" spans="21:32" x14ac:dyDescent="0.3">
      <c r="U4198" s="193"/>
      <c r="V4198" s="193"/>
      <c r="W4198" s="193"/>
      <c r="X4198" s="193"/>
      <c r="Y4198" s="193"/>
      <c r="Z4198" s="193"/>
      <c r="AC4198" s="193"/>
      <c r="AD4198" s="193"/>
      <c r="AE4198" s="193"/>
      <c r="AF4198" s="193"/>
    </row>
    <row r="4199" spans="21:32" x14ac:dyDescent="0.3">
      <c r="U4199" s="193"/>
      <c r="V4199" s="193"/>
      <c r="W4199" s="193"/>
      <c r="X4199" s="193"/>
      <c r="Y4199" s="193"/>
      <c r="Z4199" s="193"/>
      <c r="AC4199" s="193"/>
      <c r="AD4199" s="193"/>
      <c r="AE4199" s="193"/>
      <c r="AF4199" s="193"/>
    </row>
    <row r="4200" spans="21:32" x14ac:dyDescent="0.3">
      <c r="U4200" s="193"/>
      <c r="V4200" s="193"/>
      <c r="W4200" s="193"/>
      <c r="X4200" s="193"/>
      <c r="Y4200" s="193"/>
      <c r="Z4200" s="193"/>
      <c r="AC4200" s="193"/>
      <c r="AD4200" s="193"/>
      <c r="AE4200" s="193"/>
      <c r="AF4200" s="193"/>
    </row>
    <row r="4201" spans="21:32" x14ac:dyDescent="0.3">
      <c r="U4201" s="193"/>
      <c r="V4201" s="193"/>
      <c r="W4201" s="193"/>
      <c r="X4201" s="193"/>
      <c r="Y4201" s="193"/>
      <c r="Z4201" s="193"/>
      <c r="AC4201" s="193"/>
      <c r="AD4201" s="193"/>
      <c r="AE4201" s="193"/>
      <c r="AF4201" s="193"/>
    </row>
    <row r="4202" spans="21:32" x14ac:dyDescent="0.3">
      <c r="U4202" s="193"/>
      <c r="V4202" s="193"/>
      <c r="W4202" s="193"/>
      <c r="X4202" s="193"/>
      <c r="Y4202" s="193"/>
      <c r="Z4202" s="193"/>
      <c r="AC4202" s="193"/>
      <c r="AD4202" s="193"/>
      <c r="AE4202" s="193"/>
      <c r="AF4202" s="193"/>
    </row>
    <row r="4203" spans="21:32" x14ac:dyDescent="0.3">
      <c r="U4203" s="193"/>
      <c r="V4203" s="193"/>
      <c r="W4203" s="193"/>
      <c r="X4203" s="193"/>
      <c r="Y4203" s="193"/>
      <c r="Z4203" s="193"/>
      <c r="AC4203" s="193"/>
      <c r="AD4203" s="193"/>
      <c r="AE4203" s="193"/>
      <c r="AF4203" s="193"/>
    </row>
    <row r="4204" spans="21:32" x14ac:dyDescent="0.3">
      <c r="U4204" s="193"/>
      <c r="V4204" s="193"/>
      <c r="W4204" s="193"/>
      <c r="X4204" s="193"/>
      <c r="Y4204" s="193"/>
      <c r="Z4204" s="193"/>
      <c r="AC4204" s="193"/>
      <c r="AD4204" s="193"/>
      <c r="AE4204" s="193"/>
      <c r="AF4204" s="193"/>
    </row>
    <row r="4205" spans="21:32" x14ac:dyDescent="0.3">
      <c r="U4205" s="193"/>
      <c r="V4205" s="193"/>
      <c r="W4205" s="193"/>
      <c r="X4205" s="193"/>
      <c r="Y4205" s="193"/>
      <c r="Z4205" s="193"/>
      <c r="AC4205" s="193"/>
      <c r="AD4205" s="193"/>
      <c r="AE4205" s="193"/>
      <c r="AF4205" s="193"/>
    </row>
    <row r="4206" spans="21:32" x14ac:dyDescent="0.3">
      <c r="U4206" s="193"/>
      <c r="V4206" s="193"/>
      <c r="W4206" s="193"/>
      <c r="X4206" s="193"/>
      <c r="Y4206" s="193"/>
      <c r="Z4206" s="193"/>
      <c r="AC4206" s="193"/>
      <c r="AD4206" s="193"/>
      <c r="AE4206" s="193"/>
      <c r="AF4206" s="193"/>
    </row>
  </sheetData>
  <mergeCells count="37">
    <mergeCell ref="AO5:AO8"/>
    <mergeCell ref="AG18:AG19"/>
    <mergeCell ref="AJ2:AJ3"/>
    <mergeCell ref="AO1:AO3"/>
    <mergeCell ref="B2:D2"/>
    <mergeCell ref="E2:G2"/>
    <mergeCell ref="H2:J2"/>
    <mergeCell ref="K2:M2"/>
    <mergeCell ref="N2:P2"/>
    <mergeCell ref="Q2:Q3"/>
    <mergeCell ref="R2:R3"/>
    <mergeCell ref="S2:S3"/>
    <mergeCell ref="T2:T3"/>
    <mergeCell ref="AN1:AN3"/>
    <mergeCell ref="Y2:Y3"/>
    <mergeCell ref="Z2:Z3"/>
    <mergeCell ref="AA2:AA3"/>
    <mergeCell ref="AB2:AB3"/>
    <mergeCell ref="AC2:AC3"/>
    <mergeCell ref="AL2:AL3"/>
    <mergeCell ref="AM2:AM3"/>
    <mergeCell ref="A1:A3"/>
    <mergeCell ref="B1:T1"/>
    <mergeCell ref="U1:AB1"/>
    <mergeCell ref="AC1:AH1"/>
    <mergeCell ref="AI1:AM1"/>
    <mergeCell ref="U2:U3"/>
    <mergeCell ref="V2:V3"/>
    <mergeCell ref="W2:W3"/>
    <mergeCell ref="X2:X3"/>
    <mergeCell ref="AD2:AD3"/>
    <mergeCell ref="AE2:AE3"/>
    <mergeCell ref="AF2:AF3"/>
    <mergeCell ref="AG2:AG3"/>
    <mergeCell ref="AH2:AH3"/>
    <mergeCell ref="AI2:AI3"/>
    <mergeCell ref="AK2:AK3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67"/>
  <sheetViews>
    <sheetView topLeftCell="A101" zoomScale="60" zoomScaleNormal="60" workbookViewId="0">
      <selection activeCell="W118" sqref="W118"/>
    </sheetView>
  </sheetViews>
  <sheetFormatPr defaultRowHeight="12.75" x14ac:dyDescent="0.25"/>
  <cols>
    <col min="1" max="16384" width="8.7265625" style="8"/>
  </cols>
  <sheetData>
    <row r="2" spans="1:1" ht="18.3" x14ac:dyDescent="0.4">
      <c r="A2" s="227" t="s">
        <v>186</v>
      </c>
    </row>
    <row r="36" spans="1:1" ht="18.3" x14ac:dyDescent="0.4">
      <c r="A36" s="227" t="s">
        <v>187</v>
      </c>
    </row>
    <row r="67" spans="1:1" ht="18.3" x14ac:dyDescent="0.4">
      <c r="A67" s="227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</sheetPr>
  <dimension ref="A1:AK8"/>
  <sheetViews>
    <sheetView workbookViewId="0">
      <selection activeCell="A9" sqref="A9"/>
    </sheetView>
  </sheetViews>
  <sheetFormatPr defaultRowHeight="12.75" x14ac:dyDescent="0.25"/>
  <cols>
    <col min="1" max="1" width="9.90625" style="314" customWidth="1"/>
    <col min="2" max="3" width="8.26953125" style="315" customWidth="1"/>
    <col min="4" max="4" width="8.7265625" style="8"/>
    <col min="5" max="7" width="0" style="8" hidden="1" customWidth="1"/>
    <col min="8" max="10" width="8.7265625" style="8"/>
    <col min="11" max="13" width="0" style="8" hidden="1" customWidth="1"/>
    <col min="14" max="19" width="8.7265625" style="8"/>
    <col min="20" max="20" width="0" style="8" hidden="1" customWidth="1"/>
    <col min="21" max="21" width="8.7265625" style="8"/>
    <col min="22" max="22" width="0" style="8" hidden="1" customWidth="1"/>
    <col min="23" max="25" width="8.7265625" style="8"/>
    <col min="26" max="26" width="5.453125" style="8" customWidth="1"/>
    <col min="27" max="27" width="0" style="8" hidden="1" customWidth="1"/>
    <col min="28" max="28" width="5.7265625" style="8" customWidth="1"/>
    <col min="29" max="29" width="0" style="8" hidden="1" customWidth="1"/>
    <col min="30" max="30" width="5.7265625" style="8" customWidth="1"/>
    <col min="31" max="256" width="8.7265625" style="8"/>
    <col min="257" max="257" width="9.90625" style="8" customWidth="1"/>
    <col min="258" max="259" width="8.26953125" style="8" customWidth="1"/>
    <col min="260" max="260" width="8.7265625" style="8"/>
    <col min="261" max="263" width="0" style="8" hidden="1" customWidth="1"/>
    <col min="264" max="266" width="8.7265625" style="8"/>
    <col min="267" max="269" width="0" style="8" hidden="1" customWidth="1"/>
    <col min="270" max="275" width="8.7265625" style="8"/>
    <col min="276" max="276" width="0" style="8" hidden="1" customWidth="1"/>
    <col min="277" max="277" width="8.7265625" style="8"/>
    <col min="278" max="278" width="0" style="8" hidden="1" customWidth="1"/>
    <col min="279" max="281" width="8.7265625" style="8"/>
    <col min="282" max="282" width="5.453125" style="8" customWidth="1"/>
    <col min="283" max="283" width="0" style="8" hidden="1" customWidth="1"/>
    <col min="284" max="284" width="5.7265625" style="8" customWidth="1"/>
    <col min="285" max="285" width="0" style="8" hidden="1" customWidth="1"/>
    <col min="286" max="286" width="5.7265625" style="8" customWidth="1"/>
    <col min="287" max="512" width="8.7265625" style="8"/>
    <col min="513" max="513" width="9.90625" style="8" customWidth="1"/>
    <col min="514" max="515" width="8.26953125" style="8" customWidth="1"/>
    <col min="516" max="516" width="8.7265625" style="8"/>
    <col min="517" max="519" width="0" style="8" hidden="1" customWidth="1"/>
    <col min="520" max="522" width="8.7265625" style="8"/>
    <col min="523" max="525" width="0" style="8" hidden="1" customWidth="1"/>
    <col min="526" max="531" width="8.7265625" style="8"/>
    <col min="532" max="532" width="0" style="8" hidden="1" customWidth="1"/>
    <col min="533" max="533" width="8.7265625" style="8"/>
    <col min="534" max="534" width="0" style="8" hidden="1" customWidth="1"/>
    <col min="535" max="537" width="8.7265625" style="8"/>
    <col min="538" max="538" width="5.453125" style="8" customWidth="1"/>
    <col min="539" max="539" width="0" style="8" hidden="1" customWidth="1"/>
    <col min="540" max="540" width="5.7265625" style="8" customWidth="1"/>
    <col min="541" max="541" width="0" style="8" hidden="1" customWidth="1"/>
    <col min="542" max="542" width="5.7265625" style="8" customWidth="1"/>
    <col min="543" max="768" width="8.7265625" style="8"/>
    <col min="769" max="769" width="9.90625" style="8" customWidth="1"/>
    <col min="770" max="771" width="8.26953125" style="8" customWidth="1"/>
    <col min="772" max="772" width="8.7265625" style="8"/>
    <col min="773" max="775" width="0" style="8" hidden="1" customWidth="1"/>
    <col min="776" max="778" width="8.7265625" style="8"/>
    <col min="779" max="781" width="0" style="8" hidden="1" customWidth="1"/>
    <col min="782" max="787" width="8.7265625" style="8"/>
    <col min="788" max="788" width="0" style="8" hidden="1" customWidth="1"/>
    <col min="789" max="789" width="8.7265625" style="8"/>
    <col min="790" max="790" width="0" style="8" hidden="1" customWidth="1"/>
    <col min="791" max="793" width="8.7265625" style="8"/>
    <col min="794" max="794" width="5.453125" style="8" customWidth="1"/>
    <col min="795" max="795" width="0" style="8" hidden="1" customWidth="1"/>
    <col min="796" max="796" width="5.7265625" style="8" customWidth="1"/>
    <col min="797" max="797" width="0" style="8" hidden="1" customWidth="1"/>
    <col min="798" max="798" width="5.7265625" style="8" customWidth="1"/>
    <col min="799" max="1024" width="8.7265625" style="8"/>
    <col min="1025" max="1025" width="9.90625" style="8" customWidth="1"/>
    <col min="1026" max="1027" width="8.26953125" style="8" customWidth="1"/>
    <col min="1028" max="1028" width="8.7265625" style="8"/>
    <col min="1029" max="1031" width="0" style="8" hidden="1" customWidth="1"/>
    <col min="1032" max="1034" width="8.7265625" style="8"/>
    <col min="1035" max="1037" width="0" style="8" hidden="1" customWidth="1"/>
    <col min="1038" max="1043" width="8.7265625" style="8"/>
    <col min="1044" max="1044" width="0" style="8" hidden="1" customWidth="1"/>
    <col min="1045" max="1045" width="8.7265625" style="8"/>
    <col min="1046" max="1046" width="0" style="8" hidden="1" customWidth="1"/>
    <col min="1047" max="1049" width="8.7265625" style="8"/>
    <col min="1050" max="1050" width="5.453125" style="8" customWidth="1"/>
    <col min="1051" max="1051" width="0" style="8" hidden="1" customWidth="1"/>
    <col min="1052" max="1052" width="5.7265625" style="8" customWidth="1"/>
    <col min="1053" max="1053" width="0" style="8" hidden="1" customWidth="1"/>
    <col min="1054" max="1054" width="5.7265625" style="8" customWidth="1"/>
    <col min="1055" max="1280" width="8.7265625" style="8"/>
    <col min="1281" max="1281" width="9.90625" style="8" customWidth="1"/>
    <col min="1282" max="1283" width="8.26953125" style="8" customWidth="1"/>
    <col min="1284" max="1284" width="8.7265625" style="8"/>
    <col min="1285" max="1287" width="0" style="8" hidden="1" customWidth="1"/>
    <col min="1288" max="1290" width="8.7265625" style="8"/>
    <col min="1291" max="1293" width="0" style="8" hidden="1" customWidth="1"/>
    <col min="1294" max="1299" width="8.7265625" style="8"/>
    <col min="1300" max="1300" width="0" style="8" hidden="1" customWidth="1"/>
    <col min="1301" max="1301" width="8.7265625" style="8"/>
    <col min="1302" max="1302" width="0" style="8" hidden="1" customWidth="1"/>
    <col min="1303" max="1305" width="8.7265625" style="8"/>
    <col min="1306" max="1306" width="5.453125" style="8" customWidth="1"/>
    <col min="1307" max="1307" width="0" style="8" hidden="1" customWidth="1"/>
    <col min="1308" max="1308" width="5.7265625" style="8" customWidth="1"/>
    <col min="1309" max="1309" width="0" style="8" hidden="1" customWidth="1"/>
    <col min="1310" max="1310" width="5.7265625" style="8" customWidth="1"/>
    <col min="1311" max="1536" width="8.7265625" style="8"/>
    <col min="1537" max="1537" width="9.90625" style="8" customWidth="1"/>
    <col min="1538" max="1539" width="8.26953125" style="8" customWidth="1"/>
    <col min="1540" max="1540" width="8.7265625" style="8"/>
    <col min="1541" max="1543" width="0" style="8" hidden="1" customWidth="1"/>
    <col min="1544" max="1546" width="8.7265625" style="8"/>
    <col min="1547" max="1549" width="0" style="8" hidden="1" customWidth="1"/>
    <col min="1550" max="1555" width="8.7265625" style="8"/>
    <col min="1556" max="1556" width="0" style="8" hidden="1" customWidth="1"/>
    <col min="1557" max="1557" width="8.7265625" style="8"/>
    <col min="1558" max="1558" width="0" style="8" hidden="1" customWidth="1"/>
    <col min="1559" max="1561" width="8.7265625" style="8"/>
    <col min="1562" max="1562" width="5.453125" style="8" customWidth="1"/>
    <col min="1563" max="1563" width="0" style="8" hidden="1" customWidth="1"/>
    <col min="1564" max="1564" width="5.7265625" style="8" customWidth="1"/>
    <col min="1565" max="1565" width="0" style="8" hidden="1" customWidth="1"/>
    <col min="1566" max="1566" width="5.7265625" style="8" customWidth="1"/>
    <col min="1567" max="1792" width="8.7265625" style="8"/>
    <col min="1793" max="1793" width="9.90625" style="8" customWidth="1"/>
    <col min="1794" max="1795" width="8.26953125" style="8" customWidth="1"/>
    <col min="1796" max="1796" width="8.7265625" style="8"/>
    <col min="1797" max="1799" width="0" style="8" hidden="1" customWidth="1"/>
    <col min="1800" max="1802" width="8.7265625" style="8"/>
    <col min="1803" max="1805" width="0" style="8" hidden="1" customWidth="1"/>
    <col min="1806" max="1811" width="8.7265625" style="8"/>
    <col min="1812" max="1812" width="0" style="8" hidden="1" customWidth="1"/>
    <col min="1813" max="1813" width="8.7265625" style="8"/>
    <col min="1814" max="1814" width="0" style="8" hidden="1" customWidth="1"/>
    <col min="1815" max="1817" width="8.7265625" style="8"/>
    <col min="1818" max="1818" width="5.453125" style="8" customWidth="1"/>
    <col min="1819" max="1819" width="0" style="8" hidden="1" customWidth="1"/>
    <col min="1820" max="1820" width="5.7265625" style="8" customWidth="1"/>
    <col min="1821" max="1821" width="0" style="8" hidden="1" customWidth="1"/>
    <col min="1822" max="1822" width="5.7265625" style="8" customWidth="1"/>
    <col min="1823" max="2048" width="8.7265625" style="8"/>
    <col min="2049" max="2049" width="9.90625" style="8" customWidth="1"/>
    <col min="2050" max="2051" width="8.26953125" style="8" customWidth="1"/>
    <col min="2052" max="2052" width="8.7265625" style="8"/>
    <col min="2053" max="2055" width="0" style="8" hidden="1" customWidth="1"/>
    <col min="2056" max="2058" width="8.7265625" style="8"/>
    <col min="2059" max="2061" width="0" style="8" hidden="1" customWidth="1"/>
    <col min="2062" max="2067" width="8.7265625" style="8"/>
    <col min="2068" max="2068" width="0" style="8" hidden="1" customWidth="1"/>
    <col min="2069" max="2069" width="8.7265625" style="8"/>
    <col min="2070" max="2070" width="0" style="8" hidden="1" customWidth="1"/>
    <col min="2071" max="2073" width="8.7265625" style="8"/>
    <col min="2074" max="2074" width="5.453125" style="8" customWidth="1"/>
    <col min="2075" max="2075" width="0" style="8" hidden="1" customWidth="1"/>
    <col min="2076" max="2076" width="5.7265625" style="8" customWidth="1"/>
    <col min="2077" max="2077" width="0" style="8" hidden="1" customWidth="1"/>
    <col min="2078" max="2078" width="5.7265625" style="8" customWidth="1"/>
    <col min="2079" max="2304" width="8.7265625" style="8"/>
    <col min="2305" max="2305" width="9.90625" style="8" customWidth="1"/>
    <col min="2306" max="2307" width="8.26953125" style="8" customWidth="1"/>
    <col min="2308" max="2308" width="8.7265625" style="8"/>
    <col min="2309" max="2311" width="0" style="8" hidden="1" customWidth="1"/>
    <col min="2312" max="2314" width="8.7265625" style="8"/>
    <col min="2315" max="2317" width="0" style="8" hidden="1" customWidth="1"/>
    <col min="2318" max="2323" width="8.7265625" style="8"/>
    <col min="2324" max="2324" width="0" style="8" hidden="1" customWidth="1"/>
    <col min="2325" max="2325" width="8.7265625" style="8"/>
    <col min="2326" max="2326" width="0" style="8" hidden="1" customWidth="1"/>
    <col min="2327" max="2329" width="8.7265625" style="8"/>
    <col min="2330" max="2330" width="5.453125" style="8" customWidth="1"/>
    <col min="2331" max="2331" width="0" style="8" hidden="1" customWidth="1"/>
    <col min="2332" max="2332" width="5.7265625" style="8" customWidth="1"/>
    <col min="2333" max="2333" width="0" style="8" hidden="1" customWidth="1"/>
    <col min="2334" max="2334" width="5.7265625" style="8" customWidth="1"/>
    <col min="2335" max="2560" width="8.7265625" style="8"/>
    <col min="2561" max="2561" width="9.90625" style="8" customWidth="1"/>
    <col min="2562" max="2563" width="8.26953125" style="8" customWidth="1"/>
    <col min="2564" max="2564" width="8.7265625" style="8"/>
    <col min="2565" max="2567" width="0" style="8" hidden="1" customWidth="1"/>
    <col min="2568" max="2570" width="8.7265625" style="8"/>
    <col min="2571" max="2573" width="0" style="8" hidden="1" customWidth="1"/>
    <col min="2574" max="2579" width="8.7265625" style="8"/>
    <col min="2580" max="2580" width="0" style="8" hidden="1" customWidth="1"/>
    <col min="2581" max="2581" width="8.7265625" style="8"/>
    <col min="2582" max="2582" width="0" style="8" hidden="1" customWidth="1"/>
    <col min="2583" max="2585" width="8.7265625" style="8"/>
    <col min="2586" max="2586" width="5.453125" style="8" customWidth="1"/>
    <col min="2587" max="2587" width="0" style="8" hidden="1" customWidth="1"/>
    <col min="2588" max="2588" width="5.7265625" style="8" customWidth="1"/>
    <col min="2589" max="2589" width="0" style="8" hidden="1" customWidth="1"/>
    <col min="2590" max="2590" width="5.7265625" style="8" customWidth="1"/>
    <col min="2591" max="2816" width="8.7265625" style="8"/>
    <col min="2817" max="2817" width="9.90625" style="8" customWidth="1"/>
    <col min="2818" max="2819" width="8.26953125" style="8" customWidth="1"/>
    <col min="2820" max="2820" width="8.7265625" style="8"/>
    <col min="2821" max="2823" width="0" style="8" hidden="1" customWidth="1"/>
    <col min="2824" max="2826" width="8.7265625" style="8"/>
    <col min="2827" max="2829" width="0" style="8" hidden="1" customWidth="1"/>
    <col min="2830" max="2835" width="8.7265625" style="8"/>
    <col min="2836" max="2836" width="0" style="8" hidden="1" customWidth="1"/>
    <col min="2837" max="2837" width="8.7265625" style="8"/>
    <col min="2838" max="2838" width="0" style="8" hidden="1" customWidth="1"/>
    <col min="2839" max="2841" width="8.7265625" style="8"/>
    <col min="2842" max="2842" width="5.453125" style="8" customWidth="1"/>
    <col min="2843" max="2843" width="0" style="8" hidden="1" customWidth="1"/>
    <col min="2844" max="2844" width="5.7265625" style="8" customWidth="1"/>
    <col min="2845" max="2845" width="0" style="8" hidden="1" customWidth="1"/>
    <col min="2846" max="2846" width="5.7265625" style="8" customWidth="1"/>
    <col min="2847" max="3072" width="8.7265625" style="8"/>
    <col min="3073" max="3073" width="9.90625" style="8" customWidth="1"/>
    <col min="3074" max="3075" width="8.26953125" style="8" customWidth="1"/>
    <col min="3076" max="3076" width="8.7265625" style="8"/>
    <col min="3077" max="3079" width="0" style="8" hidden="1" customWidth="1"/>
    <col min="3080" max="3082" width="8.7265625" style="8"/>
    <col min="3083" max="3085" width="0" style="8" hidden="1" customWidth="1"/>
    <col min="3086" max="3091" width="8.7265625" style="8"/>
    <col min="3092" max="3092" width="0" style="8" hidden="1" customWidth="1"/>
    <col min="3093" max="3093" width="8.7265625" style="8"/>
    <col min="3094" max="3094" width="0" style="8" hidden="1" customWidth="1"/>
    <col min="3095" max="3097" width="8.7265625" style="8"/>
    <col min="3098" max="3098" width="5.453125" style="8" customWidth="1"/>
    <col min="3099" max="3099" width="0" style="8" hidden="1" customWidth="1"/>
    <col min="3100" max="3100" width="5.7265625" style="8" customWidth="1"/>
    <col min="3101" max="3101" width="0" style="8" hidden="1" customWidth="1"/>
    <col min="3102" max="3102" width="5.7265625" style="8" customWidth="1"/>
    <col min="3103" max="3328" width="8.7265625" style="8"/>
    <col min="3329" max="3329" width="9.90625" style="8" customWidth="1"/>
    <col min="3330" max="3331" width="8.26953125" style="8" customWidth="1"/>
    <col min="3332" max="3332" width="8.7265625" style="8"/>
    <col min="3333" max="3335" width="0" style="8" hidden="1" customWidth="1"/>
    <col min="3336" max="3338" width="8.7265625" style="8"/>
    <col min="3339" max="3341" width="0" style="8" hidden="1" customWidth="1"/>
    <col min="3342" max="3347" width="8.7265625" style="8"/>
    <col min="3348" max="3348" width="0" style="8" hidden="1" customWidth="1"/>
    <col min="3349" max="3349" width="8.7265625" style="8"/>
    <col min="3350" max="3350" width="0" style="8" hidden="1" customWidth="1"/>
    <col min="3351" max="3353" width="8.7265625" style="8"/>
    <col min="3354" max="3354" width="5.453125" style="8" customWidth="1"/>
    <col min="3355" max="3355" width="0" style="8" hidden="1" customWidth="1"/>
    <col min="3356" max="3356" width="5.7265625" style="8" customWidth="1"/>
    <col min="3357" max="3357" width="0" style="8" hidden="1" customWidth="1"/>
    <col min="3358" max="3358" width="5.7265625" style="8" customWidth="1"/>
    <col min="3359" max="3584" width="8.7265625" style="8"/>
    <col min="3585" max="3585" width="9.90625" style="8" customWidth="1"/>
    <col min="3586" max="3587" width="8.26953125" style="8" customWidth="1"/>
    <col min="3588" max="3588" width="8.7265625" style="8"/>
    <col min="3589" max="3591" width="0" style="8" hidden="1" customWidth="1"/>
    <col min="3592" max="3594" width="8.7265625" style="8"/>
    <col min="3595" max="3597" width="0" style="8" hidden="1" customWidth="1"/>
    <col min="3598" max="3603" width="8.7265625" style="8"/>
    <col min="3604" max="3604" width="0" style="8" hidden="1" customWidth="1"/>
    <col min="3605" max="3605" width="8.7265625" style="8"/>
    <col min="3606" max="3606" width="0" style="8" hidden="1" customWidth="1"/>
    <col min="3607" max="3609" width="8.7265625" style="8"/>
    <col min="3610" max="3610" width="5.453125" style="8" customWidth="1"/>
    <col min="3611" max="3611" width="0" style="8" hidden="1" customWidth="1"/>
    <col min="3612" max="3612" width="5.7265625" style="8" customWidth="1"/>
    <col min="3613" max="3613" width="0" style="8" hidden="1" customWidth="1"/>
    <col min="3614" max="3614" width="5.7265625" style="8" customWidth="1"/>
    <col min="3615" max="3840" width="8.7265625" style="8"/>
    <col min="3841" max="3841" width="9.90625" style="8" customWidth="1"/>
    <col min="3842" max="3843" width="8.26953125" style="8" customWidth="1"/>
    <col min="3844" max="3844" width="8.7265625" style="8"/>
    <col min="3845" max="3847" width="0" style="8" hidden="1" customWidth="1"/>
    <col min="3848" max="3850" width="8.7265625" style="8"/>
    <col min="3851" max="3853" width="0" style="8" hidden="1" customWidth="1"/>
    <col min="3854" max="3859" width="8.7265625" style="8"/>
    <col min="3860" max="3860" width="0" style="8" hidden="1" customWidth="1"/>
    <col min="3861" max="3861" width="8.7265625" style="8"/>
    <col min="3862" max="3862" width="0" style="8" hidden="1" customWidth="1"/>
    <col min="3863" max="3865" width="8.7265625" style="8"/>
    <col min="3866" max="3866" width="5.453125" style="8" customWidth="1"/>
    <col min="3867" max="3867" width="0" style="8" hidden="1" customWidth="1"/>
    <col min="3868" max="3868" width="5.7265625" style="8" customWidth="1"/>
    <col min="3869" max="3869" width="0" style="8" hidden="1" customWidth="1"/>
    <col min="3870" max="3870" width="5.7265625" style="8" customWidth="1"/>
    <col min="3871" max="4096" width="8.7265625" style="8"/>
    <col min="4097" max="4097" width="9.90625" style="8" customWidth="1"/>
    <col min="4098" max="4099" width="8.26953125" style="8" customWidth="1"/>
    <col min="4100" max="4100" width="8.7265625" style="8"/>
    <col min="4101" max="4103" width="0" style="8" hidden="1" customWidth="1"/>
    <col min="4104" max="4106" width="8.7265625" style="8"/>
    <col min="4107" max="4109" width="0" style="8" hidden="1" customWidth="1"/>
    <col min="4110" max="4115" width="8.7265625" style="8"/>
    <col min="4116" max="4116" width="0" style="8" hidden="1" customWidth="1"/>
    <col min="4117" max="4117" width="8.7265625" style="8"/>
    <col min="4118" max="4118" width="0" style="8" hidden="1" customWidth="1"/>
    <col min="4119" max="4121" width="8.7265625" style="8"/>
    <col min="4122" max="4122" width="5.453125" style="8" customWidth="1"/>
    <col min="4123" max="4123" width="0" style="8" hidden="1" customWidth="1"/>
    <col min="4124" max="4124" width="5.7265625" style="8" customWidth="1"/>
    <col min="4125" max="4125" width="0" style="8" hidden="1" customWidth="1"/>
    <col min="4126" max="4126" width="5.7265625" style="8" customWidth="1"/>
    <col min="4127" max="4352" width="8.7265625" style="8"/>
    <col min="4353" max="4353" width="9.90625" style="8" customWidth="1"/>
    <col min="4354" max="4355" width="8.26953125" style="8" customWidth="1"/>
    <col min="4356" max="4356" width="8.7265625" style="8"/>
    <col min="4357" max="4359" width="0" style="8" hidden="1" customWidth="1"/>
    <col min="4360" max="4362" width="8.7265625" style="8"/>
    <col min="4363" max="4365" width="0" style="8" hidden="1" customWidth="1"/>
    <col min="4366" max="4371" width="8.7265625" style="8"/>
    <col min="4372" max="4372" width="0" style="8" hidden="1" customWidth="1"/>
    <col min="4373" max="4373" width="8.7265625" style="8"/>
    <col min="4374" max="4374" width="0" style="8" hidden="1" customWidth="1"/>
    <col min="4375" max="4377" width="8.7265625" style="8"/>
    <col min="4378" max="4378" width="5.453125" style="8" customWidth="1"/>
    <col min="4379" max="4379" width="0" style="8" hidden="1" customWidth="1"/>
    <col min="4380" max="4380" width="5.7265625" style="8" customWidth="1"/>
    <col min="4381" max="4381" width="0" style="8" hidden="1" customWidth="1"/>
    <col min="4382" max="4382" width="5.7265625" style="8" customWidth="1"/>
    <col min="4383" max="4608" width="8.7265625" style="8"/>
    <col min="4609" max="4609" width="9.90625" style="8" customWidth="1"/>
    <col min="4610" max="4611" width="8.26953125" style="8" customWidth="1"/>
    <col min="4612" max="4612" width="8.7265625" style="8"/>
    <col min="4613" max="4615" width="0" style="8" hidden="1" customWidth="1"/>
    <col min="4616" max="4618" width="8.7265625" style="8"/>
    <col min="4619" max="4621" width="0" style="8" hidden="1" customWidth="1"/>
    <col min="4622" max="4627" width="8.7265625" style="8"/>
    <col min="4628" max="4628" width="0" style="8" hidden="1" customWidth="1"/>
    <col min="4629" max="4629" width="8.7265625" style="8"/>
    <col min="4630" max="4630" width="0" style="8" hidden="1" customWidth="1"/>
    <col min="4631" max="4633" width="8.7265625" style="8"/>
    <col min="4634" max="4634" width="5.453125" style="8" customWidth="1"/>
    <col min="4635" max="4635" width="0" style="8" hidden="1" customWidth="1"/>
    <col min="4636" max="4636" width="5.7265625" style="8" customWidth="1"/>
    <col min="4637" max="4637" width="0" style="8" hidden="1" customWidth="1"/>
    <col min="4638" max="4638" width="5.7265625" style="8" customWidth="1"/>
    <col min="4639" max="4864" width="8.7265625" style="8"/>
    <col min="4865" max="4865" width="9.90625" style="8" customWidth="1"/>
    <col min="4866" max="4867" width="8.26953125" style="8" customWidth="1"/>
    <col min="4868" max="4868" width="8.7265625" style="8"/>
    <col min="4869" max="4871" width="0" style="8" hidden="1" customWidth="1"/>
    <col min="4872" max="4874" width="8.7265625" style="8"/>
    <col min="4875" max="4877" width="0" style="8" hidden="1" customWidth="1"/>
    <col min="4878" max="4883" width="8.7265625" style="8"/>
    <col min="4884" max="4884" width="0" style="8" hidden="1" customWidth="1"/>
    <col min="4885" max="4885" width="8.7265625" style="8"/>
    <col min="4886" max="4886" width="0" style="8" hidden="1" customWidth="1"/>
    <col min="4887" max="4889" width="8.7265625" style="8"/>
    <col min="4890" max="4890" width="5.453125" style="8" customWidth="1"/>
    <col min="4891" max="4891" width="0" style="8" hidden="1" customWidth="1"/>
    <col min="4892" max="4892" width="5.7265625" style="8" customWidth="1"/>
    <col min="4893" max="4893" width="0" style="8" hidden="1" customWidth="1"/>
    <col min="4894" max="4894" width="5.7265625" style="8" customWidth="1"/>
    <col min="4895" max="5120" width="8.7265625" style="8"/>
    <col min="5121" max="5121" width="9.90625" style="8" customWidth="1"/>
    <col min="5122" max="5123" width="8.26953125" style="8" customWidth="1"/>
    <col min="5124" max="5124" width="8.7265625" style="8"/>
    <col min="5125" max="5127" width="0" style="8" hidden="1" customWidth="1"/>
    <col min="5128" max="5130" width="8.7265625" style="8"/>
    <col min="5131" max="5133" width="0" style="8" hidden="1" customWidth="1"/>
    <col min="5134" max="5139" width="8.7265625" style="8"/>
    <col min="5140" max="5140" width="0" style="8" hidden="1" customWidth="1"/>
    <col min="5141" max="5141" width="8.7265625" style="8"/>
    <col min="5142" max="5142" width="0" style="8" hidden="1" customWidth="1"/>
    <col min="5143" max="5145" width="8.7265625" style="8"/>
    <col min="5146" max="5146" width="5.453125" style="8" customWidth="1"/>
    <col min="5147" max="5147" width="0" style="8" hidden="1" customWidth="1"/>
    <col min="5148" max="5148" width="5.7265625" style="8" customWidth="1"/>
    <col min="5149" max="5149" width="0" style="8" hidden="1" customWidth="1"/>
    <col min="5150" max="5150" width="5.7265625" style="8" customWidth="1"/>
    <col min="5151" max="5376" width="8.7265625" style="8"/>
    <col min="5377" max="5377" width="9.90625" style="8" customWidth="1"/>
    <col min="5378" max="5379" width="8.26953125" style="8" customWidth="1"/>
    <col min="5380" max="5380" width="8.7265625" style="8"/>
    <col min="5381" max="5383" width="0" style="8" hidden="1" customWidth="1"/>
    <col min="5384" max="5386" width="8.7265625" style="8"/>
    <col min="5387" max="5389" width="0" style="8" hidden="1" customWidth="1"/>
    <col min="5390" max="5395" width="8.7265625" style="8"/>
    <col min="5396" max="5396" width="0" style="8" hidden="1" customWidth="1"/>
    <col min="5397" max="5397" width="8.7265625" style="8"/>
    <col min="5398" max="5398" width="0" style="8" hidden="1" customWidth="1"/>
    <col min="5399" max="5401" width="8.7265625" style="8"/>
    <col min="5402" max="5402" width="5.453125" style="8" customWidth="1"/>
    <col min="5403" max="5403" width="0" style="8" hidden="1" customWidth="1"/>
    <col min="5404" max="5404" width="5.7265625" style="8" customWidth="1"/>
    <col min="5405" max="5405" width="0" style="8" hidden="1" customWidth="1"/>
    <col min="5406" max="5406" width="5.7265625" style="8" customWidth="1"/>
    <col min="5407" max="5632" width="8.7265625" style="8"/>
    <col min="5633" max="5633" width="9.90625" style="8" customWidth="1"/>
    <col min="5634" max="5635" width="8.26953125" style="8" customWidth="1"/>
    <col min="5636" max="5636" width="8.7265625" style="8"/>
    <col min="5637" max="5639" width="0" style="8" hidden="1" customWidth="1"/>
    <col min="5640" max="5642" width="8.7265625" style="8"/>
    <col min="5643" max="5645" width="0" style="8" hidden="1" customWidth="1"/>
    <col min="5646" max="5651" width="8.7265625" style="8"/>
    <col min="5652" max="5652" width="0" style="8" hidden="1" customWidth="1"/>
    <col min="5653" max="5653" width="8.7265625" style="8"/>
    <col min="5654" max="5654" width="0" style="8" hidden="1" customWidth="1"/>
    <col min="5655" max="5657" width="8.7265625" style="8"/>
    <col min="5658" max="5658" width="5.453125" style="8" customWidth="1"/>
    <col min="5659" max="5659" width="0" style="8" hidden="1" customWidth="1"/>
    <col min="5660" max="5660" width="5.7265625" style="8" customWidth="1"/>
    <col min="5661" max="5661" width="0" style="8" hidden="1" customWidth="1"/>
    <col min="5662" max="5662" width="5.7265625" style="8" customWidth="1"/>
    <col min="5663" max="5888" width="8.7265625" style="8"/>
    <col min="5889" max="5889" width="9.90625" style="8" customWidth="1"/>
    <col min="5890" max="5891" width="8.26953125" style="8" customWidth="1"/>
    <col min="5892" max="5892" width="8.7265625" style="8"/>
    <col min="5893" max="5895" width="0" style="8" hidden="1" customWidth="1"/>
    <col min="5896" max="5898" width="8.7265625" style="8"/>
    <col min="5899" max="5901" width="0" style="8" hidden="1" customWidth="1"/>
    <col min="5902" max="5907" width="8.7265625" style="8"/>
    <col min="5908" max="5908" width="0" style="8" hidden="1" customWidth="1"/>
    <col min="5909" max="5909" width="8.7265625" style="8"/>
    <col min="5910" max="5910" width="0" style="8" hidden="1" customWidth="1"/>
    <col min="5911" max="5913" width="8.7265625" style="8"/>
    <col min="5914" max="5914" width="5.453125" style="8" customWidth="1"/>
    <col min="5915" max="5915" width="0" style="8" hidden="1" customWidth="1"/>
    <col min="5916" max="5916" width="5.7265625" style="8" customWidth="1"/>
    <col min="5917" max="5917" width="0" style="8" hidden="1" customWidth="1"/>
    <col min="5918" max="5918" width="5.7265625" style="8" customWidth="1"/>
    <col min="5919" max="6144" width="8.7265625" style="8"/>
    <col min="6145" max="6145" width="9.90625" style="8" customWidth="1"/>
    <col min="6146" max="6147" width="8.26953125" style="8" customWidth="1"/>
    <col min="6148" max="6148" width="8.7265625" style="8"/>
    <col min="6149" max="6151" width="0" style="8" hidden="1" customWidth="1"/>
    <col min="6152" max="6154" width="8.7265625" style="8"/>
    <col min="6155" max="6157" width="0" style="8" hidden="1" customWidth="1"/>
    <col min="6158" max="6163" width="8.7265625" style="8"/>
    <col min="6164" max="6164" width="0" style="8" hidden="1" customWidth="1"/>
    <col min="6165" max="6165" width="8.7265625" style="8"/>
    <col min="6166" max="6166" width="0" style="8" hidden="1" customWidth="1"/>
    <col min="6167" max="6169" width="8.7265625" style="8"/>
    <col min="6170" max="6170" width="5.453125" style="8" customWidth="1"/>
    <col min="6171" max="6171" width="0" style="8" hidden="1" customWidth="1"/>
    <col min="6172" max="6172" width="5.7265625" style="8" customWidth="1"/>
    <col min="6173" max="6173" width="0" style="8" hidden="1" customWidth="1"/>
    <col min="6174" max="6174" width="5.7265625" style="8" customWidth="1"/>
    <col min="6175" max="6400" width="8.7265625" style="8"/>
    <col min="6401" max="6401" width="9.90625" style="8" customWidth="1"/>
    <col min="6402" max="6403" width="8.26953125" style="8" customWidth="1"/>
    <col min="6404" max="6404" width="8.7265625" style="8"/>
    <col min="6405" max="6407" width="0" style="8" hidden="1" customWidth="1"/>
    <col min="6408" max="6410" width="8.7265625" style="8"/>
    <col min="6411" max="6413" width="0" style="8" hidden="1" customWidth="1"/>
    <col min="6414" max="6419" width="8.7265625" style="8"/>
    <col min="6420" max="6420" width="0" style="8" hidden="1" customWidth="1"/>
    <col min="6421" max="6421" width="8.7265625" style="8"/>
    <col min="6422" max="6422" width="0" style="8" hidden="1" customWidth="1"/>
    <col min="6423" max="6425" width="8.7265625" style="8"/>
    <col min="6426" max="6426" width="5.453125" style="8" customWidth="1"/>
    <col min="6427" max="6427" width="0" style="8" hidden="1" customWidth="1"/>
    <col min="6428" max="6428" width="5.7265625" style="8" customWidth="1"/>
    <col min="6429" max="6429" width="0" style="8" hidden="1" customWidth="1"/>
    <col min="6430" max="6430" width="5.7265625" style="8" customWidth="1"/>
    <col min="6431" max="6656" width="8.7265625" style="8"/>
    <col min="6657" max="6657" width="9.90625" style="8" customWidth="1"/>
    <col min="6658" max="6659" width="8.26953125" style="8" customWidth="1"/>
    <col min="6660" max="6660" width="8.7265625" style="8"/>
    <col min="6661" max="6663" width="0" style="8" hidden="1" customWidth="1"/>
    <col min="6664" max="6666" width="8.7265625" style="8"/>
    <col min="6667" max="6669" width="0" style="8" hidden="1" customWidth="1"/>
    <col min="6670" max="6675" width="8.7265625" style="8"/>
    <col min="6676" max="6676" width="0" style="8" hidden="1" customWidth="1"/>
    <col min="6677" max="6677" width="8.7265625" style="8"/>
    <col min="6678" max="6678" width="0" style="8" hidden="1" customWidth="1"/>
    <col min="6679" max="6681" width="8.7265625" style="8"/>
    <col min="6682" max="6682" width="5.453125" style="8" customWidth="1"/>
    <col min="6683" max="6683" width="0" style="8" hidden="1" customWidth="1"/>
    <col min="6684" max="6684" width="5.7265625" style="8" customWidth="1"/>
    <col min="6685" max="6685" width="0" style="8" hidden="1" customWidth="1"/>
    <col min="6686" max="6686" width="5.7265625" style="8" customWidth="1"/>
    <col min="6687" max="6912" width="8.7265625" style="8"/>
    <col min="6913" max="6913" width="9.90625" style="8" customWidth="1"/>
    <col min="6914" max="6915" width="8.26953125" style="8" customWidth="1"/>
    <col min="6916" max="6916" width="8.7265625" style="8"/>
    <col min="6917" max="6919" width="0" style="8" hidden="1" customWidth="1"/>
    <col min="6920" max="6922" width="8.7265625" style="8"/>
    <col min="6923" max="6925" width="0" style="8" hidden="1" customWidth="1"/>
    <col min="6926" max="6931" width="8.7265625" style="8"/>
    <col min="6932" max="6932" width="0" style="8" hidden="1" customWidth="1"/>
    <col min="6933" max="6933" width="8.7265625" style="8"/>
    <col min="6934" max="6934" width="0" style="8" hidden="1" customWidth="1"/>
    <col min="6935" max="6937" width="8.7265625" style="8"/>
    <col min="6938" max="6938" width="5.453125" style="8" customWidth="1"/>
    <col min="6939" max="6939" width="0" style="8" hidden="1" customWidth="1"/>
    <col min="6940" max="6940" width="5.7265625" style="8" customWidth="1"/>
    <col min="6941" max="6941" width="0" style="8" hidden="1" customWidth="1"/>
    <col min="6942" max="6942" width="5.7265625" style="8" customWidth="1"/>
    <col min="6943" max="7168" width="8.7265625" style="8"/>
    <col min="7169" max="7169" width="9.90625" style="8" customWidth="1"/>
    <col min="7170" max="7171" width="8.26953125" style="8" customWidth="1"/>
    <col min="7172" max="7172" width="8.7265625" style="8"/>
    <col min="7173" max="7175" width="0" style="8" hidden="1" customWidth="1"/>
    <col min="7176" max="7178" width="8.7265625" style="8"/>
    <col min="7179" max="7181" width="0" style="8" hidden="1" customWidth="1"/>
    <col min="7182" max="7187" width="8.7265625" style="8"/>
    <col min="7188" max="7188" width="0" style="8" hidden="1" customWidth="1"/>
    <col min="7189" max="7189" width="8.7265625" style="8"/>
    <col min="7190" max="7190" width="0" style="8" hidden="1" customWidth="1"/>
    <col min="7191" max="7193" width="8.7265625" style="8"/>
    <col min="7194" max="7194" width="5.453125" style="8" customWidth="1"/>
    <col min="7195" max="7195" width="0" style="8" hidden="1" customWidth="1"/>
    <col min="7196" max="7196" width="5.7265625" style="8" customWidth="1"/>
    <col min="7197" max="7197" width="0" style="8" hidden="1" customWidth="1"/>
    <col min="7198" max="7198" width="5.7265625" style="8" customWidth="1"/>
    <col min="7199" max="7424" width="8.7265625" style="8"/>
    <col min="7425" max="7425" width="9.90625" style="8" customWidth="1"/>
    <col min="7426" max="7427" width="8.26953125" style="8" customWidth="1"/>
    <col min="7428" max="7428" width="8.7265625" style="8"/>
    <col min="7429" max="7431" width="0" style="8" hidden="1" customWidth="1"/>
    <col min="7432" max="7434" width="8.7265625" style="8"/>
    <col min="7435" max="7437" width="0" style="8" hidden="1" customWidth="1"/>
    <col min="7438" max="7443" width="8.7265625" style="8"/>
    <col min="7444" max="7444" width="0" style="8" hidden="1" customWidth="1"/>
    <col min="7445" max="7445" width="8.7265625" style="8"/>
    <col min="7446" max="7446" width="0" style="8" hidden="1" customWidth="1"/>
    <col min="7447" max="7449" width="8.7265625" style="8"/>
    <col min="7450" max="7450" width="5.453125" style="8" customWidth="1"/>
    <col min="7451" max="7451" width="0" style="8" hidden="1" customWidth="1"/>
    <col min="7452" max="7452" width="5.7265625" style="8" customWidth="1"/>
    <col min="7453" max="7453" width="0" style="8" hidden="1" customWidth="1"/>
    <col min="7454" max="7454" width="5.7265625" style="8" customWidth="1"/>
    <col min="7455" max="7680" width="8.7265625" style="8"/>
    <col min="7681" max="7681" width="9.90625" style="8" customWidth="1"/>
    <col min="7682" max="7683" width="8.26953125" style="8" customWidth="1"/>
    <col min="7684" max="7684" width="8.7265625" style="8"/>
    <col min="7685" max="7687" width="0" style="8" hidden="1" customWidth="1"/>
    <col min="7688" max="7690" width="8.7265625" style="8"/>
    <col min="7691" max="7693" width="0" style="8" hidden="1" customWidth="1"/>
    <col min="7694" max="7699" width="8.7265625" style="8"/>
    <col min="7700" max="7700" width="0" style="8" hidden="1" customWidth="1"/>
    <col min="7701" max="7701" width="8.7265625" style="8"/>
    <col min="7702" max="7702" width="0" style="8" hidden="1" customWidth="1"/>
    <col min="7703" max="7705" width="8.7265625" style="8"/>
    <col min="7706" max="7706" width="5.453125" style="8" customWidth="1"/>
    <col min="7707" max="7707" width="0" style="8" hidden="1" customWidth="1"/>
    <col min="7708" max="7708" width="5.7265625" style="8" customWidth="1"/>
    <col min="7709" max="7709" width="0" style="8" hidden="1" customWidth="1"/>
    <col min="7710" max="7710" width="5.7265625" style="8" customWidth="1"/>
    <col min="7711" max="7936" width="8.7265625" style="8"/>
    <col min="7937" max="7937" width="9.90625" style="8" customWidth="1"/>
    <col min="7938" max="7939" width="8.26953125" style="8" customWidth="1"/>
    <col min="7940" max="7940" width="8.7265625" style="8"/>
    <col min="7941" max="7943" width="0" style="8" hidden="1" customWidth="1"/>
    <col min="7944" max="7946" width="8.7265625" style="8"/>
    <col min="7947" max="7949" width="0" style="8" hidden="1" customWidth="1"/>
    <col min="7950" max="7955" width="8.7265625" style="8"/>
    <col min="7956" max="7956" width="0" style="8" hidden="1" customWidth="1"/>
    <col min="7957" max="7957" width="8.7265625" style="8"/>
    <col min="7958" max="7958" width="0" style="8" hidden="1" customWidth="1"/>
    <col min="7959" max="7961" width="8.7265625" style="8"/>
    <col min="7962" max="7962" width="5.453125" style="8" customWidth="1"/>
    <col min="7963" max="7963" width="0" style="8" hidden="1" customWidth="1"/>
    <col min="7964" max="7964" width="5.7265625" style="8" customWidth="1"/>
    <col min="7965" max="7965" width="0" style="8" hidden="1" customWidth="1"/>
    <col min="7966" max="7966" width="5.7265625" style="8" customWidth="1"/>
    <col min="7967" max="8192" width="8.7265625" style="8"/>
    <col min="8193" max="8193" width="9.90625" style="8" customWidth="1"/>
    <col min="8194" max="8195" width="8.26953125" style="8" customWidth="1"/>
    <col min="8196" max="8196" width="8.7265625" style="8"/>
    <col min="8197" max="8199" width="0" style="8" hidden="1" customWidth="1"/>
    <col min="8200" max="8202" width="8.7265625" style="8"/>
    <col min="8203" max="8205" width="0" style="8" hidden="1" customWidth="1"/>
    <col min="8206" max="8211" width="8.7265625" style="8"/>
    <col min="8212" max="8212" width="0" style="8" hidden="1" customWidth="1"/>
    <col min="8213" max="8213" width="8.7265625" style="8"/>
    <col min="8214" max="8214" width="0" style="8" hidden="1" customWidth="1"/>
    <col min="8215" max="8217" width="8.7265625" style="8"/>
    <col min="8218" max="8218" width="5.453125" style="8" customWidth="1"/>
    <col min="8219" max="8219" width="0" style="8" hidden="1" customWidth="1"/>
    <col min="8220" max="8220" width="5.7265625" style="8" customWidth="1"/>
    <col min="8221" max="8221" width="0" style="8" hidden="1" customWidth="1"/>
    <col min="8222" max="8222" width="5.7265625" style="8" customWidth="1"/>
    <col min="8223" max="8448" width="8.7265625" style="8"/>
    <col min="8449" max="8449" width="9.90625" style="8" customWidth="1"/>
    <col min="8450" max="8451" width="8.26953125" style="8" customWidth="1"/>
    <col min="8452" max="8452" width="8.7265625" style="8"/>
    <col min="8453" max="8455" width="0" style="8" hidden="1" customWidth="1"/>
    <col min="8456" max="8458" width="8.7265625" style="8"/>
    <col min="8459" max="8461" width="0" style="8" hidden="1" customWidth="1"/>
    <col min="8462" max="8467" width="8.7265625" style="8"/>
    <col min="8468" max="8468" width="0" style="8" hidden="1" customWidth="1"/>
    <col min="8469" max="8469" width="8.7265625" style="8"/>
    <col min="8470" max="8470" width="0" style="8" hidden="1" customWidth="1"/>
    <col min="8471" max="8473" width="8.7265625" style="8"/>
    <col min="8474" max="8474" width="5.453125" style="8" customWidth="1"/>
    <col min="8475" max="8475" width="0" style="8" hidden="1" customWidth="1"/>
    <col min="8476" max="8476" width="5.7265625" style="8" customWidth="1"/>
    <col min="8477" max="8477" width="0" style="8" hidden="1" customWidth="1"/>
    <col min="8478" max="8478" width="5.7265625" style="8" customWidth="1"/>
    <col min="8479" max="8704" width="8.7265625" style="8"/>
    <col min="8705" max="8705" width="9.90625" style="8" customWidth="1"/>
    <col min="8706" max="8707" width="8.26953125" style="8" customWidth="1"/>
    <col min="8708" max="8708" width="8.7265625" style="8"/>
    <col min="8709" max="8711" width="0" style="8" hidden="1" customWidth="1"/>
    <col min="8712" max="8714" width="8.7265625" style="8"/>
    <col min="8715" max="8717" width="0" style="8" hidden="1" customWidth="1"/>
    <col min="8718" max="8723" width="8.7265625" style="8"/>
    <col min="8724" max="8724" width="0" style="8" hidden="1" customWidth="1"/>
    <col min="8725" max="8725" width="8.7265625" style="8"/>
    <col min="8726" max="8726" width="0" style="8" hidden="1" customWidth="1"/>
    <col min="8727" max="8729" width="8.7265625" style="8"/>
    <col min="8730" max="8730" width="5.453125" style="8" customWidth="1"/>
    <col min="8731" max="8731" width="0" style="8" hidden="1" customWidth="1"/>
    <col min="8732" max="8732" width="5.7265625" style="8" customWidth="1"/>
    <col min="8733" max="8733" width="0" style="8" hidden="1" customWidth="1"/>
    <col min="8734" max="8734" width="5.7265625" style="8" customWidth="1"/>
    <col min="8735" max="8960" width="8.7265625" style="8"/>
    <col min="8961" max="8961" width="9.90625" style="8" customWidth="1"/>
    <col min="8962" max="8963" width="8.26953125" style="8" customWidth="1"/>
    <col min="8964" max="8964" width="8.7265625" style="8"/>
    <col min="8965" max="8967" width="0" style="8" hidden="1" customWidth="1"/>
    <col min="8968" max="8970" width="8.7265625" style="8"/>
    <col min="8971" max="8973" width="0" style="8" hidden="1" customWidth="1"/>
    <col min="8974" max="8979" width="8.7265625" style="8"/>
    <col min="8980" max="8980" width="0" style="8" hidden="1" customWidth="1"/>
    <col min="8981" max="8981" width="8.7265625" style="8"/>
    <col min="8982" max="8982" width="0" style="8" hidden="1" customWidth="1"/>
    <col min="8983" max="8985" width="8.7265625" style="8"/>
    <col min="8986" max="8986" width="5.453125" style="8" customWidth="1"/>
    <col min="8987" max="8987" width="0" style="8" hidden="1" customWidth="1"/>
    <col min="8988" max="8988" width="5.7265625" style="8" customWidth="1"/>
    <col min="8989" max="8989" width="0" style="8" hidden="1" customWidth="1"/>
    <col min="8990" max="8990" width="5.7265625" style="8" customWidth="1"/>
    <col min="8991" max="9216" width="8.7265625" style="8"/>
    <col min="9217" max="9217" width="9.90625" style="8" customWidth="1"/>
    <col min="9218" max="9219" width="8.26953125" style="8" customWidth="1"/>
    <col min="9220" max="9220" width="8.7265625" style="8"/>
    <col min="9221" max="9223" width="0" style="8" hidden="1" customWidth="1"/>
    <col min="9224" max="9226" width="8.7265625" style="8"/>
    <col min="9227" max="9229" width="0" style="8" hidden="1" customWidth="1"/>
    <col min="9230" max="9235" width="8.7265625" style="8"/>
    <col min="9236" max="9236" width="0" style="8" hidden="1" customWidth="1"/>
    <col min="9237" max="9237" width="8.7265625" style="8"/>
    <col min="9238" max="9238" width="0" style="8" hidden="1" customWidth="1"/>
    <col min="9239" max="9241" width="8.7265625" style="8"/>
    <col min="9242" max="9242" width="5.453125" style="8" customWidth="1"/>
    <col min="9243" max="9243" width="0" style="8" hidden="1" customWidth="1"/>
    <col min="9244" max="9244" width="5.7265625" style="8" customWidth="1"/>
    <col min="9245" max="9245" width="0" style="8" hidden="1" customWidth="1"/>
    <col min="9246" max="9246" width="5.7265625" style="8" customWidth="1"/>
    <col min="9247" max="9472" width="8.7265625" style="8"/>
    <col min="9473" max="9473" width="9.90625" style="8" customWidth="1"/>
    <col min="9474" max="9475" width="8.26953125" style="8" customWidth="1"/>
    <col min="9476" max="9476" width="8.7265625" style="8"/>
    <col min="9477" max="9479" width="0" style="8" hidden="1" customWidth="1"/>
    <col min="9480" max="9482" width="8.7265625" style="8"/>
    <col min="9483" max="9485" width="0" style="8" hidden="1" customWidth="1"/>
    <col min="9486" max="9491" width="8.7265625" style="8"/>
    <col min="9492" max="9492" width="0" style="8" hidden="1" customWidth="1"/>
    <col min="9493" max="9493" width="8.7265625" style="8"/>
    <col min="9494" max="9494" width="0" style="8" hidden="1" customWidth="1"/>
    <col min="9495" max="9497" width="8.7265625" style="8"/>
    <col min="9498" max="9498" width="5.453125" style="8" customWidth="1"/>
    <col min="9499" max="9499" width="0" style="8" hidden="1" customWidth="1"/>
    <col min="9500" max="9500" width="5.7265625" style="8" customWidth="1"/>
    <col min="9501" max="9501" width="0" style="8" hidden="1" customWidth="1"/>
    <col min="9502" max="9502" width="5.7265625" style="8" customWidth="1"/>
    <col min="9503" max="9728" width="8.7265625" style="8"/>
    <col min="9729" max="9729" width="9.90625" style="8" customWidth="1"/>
    <col min="9730" max="9731" width="8.26953125" style="8" customWidth="1"/>
    <col min="9732" max="9732" width="8.7265625" style="8"/>
    <col min="9733" max="9735" width="0" style="8" hidden="1" customWidth="1"/>
    <col min="9736" max="9738" width="8.7265625" style="8"/>
    <col min="9739" max="9741" width="0" style="8" hidden="1" customWidth="1"/>
    <col min="9742" max="9747" width="8.7265625" style="8"/>
    <col min="9748" max="9748" width="0" style="8" hidden="1" customWidth="1"/>
    <col min="9749" max="9749" width="8.7265625" style="8"/>
    <col min="9750" max="9750" width="0" style="8" hidden="1" customWidth="1"/>
    <col min="9751" max="9753" width="8.7265625" style="8"/>
    <col min="9754" max="9754" width="5.453125" style="8" customWidth="1"/>
    <col min="9755" max="9755" width="0" style="8" hidden="1" customWidth="1"/>
    <col min="9756" max="9756" width="5.7265625" style="8" customWidth="1"/>
    <col min="9757" max="9757" width="0" style="8" hidden="1" customWidth="1"/>
    <col min="9758" max="9758" width="5.7265625" style="8" customWidth="1"/>
    <col min="9759" max="9984" width="8.7265625" style="8"/>
    <col min="9985" max="9985" width="9.90625" style="8" customWidth="1"/>
    <col min="9986" max="9987" width="8.26953125" style="8" customWidth="1"/>
    <col min="9988" max="9988" width="8.7265625" style="8"/>
    <col min="9989" max="9991" width="0" style="8" hidden="1" customWidth="1"/>
    <col min="9992" max="9994" width="8.7265625" style="8"/>
    <col min="9995" max="9997" width="0" style="8" hidden="1" customWidth="1"/>
    <col min="9998" max="10003" width="8.7265625" style="8"/>
    <col min="10004" max="10004" width="0" style="8" hidden="1" customWidth="1"/>
    <col min="10005" max="10005" width="8.7265625" style="8"/>
    <col min="10006" max="10006" width="0" style="8" hidden="1" customWidth="1"/>
    <col min="10007" max="10009" width="8.7265625" style="8"/>
    <col min="10010" max="10010" width="5.453125" style="8" customWidth="1"/>
    <col min="10011" max="10011" width="0" style="8" hidden="1" customWidth="1"/>
    <col min="10012" max="10012" width="5.7265625" style="8" customWidth="1"/>
    <col min="10013" max="10013" width="0" style="8" hidden="1" customWidth="1"/>
    <col min="10014" max="10014" width="5.7265625" style="8" customWidth="1"/>
    <col min="10015" max="10240" width="8.7265625" style="8"/>
    <col min="10241" max="10241" width="9.90625" style="8" customWidth="1"/>
    <col min="10242" max="10243" width="8.26953125" style="8" customWidth="1"/>
    <col min="10244" max="10244" width="8.7265625" style="8"/>
    <col min="10245" max="10247" width="0" style="8" hidden="1" customWidth="1"/>
    <col min="10248" max="10250" width="8.7265625" style="8"/>
    <col min="10251" max="10253" width="0" style="8" hidden="1" customWidth="1"/>
    <col min="10254" max="10259" width="8.7265625" style="8"/>
    <col min="10260" max="10260" width="0" style="8" hidden="1" customWidth="1"/>
    <col min="10261" max="10261" width="8.7265625" style="8"/>
    <col min="10262" max="10262" width="0" style="8" hidden="1" customWidth="1"/>
    <col min="10263" max="10265" width="8.7265625" style="8"/>
    <col min="10266" max="10266" width="5.453125" style="8" customWidth="1"/>
    <col min="10267" max="10267" width="0" style="8" hidden="1" customWidth="1"/>
    <col min="10268" max="10268" width="5.7265625" style="8" customWidth="1"/>
    <col min="10269" max="10269" width="0" style="8" hidden="1" customWidth="1"/>
    <col min="10270" max="10270" width="5.7265625" style="8" customWidth="1"/>
    <col min="10271" max="10496" width="8.7265625" style="8"/>
    <col min="10497" max="10497" width="9.90625" style="8" customWidth="1"/>
    <col min="10498" max="10499" width="8.26953125" style="8" customWidth="1"/>
    <col min="10500" max="10500" width="8.7265625" style="8"/>
    <col min="10501" max="10503" width="0" style="8" hidden="1" customWidth="1"/>
    <col min="10504" max="10506" width="8.7265625" style="8"/>
    <col min="10507" max="10509" width="0" style="8" hidden="1" customWidth="1"/>
    <col min="10510" max="10515" width="8.7265625" style="8"/>
    <col min="10516" max="10516" width="0" style="8" hidden="1" customWidth="1"/>
    <col min="10517" max="10517" width="8.7265625" style="8"/>
    <col min="10518" max="10518" width="0" style="8" hidden="1" customWidth="1"/>
    <col min="10519" max="10521" width="8.7265625" style="8"/>
    <col min="10522" max="10522" width="5.453125" style="8" customWidth="1"/>
    <col min="10523" max="10523" width="0" style="8" hidden="1" customWidth="1"/>
    <col min="10524" max="10524" width="5.7265625" style="8" customWidth="1"/>
    <col min="10525" max="10525" width="0" style="8" hidden="1" customWidth="1"/>
    <col min="10526" max="10526" width="5.7265625" style="8" customWidth="1"/>
    <col min="10527" max="10752" width="8.7265625" style="8"/>
    <col min="10753" max="10753" width="9.90625" style="8" customWidth="1"/>
    <col min="10754" max="10755" width="8.26953125" style="8" customWidth="1"/>
    <col min="10756" max="10756" width="8.7265625" style="8"/>
    <col min="10757" max="10759" width="0" style="8" hidden="1" customWidth="1"/>
    <col min="10760" max="10762" width="8.7265625" style="8"/>
    <col min="10763" max="10765" width="0" style="8" hidden="1" customWidth="1"/>
    <col min="10766" max="10771" width="8.7265625" style="8"/>
    <col min="10772" max="10772" width="0" style="8" hidden="1" customWidth="1"/>
    <col min="10773" max="10773" width="8.7265625" style="8"/>
    <col min="10774" max="10774" width="0" style="8" hidden="1" customWidth="1"/>
    <col min="10775" max="10777" width="8.7265625" style="8"/>
    <col min="10778" max="10778" width="5.453125" style="8" customWidth="1"/>
    <col min="10779" max="10779" width="0" style="8" hidden="1" customWidth="1"/>
    <col min="10780" max="10780" width="5.7265625" style="8" customWidth="1"/>
    <col min="10781" max="10781" width="0" style="8" hidden="1" customWidth="1"/>
    <col min="10782" max="10782" width="5.7265625" style="8" customWidth="1"/>
    <col min="10783" max="11008" width="8.7265625" style="8"/>
    <col min="11009" max="11009" width="9.90625" style="8" customWidth="1"/>
    <col min="11010" max="11011" width="8.26953125" style="8" customWidth="1"/>
    <col min="11012" max="11012" width="8.7265625" style="8"/>
    <col min="11013" max="11015" width="0" style="8" hidden="1" customWidth="1"/>
    <col min="11016" max="11018" width="8.7265625" style="8"/>
    <col min="11019" max="11021" width="0" style="8" hidden="1" customWidth="1"/>
    <col min="11022" max="11027" width="8.7265625" style="8"/>
    <col min="11028" max="11028" width="0" style="8" hidden="1" customWidth="1"/>
    <col min="11029" max="11029" width="8.7265625" style="8"/>
    <col min="11030" max="11030" width="0" style="8" hidden="1" customWidth="1"/>
    <col min="11031" max="11033" width="8.7265625" style="8"/>
    <col min="11034" max="11034" width="5.453125" style="8" customWidth="1"/>
    <col min="11035" max="11035" width="0" style="8" hidden="1" customWidth="1"/>
    <col min="11036" max="11036" width="5.7265625" style="8" customWidth="1"/>
    <col min="11037" max="11037" width="0" style="8" hidden="1" customWidth="1"/>
    <col min="11038" max="11038" width="5.7265625" style="8" customWidth="1"/>
    <col min="11039" max="11264" width="8.7265625" style="8"/>
    <col min="11265" max="11265" width="9.90625" style="8" customWidth="1"/>
    <col min="11266" max="11267" width="8.26953125" style="8" customWidth="1"/>
    <col min="11268" max="11268" width="8.7265625" style="8"/>
    <col min="11269" max="11271" width="0" style="8" hidden="1" customWidth="1"/>
    <col min="11272" max="11274" width="8.7265625" style="8"/>
    <col min="11275" max="11277" width="0" style="8" hidden="1" customWidth="1"/>
    <col min="11278" max="11283" width="8.7265625" style="8"/>
    <col min="11284" max="11284" width="0" style="8" hidden="1" customWidth="1"/>
    <col min="11285" max="11285" width="8.7265625" style="8"/>
    <col min="11286" max="11286" width="0" style="8" hidden="1" customWidth="1"/>
    <col min="11287" max="11289" width="8.7265625" style="8"/>
    <col min="11290" max="11290" width="5.453125" style="8" customWidth="1"/>
    <col min="11291" max="11291" width="0" style="8" hidden="1" customWidth="1"/>
    <col min="11292" max="11292" width="5.7265625" style="8" customWidth="1"/>
    <col min="11293" max="11293" width="0" style="8" hidden="1" customWidth="1"/>
    <col min="11294" max="11294" width="5.7265625" style="8" customWidth="1"/>
    <col min="11295" max="11520" width="8.7265625" style="8"/>
    <col min="11521" max="11521" width="9.90625" style="8" customWidth="1"/>
    <col min="11522" max="11523" width="8.26953125" style="8" customWidth="1"/>
    <col min="11524" max="11524" width="8.7265625" style="8"/>
    <col min="11525" max="11527" width="0" style="8" hidden="1" customWidth="1"/>
    <col min="11528" max="11530" width="8.7265625" style="8"/>
    <col min="11531" max="11533" width="0" style="8" hidden="1" customWidth="1"/>
    <col min="11534" max="11539" width="8.7265625" style="8"/>
    <col min="11540" max="11540" width="0" style="8" hidden="1" customWidth="1"/>
    <col min="11541" max="11541" width="8.7265625" style="8"/>
    <col min="11542" max="11542" width="0" style="8" hidden="1" customWidth="1"/>
    <col min="11543" max="11545" width="8.7265625" style="8"/>
    <col min="11546" max="11546" width="5.453125" style="8" customWidth="1"/>
    <col min="11547" max="11547" width="0" style="8" hidden="1" customWidth="1"/>
    <col min="11548" max="11548" width="5.7265625" style="8" customWidth="1"/>
    <col min="11549" max="11549" width="0" style="8" hidden="1" customWidth="1"/>
    <col min="11550" max="11550" width="5.7265625" style="8" customWidth="1"/>
    <col min="11551" max="11776" width="8.7265625" style="8"/>
    <col min="11777" max="11777" width="9.90625" style="8" customWidth="1"/>
    <col min="11778" max="11779" width="8.26953125" style="8" customWidth="1"/>
    <col min="11780" max="11780" width="8.7265625" style="8"/>
    <col min="11781" max="11783" width="0" style="8" hidden="1" customWidth="1"/>
    <col min="11784" max="11786" width="8.7265625" style="8"/>
    <col min="11787" max="11789" width="0" style="8" hidden="1" customWidth="1"/>
    <col min="11790" max="11795" width="8.7265625" style="8"/>
    <col min="11796" max="11796" width="0" style="8" hidden="1" customWidth="1"/>
    <col min="11797" max="11797" width="8.7265625" style="8"/>
    <col min="11798" max="11798" width="0" style="8" hidden="1" customWidth="1"/>
    <col min="11799" max="11801" width="8.7265625" style="8"/>
    <col min="11802" max="11802" width="5.453125" style="8" customWidth="1"/>
    <col min="11803" max="11803" width="0" style="8" hidden="1" customWidth="1"/>
    <col min="11804" max="11804" width="5.7265625" style="8" customWidth="1"/>
    <col min="11805" max="11805" width="0" style="8" hidden="1" customWidth="1"/>
    <col min="11806" max="11806" width="5.7265625" style="8" customWidth="1"/>
    <col min="11807" max="12032" width="8.7265625" style="8"/>
    <col min="12033" max="12033" width="9.90625" style="8" customWidth="1"/>
    <col min="12034" max="12035" width="8.26953125" style="8" customWidth="1"/>
    <col min="12036" max="12036" width="8.7265625" style="8"/>
    <col min="12037" max="12039" width="0" style="8" hidden="1" customWidth="1"/>
    <col min="12040" max="12042" width="8.7265625" style="8"/>
    <col min="12043" max="12045" width="0" style="8" hidden="1" customWidth="1"/>
    <col min="12046" max="12051" width="8.7265625" style="8"/>
    <col min="12052" max="12052" width="0" style="8" hidden="1" customWidth="1"/>
    <col min="12053" max="12053" width="8.7265625" style="8"/>
    <col min="12054" max="12054" width="0" style="8" hidden="1" customWidth="1"/>
    <col min="12055" max="12057" width="8.7265625" style="8"/>
    <col min="12058" max="12058" width="5.453125" style="8" customWidth="1"/>
    <col min="12059" max="12059" width="0" style="8" hidden="1" customWidth="1"/>
    <col min="12060" max="12060" width="5.7265625" style="8" customWidth="1"/>
    <col min="12061" max="12061" width="0" style="8" hidden="1" customWidth="1"/>
    <col min="12062" max="12062" width="5.7265625" style="8" customWidth="1"/>
    <col min="12063" max="12288" width="8.7265625" style="8"/>
    <col min="12289" max="12289" width="9.90625" style="8" customWidth="1"/>
    <col min="12290" max="12291" width="8.26953125" style="8" customWidth="1"/>
    <col min="12292" max="12292" width="8.7265625" style="8"/>
    <col min="12293" max="12295" width="0" style="8" hidden="1" customWidth="1"/>
    <col min="12296" max="12298" width="8.7265625" style="8"/>
    <col min="12299" max="12301" width="0" style="8" hidden="1" customWidth="1"/>
    <col min="12302" max="12307" width="8.7265625" style="8"/>
    <col min="12308" max="12308" width="0" style="8" hidden="1" customWidth="1"/>
    <col min="12309" max="12309" width="8.7265625" style="8"/>
    <col min="12310" max="12310" width="0" style="8" hidden="1" customWidth="1"/>
    <col min="12311" max="12313" width="8.7265625" style="8"/>
    <col min="12314" max="12314" width="5.453125" style="8" customWidth="1"/>
    <col min="12315" max="12315" width="0" style="8" hidden="1" customWidth="1"/>
    <col min="12316" max="12316" width="5.7265625" style="8" customWidth="1"/>
    <col min="12317" max="12317" width="0" style="8" hidden="1" customWidth="1"/>
    <col min="12318" max="12318" width="5.7265625" style="8" customWidth="1"/>
    <col min="12319" max="12544" width="8.7265625" style="8"/>
    <col min="12545" max="12545" width="9.90625" style="8" customWidth="1"/>
    <col min="12546" max="12547" width="8.26953125" style="8" customWidth="1"/>
    <col min="12548" max="12548" width="8.7265625" style="8"/>
    <col min="12549" max="12551" width="0" style="8" hidden="1" customWidth="1"/>
    <col min="12552" max="12554" width="8.7265625" style="8"/>
    <col min="12555" max="12557" width="0" style="8" hidden="1" customWidth="1"/>
    <col min="12558" max="12563" width="8.7265625" style="8"/>
    <col min="12564" max="12564" width="0" style="8" hidden="1" customWidth="1"/>
    <col min="12565" max="12565" width="8.7265625" style="8"/>
    <col min="12566" max="12566" width="0" style="8" hidden="1" customWidth="1"/>
    <col min="12567" max="12569" width="8.7265625" style="8"/>
    <col min="12570" max="12570" width="5.453125" style="8" customWidth="1"/>
    <col min="12571" max="12571" width="0" style="8" hidden="1" customWidth="1"/>
    <col min="12572" max="12572" width="5.7265625" style="8" customWidth="1"/>
    <col min="12573" max="12573" width="0" style="8" hidden="1" customWidth="1"/>
    <col min="12574" max="12574" width="5.7265625" style="8" customWidth="1"/>
    <col min="12575" max="12800" width="8.7265625" style="8"/>
    <col min="12801" max="12801" width="9.90625" style="8" customWidth="1"/>
    <col min="12802" max="12803" width="8.26953125" style="8" customWidth="1"/>
    <col min="12804" max="12804" width="8.7265625" style="8"/>
    <col min="12805" max="12807" width="0" style="8" hidden="1" customWidth="1"/>
    <col min="12808" max="12810" width="8.7265625" style="8"/>
    <col min="12811" max="12813" width="0" style="8" hidden="1" customWidth="1"/>
    <col min="12814" max="12819" width="8.7265625" style="8"/>
    <col min="12820" max="12820" width="0" style="8" hidden="1" customWidth="1"/>
    <col min="12821" max="12821" width="8.7265625" style="8"/>
    <col min="12822" max="12822" width="0" style="8" hidden="1" customWidth="1"/>
    <col min="12823" max="12825" width="8.7265625" style="8"/>
    <col min="12826" max="12826" width="5.453125" style="8" customWidth="1"/>
    <col min="12827" max="12827" width="0" style="8" hidden="1" customWidth="1"/>
    <col min="12828" max="12828" width="5.7265625" style="8" customWidth="1"/>
    <col min="12829" max="12829" width="0" style="8" hidden="1" customWidth="1"/>
    <col min="12830" max="12830" width="5.7265625" style="8" customWidth="1"/>
    <col min="12831" max="13056" width="8.7265625" style="8"/>
    <col min="13057" max="13057" width="9.90625" style="8" customWidth="1"/>
    <col min="13058" max="13059" width="8.26953125" style="8" customWidth="1"/>
    <col min="13060" max="13060" width="8.7265625" style="8"/>
    <col min="13061" max="13063" width="0" style="8" hidden="1" customWidth="1"/>
    <col min="13064" max="13066" width="8.7265625" style="8"/>
    <col min="13067" max="13069" width="0" style="8" hidden="1" customWidth="1"/>
    <col min="13070" max="13075" width="8.7265625" style="8"/>
    <col min="13076" max="13076" width="0" style="8" hidden="1" customWidth="1"/>
    <col min="13077" max="13077" width="8.7265625" style="8"/>
    <col min="13078" max="13078" width="0" style="8" hidden="1" customWidth="1"/>
    <col min="13079" max="13081" width="8.7265625" style="8"/>
    <col min="13082" max="13082" width="5.453125" style="8" customWidth="1"/>
    <col min="13083" max="13083" width="0" style="8" hidden="1" customWidth="1"/>
    <col min="13084" max="13084" width="5.7265625" style="8" customWidth="1"/>
    <col min="13085" max="13085" width="0" style="8" hidden="1" customWidth="1"/>
    <col min="13086" max="13086" width="5.7265625" style="8" customWidth="1"/>
    <col min="13087" max="13312" width="8.7265625" style="8"/>
    <col min="13313" max="13313" width="9.90625" style="8" customWidth="1"/>
    <col min="13314" max="13315" width="8.26953125" style="8" customWidth="1"/>
    <col min="13316" max="13316" width="8.7265625" style="8"/>
    <col min="13317" max="13319" width="0" style="8" hidden="1" customWidth="1"/>
    <col min="13320" max="13322" width="8.7265625" style="8"/>
    <col min="13323" max="13325" width="0" style="8" hidden="1" customWidth="1"/>
    <col min="13326" max="13331" width="8.7265625" style="8"/>
    <col min="13332" max="13332" width="0" style="8" hidden="1" customWidth="1"/>
    <col min="13333" max="13333" width="8.7265625" style="8"/>
    <col min="13334" max="13334" width="0" style="8" hidden="1" customWidth="1"/>
    <col min="13335" max="13337" width="8.7265625" style="8"/>
    <col min="13338" max="13338" width="5.453125" style="8" customWidth="1"/>
    <col min="13339" max="13339" width="0" style="8" hidden="1" customWidth="1"/>
    <col min="13340" max="13340" width="5.7265625" style="8" customWidth="1"/>
    <col min="13341" max="13341" width="0" style="8" hidden="1" customWidth="1"/>
    <col min="13342" max="13342" width="5.7265625" style="8" customWidth="1"/>
    <col min="13343" max="13568" width="8.7265625" style="8"/>
    <col min="13569" max="13569" width="9.90625" style="8" customWidth="1"/>
    <col min="13570" max="13571" width="8.26953125" style="8" customWidth="1"/>
    <col min="13572" max="13572" width="8.7265625" style="8"/>
    <col min="13573" max="13575" width="0" style="8" hidden="1" customWidth="1"/>
    <col min="13576" max="13578" width="8.7265625" style="8"/>
    <col min="13579" max="13581" width="0" style="8" hidden="1" customWidth="1"/>
    <col min="13582" max="13587" width="8.7265625" style="8"/>
    <col min="13588" max="13588" width="0" style="8" hidden="1" customWidth="1"/>
    <col min="13589" max="13589" width="8.7265625" style="8"/>
    <col min="13590" max="13590" width="0" style="8" hidden="1" customWidth="1"/>
    <col min="13591" max="13593" width="8.7265625" style="8"/>
    <col min="13594" max="13594" width="5.453125" style="8" customWidth="1"/>
    <col min="13595" max="13595" width="0" style="8" hidden="1" customWidth="1"/>
    <col min="13596" max="13596" width="5.7265625" style="8" customWidth="1"/>
    <col min="13597" max="13597" width="0" style="8" hidden="1" customWidth="1"/>
    <col min="13598" max="13598" width="5.7265625" style="8" customWidth="1"/>
    <col min="13599" max="13824" width="8.7265625" style="8"/>
    <col min="13825" max="13825" width="9.90625" style="8" customWidth="1"/>
    <col min="13826" max="13827" width="8.26953125" style="8" customWidth="1"/>
    <col min="13828" max="13828" width="8.7265625" style="8"/>
    <col min="13829" max="13831" width="0" style="8" hidden="1" customWidth="1"/>
    <col min="13832" max="13834" width="8.7265625" style="8"/>
    <col min="13835" max="13837" width="0" style="8" hidden="1" customWidth="1"/>
    <col min="13838" max="13843" width="8.7265625" style="8"/>
    <col min="13844" max="13844" width="0" style="8" hidden="1" customWidth="1"/>
    <col min="13845" max="13845" width="8.7265625" style="8"/>
    <col min="13846" max="13846" width="0" style="8" hidden="1" customWidth="1"/>
    <col min="13847" max="13849" width="8.7265625" style="8"/>
    <col min="13850" max="13850" width="5.453125" style="8" customWidth="1"/>
    <col min="13851" max="13851" width="0" style="8" hidden="1" customWidth="1"/>
    <col min="13852" max="13852" width="5.7265625" style="8" customWidth="1"/>
    <col min="13853" max="13853" width="0" style="8" hidden="1" customWidth="1"/>
    <col min="13854" max="13854" width="5.7265625" style="8" customWidth="1"/>
    <col min="13855" max="14080" width="8.7265625" style="8"/>
    <col min="14081" max="14081" width="9.90625" style="8" customWidth="1"/>
    <col min="14082" max="14083" width="8.26953125" style="8" customWidth="1"/>
    <col min="14084" max="14084" width="8.7265625" style="8"/>
    <col min="14085" max="14087" width="0" style="8" hidden="1" customWidth="1"/>
    <col min="14088" max="14090" width="8.7265625" style="8"/>
    <col min="14091" max="14093" width="0" style="8" hidden="1" customWidth="1"/>
    <col min="14094" max="14099" width="8.7265625" style="8"/>
    <col min="14100" max="14100" width="0" style="8" hidden="1" customWidth="1"/>
    <col min="14101" max="14101" width="8.7265625" style="8"/>
    <col min="14102" max="14102" width="0" style="8" hidden="1" customWidth="1"/>
    <col min="14103" max="14105" width="8.7265625" style="8"/>
    <col min="14106" max="14106" width="5.453125" style="8" customWidth="1"/>
    <col min="14107" max="14107" width="0" style="8" hidden="1" customWidth="1"/>
    <col min="14108" max="14108" width="5.7265625" style="8" customWidth="1"/>
    <col min="14109" max="14109" width="0" style="8" hidden="1" customWidth="1"/>
    <col min="14110" max="14110" width="5.7265625" style="8" customWidth="1"/>
    <col min="14111" max="14336" width="8.7265625" style="8"/>
    <col min="14337" max="14337" width="9.90625" style="8" customWidth="1"/>
    <col min="14338" max="14339" width="8.26953125" style="8" customWidth="1"/>
    <col min="14340" max="14340" width="8.7265625" style="8"/>
    <col min="14341" max="14343" width="0" style="8" hidden="1" customWidth="1"/>
    <col min="14344" max="14346" width="8.7265625" style="8"/>
    <col min="14347" max="14349" width="0" style="8" hidden="1" customWidth="1"/>
    <col min="14350" max="14355" width="8.7265625" style="8"/>
    <col min="14356" max="14356" width="0" style="8" hidden="1" customWidth="1"/>
    <col min="14357" max="14357" width="8.7265625" style="8"/>
    <col min="14358" max="14358" width="0" style="8" hidden="1" customWidth="1"/>
    <col min="14359" max="14361" width="8.7265625" style="8"/>
    <col min="14362" max="14362" width="5.453125" style="8" customWidth="1"/>
    <col min="14363" max="14363" width="0" style="8" hidden="1" customWidth="1"/>
    <col min="14364" max="14364" width="5.7265625" style="8" customWidth="1"/>
    <col min="14365" max="14365" width="0" style="8" hidden="1" customWidth="1"/>
    <col min="14366" max="14366" width="5.7265625" style="8" customWidth="1"/>
    <col min="14367" max="14592" width="8.7265625" style="8"/>
    <col min="14593" max="14593" width="9.90625" style="8" customWidth="1"/>
    <col min="14594" max="14595" width="8.26953125" style="8" customWidth="1"/>
    <col min="14596" max="14596" width="8.7265625" style="8"/>
    <col min="14597" max="14599" width="0" style="8" hidden="1" customWidth="1"/>
    <col min="14600" max="14602" width="8.7265625" style="8"/>
    <col min="14603" max="14605" width="0" style="8" hidden="1" customWidth="1"/>
    <col min="14606" max="14611" width="8.7265625" style="8"/>
    <col min="14612" max="14612" width="0" style="8" hidden="1" customWidth="1"/>
    <col min="14613" max="14613" width="8.7265625" style="8"/>
    <col min="14614" max="14614" width="0" style="8" hidden="1" customWidth="1"/>
    <col min="14615" max="14617" width="8.7265625" style="8"/>
    <col min="14618" max="14618" width="5.453125" style="8" customWidth="1"/>
    <col min="14619" max="14619" width="0" style="8" hidden="1" customWidth="1"/>
    <col min="14620" max="14620" width="5.7265625" style="8" customWidth="1"/>
    <col min="14621" max="14621" width="0" style="8" hidden="1" customWidth="1"/>
    <col min="14622" max="14622" width="5.7265625" style="8" customWidth="1"/>
    <col min="14623" max="14848" width="8.7265625" style="8"/>
    <col min="14849" max="14849" width="9.90625" style="8" customWidth="1"/>
    <col min="14850" max="14851" width="8.26953125" style="8" customWidth="1"/>
    <col min="14852" max="14852" width="8.7265625" style="8"/>
    <col min="14853" max="14855" width="0" style="8" hidden="1" customWidth="1"/>
    <col min="14856" max="14858" width="8.7265625" style="8"/>
    <col min="14859" max="14861" width="0" style="8" hidden="1" customWidth="1"/>
    <col min="14862" max="14867" width="8.7265625" style="8"/>
    <col min="14868" max="14868" width="0" style="8" hidden="1" customWidth="1"/>
    <col min="14869" max="14869" width="8.7265625" style="8"/>
    <col min="14870" max="14870" width="0" style="8" hidden="1" customWidth="1"/>
    <col min="14871" max="14873" width="8.7265625" style="8"/>
    <col min="14874" max="14874" width="5.453125" style="8" customWidth="1"/>
    <col min="14875" max="14875" width="0" style="8" hidden="1" customWidth="1"/>
    <col min="14876" max="14876" width="5.7265625" style="8" customWidth="1"/>
    <col min="14877" max="14877" width="0" style="8" hidden="1" customWidth="1"/>
    <col min="14878" max="14878" width="5.7265625" style="8" customWidth="1"/>
    <col min="14879" max="15104" width="8.7265625" style="8"/>
    <col min="15105" max="15105" width="9.90625" style="8" customWidth="1"/>
    <col min="15106" max="15107" width="8.26953125" style="8" customWidth="1"/>
    <col min="15108" max="15108" width="8.7265625" style="8"/>
    <col min="15109" max="15111" width="0" style="8" hidden="1" customWidth="1"/>
    <col min="15112" max="15114" width="8.7265625" style="8"/>
    <col min="15115" max="15117" width="0" style="8" hidden="1" customWidth="1"/>
    <col min="15118" max="15123" width="8.7265625" style="8"/>
    <col min="15124" max="15124" width="0" style="8" hidden="1" customWidth="1"/>
    <col min="15125" max="15125" width="8.7265625" style="8"/>
    <col min="15126" max="15126" width="0" style="8" hidden="1" customWidth="1"/>
    <col min="15127" max="15129" width="8.7265625" style="8"/>
    <col min="15130" max="15130" width="5.453125" style="8" customWidth="1"/>
    <col min="15131" max="15131" width="0" style="8" hidden="1" customWidth="1"/>
    <col min="15132" max="15132" width="5.7265625" style="8" customWidth="1"/>
    <col min="15133" max="15133" width="0" style="8" hidden="1" customWidth="1"/>
    <col min="15134" max="15134" width="5.7265625" style="8" customWidth="1"/>
    <col min="15135" max="15360" width="8.7265625" style="8"/>
    <col min="15361" max="15361" width="9.90625" style="8" customWidth="1"/>
    <col min="15362" max="15363" width="8.26953125" style="8" customWidth="1"/>
    <col min="15364" max="15364" width="8.7265625" style="8"/>
    <col min="15365" max="15367" width="0" style="8" hidden="1" customWidth="1"/>
    <col min="15368" max="15370" width="8.7265625" style="8"/>
    <col min="15371" max="15373" width="0" style="8" hidden="1" customWidth="1"/>
    <col min="15374" max="15379" width="8.7265625" style="8"/>
    <col min="15380" max="15380" width="0" style="8" hidden="1" customWidth="1"/>
    <col min="15381" max="15381" width="8.7265625" style="8"/>
    <col min="15382" max="15382" width="0" style="8" hidden="1" customWidth="1"/>
    <col min="15383" max="15385" width="8.7265625" style="8"/>
    <col min="15386" max="15386" width="5.453125" style="8" customWidth="1"/>
    <col min="15387" max="15387" width="0" style="8" hidden="1" customWidth="1"/>
    <col min="15388" max="15388" width="5.7265625" style="8" customWidth="1"/>
    <col min="15389" max="15389" width="0" style="8" hidden="1" customWidth="1"/>
    <col min="15390" max="15390" width="5.7265625" style="8" customWidth="1"/>
    <col min="15391" max="15616" width="8.7265625" style="8"/>
    <col min="15617" max="15617" width="9.90625" style="8" customWidth="1"/>
    <col min="15618" max="15619" width="8.26953125" style="8" customWidth="1"/>
    <col min="15620" max="15620" width="8.7265625" style="8"/>
    <col min="15621" max="15623" width="0" style="8" hidden="1" customWidth="1"/>
    <col min="15624" max="15626" width="8.7265625" style="8"/>
    <col min="15627" max="15629" width="0" style="8" hidden="1" customWidth="1"/>
    <col min="15630" max="15635" width="8.7265625" style="8"/>
    <col min="15636" max="15636" width="0" style="8" hidden="1" customWidth="1"/>
    <col min="15637" max="15637" width="8.7265625" style="8"/>
    <col min="15638" max="15638" width="0" style="8" hidden="1" customWidth="1"/>
    <col min="15639" max="15641" width="8.7265625" style="8"/>
    <col min="15642" max="15642" width="5.453125" style="8" customWidth="1"/>
    <col min="15643" max="15643" width="0" style="8" hidden="1" customWidth="1"/>
    <col min="15644" max="15644" width="5.7265625" style="8" customWidth="1"/>
    <col min="15645" max="15645" width="0" style="8" hidden="1" customWidth="1"/>
    <col min="15646" max="15646" width="5.7265625" style="8" customWidth="1"/>
    <col min="15647" max="15872" width="8.7265625" style="8"/>
    <col min="15873" max="15873" width="9.90625" style="8" customWidth="1"/>
    <col min="15874" max="15875" width="8.26953125" style="8" customWidth="1"/>
    <col min="15876" max="15876" width="8.7265625" style="8"/>
    <col min="15877" max="15879" width="0" style="8" hidden="1" customWidth="1"/>
    <col min="15880" max="15882" width="8.7265625" style="8"/>
    <col min="15883" max="15885" width="0" style="8" hidden="1" customWidth="1"/>
    <col min="15886" max="15891" width="8.7265625" style="8"/>
    <col min="15892" max="15892" width="0" style="8" hidden="1" customWidth="1"/>
    <col min="15893" max="15893" width="8.7265625" style="8"/>
    <col min="15894" max="15894" width="0" style="8" hidden="1" customWidth="1"/>
    <col min="15895" max="15897" width="8.7265625" style="8"/>
    <col min="15898" max="15898" width="5.453125" style="8" customWidth="1"/>
    <col min="15899" max="15899" width="0" style="8" hidden="1" customWidth="1"/>
    <col min="15900" max="15900" width="5.7265625" style="8" customWidth="1"/>
    <col min="15901" max="15901" width="0" style="8" hidden="1" customWidth="1"/>
    <col min="15902" max="15902" width="5.7265625" style="8" customWidth="1"/>
    <col min="15903" max="16128" width="8.7265625" style="8"/>
    <col min="16129" max="16129" width="9.90625" style="8" customWidth="1"/>
    <col min="16130" max="16131" width="8.26953125" style="8" customWidth="1"/>
    <col min="16132" max="16132" width="8.7265625" style="8"/>
    <col min="16133" max="16135" width="0" style="8" hidden="1" customWidth="1"/>
    <col min="16136" max="16138" width="8.7265625" style="8"/>
    <col min="16139" max="16141" width="0" style="8" hidden="1" customWidth="1"/>
    <col min="16142" max="16147" width="8.7265625" style="8"/>
    <col min="16148" max="16148" width="0" style="8" hidden="1" customWidth="1"/>
    <col min="16149" max="16149" width="8.7265625" style="8"/>
    <col min="16150" max="16150" width="0" style="8" hidden="1" customWidth="1"/>
    <col min="16151" max="16153" width="8.7265625" style="8"/>
    <col min="16154" max="16154" width="5.453125" style="8" customWidth="1"/>
    <col min="16155" max="16155" width="0" style="8" hidden="1" customWidth="1"/>
    <col min="16156" max="16156" width="5.7265625" style="8" customWidth="1"/>
    <col min="16157" max="16157" width="0" style="8" hidden="1" customWidth="1"/>
    <col min="16158" max="16158" width="5.7265625" style="8" customWidth="1"/>
    <col min="16159" max="16384" width="8.7265625" style="8"/>
  </cols>
  <sheetData>
    <row r="1" spans="1:37" s="297" customFormat="1" ht="16.100000000000001" x14ac:dyDescent="0.25">
      <c r="A1" s="449" t="s">
        <v>207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  <c r="X1" s="449"/>
      <c r="Y1" s="449"/>
      <c r="Z1" s="449"/>
      <c r="AA1" s="449"/>
      <c r="AB1" s="449"/>
      <c r="AC1" s="449"/>
      <c r="AD1" s="449"/>
      <c r="AE1" s="449"/>
      <c r="AF1" s="449"/>
      <c r="AG1" s="449"/>
      <c r="AH1" s="449"/>
      <c r="AI1" s="449"/>
      <c r="AJ1" s="449"/>
      <c r="AK1" s="450" t="s">
        <v>25</v>
      </c>
    </row>
    <row r="2" spans="1:37" s="297" customFormat="1" ht="14.4" x14ac:dyDescent="0.25">
      <c r="A2" s="451" t="s">
        <v>26</v>
      </c>
      <c r="B2" s="298"/>
      <c r="C2" s="298"/>
      <c r="D2" s="454" t="s">
        <v>133</v>
      </c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 t="s">
        <v>134</v>
      </c>
      <c r="T2" s="454"/>
      <c r="U2" s="454"/>
      <c r="V2" s="454"/>
      <c r="W2" s="454"/>
      <c r="X2" s="454"/>
      <c r="Y2" s="454"/>
      <c r="Z2" s="455" t="s">
        <v>32</v>
      </c>
      <c r="AA2" s="455"/>
      <c r="AB2" s="455"/>
      <c r="AC2" s="455"/>
      <c r="AD2" s="455"/>
      <c r="AE2" s="455" t="s">
        <v>135</v>
      </c>
      <c r="AF2" s="455"/>
      <c r="AG2" s="455"/>
      <c r="AH2" s="455"/>
      <c r="AI2" s="455"/>
      <c r="AJ2" s="455" t="s">
        <v>154</v>
      </c>
      <c r="AK2" s="450"/>
    </row>
    <row r="3" spans="1:37" s="297" customFormat="1" ht="43.2" x14ac:dyDescent="0.25">
      <c r="A3" s="452"/>
      <c r="B3" s="443" t="s">
        <v>156</v>
      </c>
      <c r="C3" s="444"/>
      <c r="D3" s="445"/>
      <c r="E3" s="443" t="s">
        <v>157</v>
      </c>
      <c r="F3" s="444"/>
      <c r="G3" s="445"/>
      <c r="H3" s="443" t="s">
        <v>158</v>
      </c>
      <c r="I3" s="444"/>
      <c r="J3" s="445"/>
      <c r="K3" s="443" t="s">
        <v>159</v>
      </c>
      <c r="L3" s="444"/>
      <c r="M3" s="445"/>
      <c r="N3" s="443" t="s">
        <v>31</v>
      </c>
      <c r="O3" s="444"/>
      <c r="P3" s="445"/>
      <c r="Q3" s="299" t="s">
        <v>139</v>
      </c>
      <c r="R3" s="299" t="s">
        <v>140</v>
      </c>
      <c r="S3" s="299" t="s">
        <v>156</v>
      </c>
      <c r="T3" s="299" t="s">
        <v>157</v>
      </c>
      <c r="U3" s="299" t="s">
        <v>158</v>
      </c>
      <c r="V3" s="299" t="s">
        <v>159</v>
      </c>
      <c r="W3" s="299" t="s">
        <v>31</v>
      </c>
      <c r="X3" s="299" t="s">
        <v>142</v>
      </c>
      <c r="Y3" s="299" t="s">
        <v>165</v>
      </c>
      <c r="Z3" s="300" t="s">
        <v>36</v>
      </c>
      <c r="AA3" s="300"/>
      <c r="AB3" s="300" t="s">
        <v>37</v>
      </c>
      <c r="AC3" s="300"/>
      <c r="AD3" s="300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5"/>
      <c r="AK3" s="450"/>
    </row>
    <row r="4" spans="1:37" s="297" customFormat="1" ht="14.4" x14ac:dyDescent="0.25">
      <c r="A4" s="453"/>
      <c r="B4" s="298" t="s">
        <v>147</v>
      </c>
      <c r="C4" s="298" t="s">
        <v>148</v>
      </c>
      <c r="D4" s="299" t="s">
        <v>149</v>
      </c>
      <c r="E4" s="299" t="s">
        <v>147</v>
      </c>
      <c r="F4" s="299" t="s">
        <v>148</v>
      </c>
      <c r="G4" s="299" t="s">
        <v>149</v>
      </c>
      <c r="H4" s="299" t="s">
        <v>147</v>
      </c>
      <c r="I4" s="299" t="s">
        <v>148</v>
      </c>
      <c r="J4" s="299" t="s">
        <v>149</v>
      </c>
      <c r="K4" s="299" t="s">
        <v>147</v>
      </c>
      <c r="L4" s="299" t="s">
        <v>148</v>
      </c>
      <c r="M4" s="299" t="s">
        <v>149</v>
      </c>
      <c r="N4" s="299" t="s">
        <v>147</v>
      </c>
      <c r="O4" s="299" t="s">
        <v>148</v>
      </c>
      <c r="P4" s="299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/>
      <c r="AA4" s="300"/>
      <c r="AB4" s="300"/>
      <c r="AC4" s="300"/>
      <c r="AD4" s="300"/>
      <c r="AE4" s="300"/>
      <c r="AF4" s="300"/>
      <c r="AG4" s="300"/>
      <c r="AH4" s="300"/>
      <c r="AI4" s="300"/>
      <c r="AJ4" s="301"/>
      <c r="AK4" s="302"/>
    </row>
    <row r="5" spans="1:37" s="313" customFormat="1" ht="14.4" x14ac:dyDescent="0.25">
      <c r="A5" s="303">
        <v>41235</v>
      </c>
      <c r="B5" s="304">
        <v>981.02</v>
      </c>
      <c r="C5" s="304">
        <v>1022.4</v>
      </c>
      <c r="D5" s="305">
        <v>1000.8</v>
      </c>
      <c r="E5" s="305"/>
      <c r="F5" s="305"/>
      <c r="G5" s="306"/>
      <c r="H5" s="306">
        <v>951.08</v>
      </c>
      <c r="I5" s="306">
        <v>1044.5</v>
      </c>
      <c r="J5" s="305">
        <v>985.68799999999999</v>
      </c>
      <c r="K5" s="305"/>
      <c r="L5" s="305"/>
      <c r="M5" s="306"/>
      <c r="N5" s="306">
        <v>974.46</v>
      </c>
      <c r="O5" s="306">
        <v>1017.8</v>
      </c>
      <c r="P5" s="305">
        <v>992.22500000000002</v>
      </c>
      <c r="Q5" s="307">
        <f>AVERAGE(D5:P5)</f>
        <v>995.22185714285729</v>
      </c>
      <c r="R5" s="307">
        <f>STDEVP(D5,J5,P5)</f>
        <v>6.1881206804291846</v>
      </c>
      <c r="S5" s="306" t="s">
        <v>193</v>
      </c>
      <c r="T5" s="308"/>
      <c r="U5" s="306" t="s">
        <v>193</v>
      </c>
      <c r="V5" s="308"/>
      <c r="W5" s="306" t="s">
        <v>193</v>
      </c>
      <c r="X5" s="307"/>
      <c r="Y5" s="309"/>
      <c r="Z5" s="310">
        <v>2</v>
      </c>
      <c r="AA5" s="310"/>
      <c r="AB5" s="310">
        <v>-1</v>
      </c>
      <c r="AC5" s="310"/>
      <c r="AD5" s="310">
        <v>-2</v>
      </c>
      <c r="AE5" s="311">
        <v>1002</v>
      </c>
      <c r="AF5" s="311">
        <v>1002</v>
      </c>
      <c r="AG5" s="311">
        <v>1000</v>
      </c>
      <c r="AH5" s="311">
        <v>1000</v>
      </c>
      <c r="AI5" s="311">
        <v>1001</v>
      </c>
      <c r="AJ5" s="312">
        <v>1.064814814814815E-2</v>
      </c>
      <c r="AK5" s="446" t="s">
        <v>167</v>
      </c>
    </row>
    <row r="6" spans="1:37" s="313" customFormat="1" ht="14.4" x14ac:dyDescent="0.25">
      <c r="A6" s="303">
        <v>41236</v>
      </c>
      <c r="B6" s="304">
        <v>936.73</v>
      </c>
      <c r="C6" s="304">
        <v>988.46</v>
      </c>
      <c r="D6" s="305">
        <v>971.47</v>
      </c>
      <c r="E6" s="305"/>
      <c r="F6" s="305"/>
      <c r="G6" s="306"/>
      <c r="H6" s="306">
        <v>940.34</v>
      </c>
      <c r="I6" s="306">
        <v>968.84</v>
      </c>
      <c r="J6" s="305">
        <v>958.29600000000005</v>
      </c>
      <c r="K6" s="305"/>
      <c r="L6" s="305"/>
      <c r="M6" s="306"/>
      <c r="N6" s="306">
        <v>945.65</v>
      </c>
      <c r="O6" s="306">
        <v>973.48</v>
      </c>
      <c r="P6" s="305">
        <v>960.68700000000001</v>
      </c>
      <c r="Q6" s="307">
        <f>AVERAGE(D6:P6)</f>
        <v>959.82328571428559</v>
      </c>
      <c r="R6" s="307">
        <f>STDEVP(D6,J6,P6)</f>
        <v>5.7304667833916909</v>
      </c>
      <c r="S6" s="306" t="s">
        <v>193</v>
      </c>
      <c r="T6" s="308"/>
      <c r="U6" s="306" t="s">
        <v>193</v>
      </c>
      <c r="V6" s="308"/>
      <c r="W6" s="306" t="s">
        <v>193</v>
      </c>
      <c r="X6" s="307"/>
      <c r="Y6" s="309"/>
      <c r="Z6" s="310">
        <v>0</v>
      </c>
      <c r="AA6" s="310"/>
      <c r="AB6" s="310">
        <v>-1</v>
      </c>
      <c r="AC6" s="310"/>
      <c r="AD6" s="310">
        <v>-3</v>
      </c>
      <c r="AE6" s="311">
        <v>1002</v>
      </c>
      <c r="AF6" s="311">
        <v>1002</v>
      </c>
      <c r="AG6" s="311">
        <v>1000</v>
      </c>
      <c r="AH6" s="311">
        <v>1000</v>
      </c>
      <c r="AI6" s="311">
        <v>1001</v>
      </c>
      <c r="AJ6" s="312">
        <v>1.064814814814815E-2</v>
      </c>
      <c r="AK6" s="447"/>
    </row>
    <row r="7" spans="1:37" s="313" customFormat="1" ht="14.4" x14ac:dyDescent="0.25">
      <c r="A7" s="303">
        <v>41237</v>
      </c>
      <c r="B7" s="304">
        <v>952.54</v>
      </c>
      <c r="C7" s="304">
        <v>1004.5</v>
      </c>
      <c r="D7" s="305">
        <v>987.096</v>
      </c>
      <c r="E7" s="305"/>
      <c r="F7" s="305"/>
      <c r="G7" s="306">
        <v>95.902000000000001</v>
      </c>
      <c r="H7" s="306">
        <v>960.93</v>
      </c>
      <c r="I7" s="306">
        <v>991.68</v>
      </c>
      <c r="J7" s="305">
        <v>981.51900000000001</v>
      </c>
      <c r="K7" s="305"/>
      <c r="L7" s="305"/>
      <c r="M7" s="306">
        <v>95.394000000000005</v>
      </c>
      <c r="N7" s="306">
        <v>967.62</v>
      </c>
      <c r="O7" s="306">
        <v>994.03</v>
      </c>
      <c r="P7" s="305">
        <v>982.774</v>
      </c>
      <c r="Q7" s="307">
        <f>AVERAGE(D7,G7,J7,M7,P7)</f>
        <v>628.53700000000003</v>
      </c>
      <c r="R7" s="307">
        <f>STDEVP(D7,G7,J7,M7,P7)</f>
        <v>435.10601067969634</v>
      </c>
      <c r="S7" s="306" t="s">
        <v>193</v>
      </c>
      <c r="T7" s="308">
        <v>0.4</v>
      </c>
      <c r="U7" s="306" t="s">
        <v>193</v>
      </c>
      <c r="V7" s="308">
        <v>1.27</v>
      </c>
      <c r="W7" s="306" t="s">
        <v>193</v>
      </c>
      <c r="X7" s="307">
        <f>AVERAGE(S7:W7)</f>
        <v>0.83499999999999996</v>
      </c>
      <c r="Y7" s="309">
        <f>STDEVP(S7:W7)</f>
        <v>0.435</v>
      </c>
      <c r="Z7" s="310">
        <v>-1</v>
      </c>
      <c r="AA7" s="310">
        <v>-4</v>
      </c>
      <c r="AB7" s="310">
        <v>-4</v>
      </c>
      <c r="AC7" s="310">
        <v>-1</v>
      </c>
      <c r="AD7" s="310">
        <v>-5</v>
      </c>
      <c r="AE7" s="311">
        <v>1002</v>
      </c>
      <c r="AF7" s="311">
        <v>1002</v>
      </c>
      <c r="AG7" s="311">
        <v>1000</v>
      </c>
      <c r="AH7" s="311">
        <v>1000</v>
      </c>
      <c r="AI7" s="311">
        <v>1001</v>
      </c>
      <c r="AJ7" s="312">
        <v>1.064814814814815E-2</v>
      </c>
      <c r="AK7" s="447"/>
    </row>
    <row r="8" spans="1:37" s="313" customFormat="1" ht="14.4" x14ac:dyDescent="0.25">
      <c r="A8" s="303">
        <v>41380</v>
      </c>
      <c r="B8" s="304">
        <v>1001.98</v>
      </c>
      <c r="C8" s="304">
        <v>1029.73</v>
      </c>
      <c r="D8" s="305">
        <v>1021.18</v>
      </c>
      <c r="E8" s="305"/>
      <c r="F8" s="305"/>
      <c r="G8" s="306"/>
      <c r="H8" s="306">
        <v>1000.55</v>
      </c>
      <c r="I8" s="306">
        <v>1028.26</v>
      </c>
      <c r="J8" s="305">
        <v>1018.75</v>
      </c>
      <c r="K8" s="305"/>
      <c r="L8" s="305"/>
      <c r="M8" s="306"/>
      <c r="N8" s="306">
        <v>1000.98</v>
      </c>
      <c r="O8" s="306">
        <v>1029.1400000000001</v>
      </c>
      <c r="P8" s="305">
        <v>1021.41</v>
      </c>
      <c r="Q8" s="307">
        <f>AVERAGE(D8:P8)</f>
        <v>1017.1814285714285</v>
      </c>
      <c r="R8" s="307">
        <f>STDEVP(D8:P8)</f>
        <v>10.962029828420649</v>
      </c>
      <c r="S8" s="306">
        <v>1.2999999999999999E-2</v>
      </c>
      <c r="T8" s="308"/>
      <c r="U8" s="306">
        <v>1.2999999999999999E-2</v>
      </c>
      <c r="V8" s="308"/>
      <c r="W8" s="306">
        <v>1.2999999999999999E-2</v>
      </c>
      <c r="X8" s="307">
        <f>AVERAGE(S8:W8)</f>
        <v>1.2999999999999999E-2</v>
      </c>
      <c r="Y8" s="309">
        <f>STDEVP(S8:W8)</f>
        <v>0</v>
      </c>
      <c r="Z8" s="310">
        <v>-1</v>
      </c>
      <c r="AA8" s="310"/>
      <c r="AB8" s="310">
        <v>13</v>
      </c>
      <c r="AC8" s="310"/>
      <c r="AD8" s="310">
        <v>10</v>
      </c>
      <c r="AE8" s="311">
        <v>1002</v>
      </c>
      <c r="AF8" s="311">
        <v>1002</v>
      </c>
      <c r="AG8" s="311">
        <v>1000</v>
      </c>
      <c r="AH8" s="311">
        <v>1000</v>
      </c>
      <c r="AI8" s="311">
        <v>1001</v>
      </c>
      <c r="AJ8" s="312">
        <v>1.064814814814815E-2</v>
      </c>
      <c r="AK8" s="448"/>
    </row>
  </sheetData>
  <mergeCells count="14">
    <mergeCell ref="H3:J3"/>
    <mergeCell ref="K3:M3"/>
    <mergeCell ref="N3:P3"/>
    <mergeCell ref="AK5:AK8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93315"/>
  </sheetPr>
  <dimension ref="A1:AK9"/>
  <sheetViews>
    <sheetView workbookViewId="0">
      <selection activeCell="P24" sqref="P24"/>
    </sheetView>
  </sheetViews>
  <sheetFormatPr defaultRowHeight="12.75" x14ac:dyDescent="0.25"/>
  <cols>
    <col min="1" max="1" width="10.08984375" style="314" customWidth="1"/>
    <col min="2" max="4" width="8.7265625" style="8"/>
    <col min="5" max="7" width="0" style="8" hidden="1" customWidth="1"/>
    <col min="8" max="10" width="8.7265625" style="8"/>
    <col min="11" max="13" width="0" style="8" hidden="1" customWidth="1"/>
    <col min="14" max="16" width="8.7265625" style="8"/>
    <col min="17" max="17" width="6.08984375" style="8" customWidth="1"/>
    <col min="18" max="18" width="5.7265625" style="8" customWidth="1"/>
    <col min="19" max="19" width="8.7265625" style="8"/>
    <col min="20" max="20" width="0" style="8" hidden="1" customWidth="1"/>
    <col min="21" max="21" width="8.7265625" style="8"/>
    <col min="22" max="22" width="0" style="8" hidden="1" customWidth="1"/>
    <col min="23" max="25" width="8.7265625" style="8"/>
    <col min="26" max="26" width="5.08984375" style="8" customWidth="1"/>
    <col min="27" max="27" width="0" style="8" hidden="1" customWidth="1"/>
    <col min="28" max="28" width="5.08984375" style="8" customWidth="1"/>
    <col min="29" max="29" width="0" style="8" hidden="1" customWidth="1"/>
    <col min="30" max="30" width="5.36328125" style="8" customWidth="1"/>
    <col min="31" max="256" width="8.7265625" style="8"/>
    <col min="257" max="257" width="10.08984375" style="8" customWidth="1"/>
    <col min="258" max="260" width="8.7265625" style="8"/>
    <col min="261" max="263" width="0" style="8" hidden="1" customWidth="1"/>
    <col min="264" max="266" width="8.7265625" style="8"/>
    <col min="267" max="269" width="0" style="8" hidden="1" customWidth="1"/>
    <col min="270" max="272" width="8.7265625" style="8"/>
    <col min="273" max="273" width="6.08984375" style="8" customWidth="1"/>
    <col min="274" max="274" width="5.7265625" style="8" customWidth="1"/>
    <col min="275" max="275" width="8.7265625" style="8"/>
    <col min="276" max="276" width="0" style="8" hidden="1" customWidth="1"/>
    <col min="277" max="277" width="8.7265625" style="8"/>
    <col min="278" max="278" width="0" style="8" hidden="1" customWidth="1"/>
    <col min="279" max="281" width="8.7265625" style="8"/>
    <col min="282" max="282" width="5.08984375" style="8" customWidth="1"/>
    <col min="283" max="283" width="0" style="8" hidden="1" customWidth="1"/>
    <col min="284" max="284" width="5.08984375" style="8" customWidth="1"/>
    <col min="285" max="285" width="0" style="8" hidden="1" customWidth="1"/>
    <col min="286" max="286" width="5.36328125" style="8" customWidth="1"/>
    <col min="287" max="512" width="8.7265625" style="8"/>
    <col min="513" max="513" width="10.08984375" style="8" customWidth="1"/>
    <col min="514" max="516" width="8.7265625" style="8"/>
    <col min="517" max="519" width="0" style="8" hidden="1" customWidth="1"/>
    <col min="520" max="522" width="8.7265625" style="8"/>
    <col min="523" max="525" width="0" style="8" hidden="1" customWidth="1"/>
    <col min="526" max="528" width="8.7265625" style="8"/>
    <col min="529" max="529" width="6.08984375" style="8" customWidth="1"/>
    <col min="530" max="530" width="5.7265625" style="8" customWidth="1"/>
    <col min="531" max="531" width="8.7265625" style="8"/>
    <col min="532" max="532" width="0" style="8" hidden="1" customWidth="1"/>
    <col min="533" max="533" width="8.7265625" style="8"/>
    <col min="534" max="534" width="0" style="8" hidden="1" customWidth="1"/>
    <col min="535" max="537" width="8.7265625" style="8"/>
    <col min="538" max="538" width="5.08984375" style="8" customWidth="1"/>
    <col min="539" max="539" width="0" style="8" hidden="1" customWidth="1"/>
    <col min="540" max="540" width="5.08984375" style="8" customWidth="1"/>
    <col min="541" max="541" width="0" style="8" hidden="1" customWidth="1"/>
    <col min="542" max="542" width="5.36328125" style="8" customWidth="1"/>
    <col min="543" max="768" width="8.7265625" style="8"/>
    <col min="769" max="769" width="10.08984375" style="8" customWidth="1"/>
    <col min="770" max="772" width="8.7265625" style="8"/>
    <col min="773" max="775" width="0" style="8" hidden="1" customWidth="1"/>
    <col min="776" max="778" width="8.7265625" style="8"/>
    <col min="779" max="781" width="0" style="8" hidden="1" customWidth="1"/>
    <col min="782" max="784" width="8.7265625" style="8"/>
    <col min="785" max="785" width="6.08984375" style="8" customWidth="1"/>
    <col min="786" max="786" width="5.7265625" style="8" customWidth="1"/>
    <col min="787" max="787" width="8.7265625" style="8"/>
    <col min="788" max="788" width="0" style="8" hidden="1" customWidth="1"/>
    <col min="789" max="789" width="8.7265625" style="8"/>
    <col min="790" max="790" width="0" style="8" hidden="1" customWidth="1"/>
    <col min="791" max="793" width="8.7265625" style="8"/>
    <col min="794" max="794" width="5.08984375" style="8" customWidth="1"/>
    <col min="795" max="795" width="0" style="8" hidden="1" customWidth="1"/>
    <col min="796" max="796" width="5.08984375" style="8" customWidth="1"/>
    <col min="797" max="797" width="0" style="8" hidden="1" customWidth="1"/>
    <col min="798" max="798" width="5.36328125" style="8" customWidth="1"/>
    <col min="799" max="1024" width="8.7265625" style="8"/>
    <col min="1025" max="1025" width="10.08984375" style="8" customWidth="1"/>
    <col min="1026" max="1028" width="8.7265625" style="8"/>
    <col min="1029" max="1031" width="0" style="8" hidden="1" customWidth="1"/>
    <col min="1032" max="1034" width="8.7265625" style="8"/>
    <col min="1035" max="1037" width="0" style="8" hidden="1" customWidth="1"/>
    <col min="1038" max="1040" width="8.7265625" style="8"/>
    <col min="1041" max="1041" width="6.08984375" style="8" customWidth="1"/>
    <col min="1042" max="1042" width="5.7265625" style="8" customWidth="1"/>
    <col min="1043" max="1043" width="8.7265625" style="8"/>
    <col min="1044" max="1044" width="0" style="8" hidden="1" customWidth="1"/>
    <col min="1045" max="1045" width="8.7265625" style="8"/>
    <col min="1046" max="1046" width="0" style="8" hidden="1" customWidth="1"/>
    <col min="1047" max="1049" width="8.7265625" style="8"/>
    <col min="1050" max="1050" width="5.08984375" style="8" customWidth="1"/>
    <col min="1051" max="1051" width="0" style="8" hidden="1" customWidth="1"/>
    <col min="1052" max="1052" width="5.08984375" style="8" customWidth="1"/>
    <col min="1053" max="1053" width="0" style="8" hidden="1" customWidth="1"/>
    <col min="1054" max="1054" width="5.36328125" style="8" customWidth="1"/>
    <col min="1055" max="1280" width="8.7265625" style="8"/>
    <col min="1281" max="1281" width="10.08984375" style="8" customWidth="1"/>
    <col min="1282" max="1284" width="8.7265625" style="8"/>
    <col min="1285" max="1287" width="0" style="8" hidden="1" customWidth="1"/>
    <col min="1288" max="1290" width="8.7265625" style="8"/>
    <col min="1291" max="1293" width="0" style="8" hidden="1" customWidth="1"/>
    <col min="1294" max="1296" width="8.7265625" style="8"/>
    <col min="1297" max="1297" width="6.08984375" style="8" customWidth="1"/>
    <col min="1298" max="1298" width="5.7265625" style="8" customWidth="1"/>
    <col min="1299" max="1299" width="8.7265625" style="8"/>
    <col min="1300" max="1300" width="0" style="8" hidden="1" customWidth="1"/>
    <col min="1301" max="1301" width="8.7265625" style="8"/>
    <col min="1302" max="1302" width="0" style="8" hidden="1" customWidth="1"/>
    <col min="1303" max="1305" width="8.7265625" style="8"/>
    <col min="1306" max="1306" width="5.08984375" style="8" customWidth="1"/>
    <col min="1307" max="1307" width="0" style="8" hidden="1" customWidth="1"/>
    <col min="1308" max="1308" width="5.08984375" style="8" customWidth="1"/>
    <col min="1309" max="1309" width="0" style="8" hidden="1" customWidth="1"/>
    <col min="1310" max="1310" width="5.36328125" style="8" customWidth="1"/>
    <col min="1311" max="1536" width="8.7265625" style="8"/>
    <col min="1537" max="1537" width="10.08984375" style="8" customWidth="1"/>
    <col min="1538" max="1540" width="8.7265625" style="8"/>
    <col min="1541" max="1543" width="0" style="8" hidden="1" customWidth="1"/>
    <col min="1544" max="1546" width="8.7265625" style="8"/>
    <col min="1547" max="1549" width="0" style="8" hidden="1" customWidth="1"/>
    <col min="1550" max="1552" width="8.7265625" style="8"/>
    <col min="1553" max="1553" width="6.08984375" style="8" customWidth="1"/>
    <col min="1554" max="1554" width="5.7265625" style="8" customWidth="1"/>
    <col min="1555" max="1555" width="8.7265625" style="8"/>
    <col min="1556" max="1556" width="0" style="8" hidden="1" customWidth="1"/>
    <col min="1557" max="1557" width="8.7265625" style="8"/>
    <col min="1558" max="1558" width="0" style="8" hidden="1" customWidth="1"/>
    <col min="1559" max="1561" width="8.7265625" style="8"/>
    <col min="1562" max="1562" width="5.08984375" style="8" customWidth="1"/>
    <col min="1563" max="1563" width="0" style="8" hidden="1" customWidth="1"/>
    <col min="1564" max="1564" width="5.08984375" style="8" customWidth="1"/>
    <col min="1565" max="1565" width="0" style="8" hidden="1" customWidth="1"/>
    <col min="1566" max="1566" width="5.36328125" style="8" customWidth="1"/>
    <col min="1567" max="1792" width="8.7265625" style="8"/>
    <col min="1793" max="1793" width="10.08984375" style="8" customWidth="1"/>
    <col min="1794" max="1796" width="8.7265625" style="8"/>
    <col min="1797" max="1799" width="0" style="8" hidden="1" customWidth="1"/>
    <col min="1800" max="1802" width="8.7265625" style="8"/>
    <col min="1803" max="1805" width="0" style="8" hidden="1" customWidth="1"/>
    <col min="1806" max="1808" width="8.7265625" style="8"/>
    <col min="1809" max="1809" width="6.08984375" style="8" customWidth="1"/>
    <col min="1810" max="1810" width="5.7265625" style="8" customWidth="1"/>
    <col min="1811" max="1811" width="8.7265625" style="8"/>
    <col min="1812" max="1812" width="0" style="8" hidden="1" customWidth="1"/>
    <col min="1813" max="1813" width="8.7265625" style="8"/>
    <col min="1814" max="1814" width="0" style="8" hidden="1" customWidth="1"/>
    <col min="1815" max="1817" width="8.7265625" style="8"/>
    <col min="1818" max="1818" width="5.08984375" style="8" customWidth="1"/>
    <col min="1819" max="1819" width="0" style="8" hidden="1" customWidth="1"/>
    <col min="1820" max="1820" width="5.08984375" style="8" customWidth="1"/>
    <col min="1821" max="1821" width="0" style="8" hidden="1" customWidth="1"/>
    <col min="1822" max="1822" width="5.36328125" style="8" customWidth="1"/>
    <col min="1823" max="2048" width="8.7265625" style="8"/>
    <col min="2049" max="2049" width="10.08984375" style="8" customWidth="1"/>
    <col min="2050" max="2052" width="8.7265625" style="8"/>
    <col min="2053" max="2055" width="0" style="8" hidden="1" customWidth="1"/>
    <col min="2056" max="2058" width="8.7265625" style="8"/>
    <col min="2059" max="2061" width="0" style="8" hidden="1" customWidth="1"/>
    <col min="2062" max="2064" width="8.7265625" style="8"/>
    <col min="2065" max="2065" width="6.08984375" style="8" customWidth="1"/>
    <col min="2066" max="2066" width="5.7265625" style="8" customWidth="1"/>
    <col min="2067" max="2067" width="8.7265625" style="8"/>
    <col min="2068" max="2068" width="0" style="8" hidden="1" customWidth="1"/>
    <col min="2069" max="2069" width="8.7265625" style="8"/>
    <col min="2070" max="2070" width="0" style="8" hidden="1" customWidth="1"/>
    <col min="2071" max="2073" width="8.7265625" style="8"/>
    <col min="2074" max="2074" width="5.08984375" style="8" customWidth="1"/>
    <col min="2075" max="2075" width="0" style="8" hidden="1" customWidth="1"/>
    <col min="2076" max="2076" width="5.08984375" style="8" customWidth="1"/>
    <col min="2077" max="2077" width="0" style="8" hidden="1" customWidth="1"/>
    <col min="2078" max="2078" width="5.36328125" style="8" customWidth="1"/>
    <col min="2079" max="2304" width="8.7265625" style="8"/>
    <col min="2305" max="2305" width="10.08984375" style="8" customWidth="1"/>
    <col min="2306" max="2308" width="8.7265625" style="8"/>
    <col min="2309" max="2311" width="0" style="8" hidden="1" customWidth="1"/>
    <col min="2312" max="2314" width="8.7265625" style="8"/>
    <col min="2315" max="2317" width="0" style="8" hidden="1" customWidth="1"/>
    <col min="2318" max="2320" width="8.7265625" style="8"/>
    <col min="2321" max="2321" width="6.08984375" style="8" customWidth="1"/>
    <col min="2322" max="2322" width="5.7265625" style="8" customWidth="1"/>
    <col min="2323" max="2323" width="8.7265625" style="8"/>
    <col min="2324" max="2324" width="0" style="8" hidden="1" customWidth="1"/>
    <col min="2325" max="2325" width="8.7265625" style="8"/>
    <col min="2326" max="2326" width="0" style="8" hidden="1" customWidth="1"/>
    <col min="2327" max="2329" width="8.7265625" style="8"/>
    <col min="2330" max="2330" width="5.08984375" style="8" customWidth="1"/>
    <col min="2331" max="2331" width="0" style="8" hidden="1" customWidth="1"/>
    <col min="2332" max="2332" width="5.08984375" style="8" customWidth="1"/>
    <col min="2333" max="2333" width="0" style="8" hidden="1" customWidth="1"/>
    <col min="2334" max="2334" width="5.36328125" style="8" customWidth="1"/>
    <col min="2335" max="2560" width="8.7265625" style="8"/>
    <col min="2561" max="2561" width="10.08984375" style="8" customWidth="1"/>
    <col min="2562" max="2564" width="8.7265625" style="8"/>
    <col min="2565" max="2567" width="0" style="8" hidden="1" customWidth="1"/>
    <col min="2568" max="2570" width="8.7265625" style="8"/>
    <col min="2571" max="2573" width="0" style="8" hidden="1" customWidth="1"/>
    <col min="2574" max="2576" width="8.7265625" style="8"/>
    <col min="2577" max="2577" width="6.08984375" style="8" customWidth="1"/>
    <col min="2578" max="2578" width="5.7265625" style="8" customWidth="1"/>
    <col min="2579" max="2579" width="8.7265625" style="8"/>
    <col min="2580" max="2580" width="0" style="8" hidden="1" customWidth="1"/>
    <col min="2581" max="2581" width="8.7265625" style="8"/>
    <col min="2582" max="2582" width="0" style="8" hidden="1" customWidth="1"/>
    <col min="2583" max="2585" width="8.7265625" style="8"/>
    <col min="2586" max="2586" width="5.08984375" style="8" customWidth="1"/>
    <col min="2587" max="2587" width="0" style="8" hidden="1" customWidth="1"/>
    <col min="2588" max="2588" width="5.08984375" style="8" customWidth="1"/>
    <col min="2589" max="2589" width="0" style="8" hidden="1" customWidth="1"/>
    <col min="2590" max="2590" width="5.36328125" style="8" customWidth="1"/>
    <col min="2591" max="2816" width="8.7265625" style="8"/>
    <col min="2817" max="2817" width="10.08984375" style="8" customWidth="1"/>
    <col min="2818" max="2820" width="8.7265625" style="8"/>
    <col min="2821" max="2823" width="0" style="8" hidden="1" customWidth="1"/>
    <col min="2824" max="2826" width="8.7265625" style="8"/>
    <col min="2827" max="2829" width="0" style="8" hidden="1" customWidth="1"/>
    <col min="2830" max="2832" width="8.7265625" style="8"/>
    <col min="2833" max="2833" width="6.08984375" style="8" customWidth="1"/>
    <col min="2834" max="2834" width="5.7265625" style="8" customWidth="1"/>
    <col min="2835" max="2835" width="8.7265625" style="8"/>
    <col min="2836" max="2836" width="0" style="8" hidden="1" customWidth="1"/>
    <col min="2837" max="2837" width="8.7265625" style="8"/>
    <col min="2838" max="2838" width="0" style="8" hidden="1" customWidth="1"/>
    <col min="2839" max="2841" width="8.7265625" style="8"/>
    <col min="2842" max="2842" width="5.08984375" style="8" customWidth="1"/>
    <col min="2843" max="2843" width="0" style="8" hidden="1" customWidth="1"/>
    <col min="2844" max="2844" width="5.08984375" style="8" customWidth="1"/>
    <col min="2845" max="2845" width="0" style="8" hidden="1" customWidth="1"/>
    <col min="2846" max="2846" width="5.36328125" style="8" customWidth="1"/>
    <col min="2847" max="3072" width="8.7265625" style="8"/>
    <col min="3073" max="3073" width="10.08984375" style="8" customWidth="1"/>
    <col min="3074" max="3076" width="8.7265625" style="8"/>
    <col min="3077" max="3079" width="0" style="8" hidden="1" customWidth="1"/>
    <col min="3080" max="3082" width="8.7265625" style="8"/>
    <col min="3083" max="3085" width="0" style="8" hidden="1" customWidth="1"/>
    <col min="3086" max="3088" width="8.7265625" style="8"/>
    <col min="3089" max="3089" width="6.08984375" style="8" customWidth="1"/>
    <col min="3090" max="3090" width="5.7265625" style="8" customWidth="1"/>
    <col min="3091" max="3091" width="8.7265625" style="8"/>
    <col min="3092" max="3092" width="0" style="8" hidden="1" customWidth="1"/>
    <col min="3093" max="3093" width="8.7265625" style="8"/>
    <col min="3094" max="3094" width="0" style="8" hidden="1" customWidth="1"/>
    <col min="3095" max="3097" width="8.7265625" style="8"/>
    <col min="3098" max="3098" width="5.08984375" style="8" customWidth="1"/>
    <col min="3099" max="3099" width="0" style="8" hidden="1" customWidth="1"/>
    <col min="3100" max="3100" width="5.08984375" style="8" customWidth="1"/>
    <col min="3101" max="3101" width="0" style="8" hidden="1" customWidth="1"/>
    <col min="3102" max="3102" width="5.36328125" style="8" customWidth="1"/>
    <col min="3103" max="3328" width="8.7265625" style="8"/>
    <col min="3329" max="3329" width="10.08984375" style="8" customWidth="1"/>
    <col min="3330" max="3332" width="8.7265625" style="8"/>
    <col min="3333" max="3335" width="0" style="8" hidden="1" customWidth="1"/>
    <col min="3336" max="3338" width="8.7265625" style="8"/>
    <col min="3339" max="3341" width="0" style="8" hidden="1" customWidth="1"/>
    <col min="3342" max="3344" width="8.7265625" style="8"/>
    <col min="3345" max="3345" width="6.08984375" style="8" customWidth="1"/>
    <col min="3346" max="3346" width="5.7265625" style="8" customWidth="1"/>
    <col min="3347" max="3347" width="8.7265625" style="8"/>
    <col min="3348" max="3348" width="0" style="8" hidden="1" customWidth="1"/>
    <col min="3349" max="3349" width="8.7265625" style="8"/>
    <col min="3350" max="3350" width="0" style="8" hidden="1" customWidth="1"/>
    <col min="3351" max="3353" width="8.7265625" style="8"/>
    <col min="3354" max="3354" width="5.08984375" style="8" customWidth="1"/>
    <col min="3355" max="3355" width="0" style="8" hidden="1" customWidth="1"/>
    <col min="3356" max="3356" width="5.08984375" style="8" customWidth="1"/>
    <col min="3357" max="3357" width="0" style="8" hidden="1" customWidth="1"/>
    <col min="3358" max="3358" width="5.36328125" style="8" customWidth="1"/>
    <col min="3359" max="3584" width="8.7265625" style="8"/>
    <col min="3585" max="3585" width="10.08984375" style="8" customWidth="1"/>
    <col min="3586" max="3588" width="8.7265625" style="8"/>
    <col min="3589" max="3591" width="0" style="8" hidden="1" customWidth="1"/>
    <col min="3592" max="3594" width="8.7265625" style="8"/>
    <col min="3595" max="3597" width="0" style="8" hidden="1" customWidth="1"/>
    <col min="3598" max="3600" width="8.7265625" style="8"/>
    <col min="3601" max="3601" width="6.08984375" style="8" customWidth="1"/>
    <col min="3602" max="3602" width="5.7265625" style="8" customWidth="1"/>
    <col min="3603" max="3603" width="8.7265625" style="8"/>
    <col min="3604" max="3604" width="0" style="8" hidden="1" customWidth="1"/>
    <col min="3605" max="3605" width="8.7265625" style="8"/>
    <col min="3606" max="3606" width="0" style="8" hidden="1" customWidth="1"/>
    <col min="3607" max="3609" width="8.7265625" style="8"/>
    <col min="3610" max="3610" width="5.08984375" style="8" customWidth="1"/>
    <col min="3611" max="3611" width="0" style="8" hidden="1" customWidth="1"/>
    <col min="3612" max="3612" width="5.08984375" style="8" customWidth="1"/>
    <col min="3613" max="3613" width="0" style="8" hidden="1" customWidth="1"/>
    <col min="3614" max="3614" width="5.36328125" style="8" customWidth="1"/>
    <col min="3615" max="3840" width="8.7265625" style="8"/>
    <col min="3841" max="3841" width="10.08984375" style="8" customWidth="1"/>
    <col min="3842" max="3844" width="8.7265625" style="8"/>
    <col min="3845" max="3847" width="0" style="8" hidden="1" customWidth="1"/>
    <col min="3848" max="3850" width="8.7265625" style="8"/>
    <col min="3851" max="3853" width="0" style="8" hidden="1" customWidth="1"/>
    <col min="3854" max="3856" width="8.7265625" style="8"/>
    <col min="3857" max="3857" width="6.08984375" style="8" customWidth="1"/>
    <col min="3858" max="3858" width="5.7265625" style="8" customWidth="1"/>
    <col min="3859" max="3859" width="8.7265625" style="8"/>
    <col min="3860" max="3860" width="0" style="8" hidden="1" customWidth="1"/>
    <col min="3861" max="3861" width="8.7265625" style="8"/>
    <col min="3862" max="3862" width="0" style="8" hidden="1" customWidth="1"/>
    <col min="3863" max="3865" width="8.7265625" style="8"/>
    <col min="3866" max="3866" width="5.08984375" style="8" customWidth="1"/>
    <col min="3867" max="3867" width="0" style="8" hidden="1" customWidth="1"/>
    <col min="3868" max="3868" width="5.08984375" style="8" customWidth="1"/>
    <col min="3869" max="3869" width="0" style="8" hidden="1" customWidth="1"/>
    <col min="3870" max="3870" width="5.36328125" style="8" customWidth="1"/>
    <col min="3871" max="4096" width="8.7265625" style="8"/>
    <col min="4097" max="4097" width="10.08984375" style="8" customWidth="1"/>
    <col min="4098" max="4100" width="8.7265625" style="8"/>
    <col min="4101" max="4103" width="0" style="8" hidden="1" customWidth="1"/>
    <col min="4104" max="4106" width="8.7265625" style="8"/>
    <col min="4107" max="4109" width="0" style="8" hidden="1" customWidth="1"/>
    <col min="4110" max="4112" width="8.7265625" style="8"/>
    <col min="4113" max="4113" width="6.08984375" style="8" customWidth="1"/>
    <col min="4114" max="4114" width="5.7265625" style="8" customWidth="1"/>
    <col min="4115" max="4115" width="8.7265625" style="8"/>
    <col min="4116" max="4116" width="0" style="8" hidden="1" customWidth="1"/>
    <col min="4117" max="4117" width="8.7265625" style="8"/>
    <col min="4118" max="4118" width="0" style="8" hidden="1" customWidth="1"/>
    <col min="4119" max="4121" width="8.7265625" style="8"/>
    <col min="4122" max="4122" width="5.08984375" style="8" customWidth="1"/>
    <col min="4123" max="4123" width="0" style="8" hidden="1" customWidth="1"/>
    <col min="4124" max="4124" width="5.08984375" style="8" customWidth="1"/>
    <col min="4125" max="4125" width="0" style="8" hidden="1" customWidth="1"/>
    <col min="4126" max="4126" width="5.36328125" style="8" customWidth="1"/>
    <col min="4127" max="4352" width="8.7265625" style="8"/>
    <col min="4353" max="4353" width="10.08984375" style="8" customWidth="1"/>
    <col min="4354" max="4356" width="8.7265625" style="8"/>
    <col min="4357" max="4359" width="0" style="8" hidden="1" customWidth="1"/>
    <col min="4360" max="4362" width="8.7265625" style="8"/>
    <col min="4363" max="4365" width="0" style="8" hidden="1" customWidth="1"/>
    <col min="4366" max="4368" width="8.7265625" style="8"/>
    <col min="4369" max="4369" width="6.08984375" style="8" customWidth="1"/>
    <col min="4370" max="4370" width="5.7265625" style="8" customWidth="1"/>
    <col min="4371" max="4371" width="8.7265625" style="8"/>
    <col min="4372" max="4372" width="0" style="8" hidden="1" customWidth="1"/>
    <col min="4373" max="4373" width="8.7265625" style="8"/>
    <col min="4374" max="4374" width="0" style="8" hidden="1" customWidth="1"/>
    <col min="4375" max="4377" width="8.7265625" style="8"/>
    <col min="4378" max="4378" width="5.08984375" style="8" customWidth="1"/>
    <col min="4379" max="4379" width="0" style="8" hidden="1" customWidth="1"/>
    <col min="4380" max="4380" width="5.08984375" style="8" customWidth="1"/>
    <col min="4381" max="4381" width="0" style="8" hidden="1" customWidth="1"/>
    <col min="4382" max="4382" width="5.36328125" style="8" customWidth="1"/>
    <col min="4383" max="4608" width="8.7265625" style="8"/>
    <col min="4609" max="4609" width="10.08984375" style="8" customWidth="1"/>
    <col min="4610" max="4612" width="8.7265625" style="8"/>
    <col min="4613" max="4615" width="0" style="8" hidden="1" customWidth="1"/>
    <col min="4616" max="4618" width="8.7265625" style="8"/>
    <col min="4619" max="4621" width="0" style="8" hidden="1" customWidth="1"/>
    <col min="4622" max="4624" width="8.7265625" style="8"/>
    <col min="4625" max="4625" width="6.08984375" style="8" customWidth="1"/>
    <col min="4626" max="4626" width="5.7265625" style="8" customWidth="1"/>
    <col min="4627" max="4627" width="8.7265625" style="8"/>
    <col min="4628" max="4628" width="0" style="8" hidden="1" customWidth="1"/>
    <col min="4629" max="4629" width="8.7265625" style="8"/>
    <col min="4630" max="4630" width="0" style="8" hidden="1" customWidth="1"/>
    <col min="4631" max="4633" width="8.7265625" style="8"/>
    <col min="4634" max="4634" width="5.08984375" style="8" customWidth="1"/>
    <col min="4635" max="4635" width="0" style="8" hidden="1" customWidth="1"/>
    <col min="4636" max="4636" width="5.08984375" style="8" customWidth="1"/>
    <col min="4637" max="4637" width="0" style="8" hidden="1" customWidth="1"/>
    <col min="4638" max="4638" width="5.36328125" style="8" customWidth="1"/>
    <col min="4639" max="4864" width="8.7265625" style="8"/>
    <col min="4865" max="4865" width="10.08984375" style="8" customWidth="1"/>
    <col min="4866" max="4868" width="8.7265625" style="8"/>
    <col min="4869" max="4871" width="0" style="8" hidden="1" customWidth="1"/>
    <col min="4872" max="4874" width="8.7265625" style="8"/>
    <col min="4875" max="4877" width="0" style="8" hidden="1" customWidth="1"/>
    <col min="4878" max="4880" width="8.7265625" style="8"/>
    <col min="4881" max="4881" width="6.08984375" style="8" customWidth="1"/>
    <col min="4882" max="4882" width="5.7265625" style="8" customWidth="1"/>
    <col min="4883" max="4883" width="8.7265625" style="8"/>
    <col min="4884" max="4884" width="0" style="8" hidden="1" customWidth="1"/>
    <col min="4885" max="4885" width="8.7265625" style="8"/>
    <col min="4886" max="4886" width="0" style="8" hidden="1" customWidth="1"/>
    <col min="4887" max="4889" width="8.7265625" style="8"/>
    <col min="4890" max="4890" width="5.08984375" style="8" customWidth="1"/>
    <col min="4891" max="4891" width="0" style="8" hidden="1" customWidth="1"/>
    <col min="4892" max="4892" width="5.08984375" style="8" customWidth="1"/>
    <col min="4893" max="4893" width="0" style="8" hidden="1" customWidth="1"/>
    <col min="4894" max="4894" width="5.36328125" style="8" customWidth="1"/>
    <col min="4895" max="5120" width="8.7265625" style="8"/>
    <col min="5121" max="5121" width="10.08984375" style="8" customWidth="1"/>
    <col min="5122" max="5124" width="8.7265625" style="8"/>
    <col min="5125" max="5127" width="0" style="8" hidden="1" customWidth="1"/>
    <col min="5128" max="5130" width="8.7265625" style="8"/>
    <col min="5131" max="5133" width="0" style="8" hidden="1" customWidth="1"/>
    <col min="5134" max="5136" width="8.7265625" style="8"/>
    <col min="5137" max="5137" width="6.08984375" style="8" customWidth="1"/>
    <col min="5138" max="5138" width="5.7265625" style="8" customWidth="1"/>
    <col min="5139" max="5139" width="8.7265625" style="8"/>
    <col min="5140" max="5140" width="0" style="8" hidden="1" customWidth="1"/>
    <col min="5141" max="5141" width="8.7265625" style="8"/>
    <col min="5142" max="5142" width="0" style="8" hidden="1" customWidth="1"/>
    <col min="5143" max="5145" width="8.7265625" style="8"/>
    <col min="5146" max="5146" width="5.08984375" style="8" customWidth="1"/>
    <col min="5147" max="5147" width="0" style="8" hidden="1" customWidth="1"/>
    <col min="5148" max="5148" width="5.08984375" style="8" customWidth="1"/>
    <col min="5149" max="5149" width="0" style="8" hidden="1" customWidth="1"/>
    <col min="5150" max="5150" width="5.36328125" style="8" customWidth="1"/>
    <col min="5151" max="5376" width="8.7265625" style="8"/>
    <col min="5377" max="5377" width="10.08984375" style="8" customWidth="1"/>
    <col min="5378" max="5380" width="8.7265625" style="8"/>
    <col min="5381" max="5383" width="0" style="8" hidden="1" customWidth="1"/>
    <col min="5384" max="5386" width="8.7265625" style="8"/>
    <col min="5387" max="5389" width="0" style="8" hidden="1" customWidth="1"/>
    <col min="5390" max="5392" width="8.7265625" style="8"/>
    <col min="5393" max="5393" width="6.08984375" style="8" customWidth="1"/>
    <col min="5394" max="5394" width="5.7265625" style="8" customWidth="1"/>
    <col min="5395" max="5395" width="8.7265625" style="8"/>
    <col min="5396" max="5396" width="0" style="8" hidden="1" customWidth="1"/>
    <col min="5397" max="5397" width="8.7265625" style="8"/>
    <col min="5398" max="5398" width="0" style="8" hidden="1" customWidth="1"/>
    <col min="5399" max="5401" width="8.7265625" style="8"/>
    <col min="5402" max="5402" width="5.08984375" style="8" customWidth="1"/>
    <col min="5403" max="5403" width="0" style="8" hidden="1" customWidth="1"/>
    <col min="5404" max="5404" width="5.08984375" style="8" customWidth="1"/>
    <col min="5405" max="5405" width="0" style="8" hidden="1" customWidth="1"/>
    <col min="5406" max="5406" width="5.36328125" style="8" customWidth="1"/>
    <col min="5407" max="5632" width="8.7265625" style="8"/>
    <col min="5633" max="5633" width="10.08984375" style="8" customWidth="1"/>
    <col min="5634" max="5636" width="8.7265625" style="8"/>
    <col min="5637" max="5639" width="0" style="8" hidden="1" customWidth="1"/>
    <col min="5640" max="5642" width="8.7265625" style="8"/>
    <col min="5643" max="5645" width="0" style="8" hidden="1" customWidth="1"/>
    <col min="5646" max="5648" width="8.7265625" style="8"/>
    <col min="5649" max="5649" width="6.08984375" style="8" customWidth="1"/>
    <col min="5650" max="5650" width="5.7265625" style="8" customWidth="1"/>
    <col min="5651" max="5651" width="8.7265625" style="8"/>
    <col min="5652" max="5652" width="0" style="8" hidden="1" customWidth="1"/>
    <col min="5653" max="5653" width="8.7265625" style="8"/>
    <col min="5654" max="5654" width="0" style="8" hidden="1" customWidth="1"/>
    <col min="5655" max="5657" width="8.7265625" style="8"/>
    <col min="5658" max="5658" width="5.08984375" style="8" customWidth="1"/>
    <col min="5659" max="5659" width="0" style="8" hidden="1" customWidth="1"/>
    <col min="5660" max="5660" width="5.08984375" style="8" customWidth="1"/>
    <col min="5661" max="5661" width="0" style="8" hidden="1" customWidth="1"/>
    <col min="5662" max="5662" width="5.36328125" style="8" customWidth="1"/>
    <col min="5663" max="5888" width="8.7265625" style="8"/>
    <col min="5889" max="5889" width="10.08984375" style="8" customWidth="1"/>
    <col min="5890" max="5892" width="8.7265625" style="8"/>
    <col min="5893" max="5895" width="0" style="8" hidden="1" customWidth="1"/>
    <col min="5896" max="5898" width="8.7265625" style="8"/>
    <col min="5899" max="5901" width="0" style="8" hidden="1" customWidth="1"/>
    <col min="5902" max="5904" width="8.7265625" style="8"/>
    <col min="5905" max="5905" width="6.08984375" style="8" customWidth="1"/>
    <col min="5906" max="5906" width="5.7265625" style="8" customWidth="1"/>
    <col min="5907" max="5907" width="8.7265625" style="8"/>
    <col min="5908" max="5908" width="0" style="8" hidden="1" customWidth="1"/>
    <col min="5909" max="5909" width="8.7265625" style="8"/>
    <col min="5910" max="5910" width="0" style="8" hidden="1" customWidth="1"/>
    <col min="5911" max="5913" width="8.7265625" style="8"/>
    <col min="5914" max="5914" width="5.08984375" style="8" customWidth="1"/>
    <col min="5915" max="5915" width="0" style="8" hidden="1" customWidth="1"/>
    <col min="5916" max="5916" width="5.08984375" style="8" customWidth="1"/>
    <col min="5917" max="5917" width="0" style="8" hidden="1" customWidth="1"/>
    <col min="5918" max="5918" width="5.36328125" style="8" customWidth="1"/>
    <col min="5919" max="6144" width="8.7265625" style="8"/>
    <col min="6145" max="6145" width="10.08984375" style="8" customWidth="1"/>
    <col min="6146" max="6148" width="8.7265625" style="8"/>
    <col min="6149" max="6151" width="0" style="8" hidden="1" customWidth="1"/>
    <col min="6152" max="6154" width="8.7265625" style="8"/>
    <col min="6155" max="6157" width="0" style="8" hidden="1" customWidth="1"/>
    <col min="6158" max="6160" width="8.7265625" style="8"/>
    <col min="6161" max="6161" width="6.08984375" style="8" customWidth="1"/>
    <col min="6162" max="6162" width="5.7265625" style="8" customWidth="1"/>
    <col min="6163" max="6163" width="8.7265625" style="8"/>
    <col min="6164" max="6164" width="0" style="8" hidden="1" customWidth="1"/>
    <col min="6165" max="6165" width="8.7265625" style="8"/>
    <col min="6166" max="6166" width="0" style="8" hidden="1" customWidth="1"/>
    <col min="6167" max="6169" width="8.7265625" style="8"/>
    <col min="6170" max="6170" width="5.08984375" style="8" customWidth="1"/>
    <col min="6171" max="6171" width="0" style="8" hidden="1" customWidth="1"/>
    <col min="6172" max="6172" width="5.08984375" style="8" customWidth="1"/>
    <col min="6173" max="6173" width="0" style="8" hidden="1" customWidth="1"/>
    <col min="6174" max="6174" width="5.36328125" style="8" customWidth="1"/>
    <col min="6175" max="6400" width="8.7265625" style="8"/>
    <col min="6401" max="6401" width="10.08984375" style="8" customWidth="1"/>
    <col min="6402" max="6404" width="8.7265625" style="8"/>
    <col min="6405" max="6407" width="0" style="8" hidden="1" customWidth="1"/>
    <col min="6408" max="6410" width="8.7265625" style="8"/>
    <col min="6411" max="6413" width="0" style="8" hidden="1" customWidth="1"/>
    <col min="6414" max="6416" width="8.7265625" style="8"/>
    <col min="6417" max="6417" width="6.08984375" style="8" customWidth="1"/>
    <col min="6418" max="6418" width="5.7265625" style="8" customWidth="1"/>
    <col min="6419" max="6419" width="8.7265625" style="8"/>
    <col min="6420" max="6420" width="0" style="8" hidden="1" customWidth="1"/>
    <col min="6421" max="6421" width="8.7265625" style="8"/>
    <col min="6422" max="6422" width="0" style="8" hidden="1" customWidth="1"/>
    <col min="6423" max="6425" width="8.7265625" style="8"/>
    <col min="6426" max="6426" width="5.08984375" style="8" customWidth="1"/>
    <col min="6427" max="6427" width="0" style="8" hidden="1" customWidth="1"/>
    <col min="6428" max="6428" width="5.08984375" style="8" customWidth="1"/>
    <col min="6429" max="6429" width="0" style="8" hidden="1" customWidth="1"/>
    <col min="6430" max="6430" width="5.36328125" style="8" customWidth="1"/>
    <col min="6431" max="6656" width="8.7265625" style="8"/>
    <col min="6657" max="6657" width="10.08984375" style="8" customWidth="1"/>
    <col min="6658" max="6660" width="8.7265625" style="8"/>
    <col min="6661" max="6663" width="0" style="8" hidden="1" customWidth="1"/>
    <col min="6664" max="6666" width="8.7265625" style="8"/>
    <col min="6667" max="6669" width="0" style="8" hidden="1" customWidth="1"/>
    <col min="6670" max="6672" width="8.7265625" style="8"/>
    <col min="6673" max="6673" width="6.08984375" style="8" customWidth="1"/>
    <col min="6674" max="6674" width="5.7265625" style="8" customWidth="1"/>
    <col min="6675" max="6675" width="8.7265625" style="8"/>
    <col min="6676" max="6676" width="0" style="8" hidden="1" customWidth="1"/>
    <col min="6677" max="6677" width="8.7265625" style="8"/>
    <col min="6678" max="6678" width="0" style="8" hidden="1" customWidth="1"/>
    <col min="6679" max="6681" width="8.7265625" style="8"/>
    <col min="6682" max="6682" width="5.08984375" style="8" customWidth="1"/>
    <col min="6683" max="6683" width="0" style="8" hidden="1" customWidth="1"/>
    <col min="6684" max="6684" width="5.08984375" style="8" customWidth="1"/>
    <col min="6685" max="6685" width="0" style="8" hidden="1" customWidth="1"/>
    <col min="6686" max="6686" width="5.36328125" style="8" customWidth="1"/>
    <col min="6687" max="6912" width="8.7265625" style="8"/>
    <col min="6913" max="6913" width="10.08984375" style="8" customWidth="1"/>
    <col min="6914" max="6916" width="8.7265625" style="8"/>
    <col min="6917" max="6919" width="0" style="8" hidden="1" customWidth="1"/>
    <col min="6920" max="6922" width="8.7265625" style="8"/>
    <col min="6923" max="6925" width="0" style="8" hidden="1" customWidth="1"/>
    <col min="6926" max="6928" width="8.7265625" style="8"/>
    <col min="6929" max="6929" width="6.08984375" style="8" customWidth="1"/>
    <col min="6930" max="6930" width="5.7265625" style="8" customWidth="1"/>
    <col min="6931" max="6931" width="8.7265625" style="8"/>
    <col min="6932" max="6932" width="0" style="8" hidden="1" customWidth="1"/>
    <col min="6933" max="6933" width="8.7265625" style="8"/>
    <col min="6934" max="6934" width="0" style="8" hidden="1" customWidth="1"/>
    <col min="6935" max="6937" width="8.7265625" style="8"/>
    <col min="6938" max="6938" width="5.08984375" style="8" customWidth="1"/>
    <col min="6939" max="6939" width="0" style="8" hidden="1" customWidth="1"/>
    <col min="6940" max="6940" width="5.08984375" style="8" customWidth="1"/>
    <col min="6941" max="6941" width="0" style="8" hidden="1" customWidth="1"/>
    <col min="6942" max="6942" width="5.36328125" style="8" customWidth="1"/>
    <col min="6943" max="7168" width="8.7265625" style="8"/>
    <col min="7169" max="7169" width="10.08984375" style="8" customWidth="1"/>
    <col min="7170" max="7172" width="8.7265625" style="8"/>
    <col min="7173" max="7175" width="0" style="8" hidden="1" customWidth="1"/>
    <col min="7176" max="7178" width="8.7265625" style="8"/>
    <col min="7179" max="7181" width="0" style="8" hidden="1" customWidth="1"/>
    <col min="7182" max="7184" width="8.7265625" style="8"/>
    <col min="7185" max="7185" width="6.08984375" style="8" customWidth="1"/>
    <col min="7186" max="7186" width="5.7265625" style="8" customWidth="1"/>
    <col min="7187" max="7187" width="8.7265625" style="8"/>
    <col min="7188" max="7188" width="0" style="8" hidden="1" customWidth="1"/>
    <col min="7189" max="7189" width="8.7265625" style="8"/>
    <col min="7190" max="7190" width="0" style="8" hidden="1" customWidth="1"/>
    <col min="7191" max="7193" width="8.7265625" style="8"/>
    <col min="7194" max="7194" width="5.08984375" style="8" customWidth="1"/>
    <col min="7195" max="7195" width="0" style="8" hidden="1" customWidth="1"/>
    <col min="7196" max="7196" width="5.08984375" style="8" customWidth="1"/>
    <col min="7197" max="7197" width="0" style="8" hidden="1" customWidth="1"/>
    <col min="7198" max="7198" width="5.36328125" style="8" customWidth="1"/>
    <col min="7199" max="7424" width="8.7265625" style="8"/>
    <col min="7425" max="7425" width="10.08984375" style="8" customWidth="1"/>
    <col min="7426" max="7428" width="8.7265625" style="8"/>
    <col min="7429" max="7431" width="0" style="8" hidden="1" customWidth="1"/>
    <col min="7432" max="7434" width="8.7265625" style="8"/>
    <col min="7435" max="7437" width="0" style="8" hidden="1" customWidth="1"/>
    <col min="7438" max="7440" width="8.7265625" style="8"/>
    <col min="7441" max="7441" width="6.08984375" style="8" customWidth="1"/>
    <col min="7442" max="7442" width="5.7265625" style="8" customWidth="1"/>
    <col min="7443" max="7443" width="8.7265625" style="8"/>
    <col min="7444" max="7444" width="0" style="8" hidden="1" customWidth="1"/>
    <col min="7445" max="7445" width="8.7265625" style="8"/>
    <col min="7446" max="7446" width="0" style="8" hidden="1" customWidth="1"/>
    <col min="7447" max="7449" width="8.7265625" style="8"/>
    <col min="7450" max="7450" width="5.08984375" style="8" customWidth="1"/>
    <col min="7451" max="7451" width="0" style="8" hidden="1" customWidth="1"/>
    <col min="7452" max="7452" width="5.08984375" style="8" customWidth="1"/>
    <col min="7453" max="7453" width="0" style="8" hidden="1" customWidth="1"/>
    <col min="7454" max="7454" width="5.36328125" style="8" customWidth="1"/>
    <col min="7455" max="7680" width="8.7265625" style="8"/>
    <col min="7681" max="7681" width="10.08984375" style="8" customWidth="1"/>
    <col min="7682" max="7684" width="8.7265625" style="8"/>
    <col min="7685" max="7687" width="0" style="8" hidden="1" customWidth="1"/>
    <col min="7688" max="7690" width="8.7265625" style="8"/>
    <col min="7691" max="7693" width="0" style="8" hidden="1" customWidth="1"/>
    <col min="7694" max="7696" width="8.7265625" style="8"/>
    <col min="7697" max="7697" width="6.08984375" style="8" customWidth="1"/>
    <col min="7698" max="7698" width="5.7265625" style="8" customWidth="1"/>
    <col min="7699" max="7699" width="8.7265625" style="8"/>
    <col min="7700" max="7700" width="0" style="8" hidden="1" customWidth="1"/>
    <col min="7701" max="7701" width="8.7265625" style="8"/>
    <col min="7702" max="7702" width="0" style="8" hidden="1" customWidth="1"/>
    <col min="7703" max="7705" width="8.7265625" style="8"/>
    <col min="7706" max="7706" width="5.08984375" style="8" customWidth="1"/>
    <col min="7707" max="7707" width="0" style="8" hidden="1" customWidth="1"/>
    <col min="7708" max="7708" width="5.08984375" style="8" customWidth="1"/>
    <col min="7709" max="7709" width="0" style="8" hidden="1" customWidth="1"/>
    <col min="7710" max="7710" width="5.36328125" style="8" customWidth="1"/>
    <col min="7711" max="7936" width="8.7265625" style="8"/>
    <col min="7937" max="7937" width="10.08984375" style="8" customWidth="1"/>
    <col min="7938" max="7940" width="8.7265625" style="8"/>
    <col min="7941" max="7943" width="0" style="8" hidden="1" customWidth="1"/>
    <col min="7944" max="7946" width="8.7265625" style="8"/>
    <col min="7947" max="7949" width="0" style="8" hidden="1" customWidth="1"/>
    <col min="7950" max="7952" width="8.7265625" style="8"/>
    <col min="7953" max="7953" width="6.08984375" style="8" customWidth="1"/>
    <col min="7954" max="7954" width="5.7265625" style="8" customWidth="1"/>
    <col min="7955" max="7955" width="8.7265625" style="8"/>
    <col min="7956" max="7956" width="0" style="8" hidden="1" customWidth="1"/>
    <col min="7957" max="7957" width="8.7265625" style="8"/>
    <col min="7958" max="7958" width="0" style="8" hidden="1" customWidth="1"/>
    <col min="7959" max="7961" width="8.7265625" style="8"/>
    <col min="7962" max="7962" width="5.08984375" style="8" customWidth="1"/>
    <col min="7963" max="7963" width="0" style="8" hidden="1" customWidth="1"/>
    <col min="7964" max="7964" width="5.08984375" style="8" customWidth="1"/>
    <col min="7965" max="7965" width="0" style="8" hidden="1" customWidth="1"/>
    <col min="7966" max="7966" width="5.36328125" style="8" customWidth="1"/>
    <col min="7967" max="8192" width="8.7265625" style="8"/>
    <col min="8193" max="8193" width="10.08984375" style="8" customWidth="1"/>
    <col min="8194" max="8196" width="8.7265625" style="8"/>
    <col min="8197" max="8199" width="0" style="8" hidden="1" customWidth="1"/>
    <col min="8200" max="8202" width="8.7265625" style="8"/>
    <col min="8203" max="8205" width="0" style="8" hidden="1" customWidth="1"/>
    <col min="8206" max="8208" width="8.7265625" style="8"/>
    <col min="8209" max="8209" width="6.08984375" style="8" customWidth="1"/>
    <col min="8210" max="8210" width="5.7265625" style="8" customWidth="1"/>
    <col min="8211" max="8211" width="8.7265625" style="8"/>
    <col min="8212" max="8212" width="0" style="8" hidden="1" customWidth="1"/>
    <col min="8213" max="8213" width="8.7265625" style="8"/>
    <col min="8214" max="8214" width="0" style="8" hidden="1" customWidth="1"/>
    <col min="8215" max="8217" width="8.7265625" style="8"/>
    <col min="8218" max="8218" width="5.08984375" style="8" customWidth="1"/>
    <col min="8219" max="8219" width="0" style="8" hidden="1" customWidth="1"/>
    <col min="8220" max="8220" width="5.08984375" style="8" customWidth="1"/>
    <col min="8221" max="8221" width="0" style="8" hidden="1" customWidth="1"/>
    <col min="8222" max="8222" width="5.36328125" style="8" customWidth="1"/>
    <col min="8223" max="8448" width="8.7265625" style="8"/>
    <col min="8449" max="8449" width="10.08984375" style="8" customWidth="1"/>
    <col min="8450" max="8452" width="8.7265625" style="8"/>
    <col min="8453" max="8455" width="0" style="8" hidden="1" customWidth="1"/>
    <col min="8456" max="8458" width="8.7265625" style="8"/>
    <col min="8459" max="8461" width="0" style="8" hidden="1" customWidth="1"/>
    <col min="8462" max="8464" width="8.7265625" style="8"/>
    <col min="8465" max="8465" width="6.08984375" style="8" customWidth="1"/>
    <col min="8466" max="8466" width="5.7265625" style="8" customWidth="1"/>
    <col min="8467" max="8467" width="8.7265625" style="8"/>
    <col min="8468" max="8468" width="0" style="8" hidden="1" customWidth="1"/>
    <col min="8469" max="8469" width="8.7265625" style="8"/>
    <col min="8470" max="8470" width="0" style="8" hidden="1" customWidth="1"/>
    <col min="8471" max="8473" width="8.7265625" style="8"/>
    <col min="8474" max="8474" width="5.08984375" style="8" customWidth="1"/>
    <col min="8475" max="8475" width="0" style="8" hidden="1" customWidth="1"/>
    <col min="8476" max="8476" width="5.08984375" style="8" customWidth="1"/>
    <col min="8477" max="8477" width="0" style="8" hidden="1" customWidth="1"/>
    <col min="8478" max="8478" width="5.36328125" style="8" customWidth="1"/>
    <col min="8479" max="8704" width="8.7265625" style="8"/>
    <col min="8705" max="8705" width="10.08984375" style="8" customWidth="1"/>
    <col min="8706" max="8708" width="8.7265625" style="8"/>
    <col min="8709" max="8711" width="0" style="8" hidden="1" customWidth="1"/>
    <col min="8712" max="8714" width="8.7265625" style="8"/>
    <col min="8715" max="8717" width="0" style="8" hidden="1" customWidth="1"/>
    <col min="8718" max="8720" width="8.7265625" style="8"/>
    <col min="8721" max="8721" width="6.08984375" style="8" customWidth="1"/>
    <col min="8722" max="8722" width="5.7265625" style="8" customWidth="1"/>
    <col min="8723" max="8723" width="8.7265625" style="8"/>
    <col min="8724" max="8724" width="0" style="8" hidden="1" customWidth="1"/>
    <col min="8725" max="8725" width="8.7265625" style="8"/>
    <col min="8726" max="8726" width="0" style="8" hidden="1" customWidth="1"/>
    <col min="8727" max="8729" width="8.7265625" style="8"/>
    <col min="8730" max="8730" width="5.08984375" style="8" customWidth="1"/>
    <col min="8731" max="8731" width="0" style="8" hidden="1" customWidth="1"/>
    <col min="8732" max="8732" width="5.08984375" style="8" customWidth="1"/>
    <col min="8733" max="8733" width="0" style="8" hidden="1" customWidth="1"/>
    <col min="8734" max="8734" width="5.36328125" style="8" customWidth="1"/>
    <col min="8735" max="8960" width="8.7265625" style="8"/>
    <col min="8961" max="8961" width="10.08984375" style="8" customWidth="1"/>
    <col min="8962" max="8964" width="8.7265625" style="8"/>
    <col min="8965" max="8967" width="0" style="8" hidden="1" customWidth="1"/>
    <col min="8968" max="8970" width="8.7265625" style="8"/>
    <col min="8971" max="8973" width="0" style="8" hidden="1" customWidth="1"/>
    <col min="8974" max="8976" width="8.7265625" style="8"/>
    <col min="8977" max="8977" width="6.08984375" style="8" customWidth="1"/>
    <col min="8978" max="8978" width="5.7265625" style="8" customWidth="1"/>
    <col min="8979" max="8979" width="8.7265625" style="8"/>
    <col min="8980" max="8980" width="0" style="8" hidden="1" customWidth="1"/>
    <col min="8981" max="8981" width="8.7265625" style="8"/>
    <col min="8982" max="8982" width="0" style="8" hidden="1" customWidth="1"/>
    <col min="8983" max="8985" width="8.7265625" style="8"/>
    <col min="8986" max="8986" width="5.08984375" style="8" customWidth="1"/>
    <col min="8987" max="8987" width="0" style="8" hidden="1" customWidth="1"/>
    <col min="8988" max="8988" width="5.08984375" style="8" customWidth="1"/>
    <col min="8989" max="8989" width="0" style="8" hidden="1" customWidth="1"/>
    <col min="8990" max="8990" width="5.36328125" style="8" customWidth="1"/>
    <col min="8991" max="9216" width="8.7265625" style="8"/>
    <col min="9217" max="9217" width="10.08984375" style="8" customWidth="1"/>
    <col min="9218" max="9220" width="8.7265625" style="8"/>
    <col min="9221" max="9223" width="0" style="8" hidden="1" customWidth="1"/>
    <col min="9224" max="9226" width="8.7265625" style="8"/>
    <col min="9227" max="9229" width="0" style="8" hidden="1" customWidth="1"/>
    <col min="9230" max="9232" width="8.7265625" style="8"/>
    <col min="9233" max="9233" width="6.08984375" style="8" customWidth="1"/>
    <col min="9234" max="9234" width="5.7265625" style="8" customWidth="1"/>
    <col min="9235" max="9235" width="8.7265625" style="8"/>
    <col min="9236" max="9236" width="0" style="8" hidden="1" customWidth="1"/>
    <col min="9237" max="9237" width="8.7265625" style="8"/>
    <col min="9238" max="9238" width="0" style="8" hidden="1" customWidth="1"/>
    <col min="9239" max="9241" width="8.7265625" style="8"/>
    <col min="9242" max="9242" width="5.08984375" style="8" customWidth="1"/>
    <col min="9243" max="9243" width="0" style="8" hidden="1" customWidth="1"/>
    <col min="9244" max="9244" width="5.08984375" style="8" customWidth="1"/>
    <col min="9245" max="9245" width="0" style="8" hidden="1" customWidth="1"/>
    <col min="9246" max="9246" width="5.36328125" style="8" customWidth="1"/>
    <col min="9247" max="9472" width="8.7265625" style="8"/>
    <col min="9473" max="9473" width="10.08984375" style="8" customWidth="1"/>
    <col min="9474" max="9476" width="8.7265625" style="8"/>
    <col min="9477" max="9479" width="0" style="8" hidden="1" customWidth="1"/>
    <col min="9480" max="9482" width="8.7265625" style="8"/>
    <col min="9483" max="9485" width="0" style="8" hidden="1" customWidth="1"/>
    <col min="9486" max="9488" width="8.7265625" style="8"/>
    <col min="9489" max="9489" width="6.08984375" style="8" customWidth="1"/>
    <col min="9490" max="9490" width="5.7265625" style="8" customWidth="1"/>
    <col min="9491" max="9491" width="8.7265625" style="8"/>
    <col min="9492" max="9492" width="0" style="8" hidden="1" customWidth="1"/>
    <col min="9493" max="9493" width="8.7265625" style="8"/>
    <col min="9494" max="9494" width="0" style="8" hidden="1" customWidth="1"/>
    <col min="9495" max="9497" width="8.7265625" style="8"/>
    <col min="9498" max="9498" width="5.08984375" style="8" customWidth="1"/>
    <col min="9499" max="9499" width="0" style="8" hidden="1" customWidth="1"/>
    <col min="9500" max="9500" width="5.08984375" style="8" customWidth="1"/>
    <col min="9501" max="9501" width="0" style="8" hidden="1" customWidth="1"/>
    <col min="9502" max="9502" width="5.36328125" style="8" customWidth="1"/>
    <col min="9503" max="9728" width="8.7265625" style="8"/>
    <col min="9729" max="9729" width="10.08984375" style="8" customWidth="1"/>
    <col min="9730" max="9732" width="8.7265625" style="8"/>
    <col min="9733" max="9735" width="0" style="8" hidden="1" customWidth="1"/>
    <col min="9736" max="9738" width="8.7265625" style="8"/>
    <col min="9739" max="9741" width="0" style="8" hidden="1" customWidth="1"/>
    <col min="9742" max="9744" width="8.7265625" style="8"/>
    <col min="9745" max="9745" width="6.08984375" style="8" customWidth="1"/>
    <col min="9746" max="9746" width="5.7265625" style="8" customWidth="1"/>
    <col min="9747" max="9747" width="8.7265625" style="8"/>
    <col min="9748" max="9748" width="0" style="8" hidden="1" customWidth="1"/>
    <col min="9749" max="9749" width="8.7265625" style="8"/>
    <col min="9750" max="9750" width="0" style="8" hidden="1" customWidth="1"/>
    <col min="9751" max="9753" width="8.7265625" style="8"/>
    <col min="9754" max="9754" width="5.08984375" style="8" customWidth="1"/>
    <col min="9755" max="9755" width="0" style="8" hidden="1" customWidth="1"/>
    <col min="9756" max="9756" width="5.08984375" style="8" customWidth="1"/>
    <col min="9757" max="9757" width="0" style="8" hidden="1" customWidth="1"/>
    <col min="9758" max="9758" width="5.36328125" style="8" customWidth="1"/>
    <col min="9759" max="9984" width="8.7265625" style="8"/>
    <col min="9985" max="9985" width="10.08984375" style="8" customWidth="1"/>
    <col min="9986" max="9988" width="8.7265625" style="8"/>
    <col min="9989" max="9991" width="0" style="8" hidden="1" customWidth="1"/>
    <col min="9992" max="9994" width="8.7265625" style="8"/>
    <col min="9995" max="9997" width="0" style="8" hidden="1" customWidth="1"/>
    <col min="9998" max="10000" width="8.7265625" style="8"/>
    <col min="10001" max="10001" width="6.08984375" style="8" customWidth="1"/>
    <col min="10002" max="10002" width="5.7265625" style="8" customWidth="1"/>
    <col min="10003" max="10003" width="8.7265625" style="8"/>
    <col min="10004" max="10004" width="0" style="8" hidden="1" customWidth="1"/>
    <col min="10005" max="10005" width="8.7265625" style="8"/>
    <col min="10006" max="10006" width="0" style="8" hidden="1" customWidth="1"/>
    <col min="10007" max="10009" width="8.7265625" style="8"/>
    <col min="10010" max="10010" width="5.08984375" style="8" customWidth="1"/>
    <col min="10011" max="10011" width="0" style="8" hidden="1" customWidth="1"/>
    <col min="10012" max="10012" width="5.08984375" style="8" customWidth="1"/>
    <col min="10013" max="10013" width="0" style="8" hidden="1" customWidth="1"/>
    <col min="10014" max="10014" width="5.36328125" style="8" customWidth="1"/>
    <col min="10015" max="10240" width="8.7265625" style="8"/>
    <col min="10241" max="10241" width="10.08984375" style="8" customWidth="1"/>
    <col min="10242" max="10244" width="8.7265625" style="8"/>
    <col min="10245" max="10247" width="0" style="8" hidden="1" customWidth="1"/>
    <col min="10248" max="10250" width="8.7265625" style="8"/>
    <col min="10251" max="10253" width="0" style="8" hidden="1" customWidth="1"/>
    <col min="10254" max="10256" width="8.7265625" style="8"/>
    <col min="10257" max="10257" width="6.08984375" style="8" customWidth="1"/>
    <col min="10258" max="10258" width="5.7265625" style="8" customWidth="1"/>
    <col min="10259" max="10259" width="8.7265625" style="8"/>
    <col min="10260" max="10260" width="0" style="8" hidden="1" customWidth="1"/>
    <col min="10261" max="10261" width="8.7265625" style="8"/>
    <col min="10262" max="10262" width="0" style="8" hidden="1" customWidth="1"/>
    <col min="10263" max="10265" width="8.7265625" style="8"/>
    <col min="10266" max="10266" width="5.08984375" style="8" customWidth="1"/>
    <col min="10267" max="10267" width="0" style="8" hidden="1" customWidth="1"/>
    <col min="10268" max="10268" width="5.08984375" style="8" customWidth="1"/>
    <col min="10269" max="10269" width="0" style="8" hidden="1" customWidth="1"/>
    <col min="10270" max="10270" width="5.36328125" style="8" customWidth="1"/>
    <col min="10271" max="10496" width="8.7265625" style="8"/>
    <col min="10497" max="10497" width="10.08984375" style="8" customWidth="1"/>
    <col min="10498" max="10500" width="8.7265625" style="8"/>
    <col min="10501" max="10503" width="0" style="8" hidden="1" customWidth="1"/>
    <col min="10504" max="10506" width="8.7265625" style="8"/>
    <col min="10507" max="10509" width="0" style="8" hidden="1" customWidth="1"/>
    <col min="10510" max="10512" width="8.7265625" style="8"/>
    <col min="10513" max="10513" width="6.08984375" style="8" customWidth="1"/>
    <col min="10514" max="10514" width="5.7265625" style="8" customWidth="1"/>
    <col min="10515" max="10515" width="8.7265625" style="8"/>
    <col min="10516" max="10516" width="0" style="8" hidden="1" customWidth="1"/>
    <col min="10517" max="10517" width="8.7265625" style="8"/>
    <col min="10518" max="10518" width="0" style="8" hidden="1" customWidth="1"/>
    <col min="10519" max="10521" width="8.7265625" style="8"/>
    <col min="10522" max="10522" width="5.08984375" style="8" customWidth="1"/>
    <col min="10523" max="10523" width="0" style="8" hidden="1" customWidth="1"/>
    <col min="10524" max="10524" width="5.08984375" style="8" customWidth="1"/>
    <col min="10525" max="10525" width="0" style="8" hidden="1" customWidth="1"/>
    <col min="10526" max="10526" width="5.36328125" style="8" customWidth="1"/>
    <col min="10527" max="10752" width="8.7265625" style="8"/>
    <col min="10753" max="10753" width="10.08984375" style="8" customWidth="1"/>
    <col min="10754" max="10756" width="8.7265625" style="8"/>
    <col min="10757" max="10759" width="0" style="8" hidden="1" customWidth="1"/>
    <col min="10760" max="10762" width="8.7265625" style="8"/>
    <col min="10763" max="10765" width="0" style="8" hidden="1" customWidth="1"/>
    <col min="10766" max="10768" width="8.7265625" style="8"/>
    <col min="10769" max="10769" width="6.08984375" style="8" customWidth="1"/>
    <col min="10770" max="10770" width="5.7265625" style="8" customWidth="1"/>
    <col min="10771" max="10771" width="8.7265625" style="8"/>
    <col min="10772" max="10772" width="0" style="8" hidden="1" customWidth="1"/>
    <col min="10773" max="10773" width="8.7265625" style="8"/>
    <col min="10774" max="10774" width="0" style="8" hidden="1" customWidth="1"/>
    <col min="10775" max="10777" width="8.7265625" style="8"/>
    <col min="10778" max="10778" width="5.08984375" style="8" customWidth="1"/>
    <col min="10779" max="10779" width="0" style="8" hidden="1" customWidth="1"/>
    <col min="10780" max="10780" width="5.08984375" style="8" customWidth="1"/>
    <col min="10781" max="10781" width="0" style="8" hidden="1" customWidth="1"/>
    <col min="10782" max="10782" width="5.36328125" style="8" customWidth="1"/>
    <col min="10783" max="11008" width="8.7265625" style="8"/>
    <col min="11009" max="11009" width="10.08984375" style="8" customWidth="1"/>
    <col min="11010" max="11012" width="8.7265625" style="8"/>
    <col min="11013" max="11015" width="0" style="8" hidden="1" customWidth="1"/>
    <col min="11016" max="11018" width="8.7265625" style="8"/>
    <col min="11019" max="11021" width="0" style="8" hidden="1" customWidth="1"/>
    <col min="11022" max="11024" width="8.7265625" style="8"/>
    <col min="11025" max="11025" width="6.08984375" style="8" customWidth="1"/>
    <col min="11026" max="11026" width="5.7265625" style="8" customWidth="1"/>
    <col min="11027" max="11027" width="8.7265625" style="8"/>
    <col min="11028" max="11028" width="0" style="8" hidden="1" customWidth="1"/>
    <col min="11029" max="11029" width="8.7265625" style="8"/>
    <col min="11030" max="11030" width="0" style="8" hidden="1" customWidth="1"/>
    <col min="11031" max="11033" width="8.7265625" style="8"/>
    <col min="11034" max="11034" width="5.08984375" style="8" customWidth="1"/>
    <col min="11035" max="11035" width="0" style="8" hidden="1" customWidth="1"/>
    <col min="11036" max="11036" width="5.08984375" style="8" customWidth="1"/>
    <col min="11037" max="11037" width="0" style="8" hidden="1" customWidth="1"/>
    <col min="11038" max="11038" width="5.36328125" style="8" customWidth="1"/>
    <col min="11039" max="11264" width="8.7265625" style="8"/>
    <col min="11265" max="11265" width="10.08984375" style="8" customWidth="1"/>
    <col min="11266" max="11268" width="8.7265625" style="8"/>
    <col min="11269" max="11271" width="0" style="8" hidden="1" customWidth="1"/>
    <col min="11272" max="11274" width="8.7265625" style="8"/>
    <col min="11275" max="11277" width="0" style="8" hidden="1" customWidth="1"/>
    <col min="11278" max="11280" width="8.7265625" style="8"/>
    <col min="11281" max="11281" width="6.08984375" style="8" customWidth="1"/>
    <col min="11282" max="11282" width="5.7265625" style="8" customWidth="1"/>
    <col min="11283" max="11283" width="8.7265625" style="8"/>
    <col min="11284" max="11284" width="0" style="8" hidden="1" customWidth="1"/>
    <col min="11285" max="11285" width="8.7265625" style="8"/>
    <col min="11286" max="11286" width="0" style="8" hidden="1" customWidth="1"/>
    <col min="11287" max="11289" width="8.7265625" style="8"/>
    <col min="11290" max="11290" width="5.08984375" style="8" customWidth="1"/>
    <col min="11291" max="11291" width="0" style="8" hidden="1" customWidth="1"/>
    <col min="11292" max="11292" width="5.08984375" style="8" customWidth="1"/>
    <col min="11293" max="11293" width="0" style="8" hidden="1" customWidth="1"/>
    <col min="11294" max="11294" width="5.36328125" style="8" customWidth="1"/>
    <col min="11295" max="11520" width="8.7265625" style="8"/>
    <col min="11521" max="11521" width="10.08984375" style="8" customWidth="1"/>
    <col min="11522" max="11524" width="8.7265625" style="8"/>
    <col min="11525" max="11527" width="0" style="8" hidden="1" customWidth="1"/>
    <col min="11528" max="11530" width="8.7265625" style="8"/>
    <col min="11531" max="11533" width="0" style="8" hidden="1" customWidth="1"/>
    <col min="11534" max="11536" width="8.7265625" style="8"/>
    <col min="11537" max="11537" width="6.08984375" style="8" customWidth="1"/>
    <col min="11538" max="11538" width="5.7265625" style="8" customWidth="1"/>
    <col min="11539" max="11539" width="8.7265625" style="8"/>
    <col min="11540" max="11540" width="0" style="8" hidden="1" customWidth="1"/>
    <col min="11541" max="11541" width="8.7265625" style="8"/>
    <col min="11542" max="11542" width="0" style="8" hidden="1" customWidth="1"/>
    <col min="11543" max="11545" width="8.7265625" style="8"/>
    <col min="11546" max="11546" width="5.08984375" style="8" customWidth="1"/>
    <col min="11547" max="11547" width="0" style="8" hidden="1" customWidth="1"/>
    <col min="11548" max="11548" width="5.08984375" style="8" customWidth="1"/>
    <col min="11549" max="11549" width="0" style="8" hidden="1" customWidth="1"/>
    <col min="11550" max="11550" width="5.36328125" style="8" customWidth="1"/>
    <col min="11551" max="11776" width="8.7265625" style="8"/>
    <col min="11777" max="11777" width="10.08984375" style="8" customWidth="1"/>
    <col min="11778" max="11780" width="8.7265625" style="8"/>
    <col min="11781" max="11783" width="0" style="8" hidden="1" customWidth="1"/>
    <col min="11784" max="11786" width="8.7265625" style="8"/>
    <col min="11787" max="11789" width="0" style="8" hidden="1" customWidth="1"/>
    <col min="11790" max="11792" width="8.7265625" style="8"/>
    <col min="11793" max="11793" width="6.08984375" style="8" customWidth="1"/>
    <col min="11794" max="11794" width="5.7265625" style="8" customWidth="1"/>
    <col min="11795" max="11795" width="8.7265625" style="8"/>
    <col min="11796" max="11796" width="0" style="8" hidden="1" customWidth="1"/>
    <col min="11797" max="11797" width="8.7265625" style="8"/>
    <col min="11798" max="11798" width="0" style="8" hidden="1" customWidth="1"/>
    <col min="11799" max="11801" width="8.7265625" style="8"/>
    <col min="11802" max="11802" width="5.08984375" style="8" customWidth="1"/>
    <col min="11803" max="11803" width="0" style="8" hidden="1" customWidth="1"/>
    <col min="11804" max="11804" width="5.08984375" style="8" customWidth="1"/>
    <col min="11805" max="11805" width="0" style="8" hidden="1" customWidth="1"/>
    <col min="11806" max="11806" width="5.36328125" style="8" customWidth="1"/>
    <col min="11807" max="12032" width="8.7265625" style="8"/>
    <col min="12033" max="12033" width="10.08984375" style="8" customWidth="1"/>
    <col min="12034" max="12036" width="8.7265625" style="8"/>
    <col min="12037" max="12039" width="0" style="8" hidden="1" customWidth="1"/>
    <col min="12040" max="12042" width="8.7265625" style="8"/>
    <col min="12043" max="12045" width="0" style="8" hidden="1" customWidth="1"/>
    <col min="12046" max="12048" width="8.7265625" style="8"/>
    <col min="12049" max="12049" width="6.08984375" style="8" customWidth="1"/>
    <col min="12050" max="12050" width="5.7265625" style="8" customWidth="1"/>
    <col min="12051" max="12051" width="8.7265625" style="8"/>
    <col min="12052" max="12052" width="0" style="8" hidden="1" customWidth="1"/>
    <col min="12053" max="12053" width="8.7265625" style="8"/>
    <col min="12054" max="12054" width="0" style="8" hidden="1" customWidth="1"/>
    <col min="12055" max="12057" width="8.7265625" style="8"/>
    <col min="12058" max="12058" width="5.08984375" style="8" customWidth="1"/>
    <col min="12059" max="12059" width="0" style="8" hidden="1" customWidth="1"/>
    <col min="12060" max="12060" width="5.08984375" style="8" customWidth="1"/>
    <col min="12061" max="12061" width="0" style="8" hidden="1" customWidth="1"/>
    <col min="12062" max="12062" width="5.36328125" style="8" customWidth="1"/>
    <col min="12063" max="12288" width="8.7265625" style="8"/>
    <col min="12289" max="12289" width="10.08984375" style="8" customWidth="1"/>
    <col min="12290" max="12292" width="8.7265625" style="8"/>
    <col min="12293" max="12295" width="0" style="8" hidden="1" customWidth="1"/>
    <col min="12296" max="12298" width="8.7265625" style="8"/>
    <col min="12299" max="12301" width="0" style="8" hidden="1" customWidth="1"/>
    <col min="12302" max="12304" width="8.7265625" style="8"/>
    <col min="12305" max="12305" width="6.08984375" style="8" customWidth="1"/>
    <col min="12306" max="12306" width="5.7265625" style="8" customWidth="1"/>
    <col min="12307" max="12307" width="8.7265625" style="8"/>
    <col min="12308" max="12308" width="0" style="8" hidden="1" customWidth="1"/>
    <col min="12309" max="12309" width="8.7265625" style="8"/>
    <col min="12310" max="12310" width="0" style="8" hidden="1" customWidth="1"/>
    <col min="12311" max="12313" width="8.7265625" style="8"/>
    <col min="12314" max="12314" width="5.08984375" style="8" customWidth="1"/>
    <col min="12315" max="12315" width="0" style="8" hidden="1" customWidth="1"/>
    <col min="12316" max="12316" width="5.08984375" style="8" customWidth="1"/>
    <col min="12317" max="12317" width="0" style="8" hidden="1" customWidth="1"/>
    <col min="12318" max="12318" width="5.36328125" style="8" customWidth="1"/>
    <col min="12319" max="12544" width="8.7265625" style="8"/>
    <col min="12545" max="12545" width="10.08984375" style="8" customWidth="1"/>
    <col min="12546" max="12548" width="8.7265625" style="8"/>
    <col min="12549" max="12551" width="0" style="8" hidden="1" customWidth="1"/>
    <col min="12552" max="12554" width="8.7265625" style="8"/>
    <col min="12555" max="12557" width="0" style="8" hidden="1" customWidth="1"/>
    <col min="12558" max="12560" width="8.7265625" style="8"/>
    <col min="12561" max="12561" width="6.08984375" style="8" customWidth="1"/>
    <col min="12562" max="12562" width="5.7265625" style="8" customWidth="1"/>
    <col min="12563" max="12563" width="8.7265625" style="8"/>
    <col min="12564" max="12564" width="0" style="8" hidden="1" customWidth="1"/>
    <col min="12565" max="12565" width="8.7265625" style="8"/>
    <col min="12566" max="12566" width="0" style="8" hidden="1" customWidth="1"/>
    <col min="12567" max="12569" width="8.7265625" style="8"/>
    <col min="12570" max="12570" width="5.08984375" style="8" customWidth="1"/>
    <col min="12571" max="12571" width="0" style="8" hidden="1" customWidth="1"/>
    <col min="12572" max="12572" width="5.08984375" style="8" customWidth="1"/>
    <col min="12573" max="12573" width="0" style="8" hidden="1" customWidth="1"/>
    <col min="12574" max="12574" width="5.36328125" style="8" customWidth="1"/>
    <col min="12575" max="12800" width="8.7265625" style="8"/>
    <col min="12801" max="12801" width="10.08984375" style="8" customWidth="1"/>
    <col min="12802" max="12804" width="8.7265625" style="8"/>
    <col min="12805" max="12807" width="0" style="8" hidden="1" customWidth="1"/>
    <col min="12808" max="12810" width="8.7265625" style="8"/>
    <col min="12811" max="12813" width="0" style="8" hidden="1" customWidth="1"/>
    <col min="12814" max="12816" width="8.7265625" style="8"/>
    <col min="12817" max="12817" width="6.08984375" style="8" customWidth="1"/>
    <col min="12818" max="12818" width="5.7265625" style="8" customWidth="1"/>
    <col min="12819" max="12819" width="8.7265625" style="8"/>
    <col min="12820" max="12820" width="0" style="8" hidden="1" customWidth="1"/>
    <col min="12821" max="12821" width="8.7265625" style="8"/>
    <col min="12822" max="12822" width="0" style="8" hidden="1" customWidth="1"/>
    <col min="12823" max="12825" width="8.7265625" style="8"/>
    <col min="12826" max="12826" width="5.08984375" style="8" customWidth="1"/>
    <col min="12827" max="12827" width="0" style="8" hidden="1" customWidth="1"/>
    <col min="12828" max="12828" width="5.08984375" style="8" customWidth="1"/>
    <col min="12829" max="12829" width="0" style="8" hidden="1" customWidth="1"/>
    <col min="12830" max="12830" width="5.36328125" style="8" customWidth="1"/>
    <col min="12831" max="13056" width="8.7265625" style="8"/>
    <col min="13057" max="13057" width="10.08984375" style="8" customWidth="1"/>
    <col min="13058" max="13060" width="8.7265625" style="8"/>
    <col min="13061" max="13063" width="0" style="8" hidden="1" customWidth="1"/>
    <col min="13064" max="13066" width="8.7265625" style="8"/>
    <col min="13067" max="13069" width="0" style="8" hidden="1" customWidth="1"/>
    <col min="13070" max="13072" width="8.7265625" style="8"/>
    <col min="13073" max="13073" width="6.08984375" style="8" customWidth="1"/>
    <col min="13074" max="13074" width="5.7265625" style="8" customWidth="1"/>
    <col min="13075" max="13075" width="8.7265625" style="8"/>
    <col min="13076" max="13076" width="0" style="8" hidden="1" customWidth="1"/>
    <col min="13077" max="13077" width="8.7265625" style="8"/>
    <col min="13078" max="13078" width="0" style="8" hidden="1" customWidth="1"/>
    <col min="13079" max="13081" width="8.7265625" style="8"/>
    <col min="13082" max="13082" width="5.08984375" style="8" customWidth="1"/>
    <col min="13083" max="13083" width="0" style="8" hidden="1" customWidth="1"/>
    <col min="13084" max="13084" width="5.08984375" style="8" customWidth="1"/>
    <col min="13085" max="13085" width="0" style="8" hidden="1" customWidth="1"/>
    <col min="13086" max="13086" width="5.36328125" style="8" customWidth="1"/>
    <col min="13087" max="13312" width="8.7265625" style="8"/>
    <col min="13313" max="13313" width="10.08984375" style="8" customWidth="1"/>
    <col min="13314" max="13316" width="8.7265625" style="8"/>
    <col min="13317" max="13319" width="0" style="8" hidden="1" customWidth="1"/>
    <col min="13320" max="13322" width="8.7265625" style="8"/>
    <col min="13323" max="13325" width="0" style="8" hidden="1" customWidth="1"/>
    <col min="13326" max="13328" width="8.7265625" style="8"/>
    <col min="13329" max="13329" width="6.08984375" style="8" customWidth="1"/>
    <col min="13330" max="13330" width="5.7265625" style="8" customWidth="1"/>
    <col min="13331" max="13331" width="8.7265625" style="8"/>
    <col min="13332" max="13332" width="0" style="8" hidden="1" customWidth="1"/>
    <col min="13333" max="13333" width="8.7265625" style="8"/>
    <col min="13334" max="13334" width="0" style="8" hidden="1" customWidth="1"/>
    <col min="13335" max="13337" width="8.7265625" style="8"/>
    <col min="13338" max="13338" width="5.08984375" style="8" customWidth="1"/>
    <col min="13339" max="13339" width="0" style="8" hidden="1" customWidth="1"/>
    <col min="13340" max="13340" width="5.08984375" style="8" customWidth="1"/>
    <col min="13341" max="13341" width="0" style="8" hidden="1" customWidth="1"/>
    <col min="13342" max="13342" width="5.36328125" style="8" customWidth="1"/>
    <col min="13343" max="13568" width="8.7265625" style="8"/>
    <col min="13569" max="13569" width="10.08984375" style="8" customWidth="1"/>
    <col min="13570" max="13572" width="8.7265625" style="8"/>
    <col min="13573" max="13575" width="0" style="8" hidden="1" customWidth="1"/>
    <col min="13576" max="13578" width="8.7265625" style="8"/>
    <col min="13579" max="13581" width="0" style="8" hidden="1" customWidth="1"/>
    <col min="13582" max="13584" width="8.7265625" style="8"/>
    <col min="13585" max="13585" width="6.08984375" style="8" customWidth="1"/>
    <col min="13586" max="13586" width="5.7265625" style="8" customWidth="1"/>
    <col min="13587" max="13587" width="8.7265625" style="8"/>
    <col min="13588" max="13588" width="0" style="8" hidden="1" customWidth="1"/>
    <col min="13589" max="13589" width="8.7265625" style="8"/>
    <col min="13590" max="13590" width="0" style="8" hidden="1" customWidth="1"/>
    <col min="13591" max="13593" width="8.7265625" style="8"/>
    <col min="13594" max="13594" width="5.08984375" style="8" customWidth="1"/>
    <col min="13595" max="13595" width="0" style="8" hidden="1" customWidth="1"/>
    <col min="13596" max="13596" width="5.08984375" style="8" customWidth="1"/>
    <col min="13597" max="13597" width="0" style="8" hidden="1" customWidth="1"/>
    <col min="13598" max="13598" width="5.36328125" style="8" customWidth="1"/>
    <col min="13599" max="13824" width="8.7265625" style="8"/>
    <col min="13825" max="13825" width="10.08984375" style="8" customWidth="1"/>
    <col min="13826" max="13828" width="8.7265625" style="8"/>
    <col min="13829" max="13831" width="0" style="8" hidden="1" customWidth="1"/>
    <col min="13832" max="13834" width="8.7265625" style="8"/>
    <col min="13835" max="13837" width="0" style="8" hidden="1" customWidth="1"/>
    <col min="13838" max="13840" width="8.7265625" style="8"/>
    <col min="13841" max="13841" width="6.08984375" style="8" customWidth="1"/>
    <col min="13842" max="13842" width="5.7265625" style="8" customWidth="1"/>
    <col min="13843" max="13843" width="8.7265625" style="8"/>
    <col min="13844" max="13844" width="0" style="8" hidden="1" customWidth="1"/>
    <col min="13845" max="13845" width="8.7265625" style="8"/>
    <col min="13846" max="13846" width="0" style="8" hidden="1" customWidth="1"/>
    <col min="13847" max="13849" width="8.7265625" style="8"/>
    <col min="13850" max="13850" width="5.08984375" style="8" customWidth="1"/>
    <col min="13851" max="13851" width="0" style="8" hidden="1" customWidth="1"/>
    <col min="13852" max="13852" width="5.08984375" style="8" customWidth="1"/>
    <col min="13853" max="13853" width="0" style="8" hidden="1" customWidth="1"/>
    <col min="13854" max="13854" width="5.36328125" style="8" customWidth="1"/>
    <col min="13855" max="14080" width="8.7265625" style="8"/>
    <col min="14081" max="14081" width="10.08984375" style="8" customWidth="1"/>
    <col min="14082" max="14084" width="8.7265625" style="8"/>
    <col min="14085" max="14087" width="0" style="8" hidden="1" customWidth="1"/>
    <col min="14088" max="14090" width="8.7265625" style="8"/>
    <col min="14091" max="14093" width="0" style="8" hidden="1" customWidth="1"/>
    <col min="14094" max="14096" width="8.7265625" style="8"/>
    <col min="14097" max="14097" width="6.08984375" style="8" customWidth="1"/>
    <col min="14098" max="14098" width="5.7265625" style="8" customWidth="1"/>
    <col min="14099" max="14099" width="8.7265625" style="8"/>
    <col min="14100" max="14100" width="0" style="8" hidden="1" customWidth="1"/>
    <col min="14101" max="14101" width="8.7265625" style="8"/>
    <col min="14102" max="14102" width="0" style="8" hidden="1" customWidth="1"/>
    <col min="14103" max="14105" width="8.7265625" style="8"/>
    <col min="14106" max="14106" width="5.08984375" style="8" customWidth="1"/>
    <col min="14107" max="14107" width="0" style="8" hidden="1" customWidth="1"/>
    <col min="14108" max="14108" width="5.08984375" style="8" customWidth="1"/>
    <col min="14109" max="14109" width="0" style="8" hidden="1" customWidth="1"/>
    <col min="14110" max="14110" width="5.36328125" style="8" customWidth="1"/>
    <col min="14111" max="14336" width="8.7265625" style="8"/>
    <col min="14337" max="14337" width="10.08984375" style="8" customWidth="1"/>
    <col min="14338" max="14340" width="8.7265625" style="8"/>
    <col min="14341" max="14343" width="0" style="8" hidden="1" customWidth="1"/>
    <col min="14344" max="14346" width="8.7265625" style="8"/>
    <col min="14347" max="14349" width="0" style="8" hidden="1" customWidth="1"/>
    <col min="14350" max="14352" width="8.7265625" style="8"/>
    <col min="14353" max="14353" width="6.08984375" style="8" customWidth="1"/>
    <col min="14354" max="14354" width="5.7265625" style="8" customWidth="1"/>
    <col min="14355" max="14355" width="8.7265625" style="8"/>
    <col min="14356" max="14356" width="0" style="8" hidden="1" customWidth="1"/>
    <col min="14357" max="14357" width="8.7265625" style="8"/>
    <col min="14358" max="14358" width="0" style="8" hidden="1" customWidth="1"/>
    <col min="14359" max="14361" width="8.7265625" style="8"/>
    <col min="14362" max="14362" width="5.08984375" style="8" customWidth="1"/>
    <col min="14363" max="14363" width="0" style="8" hidden="1" customWidth="1"/>
    <col min="14364" max="14364" width="5.08984375" style="8" customWidth="1"/>
    <col min="14365" max="14365" width="0" style="8" hidden="1" customWidth="1"/>
    <col min="14366" max="14366" width="5.36328125" style="8" customWidth="1"/>
    <col min="14367" max="14592" width="8.7265625" style="8"/>
    <col min="14593" max="14593" width="10.08984375" style="8" customWidth="1"/>
    <col min="14594" max="14596" width="8.7265625" style="8"/>
    <col min="14597" max="14599" width="0" style="8" hidden="1" customWidth="1"/>
    <col min="14600" max="14602" width="8.7265625" style="8"/>
    <col min="14603" max="14605" width="0" style="8" hidden="1" customWidth="1"/>
    <col min="14606" max="14608" width="8.7265625" style="8"/>
    <col min="14609" max="14609" width="6.08984375" style="8" customWidth="1"/>
    <col min="14610" max="14610" width="5.7265625" style="8" customWidth="1"/>
    <col min="14611" max="14611" width="8.7265625" style="8"/>
    <col min="14612" max="14612" width="0" style="8" hidden="1" customWidth="1"/>
    <col min="14613" max="14613" width="8.7265625" style="8"/>
    <col min="14614" max="14614" width="0" style="8" hidden="1" customWidth="1"/>
    <col min="14615" max="14617" width="8.7265625" style="8"/>
    <col min="14618" max="14618" width="5.08984375" style="8" customWidth="1"/>
    <col min="14619" max="14619" width="0" style="8" hidden="1" customWidth="1"/>
    <col min="14620" max="14620" width="5.08984375" style="8" customWidth="1"/>
    <col min="14621" max="14621" width="0" style="8" hidden="1" customWidth="1"/>
    <col min="14622" max="14622" width="5.36328125" style="8" customWidth="1"/>
    <col min="14623" max="14848" width="8.7265625" style="8"/>
    <col min="14849" max="14849" width="10.08984375" style="8" customWidth="1"/>
    <col min="14850" max="14852" width="8.7265625" style="8"/>
    <col min="14853" max="14855" width="0" style="8" hidden="1" customWidth="1"/>
    <col min="14856" max="14858" width="8.7265625" style="8"/>
    <col min="14859" max="14861" width="0" style="8" hidden="1" customWidth="1"/>
    <col min="14862" max="14864" width="8.7265625" style="8"/>
    <col min="14865" max="14865" width="6.08984375" style="8" customWidth="1"/>
    <col min="14866" max="14866" width="5.7265625" style="8" customWidth="1"/>
    <col min="14867" max="14867" width="8.7265625" style="8"/>
    <col min="14868" max="14868" width="0" style="8" hidden="1" customWidth="1"/>
    <col min="14869" max="14869" width="8.7265625" style="8"/>
    <col min="14870" max="14870" width="0" style="8" hidden="1" customWidth="1"/>
    <col min="14871" max="14873" width="8.7265625" style="8"/>
    <col min="14874" max="14874" width="5.08984375" style="8" customWidth="1"/>
    <col min="14875" max="14875" width="0" style="8" hidden="1" customWidth="1"/>
    <col min="14876" max="14876" width="5.08984375" style="8" customWidth="1"/>
    <col min="14877" max="14877" width="0" style="8" hidden="1" customWidth="1"/>
    <col min="14878" max="14878" width="5.36328125" style="8" customWidth="1"/>
    <col min="14879" max="15104" width="8.7265625" style="8"/>
    <col min="15105" max="15105" width="10.08984375" style="8" customWidth="1"/>
    <col min="15106" max="15108" width="8.7265625" style="8"/>
    <col min="15109" max="15111" width="0" style="8" hidden="1" customWidth="1"/>
    <col min="15112" max="15114" width="8.7265625" style="8"/>
    <col min="15115" max="15117" width="0" style="8" hidden="1" customWidth="1"/>
    <col min="15118" max="15120" width="8.7265625" style="8"/>
    <col min="15121" max="15121" width="6.08984375" style="8" customWidth="1"/>
    <col min="15122" max="15122" width="5.7265625" style="8" customWidth="1"/>
    <col min="15123" max="15123" width="8.7265625" style="8"/>
    <col min="15124" max="15124" width="0" style="8" hidden="1" customWidth="1"/>
    <col min="15125" max="15125" width="8.7265625" style="8"/>
    <col min="15126" max="15126" width="0" style="8" hidden="1" customWidth="1"/>
    <col min="15127" max="15129" width="8.7265625" style="8"/>
    <col min="15130" max="15130" width="5.08984375" style="8" customWidth="1"/>
    <col min="15131" max="15131" width="0" style="8" hidden="1" customWidth="1"/>
    <col min="15132" max="15132" width="5.08984375" style="8" customWidth="1"/>
    <col min="15133" max="15133" width="0" style="8" hidden="1" customWidth="1"/>
    <col min="15134" max="15134" width="5.36328125" style="8" customWidth="1"/>
    <col min="15135" max="15360" width="8.7265625" style="8"/>
    <col min="15361" max="15361" width="10.08984375" style="8" customWidth="1"/>
    <col min="15362" max="15364" width="8.7265625" style="8"/>
    <col min="15365" max="15367" width="0" style="8" hidden="1" customWidth="1"/>
    <col min="15368" max="15370" width="8.7265625" style="8"/>
    <col min="15371" max="15373" width="0" style="8" hidden="1" customWidth="1"/>
    <col min="15374" max="15376" width="8.7265625" style="8"/>
    <col min="15377" max="15377" width="6.08984375" style="8" customWidth="1"/>
    <col min="15378" max="15378" width="5.7265625" style="8" customWidth="1"/>
    <col min="15379" max="15379" width="8.7265625" style="8"/>
    <col min="15380" max="15380" width="0" style="8" hidden="1" customWidth="1"/>
    <col min="15381" max="15381" width="8.7265625" style="8"/>
    <col min="15382" max="15382" width="0" style="8" hidden="1" customWidth="1"/>
    <col min="15383" max="15385" width="8.7265625" style="8"/>
    <col min="15386" max="15386" width="5.08984375" style="8" customWidth="1"/>
    <col min="15387" max="15387" width="0" style="8" hidden="1" customWidth="1"/>
    <col min="15388" max="15388" width="5.08984375" style="8" customWidth="1"/>
    <col min="15389" max="15389" width="0" style="8" hidden="1" customWidth="1"/>
    <col min="15390" max="15390" width="5.36328125" style="8" customWidth="1"/>
    <col min="15391" max="15616" width="8.7265625" style="8"/>
    <col min="15617" max="15617" width="10.08984375" style="8" customWidth="1"/>
    <col min="15618" max="15620" width="8.7265625" style="8"/>
    <col min="15621" max="15623" width="0" style="8" hidden="1" customWidth="1"/>
    <col min="15624" max="15626" width="8.7265625" style="8"/>
    <col min="15627" max="15629" width="0" style="8" hidden="1" customWidth="1"/>
    <col min="15630" max="15632" width="8.7265625" style="8"/>
    <col min="15633" max="15633" width="6.08984375" style="8" customWidth="1"/>
    <col min="15634" max="15634" width="5.7265625" style="8" customWidth="1"/>
    <col min="15635" max="15635" width="8.7265625" style="8"/>
    <col min="15636" max="15636" width="0" style="8" hidden="1" customWidth="1"/>
    <col min="15637" max="15637" width="8.7265625" style="8"/>
    <col min="15638" max="15638" width="0" style="8" hidden="1" customWidth="1"/>
    <col min="15639" max="15641" width="8.7265625" style="8"/>
    <col min="15642" max="15642" width="5.08984375" style="8" customWidth="1"/>
    <col min="15643" max="15643" width="0" style="8" hidden="1" customWidth="1"/>
    <col min="15644" max="15644" width="5.08984375" style="8" customWidth="1"/>
    <col min="15645" max="15645" width="0" style="8" hidden="1" customWidth="1"/>
    <col min="15646" max="15646" width="5.36328125" style="8" customWidth="1"/>
    <col min="15647" max="15872" width="8.7265625" style="8"/>
    <col min="15873" max="15873" width="10.08984375" style="8" customWidth="1"/>
    <col min="15874" max="15876" width="8.7265625" style="8"/>
    <col min="15877" max="15879" width="0" style="8" hidden="1" customWidth="1"/>
    <col min="15880" max="15882" width="8.7265625" style="8"/>
    <col min="15883" max="15885" width="0" style="8" hidden="1" customWidth="1"/>
    <col min="15886" max="15888" width="8.7265625" style="8"/>
    <col min="15889" max="15889" width="6.08984375" style="8" customWidth="1"/>
    <col min="15890" max="15890" width="5.7265625" style="8" customWidth="1"/>
    <col min="15891" max="15891" width="8.7265625" style="8"/>
    <col min="15892" max="15892" width="0" style="8" hidden="1" customWidth="1"/>
    <col min="15893" max="15893" width="8.7265625" style="8"/>
    <col min="15894" max="15894" width="0" style="8" hidden="1" customWidth="1"/>
    <col min="15895" max="15897" width="8.7265625" style="8"/>
    <col min="15898" max="15898" width="5.08984375" style="8" customWidth="1"/>
    <col min="15899" max="15899" width="0" style="8" hidden="1" customWidth="1"/>
    <col min="15900" max="15900" width="5.08984375" style="8" customWidth="1"/>
    <col min="15901" max="15901" width="0" style="8" hidden="1" customWidth="1"/>
    <col min="15902" max="15902" width="5.36328125" style="8" customWidth="1"/>
    <col min="15903" max="16128" width="8.7265625" style="8"/>
    <col min="16129" max="16129" width="10.08984375" style="8" customWidth="1"/>
    <col min="16130" max="16132" width="8.7265625" style="8"/>
    <col min="16133" max="16135" width="0" style="8" hidden="1" customWidth="1"/>
    <col min="16136" max="16138" width="8.7265625" style="8"/>
    <col min="16139" max="16141" width="0" style="8" hidden="1" customWidth="1"/>
    <col min="16142" max="16144" width="8.7265625" style="8"/>
    <col min="16145" max="16145" width="6.08984375" style="8" customWidth="1"/>
    <col min="16146" max="16146" width="5.7265625" style="8" customWidth="1"/>
    <col min="16147" max="16147" width="8.7265625" style="8"/>
    <col min="16148" max="16148" width="0" style="8" hidden="1" customWidth="1"/>
    <col min="16149" max="16149" width="8.7265625" style="8"/>
    <col min="16150" max="16150" width="0" style="8" hidden="1" customWidth="1"/>
    <col min="16151" max="16153" width="8.7265625" style="8"/>
    <col min="16154" max="16154" width="5.08984375" style="8" customWidth="1"/>
    <col min="16155" max="16155" width="0" style="8" hidden="1" customWidth="1"/>
    <col min="16156" max="16156" width="5.08984375" style="8" customWidth="1"/>
    <col min="16157" max="16157" width="0" style="8" hidden="1" customWidth="1"/>
    <col min="16158" max="16158" width="5.36328125" style="8" customWidth="1"/>
    <col min="16159" max="16384" width="8.7265625" style="8"/>
  </cols>
  <sheetData>
    <row r="1" spans="1:37" s="297" customFormat="1" ht="16.100000000000001" x14ac:dyDescent="0.25">
      <c r="A1" s="449" t="s">
        <v>208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  <c r="X1" s="449"/>
      <c r="Y1" s="449"/>
      <c r="Z1" s="449"/>
      <c r="AA1" s="449"/>
      <c r="AB1" s="449"/>
      <c r="AC1" s="449"/>
      <c r="AD1" s="449"/>
      <c r="AE1" s="449"/>
      <c r="AF1" s="449"/>
      <c r="AG1" s="449"/>
      <c r="AH1" s="449"/>
      <c r="AI1" s="449"/>
      <c r="AJ1" s="449"/>
      <c r="AK1" s="450" t="s">
        <v>25</v>
      </c>
    </row>
    <row r="2" spans="1:37" s="297" customFormat="1" ht="14.4" x14ac:dyDescent="0.25">
      <c r="A2" s="451" t="s">
        <v>26</v>
      </c>
      <c r="B2" s="298"/>
      <c r="C2" s="298"/>
      <c r="D2" s="454" t="s">
        <v>133</v>
      </c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 t="s">
        <v>134</v>
      </c>
      <c r="T2" s="454"/>
      <c r="U2" s="454"/>
      <c r="V2" s="454"/>
      <c r="W2" s="454"/>
      <c r="X2" s="454"/>
      <c r="Y2" s="454"/>
      <c r="Z2" s="459" t="s">
        <v>32</v>
      </c>
      <c r="AA2" s="459"/>
      <c r="AB2" s="459"/>
      <c r="AC2" s="459"/>
      <c r="AD2" s="459"/>
      <c r="AE2" s="455" t="s">
        <v>135</v>
      </c>
      <c r="AF2" s="455"/>
      <c r="AG2" s="455"/>
      <c r="AH2" s="455"/>
      <c r="AI2" s="455"/>
      <c r="AJ2" s="455" t="s">
        <v>154</v>
      </c>
      <c r="AK2" s="450"/>
    </row>
    <row r="3" spans="1:37" s="297" customFormat="1" ht="43.2" x14ac:dyDescent="0.25">
      <c r="A3" s="452"/>
      <c r="B3" s="456" t="s">
        <v>156</v>
      </c>
      <c r="C3" s="457"/>
      <c r="D3" s="458"/>
      <c r="E3" s="456" t="s">
        <v>157</v>
      </c>
      <c r="F3" s="457"/>
      <c r="G3" s="458"/>
      <c r="H3" s="456" t="s">
        <v>158</v>
      </c>
      <c r="I3" s="457"/>
      <c r="J3" s="458"/>
      <c r="K3" s="456" t="s">
        <v>159</v>
      </c>
      <c r="L3" s="457"/>
      <c r="M3" s="458"/>
      <c r="N3" s="456" t="s">
        <v>31</v>
      </c>
      <c r="O3" s="457"/>
      <c r="P3" s="458"/>
      <c r="Q3" s="299" t="s">
        <v>139</v>
      </c>
      <c r="R3" s="299" t="s">
        <v>140</v>
      </c>
      <c r="S3" s="316" t="s">
        <v>156</v>
      </c>
      <c r="T3" s="316" t="s">
        <v>157</v>
      </c>
      <c r="U3" s="316" t="s">
        <v>158</v>
      </c>
      <c r="V3" s="316" t="s">
        <v>159</v>
      </c>
      <c r="W3" s="316" t="s">
        <v>31</v>
      </c>
      <c r="X3" s="299" t="s">
        <v>142</v>
      </c>
      <c r="Y3" s="299" t="s">
        <v>165</v>
      </c>
      <c r="Z3" s="317" t="s">
        <v>36</v>
      </c>
      <c r="AA3" s="317"/>
      <c r="AB3" s="317" t="s">
        <v>37</v>
      </c>
      <c r="AC3" s="317"/>
      <c r="AD3" s="317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5"/>
      <c r="AK3" s="450"/>
    </row>
    <row r="4" spans="1:37" s="297" customFormat="1" ht="14.4" x14ac:dyDescent="0.25">
      <c r="A4" s="453"/>
      <c r="B4" s="298" t="s">
        <v>147</v>
      </c>
      <c r="C4" s="298" t="s">
        <v>148</v>
      </c>
      <c r="D4" s="298" t="s">
        <v>149</v>
      </c>
      <c r="E4" s="298" t="s">
        <v>147</v>
      </c>
      <c r="F4" s="298" t="s">
        <v>148</v>
      </c>
      <c r="G4" s="298" t="s">
        <v>149</v>
      </c>
      <c r="H4" s="298" t="s">
        <v>147</v>
      </c>
      <c r="I4" s="298" t="s">
        <v>148</v>
      </c>
      <c r="J4" s="298" t="s">
        <v>149</v>
      </c>
      <c r="K4" s="298" t="s">
        <v>147</v>
      </c>
      <c r="L4" s="298" t="s">
        <v>148</v>
      </c>
      <c r="M4" s="298" t="s">
        <v>149</v>
      </c>
      <c r="N4" s="298" t="s">
        <v>147</v>
      </c>
      <c r="O4" s="298" t="s">
        <v>148</v>
      </c>
      <c r="P4" s="298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 t="s">
        <v>193</v>
      </c>
      <c r="AA4" s="300"/>
      <c r="AB4" s="300" t="s">
        <v>193</v>
      </c>
      <c r="AC4" s="300"/>
      <c r="AD4" s="300" t="s">
        <v>193</v>
      </c>
      <c r="AE4" s="300"/>
      <c r="AF4" s="300"/>
      <c r="AG4" s="300"/>
      <c r="AH4" s="300"/>
      <c r="AI4" s="300"/>
      <c r="AJ4" s="301"/>
      <c r="AK4" s="302"/>
    </row>
    <row r="5" spans="1:37" s="321" customFormat="1" ht="14.4" x14ac:dyDescent="0.25">
      <c r="A5" s="318">
        <v>41375</v>
      </c>
      <c r="B5" s="148">
        <v>496.78</v>
      </c>
      <c r="C5" s="148">
        <v>513.29999999999995</v>
      </c>
      <c r="D5" s="148">
        <v>503.6</v>
      </c>
      <c r="E5" s="148"/>
      <c r="F5" s="148"/>
      <c r="G5" s="148"/>
      <c r="H5" s="148">
        <v>506.13</v>
      </c>
      <c r="I5" s="148">
        <v>518.41</v>
      </c>
      <c r="J5" s="148">
        <v>510.92</v>
      </c>
      <c r="K5" s="148"/>
      <c r="L5" s="148"/>
      <c r="M5" s="148"/>
      <c r="N5" s="148">
        <v>502.49</v>
      </c>
      <c r="O5" s="148">
        <v>520.24</v>
      </c>
      <c r="P5" s="148">
        <v>511.01</v>
      </c>
      <c r="Q5" s="156"/>
      <c r="R5" s="156"/>
      <c r="S5" s="156">
        <v>1.6E-2</v>
      </c>
      <c r="T5" s="156"/>
      <c r="U5" s="156">
        <v>1.2E-2</v>
      </c>
      <c r="V5" s="156"/>
      <c r="W5" s="156">
        <v>1.7000000000000001E-2</v>
      </c>
      <c r="X5" s="156"/>
      <c r="Y5" s="156"/>
      <c r="Z5" s="159">
        <v>-1</v>
      </c>
      <c r="AA5" s="159"/>
      <c r="AB5" s="159">
        <v>-2</v>
      </c>
      <c r="AC5" s="159"/>
      <c r="AD5" s="159">
        <v>0</v>
      </c>
      <c r="AE5" s="159"/>
      <c r="AF5" s="159"/>
      <c r="AG5" s="159"/>
      <c r="AH5" s="159"/>
      <c r="AI5" s="159"/>
      <c r="AJ5" s="319"/>
      <c r="AK5" s="320" t="s">
        <v>209</v>
      </c>
    </row>
    <row r="6" spans="1:37" x14ac:dyDescent="0.25">
      <c r="A6" s="314">
        <v>41381</v>
      </c>
      <c r="B6" s="8">
        <v>499.67</v>
      </c>
      <c r="C6" s="8">
        <v>514.76</v>
      </c>
      <c r="D6" s="8">
        <v>507.17</v>
      </c>
      <c r="H6" s="8">
        <v>509.23</v>
      </c>
      <c r="I6" s="8">
        <v>522.27</v>
      </c>
      <c r="J6" s="8">
        <v>514.20000000000005</v>
      </c>
      <c r="N6" s="8">
        <v>507.68</v>
      </c>
      <c r="O6" s="8">
        <v>527.66</v>
      </c>
      <c r="P6" s="8">
        <v>515.53</v>
      </c>
      <c r="S6" s="8">
        <v>1.49E-2</v>
      </c>
      <c r="U6" s="8">
        <v>1.26E-2</v>
      </c>
      <c r="W6" s="8">
        <v>1.9300000000000001E-2</v>
      </c>
      <c r="AK6" s="72" t="s">
        <v>210</v>
      </c>
    </row>
    <row r="7" spans="1:37" x14ac:dyDescent="0.25">
      <c r="A7" s="314">
        <v>41506</v>
      </c>
      <c r="B7" s="8">
        <v>492.69</v>
      </c>
      <c r="C7" s="8">
        <v>507.43</v>
      </c>
      <c r="D7" s="8">
        <v>498.572</v>
      </c>
      <c r="H7" s="8">
        <v>501.12</v>
      </c>
      <c r="I7" s="8">
        <v>513.46</v>
      </c>
      <c r="J7" s="8">
        <v>505.56200000000001</v>
      </c>
      <c r="N7" s="8">
        <v>598.41999999999996</v>
      </c>
      <c r="O7" s="8">
        <v>515.41</v>
      </c>
      <c r="P7" s="8">
        <v>506.18299999999999</v>
      </c>
      <c r="S7" s="8">
        <v>1.478</v>
      </c>
      <c r="U7" s="8">
        <v>1.2158</v>
      </c>
      <c r="W7" s="8">
        <v>1.6761999999999999</v>
      </c>
      <c r="AK7" s="72" t="s">
        <v>211</v>
      </c>
    </row>
    <row r="8" spans="1:37" x14ac:dyDescent="0.25">
      <c r="A8" s="314">
        <v>41517</v>
      </c>
      <c r="B8" s="8">
        <v>505.69</v>
      </c>
      <c r="C8" s="8">
        <v>520.91</v>
      </c>
      <c r="D8" s="8">
        <v>511.18599999999998</v>
      </c>
      <c r="H8" s="8">
        <v>505.75</v>
      </c>
      <c r="I8" s="8">
        <v>516.09</v>
      </c>
      <c r="J8" s="8">
        <v>510.14299999999997</v>
      </c>
      <c r="N8" s="8">
        <v>507.74</v>
      </c>
      <c r="O8" s="8">
        <v>518.51</v>
      </c>
      <c r="P8" s="8">
        <v>512.08199999999999</v>
      </c>
      <c r="AK8" s="72" t="s">
        <v>212</v>
      </c>
    </row>
    <row r="9" spans="1:37" x14ac:dyDescent="0.25">
      <c r="A9" s="314">
        <v>41519</v>
      </c>
      <c r="B9" s="8">
        <v>516.91</v>
      </c>
      <c r="C9" s="8">
        <v>522.38</v>
      </c>
      <c r="D9" s="8">
        <v>519.89200000000005</v>
      </c>
      <c r="H9" s="8">
        <v>513.30999999999995</v>
      </c>
      <c r="I9" s="8">
        <v>521.27</v>
      </c>
      <c r="J9" s="8">
        <v>516.58100000000002</v>
      </c>
      <c r="N9" s="8">
        <v>513.66</v>
      </c>
      <c r="O9" s="8">
        <v>521.29</v>
      </c>
      <c r="P9" s="8">
        <v>516.83900000000006</v>
      </c>
      <c r="S9" s="8">
        <v>0.52649999999999997</v>
      </c>
      <c r="U9" s="8">
        <v>0.79830000000000001</v>
      </c>
      <c r="W9" s="8">
        <v>0.73640000000000005</v>
      </c>
      <c r="AK9" s="72" t="s">
        <v>212</v>
      </c>
    </row>
  </sheetData>
  <mergeCells count="13">
    <mergeCell ref="H3:J3"/>
    <mergeCell ref="K3:M3"/>
    <mergeCell ref="N3:P3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A63"/>
  <sheetViews>
    <sheetView workbookViewId="0">
      <selection activeCell="E6" sqref="E6"/>
    </sheetView>
  </sheetViews>
  <sheetFormatPr defaultColWidth="11" defaultRowHeight="16.100000000000001" x14ac:dyDescent="0.35"/>
  <sheetData>
    <row r="14" spans="1:1" x14ac:dyDescent="0.35">
      <c r="A14" s="331"/>
    </row>
    <row r="15" spans="1:1" x14ac:dyDescent="0.35">
      <c r="A15" s="331"/>
    </row>
    <row r="16" spans="1:1" x14ac:dyDescent="0.35">
      <c r="A16" s="331"/>
    </row>
    <row r="17" spans="1:1" x14ac:dyDescent="0.35">
      <c r="A17" s="331"/>
    </row>
    <row r="18" spans="1:1" x14ac:dyDescent="0.35">
      <c r="A18" s="331"/>
    </row>
    <row r="19" spans="1:1" x14ac:dyDescent="0.35">
      <c r="A19" s="331"/>
    </row>
    <row r="20" spans="1:1" x14ac:dyDescent="0.35">
      <c r="A20" s="331"/>
    </row>
    <row r="21" spans="1:1" x14ac:dyDescent="0.35">
      <c r="A21" s="331"/>
    </row>
    <row r="22" spans="1:1" x14ac:dyDescent="0.35">
      <c r="A22" s="331"/>
    </row>
    <row r="23" spans="1:1" x14ac:dyDescent="0.35">
      <c r="A23" s="331"/>
    </row>
    <row r="24" spans="1:1" x14ac:dyDescent="0.35">
      <c r="A24" s="331"/>
    </row>
    <row r="25" spans="1:1" x14ac:dyDescent="0.35">
      <c r="A25" s="331"/>
    </row>
    <row r="26" spans="1:1" x14ac:dyDescent="0.35">
      <c r="A26" s="331"/>
    </row>
    <row r="27" spans="1:1" x14ac:dyDescent="0.35">
      <c r="A27" s="331"/>
    </row>
    <row r="28" spans="1:1" x14ac:dyDescent="0.35">
      <c r="A28" s="331"/>
    </row>
    <row r="29" spans="1:1" x14ac:dyDescent="0.35">
      <c r="A29" s="331"/>
    </row>
    <row r="30" spans="1:1" x14ac:dyDescent="0.35">
      <c r="A30" s="331"/>
    </row>
    <row r="31" spans="1:1" x14ac:dyDescent="0.35">
      <c r="A31" s="331"/>
    </row>
    <row r="32" spans="1:1" x14ac:dyDescent="0.35">
      <c r="A32" s="331"/>
    </row>
    <row r="33" spans="1:1" x14ac:dyDescent="0.35">
      <c r="A33" s="331"/>
    </row>
    <row r="34" spans="1:1" x14ac:dyDescent="0.35">
      <c r="A34" s="331"/>
    </row>
    <row r="35" spans="1:1" x14ac:dyDescent="0.35">
      <c r="A35" s="331"/>
    </row>
    <row r="36" spans="1:1" x14ac:dyDescent="0.35">
      <c r="A36" s="331"/>
    </row>
    <row r="37" spans="1:1" x14ac:dyDescent="0.35">
      <c r="A37" s="331"/>
    </row>
    <row r="38" spans="1:1" x14ac:dyDescent="0.35">
      <c r="A38" s="331"/>
    </row>
    <row r="39" spans="1:1" x14ac:dyDescent="0.35">
      <c r="A39" s="331"/>
    </row>
    <row r="40" spans="1:1" x14ac:dyDescent="0.35">
      <c r="A40" s="331"/>
    </row>
    <row r="41" spans="1:1" x14ac:dyDescent="0.35">
      <c r="A41" s="331"/>
    </row>
    <row r="42" spans="1:1" x14ac:dyDescent="0.35">
      <c r="A42" s="331"/>
    </row>
    <row r="43" spans="1:1" x14ac:dyDescent="0.35">
      <c r="A43" s="331"/>
    </row>
    <row r="44" spans="1:1" x14ac:dyDescent="0.35">
      <c r="A44" s="331"/>
    </row>
    <row r="45" spans="1:1" x14ac:dyDescent="0.35">
      <c r="A45" s="331"/>
    </row>
    <row r="46" spans="1:1" x14ac:dyDescent="0.35">
      <c r="A46" s="331"/>
    </row>
    <row r="47" spans="1:1" x14ac:dyDescent="0.35">
      <c r="A47" s="331"/>
    </row>
    <row r="48" spans="1:1" x14ac:dyDescent="0.35">
      <c r="A48" s="331"/>
    </row>
    <row r="49" spans="1:1" x14ac:dyDescent="0.35">
      <c r="A49" s="331"/>
    </row>
    <row r="50" spans="1:1" x14ac:dyDescent="0.35">
      <c r="A50" s="331"/>
    </row>
    <row r="51" spans="1:1" x14ac:dyDescent="0.35">
      <c r="A51" s="331"/>
    </row>
    <row r="52" spans="1:1" x14ac:dyDescent="0.35">
      <c r="A52" s="331"/>
    </row>
    <row r="53" spans="1:1" x14ac:dyDescent="0.35">
      <c r="A53" s="331"/>
    </row>
    <row r="54" spans="1:1" x14ac:dyDescent="0.35">
      <c r="A54" s="331"/>
    </row>
    <row r="55" spans="1:1" x14ac:dyDescent="0.35">
      <c r="A55" s="331"/>
    </row>
    <row r="56" spans="1:1" x14ac:dyDescent="0.35">
      <c r="A56" s="331"/>
    </row>
    <row r="57" spans="1:1" x14ac:dyDescent="0.35">
      <c r="A57" s="331"/>
    </row>
    <row r="58" spans="1:1" x14ac:dyDescent="0.35">
      <c r="A58" s="331"/>
    </row>
    <row r="59" spans="1:1" x14ac:dyDescent="0.35">
      <c r="A59" s="331"/>
    </row>
    <row r="60" spans="1:1" x14ac:dyDescent="0.35">
      <c r="A60" s="331"/>
    </row>
    <row r="61" spans="1:1" x14ac:dyDescent="0.35">
      <c r="A61" s="331"/>
    </row>
    <row r="62" spans="1:1" x14ac:dyDescent="0.35">
      <c r="A62" s="331"/>
    </row>
    <row r="63" spans="1:1" x14ac:dyDescent="0.35">
      <c r="A63" s="331"/>
    </row>
  </sheetData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555674</xdr:colOff>
                    <xdr:row>6</xdr:row>
                    <xdr:rowOff>0</xdr:rowOff>
                  </from>
                  <to>
                    <xdr:col>5</xdr:col>
                    <xdr:colOff>478302</xdr:colOff>
                    <xdr:row>9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1640625" defaultRowHeight="16.100000000000001" x14ac:dyDescent="0.35"/>
  <cols>
    <col min="1" max="1" width="13.453125" style="1" bestFit="1" customWidth="1"/>
    <col min="2" max="2" width="9.1796875" style="1" customWidth="1"/>
    <col min="3" max="16384" width="8.8164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Load-unload(CP-QC)</vt:lpstr>
      <vt:lpstr>M cont</vt:lpstr>
      <vt:lpstr>CV SLE</vt:lpstr>
      <vt:lpstr>Profiling</vt:lpstr>
      <vt:lpstr>HCl purge</vt:lpstr>
      <vt:lpstr>Native Oxide</vt:lpstr>
      <vt:lpstr>Native oxide (2)</vt:lpstr>
      <vt:lpstr>AA-DENS QC</vt:lpstr>
      <vt:lpstr>AA-DENS QC graphs</vt:lpstr>
      <vt:lpstr>AA-OX QC</vt:lpstr>
      <vt:lpstr>AA-OX QC Graphs</vt:lpstr>
      <vt:lpstr>RBOX-1000</vt:lpstr>
      <vt:lpstr>CV-500</vt:lpstr>
      <vt:lpstr>RUN_code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2019-05-26T09:30:08Z</dcterms:modified>
</cp:coreProperties>
</file>