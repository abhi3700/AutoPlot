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showInkAnnotation="0" codeName="ThisWorkbook" autoCompressPictures="0"/>
  <bookViews>
    <workbookView xWindow="-5355" yWindow="-21135" windowWidth="19440" windowHeight="11760" tabRatio="500"/>
  </bookViews>
  <sheets>
    <sheet name="ASBE1-CP" sheetId="1" r:id="rId1"/>
    <sheet name="ASBE1-ER" sheetId="3" r:id="rId2"/>
    <sheet name="_xlwings.conf" sheetId="2" state="hidden" r:id="rId3"/>
    <sheet name="CP Plot" sheetId="4" state="hidden" r:id="rId4"/>
    <sheet name="ER Plot" sheetId="5" state="hidden" r:id="rId5"/>
    <sheet name="RUN_Code" sheetId="6" r:id="rId6"/>
    <sheet name="Sheet1" sheetId="7" r:id="rId7"/>
  </sheets>
  <definedNames>
    <definedName name="_xlnm._FilterDatabase" localSheetId="0" hidden="1">'ASBE1-CP'!$A$11:$P$179</definedName>
    <definedName name="_xlnm._FilterDatabase" localSheetId="1" hidden="1">'ASBE1-ER'!$A$11:$V$1025</definedName>
    <definedName name="_xlnm._FilterDatabase" localSheetId="6" hidden="1">Sheet1!#REF!</definedName>
  </definedNames>
  <calcPr calcId="12572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1071" i="3"/>
  <c r="K1071"/>
  <c r="J1071"/>
  <c r="I1071"/>
  <c r="H1071"/>
  <c r="G1071"/>
  <c r="F1071"/>
  <c r="E1071"/>
  <c r="D1071"/>
  <c r="J263" i="1"/>
  <c r="D263"/>
  <c r="K263" s="1"/>
  <c r="J262"/>
  <c r="G262"/>
  <c r="D262"/>
  <c r="K262" s="1"/>
  <c r="L1068" i="3"/>
  <c r="K1068"/>
  <c r="J1068"/>
  <c r="I1068"/>
  <c r="H1068"/>
  <c r="G1068"/>
  <c r="F1068"/>
  <c r="E1068"/>
  <c r="D1068"/>
  <c r="L1065"/>
  <c r="K1065"/>
  <c r="J1065"/>
  <c r="I1065"/>
  <c r="H1065"/>
  <c r="G1065"/>
  <c r="F1065"/>
  <c r="E1065"/>
  <c r="D1065"/>
  <c r="O1063" s="1"/>
  <c r="J261" i="1"/>
  <c r="G261"/>
  <c r="D261"/>
  <c r="K261" s="1"/>
  <c r="J260"/>
  <c r="G260"/>
  <c r="D260"/>
  <c r="K260" s="1"/>
  <c r="L1062" i="3"/>
  <c r="K1062"/>
  <c r="J1062"/>
  <c r="I1062"/>
  <c r="H1062"/>
  <c r="G1062"/>
  <c r="F1062"/>
  <c r="E1062"/>
  <c r="D1062"/>
  <c r="N1060" s="1"/>
  <c r="L1059"/>
  <c r="K1059"/>
  <c r="J1059"/>
  <c r="I1059"/>
  <c r="H1059"/>
  <c r="G1059"/>
  <c r="F1059"/>
  <c r="E1059"/>
  <c r="O1057" s="1"/>
  <c r="D1059"/>
  <c r="P1057"/>
  <c r="N1057"/>
  <c r="J259" i="1"/>
  <c r="G259"/>
  <c r="D259"/>
  <c r="K259" s="1"/>
  <c r="L1056" i="3"/>
  <c r="K1056"/>
  <c r="J1056"/>
  <c r="I1056"/>
  <c r="H1056"/>
  <c r="G1056"/>
  <c r="F1056"/>
  <c r="P1054" s="1"/>
  <c r="E1056"/>
  <c r="D1056"/>
  <c r="N1054"/>
  <c r="J258" i="1"/>
  <c r="G258"/>
  <c r="D258"/>
  <c r="K258" s="1"/>
  <c r="J257"/>
  <c r="G257"/>
  <c r="D257"/>
  <c r="K257" s="1"/>
  <c r="L1053" i="3"/>
  <c r="K1053"/>
  <c r="J1053"/>
  <c r="I1053"/>
  <c r="H1053"/>
  <c r="G1053"/>
  <c r="F1053"/>
  <c r="E1053"/>
  <c r="O1051" s="1"/>
  <c r="D1053"/>
  <c r="P1051"/>
  <c r="L1050"/>
  <c r="K1050"/>
  <c r="J1050"/>
  <c r="I1050"/>
  <c r="H1050"/>
  <c r="G1050"/>
  <c r="F1050"/>
  <c r="E1050"/>
  <c r="P1048" s="1"/>
  <c r="D1050"/>
  <c r="J256" i="1"/>
  <c r="G256"/>
  <c r="D256"/>
  <c r="K256" s="1"/>
  <c r="L1047" i="3"/>
  <c r="K1047"/>
  <c r="J1047"/>
  <c r="I1047"/>
  <c r="H1047"/>
  <c r="G1047"/>
  <c r="F1047"/>
  <c r="E1047"/>
  <c r="D1047"/>
  <c r="N1045" s="1"/>
  <c r="J255" i="1"/>
  <c r="G255"/>
  <c r="D255"/>
  <c r="K255" s="1"/>
  <c r="L1044" i="3"/>
  <c r="K1044"/>
  <c r="J1044"/>
  <c r="I1044"/>
  <c r="H1044"/>
  <c r="G1044"/>
  <c r="P1042" s="1"/>
  <c r="F1044"/>
  <c r="E1044"/>
  <c r="O1042" s="1"/>
  <c r="D1044"/>
  <c r="N1042"/>
  <c r="Q1042" s="1"/>
  <c r="R1042" s="1"/>
  <c r="G247" i="1"/>
  <c r="G248"/>
  <c r="G249"/>
  <c r="G250"/>
  <c r="G251"/>
  <c r="G252"/>
  <c r="G253"/>
  <c r="G254"/>
  <c r="J254"/>
  <c r="D254"/>
  <c r="K254" s="1"/>
  <c r="L1041" i="3"/>
  <c r="K1041"/>
  <c r="J1041"/>
  <c r="I1041"/>
  <c r="H1041"/>
  <c r="G1041"/>
  <c r="F1041"/>
  <c r="E1041"/>
  <c r="O1039" s="1"/>
  <c r="D1041"/>
  <c r="P1039"/>
  <c r="J253" i="1"/>
  <c r="D253"/>
  <c r="K253" s="1"/>
  <c r="J252"/>
  <c r="D252"/>
  <c r="K252" s="1"/>
  <c r="L1038" i="3"/>
  <c r="K1038"/>
  <c r="J1038"/>
  <c r="I1038"/>
  <c r="H1038"/>
  <c r="G1038"/>
  <c r="F1038"/>
  <c r="E1038"/>
  <c r="D1038"/>
  <c r="L1035"/>
  <c r="K1035"/>
  <c r="J1035"/>
  <c r="I1035"/>
  <c r="H1035"/>
  <c r="G1035"/>
  <c r="F1035"/>
  <c r="E1035"/>
  <c r="O1033" s="1"/>
  <c r="D1035"/>
  <c r="P1033"/>
  <c r="J251" i="1"/>
  <c r="D251"/>
  <c r="K251" s="1"/>
  <c r="J250"/>
  <c r="D250"/>
  <c r="K250" s="1"/>
  <c r="D1032" i="3"/>
  <c r="E1032"/>
  <c r="F1032"/>
  <c r="G1032"/>
  <c r="H1032"/>
  <c r="I1032"/>
  <c r="J1032"/>
  <c r="K1032"/>
  <c r="L1032"/>
  <c r="J249" i="1"/>
  <c r="D249"/>
  <c r="K249" s="1"/>
  <c r="L1029" i="3"/>
  <c r="K1029"/>
  <c r="J1029"/>
  <c r="I1029"/>
  <c r="H1029"/>
  <c r="G1029"/>
  <c r="F1029"/>
  <c r="E1029"/>
  <c r="D1029"/>
  <c r="N1027" s="1"/>
  <c r="R54" i="7"/>
  <c r="R53"/>
  <c r="N1069" i="3" l="1"/>
  <c r="P1069"/>
  <c r="O1069"/>
  <c r="Q1069" s="1"/>
  <c r="R1069" s="1"/>
  <c r="N1066"/>
  <c r="P1066"/>
  <c r="O1066"/>
  <c r="Q1066" s="1"/>
  <c r="R1066" s="1"/>
  <c r="P1063"/>
  <c r="N1063"/>
  <c r="Q1063" s="1"/>
  <c r="R1063" s="1"/>
  <c r="P1060"/>
  <c r="O1060"/>
  <c r="Q1060" s="1"/>
  <c r="R1060" s="1"/>
  <c r="Q1057"/>
  <c r="R1057" s="1"/>
  <c r="O1054"/>
  <c r="Q1054" s="1"/>
  <c r="R1054" s="1"/>
  <c r="N1051"/>
  <c r="Q1051" s="1"/>
  <c r="R1051" s="1"/>
  <c r="O1048"/>
  <c r="N1048"/>
  <c r="Q1048" s="1"/>
  <c r="R1048" s="1"/>
  <c r="P1045"/>
  <c r="O1045"/>
  <c r="Q1045" s="1"/>
  <c r="R1045" s="1"/>
  <c r="N1039"/>
  <c r="Q1039" s="1"/>
  <c r="R1039" s="1"/>
  <c r="O1036"/>
  <c r="P1036"/>
  <c r="N1036"/>
  <c r="N1033"/>
  <c r="Q1033" s="1"/>
  <c r="R1033" s="1"/>
  <c r="O1030"/>
  <c r="P1030"/>
  <c r="N1030"/>
  <c r="Q1030" s="1"/>
  <c r="R1030" s="1"/>
  <c r="O1027"/>
  <c r="Q1027" s="1"/>
  <c r="R1027" s="1"/>
  <c r="P1027"/>
  <c r="L1025"/>
  <c r="K1025"/>
  <c r="J1025"/>
  <c r="I1025"/>
  <c r="H1025"/>
  <c r="G1025"/>
  <c r="F1025"/>
  <c r="E1025"/>
  <c r="D1025"/>
  <c r="Q1036" l="1"/>
  <c r="R1036" s="1"/>
  <c r="P1023"/>
  <c r="O1023"/>
  <c r="N1023"/>
  <c r="Q1023" s="1"/>
  <c r="R1023" s="1"/>
  <c r="J248" i="1" l="1"/>
  <c r="D248"/>
  <c r="K248" s="1"/>
  <c r="L1022" i="3"/>
  <c r="K1022"/>
  <c r="J1022"/>
  <c r="I1022"/>
  <c r="H1022"/>
  <c r="G1022"/>
  <c r="F1022"/>
  <c r="E1022"/>
  <c r="D1022"/>
  <c r="J247" i="1"/>
  <c r="D247"/>
  <c r="K247" s="1"/>
  <c r="J246"/>
  <c r="G246"/>
  <c r="K246"/>
  <c r="L1019" i="3"/>
  <c r="K1019"/>
  <c r="J1019"/>
  <c r="I1019"/>
  <c r="H1019"/>
  <c r="G1019"/>
  <c r="F1019"/>
  <c r="E1019"/>
  <c r="D1019"/>
  <c r="L1016"/>
  <c r="K1016"/>
  <c r="J1016"/>
  <c r="I1016"/>
  <c r="H1016"/>
  <c r="G1016"/>
  <c r="F1016"/>
  <c r="E1016"/>
  <c r="D1016"/>
  <c r="J245" i="1"/>
  <c r="G245"/>
  <c r="D245"/>
  <c r="K245" s="1"/>
  <c r="L1013" i="3"/>
  <c r="K1013"/>
  <c r="J1013"/>
  <c r="I1013"/>
  <c r="H1013"/>
  <c r="G1013"/>
  <c r="F1013"/>
  <c r="E1013"/>
  <c r="D1013"/>
  <c r="J244" i="1"/>
  <c r="G244"/>
  <c r="D244"/>
  <c r="K244" s="1"/>
  <c r="J243"/>
  <c r="G243"/>
  <c r="D243"/>
  <c r="K243" s="1"/>
  <c r="J242"/>
  <c r="G242"/>
  <c r="D242"/>
  <c r="K242" s="1"/>
  <c r="L1010" i="3"/>
  <c r="K1010"/>
  <c r="J1010"/>
  <c r="I1010"/>
  <c r="H1010"/>
  <c r="G1010"/>
  <c r="F1010"/>
  <c r="E1010"/>
  <c r="D1010"/>
  <c r="J241" i="1"/>
  <c r="G241"/>
  <c r="D241"/>
  <c r="K241" s="1"/>
  <c r="L1007" i="3"/>
  <c r="K1007"/>
  <c r="J1007"/>
  <c r="I1007"/>
  <c r="H1007"/>
  <c r="G1007"/>
  <c r="F1007"/>
  <c r="E1007"/>
  <c r="D1007"/>
  <c r="J240" i="1"/>
  <c r="G240"/>
  <c r="D240"/>
  <c r="K240" s="1"/>
  <c r="J239"/>
  <c r="G239"/>
  <c r="D239"/>
  <c r="K239" s="1"/>
  <c r="L1004" i="3"/>
  <c r="K1004"/>
  <c r="J1004"/>
  <c r="I1004"/>
  <c r="H1004"/>
  <c r="G1004"/>
  <c r="F1004"/>
  <c r="E1004"/>
  <c r="D1004"/>
  <c r="J238" i="1"/>
  <c r="G238"/>
  <c r="D238"/>
  <c r="K238" s="1"/>
  <c r="L1001" i="3"/>
  <c r="K1001"/>
  <c r="J1001"/>
  <c r="I1001"/>
  <c r="H1001"/>
  <c r="G1001"/>
  <c r="F1001"/>
  <c r="E1001"/>
  <c r="D1001"/>
  <c r="L998"/>
  <c r="K998"/>
  <c r="J998"/>
  <c r="I998"/>
  <c r="H998"/>
  <c r="G998"/>
  <c r="F998"/>
  <c r="E998"/>
  <c r="D998"/>
  <c r="J237" i="1"/>
  <c r="G237"/>
  <c r="D237"/>
  <c r="K237" s="1"/>
  <c r="J189"/>
  <c r="J190"/>
  <c r="J192"/>
  <c r="J193"/>
  <c r="J194"/>
  <c r="J195"/>
  <c r="J200"/>
  <c r="J201"/>
  <c r="J202"/>
  <c r="J204"/>
  <c r="J206"/>
  <c r="J207"/>
  <c r="J208"/>
  <c r="J209"/>
  <c r="J210"/>
  <c r="J211"/>
  <c r="J213"/>
  <c r="J214"/>
  <c r="J215"/>
  <c r="J217"/>
  <c r="J218"/>
  <c r="J219"/>
  <c r="J220"/>
  <c r="J221"/>
  <c r="J222"/>
  <c r="J223"/>
  <c r="J224"/>
  <c r="J225"/>
  <c r="J226"/>
  <c r="J227"/>
  <c r="J228"/>
  <c r="J231"/>
  <c r="J232"/>
  <c r="J233"/>
  <c r="J234"/>
  <c r="J235"/>
  <c r="J236"/>
  <c r="G189"/>
  <c r="G190"/>
  <c r="G192"/>
  <c r="G193"/>
  <c r="G194"/>
  <c r="G195"/>
  <c r="G196"/>
  <c r="G197"/>
  <c r="G200"/>
  <c r="G201"/>
  <c r="G202"/>
  <c r="G204"/>
  <c r="G206"/>
  <c r="G207"/>
  <c r="G208"/>
  <c r="G209"/>
  <c r="G210"/>
  <c r="G211"/>
  <c r="G213"/>
  <c r="G214"/>
  <c r="G215"/>
  <c r="G217"/>
  <c r="G218"/>
  <c r="G219"/>
  <c r="G220"/>
  <c r="G221"/>
  <c r="G222"/>
  <c r="G223"/>
  <c r="G224"/>
  <c r="G225"/>
  <c r="G226"/>
  <c r="G227"/>
  <c r="G228"/>
  <c r="G231"/>
  <c r="G232"/>
  <c r="G233"/>
  <c r="G234"/>
  <c r="G235"/>
  <c r="G236"/>
  <c r="J188"/>
  <c r="G188"/>
  <c r="D236"/>
  <c r="K236" s="1"/>
  <c r="L995" i="3"/>
  <c r="K995"/>
  <c r="J995"/>
  <c r="I995"/>
  <c r="H995"/>
  <c r="G995"/>
  <c r="F995"/>
  <c r="E995"/>
  <c r="D995"/>
  <c r="D235" i="1"/>
  <c r="K235" s="1"/>
  <c r="L992" i="3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L986"/>
  <c r="K986"/>
  <c r="J986"/>
  <c r="I986"/>
  <c r="H986"/>
  <c r="G986"/>
  <c r="F986"/>
  <c r="E986"/>
  <c r="D986"/>
  <c r="D234" i="1"/>
  <c r="K234" s="1"/>
  <c r="D233"/>
  <c r="K233" s="1"/>
  <c r="L983" i="3"/>
  <c r="K983"/>
  <c r="J983"/>
  <c r="I983"/>
  <c r="H983"/>
  <c r="G983"/>
  <c r="F983"/>
  <c r="E983"/>
  <c r="D983"/>
  <c r="L980"/>
  <c r="K980"/>
  <c r="J980"/>
  <c r="I980"/>
  <c r="H980"/>
  <c r="G980"/>
  <c r="F980"/>
  <c r="E980"/>
  <c r="D980"/>
  <c r="D232" i="1"/>
  <c r="K232" s="1"/>
  <c r="D231"/>
  <c r="K231" s="1"/>
  <c r="D230"/>
  <c r="K230" s="1"/>
  <c r="L977" i="3"/>
  <c r="K977"/>
  <c r="J977"/>
  <c r="I977"/>
  <c r="H977"/>
  <c r="G977"/>
  <c r="F977"/>
  <c r="E977"/>
  <c r="D977"/>
  <c r="D229" i="1"/>
  <c r="K229" s="1"/>
  <c r="L974" i="3"/>
  <c r="K974"/>
  <c r="J974"/>
  <c r="I974"/>
  <c r="H974"/>
  <c r="G974"/>
  <c r="F974"/>
  <c r="E974"/>
  <c r="D974"/>
  <c r="L971"/>
  <c r="K971"/>
  <c r="J971"/>
  <c r="I971"/>
  <c r="H971"/>
  <c r="G971"/>
  <c r="F971"/>
  <c r="E971"/>
  <c r="D971"/>
  <c r="D228" i="1"/>
  <c r="K228" s="1"/>
  <c r="L968" i="3"/>
  <c r="K968"/>
  <c r="J968"/>
  <c r="I968"/>
  <c r="H968"/>
  <c r="G968"/>
  <c r="F968"/>
  <c r="E968"/>
  <c r="D968"/>
  <c r="D227" i="1"/>
  <c r="K227" s="1"/>
  <c r="L965" i="3"/>
  <c r="K965"/>
  <c r="J965"/>
  <c r="I965"/>
  <c r="H965"/>
  <c r="G965"/>
  <c r="F965"/>
  <c r="E965"/>
  <c r="D965"/>
  <c r="K226" i="1"/>
  <c r="D962" i="3"/>
  <c r="E962"/>
  <c r="F962"/>
  <c r="G962"/>
  <c r="H962"/>
  <c r="I962"/>
  <c r="J962"/>
  <c r="K962"/>
  <c r="L962"/>
  <c r="D225" i="1"/>
  <c r="K225" s="1"/>
  <c r="D224"/>
  <c r="K224" s="1"/>
  <c r="L959" i="3"/>
  <c r="K959"/>
  <c r="J959"/>
  <c r="I959"/>
  <c r="H959"/>
  <c r="G959"/>
  <c r="F959"/>
  <c r="E959"/>
  <c r="D959"/>
  <c r="D223" i="1"/>
  <c r="K223" s="1"/>
  <c r="L956" i="3"/>
  <c r="K956"/>
  <c r="J956"/>
  <c r="I956"/>
  <c r="H956"/>
  <c r="G956"/>
  <c r="F956"/>
  <c r="E956"/>
  <c r="D956"/>
  <c r="L953"/>
  <c r="K953"/>
  <c r="J953"/>
  <c r="I953"/>
  <c r="H953"/>
  <c r="G953"/>
  <c r="F953"/>
  <c r="E953"/>
  <c r="D953"/>
  <c r="N1002" l="1"/>
  <c r="O1008"/>
  <c r="N963"/>
  <c r="O999"/>
  <c r="P1008"/>
  <c r="N1017"/>
  <c r="N1020"/>
  <c r="O1020"/>
  <c r="P1020"/>
  <c r="O1017"/>
  <c r="P1017"/>
  <c r="N1014"/>
  <c r="P1014"/>
  <c r="O1014"/>
  <c r="O1011"/>
  <c r="N1011"/>
  <c r="P1011"/>
  <c r="N1008"/>
  <c r="O996"/>
  <c r="P996"/>
  <c r="N954"/>
  <c r="N999"/>
  <c r="O1005"/>
  <c r="N1005"/>
  <c r="P1005"/>
  <c r="P1002"/>
  <c r="O1002"/>
  <c r="Q1002" s="1"/>
  <c r="P999"/>
  <c r="N996"/>
  <c r="P978"/>
  <c r="O963"/>
  <c r="P972"/>
  <c r="N978"/>
  <c r="N990"/>
  <c r="N951"/>
  <c r="P963"/>
  <c r="N993"/>
  <c r="O993"/>
  <c r="P993"/>
  <c r="O990"/>
  <c r="P990"/>
  <c r="P987"/>
  <c r="O987"/>
  <c r="N987"/>
  <c r="N984"/>
  <c r="P984"/>
  <c r="O984"/>
  <c r="N981"/>
  <c r="P981"/>
  <c r="O981"/>
  <c r="O978"/>
  <c r="N975"/>
  <c r="P975"/>
  <c r="O975"/>
  <c r="O972"/>
  <c r="N972"/>
  <c r="O969"/>
  <c r="N969"/>
  <c r="P969"/>
  <c r="P966"/>
  <c r="O966"/>
  <c r="N966"/>
  <c r="O960"/>
  <c r="P960"/>
  <c r="N960"/>
  <c r="N957"/>
  <c r="P957"/>
  <c r="O957"/>
  <c r="O954"/>
  <c r="P954"/>
  <c r="P951"/>
  <c r="O951"/>
  <c r="Q993" l="1"/>
  <c r="Q1020"/>
  <c r="Q975"/>
  <c r="R975" s="1"/>
  <c r="Q960"/>
  <c r="R960" s="1"/>
  <c r="Q984"/>
  <c r="Q999"/>
  <c r="R999" s="1"/>
  <c r="Q996"/>
  <c r="R996" s="1"/>
  <c r="Q978"/>
  <c r="Q954"/>
  <c r="Q1008"/>
  <c r="R1008" s="1"/>
  <c r="Q957"/>
  <c r="Q966"/>
  <c r="R966" s="1"/>
  <c r="Q969"/>
  <c r="Q990"/>
  <c r="R990" s="1"/>
  <c r="Q1017"/>
  <c r="R1017" s="1"/>
  <c r="Q951"/>
  <c r="R951" s="1"/>
  <c r="Q963"/>
  <c r="Q972"/>
  <c r="R972" s="1"/>
  <c r="Q981"/>
  <c r="Q987"/>
  <c r="R987" s="1"/>
  <c r="Q1005"/>
  <c r="R1005" s="1"/>
  <c r="Q1011"/>
  <c r="R1011" s="1"/>
  <c r="Q1014"/>
  <c r="R1014" s="1"/>
  <c r="R978"/>
  <c r="R963"/>
  <c r="R1002"/>
  <c r="R1020"/>
  <c r="R981"/>
  <c r="R954"/>
  <c r="R993"/>
  <c r="R984"/>
  <c r="R969"/>
  <c r="R957"/>
  <c r="L950"/>
  <c r="K950"/>
  <c r="J950"/>
  <c r="I950"/>
  <c r="H950"/>
  <c r="G950"/>
  <c r="F950"/>
  <c r="E950"/>
  <c r="D950"/>
  <c r="D222" i="1"/>
  <c r="K222" s="1"/>
  <c r="L947" i="3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D221" i="1"/>
  <c r="K221" s="1"/>
  <c r="D220"/>
  <c r="K220" s="1"/>
  <c r="D219"/>
  <c r="K219" s="1"/>
  <c r="D218"/>
  <c r="K218" s="1"/>
  <c r="L941" i="3"/>
  <c r="K941"/>
  <c r="J941"/>
  <c r="I941"/>
  <c r="H941"/>
  <c r="G941"/>
  <c r="F941"/>
  <c r="E941"/>
  <c r="D941"/>
  <c r="D217" i="1"/>
  <c r="K217" s="1"/>
  <c r="L938" i="3"/>
  <c r="K938"/>
  <c r="J938"/>
  <c r="I938"/>
  <c r="H938"/>
  <c r="G938"/>
  <c r="F938"/>
  <c r="E938"/>
  <c r="D938"/>
  <c r="D216" i="1"/>
  <c r="K216" s="1"/>
  <c r="L935" i="3"/>
  <c r="K935"/>
  <c r="J935"/>
  <c r="I935"/>
  <c r="H935"/>
  <c r="G935"/>
  <c r="F935"/>
  <c r="E935"/>
  <c r="D935"/>
  <c r="D215" i="1"/>
  <c r="K215" s="1"/>
  <c r="L932" i="3"/>
  <c r="K932"/>
  <c r="J932"/>
  <c r="I932"/>
  <c r="H932"/>
  <c r="G932"/>
  <c r="F932"/>
  <c r="E932"/>
  <c r="D932"/>
  <c r="D214" i="1"/>
  <c r="K214" s="1"/>
  <c r="D213"/>
  <c r="K213" s="1"/>
  <c r="L929" i="3"/>
  <c r="K929"/>
  <c r="J929"/>
  <c r="I929"/>
  <c r="H929"/>
  <c r="G929"/>
  <c r="F929"/>
  <c r="E929"/>
  <c r="D929"/>
  <c r="D212" i="1"/>
  <c r="K212" s="1"/>
  <c r="L926" i="3"/>
  <c r="K926"/>
  <c r="J926"/>
  <c r="I926"/>
  <c r="H926"/>
  <c r="G926"/>
  <c r="F926"/>
  <c r="E926"/>
  <c r="D926"/>
  <c r="L923"/>
  <c r="K923"/>
  <c r="J923"/>
  <c r="I923"/>
  <c r="H923"/>
  <c r="G923"/>
  <c r="F923"/>
  <c r="E923"/>
  <c r="D923"/>
  <c r="D211" i="1"/>
  <c r="K211" s="1"/>
  <c r="D210"/>
  <c r="K210" s="1"/>
  <c r="L920" i="3"/>
  <c r="K920"/>
  <c r="J920"/>
  <c r="I920"/>
  <c r="H920"/>
  <c r="G920"/>
  <c r="F920"/>
  <c r="E920"/>
  <c r="D920"/>
  <c r="L917"/>
  <c r="K917"/>
  <c r="J917"/>
  <c r="I917"/>
  <c r="H917"/>
  <c r="G917"/>
  <c r="F917"/>
  <c r="E917"/>
  <c r="D917"/>
  <c r="D209" i="1"/>
  <c r="K209" s="1"/>
  <c r="L914" i="3"/>
  <c r="K914"/>
  <c r="J914"/>
  <c r="I914"/>
  <c r="H914"/>
  <c r="G914"/>
  <c r="F914"/>
  <c r="E914"/>
  <c r="D914"/>
  <c r="D208" i="1"/>
  <c r="K208" s="1"/>
  <c r="L911" i="3"/>
  <c r="K911"/>
  <c r="J911"/>
  <c r="I911"/>
  <c r="H911"/>
  <c r="G911"/>
  <c r="F911"/>
  <c r="E911"/>
  <c r="D911"/>
  <c r="D207" i="1"/>
  <c r="K207" s="1"/>
  <c r="D206"/>
  <c r="K206" s="1"/>
  <c r="D205"/>
  <c r="K205" s="1"/>
  <c r="L908" i="3"/>
  <c r="K908"/>
  <c r="J908"/>
  <c r="I908"/>
  <c r="H908"/>
  <c r="G908"/>
  <c r="F908"/>
  <c r="E908"/>
  <c r="D908"/>
  <c r="D204" i="1"/>
  <c r="K204" s="1"/>
  <c r="D203"/>
  <c r="K203" s="1"/>
  <c r="D202"/>
  <c r="K202" s="1"/>
  <c r="D201"/>
  <c r="K201" s="1"/>
  <c r="L905" i="3"/>
  <c r="K905"/>
  <c r="J905"/>
  <c r="I905"/>
  <c r="H905"/>
  <c r="G905"/>
  <c r="F905"/>
  <c r="E905"/>
  <c r="D905"/>
  <c r="D200" i="1"/>
  <c r="K200" s="1"/>
  <c r="D199"/>
  <c r="K199" s="1"/>
  <c r="D198"/>
  <c r="K198" s="1"/>
  <c r="L902" i="3"/>
  <c r="K902"/>
  <c r="J902"/>
  <c r="I902"/>
  <c r="H902"/>
  <c r="G902"/>
  <c r="F902"/>
  <c r="E902"/>
  <c r="D902"/>
  <c r="D197" i="1"/>
  <c r="K197" s="1"/>
  <c r="D196"/>
  <c r="K196" s="1"/>
  <c r="D195"/>
  <c r="K195" s="1"/>
  <c r="D194"/>
  <c r="K194" s="1"/>
  <c r="L899" i="3"/>
  <c r="K899"/>
  <c r="J899"/>
  <c r="I899"/>
  <c r="H899"/>
  <c r="G899"/>
  <c r="F899"/>
  <c r="E899"/>
  <c r="D899"/>
  <c r="D896"/>
  <c r="E896"/>
  <c r="F896"/>
  <c r="L896"/>
  <c r="K896"/>
  <c r="J896"/>
  <c r="I896"/>
  <c r="H896"/>
  <c r="G896"/>
  <c r="D193" i="1"/>
  <c r="K193" s="1"/>
  <c r="D192"/>
  <c r="K192" s="1"/>
  <c r="L893" i="3"/>
  <c r="K893"/>
  <c r="J893"/>
  <c r="I893"/>
  <c r="H893"/>
  <c r="G893"/>
  <c r="F893"/>
  <c r="E893"/>
  <c r="D893"/>
  <c r="D191" i="1"/>
  <c r="K191" s="1"/>
  <c r="L890" i="3"/>
  <c r="K890"/>
  <c r="J890"/>
  <c r="I890"/>
  <c r="H890"/>
  <c r="G890"/>
  <c r="F890"/>
  <c r="E890"/>
  <c r="D890"/>
  <c r="D190" i="1"/>
  <c r="K190" s="1"/>
  <c r="D189"/>
  <c r="K189" s="1"/>
  <c r="L887" i="3"/>
  <c r="K887"/>
  <c r="J887"/>
  <c r="I887"/>
  <c r="H887"/>
  <c r="G887"/>
  <c r="F887"/>
  <c r="E887"/>
  <c r="D887"/>
  <c r="D188" i="1"/>
  <c r="K188" s="1"/>
  <c r="L884" i="3"/>
  <c r="K884"/>
  <c r="J884"/>
  <c r="I884"/>
  <c r="H884"/>
  <c r="G884"/>
  <c r="F884"/>
  <c r="E884"/>
  <c r="D884"/>
  <c r="L881"/>
  <c r="K881"/>
  <c r="J881"/>
  <c r="I881"/>
  <c r="H881"/>
  <c r="G881"/>
  <c r="F881"/>
  <c r="E881"/>
  <c r="D881"/>
  <c r="D187" i="1"/>
  <c r="K187" s="1"/>
  <c r="L878" i="3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N936" l="1"/>
  <c r="O948"/>
  <c r="N948"/>
  <c r="P948"/>
  <c r="P945"/>
  <c r="O945"/>
  <c r="N945"/>
  <c r="P915"/>
  <c r="O915"/>
  <c r="O933"/>
  <c r="O900"/>
  <c r="N903"/>
  <c r="N906"/>
  <c r="O924"/>
  <c r="O939"/>
  <c r="N942"/>
  <c r="Q942" s="1"/>
  <c r="P912"/>
  <c r="N891"/>
  <c r="N897"/>
  <c r="O909"/>
  <c r="P921"/>
  <c r="O894"/>
  <c r="P906"/>
  <c r="O888"/>
  <c r="O897"/>
  <c r="O930"/>
  <c r="N915"/>
  <c r="Q915" s="1"/>
  <c r="P933"/>
  <c r="N939"/>
  <c r="P939"/>
  <c r="O912"/>
  <c r="O921"/>
  <c r="O942"/>
  <c r="P942"/>
  <c r="O936"/>
  <c r="P936"/>
  <c r="N933"/>
  <c r="N930"/>
  <c r="Q930" s="1"/>
  <c r="P930"/>
  <c r="P927"/>
  <c r="N927"/>
  <c r="O927"/>
  <c r="N924"/>
  <c r="P924"/>
  <c r="N921"/>
  <c r="O918"/>
  <c r="N918"/>
  <c r="P918"/>
  <c r="N912"/>
  <c r="P909"/>
  <c r="N909"/>
  <c r="O906"/>
  <c r="P903"/>
  <c r="O903"/>
  <c r="N900"/>
  <c r="Q900" s="1"/>
  <c r="P900"/>
  <c r="P897"/>
  <c r="N894"/>
  <c r="Q894" s="1"/>
  <c r="P894"/>
  <c r="P891"/>
  <c r="O891"/>
  <c r="N888"/>
  <c r="P888"/>
  <c r="O876"/>
  <c r="N876"/>
  <c r="O882"/>
  <c r="N885"/>
  <c r="P885"/>
  <c r="O885"/>
  <c r="N882"/>
  <c r="Q882" s="1"/>
  <c r="P882"/>
  <c r="N879"/>
  <c r="Q879" s="1"/>
  <c r="O879"/>
  <c r="P879"/>
  <c r="P876"/>
  <c r="P873"/>
  <c r="N873"/>
  <c r="O873"/>
  <c r="Q912" l="1"/>
  <c r="Q939"/>
  <c r="Q888"/>
  <c r="Q891"/>
  <c r="R891" s="1"/>
  <c r="Q903"/>
  <c r="Q873"/>
  <c r="R873" s="1"/>
  <c r="Q876"/>
  <c r="R876" s="1"/>
  <c r="Q921"/>
  <c r="R921" s="1"/>
  <c r="Q927"/>
  <c r="R927" s="1"/>
  <c r="Q933"/>
  <c r="Q906"/>
  <c r="R906" s="1"/>
  <c r="Q936"/>
  <c r="R936" s="1"/>
  <c r="Q885"/>
  <c r="Q909"/>
  <c r="Q918"/>
  <c r="R918" s="1"/>
  <c r="Q924"/>
  <c r="R924" s="1"/>
  <c r="Q897"/>
  <c r="R897" s="1"/>
  <c r="Q945"/>
  <c r="R945" s="1"/>
  <c r="Q948"/>
  <c r="R948" s="1"/>
  <c r="R888"/>
  <c r="R903"/>
  <c r="R930"/>
  <c r="R915"/>
  <c r="R912"/>
  <c r="R885"/>
  <c r="R933"/>
  <c r="R942"/>
  <c r="R939"/>
  <c r="R882"/>
  <c r="R900"/>
  <c r="R909"/>
  <c r="R894"/>
  <c r="R879"/>
  <c r="D186" i="1"/>
  <c r="K186" s="1"/>
  <c r="D185"/>
  <c r="L872" i="3"/>
  <c r="K872"/>
  <c r="J872"/>
  <c r="I872"/>
  <c r="H872"/>
  <c r="G872"/>
  <c r="F872"/>
  <c r="E872"/>
  <c r="D872"/>
  <c r="D184" i="1"/>
  <c r="K184" s="1"/>
  <c r="L869" i="3"/>
  <c r="K869"/>
  <c r="J869"/>
  <c r="I869"/>
  <c r="H869"/>
  <c r="G869"/>
  <c r="F869"/>
  <c r="E869"/>
  <c r="D869"/>
  <c r="D866"/>
  <c r="L866"/>
  <c r="K866"/>
  <c r="G866"/>
  <c r="D183" i="1"/>
  <c r="K183" s="1"/>
  <c r="J866" i="3"/>
  <c r="I866"/>
  <c r="H866"/>
  <c r="F866"/>
  <c r="E866"/>
  <c r="L863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D178" i="1"/>
  <c r="K178" s="1"/>
  <c r="D182"/>
  <c r="K182" s="1"/>
  <c r="D181"/>
  <c r="K181" s="1"/>
  <c r="D180"/>
  <c r="K180" s="1"/>
  <c r="L857" i="3"/>
  <c r="K857"/>
  <c r="J857"/>
  <c r="I857"/>
  <c r="H857"/>
  <c r="G857"/>
  <c r="F857"/>
  <c r="E857"/>
  <c r="D857"/>
  <c r="D177" i="1"/>
  <c r="K177" s="1"/>
  <c r="L854" i="3"/>
  <c r="K854"/>
  <c r="J854"/>
  <c r="I854"/>
  <c r="H854"/>
  <c r="G854"/>
  <c r="F854"/>
  <c r="E854"/>
  <c r="D854"/>
  <c r="D176" i="1"/>
  <c r="K176" s="1"/>
  <c r="L851" i="3"/>
  <c r="K851"/>
  <c r="J851"/>
  <c r="I851"/>
  <c r="H851"/>
  <c r="G851"/>
  <c r="F851"/>
  <c r="E851"/>
  <c r="D851"/>
  <c r="D848"/>
  <c r="E848"/>
  <c r="F848"/>
  <c r="G848"/>
  <c r="H848"/>
  <c r="I848"/>
  <c r="J848"/>
  <c r="K848"/>
  <c r="L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O858" l="1"/>
  <c r="N849"/>
  <c r="P858"/>
  <c r="N855"/>
  <c r="N870"/>
  <c r="P870"/>
  <c r="O870"/>
  <c r="N867"/>
  <c r="P867"/>
  <c r="O867"/>
  <c r="O864"/>
  <c r="N864"/>
  <c r="P864"/>
  <c r="N861"/>
  <c r="P861"/>
  <c r="O861"/>
  <c r="N858"/>
  <c r="P855"/>
  <c r="O855"/>
  <c r="N852"/>
  <c r="P852"/>
  <c r="O852"/>
  <c r="P849"/>
  <c r="O849"/>
  <c r="P846"/>
  <c r="O846"/>
  <c r="N846"/>
  <c r="P840"/>
  <c r="N843"/>
  <c r="P843"/>
  <c r="O843"/>
  <c r="O840"/>
  <c r="N840"/>
  <c r="N837"/>
  <c r="P837"/>
  <c r="O837"/>
  <c r="D171" i="1"/>
  <c r="K171" s="1"/>
  <c r="K836" i="3"/>
  <c r="J836"/>
  <c r="I836"/>
  <c r="H836"/>
  <c r="G836"/>
  <c r="F836"/>
  <c r="E836"/>
  <c r="D836"/>
  <c r="L824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D169" i="1"/>
  <c r="K169" s="1"/>
  <c r="L818" i="3"/>
  <c r="K818"/>
  <c r="J818"/>
  <c r="I818"/>
  <c r="H818"/>
  <c r="G818"/>
  <c r="F818"/>
  <c r="E818"/>
  <c r="D818"/>
  <c r="D168" i="1"/>
  <c r="K168" s="1"/>
  <c r="D815" i="3"/>
  <c r="E815"/>
  <c r="F815"/>
  <c r="G815"/>
  <c r="H815"/>
  <c r="I815"/>
  <c r="J815"/>
  <c r="K815"/>
  <c r="L815"/>
  <c r="L812"/>
  <c r="K812"/>
  <c r="J812"/>
  <c r="H812"/>
  <c r="G812"/>
  <c r="F812"/>
  <c r="E812"/>
  <c r="D812"/>
  <c r="L809"/>
  <c r="K809"/>
  <c r="J809"/>
  <c r="H809"/>
  <c r="G809"/>
  <c r="F809"/>
  <c r="E809"/>
  <c r="D809"/>
  <c r="L806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D167" i="1"/>
  <c r="K167" s="1"/>
  <c r="D165"/>
  <c r="K165" s="1"/>
  <c r="D163"/>
  <c r="K163" s="1"/>
  <c r="L773" i="3"/>
  <c r="K773"/>
  <c r="J773"/>
  <c r="I773"/>
  <c r="H773"/>
  <c r="G773"/>
  <c r="F773"/>
  <c r="E773"/>
  <c r="D773"/>
  <c r="D155" i="1"/>
  <c r="K155" s="1"/>
  <c r="D154"/>
  <c r="K154" s="1"/>
  <c r="L764" i="3"/>
  <c r="K764"/>
  <c r="J764"/>
  <c r="I764"/>
  <c r="H764"/>
  <c r="G764"/>
  <c r="F764"/>
  <c r="E764"/>
  <c r="D764"/>
  <c r="D152" i="1"/>
  <c r="K152" s="1"/>
  <c r="L800" i="3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L79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D785"/>
  <c r="E785"/>
  <c r="F785"/>
  <c r="G785"/>
  <c r="H785"/>
  <c r="I785"/>
  <c r="J785"/>
  <c r="K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D149" i="1"/>
  <c r="K149" s="1"/>
  <c r="D148"/>
  <c r="K148" s="1"/>
  <c r="D146"/>
  <c r="K146" s="1"/>
  <c r="D746" i="3"/>
  <c r="D743"/>
  <c r="D740"/>
  <c r="L737"/>
  <c r="K737"/>
  <c r="J737"/>
  <c r="I737"/>
  <c r="H737"/>
  <c r="G737"/>
  <c r="F737"/>
  <c r="E737"/>
  <c r="D737"/>
  <c r="D144" i="1"/>
  <c r="K144" s="1"/>
  <c r="L755" i="3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L743"/>
  <c r="K743"/>
  <c r="J743"/>
  <c r="I743"/>
  <c r="H743"/>
  <c r="G743"/>
  <c r="F743"/>
  <c r="E743"/>
  <c r="L740"/>
  <c r="K740"/>
  <c r="J740"/>
  <c r="I740"/>
  <c r="H740"/>
  <c r="G740"/>
  <c r="F740"/>
  <c r="E740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D719"/>
  <c r="E719"/>
  <c r="F719"/>
  <c r="G719"/>
  <c r="H719"/>
  <c r="I719"/>
  <c r="J719"/>
  <c r="K719"/>
  <c r="L719"/>
  <c r="L716"/>
  <c r="K716"/>
  <c r="J716"/>
  <c r="I716"/>
  <c r="H716"/>
  <c r="G716"/>
  <c r="F716"/>
  <c r="E716"/>
  <c r="D716"/>
  <c r="D138" i="1"/>
  <c r="K138" s="1"/>
  <c r="L692" i="3"/>
  <c r="K692"/>
  <c r="J692"/>
  <c r="I692"/>
  <c r="H692"/>
  <c r="G692"/>
  <c r="F692"/>
  <c r="E692"/>
  <c r="D692"/>
  <c r="D131" i="1"/>
  <c r="K131" s="1"/>
  <c r="M352" i="3"/>
  <c r="M351"/>
  <c r="D353"/>
  <c r="E353"/>
  <c r="F353"/>
  <c r="G353"/>
  <c r="H353"/>
  <c r="I353"/>
  <c r="J353"/>
  <c r="K353"/>
  <c r="L353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F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D153" i="1"/>
  <c r="K153" s="1"/>
  <c r="D156"/>
  <c r="K156" s="1"/>
  <c r="D157"/>
  <c r="K157" s="1"/>
  <c r="D158"/>
  <c r="K158" s="1"/>
  <c r="D159"/>
  <c r="K159" s="1"/>
  <c r="D160"/>
  <c r="K160" s="1"/>
  <c r="D161"/>
  <c r="K161" s="1"/>
  <c r="D162"/>
  <c r="K162" s="1"/>
  <c r="D164"/>
  <c r="K164" s="1"/>
  <c r="D166"/>
  <c r="K166" s="1"/>
  <c r="D170"/>
  <c r="K170" s="1"/>
  <c r="D172"/>
  <c r="K172" s="1"/>
  <c r="D173"/>
  <c r="K173" s="1"/>
  <c r="D174"/>
  <c r="K174" s="1"/>
  <c r="D175"/>
  <c r="K175" s="1"/>
  <c r="D179"/>
  <c r="K179" s="1"/>
  <c r="D140"/>
  <c r="K140" s="1"/>
  <c r="D141"/>
  <c r="K141" s="1"/>
  <c r="D142"/>
  <c r="K142" s="1"/>
  <c r="D143"/>
  <c r="K143" s="1"/>
  <c r="D145"/>
  <c r="K145" s="1"/>
  <c r="D147"/>
  <c r="K147" s="1"/>
  <c r="D150"/>
  <c r="K150" s="1"/>
  <c r="D151"/>
  <c r="K151" s="1"/>
  <c r="D133"/>
  <c r="K133" s="1"/>
  <c r="D134"/>
  <c r="K134" s="1"/>
  <c r="D135"/>
  <c r="K135" s="1"/>
  <c r="D136"/>
  <c r="K136" s="1"/>
  <c r="D137"/>
  <c r="K137" s="1"/>
  <c r="D139"/>
  <c r="K139" s="1"/>
  <c r="D132"/>
  <c r="K132" s="1"/>
  <c r="L689" i="3"/>
  <c r="K689"/>
  <c r="J689"/>
  <c r="I689"/>
  <c r="H689"/>
  <c r="G689"/>
  <c r="F689"/>
  <c r="E689"/>
  <c r="D689"/>
  <c r="D130" i="1"/>
  <c r="K130" s="1"/>
  <c r="L686" i="3"/>
  <c r="K686"/>
  <c r="J686"/>
  <c r="I686"/>
  <c r="H686"/>
  <c r="G686"/>
  <c r="D686"/>
  <c r="E686"/>
  <c r="F686"/>
  <c r="M685"/>
  <c r="M684"/>
  <c r="D129" i="1"/>
  <c r="K129" s="1"/>
  <c r="M624" i="3"/>
  <c r="M625"/>
  <c r="M627"/>
  <c r="M628"/>
  <c r="M630"/>
  <c r="M631"/>
  <c r="M633"/>
  <c r="M634"/>
  <c r="M636"/>
  <c r="M637"/>
  <c r="M639"/>
  <c r="M640"/>
  <c r="M642"/>
  <c r="M643"/>
  <c r="M645"/>
  <c r="M646"/>
  <c r="M648"/>
  <c r="M649"/>
  <c r="M651"/>
  <c r="M652"/>
  <c r="M654"/>
  <c r="M655"/>
  <c r="M657"/>
  <c r="M658"/>
  <c r="M660"/>
  <c r="M661"/>
  <c r="M663"/>
  <c r="M664"/>
  <c r="M666"/>
  <c r="M667"/>
  <c r="M669"/>
  <c r="M670"/>
  <c r="M672"/>
  <c r="M673"/>
  <c r="M675"/>
  <c r="M676"/>
  <c r="M678"/>
  <c r="M679"/>
  <c r="M681"/>
  <c r="M682"/>
  <c r="M621"/>
  <c r="M622"/>
  <c r="M619"/>
  <c r="M618"/>
  <c r="M616"/>
  <c r="M615"/>
  <c r="L683"/>
  <c r="K683"/>
  <c r="J683"/>
  <c r="I683"/>
  <c r="H683"/>
  <c r="G683"/>
  <c r="F683"/>
  <c r="E683"/>
  <c r="D683"/>
  <c r="L680"/>
  <c r="D680"/>
  <c r="E680"/>
  <c r="F680"/>
  <c r="G680"/>
  <c r="H680"/>
  <c r="I680"/>
  <c r="J680"/>
  <c r="K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D659"/>
  <c r="E659"/>
  <c r="L656"/>
  <c r="K656"/>
  <c r="J656"/>
  <c r="I656"/>
  <c r="H656"/>
  <c r="G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D644"/>
  <c r="E644"/>
  <c r="F644"/>
  <c r="G644"/>
  <c r="H644"/>
  <c r="I644"/>
  <c r="J644"/>
  <c r="K644"/>
  <c r="L641"/>
  <c r="K641"/>
  <c r="J641"/>
  <c r="I641"/>
  <c r="H641"/>
  <c r="G641"/>
  <c r="F641"/>
  <c r="E641"/>
  <c r="D641"/>
  <c r="L638"/>
  <c r="D638"/>
  <c r="E638"/>
  <c r="F638"/>
  <c r="G638"/>
  <c r="H638"/>
  <c r="I638"/>
  <c r="J638"/>
  <c r="K638"/>
  <c r="L635"/>
  <c r="K635"/>
  <c r="J635"/>
  <c r="I635"/>
  <c r="H635"/>
  <c r="G635"/>
  <c r="F635"/>
  <c r="E635"/>
  <c r="D635"/>
  <c r="L632"/>
  <c r="D632"/>
  <c r="E632"/>
  <c r="F632"/>
  <c r="G632"/>
  <c r="H632"/>
  <c r="I632"/>
  <c r="J632"/>
  <c r="K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D614"/>
  <c r="E614"/>
  <c r="F614"/>
  <c r="M613"/>
  <c r="M612"/>
  <c r="L611"/>
  <c r="K611"/>
  <c r="J611"/>
  <c r="I611"/>
  <c r="H611"/>
  <c r="G611"/>
  <c r="F611"/>
  <c r="E611"/>
  <c r="D611"/>
  <c r="M610"/>
  <c r="M609"/>
  <c r="L608"/>
  <c r="K608"/>
  <c r="J608"/>
  <c r="I608"/>
  <c r="H608"/>
  <c r="G608"/>
  <c r="F608"/>
  <c r="E608"/>
  <c r="D608"/>
  <c r="M607"/>
  <c r="M606"/>
  <c r="L605"/>
  <c r="K605"/>
  <c r="J605"/>
  <c r="I605"/>
  <c r="H605"/>
  <c r="G605"/>
  <c r="F605"/>
  <c r="E605"/>
  <c r="D605"/>
  <c r="M604"/>
  <c r="M603"/>
  <c r="D128" i="1"/>
  <c r="K128" s="1"/>
  <c r="D127"/>
  <c r="K127" s="1"/>
  <c r="D126"/>
  <c r="K126" s="1"/>
  <c r="D125"/>
  <c r="K125" s="1"/>
  <c r="D124"/>
  <c r="K124" s="1"/>
  <c r="D123"/>
  <c r="K123" s="1"/>
  <c r="D122"/>
  <c r="K122" s="1"/>
  <c r="D121"/>
  <c r="K121" s="1"/>
  <c r="D120"/>
  <c r="K120" s="1"/>
  <c r="D119"/>
  <c r="K119" s="1"/>
  <c r="D118"/>
  <c r="K118" s="1"/>
  <c r="D117"/>
  <c r="K117" s="1"/>
  <c r="D116"/>
  <c r="K116" s="1"/>
  <c r="D115"/>
  <c r="K115" s="1"/>
  <c r="D114"/>
  <c r="K114" s="1"/>
  <c r="D113"/>
  <c r="K113" s="1"/>
  <c r="D112"/>
  <c r="K112" s="1"/>
  <c r="D111"/>
  <c r="K111" s="1"/>
  <c r="D110"/>
  <c r="K110" s="1"/>
  <c r="D109"/>
  <c r="K109" s="1"/>
  <c r="D108"/>
  <c r="K108" s="1"/>
  <c r="D107"/>
  <c r="K107" s="1"/>
  <c r="D106"/>
  <c r="K106" s="1"/>
  <c r="D105"/>
  <c r="K105" s="1"/>
  <c r="D602" i="3"/>
  <c r="E602"/>
  <c r="F602"/>
  <c r="G602"/>
  <c r="H602"/>
  <c r="I602"/>
  <c r="J602"/>
  <c r="K602"/>
  <c r="L602"/>
  <c r="M601"/>
  <c r="M600"/>
  <c r="D104" i="1"/>
  <c r="K104" s="1"/>
  <c r="D599" i="3"/>
  <c r="L599"/>
  <c r="K599"/>
  <c r="J599"/>
  <c r="I599"/>
  <c r="H599"/>
  <c r="G599"/>
  <c r="F599"/>
  <c r="E599"/>
  <c r="M598"/>
  <c r="M597"/>
  <c r="L596"/>
  <c r="K596"/>
  <c r="J596"/>
  <c r="I596"/>
  <c r="H596"/>
  <c r="G596"/>
  <c r="F596"/>
  <c r="E596"/>
  <c r="D596"/>
  <c r="M595"/>
  <c r="M594"/>
  <c r="L593"/>
  <c r="K593"/>
  <c r="J593"/>
  <c r="I593"/>
  <c r="H593"/>
  <c r="G593"/>
  <c r="F593"/>
  <c r="E593"/>
  <c r="D593"/>
  <c r="M592"/>
  <c r="M591"/>
  <c r="L590"/>
  <c r="K590"/>
  <c r="J590"/>
  <c r="I590"/>
  <c r="H590"/>
  <c r="G590"/>
  <c r="F590"/>
  <c r="E590"/>
  <c r="D590"/>
  <c r="M589"/>
  <c r="M588"/>
  <c r="L587"/>
  <c r="K587"/>
  <c r="J587"/>
  <c r="I587"/>
  <c r="H587"/>
  <c r="G587"/>
  <c r="F587"/>
  <c r="E587"/>
  <c r="D587"/>
  <c r="M586"/>
  <c r="M585"/>
  <c r="L584"/>
  <c r="K584"/>
  <c r="J584"/>
  <c r="I584"/>
  <c r="H584"/>
  <c r="G584"/>
  <c r="F584"/>
  <c r="E584"/>
  <c r="D584"/>
  <c r="M583"/>
  <c r="M582"/>
  <c r="L581"/>
  <c r="K581"/>
  <c r="J581"/>
  <c r="I581"/>
  <c r="H581"/>
  <c r="G581"/>
  <c r="F581"/>
  <c r="E581"/>
  <c r="D581"/>
  <c r="M580"/>
  <c r="M579"/>
  <c r="L578"/>
  <c r="K578"/>
  <c r="J578"/>
  <c r="I578"/>
  <c r="H578"/>
  <c r="G578"/>
  <c r="F578"/>
  <c r="E578"/>
  <c r="D578"/>
  <c r="M577"/>
  <c r="M576"/>
  <c r="L575"/>
  <c r="K575"/>
  <c r="J575"/>
  <c r="I575"/>
  <c r="H575"/>
  <c r="G575"/>
  <c r="F575"/>
  <c r="E575"/>
  <c r="D575"/>
  <c r="M574"/>
  <c r="M573"/>
  <c r="L572"/>
  <c r="K572"/>
  <c r="J572"/>
  <c r="I572"/>
  <c r="H572"/>
  <c r="G572"/>
  <c r="F572"/>
  <c r="E572"/>
  <c r="D572"/>
  <c r="M571"/>
  <c r="M570"/>
  <c r="L569"/>
  <c r="K569"/>
  <c r="J569"/>
  <c r="I569"/>
  <c r="H569"/>
  <c r="G569"/>
  <c r="F569"/>
  <c r="E569"/>
  <c r="D569"/>
  <c r="M568"/>
  <c r="M567"/>
  <c r="L566"/>
  <c r="K566"/>
  <c r="J566"/>
  <c r="I566"/>
  <c r="H566"/>
  <c r="G566"/>
  <c r="F566"/>
  <c r="E566"/>
  <c r="D566"/>
  <c r="M565"/>
  <c r="M564"/>
  <c r="L563"/>
  <c r="K563"/>
  <c r="J563"/>
  <c r="I563"/>
  <c r="H563"/>
  <c r="G563"/>
  <c r="F563"/>
  <c r="E563"/>
  <c r="D563"/>
  <c r="M562"/>
  <c r="M561"/>
  <c r="L560"/>
  <c r="K560"/>
  <c r="J560"/>
  <c r="I560"/>
  <c r="H560"/>
  <c r="G560"/>
  <c r="F560"/>
  <c r="E560"/>
  <c r="D560"/>
  <c r="M559"/>
  <c r="M558"/>
  <c r="L557"/>
  <c r="K557"/>
  <c r="J557"/>
  <c r="I557"/>
  <c r="H557"/>
  <c r="G557"/>
  <c r="F557"/>
  <c r="E557"/>
  <c r="D557"/>
  <c r="M556"/>
  <c r="M555"/>
  <c r="L554"/>
  <c r="K554"/>
  <c r="J554"/>
  <c r="I554"/>
  <c r="H554"/>
  <c r="G554"/>
  <c r="F554"/>
  <c r="E554"/>
  <c r="D554"/>
  <c r="M553"/>
  <c r="M552"/>
  <c r="L551"/>
  <c r="K551"/>
  <c r="J551"/>
  <c r="I551"/>
  <c r="H551"/>
  <c r="G551"/>
  <c r="F551"/>
  <c r="E551"/>
  <c r="D551"/>
  <c r="M550"/>
  <c r="M549"/>
  <c r="L548"/>
  <c r="K548"/>
  <c r="J548"/>
  <c r="I548"/>
  <c r="H548"/>
  <c r="G548"/>
  <c r="F548"/>
  <c r="E548"/>
  <c r="D548"/>
  <c r="M547"/>
  <c r="M546"/>
  <c r="L545"/>
  <c r="K545"/>
  <c r="J545"/>
  <c r="I545"/>
  <c r="H545"/>
  <c r="G545"/>
  <c r="F545"/>
  <c r="E545"/>
  <c r="D545"/>
  <c r="M544"/>
  <c r="M543"/>
  <c r="L542"/>
  <c r="K542"/>
  <c r="J542"/>
  <c r="I542"/>
  <c r="H542"/>
  <c r="G542"/>
  <c r="F542"/>
  <c r="E542"/>
  <c r="D542"/>
  <c r="M541"/>
  <c r="M540"/>
  <c r="L539"/>
  <c r="K539"/>
  <c r="J539"/>
  <c r="I539"/>
  <c r="H539"/>
  <c r="G539"/>
  <c r="F539"/>
  <c r="E539"/>
  <c r="D539"/>
  <c r="M538"/>
  <c r="M537"/>
  <c r="L536"/>
  <c r="K536"/>
  <c r="J536"/>
  <c r="I536"/>
  <c r="H536"/>
  <c r="G536"/>
  <c r="F536"/>
  <c r="E536"/>
  <c r="D536"/>
  <c r="M535"/>
  <c r="M534"/>
  <c r="L533"/>
  <c r="K533"/>
  <c r="J533"/>
  <c r="I533"/>
  <c r="H533"/>
  <c r="G533"/>
  <c r="F533"/>
  <c r="E533"/>
  <c r="D533"/>
  <c r="M532"/>
  <c r="M531"/>
  <c r="L530"/>
  <c r="K530"/>
  <c r="J530"/>
  <c r="I530"/>
  <c r="H530"/>
  <c r="G530"/>
  <c r="F530"/>
  <c r="E530"/>
  <c r="D530"/>
  <c r="M529"/>
  <c r="M528"/>
  <c r="L527"/>
  <c r="K527"/>
  <c r="J527"/>
  <c r="I527"/>
  <c r="H527"/>
  <c r="G527"/>
  <c r="F527"/>
  <c r="E527"/>
  <c r="D527"/>
  <c r="M526"/>
  <c r="M525"/>
  <c r="L524"/>
  <c r="K524"/>
  <c r="J524"/>
  <c r="I524"/>
  <c r="H524"/>
  <c r="G524"/>
  <c r="F524"/>
  <c r="E524"/>
  <c r="D524"/>
  <c r="M523"/>
  <c r="M522"/>
  <c r="L521"/>
  <c r="K521"/>
  <c r="J521"/>
  <c r="I521"/>
  <c r="H521"/>
  <c r="G521"/>
  <c r="F521"/>
  <c r="E521"/>
  <c r="D521"/>
  <c r="M520"/>
  <c r="M519"/>
  <c r="L518"/>
  <c r="K518"/>
  <c r="J518"/>
  <c r="I518"/>
  <c r="H518"/>
  <c r="G518"/>
  <c r="F518"/>
  <c r="E518"/>
  <c r="D518"/>
  <c r="M517"/>
  <c r="M516"/>
  <c r="L515"/>
  <c r="K515"/>
  <c r="J515"/>
  <c r="I515"/>
  <c r="H515"/>
  <c r="G515"/>
  <c r="F515"/>
  <c r="E515"/>
  <c r="D515"/>
  <c r="M514"/>
  <c r="M513"/>
  <c r="L512"/>
  <c r="K512"/>
  <c r="J512"/>
  <c r="I512"/>
  <c r="H512"/>
  <c r="G512"/>
  <c r="F512"/>
  <c r="E512"/>
  <c r="D512"/>
  <c r="M511"/>
  <c r="M510"/>
  <c r="L509"/>
  <c r="K509"/>
  <c r="J509"/>
  <c r="I509"/>
  <c r="H509"/>
  <c r="G509"/>
  <c r="F509"/>
  <c r="E509"/>
  <c r="D509"/>
  <c r="M508"/>
  <c r="M507"/>
  <c r="L506"/>
  <c r="K506"/>
  <c r="J506"/>
  <c r="I506"/>
  <c r="H506"/>
  <c r="G506"/>
  <c r="F506"/>
  <c r="E506"/>
  <c r="D506"/>
  <c r="M505"/>
  <c r="M504"/>
  <c r="L503"/>
  <c r="K503"/>
  <c r="J503"/>
  <c r="I503"/>
  <c r="H503"/>
  <c r="G503"/>
  <c r="F503"/>
  <c r="E503"/>
  <c r="D503"/>
  <c r="M502"/>
  <c r="M501"/>
  <c r="L500"/>
  <c r="K500"/>
  <c r="J500"/>
  <c r="I500"/>
  <c r="H500"/>
  <c r="G500"/>
  <c r="F500"/>
  <c r="E500"/>
  <c r="D500"/>
  <c r="M499"/>
  <c r="M498"/>
  <c r="L497"/>
  <c r="K497"/>
  <c r="J497"/>
  <c r="I497"/>
  <c r="H497"/>
  <c r="G497"/>
  <c r="F497"/>
  <c r="E497"/>
  <c r="D497"/>
  <c r="M496"/>
  <c r="M495"/>
  <c r="L494"/>
  <c r="K494"/>
  <c r="J494"/>
  <c r="I494"/>
  <c r="H494"/>
  <c r="G494"/>
  <c r="F494"/>
  <c r="E494"/>
  <c r="D494"/>
  <c r="M493"/>
  <c r="M492"/>
  <c r="L491"/>
  <c r="K491"/>
  <c r="J491"/>
  <c r="I491"/>
  <c r="H491"/>
  <c r="G491"/>
  <c r="F491"/>
  <c r="E491"/>
  <c r="D491"/>
  <c r="M490"/>
  <c r="M489"/>
  <c r="L488"/>
  <c r="K488"/>
  <c r="J488"/>
  <c r="I488"/>
  <c r="H488"/>
  <c r="G488"/>
  <c r="F488"/>
  <c r="E488"/>
  <c r="D488"/>
  <c r="M487"/>
  <c r="M486"/>
  <c r="L485"/>
  <c r="K485"/>
  <c r="J485"/>
  <c r="I485"/>
  <c r="H485"/>
  <c r="G485"/>
  <c r="F485"/>
  <c r="E485"/>
  <c r="D485"/>
  <c r="M484"/>
  <c r="M483"/>
  <c r="L482"/>
  <c r="K482"/>
  <c r="J482"/>
  <c r="I482"/>
  <c r="H482"/>
  <c r="G482"/>
  <c r="F482"/>
  <c r="E482"/>
  <c r="D482"/>
  <c r="M481"/>
  <c r="M480"/>
  <c r="L479"/>
  <c r="K479"/>
  <c r="J479"/>
  <c r="I479"/>
  <c r="H479"/>
  <c r="G479"/>
  <c r="F479"/>
  <c r="E479"/>
  <c r="D479"/>
  <c r="M478"/>
  <c r="M477"/>
  <c r="L476"/>
  <c r="K476"/>
  <c r="J476"/>
  <c r="I476"/>
  <c r="H476"/>
  <c r="G476"/>
  <c r="F476"/>
  <c r="E476"/>
  <c r="D476"/>
  <c r="M475"/>
  <c r="M474"/>
  <c r="L473"/>
  <c r="K473"/>
  <c r="J473"/>
  <c r="I473"/>
  <c r="H473"/>
  <c r="G473"/>
  <c r="F473"/>
  <c r="E473"/>
  <c r="D473"/>
  <c r="M472"/>
  <c r="M471"/>
  <c r="L470"/>
  <c r="K470"/>
  <c r="J470"/>
  <c r="I470"/>
  <c r="H470"/>
  <c r="G470"/>
  <c r="F470"/>
  <c r="E470"/>
  <c r="D470"/>
  <c r="M469"/>
  <c r="M468"/>
  <c r="L467"/>
  <c r="K467"/>
  <c r="J467"/>
  <c r="I467"/>
  <c r="H467"/>
  <c r="G467"/>
  <c r="F467"/>
  <c r="E467"/>
  <c r="D467"/>
  <c r="M466"/>
  <c r="M465"/>
  <c r="L464"/>
  <c r="K464"/>
  <c r="J464"/>
  <c r="I464"/>
  <c r="H464"/>
  <c r="G464"/>
  <c r="F464"/>
  <c r="E464"/>
  <c r="D464"/>
  <c r="M463"/>
  <c r="M462"/>
  <c r="L461"/>
  <c r="K461"/>
  <c r="J461"/>
  <c r="I461"/>
  <c r="H461"/>
  <c r="G461"/>
  <c r="F461"/>
  <c r="E461"/>
  <c r="D461"/>
  <c r="M460"/>
  <c r="M459"/>
  <c r="L458"/>
  <c r="K458"/>
  <c r="J458"/>
  <c r="I458"/>
  <c r="H458"/>
  <c r="G458"/>
  <c r="F458"/>
  <c r="E458"/>
  <c r="D458"/>
  <c r="M457"/>
  <c r="M456"/>
  <c r="L455"/>
  <c r="K455"/>
  <c r="J455"/>
  <c r="I455"/>
  <c r="H455"/>
  <c r="G455"/>
  <c r="F455"/>
  <c r="E455"/>
  <c r="D455"/>
  <c r="M454"/>
  <c r="M453"/>
  <c r="L452"/>
  <c r="K452"/>
  <c r="J452"/>
  <c r="I452"/>
  <c r="H452"/>
  <c r="G452"/>
  <c r="F452"/>
  <c r="E452"/>
  <c r="D452"/>
  <c r="M451"/>
  <c r="M450"/>
  <c r="L449"/>
  <c r="K449"/>
  <c r="J449"/>
  <c r="I449"/>
  <c r="H449"/>
  <c r="G449"/>
  <c r="F449"/>
  <c r="E449"/>
  <c r="D449"/>
  <c r="M448"/>
  <c r="M447"/>
  <c r="L446"/>
  <c r="K446"/>
  <c r="J446"/>
  <c r="I446"/>
  <c r="H446"/>
  <c r="G446"/>
  <c r="F446"/>
  <c r="E446"/>
  <c r="D446"/>
  <c r="M445"/>
  <c r="M444"/>
  <c r="L443"/>
  <c r="K443"/>
  <c r="J443"/>
  <c r="I443"/>
  <c r="H443"/>
  <c r="G443"/>
  <c r="F443"/>
  <c r="E443"/>
  <c r="D443"/>
  <c r="M442"/>
  <c r="M441"/>
  <c r="L440"/>
  <c r="K440"/>
  <c r="J440"/>
  <c r="I440"/>
  <c r="H440"/>
  <c r="G440"/>
  <c r="F440"/>
  <c r="E440"/>
  <c r="D440"/>
  <c r="M439"/>
  <c r="M438"/>
  <c r="L437"/>
  <c r="K437"/>
  <c r="J437"/>
  <c r="I437"/>
  <c r="H437"/>
  <c r="G437"/>
  <c r="F437"/>
  <c r="E437"/>
  <c r="D437"/>
  <c r="M436"/>
  <c r="M435"/>
  <c r="L434"/>
  <c r="K434"/>
  <c r="J434"/>
  <c r="I434"/>
  <c r="H434"/>
  <c r="G434"/>
  <c r="F434"/>
  <c r="E434"/>
  <c r="D434"/>
  <c r="M433"/>
  <c r="M432"/>
  <c r="L431"/>
  <c r="K431"/>
  <c r="J431"/>
  <c r="I431"/>
  <c r="H431"/>
  <c r="G431"/>
  <c r="F431"/>
  <c r="E431"/>
  <c r="D431"/>
  <c r="M430"/>
  <c r="M429"/>
  <c r="L428"/>
  <c r="K428"/>
  <c r="J428"/>
  <c r="I428"/>
  <c r="H428"/>
  <c r="G428"/>
  <c r="F428"/>
  <c r="E428"/>
  <c r="D428"/>
  <c r="M427"/>
  <c r="M426"/>
  <c r="L425"/>
  <c r="K425"/>
  <c r="J425"/>
  <c r="I425"/>
  <c r="H425"/>
  <c r="G425"/>
  <c r="F425"/>
  <c r="E425"/>
  <c r="D425"/>
  <c r="M424"/>
  <c r="M423"/>
  <c r="L422"/>
  <c r="K422"/>
  <c r="J422"/>
  <c r="I422"/>
  <c r="H422"/>
  <c r="G422"/>
  <c r="F422"/>
  <c r="E422"/>
  <c r="D422"/>
  <c r="M421"/>
  <c r="M420"/>
  <c r="L419"/>
  <c r="K419"/>
  <c r="J419"/>
  <c r="I419"/>
  <c r="H419"/>
  <c r="G419"/>
  <c r="F419"/>
  <c r="E419"/>
  <c r="D419"/>
  <c r="M418"/>
  <c r="M417"/>
  <c r="L416"/>
  <c r="K416"/>
  <c r="J416"/>
  <c r="I416"/>
  <c r="H416"/>
  <c r="G416"/>
  <c r="F416"/>
  <c r="E416"/>
  <c r="D416"/>
  <c r="M415"/>
  <c r="M414"/>
  <c r="L413"/>
  <c r="K413"/>
  <c r="J413"/>
  <c r="I413"/>
  <c r="H413"/>
  <c r="G413"/>
  <c r="F413"/>
  <c r="E413"/>
  <c r="D413"/>
  <c r="M412"/>
  <c r="M411"/>
  <c r="L410"/>
  <c r="K410"/>
  <c r="J410"/>
  <c r="I410"/>
  <c r="H410"/>
  <c r="G410"/>
  <c r="F410"/>
  <c r="E410"/>
  <c r="D410"/>
  <c r="M409"/>
  <c r="M408"/>
  <c r="L407"/>
  <c r="K407"/>
  <c r="J407"/>
  <c r="I407"/>
  <c r="H407"/>
  <c r="G407"/>
  <c r="F407"/>
  <c r="E407"/>
  <c r="D407"/>
  <c r="M406"/>
  <c r="M405"/>
  <c r="L404"/>
  <c r="K404"/>
  <c r="J404"/>
  <c r="I404"/>
  <c r="H404"/>
  <c r="G404"/>
  <c r="F404"/>
  <c r="E404"/>
  <c r="D404"/>
  <c r="M403"/>
  <c r="M402"/>
  <c r="L401"/>
  <c r="K401"/>
  <c r="J401"/>
  <c r="I401"/>
  <c r="H401"/>
  <c r="G401"/>
  <c r="F401"/>
  <c r="E401"/>
  <c r="D401"/>
  <c r="M400"/>
  <c r="M399"/>
  <c r="L398"/>
  <c r="K398"/>
  <c r="J398"/>
  <c r="I398"/>
  <c r="H398"/>
  <c r="G398"/>
  <c r="F398"/>
  <c r="E398"/>
  <c r="D398"/>
  <c r="M397"/>
  <c r="M396"/>
  <c r="L395"/>
  <c r="K395"/>
  <c r="J395"/>
  <c r="I395"/>
  <c r="H395"/>
  <c r="G395"/>
  <c r="F395"/>
  <c r="E395"/>
  <c r="D395"/>
  <c r="M394"/>
  <c r="M393"/>
  <c r="L392"/>
  <c r="K392"/>
  <c r="J392"/>
  <c r="I392"/>
  <c r="H392"/>
  <c r="G392"/>
  <c r="F392"/>
  <c r="E392"/>
  <c r="D392"/>
  <c r="M391"/>
  <c r="M390"/>
  <c r="L389"/>
  <c r="K389"/>
  <c r="J389"/>
  <c r="I389"/>
  <c r="H389"/>
  <c r="G389"/>
  <c r="F389"/>
  <c r="E389"/>
  <c r="D389"/>
  <c r="M388"/>
  <c r="M387"/>
  <c r="L386"/>
  <c r="K386"/>
  <c r="J386"/>
  <c r="I386"/>
  <c r="H386"/>
  <c r="G386"/>
  <c r="F386"/>
  <c r="E386"/>
  <c r="D386"/>
  <c r="M385"/>
  <c r="M384"/>
  <c r="L383"/>
  <c r="K383"/>
  <c r="J383"/>
  <c r="I383"/>
  <c r="H383"/>
  <c r="G383"/>
  <c r="F383"/>
  <c r="E383"/>
  <c r="D383"/>
  <c r="M382"/>
  <c r="M381"/>
  <c r="L380"/>
  <c r="K380"/>
  <c r="J380"/>
  <c r="I380"/>
  <c r="H380"/>
  <c r="G380"/>
  <c r="F380"/>
  <c r="E380"/>
  <c r="D380"/>
  <c r="M379"/>
  <c r="M378"/>
  <c r="L377"/>
  <c r="K377"/>
  <c r="J377"/>
  <c r="I377"/>
  <c r="H377"/>
  <c r="G377"/>
  <c r="F377"/>
  <c r="E377"/>
  <c r="D377"/>
  <c r="M376"/>
  <c r="M375"/>
  <c r="L374"/>
  <c r="K374"/>
  <c r="J374"/>
  <c r="I374"/>
  <c r="H374"/>
  <c r="G374"/>
  <c r="F374"/>
  <c r="E374"/>
  <c r="D374"/>
  <c r="M373"/>
  <c r="M372"/>
  <c r="L371"/>
  <c r="K371"/>
  <c r="J371"/>
  <c r="I371"/>
  <c r="H371"/>
  <c r="G371"/>
  <c r="F371"/>
  <c r="E371"/>
  <c r="D371"/>
  <c r="M370"/>
  <c r="M369"/>
  <c r="L368"/>
  <c r="K368"/>
  <c r="J368"/>
  <c r="I368"/>
  <c r="H368"/>
  <c r="G368"/>
  <c r="F368"/>
  <c r="E368"/>
  <c r="D368"/>
  <c r="M367"/>
  <c r="M366"/>
  <c r="L365"/>
  <c r="K365"/>
  <c r="J365"/>
  <c r="I365"/>
  <c r="H365"/>
  <c r="G365"/>
  <c r="F365"/>
  <c r="E365"/>
  <c r="D365"/>
  <c r="M364"/>
  <c r="M363"/>
  <c r="L362"/>
  <c r="K362"/>
  <c r="J362"/>
  <c r="I362"/>
  <c r="H362"/>
  <c r="G362"/>
  <c r="F362"/>
  <c r="E362"/>
  <c r="D362"/>
  <c r="M361"/>
  <c r="M360"/>
  <c r="L359"/>
  <c r="K359"/>
  <c r="J359"/>
  <c r="I359"/>
  <c r="H359"/>
  <c r="G359"/>
  <c r="F359"/>
  <c r="E359"/>
  <c r="D359"/>
  <c r="M358"/>
  <c r="M357"/>
  <c r="L356"/>
  <c r="K356"/>
  <c r="J356"/>
  <c r="I356"/>
  <c r="H356"/>
  <c r="G356"/>
  <c r="F356"/>
  <c r="E356"/>
  <c r="D356"/>
  <c r="M355"/>
  <c r="M354"/>
  <c r="L350"/>
  <c r="K350"/>
  <c r="J350"/>
  <c r="I350"/>
  <c r="H350"/>
  <c r="G350"/>
  <c r="F350"/>
  <c r="E350"/>
  <c r="D350"/>
  <c r="M349"/>
  <c r="M348"/>
  <c r="L347"/>
  <c r="K347"/>
  <c r="J347"/>
  <c r="I347"/>
  <c r="H347"/>
  <c r="G347"/>
  <c r="F347"/>
  <c r="E347"/>
  <c r="D347"/>
  <c r="M346"/>
  <c r="M345"/>
  <c r="L344"/>
  <c r="K344"/>
  <c r="J344"/>
  <c r="I344"/>
  <c r="H344"/>
  <c r="G344"/>
  <c r="F344"/>
  <c r="E344"/>
  <c r="D344"/>
  <c r="M343"/>
  <c r="M342"/>
  <c r="L341"/>
  <c r="K341"/>
  <c r="J341"/>
  <c r="I341"/>
  <c r="H341"/>
  <c r="G341"/>
  <c r="F341"/>
  <c r="E341"/>
  <c r="D341"/>
  <c r="M340"/>
  <c r="M339"/>
  <c r="L338"/>
  <c r="K338"/>
  <c r="J338"/>
  <c r="I338"/>
  <c r="H338"/>
  <c r="G338"/>
  <c r="F338"/>
  <c r="E338"/>
  <c r="D338"/>
  <c r="M337"/>
  <c r="M336"/>
  <c r="L335"/>
  <c r="K335"/>
  <c r="J335"/>
  <c r="I335"/>
  <c r="H335"/>
  <c r="G335"/>
  <c r="F335"/>
  <c r="E335"/>
  <c r="D335"/>
  <c r="M334"/>
  <c r="M333"/>
  <c r="L332"/>
  <c r="K332"/>
  <c r="J332"/>
  <c r="I332"/>
  <c r="H332"/>
  <c r="G332"/>
  <c r="F332"/>
  <c r="E332"/>
  <c r="D332"/>
  <c r="M331"/>
  <c r="M330"/>
  <c r="L329"/>
  <c r="K329"/>
  <c r="J329"/>
  <c r="I329"/>
  <c r="H329"/>
  <c r="G329"/>
  <c r="F329"/>
  <c r="E329"/>
  <c r="D329"/>
  <c r="M328"/>
  <c r="M327"/>
  <c r="L326"/>
  <c r="K326"/>
  <c r="J326"/>
  <c r="I326"/>
  <c r="H326"/>
  <c r="G326"/>
  <c r="F326"/>
  <c r="E326"/>
  <c r="D326"/>
  <c r="M325"/>
  <c r="M324"/>
  <c r="L323"/>
  <c r="K323"/>
  <c r="J323"/>
  <c r="I323"/>
  <c r="H323"/>
  <c r="G323"/>
  <c r="F323"/>
  <c r="E323"/>
  <c r="D323"/>
  <c r="M322"/>
  <c r="M321"/>
  <c r="L320"/>
  <c r="K320"/>
  <c r="J320"/>
  <c r="I320"/>
  <c r="H320"/>
  <c r="G320"/>
  <c r="F320"/>
  <c r="E320"/>
  <c r="D320"/>
  <c r="M319"/>
  <c r="M318"/>
  <c r="L317"/>
  <c r="K317"/>
  <c r="J317"/>
  <c r="I317"/>
  <c r="H317"/>
  <c r="G317"/>
  <c r="F317"/>
  <c r="E317"/>
  <c r="D317"/>
  <c r="M316"/>
  <c r="M315"/>
  <c r="L314"/>
  <c r="K314"/>
  <c r="J314"/>
  <c r="I314"/>
  <c r="H314"/>
  <c r="G314"/>
  <c r="F314"/>
  <c r="E314"/>
  <c r="D314"/>
  <c r="M313"/>
  <c r="M312"/>
  <c r="L311"/>
  <c r="K311"/>
  <c r="J311"/>
  <c r="I311"/>
  <c r="H311"/>
  <c r="G311"/>
  <c r="F311"/>
  <c r="E311"/>
  <c r="D311"/>
  <c r="M310"/>
  <c r="M309"/>
  <c r="L308"/>
  <c r="K308"/>
  <c r="J308"/>
  <c r="I308"/>
  <c r="H308"/>
  <c r="G308"/>
  <c r="F308"/>
  <c r="E308"/>
  <c r="D308"/>
  <c r="M307"/>
  <c r="M306"/>
  <c r="L305"/>
  <c r="K305"/>
  <c r="J305"/>
  <c r="I305"/>
  <c r="H305"/>
  <c r="G305"/>
  <c r="F305"/>
  <c r="E305"/>
  <c r="D305"/>
  <c r="M304"/>
  <c r="M303"/>
  <c r="L302"/>
  <c r="K302"/>
  <c r="J302"/>
  <c r="I302"/>
  <c r="H302"/>
  <c r="G302"/>
  <c r="F302"/>
  <c r="E302"/>
  <c r="D302"/>
  <c r="M301"/>
  <c r="M300"/>
  <c r="L299"/>
  <c r="K299"/>
  <c r="J299"/>
  <c r="I299"/>
  <c r="H299"/>
  <c r="G299"/>
  <c r="F299"/>
  <c r="E299"/>
  <c r="D299"/>
  <c r="M298"/>
  <c r="M297"/>
  <c r="L296"/>
  <c r="K296"/>
  <c r="J296"/>
  <c r="I296"/>
  <c r="H296"/>
  <c r="G296"/>
  <c r="F296"/>
  <c r="E296"/>
  <c r="D296"/>
  <c r="M295"/>
  <c r="M294"/>
  <c r="L293"/>
  <c r="K293"/>
  <c r="J293"/>
  <c r="I293"/>
  <c r="H293"/>
  <c r="G293"/>
  <c r="F293"/>
  <c r="E293"/>
  <c r="D293"/>
  <c r="M292"/>
  <c r="M291"/>
  <c r="L290"/>
  <c r="K290"/>
  <c r="J290"/>
  <c r="I290"/>
  <c r="H290"/>
  <c r="G290"/>
  <c r="F290"/>
  <c r="E290"/>
  <c r="D290"/>
  <c r="M289"/>
  <c r="M288"/>
  <c r="L287"/>
  <c r="K287"/>
  <c r="J287"/>
  <c r="I287"/>
  <c r="H287"/>
  <c r="G287"/>
  <c r="F287"/>
  <c r="E287"/>
  <c r="D287"/>
  <c r="M286"/>
  <c r="M285"/>
  <c r="L284"/>
  <c r="K284"/>
  <c r="J284"/>
  <c r="I284"/>
  <c r="H284"/>
  <c r="G284"/>
  <c r="F284"/>
  <c r="E284"/>
  <c r="D284"/>
  <c r="M283"/>
  <c r="M282"/>
  <c r="L281"/>
  <c r="K281"/>
  <c r="J281"/>
  <c r="I281"/>
  <c r="H281"/>
  <c r="G281"/>
  <c r="F281"/>
  <c r="E281"/>
  <c r="D281"/>
  <c r="M280"/>
  <c r="M279"/>
  <c r="L278"/>
  <c r="K278"/>
  <c r="J278"/>
  <c r="I278"/>
  <c r="H278"/>
  <c r="G278"/>
  <c r="F278"/>
  <c r="E278"/>
  <c r="D278"/>
  <c r="M277"/>
  <c r="M276"/>
  <c r="L275"/>
  <c r="K275"/>
  <c r="J275"/>
  <c r="I275"/>
  <c r="H275"/>
  <c r="G275"/>
  <c r="F275"/>
  <c r="E275"/>
  <c r="D275"/>
  <c r="M274"/>
  <c r="M273"/>
  <c r="L272"/>
  <c r="K272"/>
  <c r="J272"/>
  <c r="I272"/>
  <c r="H272"/>
  <c r="G272"/>
  <c r="F272"/>
  <c r="E272"/>
  <c r="D272"/>
  <c r="M271"/>
  <c r="M270"/>
  <c r="L269"/>
  <c r="K269"/>
  <c r="J269"/>
  <c r="I269"/>
  <c r="H269"/>
  <c r="G269"/>
  <c r="F269"/>
  <c r="E269"/>
  <c r="D269"/>
  <c r="M268"/>
  <c r="M267"/>
  <c r="L266"/>
  <c r="K266"/>
  <c r="J266"/>
  <c r="I266"/>
  <c r="H266"/>
  <c r="G266"/>
  <c r="F266"/>
  <c r="E266"/>
  <c r="D266"/>
  <c r="M265"/>
  <c r="M264"/>
  <c r="L263"/>
  <c r="K263"/>
  <c r="J263"/>
  <c r="I263"/>
  <c r="H263"/>
  <c r="G263"/>
  <c r="F263"/>
  <c r="E263"/>
  <c r="D263"/>
  <c r="M262"/>
  <c r="M261"/>
  <c r="L260"/>
  <c r="K260"/>
  <c r="J260"/>
  <c r="I260"/>
  <c r="H260"/>
  <c r="G260"/>
  <c r="F260"/>
  <c r="E260"/>
  <c r="D260"/>
  <c r="M259"/>
  <c r="M258"/>
  <c r="L257"/>
  <c r="K257"/>
  <c r="J257"/>
  <c r="I257"/>
  <c r="H257"/>
  <c r="G257"/>
  <c r="F257"/>
  <c r="E257"/>
  <c r="D257"/>
  <c r="M256"/>
  <c r="M255"/>
  <c r="L254"/>
  <c r="K254"/>
  <c r="J254"/>
  <c r="I254"/>
  <c r="H254"/>
  <c r="G254"/>
  <c r="F254"/>
  <c r="E254"/>
  <c r="D254"/>
  <c r="M253"/>
  <c r="M252"/>
  <c r="L251"/>
  <c r="K251"/>
  <c r="J251"/>
  <c r="I251"/>
  <c r="H251"/>
  <c r="G251"/>
  <c r="F251"/>
  <c r="E251"/>
  <c r="D251"/>
  <c r="M250"/>
  <c r="M249"/>
  <c r="L248"/>
  <c r="K248"/>
  <c r="J248"/>
  <c r="I248"/>
  <c r="H248"/>
  <c r="G248"/>
  <c r="F248"/>
  <c r="E248"/>
  <c r="D248"/>
  <c r="M247"/>
  <c r="M246"/>
  <c r="L245"/>
  <c r="K245"/>
  <c r="J245"/>
  <c r="I245"/>
  <c r="H245"/>
  <c r="G245"/>
  <c r="F245"/>
  <c r="E245"/>
  <c r="D245"/>
  <c r="M244"/>
  <c r="M243"/>
  <c r="L242"/>
  <c r="K242"/>
  <c r="J242"/>
  <c r="I242"/>
  <c r="H242"/>
  <c r="G242"/>
  <c r="F242"/>
  <c r="E242"/>
  <c r="D242"/>
  <c r="M241"/>
  <c r="M240"/>
  <c r="L239"/>
  <c r="K239"/>
  <c r="J239"/>
  <c r="I239"/>
  <c r="H239"/>
  <c r="G239"/>
  <c r="F239"/>
  <c r="E239"/>
  <c r="D239"/>
  <c r="M238"/>
  <c r="M237"/>
  <c r="L236"/>
  <c r="K236"/>
  <c r="J236"/>
  <c r="I236"/>
  <c r="H236"/>
  <c r="G236"/>
  <c r="F236"/>
  <c r="E236"/>
  <c r="D236"/>
  <c r="M235"/>
  <c r="M234"/>
  <c r="L233"/>
  <c r="K233"/>
  <c r="J233"/>
  <c r="I233"/>
  <c r="H233"/>
  <c r="G233"/>
  <c r="F233"/>
  <c r="E233"/>
  <c r="D233"/>
  <c r="M232"/>
  <c r="M231"/>
  <c r="L230"/>
  <c r="K230"/>
  <c r="J230"/>
  <c r="I230"/>
  <c r="H230"/>
  <c r="G230"/>
  <c r="F230"/>
  <c r="E230"/>
  <c r="D230"/>
  <c r="M229"/>
  <c r="M228"/>
  <c r="L227"/>
  <c r="K227"/>
  <c r="J227"/>
  <c r="I227"/>
  <c r="H227"/>
  <c r="G227"/>
  <c r="F227"/>
  <c r="E227"/>
  <c r="D227"/>
  <c r="M226"/>
  <c r="M225"/>
  <c r="L224"/>
  <c r="K224"/>
  <c r="J224"/>
  <c r="I224"/>
  <c r="H224"/>
  <c r="G224"/>
  <c r="F224"/>
  <c r="E224"/>
  <c r="D224"/>
  <c r="M223"/>
  <c r="M222"/>
  <c r="L221"/>
  <c r="K221"/>
  <c r="J221"/>
  <c r="I221"/>
  <c r="H221"/>
  <c r="G221"/>
  <c r="F221"/>
  <c r="E221"/>
  <c r="D221"/>
  <c r="M220"/>
  <c r="M219"/>
  <c r="L218"/>
  <c r="K218"/>
  <c r="J218"/>
  <c r="I218"/>
  <c r="H218"/>
  <c r="G218"/>
  <c r="F218"/>
  <c r="E218"/>
  <c r="D218"/>
  <c r="M217"/>
  <c r="M216"/>
  <c r="L215"/>
  <c r="K215"/>
  <c r="J215"/>
  <c r="I215"/>
  <c r="H215"/>
  <c r="G215"/>
  <c r="F215"/>
  <c r="E215"/>
  <c r="D215"/>
  <c r="M214"/>
  <c r="M213"/>
  <c r="L212"/>
  <c r="K212"/>
  <c r="J212"/>
  <c r="I212"/>
  <c r="H212"/>
  <c r="G212"/>
  <c r="F212"/>
  <c r="E212"/>
  <c r="D212"/>
  <c r="M211"/>
  <c r="M210"/>
  <c r="L209"/>
  <c r="K209"/>
  <c r="J209"/>
  <c r="I209"/>
  <c r="H209"/>
  <c r="G209"/>
  <c r="F209"/>
  <c r="E209"/>
  <c r="D209"/>
  <c r="M208"/>
  <c r="M207"/>
  <c r="L206"/>
  <c r="K206"/>
  <c r="J206"/>
  <c r="I206"/>
  <c r="H206"/>
  <c r="G206"/>
  <c r="F206"/>
  <c r="E206"/>
  <c r="D206"/>
  <c r="M205"/>
  <c r="M204"/>
  <c r="L203"/>
  <c r="K203"/>
  <c r="J203"/>
  <c r="I203"/>
  <c r="H203"/>
  <c r="G203"/>
  <c r="F203"/>
  <c r="E203"/>
  <c r="D203"/>
  <c r="M202"/>
  <c r="M201"/>
  <c r="L200"/>
  <c r="K200"/>
  <c r="J200"/>
  <c r="I200"/>
  <c r="H200"/>
  <c r="G200"/>
  <c r="F200"/>
  <c r="E200"/>
  <c r="D200"/>
  <c r="M199"/>
  <c r="M198"/>
  <c r="L197"/>
  <c r="K197"/>
  <c r="J197"/>
  <c r="I197"/>
  <c r="H197"/>
  <c r="G197"/>
  <c r="F197"/>
  <c r="E197"/>
  <c r="D197"/>
  <c r="M196"/>
  <c r="M195"/>
  <c r="L194"/>
  <c r="K194"/>
  <c r="J194"/>
  <c r="I194"/>
  <c r="H194"/>
  <c r="G194"/>
  <c r="F194"/>
  <c r="E194"/>
  <c r="D194"/>
  <c r="M193"/>
  <c r="M192"/>
  <c r="L191"/>
  <c r="K191"/>
  <c r="J191"/>
  <c r="I191"/>
  <c r="H191"/>
  <c r="G191"/>
  <c r="F191"/>
  <c r="E191"/>
  <c r="D191"/>
  <c r="M190"/>
  <c r="M189"/>
  <c r="L188"/>
  <c r="K188"/>
  <c r="J188"/>
  <c r="I188"/>
  <c r="H188"/>
  <c r="G188"/>
  <c r="F188"/>
  <c r="E188"/>
  <c r="D188"/>
  <c r="M187"/>
  <c r="M186"/>
  <c r="L185"/>
  <c r="K185"/>
  <c r="J185"/>
  <c r="I185"/>
  <c r="H185"/>
  <c r="G185"/>
  <c r="F185"/>
  <c r="E185"/>
  <c r="D185"/>
  <c r="M184"/>
  <c r="M183"/>
  <c r="L182"/>
  <c r="K182"/>
  <c r="J182"/>
  <c r="I182"/>
  <c r="H182"/>
  <c r="G182"/>
  <c r="F182"/>
  <c r="E182"/>
  <c r="D182"/>
  <c r="M181"/>
  <c r="M180"/>
  <c r="L179"/>
  <c r="K179"/>
  <c r="J179"/>
  <c r="I179"/>
  <c r="H179"/>
  <c r="G179"/>
  <c r="F179"/>
  <c r="E179"/>
  <c r="D179"/>
  <c r="M178"/>
  <c r="M177"/>
  <c r="L176"/>
  <c r="K176"/>
  <c r="J176"/>
  <c r="I176"/>
  <c r="H176"/>
  <c r="G176"/>
  <c r="F176"/>
  <c r="E176"/>
  <c r="D176"/>
  <c r="M175"/>
  <c r="M174"/>
  <c r="L173"/>
  <c r="K173"/>
  <c r="J173"/>
  <c r="I173"/>
  <c r="H173"/>
  <c r="G173"/>
  <c r="F173"/>
  <c r="E173"/>
  <c r="D173"/>
  <c r="M172"/>
  <c r="M171"/>
  <c r="L170"/>
  <c r="K170"/>
  <c r="J170"/>
  <c r="I170"/>
  <c r="H170"/>
  <c r="G170"/>
  <c r="F170"/>
  <c r="E170"/>
  <c r="D170"/>
  <c r="M169"/>
  <c r="M168"/>
  <c r="L167"/>
  <c r="K167"/>
  <c r="J167"/>
  <c r="I167"/>
  <c r="H167"/>
  <c r="G167"/>
  <c r="F167"/>
  <c r="E167"/>
  <c r="D167"/>
  <c r="M166"/>
  <c r="M165"/>
  <c r="L164"/>
  <c r="K164"/>
  <c r="J164"/>
  <c r="I164"/>
  <c r="H164"/>
  <c r="G164"/>
  <c r="F164"/>
  <c r="E164"/>
  <c r="D164"/>
  <c r="M163"/>
  <c r="M162"/>
  <c r="L161"/>
  <c r="K161"/>
  <c r="J161"/>
  <c r="I161"/>
  <c r="H161"/>
  <c r="G161"/>
  <c r="F161"/>
  <c r="E161"/>
  <c r="D161"/>
  <c r="M160"/>
  <c r="M159"/>
  <c r="L158"/>
  <c r="K158"/>
  <c r="J158"/>
  <c r="I158"/>
  <c r="H158"/>
  <c r="G158"/>
  <c r="F158"/>
  <c r="E158"/>
  <c r="D158"/>
  <c r="M157"/>
  <c r="M156"/>
  <c r="M155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M151"/>
  <c r="M150"/>
  <c r="L149"/>
  <c r="K149"/>
  <c r="J149"/>
  <c r="I149"/>
  <c r="H149"/>
  <c r="G149"/>
  <c r="F149"/>
  <c r="E149"/>
  <c r="D149"/>
  <c r="M148"/>
  <c r="M147"/>
  <c r="L146"/>
  <c r="K146"/>
  <c r="J146"/>
  <c r="I146"/>
  <c r="H146"/>
  <c r="G146"/>
  <c r="F146"/>
  <c r="E146"/>
  <c r="D146"/>
  <c r="M145"/>
  <c r="M144"/>
  <c r="L143"/>
  <c r="K143"/>
  <c r="J143"/>
  <c r="I143"/>
  <c r="H143"/>
  <c r="G143"/>
  <c r="F143"/>
  <c r="E143"/>
  <c r="D143"/>
  <c r="M142"/>
  <c r="M141"/>
  <c r="L140"/>
  <c r="K140"/>
  <c r="J140"/>
  <c r="I140"/>
  <c r="H140"/>
  <c r="G140"/>
  <c r="F140"/>
  <c r="E140"/>
  <c r="D140"/>
  <c r="M139"/>
  <c r="M138"/>
  <c r="L137"/>
  <c r="K137"/>
  <c r="J137"/>
  <c r="I137"/>
  <c r="H137"/>
  <c r="G137"/>
  <c r="F137"/>
  <c r="E137"/>
  <c r="D137"/>
  <c r="M136"/>
  <c r="M135"/>
  <c r="L134"/>
  <c r="K134"/>
  <c r="J134"/>
  <c r="I134"/>
  <c r="H134"/>
  <c r="G134"/>
  <c r="F134"/>
  <c r="E134"/>
  <c r="D134"/>
  <c r="M133"/>
  <c r="M132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M118"/>
  <c r="M117"/>
  <c r="L116"/>
  <c r="K116"/>
  <c r="J116"/>
  <c r="I116"/>
  <c r="H116"/>
  <c r="G116"/>
  <c r="F116"/>
  <c r="E116"/>
  <c r="D116"/>
  <c r="M115"/>
  <c r="M114"/>
  <c r="L113"/>
  <c r="K113"/>
  <c r="J113"/>
  <c r="I113"/>
  <c r="H113"/>
  <c r="G113"/>
  <c r="F113"/>
  <c r="E113"/>
  <c r="D113"/>
  <c r="M112"/>
  <c r="M111"/>
  <c r="L110"/>
  <c r="K110"/>
  <c r="J110"/>
  <c r="I110"/>
  <c r="H110"/>
  <c r="G110"/>
  <c r="F110"/>
  <c r="E110"/>
  <c r="D110"/>
  <c r="M109"/>
  <c r="M108"/>
  <c r="L107"/>
  <c r="K107"/>
  <c r="J107"/>
  <c r="I107"/>
  <c r="H107"/>
  <c r="G107"/>
  <c r="F107"/>
  <c r="E107"/>
  <c r="D107"/>
  <c r="M106"/>
  <c r="M105"/>
  <c r="L104"/>
  <c r="K104"/>
  <c r="J104"/>
  <c r="I104"/>
  <c r="H104"/>
  <c r="G104"/>
  <c r="F104"/>
  <c r="E104"/>
  <c r="D104"/>
  <c r="M103"/>
  <c r="M102"/>
  <c r="L101"/>
  <c r="K101"/>
  <c r="J101"/>
  <c r="I101"/>
  <c r="H101"/>
  <c r="G101"/>
  <c r="F101"/>
  <c r="E101"/>
  <c r="D101"/>
  <c r="M100"/>
  <c r="M99"/>
  <c r="L98"/>
  <c r="K98"/>
  <c r="J98"/>
  <c r="I98"/>
  <c r="H98"/>
  <c r="G98"/>
  <c r="F98"/>
  <c r="E98"/>
  <c r="D98"/>
  <c r="M97"/>
  <c r="M96"/>
  <c r="L95"/>
  <c r="K95"/>
  <c r="J95"/>
  <c r="I95"/>
  <c r="H95"/>
  <c r="G95"/>
  <c r="F95"/>
  <c r="E95"/>
  <c r="D95"/>
  <c r="M94"/>
  <c r="M93"/>
  <c r="L92"/>
  <c r="K92"/>
  <c r="J92"/>
  <c r="I92"/>
  <c r="H92"/>
  <c r="G92"/>
  <c r="F92"/>
  <c r="E92"/>
  <c r="D92"/>
  <c r="M91"/>
  <c r="M90"/>
  <c r="L89"/>
  <c r="K89"/>
  <c r="J89"/>
  <c r="I89"/>
  <c r="H89"/>
  <c r="G89"/>
  <c r="F89"/>
  <c r="E89"/>
  <c r="D89"/>
  <c r="M88"/>
  <c r="M87"/>
  <c r="L86"/>
  <c r="K86"/>
  <c r="J86"/>
  <c r="I86"/>
  <c r="H86"/>
  <c r="G86"/>
  <c r="F86"/>
  <c r="E86"/>
  <c r="D86"/>
  <c r="M85"/>
  <c r="M84"/>
  <c r="L83"/>
  <c r="K83"/>
  <c r="J83"/>
  <c r="I83"/>
  <c r="H83"/>
  <c r="G83"/>
  <c r="F83"/>
  <c r="E83"/>
  <c r="D83"/>
  <c r="M82"/>
  <c r="M81"/>
  <c r="L80"/>
  <c r="K80"/>
  <c r="J80"/>
  <c r="I80"/>
  <c r="H80"/>
  <c r="G80"/>
  <c r="F80"/>
  <c r="E80"/>
  <c r="D80"/>
  <c r="M79"/>
  <c r="M78"/>
  <c r="L77"/>
  <c r="K77"/>
  <c r="J77"/>
  <c r="I77"/>
  <c r="H77"/>
  <c r="G77"/>
  <c r="F77"/>
  <c r="E77"/>
  <c r="D77"/>
  <c r="M76"/>
  <c r="M75"/>
  <c r="L74"/>
  <c r="K74"/>
  <c r="J74"/>
  <c r="I74"/>
  <c r="H74"/>
  <c r="G74"/>
  <c r="F74"/>
  <c r="E74"/>
  <c r="D74"/>
  <c r="M73"/>
  <c r="M72"/>
  <c r="L71"/>
  <c r="K71"/>
  <c r="J71"/>
  <c r="I71"/>
  <c r="H71"/>
  <c r="G71"/>
  <c r="F71"/>
  <c r="E71"/>
  <c r="D71"/>
  <c r="M70"/>
  <c r="M69"/>
  <c r="L68"/>
  <c r="K68"/>
  <c r="J68"/>
  <c r="I68"/>
  <c r="H68"/>
  <c r="G68"/>
  <c r="F68"/>
  <c r="E68"/>
  <c r="D68"/>
  <c r="M67"/>
  <c r="M66"/>
  <c r="L65"/>
  <c r="K65"/>
  <c r="J65"/>
  <c r="I65"/>
  <c r="H65"/>
  <c r="G65"/>
  <c r="F65"/>
  <c r="E65"/>
  <c r="D65"/>
  <c r="M64"/>
  <c r="M63"/>
  <c r="L62"/>
  <c r="K62"/>
  <c r="J62"/>
  <c r="I62"/>
  <c r="H62"/>
  <c r="G62"/>
  <c r="F62"/>
  <c r="E62"/>
  <c r="D62"/>
  <c r="M61"/>
  <c r="M60"/>
  <c r="L59"/>
  <c r="K59"/>
  <c r="J59"/>
  <c r="I59"/>
  <c r="H59"/>
  <c r="G59"/>
  <c r="F59"/>
  <c r="E59"/>
  <c r="D59"/>
  <c r="M58"/>
  <c r="M57"/>
  <c r="L56"/>
  <c r="K56"/>
  <c r="J56"/>
  <c r="I56"/>
  <c r="H56"/>
  <c r="G56"/>
  <c r="F56"/>
  <c r="E56"/>
  <c r="D56"/>
  <c r="M55"/>
  <c r="M54"/>
  <c r="L53"/>
  <c r="K53"/>
  <c r="J53"/>
  <c r="I53"/>
  <c r="H53"/>
  <c r="G53"/>
  <c r="F53"/>
  <c r="E53"/>
  <c r="D53"/>
  <c r="M52"/>
  <c r="M51"/>
  <c r="L50"/>
  <c r="K50"/>
  <c r="J50"/>
  <c r="I50"/>
  <c r="H50"/>
  <c r="G50"/>
  <c r="F50"/>
  <c r="E50"/>
  <c r="D50"/>
  <c r="M49"/>
  <c r="M48"/>
  <c r="L47"/>
  <c r="K47"/>
  <c r="J47"/>
  <c r="I47"/>
  <c r="H47"/>
  <c r="G47"/>
  <c r="F47"/>
  <c r="E47"/>
  <c r="D47"/>
  <c r="M46"/>
  <c r="M45"/>
  <c r="L44"/>
  <c r="K44"/>
  <c r="J44"/>
  <c r="I44"/>
  <c r="H44"/>
  <c r="G44"/>
  <c r="F44"/>
  <c r="E44"/>
  <c r="D44"/>
  <c r="M43"/>
  <c r="M42"/>
  <c r="L41"/>
  <c r="K41"/>
  <c r="J41"/>
  <c r="I41"/>
  <c r="H41"/>
  <c r="G41"/>
  <c r="F41"/>
  <c r="E41"/>
  <c r="D41"/>
  <c r="M40"/>
  <c r="M39"/>
  <c r="L38"/>
  <c r="K38"/>
  <c r="J38"/>
  <c r="I38"/>
  <c r="H38"/>
  <c r="G38"/>
  <c r="F38"/>
  <c r="E38"/>
  <c r="D38"/>
  <c r="M37"/>
  <c r="M36"/>
  <c r="L35"/>
  <c r="K35"/>
  <c r="J35"/>
  <c r="I35"/>
  <c r="H35"/>
  <c r="G35"/>
  <c r="F35"/>
  <c r="E35"/>
  <c r="D35"/>
  <c r="M34"/>
  <c r="M33"/>
  <c r="L32"/>
  <c r="K32"/>
  <c r="J32"/>
  <c r="I32"/>
  <c r="H32"/>
  <c r="G32"/>
  <c r="F32"/>
  <c r="E32"/>
  <c r="D32"/>
  <c r="M31"/>
  <c r="M30"/>
  <c r="L29"/>
  <c r="K29"/>
  <c r="J29"/>
  <c r="I29"/>
  <c r="H29"/>
  <c r="G29"/>
  <c r="F29"/>
  <c r="E29"/>
  <c r="D29"/>
  <c r="M28"/>
  <c r="M27"/>
  <c r="L26"/>
  <c r="K26"/>
  <c r="J26"/>
  <c r="I26"/>
  <c r="H26"/>
  <c r="G26"/>
  <c r="F26"/>
  <c r="E26"/>
  <c r="D26"/>
  <c r="M25"/>
  <c r="M24"/>
  <c r="L23"/>
  <c r="K23"/>
  <c r="J23"/>
  <c r="I23"/>
  <c r="H23"/>
  <c r="G23"/>
  <c r="F23"/>
  <c r="E23"/>
  <c r="D23"/>
  <c r="M22"/>
  <c r="M21"/>
  <c r="L20"/>
  <c r="K20"/>
  <c r="J20"/>
  <c r="I20"/>
  <c r="H20"/>
  <c r="G20"/>
  <c r="F20"/>
  <c r="E20"/>
  <c r="D20"/>
  <c r="M19"/>
  <c r="M18"/>
  <c r="L17"/>
  <c r="K17"/>
  <c r="J17"/>
  <c r="I17"/>
  <c r="H17"/>
  <c r="G17"/>
  <c r="F17"/>
  <c r="E17"/>
  <c r="D17"/>
  <c r="M16"/>
  <c r="M15"/>
  <c r="L14"/>
  <c r="K14"/>
  <c r="J14"/>
  <c r="I14"/>
  <c r="H14"/>
  <c r="G14"/>
  <c r="F14"/>
  <c r="E14"/>
  <c r="D14"/>
  <c r="M13"/>
  <c r="M12"/>
  <c r="D103" i="1"/>
  <c r="K103" s="1"/>
  <c r="D102"/>
  <c r="K102" s="1"/>
  <c r="D101"/>
  <c r="K101" s="1"/>
  <c r="D100"/>
  <c r="K100" s="1"/>
  <c r="D99"/>
  <c r="K99" s="1"/>
  <c r="D98"/>
  <c r="K98" s="1"/>
  <c r="D97"/>
  <c r="K97" s="1"/>
  <c r="D96"/>
  <c r="K96" s="1"/>
  <c r="D95"/>
  <c r="K95" s="1"/>
  <c r="D94"/>
  <c r="K94" s="1"/>
  <c r="D93"/>
  <c r="K93" s="1"/>
  <c r="D92"/>
  <c r="K92" s="1"/>
  <c r="D91"/>
  <c r="K91" s="1"/>
  <c r="D90"/>
  <c r="K90" s="1"/>
  <c r="D89"/>
  <c r="K89" s="1"/>
  <c r="D88"/>
  <c r="K88" s="1"/>
  <c r="D87"/>
  <c r="K87" s="1"/>
  <c r="D86"/>
  <c r="K86" s="1"/>
  <c r="D85"/>
  <c r="K85" s="1"/>
  <c r="D84"/>
  <c r="K84" s="1"/>
  <c r="D83"/>
  <c r="K83" s="1"/>
  <c r="D82"/>
  <c r="K82" s="1"/>
  <c r="D81"/>
  <c r="K81" s="1"/>
  <c r="D80"/>
  <c r="K80" s="1"/>
  <c r="D79"/>
  <c r="K79" s="1"/>
  <c r="D78"/>
  <c r="K78" s="1"/>
  <c r="D77"/>
  <c r="K77" s="1"/>
  <c r="D76"/>
  <c r="K76" s="1"/>
  <c r="D75"/>
  <c r="K75" s="1"/>
  <c r="D74"/>
  <c r="K74" s="1"/>
  <c r="D73"/>
  <c r="K73" s="1"/>
  <c r="D72"/>
  <c r="K72" s="1"/>
  <c r="D71"/>
  <c r="K71" s="1"/>
  <c r="D70"/>
  <c r="K70" s="1"/>
  <c r="D69"/>
  <c r="K69" s="1"/>
  <c r="D68"/>
  <c r="K68" s="1"/>
  <c r="D67"/>
  <c r="K67" s="1"/>
  <c r="D66"/>
  <c r="K66" s="1"/>
  <c r="D65"/>
  <c r="K65" s="1"/>
  <c r="D64"/>
  <c r="K64" s="1"/>
  <c r="D63"/>
  <c r="K63" s="1"/>
  <c r="D62"/>
  <c r="K62" s="1"/>
  <c r="D61"/>
  <c r="K61" s="1"/>
  <c r="D60"/>
  <c r="K60" s="1"/>
  <c r="D59"/>
  <c r="K59" s="1"/>
  <c r="D58"/>
  <c r="K58" s="1"/>
  <c r="D57"/>
  <c r="K57" s="1"/>
  <c r="D56"/>
  <c r="K56" s="1"/>
  <c r="D55"/>
  <c r="K55" s="1"/>
  <c r="D54"/>
  <c r="K54" s="1"/>
  <c r="D53"/>
  <c r="K53" s="1"/>
  <c r="D52"/>
  <c r="K52" s="1"/>
  <c r="D51"/>
  <c r="K51" s="1"/>
  <c r="D50"/>
  <c r="K50" s="1"/>
  <c r="D49"/>
  <c r="K49" s="1"/>
  <c r="D48"/>
  <c r="K48" s="1"/>
  <c r="D47"/>
  <c r="K47" s="1"/>
  <c r="D46"/>
  <c r="K46" s="1"/>
  <c r="D45"/>
  <c r="K45" s="1"/>
  <c r="D44"/>
  <c r="K44" s="1"/>
  <c r="D43"/>
  <c r="K43" s="1"/>
  <c r="D42"/>
  <c r="K42" s="1"/>
  <c r="D41"/>
  <c r="K41" s="1"/>
  <c r="D40"/>
  <c r="K40" s="1"/>
  <c r="D39"/>
  <c r="K39" s="1"/>
  <c r="D38"/>
  <c r="K38" s="1"/>
  <c r="D37"/>
  <c r="K37" s="1"/>
  <c r="D36"/>
  <c r="K36" s="1"/>
  <c r="D35"/>
  <c r="K35" s="1"/>
  <c r="D34"/>
  <c r="K34" s="1"/>
  <c r="D33"/>
  <c r="K33" s="1"/>
  <c r="D32"/>
  <c r="K32" s="1"/>
  <c r="D31"/>
  <c r="K31" s="1"/>
  <c r="D30"/>
  <c r="K30" s="1"/>
  <c r="D29"/>
  <c r="K29" s="1"/>
  <c r="D28"/>
  <c r="K28" s="1"/>
  <c r="D27"/>
  <c r="K27" s="1"/>
  <c r="D26"/>
  <c r="K26" s="1"/>
  <c r="D25"/>
  <c r="K25" s="1"/>
  <c r="D24"/>
  <c r="K24" s="1"/>
  <c r="D23"/>
  <c r="K23" s="1"/>
  <c r="D22"/>
  <c r="K22" s="1"/>
  <c r="D21"/>
  <c r="K21" s="1"/>
  <c r="D20"/>
  <c r="K20" s="1"/>
  <c r="D19"/>
  <c r="K19" s="1"/>
  <c r="D18"/>
  <c r="K18" s="1"/>
  <c r="D17"/>
  <c r="K17" s="1"/>
  <c r="D16"/>
  <c r="K16" s="1"/>
  <c r="D15"/>
  <c r="K15" s="1"/>
  <c r="D14"/>
  <c r="K14" s="1"/>
  <c r="D13"/>
  <c r="K13" s="1"/>
  <c r="D12"/>
  <c r="K12" s="1"/>
  <c r="P501" i="3" l="1"/>
  <c r="N588"/>
  <c r="P735"/>
  <c r="Q864"/>
  <c r="Q858"/>
  <c r="R858" s="1"/>
  <c r="Q840"/>
  <c r="R840" s="1"/>
  <c r="Q843"/>
  <c r="Q870"/>
  <c r="R870" s="1"/>
  <c r="Q837"/>
  <c r="Q861"/>
  <c r="R861" s="1"/>
  <c r="Q849"/>
  <c r="R849" s="1"/>
  <c r="Q846"/>
  <c r="R846" s="1"/>
  <c r="Q852"/>
  <c r="Q867"/>
  <c r="R867" s="1"/>
  <c r="Q855"/>
  <c r="P564"/>
  <c r="P705"/>
  <c r="P720"/>
  <c r="M434"/>
  <c r="N435"/>
  <c r="M452"/>
  <c r="O453"/>
  <c r="O462"/>
  <c r="N471"/>
  <c r="M488"/>
  <c r="N495"/>
  <c r="M521"/>
  <c r="N531"/>
  <c r="N627"/>
  <c r="N732"/>
  <c r="R855"/>
  <c r="P657"/>
  <c r="P663"/>
  <c r="N672"/>
  <c r="M713"/>
  <c r="N768"/>
  <c r="R864"/>
  <c r="R852"/>
  <c r="O681"/>
  <c r="M236"/>
  <c r="N600"/>
  <c r="P606"/>
  <c r="M719"/>
  <c r="N516"/>
  <c r="O561"/>
  <c r="N576"/>
  <c r="P597"/>
  <c r="M263"/>
  <c r="R843"/>
  <c r="P324"/>
  <c r="P471"/>
  <c r="P495"/>
  <c r="O498"/>
  <c r="M512"/>
  <c r="O516"/>
  <c r="P519"/>
  <c r="O525"/>
  <c r="M533"/>
  <c r="P534"/>
  <c r="N543"/>
  <c r="P543"/>
  <c r="N546"/>
  <c r="P549"/>
  <c r="P552"/>
  <c r="M563"/>
  <c r="O564"/>
  <c r="O567"/>
  <c r="M578"/>
  <c r="M581"/>
  <c r="M587"/>
  <c r="P588"/>
  <c r="P591"/>
  <c r="N594"/>
  <c r="P600"/>
  <c r="P609"/>
  <c r="N612"/>
  <c r="N615"/>
  <c r="P624"/>
  <c r="O630"/>
  <c r="P630"/>
  <c r="M635"/>
  <c r="P636"/>
  <c r="M641"/>
  <c r="N645"/>
  <c r="N648"/>
  <c r="O654"/>
  <c r="P654"/>
  <c r="N660"/>
  <c r="N666"/>
  <c r="P675"/>
  <c r="M686"/>
  <c r="N687"/>
  <c r="P693"/>
  <c r="N696"/>
  <c r="P699"/>
  <c r="N702"/>
  <c r="P702"/>
  <c r="O711"/>
  <c r="O690"/>
  <c r="P714"/>
  <c r="O720"/>
  <c r="N723"/>
  <c r="P726"/>
  <c r="N729"/>
  <c r="P738"/>
  <c r="N744"/>
  <c r="N750"/>
  <c r="P753"/>
  <c r="P759"/>
  <c r="O765"/>
  <c r="P774"/>
  <c r="P780"/>
  <c r="P771"/>
  <c r="P87"/>
  <c r="P120"/>
  <c r="P150"/>
  <c r="M221"/>
  <c r="O222"/>
  <c r="O252"/>
  <c r="M266"/>
  <c r="N273"/>
  <c r="P279"/>
  <c r="M323"/>
  <c r="O327"/>
  <c r="M389"/>
  <c r="P450"/>
  <c r="P828"/>
  <c r="N87"/>
  <c r="N108"/>
  <c r="O144"/>
  <c r="M296"/>
  <c r="N306"/>
  <c r="M362"/>
  <c r="P423"/>
  <c r="O699"/>
  <c r="M638"/>
  <c r="N561"/>
  <c r="O825"/>
  <c r="N834"/>
  <c r="O633"/>
  <c r="P576"/>
  <c r="N549"/>
  <c r="M38"/>
  <c r="O54"/>
  <c r="M77"/>
  <c r="M80"/>
  <c r="N84"/>
  <c r="N819"/>
  <c r="O96"/>
  <c r="O108"/>
  <c r="M119"/>
  <c r="N120"/>
  <c r="O132"/>
  <c r="M158"/>
  <c r="N162"/>
  <c r="M167"/>
  <c r="M173"/>
  <c r="N174"/>
  <c r="M179"/>
  <c r="N180"/>
  <c r="M194"/>
  <c r="M203"/>
  <c r="N216"/>
  <c r="P240"/>
  <c r="M251"/>
  <c r="N276"/>
  <c r="N294"/>
  <c r="O297"/>
  <c r="P300"/>
  <c r="N303"/>
  <c r="O312"/>
  <c r="M320"/>
  <c r="N321"/>
  <c r="M335"/>
  <c r="M341"/>
  <c r="N345"/>
  <c r="O363"/>
  <c r="P366"/>
  <c r="N369"/>
  <c r="N372"/>
  <c r="P378"/>
  <c r="N390"/>
  <c r="N396"/>
  <c r="N399"/>
  <c r="N411"/>
  <c r="O420"/>
  <c r="N432"/>
  <c r="M437"/>
  <c r="O438"/>
  <c r="N456"/>
  <c r="N459"/>
  <c r="N468"/>
  <c r="O471"/>
  <c r="P474"/>
  <c r="O480"/>
  <c r="P489"/>
  <c r="M497"/>
  <c r="N507"/>
  <c r="P510"/>
  <c r="M515"/>
  <c r="M518"/>
  <c r="O519"/>
  <c r="M524"/>
  <c r="P531"/>
  <c r="M539"/>
  <c r="N555"/>
  <c r="P561"/>
  <c r="P567"/>
  <c r="P570"/>
  <c r="O576"/>
  <c r="O579"/>
  <c r="P582"/>
  <c r="N585"/>
  <c r="N813"/>
  <c r="M695"/>
  <c r="M698"/>
  <c r="N705"/>
  <c r="N708"/>
  <c r="N711"/>
  <c r="M692"/>
  <c r="N756"/>
  <c r="N765"/>
  <c r="Q765" s="1"/>
  <c r="P768"/>
  <c r="O777"/>
  <c r="O780"/>
  <c r="O831"/>
  <c r="M689"/>
  <c r="N714"/>
  <c r="M722"/>
  <c r="P729"/>
  <c r="O741"/>
  <c r="P750"/>
  <c r="P813"/>
  <c r="R837"/>
  <c r="O819"/>
  <c r="P825"/>
  <c r="O828"/>
  <c r="P831"/>
  <c r="O609"/>
  <c r="P615"/>
  <c r="N621"/>
  <c r="O627"/>
  <c r="N633"/>
  <c r="M650"/>
  <c r="O657"/>
  <c r="P672"/>
  <c r="N675"/>
  <c r="P681"/>
  <c r="P822"/>
  <c r="O834"/>
  <c r="P834"/>
  <c r="N822"/>
  <c r="Q822" s="1"/>
  <c r="O822"/>
  <c r="N831"/>
  <c r="Q831" s="1"/>
  <c r="N828"/>
  <c r="N825"/>
  <c r="P819"/>
  <c r="P816"/>
  <c r="N816"/>
  <c r="O816"/>
  <c r="O813"/>
  <c r="N810"/>
  <c r="Q810" s="1"/>
  <c r="O810"/>
  <c r="P810"/>
  <c r="N807"/>
  <c r="P807"/>
  <c r="O807"/>
  <c r="N804"/>
  <c r="P804"/>
  <c r="O804"/>
  <c r="P801"/>
  <c r="N801"/>
  <c r="Q801" s="1"/>
  <c r="O801"/>
  <c r="O762"/>
  <c r="P384"/>
  <c r="P477"/>
  <c r="P483"/>
  <c r="N486"/>
  <c r="N489"/>
  <c r="O495"/>
  <c r="P498"/>
  <c r="M503"/>
  <c r="M509"/>
  <c r="P507"/>
  <c r="O510"/>
  <c r="P513"/>
  <c r="N519"/>
  <c r="N522"/>
  <c r="N525"/>
  <c r="Q525" s="1"/>
  <c r="O531"/>
  <c r="N534"/>
  <c r="P537"/>
  <c r="M548"/>
  <c r="O555"/>
  <c r="P555"/>
  <c r="P558"/>
  <c r="N567"/>
  <c r="Q567" s="1"/>
  <c r="N570"/>
  <c r="P573"/>
  <c r="N579"/>
  <c r="Q579" s="1"/>
  <c r="P579"/>
  <c r="O582"/>
  <c r="O585"/>
  <c r="N591"/>
  <c r="O594"/>
  <c r="M599"/>
  <c r="N603"/>
  <c r="N609"/>
  <c r="Q609" s="1"/>
  <c r="M617"/>
  <c r="O621"/>
  <c r="O624"/>
  <c r="M629"/>
  <c r="P627"/>
  <c r="M632"/>
  <c r="P633"/>
  <c r="N639"/>
  <c r="M644"/>
  <c r="M647"/>
  <c r="O648"/>
  <c r="N651"/>
  <c r="P651"/>
  <c r="M659"/>
  <c r="P660"/>
  <c r="N663"/>
  <c r="N669"/>
  <c r="M674"/>
  <c r="M677"/>
  <c r="N678"/>
  <c r="N681"/>
  <c r="O687"/>
  <c r="P687"/>
  <c r="N693"/>
  <c r="O696"/>
  <c r="P696"/>
  <c r="M704"/>
  <c r="M707"/>
  <c r="O708"/>
  <c r="P708"/>
  <c r="N690"/>
  <c r="Q690" s="1"/>
  <c r="O714"/>
  <c r="N720"/>
  <c r="N726"/>
  <c r="O729"/>
  <c r="O732"/>
  <c r="P732"/>
  <c r="P741"/>
  <c r="P744"/>
  <c r="O750"/>
  <c r="N753"/>
  <c r="N741"/>
  <c r="Q741" s="1"/>
  <c r="R741" s="1"/>
  <c r="P756"/>
  <c r="N759"/>
  <c r="O768"/>
  <c r="O774"/>
  <c r="N777"/>
  <c r="P777"/>
  <c r="O798"/>
  <c r="N798"/>
  <c r="Q798" s="1"/>
  <c r="M500"/>
  <c r="N498"/>
  <c r="Q498" s="1"/>
  <c r="O501"/>
  <c r="N501"/>
  <c r="Q501" s="1"/>
  <c r="N504"/>
  <c r="O504"/>
  <c r="M506"/>
  <c r="M527"/>
  <c r="P525"/>
  <c r="O528"/>
  <c r="M530"/>
  <c r="N528"/>
  <c r="O534"/>
  <c r="M536"/>
  <c r="N540"/>
  <c r="M542"/>
  <c r="O540"/>
  <c r="O543"/>
  <c r="M545"/>
  <c r="O549"/>
  <c r="M551"/>
  <c r="M554"/>
  <c r="O552"/>
  <c r="N552"/>
  <c r="Q552" s="1"/>
  <c r="N564"/>
  <c r="M566"/>
  <c r="O588"/>
  <c r="M590"/>
  <c r="M593"/>
  <c r="O591"/>
  <c r="O600"/>
  <c r="M602"/>
  <c r="N606"/>
  <c r="M608"/>
  <c r="O606"/>
  <c r="O612"/>
  <c r="P612"/>
  <c r="M614"/>
  <c r="O618"/>
  <c r="M620"/>
  <c r="N618"/>
  <c r="N624"/>
  <c r="Q624" s="1"/>
  <c r="M626"/>
  <c r="O636"/>
  <c r="N636"/>
  <c r="O639"/>
  <c r="P639"/>
  <c r="M653"/>
  <c r="O651"/>
  <c r="N654"/>
  <c r="M656"/>
  <c r="M662"/>
  <c r="O660"/>
  <c r="M665"/>
  <c r="O663"/>
  <c r="O666"/>
  <c r="M668"/>
  <c r="M671"/>
  <c r="P669"/>
  <c r="O684"/>
  <c r="N684"/>
  <c r="M701"/>
  <c r="N699"/>
  <c r="O351"/>
  <c r="P351"/>
  <c r="M353"/>
  <c r="N351"/>
  <c r="O717"/>
  <c r="N717"/>
  <c r="P717"/>
  <c r="M725"/>
  <c r="O723"/>
  <c r="O726"/>
  <c r="M728"/>
  <c r="N738"/>
  <c r="O738"/>
  <c r="N747"/>
  <c r="O747"/>
  <c r="O735"/>
  <c r="N735"/>
  <c r="Q735" s="1"/>
  <c r="P12"/>
  <c r="P372"/>
  <c r="O384"/>
  <c r="P396"/>
  <c r="P408"/>
  <c r="P420"/>
  <c r="P444"/>
  <c r="P456"/>
  <c r="P492"/>
  <c r="P504"/>
  <c r="P516"/>
  <c r="P528"/>
  <c r="P540"/>
  <c r="P618"/>
  <c r="N630"/>
  <c r="N642"/>
  <c r="P642"/>
  <c r="P666"/>
  <c r="P678"/>
  <c r="P684"/>
  <c r="P711"/>
  <c r="P723"/>
  <c r="P747"/>
  <c r="O744"/>
  <c r="P765"/>
  <c r="N771"/>
  <c r="Q771" s="1"/>
  <c r="O771"/>
  <c r="M227"/>
  <c r="O225"/>
  <c r="N309"/>
  <c r="M311"/>
  <c r="N762"/>
  <c r="Q762" s="1"/>
  <c r="P762"/>
  <c r="P126"/>
  <c r="P144"/>
  <c r="P201"/>
  <c r="P249"/>
  <c r="P273"/>
  <c r="N78"/>
  <c r="O396"/>
  <c r="O120"/>
  <c r="M20"/>
  <c r="O39"/>
  <c r="M65"/>
  <c r="O81"/>
  <c r="N90"/>
  <c r="N99"/>
  <c r="N123"/>
  <c r="P123"/>
  <c r="O138"/>
  <c r="O141"/>
  <c r="P147"/>
  <c r="O168"/>
  <c r="P171"/>
  <c r="P180"/>
  <c r="P186"/>
  <c r="M197"/>
  <c r="P210"/>
  <c r="O219"/>
  <c r="M224"/>
  <c r="M230"/>
  <c r="N231"/>
  <c r="N240"/>
  <c r="M254"/>
  <c r="P255"/>
  <c r="O258"/>
  <c r="N267"/>
  <c r="P276"/>
  <c r="P291"/>
  <c r="N318"/>
  <c r="P330"/>
  <c r="P348"/>
  <c r="P357"/>
  <c r="M368"/>
  <c r="O375"/>
  <c r="N381"/>
  <c r="M392"/>
  <c r="N393"/>
  <c r="P405"/>
  <c r="N414"/>
  <c r="P417"/>
  <c r="O441"/>
  <c r="O447"/>
  <c r="P447"/>
  <c r="M455"/>
  <c r="M464"/>
  <c r="P465"/>
  <c r="N783"/>
  <c r="P690"/>
  <c r="R690" s="1"/>
  <c r="O693"/>
  <c r="O705"/>
  <c r="M710"/>
  <c r="O513"/>
  <c r="O669"/>
  <c r="O642"/>
  <c r="O603"/>
  <c r="P585"/>
  <c r="N513"/>
  <c r="Q513" s="1"/>
  <c r="O702"/>
  <c r="O672"/>
  <c r="M569"/>
  <c r="O558"/>
  <c r="O546"/>
  <c r="N537"/>
  <c r="O522"/>
  <c r="P486"/>
  <c r="M449"/>
  <c r="P621"/>
  <c r="M623"/>
  <c r="M611"/>
  <c r="O615"/>
  <c r="O645"/>
  <c r="M683"/>
  <c r="O573"/>
  <c r="P603"/>
  <c r="M560"/>
  <c r="O507"/>
  <c r="M584"/>
  <c r="M596"/>
  <c r="M716"/>
  <c r="M731"/>
  <c r="N582"/>
  <c r="O675"/>
  <c r="O759"/>
  <c r="O756"/>
  <c r="M680"/>
  <c r="M605"/>
  <c r="M575"/>
  <c r="O753"/>
  <c r="N573"/>
  <c r="N558"/>
  <c r="N510"/>
  <c r="Q510" s="1"/>
  <c r="N774"/>
  <c r="N792"/>
  <c r="P594"/>
  <c r="O678"/>
  <c r="N657"/>
  <c r="Q657" s="1"/>
  <c r="M557"/>
  <c r="O570"/>
  <c r="P546"/>
  <c r="O537"/>
  <c r="P522"/>
  <c r="O477"/>
  <c r="O255"/>
  <c r="P648"/>
  <c r="N465"/>
  <c r="P645"/>
  <c r="M572"/>
  <c r="O597"/>
  <c r="N597"/>
  <c r="Q597" s="1"/>
  <c r="O78"/>
  <c r="O90"/>
  <c r="O93"/>
  <c r="O105"/>
  <c r="M116"/>
  <c r="P117"/>
  <c r="M122"/>
  <c r="O150"/>
  <c r="P162"/>
  <c r="O171"/>
  <c r="N219"/>
  <c r="P222"/>
  <c r="N234"/>
  <c r="M245"/>
  <c r="O246"/>
  <c r="M260"/>
  <c r="N270"/>
  <c r="N291"/>
  <c r="M305"/>
  <c r="P312"/>
  <c r="O315"/>
  <c r="M329"/>
  <c r="O330"/>
  <c r="P333"/>
  <c r="M338"/>
  <c r="O348"/>
  <c r="M356"/>
  <c r="N357"/>
  <c r="O360"/>
  <c r="M365"/>
  <c r="O369"/>
  <c r="M374"/>
  <c r="M377"/>
  <c r="O387"/>
  <c r="O390"/>
  <c r="M395"/>
  <c r="P399"/>
  <c r="O402"/>
  <c r="O405"/>
  <c r="M419"/>
  <c r="O423"/>
  <c r="M431"/>
  <c r="N447"/>
  <c r="O450"/>
  <c r="N462"/>
  <c r="Q462" s="1"/>
  <c r="P468"/>
  <c r="M473"/>
  <c r="O486"/>
  <c r="P798"/>
  <c r="O12"/>
  <c r="N15"/>
  <c r="P21"/>
  <c r="R624"/>
  <c r="N27"/>
  <c r="N30"/>
  <c r="M35"/>
  <c r="M41"/>
  <c r="P45"/>
  <c r="P51"/>
  <c r="O57"/>
  <c r="N60"/>
  <c r="P66"/>
  <c r="R609"/>
  <c r="M131"/>
  <c r="M176"/>
  <c r="M188"/>
  <c r="P36"/>
  <c r="M71"/>
  <c r="M47"/>
  <c r="N69"/>
  <c r="M32"/>
  <c r="N33"/>
  <c r="N45"/>
  <c r="M68"/>
  <c r="P783"/>
  <c r="P18"/>
  <c r="P90"/>
  <c r="P102"/>
  <c r="P195"/>
  <c r="P231"/>
  <c r="P243"/>
  <c r="P327"/>
  <c r="P390"/>
  <c r="P414"/>
  <c r="P426"/>
  <c r="P438"/>
  <c r="N780"/>
  <c r="Q780" s="1"/>
  <c r="O783"/>
  <c r="O15"/>
  <c r="N24"/>
  <c r="N48"/>
  <c r="N51"/>
  <c r="P60"/>
  <c r="P75"/>
  <c r="M110"/>
  <c r="P111"/>
  <c r="P132"/>
  <c r="N144"/>
  <c r="O156"/>
  <c r="M182"/>
  <c r="O192"/>
  <c r="P204"/>
  <c r="O213"/>
  <c r="P216"/>
  <c r="O228"/>
  <c r="M239"/>
  <c r="P237"/>
  <c r="M242"/>
  <c r="P252"/>
  <c r="O264"/>
  <c r="M278"/>
  <c r="M287"/>
  <c r="P288"/>
  <c r="M299"/>
  <c r="M314"/>
  <c r="N324"/>
  <c r="N336"/>
  <c r="O786"/>
  <c r="M14"/>
  <c r="N12"/>
  <c r="M62"/>
  <c r="O60"/>
  <c r="P63"/>
  <c r="O63"/>
  <c r="N63"/>
  <c r="N96"/>
  <c r="Q96" s="1"/>
  <c r="M98"/>
  <c r="M101"/>
  <c r="O99"/>
  <c r="N126"/>
  <c r="O126"/>
  <c r="M134"/>
  <c r="N132"/>
  <c r="N147"/>
  <c r="M149"/>
  <c r="O153"/>
  <c r="N153"/>
  <c r="N168"/>
  <c r="Q168" s="1"/>
  <c r="M170"/>
  <c r="O27"/>
  <c r="O36"/>
  <c r="P48"/>
  <c r="O72"/>
  <c r="P72"/>
  <c r="M86"/>
  <c r="M89"/>
  <c r="P108"/>
  <c r="M125"/>
  <c r="N165"/>
  <c r="N177"/>
  <c r="P177"/>
  <c r="N189"/>
  <c r="O177"/>
  <c r="M128"/>
  <c r="M107"/>
  <c r="P270"/>
  <c r="O45"/>
  <c r="N348"/>
  <c r="P336"/>
  <c r="P246"/>
  <c r="N156"/>
  <c r="M215"/>
  <c r="N72"/>
  <c r="Q72" s="1"/>
  <c r="N36"/>
  <c r="M92"/>
  <c r="N354"/>
  <c r="O303"/>
  <c r="P369"/>
  <c r="O165"/>
  <c r="N327"/>
  <c r="Q327" s="1"/>
  <c r="N150"/>
  <c r="Q150" s="1"/>
  <c r="M272"/>
  <c r="O324"/>
  <c r="N111"/>
  <c r="M17"/>
  <c r="M74"/>
  <c r="P99"/>
  <c r="M332"/>
  <c r="O18"/>
  <c r="N18"/>
  <c r="P33"/>
  <c r="O33"/>
  <c r="M44"/>
  <c r="O42"/>
  <c r="M56"/>
  <c r="N54"/>
  <c r="Q54" s="1"/>
  <c r="P57"/>
  <c r="M59"/>
  <c r="P69"/>
  <c r="O69"/>
  <c r="M95"/>
  <c r="N93"/>
  <c r="Q93" s="1"/>
  <c r="P93"/>
  <c r="N105"/>
  <c r="Q105" s="1"/>
  <c r="P105"/>
  <c r="O117"/>
  <c r="N117"/>
  <c r="N138"/>
  <c r="Q138" s="1"/>
  <c r="M140"/>
  <c r="M143"/>
  <c r="P141"/>
  <c r="N141"/>
  <c r="Q141" s="1"/>
  <c r="N159"/>
  <c r="O159"/>
  <c r="M164"/>
  <c r="O162"/>
  <c r="O183"/>
  <c r="M185"/>
  <c r="N195"/>
  <c r="O195"/>
  <c r="O234"/>
  <c r="P234"/>
  <c r="N243"/>
  <c r="O243"/>
  <c r="M257"/>
  <c r="N255"/>
  <c r="M269"/>
  <c r="O267"/>
  <c r="O279"/>
  <c r="M281"/>
  <c r="O282"/>
  <c r="M284"/>
  <c r="P282"/>
  <c r="O291"/>
  <c r="M293"/>
  <c r="O294"/>
  <c r="P294"/>
  <c r="M308"/>
  <c r="O306"/>
  <c r="M317"/>
  <c r="N315"/>
  <c r="Q315" s="1"/>
  <c r="O318"/>
  <c r="P318"/>
  <c r="O339"/>
  <c r="N339"/>
  <c r="N342"/>
  <c r="P342"/>
  <c r="M344"/>
  <c r="O357"/>
  <c r="M359"/>
  <c r="O366"/>
  <c r="N366"/>
  <c r="M380"/>
  <c r="N378"/>
  <c r="P381"/>
  <c r="O381"/>
  <c r="M383"/>
  <c r="O393"/>
  <c r="P393"/>
  <c r="M404"/>
  <c r="N402"/>
  <c r="Q402" s="1"/>
  <c r="N405"/>
  <c r="Q405" s="1"/>
  <c r="M407"/>
  <c r="N408"/>
  <c r="O408"/>
  <c r="M410"/>
  <c r="O411"/>
  <c r="M413"/>
  <c r="P411"/>
  <c r="O414"/>
  <c r="M416"/>
  <c r="N417"/>
  <c r="O417"/>
  <c r="N420"/>
  <c r="M422"/>
  <c r="M425"/>
  <c r="N423"/>
  <c r="Q423" s="1"/>
  <c r="M428"/>
  <c r="O426"/>
  <c r="N426"/>
  <c r="P429"/>
  <c r="O429"/>
  <c r="O432"/>
  <c r="P432"/>
  <c r="O435"/>
  <c r="P435"/>
  <c r="M440"/>
  <c r="N438"/>
  <c r="Q438" s="1"/>
  <c r="N441"/>
  <c r="Q441" s="1"/>
  <c r="P441"/>
  <c r="M443"/>
  <c r="M446"/>
  <c r="N444"/>
  <c r="O444"/>
  <c r="N453"/>
  <c r="Q453" s="1"/>
  <c r="P453"/>
  <c r="M458"/>
  <c r="O456"/>
  <c r="P459"/>
  <c r="M461"/>
  <c r="O459"/>
  <c r="M467"/>
  <c r="O465"/>
  <c r="M470"/>
  <c r="O468"/>
  <c r="M476"/>
  <c r="N474"/>
  <c r="O474"/>
  <c r="N477"/>
  <c r="Q477" s="1"/>
  <c r="M479"/>
  <c r="N480"/>
  <c r="Q480" s="1"/>
  <c r="P480"/>
  <c r="M482"/>
  <c r="O483"/>
  <c r="M485"/>
  <c r="N483"/>
  <c r="Q483" s="1"/>
  <c r="M491"/>
  <c r="O489"/>
  <c r="M494"/>
  <c r="N492"/>
  <c r="P207"/>
  <c r="P267"/>
  <c r="P303"/>
  <c r="P315"/>
  <c r="P339"/>
  <c r="P354"/>
  <c r="P402"/>
  <c r="P462"/>
  <c r="M23"/>
  <c r="N21"/>
  <c r="O21"/>
  <c r="M83"/>
  <c r="N81"/>
  <c r="Q81" s="1"/>
  <c r="P81"/>
  <c r="O102"/>
  <c r="N102"/>
  <c r="O114"/>
  <c r="N114"/>
  <c r="P129"/>
  <c r="N129"/>
  <c r="O129"/>
  <c r="O174"/>
  <c r="P174"/>
  <c r="N186"/>
  <c r="O186"/>
  <c r="M200"/>
  <c r="O198"/>
  <c r="M209"/>
  <c r="O207"/>
  <c r="N210"/>
  <c r="O210"/>
  <c r="M212"/>
  <c r="O231"/>
  <c r="M233"/>
  <c r="M248"/>
  <c r="N246"/>
  <c r="Q246" s="1"/>
  <c r="P258"/>
  <c r="N258"/>
  <c r="P30"/>
  <c r="P42"/>
  <c r="P54"/>
  <c r="P78"/>
  <c r="P114"/>
  <c r="P138"/>
  <c r="P159"/>
  <c r="P183"/>
  <c r="P219"/>
  <c r="O372"/>
  <c r="O123"/>
  <c r="M29"/>
  <c r="P306"/>
  <c r="O84"/>
  <c r="N330"/>
  <c r="Q330" s="1"/>
  <c r="O288"/>
  <c r="N198"/>
  <c r="Q198" s="1"/>
  <c r="O147"/>
  <c r="P27"/>
  <c r="N282"/>
  <c r="N222"/>
  <c r="Q222" s="1"/>
  <c r="O342"/>
  <c r="M191"/>
  <c r="P168"/>
  <c r="O87"/>
  <c r="M152"/>
  <c r="O378"/>
  <c r="M161"/>
  <c r="O30"/>
  <c r="P198"/>
  <c r="O66"/>
  <c r="O354"/>
  <c r="N279"/>
  <c r="N183"/>
  <c r="N66"/>
  <c r="Q66" s="1"/>
  <c r="N207"/>
  <c r="M104"/>
  <c r="N42"/>
  <c r="Q42" s="1"/>
  <c r="N450"/>
  <c r="Q450" s="1"/>
  <c r="M371"/>
  <c r="N171"/>
  <c r="N57"/>
  <c r="Q57" s="1"/>
  <c r="P153"/>
  <c r="O270"/>
  <c r="O492"/>
  <c r="N429"/>
  <c r="Q429" s="1"/>
  <c r="O189"/>
  <c r="O24"/>
  <c r="M26"/>
  <c r="N39"/>
  <c r="Q39" s="1"/>
  <c r="P39"/>
  <c r="M50"/>
  <c r="O48"/>
  <c r="O51"/>
  <c r="M53"/>
  <c r="O75"/>
  <c r="N75"/>
  <c r="M113"/>
  <c r="O111"/>
  <c r="P135"/>
  <c r="O135"/>
  <c r="M137"/>
  <c r="N135"/>
  <c r="Q135" s="1"/>
  <c r="N192"/>
  <c r="P192"/>
  <c r="O201"/>
  <c r="N201"/>
  <c r="N204"/>
  <c r="M206"/>
  <c r="O204"/>
  <c r="M218"/>
  <c r="O216"/>
  <c r="P228"/>
  <c r="N228"/>
  <c r="Q228" s="1"/>
  <c r="N237"/>
  <c r="O237"/>
  <c r="N249"/>
  <c r="O249"/>
  <c r="O261"/>
  <c r="N261"/>
  <c r="P264"/>
  <c r="N264"/>
  <c r="Q264" s="1"/>
  <c r="O273"/>
  <c r="M275"/>
  <c r="N285"/>
  <c r="O285"/>
  <c r="M290"/>
  <c r="N288"/>
  <c r="Q288" s="1"/>
  <c r="N300"/>
  <c r="O300"/>
  <c r="M302"/>
  <c r="O333"/>
  <c r="N333"/>
  <c r="O345"/>
  <c r="M347"/>
  <c r="P363"/>
  <c r="N363"/>
  <c r="Q363" s="1"/>
  <c r="P375"/>
  <c r="N375"/>
  <c r="Q375" s="1"/>
  <c r="N384"/>
  <c r="M386"/>
  <c r="P387"/>
  <c r="N387"/>
  <c r="Q387" s="1"/>
  <c r="O399"/>
  <c r="M401"/>
  <c r="P15"/>
  <c r="P24"/>
  <c r="P84"/>
  <c r="P96"/>
  <c r="M146"/>
  <c r="P156"/>
  <c r="P165"/>
  <c r="O180"/>
  <c r="P189"/>
  <c r="N213"/>
  <c r="Q213" s="1"/>
  <c r="P213"/>
  <c r="N225"/>
  <c r="Q225" s="1"/>
  <c r="P225"/>
  <c r="O240"/>
  <c r="N252"/>
  <c r="Q252" s="1"/>
  <c r="P261"/>
  <c r="O276"/>
  <c r="P285"/>
  <c r="N297"/>
  <c r="Q297" s="1"/>
  <c r="P297"/>
  <c r="O309"/>
  <c r="P309"/>
  <c r="N312"/>
  <c r="Q312" s="1"/>
  <c r="O321"/>
  <c r="P321"/>
  <c r="M326"/>
  <c r="O336"/>
  <c r="P345"/>
  <c r="M350"/>
  <c r="N360"/>
  <c r="Q360" s="1"/>
  <c r="P360"/>
  <c r="M398"/>
  <c r="N786"/>
  <c r="Q786" s="1"/>
  <c r="P795"/>
  <c r="P792"/>
  <c r="N795"/>
  <c r="O795"/>
  <c r="O792"/>
  <c r="O789"/>
  <c r="N789"/>
  <c r="P789"/>
  <c r="P786"/>
  <c r="Q540" l="1"/>
  <c r="Q789"/>
  <c r="Q237"/>
  <c r="Q201"/>
  <c r="Q444"/>
  <c r="Q339"/>
  <c r="Q159"/>
  <c r="Q192"/>
  <c r="Q207"/>
  <c r="Q282"/>
  <c r="Q258"/>
  <c r="Q210"/>
  <c r="Q21"/>
  <c r="Q36"/>
  <c r="Q447"/>
  <c r="Q219"/>
  <c r="R219" s="1"/>
  <c r="R765"/>
  <c r="Q777"/>
  <c r="R777" s="1"/>
  <c r="Q519"/>
  <c r="R519" s="1"/>
  <c r="Q828"/>
  <c r="Q633"/>
  <c r="R633" s="1"/>
  <c r="Q711"/>
  <c r="R711" s="1"/>
  <c r="Q279"/>
  <c r="Q156"/>
  <c r="Q825"/>
  <c r="R825" s="1"/>
  <c r="Q183"/>
  <c r="Q102"/>
  <c r="Q426"/>
  <c r="Q366"/>
  <c r="R366" s="1"/>
  <c r="Q144"/>
  <c r="Q681"/>
  <c r="R681" s="1"/>
  <c r="Q561"/>
  <c r="Q384"/>
  <c r="R384" s="1"/>
  <c r="Q420"/>
  <c r="R420" s="1"/>
  <c r="Q255"/>
  <c r="R255" s="1"/>
  <c r="Q12"/>
  <c r="R12" s="1"/>
  <c r="Q630"/>
  <c r="R630" s="1"/>
  <c r="Q699"/>
  <c r="R699" s="1"/>
  <c r="Q720"/>
  <c r="R720" s="1"/>
  <c r="Q261"/>
  <c r="Q204"/>
  <c r="Q114"/>
  <c r="Q378"/>
  <c r="Q342"/>
  <c r="Q18"/>
  <c r="Q189"/>
  <c r="Q324"/>
  <c r="Q51"/>
  <c r="R51" s="1"/>
  <c r="Q69"/>
  <c r="Q270"/>
  <c r="Q234"/>
  <c r="Q558"/>
  <c r="Q267"/>
  <c r="Q240"/>
  <c r="R240" s="1"/>
  <c r="Q99"/>
  <c r="Q78"/>
  <c r="R78" s="1"/>
  <c r="R771"/>
  <c r="Q738"/>
  <c r="Q351"/>
  <c r="R501"/>
  <c r="Q753"/>
  <c r="R753" s="1"/>
  <c r="Q669"/>
  <c r="Q807"/>
  <c r="R807" s="1"/>
  <c r="Q621"/>
  <c r="Q756"/>
  <c r="R756" s="1"/>
  <c r="Q705"/>
  <c r="R705" s="1"/>
  <c r="Q585"/>
  <c r="R585" s="1"/>
  <c r="Q411"/>
  <c r="Q321"/>
  <c r="Q108"/>
  <c r="R108" s="1"/>
  <c r="Q273"/>
  <c r="R273" s="1"/>
  <c r="Q666"/>
  <c r="Q648"/>
  <c r="Q615"/>
  <c r="R615" s="1"/>
  <c r="Q594"/>
  <c r="R594" s="1"/>
  <c r="Q576"/>
  <c r="Q171"/>
  <c r="R171" s="1"/>
  <c r="Q132"/>
  <c r="R132" s="1"/>
  <c r="Q333"/>
  <c r="Q300"/>
  <c r="Q285"/>
  <c r="Q249"/>
  <c r="Q75"/>
  <c r="Q474"/>
  <c r="Q243"/>
  <c r="Q195"/>
  <c r="Q117"/>
  <c r="Q165"/>
  <c r="Q153"/>
  <c r="Q63"/>
  <c r="Q336"/>
  <c r="Q60"/>
  <c r="Q291"/>
  <c r="R291" s="1"/>
  <c r="Q537"/>
  <c r="Q783"/>
  <c r="Q414"/>
  <c r="R414" s="1"/>
  <c r="Q381"/>
  <c r="Q123"/>
  <c r="Q642"/>
  <c r="R642" s="1"/>
  <c r="Q528"/>
  <c r="R528" s="1"/>
  <c r="Q726"/>
  <c r="R726" s="1"/>
  <c r="Q570"/>
  <c r="Q486"/>
  <c r="Q708"/>
  <c r="R708" s="1"/>
  <c r="Q813"/>
  <c r="R813" s="1"/>
  <c r="Q555"/>
  <c r="Q507"/>
  <c r="R507" s="1"/>
  <c r="Q456"/>
  <c r="R456" s="1"/>
  <c r="Q390"/>
  <c r="R390" s="1"/>
  <c r="Q303"/>
  <c r="R303" s="1"/>
  <c r="Q276"/>
  <c r="R276" s="1"/>
  <c r="Q174"/>
  <c r="R174" s="1"/>
  <c r="Q549"/>
  <c r="R549" s="1"/>
  <c r="Q744"/>
  <c r="R744" s="1"/>
  <c r="Q723"/>
  <c r="Q696"/>
  <c r="R696" s="1"/>
  <c r="Q546"/>
  <c r="R546" s="1"/>
  <c r="Q768"/>
  <c r="R768" s="1"/>
  <c r="Q531"/>
  <c r="R531" s="1"/>
  <c r="Q471"/>
  <c r="R471" s="1"/>
  <c r="Q435"/>
  <c r="R435" s="1"/>
  <c r="Q588"/>
  <c r="R588" s="1"/>
  <c r="Q348"/>
  <c r="R348" s="1"/>
  <c r="Q774"/>
  <c r="R774" s="1"/>
  <c r="Q564"/>
  <c r="R564" s="1"/>
  <c r="Q795"/>
  <c r="R204"/>
  <c r="Q186"/>
  <c r="Q129"/>
  <c r="Q492"/>
  <c r="Q417"/>
  <c r="Q408"/>
  <c r="Q111"/>
  <c r="Q354"/>
  <c r="Q177"/>
  <c r="Q147"/>
  <c r="Q126"/>
  <c r="Q24"/>
  <c r="Q33"/>
  <c r="Q27"/>
  <c r="Q15"/>
  <c r="R762"/>
  <c r="Q747"/>
  <c r="R747" s="1"/>
  <c r="Q717"/>
  <c r="R717" s="1"/>
  <c r="Q684"/>
  <c r="R684" s="1"/>
  <c r="Q636"/>
  <c r="Q618"/>
  <c r="Q606"/>
  <c r="R606" s="1"/>
  <c r="Q504"/>
  <c r="Q603"/>
  <c r="Q534"/>
  <c r="R534" s="1"/>
  <c r="Q489"/>
  <c r="R489" s="1"/>
  <c r="Q816"/>
  <c r="R816" s="1"/>
  <c r="Q675"/>
  <c r="R675" s="1"/>
  <c r="Q459"/>
  <c r="Q432"/>
  <c r="Q396"/>
  <c r="R396" s="1"/>
  <c r="Q369"/>
  <c r="R369" s="1"/>
  <c r="Q294"/>
  <c r="Q216"/>
  <c r="R216" s="1"/>
  <c r="Q162"/>
  <c r="Q84"/>
  <c r="Q834"/>
  <c r="Q750"/>
  <c r="R750" s="1"/>
  <c r="Q516"/>
  <c r="R516" s="1"/>
  <c r="Q627"/>
  <c r="R627" s="1"/>
  <c r="Q573"/>
  <c r="R573" s="1"/>
  <c r="Q582"/>
  <c r="R582" s="1"/>
  <c r="Q654"/>
  <c r="R654" s="1"/>
  <c r="Q48"/>
  <c r="R48" s="1"/>
  <c r="Q45"/>
  <c r="R45" s="1"/>
  <c r="Q30"/>
  <c r="R30" s="1"/>
  <c r="Q357"/>
  <c r="Q465"/>
  <c r="Q792"/>
  <c r="Q393"/>
  <c r="R393" s="1"/>
  <c r="Q318"/>
  <c r="Q231"/>
  <c r="R231" s="1"/>
  <c r="Q90"/>
  <c r="R90" s="1"/>
  <c r="Q309"/>
  <c r="R309" s="1"/>
  <c r="Q759"/>
  <c r="R759" s="1"/>
  <c r="Q693"/>
  <c r="R693" s="1"/>
  <c r="Q678"/>
  <c r="R678" s="1"/>
  <c r="Q663"/>
  <c r="R663" s="1"/>
  <c r="Q651"/>
  <c r="Q639"/>
  <c r="R639" s="1"/>
  <c r="Q591"/>
  <c r="R591" s="1"/>
  <c r="Q522"/>
  <c r="R522" s="1"/>
  <c r="Q804"/>
  <c r="Q714"/>
  <c r="R714" s="1"/>
  <c r="Q468"/>
  <c r="R468" s="1"/>
  <c r="Q399"/>
  <c r="R399" s="1"/>
  <c r="Q372"/>
  <c r="Q345"/>
  <c r="R345" s="1"/>
  <c r="Q180"/>
  <c r="R180" s="1"/>
  <c r="Q120"/>
  <c r="R120" s="1"/>
  <c r="Q819"/>
  <c r="Q306"/>
  <c r="R306" s="1"/>
  <c r="Q87"/>
  <c r="R87" s="1"/>
  <c r="Q729"/>
  <c r="R729" s="1"/>
  <c r="Q702"/>
  <c r="Q687"/>
  <c r="R687" s="1"/>
  <c r="Q660"/>
  <c r="R660" s="1"/>
  <c r="Q645"/>
  <c r="R645" s="1"/>
  <c r="Q612"/>
  <c r="R612" s="1"/>
  <c r="Q543"/>
  <c r="R543" s="1"/>
  <c r="Q600"/>
  <c r="R600" s="1"/>
  <c r="Q672"/>
  <c r="R672" s="1"/>
  <c r="Q732"/>
  <c r="R732" s="1"/>
  <c r="Q495"/>
  <c r="R495" s="1"/>
  <c r="R651"/>
  <c r="R525"/>
  <c r="R657"/>
  <c r="R561"/>
  <c r="R312"/>
  <c r="R252"/>
  <c r="R438"/>
  <c r="R780"/>
  <c r="R570"/>
  <c r="R702"/>
  <c r="R576"/>
  <c r="R330"/>
  <c r="R510"/>
  <c r="R621"/>
  <c r="R405"/>
  <c r="R648"/>
  <c r="R210"/>
  <c r="R21"/>
  <c r="R567"/>
  <c r="R723"/>
  <c r="R738"/>
  <c r="R351"/>
  <c r="R267"/>
  <c r="R669"/>
  <c r="R831"/>
  <c r="R381"/>
  <c r="R819"/>
  <c r="R447"/>
  <c r="R504"/>
  <c r="R498"/>
  <c r="R579"/>
  <c r="R804"/>
  <c r="R603"/>
  <c r="R810"/>
  <c r="R828"/>
  <c r="R834"/>
  <c r="R822"/>
  <c r="R801"/>
  <c r="R297"/>
  <c r="R39"/>
  <c r="R318"/>
  <c r="R618"/>
  <c r="R597"/>
  <c r="R513"/>
  <c r="R666"/>
  <c r="R552"/>
  <c r="R555"/>
  <c r="R540"/>
  <c r="R465"/>
  <c r="R798"/>
  <c r="R558"/>
  <c r="R735"/>
  <c r="R15"/>
  <c r="R372"/>
  <c r="R462"/>
  <c r="R162"/>
  <c r="R327"/>
  <c r="R144"/>
  <c r="R537"/>
  <c r="R636"/>
  <c r="R486"/>
  <c r="R270"/>
  <c r="R222"/>
  <c r="R450"/>
  <c r="R66"/>
  <c r="R123"/>
  <c r="R477"/>
  <c r="R423"/>
  <c r="R357"/>
  <c r="R150"/>
  <c r="R207"/>
  <c r="R294"/>
  <c r="R114"/>
  <c r="R93"/>
  <c r="R18"/>
  <c r="R36"/>
  <c r="R336"/>
  <c r="R282"/>
  <c r="R321"/>
  <c r="R225"/>
  <c r="R237"/>
  <c r="R480"/>
  <c r="R474"/>
  <c r="R324"/>
  <c r="R783"/>
  <c r="R786"/>
  <c r="R363"/>
  <c r="R333"/>
  <c r="R75"/>
  <c r="R33"/>
  <c r="R60"/>
  <c r="R792"/>
  <c r="R429"/>
  <c r="R24"/>
  <c r="R102"/>
  <c r="R426"/>
  <c r="R141"/>
  <c r="R69"/>
  <c r="R360"/>
  <c r="R213"/>
  <c r="R300"/>
  <c r="R249"/>
  <c r="R459"/>
  <c r="R402"/>
  <c r="R315"/>
  <c r="R234"/>
  <c r="R342"/>
  <c r="R27"/>
  <c r="R264"/>
  <c r="R228"/>
  <c r="R387"/>
  <c r="R375"/>
  <c r="R201"/>
  <c r="R135"/>
  <c r="R279"/>
  <c r="R198"/>
  <c r="R453"/>
  <c r="R432"/>
  <c r="R411"/>
  <c r="R243"/>
  <c r="R195"/>
  <c r="R117"/>
  <c r="R156"/>
  <c r="R165"/>
  <c r="R153"/>
  <c r="R99"/>
  <c r="R63"/>
  <c r="R285"/>
  <c r="R258"/>
  <c r="R288"/>
  <c r="R261"/>
  <c r="R192"/>
  <c r="R57"/>
  <c r="R42"/>
  <c r="R183"/>
  <c r="R84"/>
  <c r="R246"/>
  <c r="R186"/>
  <c r="R129"/>
  <c r="R492"/>
  <c r="R483"/>
  <c r="R417"/>
  <c r="R408"/>
  <c r="R138"/>
  <c r="R105"/>
  <c r="R54"/>
  <c r="R111"/>
  <c r="R354"/>
  <c r="R177"/>
  <c r="R168"/>
  <c r="R147"/>
  <c r="R126"/>
  <c r="R96"/>
  <c r="R81"/>
  <c r="R444"/>
  <c r="R441"/>
  <c r="R339"/>
  <c r="R159"/>
  <c r="R72"/>
  <c r="R378"/>
  <c r="R189"/>
  <c r="R795"/>
  <c r="R789"/>
</calcChain>
</file>

<file path=xl/sharedStrings.xml><?xml version="1.0" encoding="utf-8"?>
<sst xmlns="http://schemas.openxmlformats.org/spreadsheetml/2006/main" count="1992" uniqueCount="516">
  <si>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</si>
  <si>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</si>
  <si>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</si>
  <si>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</si>
  <si>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</si>
  <si>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</si>
  <si>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</si>
  <si>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</si>
  <si>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</si>
  <si>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</si>
  <si>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</si>
  <si>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</si>
  <si>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>Result</t>
  </si>
  <si>
    <t xml:space="preserve"> Employee Code</t>
  </si>
  <si>
    <t>USL</t>
  </si>
  <si>
    <t>LSL</t>
  </si>
  <si>
    <t>Pre CP</t>
  </si>
  <si>
    <t>Post CP</t>
  </si>
  <si>
    <t>LPDN values</t>
  </si>
  <si>
    <t>Remarks</t>
  </si>
  <si>
    <t>CPX(YEDR1) LPDN PRE 44,POST 47</t>
  </si>
  <si>
    <t>YEDR1</t>
  </si>
  <si>
    <t>CPX(YEDR1) LPDN PRE 122,POST116</t>
  </si>
  <si>
    <t>CPX(YEDR1) LPDN PRE 125,POST126</t>
  </si>
  <si>
    <t>CPX(YEDR1) LPDN PRE 126,POST120</t>
  </si>
  <si>
    <t>CPX(YEDR1) LPDN PRE 123,POST117</t>
  </si>
  <si>
    <t>CPX(YEDR1) LPDN PRE 162,POST170</t>
  </si>
  <si>
    <t>CPX(YEDR1) LPDN PRE 1,POST2</t>
  </si>
  <si>
    <t>CPX(YEDR1) LPDN PRE 89,POST 93</t>
  </si>
  <si>
    <t>CPX(YEDR1) LPDN PRE 96,POST 97</t>
  </si>
  <si>
    <t>CPX(YEDR1) LPDN PRE 103,POST 108</t>
  </si>
  <si>
    <t>CPX(YEDR1) LPDN PRE 118,POST 126</t>
  </si>
  <si>
    <t>CPX(YEDR1) LPDN PRE 98,POST 120</t>
  </si>
  <si>
    <t>CPX(YEDR1) LPDN PRE 33,POST 120</t>
  </si>
  <si>
    <t>CPX(YEDR1) LPDN PRE 110,POST 115</t>
  </si>
  <si>
    <t>CPX(YEDR1) LPDN PRE 02,POST 02</t>
  </si>
  <si>
    <t>CPX(YEDR1) LPDN PRE 01,POST 02</t>
  </si>
  <si>
    <t>CPX(YEDR1) LPDN PRE183, POST 178</t>
  </si>
  <si>
    <t>CPX(YEDR1) LPDN PRE142, POST 131</t>
  </si>
  <si>
    <t>CPX(YEDR1) LPDN PRE364, POST 364</t>
  </si>
  <si>
    <t>CPX(YEDR1) LPDN PRE 107, POST 108</t>
  </si>
  <si>
    <t>CPX(YEDR1) LPDN PRE 77, POST 80</t>
  </si>
  <si>
    <t>CPX(YEDR1) LPDN PRE 02, POST 05</t>
  </si>
  <si>
    <t>CPX(YEDR1) LPDN PRE 09, POST 03</t>
  </si>
  <si>
    <t>CPX(YEDR1) LPDN PRE 13, POST 10</t>
  </si>
  <si>
    <t>CPX(YEDR1) LPDN PRE 07, POST 07</t>
  </si>
  <si>
    <t>CPX(YEDR1) LPDN PRE 10, POST 07</t>
  </si>
  <si>
    <t>CPX(YEDR1) LPDN PRE 10, POST 08</t>
  </si>
  <si>
    <t>CPX(YEDR1) LPDN PRE 05, POST 05</t>
  </si>
  <si>
    <t>1 time used wf</t>
  </si>
  <si>
    <t>CPX(YEDR1) LPDN PRE 05, POST 07</t>
  </si>
  <si>
    <t>After 6 seasoning wfs in #3 recipe</t>
  </si>
  <si>
    <t>No seasoning wfs run prior to this CP wf</t>
  </si>
  <si>
    <t>CPX(YEDR1) LPDN PRE 120, POST 120</t>
  </si>
  <si>
    <t>CPX(YEDR1) LPDN PRE 29, POST 27</t>
  </si>
  <si>
    <t>CPX(YEDR1) LPDN PRE 23, POST 18</t>
  </si>
  <si>
    <t>CPX(YEDR1) LPDN PRE 02, POST 02</t>
  </si>
  <si>
    <t>CPX(YEDR1) LPDN PRE 03, POST 03</t>
  </si>
  <si>
    <t>CPX(YEDR1) LPDN PRE 05 POST 01</t>
  </si>
  <si>
    <t>CPX(YEDR1) LPDN PRE 17 POST 20</t>
  </si>
  <si>
    <t>CPX(YEDR1) LPDN PRE 02 POST 02</t>
  </si>
  <si>
    <t>CPX(YEDR1) LPDN PRE 28 POST 28</t>
  </si>
  <si>
    <t>CPX(YEDR1) LPDN PRE 46 POST 45</t>
  </si>
  <si>
    <t>CPX(YEDR1) LPDN PRE 06 POST 06</t>
  </si>
  <si>
    <t>ALL LAMPS REPLACED</t>
  </si>
  <si>
    <t>CPX(YEDR1) LPDN PRE 23 POST 35</t>
  </si>
  <si>
    <t>CPX(YEDR1) LPDN PRE 8,POST 9</t>
  </si>
  <si>
    <t>CPX(YEDR1) LPDN PRE 4,POST 6</t>
  </si>
  <si>
    <t>CPX(YEDR1) LPDN PRE 24,POST 30</t>
  </si>
  <si>
    <t>CPX(YEDR1) LPDN PRE 35,POST 63</t>
  </si>
  <si>
    <t>DIA</t>
  </si>
  <si>
    <t>CPX (YEDR1)</t>
  </si>
  <si>
    <t>CPX(YEDR1) LPDN PRE 28,POST 22</t>
  </si>
  <si>
    <t>Recipe: F</t>
  </si>
  <si>
    <t>Pass Criteria for</t>
  </si>
  <si>
    <t>Avg</t>
  </si>
  <si>
    <t>Max Etch Rate</t>
  </si>
  <si>
    <t>Min Etch Rate</t>
  </si>
  <si>
    <t>Site</t>
  </si>
  <si>
    <t>Pre</t>
  </si>
  <si>
    <t>Post</t>
  </si>
  <si>
    <t xml:space="preserve">ER(Å/Min)
</t>
  </si>
  <si>
    <t>ER(Å/Min)</t>
  </si>
  <si>
    <t>Q13150105.F1</t>
  </si>
  <si>
    <t>Q13150106.F1</t>
  </si>
  <si>
    <t>Q13150107.F1</t>
  </si>
  <si>
    <t>Q13150108.F1</t>
  </si>
  <si>
    <t>Q13150109.F1</t>
  </si>
  <si>
    <t>Q13150111.F1</t>
  </si>
  <si>
    <t>Q13150112.F1</t>
  </si>
  <si>
    <t>Q13150114.F1</t>
  </si>
  <si>
    <t>Q13150115.F1</t>
  </si>
  <si>
    <t>Q13150116.F1</t>
  </si>
  <si>
    <t>Q13160075.F1</t>
  </si>
  <si>
    <t>Q13220035.f1</t>
  </si>
  <si>
    <t>Q13220052.f1</t>
  </si>
  <si>
    <t>Q13220053.F1</t>
  </si>
  <si>
    <t>Q13220056.f1</t>
  </si>
  <si>
    <t>Q13220057.F1</t>
  </si>
  <si>
    <t>Q13220058.F1</t>
  </si>
  <si>
    <t>Q13220059.F1</t>
  </si>
  <si>
    <t>Q13220078.F1</t>
  </si>
  <si>
    <t>Q13220079.f1</t>
  </si>
  <si>
    <t>Q13220080.f1</t>
  </si>
  <si>
    <t>Q13220081.f1</t>
  </si>
  <si>
    <t>Q13220082.f1</t>
  </si>
  <si>
    <t>Q13240020.F1</t>
  </si>
  <si>
    <t>Q13250108.F1</t>
  </si>
  <si>
    <t>ASHED IN RECIPE 1 FOR 60Sec</t>
  </si>
  <si>
    <t>Q14240037.F1</t>
  </si>
  <si>
    <t>Q14250013.F1</t>
  </si>
  <si>
    <t>Q14250041.F1</t>
  </si>
  <si>
    <t>Q14260015.F1</t>
  </si>
  <si>
    <t>Q14270038.F1</t>
  </si>
  <si>
    <t>Q14280022.F1</t>
  </si>
  <si>
    <t>Q14280026.F1</t>
  </si>
  <si>
    <t>Q14280084.F1</t>
  </si>
  <si>
    <t>Q14290029.F1</t>
  </si>
  <si>
    <t>Q14300031.F1</t>
  </si>
  <si>
    <t>Q14310043.F1</t>
  </si>
  <si>
    <t>Q14330021.F1</t>
  </si>
  <si>
    <t>Q14340012.F1</t>
  </si>
  <si>
    <t>Q14350007.F1</t>
  </si>
  <si>
    <t>Q14360011.F1</t>
  </si>
  <si>
    <t>Q14370005.F1</t>
  </si>
  <si>
    <t>Q14510002.F1</t>
  </si>
  <si>
    <t>Q14510003.F1</t>
  </si>
  <si>
    <t>Q14510004.F1</t>
  </si>
  <si>
    <t>Q14510005.F1</t>
  </si>
  <si>
    <t>Q14510006.F1</t>
  </si>
  <si>
    <t>Q15030038.F1</t>
  </si>
  <si>
    <t>Q15080011.F1</t>
  </si>
  <si>
    <t>1428/1400</t>
  </si>
  <si>
    <t>Q15090072.F1</t>
  </si>
  <si>
    <t>Q15100031.F1</t>
  </si>
  <si>
    <t>Q15120019.F1</t>
  </si>
  <si>
    <t>Q15130043.F1</t>
  </si>
  <si>
    <t>Q15140011.F1</t>
  </si>
  <si>
    <t>Q15160005.F1</t>
  </si>
  <si>
    <t>Q15170032.F1</t>
  </si>
  <si>
    <t>Q15220025.F1</t>
  </si>
  <si>
    <t>Q15240039.F1</t>
  </si>
  <si>
    <t>Q15250023.F1</t>
  </si>
  <si>
    <t>Q15270048.F1</t>
  </si>
  <si>
    <t>Q15310023.F1</t>
  </si>
  <si>
    <t>Q15320025.F1</t>
  </si>
  <si>
    <t>Q16100014.F1</t>
  </si>
  <si>
    <t>Q16120017.F1</t>
  </si>
  <si>
    <t>Q16130030.F1</t>
  </si>
  <si>
    <t>Q16140030.F1</t>
  </si>
  <si>
    <t>Q16180024.F1</t>
  </si>
  <si>
    <t>Q16190048.F1</t>
  </si>
  <si>
    <t>Q16310049.F1</t>
  </si>
  <si>
    <t>current intentionally lowered to get low ER</t>
  </si>
  <si>
    <t>Q16340033.F1</t>
  </si>
  <si>
    <t>Q16410038.F1</t>
  </si>
  <si>
    <t>Q16510032.F1</t>
  </si>
  <si>
    <t>Q16520021.F1</t>
  </si>
  <si>
    <t>Q17080060.F1</t>
  </si>
  <si>
    <t>Q17090045.F1</t>
  </si>
  <si>
    <t>Q17100016.F1</t>
  </si>
  <si>
    <t>Q17100065.F1</t>
  </si>
  <si>
    <t>After Low Pressure problem solved</t>
  </si>
  <si>
    <t>Q17150014.F1</t>
  </si>
  <si>
    <t>Q17310037.F1</t>
  </si>
  <si>
    <t>Q17340065.F1</t>
  </si>
  <si>
    <t>Q17370067.F1</t>
  </si>
  <si>
    <t>venkat</t>
  </si>
  <si>
    <t>Q17430030.F1</t>
  </si>
  <si>
    <t>After seasoning 8wfs.</t>
  </si>
  <si>
    <t>Q18120057.F1</t>
  </si>
  <si>
    <t>Q18140043.F1</t>
  </si>
  <si>
    <t>Q18150071.F1</t>
  </si>
  <si>
    <t>NORMAL SEASONING 6WFS</t>
  </si>
  <si>
    <t>Q18180027.F1</t>
  </si>
  <si>
    <t xml:space="preserve">NORMAL SEASONING 6WFS. Tool issue SSR replaced </t>
  </si>
  <si>
    <t xml:space="preserve">NORMAL SEASONING 6WFS. Lamp intensity increased </t>
  </si>
  <si>
    <t>After 7 wf seasoning in #D</t>
  </si>
  <si>
    <t>Q18270022.F1</t>
  </si>
  <si>
    <t>Q18290019.F1</t>
  </si>
  <si>
    <t>Q18330041.F1</t>
  </si>
  <si>
    <t>Q18380031.F1</t>
  </si>
  <si>
    <t>Q18410025.F1</t>
  </si>
  <si>
    <t>Q18430048.F1</t>
  </si>
  <si>
    <t>Q18430128.F1</t>
  </si>
  <si>
    <t>Q18460058.F1</t>
  </si>
  <si>
    <t>Q18480062.F1</t>
  </si>
  <si>
    <t>Q18510013.F1</t>
  </si>
  <si>
    <t>Q19010040.F1</t>
  </si>
  <si>
    <t>CPX(YEDR1) LPDN PRE 04,POST 01</t>
  </si>
  <si>
    <t>QC After Facility Shutdown</t>
  </si>
  <si>
    <t>UCL</t>
  </si>
  <si>
    <t>Etch Rate (A/Min)</t>
  </si>
  <si>
    <t>very High ER. Need to reduce current and again run ER wf
NORMAL SEASONING 6WFS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</si>
  <si>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</si>
  <si>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</si>
  <si>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</si>
  <si>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</si>
  <si>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</si>
  <si>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</si>
  <si>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Tool</t>
    </r>
    <r>
      <rPr>
        <b/>
        <sz val="10"/>
        <rFont val="Calibri"/>
        <family val="2"/>
        <scheme val="minor"/>
      </rPr>
      <t>: ASBE1</t>
    </r>
  </si>
  <si>
    <r>
      <t>QC Name</t>
    </r>
    <r>
      <rPr>
        <b/>
        <sz val="10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</si>
  <si>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 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</si>
  <si>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</si>
  <si>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</si>
  <si>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LSL=9000 Å /Min</t>
    </r>
  </si>
  <si>
    <t>Date (MM/DD/YYYY)</t>
  </si>
  <si>
    <t>% Uni</t>
  </si>
  <si>
    <t>1340/1159</t>
  </si>
  <si>
    <t>CPX(YEDR1) LPDN PRE 0,POST 07</t>
  </si>
  <si>
    <t>CPX(YEDR1) LPDN PRE 05,POST 06</t>
  </si>
  <si>
    <t>CPX(YEDR1) LPDN PRE 09,POST 05</t>
  </si>
  <si>
    <t>CPX(YEDR1) LPDN PRE 36,POST 42</t>
  </si>
  <si>
    <t>CPX(YEDR1) LPDN PRE 39,POST 35</t>
  </si>
  <si>
    <t>1335/1159</t>
  </si>
  <si>
    <t>CPX(YEDR1) LPDN PRE 40,POST 44</t>
  </si>
  <si>
    <t>CPX(YEDR1) LPDN PRE 04,POST 04</t>
  </si>
  <si>
    <t>CPX(YEDR1) LPDN PRE 42,POST 41</t>
  </si>
  <si>
    <t>CPX(YEDR1) LPDN PRE 207,POST 206</t>
  </si>
  <si>
    <t>1335/1340</t>
  </si>
  <si>
    <t>CPX(YEDR1) LPDN PRE 17,POST 14</t>
  </si>
  <si>
    <t>CPX(YEDR1) LPDN PRE 18,POST 20</t>
  </si>
  <si>
    <t>CPX(YEDR1) LPDN PRE 07,POST 08</t>
  </si>
  <si>
    <t>Thickness  (Å)</t>
  </si>
  <si>
    <t>Q19050040.F1</t>
  </si>
  <si>
    <t>Q19060019.F1</t>
  </si>
  <si>
    <t>Q19060103.F1</t>
  </si>
  <si>
    <t>Q19070065.F1</t>
  </si>
  <si>
    <t>Q19080017.F1</t>
  </si>
  <si>
    <t>Q19080117.F1</t>
  </si>
  <si>
    <t>Q19090028.F1</t>
  </si>
  <si>
    <t>121/1335</t>
  </si>
  <si>
    <t>Q19090087.F1</t>
  </si>
  <si>
    <t>Q19100018.F1</t>
  </si>
  <si>
    <t>1340/121</t>
  </si>
  <si>
    <t>Q19110056.F1</t>
  </si>
  <si>
    <t>Q19110111.F1</t>
  </si>
  <si>
    <t>Q19120015.F1</t>
  </si>
  <si>
    <t>Q19150112.F1</t>
  </si>
  <si>
    <t>Q19160029.F1</t>
  </si>
  <si>
    <t>Q19170057.F1</t>
  </si>
  <si>
    <t>Q19190123.F1</t>
  </si>
  <si>
    <t>121/1340</t>
  </si>
  <si>
    <t xml:space="preserve">Q19200077.F1 </t>
  </si>
  <si>
    <t xml:space="preserve"> Q19210019.F1</t>
  </si>
  <si>
    <t>Q19210123.F1</t>
  </si>
  <si>
    <t>Lot ID</t>
  </si>
  <si>
    <t>Q17040019.F1</t>
  </si>
  <si>
    <t>Q173900045.F1</t>
  </si>
  <si>
    <t>after  10 wafer  seasoning</t>
  </si>
  <si>
    <t>After seasoning 10wfs, Lamp#4,8 replaced</t>
  </si>
  <si>
    <t xml:space="preserve"> Q18240049.F1</t>
  </si>
  <si>
    <t>After seasoning 6wfs.</t>
  </si>
  <si>
    <t>Q19050043.F1</t>
  </si>
  <si>
    <t>2nd time used wf</t>
  </si>
  <si>
    <t>Q13160076.F1</t>
  </si>
  <si>
    <t>Q19230020.F1</t>
  </si>
  <si>
    <t>Q19230104.F1</t>
  </si>
  <si>
    <t>Q19240108.F1</t>
  </si>
  <si>
    <t>Q19240107.F1</t>
  </si>
  <si>
    <t>CPX(YEDR1) LPDN PRE 22,POST 22</t>
  </si>
  <si>
    <t>CPX(YEDR1) LPDN PRE 14,POST 10</t>
  </si>
  <si>
    <t>CPX(YEDR1) LPDN PRE 14,POST 13</t>
  </si>
  <si>
    <t>CPX(YEDR1) LPDN PRE 25,POST 38</t>
  </si>
  <si>
    <t>CPX(YEDR1) LPDN PRE 75,POST 80</t>
  </si>
  <si>
    <t>Q19260014.F1</t>
  </si>
  <si>
    <t>Q19260113.F1</t>
  </si>
  <si>
    <t>CPX(YEDR1) LPDN PRE 9,POST 11</t>
  </si>
  <si>
    <t>Q19270061.F1</t>
  </si>
  <si>
    <t>Q19280005.F1</t>
  </si>
  <si>
    <t>Q19280079.F1</t>
  </si>
  <si>
    <t>CPX(YEDR1) LPDN PRE 4,POST 4</t>
  </si>
  <si>
    <t>Q19290022.F1</t>
  </si>
  <si>
    <t>CPX(YEDR1) LPDN PRE 3,POST 7</t>
  </si>
  <si>
    <t>Q19290111.F1</t>
  </si>
  <si>
    <t>CPX(YEDR1) LPDN PRE 26,POST 24</t>
  </si>
  <si>
    <t>Q19300047.F1</t>
  </si>
  <si>
    <t>CPX(YEDR1) LPDN PRE 13,POST 12</t>
  </si>
  <si>
    <t>CPX(YEDR1) LPDN PRE 06,POST 07</t>
  </si>
  <si>
    <t>Q19310075.F1</t>
  </si>
  <si>
    <t>CPX(YEDR1) LPDN PRE 18,POST 16</t>
  </si>
  <si>
    <t>Q19320007.F1</t>
  </si>
  <si>
    <t>Q19300109.F1</t>
  </si>
  <si>
    <t>Q19220044.F1</t>
  </si>
  <si>
    <t>Q19180124.F1</t>
  </si>
  <si>
    <t>Q19190028.F1</t>
  </si>
  <si>
    <t>Q19140100.F1</t>
  </si>
  <si>
    <t>Q19130105.F1</t>
  </si>
  <si>
    <t>Q19100088.F1</t>
  </si>
  <si>
    <t>Q19030085.F1</t>
  </si>
  <si>
    <t>Q19020021.F1</t>
  </si>
  <si>
    <t>Q18520077.F1</t>
  </si>
  <si>
    <t>Q18520005.F1</t>
  </si>
  <si>
    <t>Q18420007.F1</t>
  </si>
  <si>
    <t>Q18370109.F1</t>
  </si>
  <si>
    <t>CPX(YEDR1) LPDN PRE 59,POST 63</t>
  </si>
  <si>
    <t>Q19330032.F1</t>
  </si>
  <si>
    <t>CPX(YEDR1) LPDN PRE 99,POST 106</t>
  </si>
  <si>
    <t>Q193400047.F1</t>
  </si>
  <si>
    <t>CPX(YEDR1) LPDN PRE 60,POST 63)</t>
  </si>
  <si>
    <t>CPX(YEDR1) LPDN PRE 13,POST 09)</t>
  </si>
  <si>
    <t>Q19350063.F1</t>
  </si>
  <si>
    <t>CPX(YEDR1) LPDN PRE 11,POST 24)</t>
  </si>
  <si>
    <t>1428/1335</t>
  </si>
  <si>
    <t>Q19360054.F1</t>
  </si>
  <si>
    <t>CPX(YEDR1) LPDN PRE 9,POST 9)</t>
  </si>
  <si>
    <t>Q19370051.F1</t>
  </si>
  <si>
    <t>64/1340</t>
  </si>
  <si>
    <t>Q19380011.F1</t>
  </si>
  <si>
    <t>CPX(YEDR1) LPDN PRE 06,POST 08)</t>
  </si>
  <si>
    <t>Q19380110.F1</t>
  </si>
  <si>
    <t>CPX(YEDR1) LPDN PRE 24,POST 26)</t>
  </si>
  <si>
    <t>CPX(YEDR1) LPDN PRE 10,POST 04)</t>
  </si>
  <si>
    <t>CPX(YEDR1) LPDN PRE 176,POST166 )</t>
  </si>
  <si>
    <t>Q19390087.F1</t>
  </si>
  <si>
    <t>Q19400050.F1</t>
  </si>
  <si>
    <t>CPX(YEDR1) LPDN PRE 106,POST 114 )</t>
  </si>
  <si>
    <t>Q19400087.F1</t>
  </si>
  <si>
    <t>Q19410036.F1</t>
  </si>
  <si>
    <t>CPX(YEDR1) LPDN PRE 09,POST03 )</t>
  </si>
  <si>
    <t>Q19420048.F1</t>
  </si>
  <si>
    <r>
      <t>Pass Criteria</t>
    </r>
    <r>
      <rPr>
        <sz val="10"/>
        <color theme="1"/>
        <rFont val="Calibri"/>
        <family val="2"/>
        <scheme val="minor"/>
      </rPr>
      <t xml:space="preserve">:  LSL = 0, USL = 100,LCL=0 , </t>
    </r>
    <r>
      <rPr>
        <b/>
        <sz val="10"/>
        <color rgb="FF00B050"/>
        <rFont val="Calibri"/>
        <family val="2"/>
        <scheme val="minor"/>
      </rPr>
      <t>UCL=30 (Since 2019)</t>
    </r>
  </si>
  <si>
    <t>LCL</t>
  </si>
  <si>
    <t>% Uni UCL</t>
  </si>
  <si>
    <t xml:space="preserve">Frequency: 96 hrs </t>
  </si>
  <si>
    <t>Q19430049.F1</t>
  </si>
  <si>
    <t>Q19440006.F1</t>
  </si>
  <si>
    <t>QC After RF PM</t>
  </si>
  <si>
    <t>Q19460043.F1</t>
  </si>
  <si>
    <t>Tool down for PM</t>
  </si>
  <si>
    <t>CPX(YEDR1) LPDN PRE 5,POST 3 ). Post PM</t>
  </si>
  <si>
    <t>Q19470059.F1</t>
  </si>
  <si>
    <t>% Uni USL</t>
  </si>
  <si>
    <t>Q19480020.F1</t>
  </si>
  <si>
    <t xml:space="preserve">CPX(YEDR1) LPDN PRE 30,POST 29 ). </t>
  </si>
  <si>
    <t>Q19480033.F1</t>
  </si>
  <si>
    <t xml:space="preserve">CPX(YEDR1) LPDN PRE 01,POST 04). </t>
  </si>
  <si>
    <t>1340/1335</t>
  </si>
  <si>
    <t>WAFER ISSUE</t>
  </si>
  <si>
    <t>Q19490001.F1</t>
  </si>
  <si>
    <t xml:space="preserve">CPX(YEDR1) LPDN PRE 01,POST 01). </t>
  </si>
  <si>
    <t>Q19490062.F1</t>
  </si>
  <si>
    <t>HERE ONWARDS NEW GRITEK WFS WILL BE USED
Actual ASH10 CL is around 10 &amp; ASH09's CL is 23, for consistency between them ASH10's UCL modified to 23</t>
  </si>
  <si>
    <t xml:space="preserve">CPX(YEDR1) LPDN PRE 07,POST 03). </t>
  </si>
  <si>
    <t>Q19490138.F1</t>
  </si>
  <si>
    <t>y</t>
  </si>
  <si>
    <t>x</t>
  </si>
  <si>
    <t>Measurement tool</t>
  </si>
  <si>
    <t>MTOP1</t>
  </si>
  <si>
    <t>1159/1340</t>
  </si>
  <si>
    <t xml:space="preserve">CPX(YEDR1) LPDN PRE 03,POST 08). </t>
  </si>
  <si>
    <t>Q19500058.F1</t>
  </si>
  <si>
    <t xml:space="preserve">CPX(YEDR1) LPDN PRE 01,POST 02). </t>
  </si>
  <si>
    <t>Q19520016.F1</t>
  </si>
  <si>
    <t>Q19510062.F1, Lamp current tuned to fix uniformity issue</t>
  </si>
  <si>
    <t>LAMP CURRENT DECREASED</t>
  </si>
  <si>
    <t>QC repeated after lamp 2 failure</t>
  </si>
  <si>
    <t>After RF PM</t>
  </si>
  <si>
    <t xml:space="preserve">CPX(YEDR1) LPDN PRE 02,POST 018). </t>
  </si>
  <si>
    <t>Q20010014.F1</t>
  </si>
  <si>
    <t xml:space="preserve">CPX(YEDR1) LPDN PRE 00,POST 03). </t>
  </si>
  <si>
    <t>Q20020027.F1</t>
  </si>
  <si>
    <t xml:space="preserve">CPX(YEDR1) LPDN PRE 02,POST 04). </t>
  </si>
  <si>
    <t>Q20020110.F1</t>
  </si>
  <si>
    <t xml:space="preserve">CPX(YEDR1) LPDN PRE 02,POST 02). </t>
  </si>
  <si>
    <t xml:space="preserve">  Q20030045.F1</t>
  </si>
  <si>
    <t xml:space="preserve">CPX(YEDR1) LPDN PRE 03,POST 03). </t>
  </si>
  <si>
    <t>Q20050054.F1</t>
  </si>
  <si>
    <t xml:space="preserve">CPX(YEDR1) LPDN PRE 0173,POST 0190). </t>
  </si>
  <si>
    <t xml:space="preserve">CPX(YEDR1) LPDN PRE 0190,POST 0183). </t>
  </si>
  <si>
    <t xml:space="preserve">CPX(YEDR1) LPDN PRE 0126,POST 0135). </t>
  </si>
  <si>
    <t>Q20060014.F1</t>
  </si>
  <si>
    <t>Q20060033.F1</t>
  </si>
  <si>
    <t>Q20060144.F1</t>
  </si>
  <si>
    <t xml:space="preserve">CPX(YEDR1) LPDN PRE 0180,POST 0178). </t>
  </si>
  <si>
    <t>Q20070075.F1</t>
  </si>
  <si>
    <t xml:space="preserve">CPX(YEDR1) LPDN PRE 10,POST 08). </t>
  </si>
  <si>
    <t>Q20090002.F1</t>
  </si>
  <si>
    <t xml:space="preserve">CPX(YEDR1) LPDN PRE 156,POST 152) </t>
  </si>
  <si>
    <t>Pass</t>
  </si>
  <si>
    <t>Q20090098.F1</t>
  </si>
  <si>
    <t xml:space="preserve">CPX(YEDR1) LPDN PRE 153,POST 156). </t>
  </si>
  <si>
    <t>Q20100062.F1</t>
  </si>
  <si>
    <t xml:space="preserve">CPX(YEDR1) LPDN PRE 03,POST 06). </t>
  </si>
  <si>
    <t>Q20100134.F1</t>
  </si>
  <si>
    <t xml:space="preserve">CPX(YEDR1) LPDN PRE 05,POST 07). </t>
  </si>
  <si>
    <t>Q20110079.F1</t>
  </si>
  <si>
    <t>Q20120006.F1</t>
  </si>
  <si>
    <t xml:space="preserve">CPX(YEDR1) LPDN PRE 01,POST 06). </t>
  </si>
  <si>
    <t xml:space="preserve">YEDR1 LPDN Pre 1,Post 4). </t>
  </si>
  <si>
    <t>Q20180059.F1</t>
  </si>
  <si>
    <t xml:space="preserve">YEDR1 LPDN Pre 3,Post 6). </t>
  </si>
  <si>
    <t>Q20190064.F1</t>
  </si>
  <si>
    <t xml:space="preserve">YEDR1 LPDN Pre 02,Post 386). </t>
  </si>
  <si>
    <t xml:space="preserve">YEDR1 LPDN Pre 14,Post 144). </t>
  </si>
  <si>
    <t xml:space="preserve">YEDR1 LPDN Pre 1,Post 91). </t>
  </si>
  <si>
    <t xml:space="preserve">YEDR1 (LPDN Pre 02,Post 11). </t>
  </si>
  <si>
    <t xml:space="preserve">YEDR1 (LPDN Pre 01,Post 96). </t>
  </si>
  <si>
    <t xml:space="preserve">YEDR1 (LPDN Pre 07,Post 96). </t>
  </si>
  <si>
    <t xml:space="preserve">YEDR1 (LPDN Pre 0,Post 4). </t>
  </si>
  <si>
    <t xml:space="preserve">YEDR1 (LPDN Pre 0,Post 3). </t>
  </si>
  <si>
    <t xml:space="preserve">YEDR1 (LPDN Pre 03,Post 2). </t>
  </si>
  <si>
    <t>Q20240122.F1</t>
  </si>
  <si>
    <t xml:space="preserve">YEDR1 (LPDN Pre 01,Post 3). </t>
  </si>
  <si>
    <t xml:space="preserve">YEDR1 (LPDN Pre 0,Post 8). </t>
  </si>
  <si>
    <t xml:space="preserve">YEDR1 (LPDN Pre 2,Post 3). </t>
  </si>
  <si>
    <t>Q20250111.F1</t>
  </si>
  <si>
    <t xml:space="preserve">YEDR1 (LPDN Pre 2,Post 6). </t>
  </si>
  <si>
    <t>Q20260075.F1</t>
  </si>
  <si>
    <t>Q20270046.F1</t>
  </si>
  <si>
    <t xml:space="preserve">YEDR1 (LPDN Pre 2,Post 2). </t>
  </si>
  <si>
    <t>Q20270123.F1</t>
  </si>
  <si>
    <t xml:space="preserve">YEDR1 (LPDN Pre 0,Post 2). </t>
  </si>
  <si>
    <t>Q20280067.F1</t>
  </si>
  <si>
    <t xml:space="preserve">YEDR1 (LPDN Pre 34,Post 59). </t>
  </si>
  <si>
    <t xml:space="preserve">YEDR1 (LPDN Pre 3,Post 3). </t>
  </si>
  <si>
    <t>Q20280116.F1</t>
  </si>
  <si>
    <t xml:space="preserve">YEDR1 (LPDN Pre 03,Post 03). </t>
  </si>
  <si>
    <t>Q20290093.F1</t>
  </si>
  <si>
    <t xml:space="preserve">YEDR1 (LPDN Pre 28,Post 24). </t>
  </si>
  <si>
    <t>Q20300032.F1</t>
  </si>
  <si>
    <t xml:space="preserve">YEDR1 (LPDN Pre 03,Post 20). </t>
  </si>
  <si>
    <t>Q20300100.F1</t>
  </si>
  <si>
    <t xml:space="preserve">YEDR1 (LPDN Pre 300,Post 295). </t>
  </si>
  <si>
    <t xml:space="preserve">YEDR1 (LPDN Pre 2,Post 5). </t>
  </si>
  <si>
    <t xml:space="preserve">YEDR1 (LPDN Pre 170,Post 183). </t>
  </si>
  <si>
    <t>Q20310071.F1</t>
  </si>
  <si>
    <t xml:space="preserve">YEDR1 (LPDN Pre 3,Post 4). </t>
  </si>
  <si>
    <t>1534/102</t>
  </si>
  <si>
    <t xml:space="preserve">YEDR1 (LPDN Pre 4,Post 3). </t>
  </si>
  <si>
    <t>Q20310115.F1</t>
  </si>
  <si>
    <t>Lamp current increased .</t>
  </si>
  <si>
    <t>Q20320032.F1</t>
  </si>
  <si>
    <t xml:space="preserve">YEDR1 (LPDN Pre 05,Post 4). </t>
  </si>
  <si>
    <t>Q20320101.F1</t>
  </si>
  <si>
    <t>Q20330033.F1</t>
  </si>
  <si>
    <t xml:space="preserve">YEDR1 (LPDN Pre 03,Post 4). </t>
  </si>
  <si>
    <t>Q20340022.F1</t>
  </si>
  <si>
    <t xml:space="preserve">YEDR1 (LPDN Pre 01,Post 4). </t>
  </si>
  <si>
    <t>Q20340115.F1</t>
  </si>
  <si>
    <t>Q20360019.F1</t>
  </si>
  <si>
    <t xml:space="preserve">YEDR1 (LPDN Pre 5,Post 5). </t>
  </si>
  <si>
    <t>Q20360108.F1</t>
  </si>
  <si>
    <t xml:space="preserve">YEDR1 (LPDN Pre 120,Post 127). </t>
  </si>
  <si>
    <t>Q20370069.F1</t>
  </si>
  <si>
    <t>QC AFTER RF PM</t>
  </si>
  <si>
    <t>Q20370085.F1</t>
  </si>
  <si>
    <t xml:space="preserve">YEDR1 (LPDN Pre 4,Post 4). </t>
  </si>
  <si>
    <t>Q20380048.F1</t>
  </si>
  <si>
    <t xml:space="preserve">YEDR1 (LPDN Pre 2,Post 1). </t>
  </si>
  <si>
    <t>Q20390043.F1</t>
  </si>
  <si>
    <t>Q20400039.F1</t>
  </si>
  <si>
    <t xml:space="preserve">YEDR1 (LPDN Pre 16,Post 16). </t>
  </si>
  <si>
    <t>Q20400144.F1</t>
  </si>
  <si>
    <t xml:space="preserve">YEDR1 (LPDN Pre 23,Post 23). </t>
  </si>
  <si>
    <t>Q20410052.F1</t>
  </si>
  <si>
    <t>CP count</t>
  </si>
  <si>
    <t>&gt;0.16u</t>
  </si>
  <si>
    <t>&gt;0.5u</t>
  </si>
  <si>
    <t>AC</t>
  </si>
  <si>
    <t xml:space="preserve">YEDR1 (LPDN Pre 70,Post 70). </t>
  </si>
  <si>
    <t>Q20420031.F1</t>
  </si>
  <si>
    <t xml:space="preserve">YEDR1 (LPDN Pre 46,Post 50). </t>
  </si>
  <si>
    <t>Q20430036.F1</t>
  </si>
  <si>
    <t xml:space="preserve">YEDR1 (LPDN Pre 48,Post 45). </t>
  </si>
  <si>
    <t>Q20430085.F1</t>
  </si>
  <si>
    <t>Delta CP 0.16u</t>
  </si>
  <si>
    <t>Delta CP 0.5u</t>
  </si>
  <si>
    <t>Delta CP AC</t>
  </si>
  <si>
    <t>after 7 wfs seasoning</t>
  </si>
  <si>
    <t xml:space="preserve">YEDR1 (LPDN Pre 44,Post 37). </t>
  </si>
  <si>
    <t>Q20440052.F1</t>
  </si>
  <si>
    <t xml:space="preserve">YEDR1 (LPDN Pre 3,Post 6). </t>
  </si>
  <si>
    <t xml:space="preserve">YEDR1 (LPDN Pre 5,Post 3). </t>
  </si>
  <si>
    <t xml:space="preserve">YEDR1 (LPDN Pre 1,Post 0). </t>
  </si>
  <si>
    <t xml:space="preserve">YEDR1 (LPDN Pre 0,Post 1). </t>
  </si>
  <si>
    <t>Q20470011.F1</t>
  </si>
  <si>
    <t xml:space="preserve">YEDR1 (LPDN Pre 5,Post 7). </t>
  </si>
  <si>
    <t>Q20470086.F1</t>
  </si>
  <si>
    <t xml:space="preserve">YEDR1 (LPDN Pre 13,Post 17). </t>
  </si>
  <si>
    <t>Q20480050.F1</t>
  </si>
  <si>
    <t xml:space="preserve">YEDR1 (LPDN Pre 1,Post 4). </t>
  </si>
  <si>
    <t>After 5 seasoning wfs in #F</t>
  </si>
  <si>
    <t>95 Percentile</t>
  </si>
  <si>
    <t>%Uni UCL made equal to that of ASFE1. ER CL made equal to SL. Formula changed.</t>
  </si>
  <si>
    <t>99 Percentile</t>
  </si>
  <si>
    <t xml:space="preserve">YEDR1 (LPDN Pre 0,Post 04). </t>
  </si>
  <si>
    <t>(TOOL DOWN  FROM 7:20 TO 10:30)</t>
  </si>
  <si>
    <t>Q20530026.F1</t>
  </si>
  <si>
    <t>Q20520060.F1</t>
  </si>
  <si>
    <t xml:space="preserve">YEDR1 (LPDN Pre 04,Post 02). </t>
  </si>
  <si>
    <t>Q21020070.F1</t>
  </si>
  <si>
    <t>TOOL RECOVERED AFTER N2 mfc REPLACEMENT</t>
  </si>
  <si>
    <t xml:space="preserve">YEDR1 (LPDN Pre 3,Post 0). </t>
  </si>
  <si>
    <t>Q21030018.F1</t>
  </si>
  <si>
    <t>Q21040050.F1</t>
  </si>
  <si>
    <t xml:space="preserve">YEDR1 (LPDN Pre 4,Post 0). </t>
  </si>
  <si>
    <t>Q21050022.F1</t>
  </si>
  <si>
    <t xml:space="preserve">YEDR1 (LPDN Pre 6,Post 6). </t>
  </si>
  <si>
    <t>Q21050096.F1</t>
  </si>
  <si>
    <t>1428/121</t>
  </si>
  <si>
    <t xml:space="preserve">YEDR1 (LPDN Pre 0,Post 0). </t>
  </si>
  <si>
    <t>Q21060039.F1</t>
  </si>
  <si>
    <t>Q21060105.F1</t>
  </si>
  <si>
    <t>Q21070078.F1</t>
  </si>
  <si>
    <t xml:space="preserve">YEDR1 (LPDN Pre 4,Post 8). </t>
  </si>
  <si>
    <t>Q21080002.F1</t>
  </si>
  <si>
    <t xml:space="preserve">YEDR1 (LPDN Pre 6,Post 8). </t>
  </si>
  <si>
    <t>Q21080102.F1</t>
  </si>
  <si>
    <t>AFTER SEMI-ANNUAL PM</t>
  </si>
  <si>
    <t>Q21090038.F1</t>
  </si>
  <si>
    <t>Q21090128.F1</t>
  </si>
  <si>
    <t xml:space="preserve">YEDR1 (LPDN Pre 2,Post 0). </t>
  </si>
  <si>
    <t>Q21100076.F1</t>
  </si>
  <si>
    <t>Q21110001.F1</t>
  </si>
  <si>
    <t>Reused wafer</t>
  </si>
</sst>
</file>

<file path=xl/styles.xml><?xml version="1.0" encoding="utf-8"?>
<styleSheet xmlns="http://schemas.openxmlformats.org/spreadsheetml/2006/main">
  <numFmts count="2">
    <numFmt numFmtId="164" formatCode="mm\/dd\/yyyy"/>
    <numFmt numFmtId="165" formatCode="0.00;[Red]0.00"/>
  </numFmts>
  <fonts count="1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36"/>
      <color rgb="FF000000"/>
      <name val="Calibri"/>
      <family val="2"/>
      <scheme val="minor"/>
    </font>
    <font>
      <b/>
      <sz val="10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74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/>
    <xf numFmtId="0" fontId="4" fillId="0" borderId="0" xfId="0" applyFont="1" applyBorder="1"/>
    <xf numFmtId="0" fontId="4" fillId="0" borderId="0" xfId="0" applyFont="1" applyBorder="1" applyAlignment="1">
      <alignment horizontal="center" vertical="center"/>
    </xf>
    <xf numFmtId="0" fontId="4" fillId="0" borderId="0" xfId="0" applyFont="1"/>
    <xf numFmtId="164" fontId="5" fillId="0" borderId="23" xfId="0" applyNumberFormat="1" applyFont="1" applyBorder="1" applyAlignment="1">
      <alignment horizontal="center" vertical="top" wrapText="1"/>
    </xf>
    <xf numFmtId="0" fontId="5" fillId="0" borderId="24" xfId="0" applyFont="1" applyBorder="1" applyAlignment="1">
      <alignment horizontal="center" vertical="top" wrapText="1"/>
    </xf>
    <xf numFmtId="0" fontId="5" fillId="0" borderId="24" xfId="0" applyFont="1" applyBorder="1" applyAlignment="1">
      <alignment horizontal="center" vertical="top"/>
    </xf>
    <xf numFmtId="0" fontId="7" fillId="0" borderId="24" xfId="0" applyFont="1" applyBorder="1" applyAlignment="1">
      <alignment horizontal="center" vertical="top"/>
    </xf>
    <xf numFmtId="0" fontId="7" fillId="0" borderId="25" xfId="0" applyFont="1" applyBorder="1" applyAlignment="1">
      <alignment horizontal="center" vertical="top"/>
    </xf>
    <xf numFmtId="0" fontId="6" fillId="0" borderId="12" xfId="0" applyFont="1" applyBorder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164" fontId="4" fillId="0" borderId="1" xfId="0" applyNumberFormat="1" applyFont="1" applyBorder="1" applyAlignment="1">
      <alignment horizontal="right"/>
    </xf>
    <xf numFmtId="0" fontId="4" fillId="0" borderId="1" xfId="0" applyFont="1" applyFill="1" applyBorder="1" applyAlignment="1">
      <alignment horizontal="center" vertical="center"/>
    </xf>
    <xf numFmtId="0" fontId="6" fillId="0" borderId="1" xfId="0" applyFont="1" applyBorder="1"/>
    <xf numFmtId="0" fontId="4" fillId="0" borderId="1" xfId="0" applyFont="1" applyFill="1" applyBorder="1"/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top"/>
    </xf>
    <xf numFmtId="164" fontId="4" fillId="0" borderId="0" xfId="0" applyNumberFormat="1" applyFont="1"/>
    <xf numFmtId="0" fontId="4" fillId="0" borderId="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Border="1" applyAlignment="1"/>
    <xf numFmtId="0" fontId="4" fillId="2" borderId="0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11" xfId="0" applyFont="1" applyBorder="1" applyAlignment="1"/>
    <xf numFmtId="0" fontId="4" fillId="0" borderId="12" xfId="0" applyFont="1" applyBorder="1" applyAlignment="1"/>
    <xf numFmtId="0" fontId="3" fillId="2" borderId="4" xfId="0" applyFont="1" applyFill="1" applyBorder="1" applyAlignment="1"/>
    <xf numFmtId="0" fontId="3" fillId="2" borderId="5" xfId="0" applyFont="1" applyFill="1" applyBorder="1" applyAlignment="1"/>
    <xf numFmtId="0" fontId="3" fillId="2" borderId="6" xfId="0" applyFont="1" applyFill="1" applyBorder="1" applyAlignment="1"/>
    <xf numFmtId="0" fontId="3" fillId="2" borderId="5" xfId="0" applyFont="1" applyFill="1" applyBorder="1" applyAlignment="1">
      <alignment horizontal="center"/>
    </xf>
    <xf numFmtId="164" fontId="3" fillId="2" borderId="2" xfId="0" applyNumberFormat="1" applyFont="1" applyFill="1" applyBorder="1" applyAlignment="1"/>
    <xf numFmtId="0" fontId="3" fillId="2" borderId="0" xfId="0" applyFont="1" applyFill="1" applyBorder="1" applyAlignment="1"/>
    <xf numFmtId="0" fontId="6" fillId="2" borderId="0" xfId="0" applyFont="1" applyFill="1" applyBorder="1"/>
    <xf numFmtId="0" fontId="6" fillId="0" borderId="0" xfId="0" applyFont="1" applyBorder="1"/>
    <xf numFmtId="0" fontId="5" fillId="2" borderId="0" xfId="0" applyFont="1" applyFill="1" applyBorder="1" applyAlignment="1"/>
    <xf numFmtId="0" fontId="6" fillId="0" borderId="0" xfId="0" applyFont="1" applyBorder="1" applyAlignment="1">
      <alignment horizontal="center"/>
    </xf>
    <xf numFmtId="0" fontId="3" fillId="2" borderId="7" xfId="0" applyFont="1" applyFill="1" applyBorder="1" applyAlignment="1">
      <alignment horizontal="right"/>
    </xf>
    <xf numFmtId="164" fontId="3" fillId="2" borderId="2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5" fillId="2" borderId="7" xfId="0" applyFont="1" applyFill="1" applyBorder="1" applyAlignment="1"/>
    <xf numFmtId="0" fontId="8" fillId="2" borderId="0" xfId="0" applyFont="1" applyFill="1" applyBorder="1" applyAlignment="1">
      <alignment horizontal="left" vertical="center"/>
    </xf>
    <xf numFmtId="164" fontId="5" fillId="2" borderId="2" xfId="0" applyNumberFormat="1" applyFont="1" applyFill="1" applyBorder="1" applyAlignment="1"/>
    <xf numFmtId="164" fontId="6" fillId="0" borderId="0" xfId="0" applyNumberFormat="1" applyFont="1" applyBorder="1" applyAlignment="1">
      <alignment vertical="top" wrapText="1"/>
    </xf>
    <xf numFmtId="0" fontId="6" fillId="0" borderId="11" xfId="0" applyFont="1" applyBorder="1" applyAlignment="1">
      <alignment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/>
    </xf>
    <xf numFmtId="0" fontId="6" fillId="0" borderId="1" xfId="0" applyFont="1" applyBorder="1" applyAlignment="1">
      <alignment vertical="top" wrapText="1"/>
    </xf>
    <xf numFmtId="0" fontId="6" fillId="0" borderId="12" xfId="0" applyFont="1" applyBorder="1" applyAlignment="1">
      <alignment horizontal="center" vertical="top" wrapText="1"/>
    </xf>
    <xf numFmtId="0" fontId="6" fillId="0" borderId="3" xfId="0" applyFont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0" fontId="6" fillId="0" borderId="3" xfId="0" applyFont="1" applyBorder="1" applyAlignment="1">
      <alignment vertical="top"/>
    </xf>
    <xf numFmtId="0" fontId="6" fillId="0" borderId="3" xfId="0" applyFont="1" applyBorder="1" applyAlignment="1">
      <alignment horizontal="center" vertical="top" wrapText="1"/>
    </xf>
    <xf numFmtId="0" fontId="6" fillId="0" borderId="11" xfId="0" applyFont="1" applyFill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6" fillId="0" borderId="12" xfId="0" applyFont="1" applyBorder="1" applyAlignment="1">
      <alignment vertical="top" wrapText="1"/>
    </xf>
    <xf numFmtId="0" fontId="6" fillId="0" borderId="12" xfId="0" applyFont="1" applyFill="1" applyBorder="1" applyAlignment="1">
      <alignment vertical="top" wrapText="1"/>
    </xf>
    <xf numFmtId="0" fontId="6" fillId="0" borderId="12" xfId="0" applyFont="1" applyBorder="1" applyAlignment="1">
      <alignment vertical="top"/>
    </xf>
    <xf numFmtId="0" fontId="6" fillId="0" borderId="0" xfId="0" applyFont="1"/>
    <xf numFmtId="0" fontId="6" fillId="0" borderId="13" xfId="0" applyFont="1" applyBorder="1" applyAlignment="1">
      <alignment vertical="top" wrapText="1"/>
    </xf>
    <xf numFmtId="0" fontId="6" fillId="0" borderId="13" xfId="0" applyFont="1" applyFill="1" applyBorder="1" applyAlignment="1">
      <alignment vertical="top" wrapText="1"/>
    </xf>
    <xf numFmtId="0" fontId="6" fillId="0" borderId="15" xfId="0" applyFont="1" applyBorder="1" applyAlignment="1">
      <alignment vertical="top" wrapText="1"/>
    </xf>
    <xf numFmtId="0" fontId="6" fillId="0" borderId="15" xfId="0" applyFont="1" applyFill="1" applyBorder="1" applyAlignment="1">
      <alignment vertical="top" wrapText="1"/>
    </xf>
    <xf numFmtId="0" fontId="6" fillId="0" borderId="18" xfId="0" applyFont="1" applyBorder="1" applyAlignment="1">
      <alignment vertical="top" wrapText="1"/>
    </xf>
    <xf numFmtId="0" fontId="6" fillId="0" borderId="19" xfId="0" applyFont="1" applyBorder="1" applyAlignment="1">
      <alignment horizontal="center" vertical="top" wrapText="1"/>
    </xf>
    <xf numFmtId="0" fontId="6" fillId="0" borderId="20" xfId="0" applyFont="1" applyBorder="1" applyAlignment="1">
      <alignment horizontal="center" vertical="top" wrapText="1"/>
    </xf>
    <xf numFmtId="0" fontId="6" fillId="0" borderId="21" xfId="0" applyFont="1" applyBorder="1" applyAlignment="1">
      <alignment horizontal="center" vertical="top" wrapText="1"/>
    </xf>
    <xf numFmtId="0" fontId="6" fillId="0" borderId="2" xfId="0" applyFont="1" applyBorder="1" applyAlignment="1">
      <alignment vertical="top"/>
    </xf>
    <xf numFmtId="0" fontId="6" fillId="0" borderId="22" xfId="0" applyFont="1" applyBorder="1" applyAlignment="1">
      <alignment vertical="top"/>
    </xf>
    <xf numFmtId="0" fontId="3" fillId="2" borderId="6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left"/>
    </xf>
    <xf numFmtId="164" fontId="4" fillId="0" borderId="0" xfId="0" applyNumberFormat="1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0" fontId="6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 vertical="center"/>
    </xf>
    <xf numFmtId="0" fontId="3" fillId="2" borderId="7" xfId="0" applyFont="1" applyFill="1" applyBorder="1" applyAlignment="1">
      <alignment horizontal="left"/>
    </xf>
    <xf numFmtId="0" fontId="5" fillId="2" borderId="7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top"/>
    </xf>
    <xf numFmtId="164" fontId="4" fillId="0" borderId="12" xfId="0" applyNumberFormat="1" applyFont="1" applyBorder="1" applyAlignment="1">
      <alignment horizontal="center"/>
    </xf>
    <xf numFmtId="0" fontId="5" fillId="0" borderId="24" xfId="0" applyFont="1" applyBorder="1" applyAlignment="1">
      <alignment vertical="top" wrapText="1"/>
    </xf>
    <xf numFmtId="164" fontId="6" fillId="0" borderId="3" xfId="0" applyNumberFormat="1" applyFont="1" applyBorder="1" applyAlignment="1">
      <alignment horizontal="center" vertical="top" wrapText="1"/>
    </xf>
    <xf numFmtId="164" fontId="6" fillId="0" borderId="11" xfId="0" applyNumberFormat="1" applyFont="1" applyBorder="1" applyAlignment="1">
      <alignment horizontal="center" vertical="top" wrapText="1"/>
    </xf>
    <xf numFmtId="164" fontId="6" fillId="0" borderId="12" xfId="0" applyNumberFormat="1" applyFont="1" applyBorder="1" applyAlignment="1">
      <alignment horizontal="center" vertical="top" wrapText="1"/>
    </xf>
    <xf numFmtId="164" fontId="6" fillId="0" borderId="14" xfId="0" applyNumberFormat="1" applyFont="1" applyBorder="1" applyAlignment="1">
      <alignment horizontal="center" vertical="top" wrapText="1"/>
    </xf>
    <xf numFmtId="164" fontId="6" fillId="0" borderId="16" xfId="0" applyNumberFormat="1" applyFont="1" applyBorder="1" applyAlignment="1">
      <alignment horizontal="center" vertical="top" wrapText="1"/>
    </xf>
    <xf numFmtId="164" fontId="6" fillId="0" borderId="17" xfId="0" applyNumberFormat="1" applyFont="1" applyBorder="1" applyAlignment="1">
      <alignment horizontal="center" vertical="top" wrapText="1"/>
    </xf>
    <xf numFmtId="0" fontId="7" fillId="0" borderId="0" xfId="0" applyFont="1" applyAlignment="1">
      <alignment vertical="top"/>
    </xf>
    <xf numFmtId="0" fontId="4" fillId="0" borderId="0" xfId="1" applyFont="1"/>
    <xf numFmtId="0" fontId="4" fillId="0" borderId="0" xfId="2" applyFont="1"/>
    <xf numFmtId="0" fontId="3" fillId="2" borderId="0" xfId="0" applyFont="1" applyFill="1" applyBorder="1" applyAlignment="1">
      <alignment horizontal="right"/>
    </xf>
    <xf numFmtId="0" fontId="4" fillId="0" borderId="0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4" fillId="0" borderId="5" xfId="0" applyFont="1" applyBorder="1" applyAlignment="1"/>
    <xf numFmtId="0" fontId="4" fillId="0" borderId="5" xfId="0" applyFont="1" applyBorder="1"/>
    <xf numFmtId="0" fontId="4" fillId="0" borderId="6" xfId="0" applyFont="1" applyBorder="1"/>
    <xf numFmtId="0" fontId="6" fillId="0" borderId="1" xfId="0" applyFont="1" applyBorder="1" applyAlignment="1"/>
    <xf numFmtId="0" fontId="4" fillId="0" borderId="3" xfId="0" applyFont="1" applyBorder="1"/>
    <xf numFmtId="164" fontId="3" fillId="2" borderId="0" xfId="0" applyNumberFormat="1" applyFont="1" applyFill="1" applyBorder="1" applyAlignment="1">
      <alignment horizontal="left"/>
    </xf>
    <xf numFmtId="164" fontId="3" fillId="2" borderId="5" xfId="0" applyNumberFormat="1" applyFont="1" applyFill="1" applyBorder="1" applyAlignment="1">
      <alignment horizontal="left"/>
    </xf>
    <xf numFmtId="164" fontId="5" fillId="2" borderId="0" xfId="0" applyNumberFormat="1" applyFont="1" applyFill="1" applyBorder="1" applyAlignment="1">
      <alignment horizontal="left"/>
    </xf>
    <xf numFmtId="164" fontId="5" fillId="2" borderId="0" xfId="0" applyNumberFormat="1" applyFont="1" applyFill="1" applyBorder="1" applyAlignment="1">
      <alignment horizontal="center"/>
    </xf>
    <xf numFmtId="164" fontId="5" fillId="0" borderId="26" xfId="0" applyNumberFormat="1" applyFont="1" applyBorder="1" applyAlignment="1">
      <alignment horizontal="center" vertical="top" wrapText="1"/>
    </xf>
    <xf numFmtId="164" fontId="4" fillId="0" borderId="1" xfId="0" applyNumberFormat="1" applyFont="1" applyBorder="1" applyAlignment="1">
      <alignment horizontal="center" vertical="top"/>
    </xf>
    <xf numFmtId="0" fontId="0" fillId="0" borderId="0" xfId="0" applyAlignment="1">
      <alignment horizontal="center"/>
    </xf>
    <xf numFmtId="0" fontId="4" fillId="0" borderId="7" xfId="0" applyFont="1" applyBorder="1" applyAlignment="1">
      <alignment horizontal="center" vertical="top"/>
    </xf>
    <xf numFmtId="164" fontId="4" fillId="0" borderId="3" xfId="0" applyNumberFormat="1" applyFont="1" applyBorder="1" applyAlignment="1">
      <alignment horizontal="center"/>
    </xf>
    <xf numFmtId="0" fontId="7" fillId="0" borderId="1" xfId="0" applyFont="1" applyBorder="1"/>
    <xf numFmtId="0" fontId="7" fillId="0" borderId="0" xfId="0" applyFont="1"/>
    <xf numFmtId="0" fontId="4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top" wrapText="1"/>
    </xf>
    <xf numFmtId="164" fontId="4" fillId="0" borderId="28" xfId="0" applyNumberFormat="1" applyFont="1" applyBorder="1" applyAlignment="1">
      <alignment horizontal="center"/>
    </xf>
    <xf numFmtId="0" fontId="5" fillId="0" borderId="29" xfId="0" applyFont="1" applyBorder="1" applyAlignment="1">
      <alignment horizontal="center" vertical="top" wrapText="1"/>
    </xf>
    <xf numFmtId="0" fontId="6" fillId="0" borderId="30" xfId="0" applyFont="1" applyBorder="1" applyAlignment="1">
      <alignment horizontal="center" wrapText="1"/>
    </xf>
    <xf numFmtId="0" fontId="4" fillId="0" borderId="30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5" fillId="0" borderId="23" xfId="0" applyFont="1" applyBorder="1" applyAlignment="1">
      <alignment horizontal="center" vertical="top" wrapText="1"/>
    </xf>
    <xf numFmtId="0" fontId="5" fillId="0" borderId="25" xfId="0" applyFont="1" applyBorder="1" applyAlignment="1">
      <alignment horizontal="center" vertical="top"/>
    </xf>
    <xf numFmtId="0" fontId="4" fillId="0" borderId="31" xfId="0" applyFont="1" applyBorder="1" applyAlignment="1">
      <alignment horizontal="center"/>
    </xf>
    <xf numFmtId="0" fontId="6" fillId="0" borderId="32" xfId="0" applyFont="1" applyBorder="1" applyAlignment="1">
      <alignment horizontal="center" wrapText="1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5" fillId="0" borderId="37" xfId="0" applyFont="1" applyBorder="1" applyAlignment="1">
      <alignment horizontal="center" vertical="top"/>
    </xf>
    <xf numFmtId="0" fontId="6" fillId="0" borderId="28" xfId="0" applyFont="1" applyBorder="1" applyAlignment="1">
      <alignment horizontal="center" wrapText="1"/>
    </xf>
    <xf numFmtId="0" fontId="4" fillId="0" borderId="28" xfId="0" applyFont="1" applyBorder="1" applyAlignment="1">
      <alignment horizontal="center"/>
    </xf>
    <xf numFmtId="0" fontId="5" fillId="0" borderId="29" xfId="0" applyFont="1" applyBorder="1" applyAlignment="1">
      <alignment horizontal="center" vertical="top"/>
    </xf>
    <xf numFmtId="0" fontId="6" fillId="0" borderId="30" xfId="0" applyFont="1" applyFill="1" applyBorder="1" applyAlignment="1">
      <alignment horizontal="center" vertical="top"/>
    </xf>
    <xf numFmtId="0" fontId="6" fillId="0" borderId="6" xfId="0" applyFont="1" applyFill="1" applyBorder="1" applyAlignment="1">
      <alignment horizontal="center" vertical="top"/>
    </xf>
    <xf numFmtId="0" fontId="6" fillId="0" borderId="31" xfId="0" applyFont="1" applyBorder="1" applyAlignment="1">
      <alignment horizontal="center" wrapText="1"/>
    </xf>
    <xf numFmtId="165" fontId="6" fillId="0" borderId="0" xfId="0" applyNumberFormat="1" applyFont="1" applyBorder="1" applyAlignment="1">
      <alignment horizontal="center" vertical="top" wrapText="1"/>
    </xf>
    <xf numFmtId="165" fontId="5" fillId="0" borderId="24" xfId="0" applyNumberFormat="1" applyFont="1" applyBorder="1" applyAlignment="1">
      <alignment horizontal="center" vertical="top" wrapText="1"/>
    </xf>
    <xf numFmtId="165" fontId="3" fillId="2" borderId="5" xfId="0" applyNumberFormat="1" applyFont="1" applyFill="1" applyBorder="1" applyAlignment="1">
      <alignment horizontal="center"/>
    </xf>
    <xf numFmtId="165" fontId="3" fillId="2" borderId="0" xfId="0" applyNumberFormat="1" applyFont="1" applyFill="1" applyBorder="1" applyAlignment="1">
      <alignment horizontal="center"/>
    </xf>
    <xf numFmtId="165" fontId="5" fillId="2" borderId="0" xfId="0" applyNumberFormat="1" applyFont="1" applyFill="1" applyBorder="1" applyAlignment="1">
      <alignment horizontal="center"/>
    </xf>
    <xf numFmtId="165" fontId="8" fillId="2" borderId="0" xfId="0" applyNumberFormat="1" applyFont="1" applyFill="1" applyBorder="1" applyAlignment="1">
      <alignment horizontal="center" vertical="center"/>
    </xf>
    <xf numFmtId="165" fontId="6" fillId="0" borderId="11" xfId="0" applyNumberFormat="1" applyFont="1" applyBorder="1" applyAlignment="1">
      <alignment horizontal="center" vertical="top" wrapText="1"/>
    </xf>
    <xf numFmtId="165" fontId="4" fillId="0" borderId="0" xfId="0" applyNumberFormat="1" applyFont="1" applyAlignment="1">
      <alignment horizontal="center"/>
    </xf>
    <xf numFmtId="0" fontId="7" fillId="0" borderId="0" xfId="0" applyFont="1" applyBorder="1"/>
    <xf numFmtId="0" fontId="3" fillId="2" borderId="4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 wrapText="1"/>
    </xf>
    <xf numFmtId="0" fontId="5" fillId="2" borderId="0" xfId="0" applyFont="1" applyFill="1" applyBorder="1" applyAlignment="1">
      <alignment horizontal="left" wrapText="1"/>
    </xf>
    <xf numFmtId="0" fontId="5" fillId="2" borderId="9" xfId="0" applyFont="1" applyFill="1" applyBorder="1" applyAlignment="1">
      <alignment horizontal="left" wrapText="1"/>
    </xf>
    <xf numFmtId="0" fontId="5" fillId="2" borderId="10" xfId="0" applyFont="1" applyFill="1" applyBorder="1" applyAlignment="1">
      <alignment horizontal="left" wrapText="1"/>
    </xf>
    <xf numFmtId="0" fontId="5" fillId="0" borderId="27" xfId="0" applyFont="1" applyBorder="1" applyAlignment="1">
      <alignment horizontal="center" vertical="center" wrapText="1"/>
    </xf>
    <xf numFmtId="0" fontId="5" fillId="0" borderId="38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5" fillId="0" borderId="2" xfId="0" applyFont="1" applyBorder="1" applyAlignment="1">
      <alignment horizontal="center" vertical="top" wrapText="1"/>
    </xf>
    <xf numFmtId="0" fontId="5" fillId="0" borderId="0" xfId="0" applyFont="1" applyBorder="1" applyAlignment="1">
      <alignment horizontal="center" vertical="top" wrapText="1"/>
    </xf>
  </cellXfs>
  <cellStyles count="3">
    <cellStyle name="Normal" xfId="0" builtinId="0"/>
    <cellStyle name="Normal 2" xfId="1"/>
    <cellStyle name="Normal 3" xfId="2"/>
  </cellStyles>
  <dxfs count="287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22</xdr:col>
      <xdr:colOff>47624</xdr:colOff>
      <xdr:row>19</xdr:row>
      <xdr:rowOff>161925</xdr:rowOff>
    </xdr:to>
    <xdr:pic>
      <xdr:nvPicPr>
        <xdr:cNvPr id="10" name="ASBE1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15231594" cy="399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25</xdr:col>
      <xdr:colOff>409572</xdr:colOff>
      <xdr:row>19</xdr:row>
      <xdr:rowOff>85724</xdr:rowOff>
    </xdr:to>
    <xdr:pic>
      <xdr:nvPicPr>
        <xdr:cNvPr id="12" name="ASBE1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607489" cy="3906306"/>
        </a:xfrm>
        <a:prstGeom prst="rect">
          <a:avLst/>
        </a:prstGeom>
      </xdr:spPr>
    </xdr:pic>
    <xdr:clientData/>
  </xdr:twoCellAnchor>
  <xdr:twoCellAnchor editAs="oneCell">
    <xdr:from>
      <xdr:col>0</xdr:col>
      <xdr:colOff>3</xdr:colOff>
      <xdr:row>23</xdr:row>
      <xdr:rowOff>44824</xdr:rowOff>
    </xdr:from>
    <xdr:to>
      <xdr:col>24</xdr:col>
      <xdr:colOff>497420</xdr:colOff>
      <xdr:row>39</xdr:row>
      <xdr:rowOff>76200</xdr:rowOff>
    </xdr:to>
    <xdr:pic>
      <xdr:nvPicPr>
        <xdr:cNvPr id="13" name="ASBE1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" y="4669741"/>
          <a:ext cx="17007417" cy="32487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4105"/>
  <sheetViews>
    <sheetView tabSelected="1" zoomScale="85" zoomScaleNormal="85" workbookViewId="0">
      <pane ySplit="11" topLeftCell="A247" activePane="bottomLeft" state="frozen"/>
      <selection pane="bottomLeft" activeCell="P263" sqref="P263"/>
    </sheetView>
  </sheetViews>
  <sheetFormatPr defaultColWidth="11" defaultRowHeight="12.75"/>
  <cols>
    <col min="1" max="1" width="13" style="87" customWidth="1"/>
    <col min="2" max="3" width="6.125" style="9" customWidth="1"/>
    <col min="4" max="4" width="6.375" style="9" customWidth="1"/>
    <col min="5" max="5" width="7.125" style="9" customWidth="1"/>
    <col min="6" max="6" width="6.75" style="9" customWidth="1"/>
    <col min="7" max="7" width="8.125" style="9" customWidth="1"/>
    <col min="8" max="8" width="6.875" style="9" customWidth="1"/>
    <col min="9" max="9" width="6.625" style="9" customWidth="1"/>
    <col min="10" max="10" width="7.625" style="9" customWidth="1"/>
    <col min="11" max="12" width="11" style="18"/>
    <col min="13" max="13" width="11" style="8"/>
    <col min="14" max="14" width="11" style="24"/>
    <col min="15" max="15" width="25.875" style="9" customWidth="1"/>
    <col min="16" max="16" width="34.125" style="9" bestFit="1" customWidth="1"/>
    <col min="17" max="16384" width="11" style="9"/>
  </cols>
  <sheetData>
    <row r="1" spans="1:17" s="6" customFormat="1">
      <c r="A1" s="159" t="s">
        <v>11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1"/>
      <c r="P1" s="4"/>
      <c r="Q1" s="5"/>
    </row>
    <row r="2" spans="1:17">
      <c r="A2" s="45" t="s">
        <v>194</v>
      </c>
      <c r="B2" s="46"/>
      <c r="C2" s="46"/>
      <c r="D2" s="46"/>
      <c r="E2" s="46"/>
      <c r="F2" s="46"/>
      <c r="G2" s="46"/>
      <c r="H2" s="46"/>
      <c r="I2" s="46"/>
      <c r="J2" s="46"/>
      <c r="K2" s="84"/>
      <c r="L2" s="88"/>
      <c r="M2" s="89"/>
      <c r="N2" s="90"/>
      <c r="O2" s="93" t="s">
        <v>195</v>
      </c>
      <c r="P2" s="8"/>
      <c r="Q2" s="24"/>
    </row>
    <row r="3" spans="1:17">
      <c r="A3" s="45" t="s">
        <v>196</v>
      </c>
      <c r="B3" s="46"/>
      <c r="C3" s="46"/>
      <c r="D3" s="46"/>
      <c r="E3" s="46"/>
      <c r="F3" s="46"/>
      <c r="G3" s="46"/>
      <c r="H3" s="46"/>
      <c r="I3" s="46"/>
      <c r="J3" s="46"/>
      <c r="K3" s="84"/>
      <c r="L3" s="91"/>
      <c r="M3" s="89"/>
      <c r="N3" s="92"/>
      <c r="O3" s="93"/>
      <c r="P3" s="8"/>
      <c r="Q3" s="24"/>
    </row>
    <row r="4" spans="1:17">
      <c r="A4" s="45" t="s">
        <v>197</v>
      </c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  <c r="M4" s="95" t="s">
        <v>324</v>
      </c>
      <c r="N4" s="42"/>
      <c r="O4" s="49"/>
      <c r="P4" s="8"/>
      <c r="Q4" s="24"/>
    </row>
    <row r="5" spans="1:17">
      <c r="A5" s="45" t="s">
        <v>198</v>
      </c>
      <c r="B5" s="84"/>
      <c r="C5" s="84"/>
      <c r="D5" s="84"/>
      <c r="E5" s="84"/>
      <c r="F5" s="84"/>
      <c r="G5" s="84"/>
      <c r="H5" s="84"/>
      <c r="I5" s="84"/>
      <c r="J5" s="84">
        <v>2</v>
      </c>
      <c r="K5" s="84"/>
      <c r="L5" s="84"/>
      <c r="M5" s="89"/>
      <c r="N5" s="89"/>
      <c r="O5" s="94"/>
      <c r="P5" s="8"/>
      <c r="Q5" s="24"/>
    </row>
    <row r="6" spans="1:17">
      <c r="A6" s="45" t="s">
        <v>199</v>
      </c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9"/>
      <c r="N6" s="89"/>
      <c r="O6" s="94"/>
      <c r="P6" s="8"/>
      <c r="Q6" s="24"/>
    </row>
    <row r="7" spans="1:17">
      <c r="A7" s="45" t="s">
        <v>321</v>
      </c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9"/>
      <c r="N7" s="89"/>
      <c r="O7" s="94"/>
      <c r="P7" s="8"/>
      <c r="Q7" s="24"/>
    </row>
    <row r="8" spans="1:17" ht="13.5" thickBot="1">
      <c r="A8" s="162"/>
      <c r="B8" s="163"/>
      <c r="C8" s="163"/>
      <c r="D8" s="163"/>
      <c r="E8" s="163"/>
      <c r="F8" s="163"/>
      <c r="G8" s="163"/>
      <c r="H8" s="163"/>
      <c r="I8" s="163"/>
      <c r="J8" s="163"/>
      <c r="K8" s="164"/>
      <c r="L8" s="164"/>
      <c r="M8" s="164"/>
      <c r="N8" s="164"/>
      <c r="O8" s="165"/>
      <c r="P8" s="8"/>
      <c r="Q8" s="24"/>
    </row>
    <row r="9" spans="1:17" ht="18" customHeight="1" thickBot="1">
      <c r="A9" s="85"/>
      <c r="B9" s="166" t="s">
        <v>456</v>
      </c>
      <c r="C9" s="167"/>
      <c r="D9" s="167"/>
      <c r="E9" s="167"/>
      <c r="F9" s="167"/>
      <c r="G9" s="167"/>
      <c r="H9" s="167"/>
      <c r="I9" s="167"/>
      <c r="J9" s="168"/>
      <c r="K9" s="7"/>
      <c r="L9" s="7"/>
      <c r="N9" s="8"/>
      <c r="O9" s="7"/>
    </row>
    <row r="10" spans="1:17" ht="17.25" customHeight="1" thickBot="1">
      <c r="A10" s="85"/>
      <c r="B10" s="166" t="s">
        <v>457</v>
      </c>
      <c r="C10" s="167"/>
      <c r="D10" s="168"/>
      <c r="E10" s="169" t="s">
        <v>458</v>
      </c>
      <c r="F10" s="170"/>
      <c r="G10" s="171"/>
      <c r="H10" s="169" t="s">
        <v>459</v>
      </c>
      <c r="I10" s="170"/>
      <c r="J10" s="171"/>
      <c r="K10" s="7"/>
      <c r="L10" s="7"/>
      <c r="N10" s="8"/>
      <c r="O10" s="7"/>
    </row>
    <row r="11" spans="1:17" s="25" customFormat="1" ht="33.75" customHeight="1" thickBot="1">
      <c r="A11" s="128" t="s">
        <v>206</v>
      </c>
      <c r="B11" s="134" t="s">
        <v>16</v>
      </c>
      <c r="C11" s="11" t="s">
        <v>17</v>
      </c>
      <c r="D11" s="135" t="s">
        <v>466</v>
      </c>
      <c r="E11" s="130" t="s">
        <v>16</v>
      </c>
      <c r="F11" s="11" t="s">
        <v>17</v>
      </c>
      <c r="G11" s="143" t="s">
        <v>467</v>
      </c>
      <c r="H11" s="134" t="s">
        <v>16</v>
      </c>
      <c r="I11" s="11" t="s">
        <v>17</v>
      </c>
      <c r="J11" s="135" t="s">
        <v>468</v>
      </c>
      <c r="K11" s="146" t="s">
        <v>12</v>
      </c>
      <c r="L11" s="11" t="s">
        <v>13</v>
      </c>
      <c r="M11" s="13" t="s">
        <v>14</v>
      </c>
      <c r="N11" s="13" t="s">
        <v>191</v>
      </c>
      <c r="O11" s="13" t="s">
        <v>18</v>
      </c>
      <c r="P11" s="14" t="s">
        <v>19</v>
      </c>
    </row>
    <row r="12" spans="1:17">
      <c r="A12" s="129">
        <v>42086</v>
      </c>
      <c r="B12" s="136">
        <v>29</v>
      </c>
      <c r="C12" s="19">
        <v>53</v>
      </c>
      <c r="D12" s="137">
        <f t="shared" ref="D12:D21" si="0">IF(((B12="")*AND(C12="")),"",(C12-B12))</f>
        <v>24</v>
      </c>
      <c r="E12" s="131"/>
      <c r="F12" s="16"/>
      <c r="G12" s="144"/>
      <c r="H12" s="149"/>
      <c r="I12" s="16"/>
      <c r="J12" s="137"/>
      <c r="K12" s="147" t="str">
        <f t="shared" ref="K12:K75" si="1">IF((D12=""),"",IF(D12&lt;=N12,"Pass","Fail"))</f>
        <v>Pass</v>
      </c>
      <c r="L12" s="19">
        <v>1400</v>
      </c>
      <c r="M12" s="17">
        <v>100</v>
      </c>
      <c r="N12" s="17">
        <v>50</v>
      </c>
      <c r="O12" s="18"/>
      <c r="P12" s="18"/>
    </row>
    <row r="13" spans="1:17">
      <c r="A13" s="129">
        <v>42093</v>
      </c>
      <c r="B13" s="136">
        <v>19</v>
      </c>
      <c r="C13" s="19">
        <v>32</v>
      </c>
      <c r="D13" s="137">
        <f t="shared" si="0"/>
        <v>13</v>
      </c>
      <c r="E13" s="131"/>
      <c r="F13" s="16"/>
      <c r="G13" s="144"/>
      <c r="H13" s="149"/>
      <c r="I13" s="16"/>
      <c r="J13" s="137"/>
      <c r="K13" s="147" t="str">
        <f t="shared" si="1"/>
        <v>Pass</v>
      </c>
      <c r="L13" s="19">
        <v>1400</v>
      </c>
      <c r="M13" s="17">
        <v>100</v>
      </c>
      <c r="N13" s="17">
        <v>50</v>
      </c>
      <c r="O13" s="18"/>
      <c r="P13" s="18"/>
    </row>
    <row r="14" spans="1:17">
      <c r="A14" s="129">
        <v>42107</v>
      </c>
      <c r="B14" s="136">
        <v>42</v>
      </c>
      <c r="C14" s="19">
        <v>40</v>
      </c>
      <c r="D14" s="137">
        <f t="shared" si="0"/>
        <v>-2</v>
      </c>
      <c r="E14" s="131"/>
      <c r="F14" s="16"/>
      <c r="G14" s="144"/>
      <c r="H14" s="149"/>
      <c r="I14" s="16"/>
      <c r="J14" s="137"/>
      <c r="K14" s="147" t="str">
        <f t="shared" si="1"/>
        <v>Pass</v>
      </c>
      <c r="L14" s="19">
        <v>1400</v>
      </c>
      <c r="M14" s="17">
        <v>100</v>
      </c>
      <c r="N14" s="17">
        <v>50</v>
      </c>
      <c r="O14" s="18"/>
      <c r="P14" s="18"/>
    </row>
    <row r="15" spans="1:17">
      <c r="A15" s="129">
        <v>42146</v>
      </c>
      <c r="B15" s="136">
        <v>26</v>
      </c>
      <c r="C15" s="19">
        <v>54</v>
      </c>
      <c r="D15" s="137">
        <f t="shared" si="0"/>
        <v>28</v>
      </c>
      <c r="E15" s="131"/>
      <c r="F15" s="16"/>
      <c r="G15" s="144"/>
      <c r="H15" s="149"/>
      <c r="I15" s="16"/>
      <c r="J15" s="137"/>
      <c r="K15" s="147" t="str">
        <f t="shared" si="1"/>
        <v>Pass</v>
      </c>
      <c r="L15" s="19">
        <v>1400</v>
      </c>
      <c r="M15" s="17">
        <v>100</v>
      </c>
      <c r="N15" s="17">
        <v>50</v>
      </c>
      <c r="O15" s="18"/>
      <c r="P15" s="18"/>
    </row>
    <row r="16" spans="1:17">
      <c r="A16" s="129">
        <v>42157</v>
      </c>
      <c r="B16" s="136">
        <v>21</v>
      </c>
      <c r="C16" s="19">
        <v>46</v>
      </c>
      <c r="D16" s="138">
        <f t="shared" si="0"/>
        <v>25</v>
      </c>
      <c r="E16" s="132"/>
      <c r="F16" s="19"/>
      <c r="G16" s="145"/>
      <c r="H16" s="136"/>
      <c r="I16" s="19"/>
      <c r="J16" s="138"/>
      <c r="K16" s="147" t="str">
        <f t="shared" si="1"/>
        <v>Pass</v>
      </c>
      <c r="L16" s="19">
        <v>1159</v>
      </c>
      <c r="M16" s="17">
        <v>100</v>
      </c>
      <c r="N16" s="17">
        <v>50</v>
      </c>
      <c r="O16" s="18"/>
      <c r="P16" s="18"/>
    </row>
    <row r="17" spans="1:18">
      <c r="A17" s="129">
        <v>42165</v>
      </c>
      <c r="B17" s="136">
        <v>36</v>
      </c>
      <c r="C17" s="19">
        <v>59</v>
      </c>
      <c r="D17" s="137">
        <f t="shared" si="0"/>
        <v>23</v>
      </c>
      <c r="E17" s="131"/>
      <c r="F17" s="16"/>
      <c r="G17" s="144"/>
      <c r="H17" s="149"/>
      <c r="I17" s="16"/>
      <c r="J17" s="137"/>
      <c r="K17" s="147" t="str">
        <f t="shared" si="1"/>
        <v>Pass</v>
      </c>
      <c r="L17" s="19">
        <v>1400</v>
      </c>
      <c r="M17" s="17">
        <v>100</v>
      </c>
      <c r="N17" s="17">
        <v>50</v>
      </c>
      <c r="O17" s="18"/>
      <c r="P17" s="18"/>
    </row>
    <row r="18" spans="1:18">
      <c r="A18" s="129">
        <v>42171</v>
      </c>
      <c r="B18" s="136">
        <v>3</v>
      </c>
      <c r="C18" s="19">
        <v>18</v>
      </c>
      <c r="D18" s="138">
        <f t="shared" si="0"/>
        <v>15</v>
      </c>
      <c r="E18" s="132"/>
      <c r="F18" s="19"/>
      <c r="G18" s="145"/>
      <c r="H18" s="136"/>
      <c r="I18" s="19"/>
      <c r="J18" s="138"/>
      <c r="K18" s="147" t="str">
        <f t="shared" si="1"/>
        <v>Pass</v>
      </c>
      <c r="L18" s="19">
        <v>1159</v>
      </c>
      <c r="M18" s="17">
        <v>100</v>
      </c>
      <c r="N18" s="17">
        <v>50</v>
      </c>
      <c r="O18" s="18"/>
      <c r="P18" s="18"/>
    </row>
    <row r="19" spans="1:18">
      <c r="A19" s="129">
        <v>42186</v>
      </c>
      <c r="B19" s="136">
        <v>18</v>
      </c>
      <c r="C19" s="19">
        <v>26</v>
      </c>
      <c r="D19" s="137">
        <f t="shared" si="0"/>
        <v>8</v>
      </c>
      <c r="E19" s="131"/>
      <c r="F19" s="16"/>
      <c r="G19" s="144"/>
      <c r="H19" s="149"/>
      <c r="I19" s="16"/>
      <c r="J19" s="137"/>
      <c r="K19" s="147" t="str">
        <f t="shared" si="1"/>
        <v>Pass</v>
      </c>
      <c r="L19" s="19">
        <v>1400</v>
      </c>
      <c r="M19" s="17">
        <v>100</v>
      </c>
      <c r="N19" s="17">
        <v>50</v>
      </c>
      <c r="O19" s="18"/>
      <c r="P19" s="18"/>
    </row>
    <row r="20" spans="1:18">
      <c r="A20" s="129">
        <v>42214</v>
      </c>
      <c r="B20" s="136">
        <v>12</v>
      </c>
      <c r="C20" s="19">
        <v>61</v>
      </c>
      <c r="D20" s="137">
        <f t="shared" si="0"/>
        <v>49</v>
      </c>
      <c r="E20" s="131"/>
      <c r="F20" s="16"/>
      <c r="G20" s="144"/>
      <c r="H20" s="149"/>
      <c r="I20" s="16"/>
      <c r="J20" s="137"/>
      <c r="K20" s="147" t="str">
        <f t="shared" si="1"/>
        <v>Pass</v>
      </c>
      <c r="L20" s="19">
        <v>1400</v>
      </c>
      <c r="M20" s="17">
        <v>100</v>
      </c>
      <c r="N20" s="17">
        <v>50</v>
      </c>
      <c r="O20" s="18"/>
      <c r="P20" s="18"/>
    </row>
    <row r="21" spans="1:18">
      <c r="A21" s="129">
        <v>42220</v>
      </c>
      <c r="B21" s="136">
        <v>18</v>
      </c>
      <c r="C21" s="19">
        <v>48</v>
      </c>
      <c r="D21" s="138">
        <f t="shared" si="0"/>
        <v>30</v>
      </c>
      <c r="E21" s="132"/>
      <c r="F21" s="19"/>
      <c r="G21" s="145"/>
      <c r="H21" s="136"/>
      <c r="I21" s="19"/>
      <c r="J21" s="138"/>
      <c r="K21" s="147" t="str">
        <f t="shared" si="1"/>
        <v>Pass</v>
      </c>
      <c r="L21" s="19">
        <v>1428</v>
      </c>
      <c r="M21" s="17">
        <v>100</v>
      </c>
      <c r="N21" s="17">
        <v>50</v>
      </c>
      <c r="O21" s="18"/>
      <c r="P21" s="18"/>
    </row>
    <row r="22" spans="1:18">
      <c r="A22" s="129">
        <v>42430</v>
      </c>
      <c r="B22" s="136">
        <v>2</v>
      </c>
      <c r="C22" s="19">
        <v>20</v>
      </c>
      <c r="D22" s="138">
        <f t="shared" ref="D22:D85" si="2">IF(((B22="")*AND(C22="")),"",(C22-B22))</f>
        <v>18</v>
      </c>
      <c r="E22" s="132"/>
      <c r="F22" s="19"/>
      <c r="G22" s="145"/>
      <c r="H22" s="136"/>
      <c r="I22" s="19"/>
      <c r="J22" s="138"/>
      <c r="K22" s="147" t="str">
        <f t="shared" si="1"/>
        <v>Pass</v>
      </c>
      <c r="L22" s="19">
        <v>1159</v>
      </c>
      <c r="M22" s="17">
        <v>100</v>
      </c>
      <c r="N22" s="17">
        <v>50</v>
      </c>
      <c r="O22" s="18"/>
      <c r="P22" s="18"/>
    </row>
    <row r="23" spans="1:18">
      <c r="A23" s="129">
        <v>42444</v>
      </c>
      <c r="B23" s="136">
        <v>16</v>
      </c>
      <c r="C23" s="19">
        <v>60</v>
      </c>
      <c r="D23" s="138">
        <f t="shared" si="2"/>
        <v>44</v>
      </c>
      <c r="E23" s="132"/>
      <c r="F23" s="19"/>
      <c r="G23" s="145"/>
      <c r="H23" s="136"/>
      <c r="I23" s="19"/>
      <c r="J23" s="138"/>
      <c r="K23" s="147" t="str">
        <f t="shared" si="1"/>
        <v>Pass</v>
      </c>
      <c r="L23" s="19">
        <v>1159</v>
      </c>
      <c r="M23" s="17">
        <v>100</v>
      </c>
      <c r="N23" s="17">
        <v>50</v>
      </c>
      <c r="O23" s="18"/>
      <c r="P23" s="18"/>
    </row>
    <row r="24" spans="1:18">
      <c r="A24" s="129">
        <v>42451</v>
      </c>
      <c r="B24" s="136">
        <v>45</v>
      </c>
      <c r="C24" s="19">
        <v>94</v>
      </c>
      <c r="D24" s="138">
        <f t="shared" si="2"/>
        <v>49</v>
      </c>
      <c r="E24" s="132"/>
      <c r="F24" s="19"/>
      <c r="G24" s="145"/>
      <c r="H24" s="136"/>
      <c r="I24" s="19"/>
      <c r="J24" s="138"/>
      <c r="K24" s="147" t="str">
        <f t="shared" si="1"/>
        <v>Pass</v>
      </c>
      <c r="L24" s="19">
        <v>1428</v>
      </c>
      <c r="M24" s="17">
        <v>100</v>
      </c>
      <c r="N24" s="17">
        <v>50</v>
      </c>
      <c r="O24" s="18"/>
      <c r="P24" s="18"/>
    </row>
    <row r="25" spans="1:18">
      <c r="A25" s="129">
        <v>42459</v>
      </c>
      <c r="B25" s="136">
        <v>3</v>
      </c>
      <c r="C25" s="19">
        <v>28</v>
      </c>
      <c r="D25" s="138">
        <f t="shared" si="2"/>
        <v>25</v>
      </c>
      <c r="E25" s="132"/>
      <c r="F25" s="19"/>
      <c r="G25" s="145"/>
      <c r="H25" s="136"/>
      <c r="I25" s="19"/>
      <c r="J25" s="138"/>
      <c r="K25" s="147" t="str">
        <f t="shared" si="1"/>
        <v>Pass</v>
      </c>
      <c r="L25" s="19">
        <v>1335</v>
      </c>
      <c r="M25" s="17">
        <v>100</v>
      </c>
      <c r="N25" s="17">
        <v>50</v>
      </c>
      <c r="O25" s="18"/>
      <c r="P25" s="18"/>
    </row>
    <row r="26" spans="1:18">
      <c r="A26" s="129">
        <v>42485</v>
      </c>
      <c r="B26" s="136">
        <v>30</v>
      </c>
      <c r="C26" s="19">
        <v>47</v>
      </c>
      <c r="D26" s="138">
        <f t="shared" si="2"/>
        <v>17</v>
      </c>
      <c r="E26" s="132"/>
      <c r="F26" s="19"/>
      <c r="G26" s="145"/>
      <c r="H26" s="136"/>
      <c r="I26" s="19"/>
      <c r="J26" s="138"/>
      <c r="K26" s="147" t="str">
        <f t="shared" si="1"/>
        <v>Pass</v>
      </c>
      <c r="L26" s="19">
        <v>1159</v>
      </c>
      <c r="M26" s="17">
        <v>100</v>
      </c>
      <c r="N26" s="17">
        <v>50</v>
      </c>
      <c r="O26" s="18"/>
      <c r="P26" s="18"/>
    </row>
    <row r="27" spans="1:18">
      <c r="A27" s="129">
        <v>42494</v>
      </c>
      <c r="B27" s="136">
        <v>47</v>
      </c>
      <c r="C27" s="19">
        <v>78</v>
      </c>
      <c r="D27" s="138">
        <f t="shared" si="2"/>
        <v>31</v>
      </c>
      <c r="E27" s="132"/>
      <c r="F27" s="19"/>
      <c r="G27" s="145"/>
      <c r="H27" s="136"/>
      <c r="I27" s="19"/>
      <c r="J27" s="138"/>
      <c r="K27" s="147" t="str">
        <f t="shared" si="1"/>
        <v>Pass</v>
      </c>
      <c r="L27" s="19">
        <v>1159</v>
      </c>
      <c r="M27" s="17">
        <v>100</v>
      </c>
      <c r="N27" s="17">
        <v>50</v>
      </c>
      <c r="O27" s="18"/>
      <c r="P27" s="18"/>
    </row>
    <row r="28" spans="1:18">
      <c r="A28" s="129">
        <v>42499</v>
      </c>
      <c r="B28" s="136">
        <v>4</v>
      </c>
      <c r="C28" s="19">
        <v>37</v>
      </c>
      <c r="D28" s="138">
        <f t="shared" si="2"/>
        <v>33</v>
      </c>
      <c r="E28" s="132"/>
      <c r="F28" s="19"/>
      <c r="G28" s="145"/>
      <c r="H28" s="136"/>
      <c r="I28" s="19"/>
      <c r="J28" s="138"/>
      <c r="K28" s="147" t="str">
        <f t="shared" si="1"/>
        <v>Pass</v>
      </c>
      <c r="L28" s="19">
        <v>1428</v>
      </c>
      <c r="M28" s="17">
        <v>100</v>
      </c>
      <c r="N28" s="17">
        <v>50</v>
      </c>
      <c r="O28" s="18"/>
      <c r="P28" s="18"/>
    </row>
    <row r="29" spans="1:18">
      <c r="A29" s="129">
        <v>42578</v>
      </c>
      <c r="B29" s="136">
        <v>7</v>
      </c>
      <c r="C29" s="19">
        <v>18</v>
      </c>
      <c r="D29" s="138">
        <f t="shared" si="2"/>
        <v>11</v>
      </c>
      <c r="E29" s="132"/>
      <c r="F29" s="19"/>
      <c r="G29" s="145"/>
      <c r="H29" s="136"/>
      <c r="I29" s="19"/>
      <c r="J29" s="138"/>
      <c r="K29" s="147" t="str">
        <f t="shared" si="1"/>
        <v>Pass</v>
      </c>
      <c r="L29" s="19">
        <v>1335</v>
      </c>
      <c r="M29" s="17">
        <v>100</v>
      </c>
      <c r="N29" s="17">
        <v>50</v>
      </c>
      <c r="O29" s="18"/>
      <c r="P29" s="18"/>
    </row>
    <row r="30" spans="1:18">
      <c r="A30" s="129">
        <v>42578</v>
      </c>
      <c r="B30" s="136">
        <v>18</v>
      </c>
      <c r="C30" s="19">
        <v>29</v>
      </c>
      <c r="D30" s="138">
        <f t="shared" si="2"/>
        <v>11</v>
      </c>
      <c r="E30" s="132"/>
      <c r="F30" s="19"/>
      <c r="G30" s="145"/>
      <c r="H30" s="136"/>
      <c r="I30" s="19"/>
      <c r="J30" s="138"/>
      <c r="K30" s="147" t="str">
        <f t="shared" si="1"/>
        <v>Pass</v>
      </c>
      <c r="L30" s="19">
        <v>1428</v>
      </c>
      <c r="M30" s="17">
        <v>100</v>
      </c>
      <c r="N30" s="17">
        <v>50</v>
      </c>
      <c r="O30" s="18"/>
      <c r="P30" s="18"/>
      <c r="Q30" s="7"/>
      <c r="R30" s="7"/>
    </row>
    <row r="31" spans="1:18">
      <c r="A31" s="129">
        <v>42585</v>
      </c>
      <c r="B31" s="136">
        <v>0</v>
      </c>
      <c r="C31" s="19">
        <v>13</v>
      </c>
      <c r="D31" s="138">
        <f t="shared" si="2"/>
        <v>13</v>
      </c>
      <c r="E31" s="132"/>
      <c r="F31" s="19"/>
      <c r="G31" s="145"/>
      <c r="H31" s="136"/>
      <c r="I31" s="19"/>
      <c r="J31" s="138"/>
      <c r="K31" s="147" t="str">
        <f t="shared" si="1"/>
        <v>Pass</v>
      </c>
      <c r="L31" s="19">
        <v>1159</v>
      </c>
      <c r="M31" s="17">
        <v>100</v>
      </c>
      <c r="N31" s="17">
        <v>50</v>
      </c>
      <c r="O31" s="18"/>
      <c r="P31" s="18"/>
      <c r="Q31" s="7"/>
      <c r="R31" s="7"/>
    </row>
    <row r="32" spans="1:18">
      <c r="A32" s="129">
        <v>42599</v>
      </c>
      <c r="B32" s="136">
        <v>6</v>
      </c>
      <c r="C32" s="19">
        <v>37</v>
      </c>
      <c r="D32" s="138">
        <f t="shared" si="2"/>
        <v>31</v>
      </c>
      <c r="E32" s="132"/>
      <c r="F32" s="19"/>
      <c r="G32" s="145"/>
      <c r="H32" s="136"/>
      <c r="I32" s="19"/>
      <c r="J32" s="138"/>
      <c r="K32" s="147" t="str">
        <f t="shared" si="1"/>
        <v>Pass</v>
      </c>
      <c r="L32" s="19">
        <v>1400</v>
      </c>
      <c r="M32" s="17">
        <v>100</v>
      </c>
      <c r="N32" s="17">
        <v>50</v>
      </c>
      <c r="O32" s="18"/>
      <c r="P32" s="18"/>
      <c r="Q32" s="7"/>
      <c r="R32" s="7"/>
    </row>
    <row r="33" spans="1:18">
      <c r="A33" s="129">
        <v>42628</v>
      </c>
      <c r="B33" s="136">
        <v>1</v>
      </c>
      <c r="C33" s="19">
        <v>4</v>
      </c>
      <c r="D33" s="138">
        <f t="shared" si="2"/>
        <v>3</v>
      </c>
      <c r="E33" s="132"/>
      <c r="F33" s="19"/>
      <c r="G33" s="145"/>
      <c r="H33" s="136"/>
      <c r="I33" s="19"/>
      <c r="J33" s="138"/>
      <c r="K33" s="147" t="str">
        <f t="shared" si="1"/>
        <v>Pass</v>
      </c>
      <c r="L33" s="19">
        <v>1428</v>
      </c>
      <c r="M33" s="17">
        <v>100</v>
      </c>
      <c r="N33" s="17">
        <v>50</v>
      </c>
      <c r="O33" s="18"/>
      <c r="P33" s="18"/>
      <c r="Q33" s="7"/>
      <c r="R33" s="7"/>
    </row>
    <row r="34" spans="1:18">
      <c r="A34" s="129">
        <v>42717</v>
      </c>
      <c r="B34" s="136">
        <v>4</v>
      </c>
      <c r="C34" s="19">
        <v>32</v>
      </c>
      <c r="D34" s="138">
        <f t="shared" si="2"/>
        <v>28</v>
      </c>
      <c r="E34" s="132"/>
      <c r="F34" s="19"/>
      <c r="G34" s="145"/>
      <c r="H34" s="136"/>
      <c r="I34" s="19"/>
      <c r="J34" s="138"/>
      <c r="K34" s="147" t="str">
        <f t="shared" si="1"/>
        <v>Pass</v>
      </c>
      <c r="L34" s="19">
        <v>1159</v>
      </c>
      <c r="M34" s="17">
        <v>100</v>
      </c>
      <c r="N34" s="17">
        <v>50</v>
      </c>
      <c r="O34" s="18"/>
      <c r="P34" s="18"/>
      <c r="Q34" s="7"/>
      <c r="R34" s="7"/>
    </row>
    <row r="35" spans="1:18">
      <c r="A35" s="129">
        <v>42724</v>
      </c>
      <c r="B35" s="136">
        <v>27</v>
      </c>
      <c r="C35" s="19">
        <v>33</v>
      </c>
      <c r="D35" s="138">
        <f t="shared" si="2"/>
        <v>6</v>
      </c>
      <c r="E35" s="132"/>
      <c r="F35" s="19"/>
      <c r="G35" s="145"/>
      <c r="H35" s="136"/>
      <c r="I35" s="19"/>
      <c r="J35" s="138"/>
      <c r="K35" s="147" t="str">
        <f t="shared" si="1"/>
        <v>Pass</v>
      </c>
      <c r="L35" s="19">
        <v>1159</v>
      </c>
      <c r="M35" s="17">
        <v>100</v>
      </c>
      <c r="N35" s="17">
        <v>50</v>
      </c>
      <c r="O35" s="18" t="s">
        <v>20</v>
      </c>
      <c r="P35" s="18"/>
      <c r="Q35" s="7"/>
      <c r="R35" s="7"/>
    </row>
    <row r="36" spans="1:18">
      <c r="A36" s="129">
        <v>42759</v>
      </c>
      <c r="B36" s="136">
        <v>15</v>
      </c>
      <c r="C36" s="19">
        <v>20</v>
      </c>
      <c r="D36" s="138">
        <f t="shared" si="2"/>
        <v>5</v>
      </c>
      <c r="E36" s="132"/>
      <c r="F36" s="19"/>
      <c r="G36" s="145"/>
      <c r="H36" s="136"/>
      <c r="I36" s="19"/>
      <c r="J36" s="138"/>
      <c r="K36" s="147" t="str">
        <f t="shared" si="1"/>
        <v>Pass</v>
      </c>
      <c r="L36" s="19">
        <v>1159</v>
      </c>
      <c r="M36" s="21">
        <v>100</v>
      </c>
      <c r="N36" s="21">
        <v>50</v>
      </c>
      <c r="O36" s="18" t="s">
        <v>189</v>
      </c>
      <c r="P36" s="18" t="s">
        <v>190</v>
      </c>
      <c r="Q36" s="7"/>
      <c r="R36" s="7"/>
    </row>
    <row r="37" spans="1:18">
      <c r="A37" s="129">
        <v>42764</v>
      </c>
      <c r="B37" s="136">
        <v>25</v>
      </c>
      <c r="C37" s="19">
        <v>42</v>
      </c>
      <c r="D37" s="138">
        <f t="shared" si="2"/>
        <v>17</v>
      </c>
      <c r="E37" s="132"/>
      <c r="F37" s="19"/>
      <c r="G37" s="145"/>
      <c r="H37" s="136"/>
      <c r="I37" s="19"/>
      <c r="J37" s="138"/>
      <c r="K37" s="147" t="str">
        <f t="shared" si="1"/>
        <v>Pass</v>
      </c>
      <c r="L37" s="19">
        <v>1400</v>
      </c>
      <c r="M37" s="17">
        <v>100</v>
      </c>
      <c r="N37" s="17">
        <v>50</v>
      </c>
      <c r="O37" s="18" t="s">
        <v>21</v>
      </c>
      <c r="P37" s="18"/>
      <c r="Q37" s="7"/>
      <c r="R37" s="7"/>
    </row>
    <row r="38" spans="1:18">
      <c r="A38" s="129">
        <v>42772</v>
      </c>
      <c r="B38" s="136">
        <v>5</v>
      </c>
      <c r="C38" s="19">
        <v>11</v>
      </c>
      <c r="D38" s="138">
        <f t="shared" si="2"/>
        <v>6</v>
      </c>
      <c r="E38" s="132"/>
      <c r="F38" s="19"/>
      <c r="G38" s="145"/>
      <c r="H38" s="136"/>
      <c r="I38" s="19"/>
      <c r="J38" s="138"/>
      <c r="K38" s="147" t="str">
        <f t="shared" si="1"/>
        <v>Pass</v>
      </c>
      <c r="L38" s="19">
        <v>1335</v>
      </c>
      <c r="M38" s="21">
        <v>100</v>
      </c>
      <c r="N38" s="17">
        <v>50</v>
      </c>
      <c r="O38" s="18"/>
      <c r="P38" s="18"/>
      <c r="Q38" s="7"/>
      <c r="R38" s="7"/>
    </row>
    <row r="39" spans="1:18">
      <c r="A39" s="129">
        <v>42789</v>
      </c>
      <c r="B39" s="136">
        <v>39</v>
      </c>
      <c r="C39" s="19">
        <v>39</v>
      </c>
      <c r="D39" s="138">
        <f t="shared" si="2"/>
        <v>0</v>
      </c>
      <c r="E39" s="132"/>
      <c r="F39" s="19"/>
      <c r="G39" s="145"/>
      <c r="H39" s="136"/>
      <c r="I39" s="19"/>
      <c r="J39" s="138"/>
      <c r="K39" s="147" t="str">
        <f t="shared" si="1"/>
        <v>Pass</v>
      </c>
      <c r="L39" s="19">
        <v>1400</v>
      </c>
      <c r="M39" s="17">
        <v>100</v>
      </c>
      <c r="N39" s="17">
        <v>50</v>
      </c>
      <c r="O39" s="18" t="s">
        <v>21</v>
      </c>
      <c r="P39" s="18"/>
      <c r="Q39" s="7"/>
      <c r="R39" s="7"/>
    </row>
    <row r="40" spans="1:18">
      <c r="A40" s="129">
        <v>42796</v>
      </c>
      <c r="B40" s="136">
        <v>12</v>
      </c>
      <c r="C40" s="19">
        <v>18</v>
      </c>
      <c r="D40" s="138">
        <f t="shared" si="2"/>
        <v>6</v>
      </c>
      <c r="E40" s="132"/>
      <c r="F40" s="19"/>
      <c r="G40" s="145"/>
      <c r="H40" s="136"/>
      <c r="I40" s="19"/>
      <c r="J40" s="138"/>
      <c r="K40" s="147" t="str">
        <f t="shared" si="1"/>
        <v>Pass</v>
      </c>
      <c r="L40" s="19">
        <v>1400</v>
      </c>
      <c r="M40" s="17">
        <v>100</v>
      </c>
      <c r="N40" s="17">
        <v>50</v>
      </c>
      <c r="O40" s="18" t="s">
        <v>21</v>
      </c>
      <c r="P40" s="18"/>
      <c r="Q40" s="7"/>
      <c r="R40" s="7"/>
    </row>
    <row r="41" spans="1:18">
      <c r="A41" s="129">
        <v>42800</v>
      </c>
      <c r="B41" s="136">
        <v>19</v>
      </c>
      <c r="C41" s="19">
        <v>19</v>
      </c>
      <c r="D41" s="138">
        <f t="shared" si="2"/>
        <v>0</v>
      </c>
      <c r="E41" s="132"/>
      <c r="F41" s="19"/>
      <c r="G41" s="145"/>
      <c r="H41" s="136"/>
      <c r="I41" s="19"/>
      <c r="J41" s="138"/>
      <c r="K41" s="147" t="str">
        <f t="shared" si="1"/>
        <v>Pass</v>
      </c>
      <c r="L41" s="19">
        <v>1400</v>
      </c>
      <c r="M41" s="17">
        <v>100</v>
      </c>
      <c r="N41" s="17">
        <v>50</v>
      </c>
      <c r="O41" s="18" t="s">
        <v>22</v>
      </c>
      <c r="P41" s="18"/>
      <c r="Q41" s="7"/>
      <c r="R41" s="7"/>
    </row>
    <row r="42" spans="1:18">
      <c r="A42" s="129">
        <v>42804</v>
      </c>
      <c r="B42" s="136">
        <v>19</v>
      </c>
      <c r="C42" s="19">
        <v>23</v>
      </c>
      <c r="D42" s="138">
        <f t="shared" si="2"/>
        <v>4</v>
      </c>
      <c r="E42" s="132"/>
      <c r="F42" s="19"/>
      <c r="G42" s="145"/>
      <c r="H42" s="136"/>
      <c r="I42" s="19"/>
      <c r="J42" s="138"/>
      <c r="K42" s="147" t="str">
        <f t="shared" si="1"/>
        <v>Pass</v>
      </c>
      <c r="L42" s="19">
        <v>1400</v>
      </c>
      <c r="M42" s="17">
        <v>100</v>
      </c>
      <c r="N42" s="17">
        <v>50</v>
      </c>
      <c r="O42" s="18" t="s">
        <v>23</v>
      </c>
      <c r="P42" s="18"/>
      <c r="Q42" s="7"/>
      <c r="R42" s="7"/>
    </row>
    <row r="43" spans="1:18">
      <c r="A43" s="129">
        <v>42809</v>
      </c>
      <c r="B43" s="136">
        <v>27</v>
      </c>
      <c r="C43" s="19">
        <v>31</v>
      </c>
      <c r="D43" s="138">
        <f t="shared" si="2"/>
        <v>4</v>
      </c>
      <c r="E43" s="132"/>
      <c r="F43" s="19"/>
      <c r="G43" s="145"/>
      <c r="H43" s="136"/>
      <c r="I43" s="19"/>
      <c r="J43" s="138"/>
      <c r="K43" s="147" t="str">
        <f t="shared" si="1"/>
        <v>Pass</v>
      </c>
      <c r="L43" s="19">
        <v>1400</v>
      </c>
      <c r="M43" s="17">
        <v>100</v>
      </c>
      <c r="N43" s="17">
        <v>50</v>
      </c>
      <c r="O43" s="18" t="s">
        <v>24</v>
      </c>
      <c r="P43" s="18"/>
      <c r="Q43" s="7"/>
      <c r="R43" s="7"/>
    </row>
    <row r="44" spans="1:18">
      <c r="A44" s="129">
        <v>42835</v>
      </c>
      <c r="B44" s="136">
        <v>44</v>
      </c>
      <c r="C44" s="19">
        <v>45</v>
      </c>
      <c r="D44" s="138">
        <f t="shared" si="2"/>
        <v>1</v>
      </c>
      <c r="E44" s="132"/>
      <c r="F44" s="19"/>
      <c r="G44" s="145"/>
      <c r="H44" s="136"/>
      <c r="I44" s="19"/>
      <c r="J44" s="138"/>
      <c r="K44" s="147" t="str">
        <f t="shared" si="1"/>
        <v>Pass</v>
      </c>
      <c r="L44" s="19">
        <v>1400</v>
      </c>
      <c r="M44" s="17">
        <v>100</v>
      </c>
      <c r="N44" s="17">
        <v>50</v>
      </c>
      <c r="O44" s="18" t="s">
        <v>25</v>
      </c>
      <c r="P44" s="18"/>
      <c r="Q44" s="7"/>
      <c r="R44" s="7"/>
    </row>
    <row r="45" spans="1:18">
      <c r="A45" s="129">
        <v>42948</v>
      </c>
      <c r="B45" s="136">
        <v>2</v>
      </c>
      <c r="C45" s="19">
        <v>14</v>
      </c>
      <c r="D45" s="138">
        <f t="shared" si="2"/>
        <v>12</v>
      </c>
      <c r="E45" s="132"/>
      <c r="F45" s="19"/>
      <c r="G45" s="145"/>
      <c r="H45" s="136"/>
      <c r="I45" s="19"/>
      <c r="J45" s="138"/>
      <c r="K45" s="147" t="str">
        <f t="shared" si="1"/>
        <v>Pass</v>
      </c>
      <c r="L45" s="19">
        <v>1159</v>
      </c>
      <c r="M45" s="17">
        <v>100</v>
      </c>
      <c r="N45" s="17">
        <v>50</v>
      </c>
      <c r="O45" s="22" t="s">
        <v>26</v>
      </c>
      <c r="P45" s="18"/>
      <c r="Q45" s="7"/>
      <c r="R45" s="7"/>
    </row>
    <row r="46" spans="1:18">
      <c r="A46" s="129">
        <v>42990</v>
      </c>
      <c r="B46" s="136">
        <v>31</v>
      </c>
      <c r="C46" s="19">
        <v>37</v>
      </c>
      <c r="D46" s="138">
        <f t="shared" si="2"/>
        <v>6</v>
      </c>
      <c r="E46" s="132"/>
      <c r="F46" s="19"/>
      <c r="G46" s="145"/>
      <c r="H46" s="136"/>
      <c r="I46" s="19"/>
      <c r="J46" s="138"/>
      <c r="K46" s="147" t="str">
        <f t="shared" si="1"/>
        <v>Pass</v>
      </c>
      <c r="L46" s="19">
        <v>1159</v>
      </c>
      <c r="M46" s="17">
        <v>100</v>
      </c>
      <c r="N46" s="17">
        <v>50</v>
      </c>
      <c r="O46" s="22" t="s">
        <v>27</v>
      </c>
      <c r="P46" s="18"/>
      <c r="Q46" s="7"/>
      <c r="R46" s="7"/>
    </row>
    <row r="47" spans="1:18">
      <c r="A47" s="129">
        <v>42999</v>
      </c>
      <c r="B47" s="136">
        <v>8</v>
      </c>
      <c r="C47" s="19">
        <v>18</v>
      </c>
      <c r="D47" s="138">
        <f t="shared" si="2"/>
        <v>10</v>
      </c>
      <c r="E47" s="132"/>
      <c r="F47" s="19"/>
      <c r="G47" s="145"/>
      <c r="H47" s="136"/>
      <c r="I47" s="19"/>
      <c r="J47" s="138"/>
      <c r="K47" s="147" t="str">
        <f t="shared" si="1"/>
        <v>Pass</v>
      </c>
      <c r="L47" s="19">
        <v>1428</v>
      </c>
      <c r="M47" s="17">
        <v>100</v>
      </c>
      <c r="N47" s="17">
        <v>50</v>
      </c>
      <c r="O47" s="22" t="s">
        <v>28</v>
      </c>
      <c r="P47" s="18"/>
      <c r="Q47" s="7"/>
      <c r="R47" s="7"/>
    </row>
    <row r="48" spans="1:18">
      <c r="A48" s="129">
        <v>43003</v>
      </c>
      <c r="B48" s="136">
        <v>4</v>
      </c>
      <c r="C48" s="19">
        <v>14</v>
      </c>
      <c r="D48" s="138">
        <f>IF(((B48="")*AND(C48="")),"",(C48-B48))</f>
        <v>10</v>
      </c>
      <c r="E48" s="132"/>
      <c r="F48" s="19"/>
      <c r="G48" s="145"/>
      <c r="H48" s="136"/>
      <c r="I48" s="19"/>
      <c r="J48" s="138"/>
      <c r="K48" s="147" t="str">
        <f t="shared" si="1"/>
        <v>Pass</v>
      </c>
      <c r="L48" s="19">
        <v>1534</v>
      </c>
      <c r="M48" s="17">
        <v>100</v>
      </c>
      <c r="N48" s="17">
        <v>50</v>
      </c>
      <c r="O48" s="22"/>
      <c r="P48" s="18"/>
      <c r="Q48" s="7"/>
      <c r="R48" s="7"/>
    </row>
    <row r="49" spans="1:18">
      <c r="A49" s="129">
        <v>43008</v>
      </c>
      <c r="B49" s="136">
        <v>13</v>
      </c>
      <c r="C49" s="19">
        <v>14</v>
      </c>
      <c r="D49" s="138">
        <f t="shared" si="2"/>
        <v>1</v>
      </c>
      <c r="E49" s="132"/>
      <c r="F49" s="19"/>
      <c r="G49" s="145"/>
      <c r="H49" s="136"/>
      <c r="I49" s="19"/>
      <c r="J49" s="138"/>
      <c r="K49" s="147" t="str">
        <f t="shared" si="1"/>
        <v>Pass</v>
      </c>
      <c r="L49" s="19">
        <v>1159</v>
      </c>
      <c r="M49" s="17">
        <v>100</v>
      </c>
      <c r="N49" s="17">
        <v>50</v>
      </c>
      <c r="O49" s="22" t="s">
        <v>29</v>
      </c>
      <c r="P49" s="18"/>
      <c r="Q49" s="7"/>
      <c r="R49" s="7"/>
    </row>
    <row r="50" spans="1:18">
      <c r="A50" s="129">
        <v>43012</v>
      </c>
      <c r="B50" s="136">
        <v>15</v>
      </c>
      <c r="C50" s="19">
        <v>309</v>
      </c>
      <c r="D50" s="138">
        <f t="shared" si="2"/>
        <v>294</v>
      </c>
      <c r="E50" s="132"/>
      <c r="F50" s="19"/>
      <c r="G50" s="145"/>
      <c r="H50" s="136"/>
      <c r="I50" s="19"/>
      <c r="J50" s="138"/>
      <c r="K50" s="147" t="str">
        <f t="shared" si="1"/>
        <v>Fail</v>
      </c>
      <c r="L50" s="19">
        <v>1159</v>
      </c>
      <c r="M50" s="17">
        <v>100</v>
      </c>
      <c r="N50" s="17">
        <v>50</v>
      </c>
      <c r="O50" s="22" t="s">
        <v>30</v>
      </c>
      <c r="P50" s="18"/>
      <c r="Q50" s="7"/>
      <c r="R50" s="7"/>
    </row>
    <row r="51" spans="1:18">
      <c r="A51" s="129">
        <v>43012</v>
      </c>
      <c r="B51" s="136">
        <v>8</v>
      </c>
      <c r="C51" s="19">
        <v>242</v>
      </c>
      <c r="D51" s="138">
        <f t="shared" si="2"/>
        <v>234</v>
      </c>
      <c r="E51" s="132"/>
      <c r="F51" s="19"/>
      <c r="G51" s="145"/>
      <c r="H51" s="136"/>
      <c r="I51" s="19"/>
      <c r="J51" s="138"/>
      <c r="K51" s="147" t="str">
        <f t="shared" si="1"/>
        <v>Fail</v>
      </c>
      <c r="L51" s="19">
        <v>1159</v>
      </c>
      <c r="M51" s="17">
        <v>100</v>
      </c>
      <c r="N51" s="17">
        <v>50</v>
      </c>
      <c r="O51" s="22" t="s">
        <v>31</v>
      </c>
      <c r="P51" s="18"/>
      <c r="Q51" s="7"/>
      <c r="R51" s="7"/>
    </row>
    <row r="52" spans="1:18">
      <c r="A52" s="129">
        <v>43013</v>
      </c>
      <c r="B52" s="136">
        <v>12</v>
      </c>
      <c r="C52" s="19">
        <v>29</v>
      </c>
      <c r="D52" s="138">
        <f t="shared" si="2"/>
        <v>17</v>
      </c>
      <c r="E52" s="132"/>
      <c r="F52" s="19"/>
      <c r="G52" s="145"/>
      <c r="H52" s="136"/>
      <c r="I52" s="19"/>
      <c r="J52" s="138"/>
      <c r="K52" s="147" t="str">
        <f t="shared" si="1"/>
        <v>Pass</v>
      </c>
      <c r="L52" s="19">
        <v>121</v>
      </c>
      <c r="M52" s="17">
        <v>100</v>
      </c>
      <c r="N52" s="17">
        <v>50</v>
      </c>
      <c r="O52" s="22" t="s">
        <v>32</v>
      </c>
      <c r="P52" s="18"/>
      <c r="Q52" s="7"/>
      <c r="R52" s="7"/>
    </row>
    <row r="53" spans="1:18">
      <c r="A53" s="129">
        <v>43028</v>
      </c>
      <c r="B53" s="136">
        <v>16</v>
      </c>
      <c r="C53" s="19">
        <v>33</v>
      </c>
      <c r="D53" s="138">
        <f t="shared" si="2"/>
        <v>17</v>
      </c>
      <c r="E53" s="132"/>
      <c r="F53" s="19"/>
      <c r="G53" s="145"/>
      <c r="H53" s="136"/>
      <c r="I53" s="19"/>
      <c r="J53" s="138"/>
      <c r="K53" s="147" t="str">
        <f t="shared" si="1"/>
        <v>Pass</v>
      </c>
      <c r="L53" s="19">
        <v>1335</v>
      </c>
      <c r="M53" s="17">
        <v>100</v>
      </c>
      <c r="N53" s="17">
        <v>50</v>
      </c>
      <c r="O53" s="22" t="s">
        <v>33</v>
      </c>
      <c r="P53" s="18"/>
      <c r="Q53" s="7"/>
      <c r="R53" s="7"/>
    </row>
    <row r="54" spans="1:18">
      <c r="A54" s="129">
        <v>43032</v>
      </c>
      <c r="B54" s="136">
        <v>33</v>
      </c>
      <c r="C54" s="19">
        <v>49</v>
      </c>
      <c r="D54" s="138">
        <f t="shared" si="2"/>
        <v>16</v>
      </c>
      <c r="E54" s="132"/>
      <c r="F54" s="19"/>
      <c r="G54" s="145"/>
      <c r="H54" s="136"/>
      <c r="I54" s="19"/>
      <c r="J54" s="138"/>
      <c r="K54" s="147" t="str">
        <f t="shared" si="1"/>
        <v>Pass</v>
      </c>
      <c r="L54" s="19">
        <v>1159</v>
      </c>
      <c r="M54" s="17">
        <v>100</v>
      </c>
      <c r="N54" s="17">
        <v>50</v>
      </c>
      <c r="O54" s="22" t="s">
        <v>34</v>
      </c>
      <c r="P54" s="18"/>
      <c r="Q54" s="7"/>
      <c r="R54" s="7"/>
    </row>
    <row r="55" spans="1:18">
      <c r="A55" s="129">
        <v>43042</v>
      </c>
      <c r="B55" s="136">
        <v>5</v>
      </c>
      <c r="C55" s="19">
        <v>12</v>
      </c>
      <c r="D55" s="138">
        <f t="shared" si="2"/>
        <v>7</v>
      </c>
      <c r="E55" s="132"/>
      <c r="F55" s="19"/>
      <c r="G55" s="145"/>
      <c r="H55" s="136"/>
      <c r="I55" s="19"/>
      <c r="J55" s="138"/>
      <c r="K55" s="147" t="str">
        <f t="shared" si="1"/>
        <v>Pass</v>
      </c>
      <c r="L55" s="19">
        <v>1335</v>
      </c>
      <c r="M55" s="17">
        <v>100</v>
      </c>
      <c r="N55" s="17">
        <v>50</v>
      </c>
      <c r="O55" s="22" t="s">
        <v>34</v>
      </c>
      <c r="P55" s="18"/>
      <c r="Q55" s="7"/>
      <c r="R55" s="7"/>
    </row>
    <row r="56" spans="1:18">
      <c r="A56" s="129">
        <v>43054</v>
      </c>
      <c r="B56" s="136">
        <v>3</v>
      </c>
      <c r="C56" s="19">
        <v>10</v>
      </c>
      <c r="D56" s="138">
        <f t="shared" si="2"/>
        <v>7</v>
      </c>
      <c r="E56" s="132"/>
      <c r="F56" s="19"/>
      <c r="G56" s="145"/>
      <c r="H56" s="136"/>
      <c r="I56" s="19"/>
      <c r="J56" s="138"/>
      <c r="K56" s="147" t="str">
        <f t="shared" si="1"/>
        <v>Pass</v>
      </c>
      <c r="L56" s="19">
        <v>1159</v>
      </c>
      <c r="M56" s="17">
        <v>100</v>
      </c>
      <c r="N56" s="17">
        <v>50</v>
      </c>
      <c r="O56" s="22" t="s">
        <v>35</v>
      </c>
      <c r="P56" s="18"/>
      <c r="Q56" s="7"/>
      <c r="R56" s="7"/>
    </row>
    <row r="57" spans="1:18">
      <c r="A57" s="129">
        <v>43094</v>
      </c>
      <c r="B57" s="136">
        <v>14</v>
      </c>
      <c r="C57" s="19">
        <v>21</v>
      </c>
      <c r="D57" s="138">
        <f t="shared" si="2"/>
        <v>7</v>
      </c>
      <c r="E57" s="132"/>
      <c r="F57" s="19"/>
      <c r="G57" s="145"/>
      <c r="H57" s="136"/>
      <c r="I57" s="19"/>
      <c r="J57" s="138"/>
      <c r="K57" s="147" t="str">
        <f t="shared" si="1"/>
        <v>Pass</v>
      </c>
      <c r="L57" s="19">
        <v>64</v>
      </c>
      <c r="M57" s="17">
        <v>100</v>
      </c>
      <c r="N57" s="17">
        <v>50</v>
      </c>
      <c r="O57" s="22" t="s">
        <v>35</v>
      </c>
      <c r="P57" s="18"/>
      <c r="Q57" s="7"/>
      <c r="R57" s="7"/>
    </row>
    <row r="58" spans="1:18">
      <c r="A58" s="129">
        <v>43150</v>
      </c>
      <c r="B58" s="136">
        <v>24</v>
      </c>
      <c r="C58" s="19">
        <v>22</v>
      </c>
      <c r="D58" s="138">
        <f t="shared" si="2"/>
        <v>-2</v>
      </c>
      <c r="E58" s="132"/>
      <c r="F58" s="19"/>
      <c r="G58" s="145"/>
      <c r="H58" s="136"/>
      <c r="I58" s="19"/>
      <c r="J58" s="138"/>
      <c r="K58" s="147" t="str">
        <f t="shared" si="1"/>
        <v>Pass</v>
      </c>
      <c r="L58" s="19">
        <v>121</v>
      </c>
      <c r="M58" s="17">
        <v>100</v>
      </c>
      <c r="N58" s="17">
        <v>50</v>
      </c>
      <c r="O58" s="22"/>
      <c r="P58" s="20"/>
      <c r="Q58" s="7"/>
      <c r="R58" s="7"/>
    </row>
    <row r="59" spans="1:18">
      <c r="A59" s="129">
        <v>43155</v>
      </c>
      <c r="B59" s="136">
        <v>36</v>
      </c>
      <c r="C59" s="19">
        <v>74</v>
      </c>
      <c r="D59" s="138">
        <f t="shared" si="2"/>
        <v>38</v>
      </c>
      <c r="E59" s="132"/>
      <c r="F59" s="19"/>
      <c r="G59" s="145"/>
      <c r="H59" s="136"/>
      <c r="I59" s="19"/>
      <c r="J59" s="138"/>
      <c r="K59" s="147" t="str">
        <f t="shared" si="1"/>
        <v>Pass</v>
      </c>
      <c r="L59" s="19">
        <v>1519</v>
      </c>
      <c r="M59" s="17">
        <v>100</v>
      </c>
      <c r="N59" s="17">
        <v>50</v>
      </c>
      <c r="O59" s="22"/>
      <c r="P59" s="20"/>
      <c r="Q59" s="7"/>
      <c r="R59" s="7"/>
    </row>
    <row r="60" spans="1:18">
      <c r="A60" s="129">
        <v>43167</v>
      </c>
      <c r="B60" s="136">
        <v>7</v>
      </c>
      <c r="C60" s="19">
        <v>21</v>
      </c>
      <c r="D60" s="138">
        <f t="shared" si="2"/>
        <v>14</v>
      </c>
      <c r="E60" s="132"/>
      <c r="F60" s="19"/>
      <c r="G60" s="145"/>
      <c r="H60" s="136"/>
      <c r="I60" s="19"/>
      <c r="J60" s="138"/>
      <c r="K60" s="147" t="str">
        <f t="shared" si="1"/>
        <v>Pass</v>
      </c>
      <c r="L60" s="19">
        <v>102</v>
      </c>
      <c r="M60" s="17">
        <v>100</v>
      </c>
      <c r="N60" s="17">
        <v>50</v>
      </c>
      <c r="O60" s="22" t="s">
        <v>36</v>
      </c>
      <c r="P60" s="20"/>
      <c r="Q60" s="7"/>
      <c r="R60" s="7"/>
    </row>
    <row r="61" spans="1:18">
      <c r="A61" s="129">
        <v>43182</v>
      </c>
      <c r="B61" s="136">
        <v>45</v>
      </c>
      <c r="C61" s="19">
        <v>65</v>
      </c>
      <c r="D61" s="138">
        <f t="shared" si="2"/>
        <v>20</v>
      </c>
      <c r="E61" s="132"/>
      <c r="F61" s="19"/>
      <c r="G61" s="145"/>
      <c r="H61" s="136"/>
      <c r="I61" s="19"/>
      <c r="J61" s="138"/>
      <c r="K61" s="147" t="str">
        <f t="shared" si="1"/>
        <v>Pass</v>
      </c>
      <c r="L61" s="19">
        <v>1159</v>
      </c>
      <c r="M61" s="21">
        <v>100</v>
      </c>
      <c r="N61" s="17">
        <v>50</v>
      </c>
      <c r="O61" s="22" t="s">
        <v>37</v>
      </c>
      <c r="P61" s="20"/>
      <c r="Q61" s="7"/>
      <c r="R61" s="7"/>
    </row>
    <row r="62" spans="1:18">
      <c r="A62" s="129">
        <v>43194</v>
      </c>
      <c r="B62" s="136">
        <v>4</v>
      </c>
      <c r="C62" s="19">
        <v>58</v>
      </c>
      <c r="D62" s="138">
        <f t="shared" si="2"/>
        <v>54</v>
      </c>
      <c r="E62" s="132"/>
      <c r="F62" s="19"/>
      <c r="G62" s="145"/>
      <c r="H62" s="136"/>
      <c r="I62" s="19"/>
      <c r="J62" s="138"/>
      <c r="K62" s="147" t="str">
        <f t="shared" si="1"/>
        <v>Fail</v>
      </c>
      <c r="L62" s="19">
        <v>1159</v>
      </c>
      <c r="M62" s="21">
        <v>100</v>
      </c>
      <c r="N62" s="17">
        <v>50</v>
      </c>
      <c r="O62" s="22" t="s">
        <v>38</v>
      </c>
      <c r="P62" s="20"/>
      <c r="Q62" s="7"/>
      <c r="R62" s="7"/>
    </row>
    <row r="63" spans="1:18">
      <c r="A63" s="129">
        <v>43202</v>
      </c>
      <c r="B63" s="136">
        <v>20</v>
      </c>
      <c r="C63" s="19">
        <v>47</v>
      </c>
      <c r="D63" s="138">
        <f t="shared" si="2"/>
        <v>27</v>
      </c>
      <c r="E63" s="132"/>
      <c r="F63" s="19"/>
      <c r="G63" s="145"/>
      <c r="H63" s="136"/>
      <c r="I63" s="19"/>
      <c r="J63" s="138"/>
      <c r="K63" s="147" t="str">
        <f t="shared" si="1"/>
        <v>Pass</v>
      </c>
      <c r="L63" s="19">
        <v>1159</v>
      </c>
      <c r="M63" s="21">
        <v>100</v>
      </c>
      <c r="N63" s="17">
        <v>50</v>
      </c>
      <c r="O63" s="22" t="s">
        <v>39</v>
      </c>
      <c r="P63" s="20"/>
      <c r="Q63" s="7"/>
      <c r="R63" s="7"/>
    </row>
    <row r="64" spans="1:18">
      <c r="A64" s="129">
        <v>43208</v>
      </c>
      <c r="B64" s="136">
        <v>8</v>
      </c>
      <c r="C64" s="19">
        <v>35</v>
      </c>
      <c r="D64" s="138">
        <f t="shared" si="2"/>
        <v>27</v>
      </c>
      <c r="E64" s="132"/>
      <c r="F64" s="19"/>
      <c r="G64" s="145"/>
      <c r="H64" s="136"/>
      <c r="I64" s="19"/>
      <c r="J64" s="138"/>
      <c r="K64" s="147" t="str">
        <f t="shared" si="1"/>
        <v>Pass</v>
      </c>
      <c r="L64" s="19">
        <v>102</v>
      </c>
      <c r="M64" s="21">
        <v>100</v>
      </c>
      <c r="N64" s="17">
        <v>50</v>
      </c>
      <c r="O64" s="22" t="s">
        <v>40</v>
      </c>
      <c r="P64" s="20"/>
      <c r="Q64" s="7"/>
      <c r="R64" s="7"/>
    </row>
    <row r="65" spans="1:18">
      <c r="A65" s="129">
        <v>43214</v>
      </c>
      <c r="B65" s="136">
        <v>66</v>
      </c>
      <c r="C65" s="19">
        <v>63</v>
      </c>
      <c r="D65" s="138">
        <f t="shared" si="2"/>
        <v>-3</v>
      </c>
      <c r="E65" s="132"/>
      <c r="F65" s="19"/>
      <c r="G65" s="145"/>
      <c r="H65" s="136"/>
      <c r="I65" s="19"/>
      <c r="J65" s="138"/>
      <c r="K65" s="147" t="str">
        <f t="shared" si="1"/>
        <v>Pass</v>
      </c>
      <c r="L65" s="19">
        <v>121</v>
      </c>
      <c r="M65" s="21">
        <v>100</v>
      </c>
      <c r="N65" s="17">
        <v>50</v>
      </c>
      <c r="O65" s="22" t="s">
        <v>41</v>
      </c>
      <c r="P65" s="20"/>
      <c r="Q65" s="7"/>
      <c r="R65" s="7"/>
    </row>
    <row r="66" spans="1:18">
      <c r="A66" s="129">
        <v>43221</v>
      </c>
      <c r="B66" s="136">
        <v>20</v>
      </c>
      <c r="C66" s="19">
        <v>33</v>
      </c>
      <c r="D66" s="138">
        <f t="shared" si="2"/>
        <v>13</v>
      </c>
      <c r="E66" s="132"/>
      <c r="F66" s="19"/>
      <c r="G66" s="145"/>
      <c r="H66" s="136"/>
      <c r="I66" s="19"/>
      <c r="J66" s="138"/>
      <c r="K66" s="147" t="str">
        <f t="shared" si="1"/>
        <v>Pass</v>
      </c>
      <c r="L66" s="19">
        <v>1159</v>
      </c>
      <c r="M66" s="21">
        <v>100</v>
      </c>
      <c r="N66" s="17">
        <v>50</v>
      </c>
      <c r="O66" s="22" t="s">
        <v>42</v>
      </c>
      <c r="P66" s="20"/>
      <c r="Q66" s="7"/>
      <c r="R66" s="7"/>
    </row>
    <row r="67" spans="1:18">
      <c r="A67" s="129">
        <v>43227</v>
      </c>
      <c r="B67" s="136">
        <v>10</v>
      </c>
      <c r="C67" s="19">
        <v>88</v>
      </c>
      <c r="D67" s="138">
        <f t="shared" si="2"/>
        <v>78</v>
      </c>
      <c r="E67" s="132"/>
      <c r="F67" s="19"/>
      <c r="G67" s="145"/>
      <c r="H67" s="136"/>
      <c r="I67" s="19"/>
      <c r="J67" s="138"/>
      <c r="K67" s="147" t="str">
        <f t="shared" si="1"/>
        <v>Fail</v>
      </c>
      <c r="L67" s="19">
        <v>74</v>
      </c>
      <c r="M67" s="21">
        <v>100</v>
      </c>
      <c r="N67" s="17">
        <v>50</v>
      </c>
      <c r="O67" s="22" t="s">
        <v>43</v>
      </c>
      <c r="P67" s="18"/>
      <c r="Q67" s="7"/>
      <c r="R67" s="7"/>
    </row>
    <row r="68" spans="1:18">
      <c r="A68" s="129">
        <v>43229</v>
      </c>
      <c r="B68" s="136">
        <v>11</v>
      </c>
      <c r="C68" s="19">
        <v>16</v>
      </c>
      <c r="D68" s="138">
        <f t="shared" si="2"/>
        <v>5</v>
      </c>
      <c r="E68" s="132"/>
      <c r="F68" s="19"/>
      <c r="G68" s="145"/>
      <c r="H68" s="136"/>
      <c r="I68" s="19"/>
      <c r="J68" s="138"/>
      <c r="K68" s="147" t="str">
        <f t="shared" si="1"/>
        <v>Pass</v>
      </c>
      <c r="L68" s="19">
        <v>1159</v>
      </c>
      <c r="M68" s="21">
        <v>100</v>
      </c>
      <c r="N68" s="17">
        <v>50</v>
      </c>
      <c r="O68" s="22" t="s">
        <v>44</v>
      </c>
      <c r="P68" s="18"/>
      <c r="Q68" s="7"/>
      <c r="R68" s="7"/>
    </row>
    <row r="69" spans="1:18">
      <c r="A69" s="129">
        <v>43231</v>
      </c>
      <c r="B69" s="136">
        <v>23</v>
      </c>
      <c r="C69" s="19">
        <v>40</v>
      </c>
      <c r="D69" s="138">
        <f t="shared" si="2"/>
        <v>17</v>
      </c>
      <c r="E69" s="132"/>
      <c r="F69" s="19"/>
      <c r="G69" s="145"/>
      <c r="H69" s="136"/>
      <c r="I69" s="19"/>
      <c r="J69" s="138"/>
      <c r="K69" s="147" t="str">
        <f t="shared" si="1"/>
        <v>Pass</v>
      </c>
      <c r="L69" s="19">
        <v>1159</v>
      </c>
      <c r="M69" s="21">
        <v>100</v>
      </c>
      <c r="N69" s="17">
        <v>50</v>
      </c>
      <c r="O69" s="22" t="s">
        <v>45</v>
      </c>
      <c r="P69" s="18"/>
      <c r="Q69" s="7"/>
      <c r="R69" s="7"/>
    </row>
    <row r="70" spans="1:18">
      <c r="A70" s="129">
        <v>43235</v>
      </c>
      <c r="B70" s="136">
        <v>15</v>
      </c>
      <c r="C70" s="19">
        <v>19</v>
      </c>
      <c r="D70" s="138">
        <f t="shared" si="2"/>
        <v>4</v>
      </c>
      <c r="E70" s="132"/>
      <c r="F70" s="19"/>
      <c r="G70" s="145"/>
      <c r="H70" s="136"/>
      <c r="I70" s="19"/>
      <c r="J70" s="138"/>
      <c r="K70" s="147" t="str">
        <f t="shared" si="1"/>
        <v>Pass</v>
      </c>
      <c r="L70" s="19">
        <v>1335</v>
      </c>
      <c r="M70" s="21">
        <v>100</v>
      </c>
      <c r="N70" s="21">
        <v>50</v>
      </c>
      <c r="O70" s="22" t="s">
        <v>46</v>
      </c>
      <c r="P70" s="18"/>
      <c r="Q70" s="7"/>
      <c r="R70" s="7"/>
    </row>
    <row r="71" spans="1:18">
      <c r="A71" s="129">
        <v>43237</v>
      </c>
      <c r="B71" s="136">
        <v>27</v>
      </c>
      <c r="C71" s="19">
        <v>31</v>
      </c>
      <c r="D71" s="138">
        <f t="shared" si="2"/>
        <v>4</v>
      </c>
      <c r="E71" s="132"/>
      <c r="F71" s="19"/>
      <c r="G71" s="145"/>
      <c r="H71" s="136"/>
      <c r="I71" s="19"/>
      <c r="J71" s="138"/>
      <c r="K71" s="147" t="str">
        <f t="shared" si="1"/>
        <v>Pass</v>
      </c>
      <c r="L71" s="19">
        <v>1159</v>
      </c>
      <c r="M71" s="21">
        <v>100</v>
      </c>
      <c r="N71" s="21">
        <v>50</v>
      </c>
      <c r="O71" s="22" t="s">
        <v>47</v>
      </c>
      <c r="P71" s="18"/>
      <c r="Q71" s="7"/>
      <c r="R71" s="7"/>
    </row>
    <row r="72" spans="1:18">
      <c r="A72" s="129">
        <v>43245</v>
      </c>
      <c r="B72" s="136">
        <v>10</v>
      </c>
      <c r="C72" s="19">
        <v>45</v>
      </c>
      <c r="D72" s="138">
        <f t="shared" si="2"/>
        <v>35</v>
      </c>
      <c r="E72" s="132"/>
      <c r="F72" s="19"/>
      <c r="G72" s="145"/>
      <c r="H72" s="136"/>
      <c r="I72" s="19"/>
      <c r="J72" s="138"/>
      <c r="K72" s="147" t="str">
        <f t="shared" si="1"/>
        <v>Pass</v>
      </c>
      <c r="L72" s="19">
        <v>1159</v>
      </c>
      <c r="M72" s="21">
        <v>100</v>
      </c>
      <c r="N72" s="21">
        <v>50</v>
      </c>
      <c r="O72" s="22" t="s">
        <v>48</v>
      </c>
      <c r="P72" s="18" t="s">
        <v>49</v>
      </c>
      <c r="Q72" s="7"/>
      <c r="R72" s="7"/>
    </row>
    <row r="73" spans="1:18">
      <c r="A73" s="129">
        <v>43247</v>
      </c>
      <c r="B73" s="136">
        <v>55</v>
      </c>
      <c r="C73" s="19">
        <v>163</v>
      </c>
      <c r="D73" s="138">
        <f t="shared" si="2"/>
        <v>108</v>
      </c>
      <c r="E73" s="132"/>
      <c r="F73" s="19"/>
      <c r="G73" s="145"/>
      <c r="H73" s="136"/>
      <c r="I73" s="19"/>
      <c r="J73" s="138"/>
      <c r="K73" s="147" t="str">
        <f t="shared" si="1"/>
        <v>Fail</v>
      </c>
      <c r="L73" s="19">
        <v>121</v>
      </c>
      <c r="M73" s="21">
        <v>100</v>
      </c>
      <c r="N73" s="17">
        <v>50</v>
      </c>
      <c r="O73" s="22" t="s">
        <v>50</v>
      </c>
      <c r="P73" s="18" t="s">
        <v>51</v>
      </c>
      <c r="Q73" s="7"/>
      <c r="R73" s="7"/>
    </row>
    <row r="74" spans="1:18">
      <c r="A74" s="129">
        <v>43247</v>
      </c>
      <c r="B74" s="136">
        <v>54</v>
      </c>
      <c r="C74" s="19">
        <v>68</v>
      </c>
      <c r="D74" s="138">
        <f t="shared" si="2"/>
        <v>14</v>
      </c>
      <c r="E74" s="132"/>
      <c r="F74" s="19"/>
      <c r="G74" s="145"/>
      <c r="H74" s="136"/>
      <c r="I74" s="19"/>
      <c r="J74" s="138"/>
      <c r="K74" s="147" t="str">
        <f t="shared" si="1"/>
        <v>Pass</v>
      </c>
      <c r="L74" s="19">
        <v>121</v>
      </c>
      <c r="M74" s="21">
        <v>100</v>
      </c>
      <c r="N74" s="17">
        <v>50</v>
      </c>
      <c r="O74" s="22" t="s">
        <v>47</v>
      </c>
      <c r="P74" s="18" t="s">
        <v>52</v>
      </c>
      <c r="Q74" s="7"/>
      <c r="R74" s="7"/>
    </row>
    <row r="75" spans="1:18">
      <c r="A75" s="129">
        <v>43252</v>
      </c>
      <c r="B75" s="136">
        <v>2</v>
      </c>
      <c r="C75" s="19">
        <v>118</v>
      </c>
      <c r="D75" s="138">
        <f t="shared" si="2"/>
        <v>116</v>
      </c>
      <c r="E75" s="132"/>
      <c r="F75" s="19"/>
      <c r="G75" s="145"/>
      <c r="H75" s="136"/>
      <c r="I75" s="19"/>
      <c r="J75" s="138"/>
      <c r="K75" s="147" t="str">
        <f t="shared" si="1"/>
        <v>Fail</v>
      </c>
      <c r="L75" s="19">
        <v>121</v>
      </c>
      <c r="M75" s="17">
        <v>100</v>
      </c>
      <c r="N75" s="17">
        <v>50</v>
      </c>
      <c r="O75" s="22" t="s">
        <v>53</v>
      </c>
      <c r="P75" s="18"/>
      <c r="Q75" s="7"/>
      <c r="R75" s="7"/>
    </row>
    <row r="76" spans="1:18">
      <c r="A76" s="129">
        <v>43264</v>
      </c>
      <c r="B76" s="136">
        <v>10</v>
      </c>
      <c r="C76" s="19">
        <v>22</v>
      </c>
      <c r="D76" s="138">
        <f t="shared" si="2"/>
        <v>12</v>
      </c>
      <c r="E76" s="132"/>
      <c r="F76" s="19"/>
      <c r="G76" s="145"/>
      <c r="H76" s="136"/>
      <c r="I76" s="19"/>
      <c r="J76" s="138"/>
      <c r="K76" s="147" t="str">
        <f t="shared" ref="K76:K139" si="3">IF((D76=""),"",IF(D76&lt;=N76,"Pass","Fail"))</f>
        <v>Pass</v>
      </c>
      <c r="L76" s="19">
        <v>1159</v>
      </c>
      <c r="M76" s="17">
        <v>100</v>
      </c>
      <c r="N76" s="17">
        <v>50</v>
      </c>
      <c r="O76" s="22" t="s">
        <v>54</v>
      </c>
      <c r="P76" s="18"/>
      <c r="Q76" s="7"/>
      <c r="R76" s="7"/>
    </row>
    <row r="77" spans="1:18">
      <c r="A77" s="129">
        <v>43283</v>
      </c>
      <c r="B77" s="136">
        <v>46</v>
      </c>
      <c r="C77" s="19">
        <v>28</v>
      </c>
      <c r="D77" s="138">
        <f t="shared" si="2"/>
        <v>-18</v>
      </c>
      <c r="E77" s="132"/>
      <c r="F77" s="19"/>
      <c r="G77" s="145"/>
      <c r="H77" s="136"/>
      <c r="I77" s="19"/>
      <c r="J77" s="138"/>
      <c r="K77" s="147" t="str">
        <f t="shared" si="3"/>
        <v>Pass</v>
      </c>
      <c r="L77" s="19">
        <v>1159</v>
      </c>
      <c r="M77" s="17">
        <v>100</v>
      </c>
      <c r="N77" s="17">
        <v>50</v>
      </c>
      <c r="O77" s="22" t="s">
        <v>55</v>
      </c>
      <c r="P77" s="18"/>
      <c r="Q77" s="7"/>
      <c r="R77" s="7"/>
    </row>
    <row r="78" spans="1:18">
      <c r="A78" s="129">
        <v>43297</v>
      </c>
      <c r="B78" s="136">
        <v>27</v>
      </c>
      <c r="C78" s="19">
        <v>22</v>
      </c>
      <c r="D78" s="138">
        <f t="shared" si="2"/>
        <v>-5</v>
      </c>
      <c r="E78" s="132"/>
      <c r="F78" s="19"/>
      <c r="G78" s="145"/>
      <c r="H78" s="136"/>
      <c r="I78" s="19"/>
      <c r="J78" s="138"/>
      <c r="K78" s="147" t="str">
        <f t="shared" si="3"/>
        <v>Pass</v>
      </c>
      <c r="L78" s="19">
        <v>1159</v>
      </c>
      <c r="M78" s="17">
        <v>100</v>
      </c>
      <c r="N78" s="17">
        <v>50</v>
      </c>
      <c r="O78" s="22" t="s">
        <v>56</v>
      </c>
      <c r="P78" s="18"/>
      <c r="Q78" s="7"/>
      <c r="R78" s="7"/>
    </row>
    <row r="79" spans="1:18">
      <c r="A79" s="129">
        <v>43301</v>
      </c>
      <c r="B79" s="136">
        <v>44</v>
      </c>
      <c r="C79" s="19">
        <v>34</v>
      </c>
      <c r="D79" s="138">
        <f t="shared" si="2"/>
        <v>-10</v>
      </c>
      <c r="E79" s="132"/>
      <c r="F79" s="19"/>
      <c r="G79" s="145"/>
      <c r="H79" s="136"/>
      <c r="I79" s="19"/>
      <c r="J79" s="138"/>
      <c r="K79" s="147" t="str">
        <f t="shared" si="3"/>
        <v>Pass</v>
      </c>
      <c r="L79" s="19">
        <v>1340</v>
      </c>
      <c r="M79" s="17">
        <v>100</v>
      </c>
      <c r="N79" s="17">
        <v>50</v>
      </c>
      <c r="O79" s="22" t="s">
        <v>57</v>
      </c>
      <c r="P79" s="18"/>
      <c r="Q79" s="7"/>
      <c r="R79" s="7"/>
    </row>
    <row r="80" spans="1:18">
      <c r="A80" s="129">
        <v>43313</v>
      </c>
      <c r="B80" s="136">
        <v>5</v>
      </c>
      <c r="C80" s="19">
        <v>20</v>
      </c>
      <c r="D80" s="138">
        <f t="shared" si="2"/>
        <v>15</v>
      </c>
      <c r="E80" s="132"/>
      <c r="F80" s="19"/>
      <c r="G80" s="145"/>
      <c r="H80" s="136"/>
      <c r="I80" s="19"/>
      <c r="J80" s="138"/>
      <c r="K80" s="147" t="str">
        <f t="shared" si="3"/>
        <v>Pass</v>
      </c>
      <c r="L80" s="19">
        <v>1340</v>
      </c>
      <c r="M80" s="17">
        <v>100</v>
      </c>
      <c r="N80" s="17">
        <v>50</v>
      </c>
      <c r="O80" s="22" t="s">
        <v>58</v>
      </c>
      <c r="P80" s="18"/>
      <c r="Q80" s="7"/>
      <c r="R80" s="7"/>
    </row>
    <row r="81" spans="1:18">
      <c r="A81" s="129">
        <v>43318</v>
      </c>
      <c r="B81" s="136">
        <v>3</v>
      </c>
      <c r="C81" s="19">
        <v>4</v>
      </c>
      <c r="D81" s="138">
        <f t="shared" si="2"/>
        <v>1</v>
      </c>
      <c r="E81" s="132"/>
      <c r="F81" s="19"/>
      <c r="G81" s="145"/>
      <c r="H81" s="136"/>
      <c r="I81" s="19"/>
      <c r="J81" s="138"/>
      <c r="K81" s="147" t="str">
        <f t="shared" si="3"/>
        <v>Pass</v>
      </c>
      <c r="L81" s="19">
        <v>1340</v>
      </c>
      <c r="M81" s="17">
        <v>100</v>
      </c>
      <c r="N81" s="17">
        <v>50</v>
      </c>
      <c r="O81" s="22" t="s">
        <v>59</v>
      </c>
      <c r="P81" s="18"/>
      <c r="Q81" s="7"/>
      <c r="R81" s="7"/>
    </row>
    <row r="82" spans="1:18">
      <c r="A82" s="129">
        <v>43321</v>
      </c>
      <c r="B82" s="136">
        <v>22</v>
      </c>
      <c r="C82" s="19">
        <v>27</v>
      </c>
      <c r="D82" s="138">
        <f t="shared" si="2"/>
        <v>5</v>
      </c>
      <c r="E82" s="132"/>
      <c r="F82" s="19"/>
      <c r="G82" s="145"/>
      <c r="H82" s="136"/>
      <c r="I82" s="19"/>
      <c r="J82" s="138"/>
      <c r="K82" s="147" t="str">
        <f t="shared" si="3"/>
        <v>Pass</v>
      </c>
      <c r="L82" s="19">
        <v>1340</v>
      </c>
      <c r="M82" s="17">
        <v>100</v>
      </c>
      <c r="N82" s="17">
        <v>50</v>
      </c>
      <c r="O82" s="22" t="s">
        <v>60</v>
      </c>
      <c r="P82" s="18"/>
      <c r="Q82" s="7"/>
      <c r="R82" s="7"/>
    </row>
    <row r="83" spans="1:18">
      <c r="A83" s="129">
        <v>43326</v>
      </c>
      <c r="B83" s="136">
        <v>10</v>
      </c>
      <c r="C83" s="19">
        <v>8</v>
      </c>
      <c r="D83" s="138">
        <f t="shared" si="2"/>
        <v>-2</v>
      </c>
      <c r="E83" s="132"/>
      <c r="F83" s="19"/>
      <c r="G83" s="145"/>
      <c r="H83" s="136"/>
      <c r="I83" s="19"/>
      <c r="J83" s="138"/>
      <c r="K83" s="147" t="str">
        <f t="shared" si="3"/>
        <v>Pass</v>
      </c>
      <c r="L83" s="19">
        <v>1159</v>
      </c>
      <c r="M83" s="17">
        <v>100</v>
      </c>
      <c r="N83" s="17">
        <v>50</v>
      </c>
      <c r="O83" s="22" t="s">
        <v>61</v>
      </c>
      <c r="P83" s="18"/>
      <c r="Q83" s="7"/>
      <c r="R83" s="7"/>
    </row>
    <row r="84" spans="1:18">
      <c r="A84" s="129">
        <v>43332</v>
      </c>
      <c r="B84" s="136">
        <v>3</v>
      </c>
      <c r="C84" s="19">
        <v>3</v>
      </c>
      <c r="D84" s="138">
        <f t="shared" si="2"/>
        <v>0</v>
      </c>
      <c r="E84" s="132"/>
      <c r="F84" s="19"/>
      <c r="G84" s="145"/>
      <c r="H84" s="136"/>
      <c r="I84" s="19"/>
      <c r="J84" s="138"/>
      <c r="K84" s="147" t="str">
        <f t="shared" si="3"/>
        <v>Pass</v>
      </c>
      <c r="L84" s="19">
        <v>1340</v>
      </c>
      <c r="M84" s="17">
        <v>100</v>
      </c>
      <c r="N84" s="17">
        <v>50</v>
      </c>
      <c r="O84" s="22" t="s">
        <v>62</v>
      </c>
      <c r="P84" s="18"/>
      <c r="Q84" s="7"/>
      <c r="R84" s="7"/>
    </row>
    <row r="85" spans="1:18">
      <c r="A85" s="129">
        <v>43336</v>
      </c>
      <c r="B85" s="136">
        <v>31</v>
      </c>
      <c r="C85" s="19">
        <v>30</v>
      </c>
      <c r="D85" s="138">
        <f t="shared" si="2"/>
        <v>-1</v>
      </c>
      <c r="E85" s="132"/>
      <c r="F85" s="19"/>
      <c r="G85" s="145"/>
      <c r="H85" s="136"/>
      <c r="I85" s="19"/>
      <c r="J85" s="138"/>
      <c r="K85" s="147" t="str">
        <f t="shared" si="3"/>
        <v>Pass</v>
      </c>
      <c r="L85" s="19">
        <v>1340</v>
      </c>
      <c r="M85" s="17">
        <v>100</v>
      </c>
      <c r="N85" s="17">
        <v>50</v>
      </c>
      <c r="O85" s="22" t="s">
        <v>62</v>
      </c>
      <c r="P85" s="18"/>
      <c r="Q85" s="7"/>
      <c r="R85" s="7"/>
    </row>
    <row r="86" spans="1:18">
      <c r="A86" s="129">
        <v>43340</v>
      </c>
      <c r="B86" s="136">
        <v>38</v>
      </c>
      <c r="C86" s="19">
        <v>32</v>
      </c>
      <c r="D86" s="138">
        <f t="shared" ref="D86:D101" si="4">IF(((B86="")*AND(C86="")),"",(C86-B86))</f>
        <v>-6</v>
      </c>
      <c r="E86" s="132"/>
      <c r="F86" s="19"/>
      <c r="G86" s="145"/>
      <c r="H86" s="136"/>
      <c r="I86" s="19"/>
      <c r="J86" s="138"/>
      <c r="K86" s="147" t="str">
        <f t="shared" si="3"/>
        <v>Pass</v>
      </c>
      <c r="L86" s="19">
        <v>1340</v>
      </c>
      <c r="M86" s="17">
        <v>100</v>
      </c>
      <c r="N86" s="17">
        <v>50</v>
      </c>
      <c r="O86" s="22" t="s">
        <v>63</v>
      </c>
      <c r="P86" s="18"/>
      <c r="Q86" s="7"/>
      <c r="R86" s="7"/>
    </row>
    <row r="87" spans="1:18">
      <c r="A87" s="129">
        <v>43354</v>
      </c>
      <c r="B87" s="136">
        <v>38</v>
      </c>
      <c r="C87" s="19">
        <v>39</v>
      </c>
      <c r="D87" s="138">
        <f t="shared" si="4"/>
        <v>1</v>
      </c>
      <c r="E87" s="132"/>
      <c r="F87" s="19"/>
      <c r="G87" s="145"/>
      <c r="H87" s="136"/>
      <c r="I87" s="19"/>
      <c r="J87" s="138"/>
      <c r="K87" s="147" t="str">
        <f t="shared" si="3"/>
        <v>Pass</v>
      </c>
      <c r="L87" s="19">
        <v>74</v>
      </c>
      <c r="M87" s="17">
        <v>100</v>
      </c>
      <c r="N87" s="17">
        <v>50</v>
      </c>
      <c r="O87" s="22" t="s">
        <v>63</v>
      </c>
      <c r="P87" s="18"/>
      <c r="Q87" s="7"/>
      <c r="R87" s="7"/>
    </row>
    <row r="88" spans="1:18">
      <c r="A88" s="129">
        <v>43358</v>
      </c>
      <c r="B88" s="136">
        <v>15</v>
      </c>
      <c r="C88" s="19">
        <v>16</v>
      </c>
      <c r="D88" s="138">
        <f t="shared" si="4"/>
        <v>1</v>
      </c>
      <c r="E88" s="132"/>
      <c r="F88" s="19"/>
      <c r="G88" s="145"/>
      <c r="H88" s="136"/>
      <c r="I88" s="19"/>
      <c r="J88" s="138"/>
      <c r="K88" s="147" t="str">
        <f t="shared" si="3"/>
        <v>Pass</v>
      </c>
      <c r="L88" s="19">
        <v>1340</v>
      </c>
      <c r="M88" s="17">
        <v>100</v>
      </c>
      <c r="N88" s="17">
        <v>50</v>
      </c>
      <c r="O88" s="22" t="s">
        <v>63</v>
      </c>
      <c r="P88" s="18"/>
      <c r="Q88" s="7"/>
      <c r="R88" s="7"/>
    </row>
    <row r="89" spans="1:18">
      <c r="A89" s="129">
        <v>43360</v>
      </c>
      <c r="B89" s="136">
        <v>24</v>
      </c>
      <c r="C89" s="19">
        <v>21</v>
      </c>
      <c r="D89" s="138">
        <f t="shared" si="4"/>
        <v>-3</v>
      </c>
      <c r="E89" s="132"/>
      <c r="F89" s="19"/>
      <c r="G89" s="145"/>
      <c r="H89" s="136"/>
      <c r="I89" s="19"/>
      <c r="J89" s="138"/>
      <c r="K89" s="147" t="str">
        <f t="shared" si="3"/>
        <v>Pass</v>
      </c>
      <c r="L89" s="19">
        <v>1340</v>
      </c>
      <c r="M89" s="17">
        <v>100</v>
      </c>
      <c r="N89" s="17">
        <v>50</v>
      </c>
      <c r="O89" s="22" t="s">
        <v>63</v>
      </c>
      <c r="P89" s="18"/>
      <c r="Q89" s="7"/>
      <c r="R89" s="7"/>
    </row>
    <row r="90" spans="1:18">
      <c r="A90" s="129">
        <v>43361</v>
      </c>
      <c r="B90" s="136">
        <v>40</v>
      </c>
      <c r="C90" s="19">
        <v>36</v>
      </c>
      <c r="D90" s="138">
        <f t="shared" si="4"/>
        <v>-4</v>
      </c>
      <c r="E90" s="132"/>
      <c r="F90" s="19"/>
      <c r="G90" s="145"/>
      <c r="H90" s="136"/>
      <c r="I90" s="19"/>
      <c r="J90" s="138"/>
      <c r="K90" s="147" t="str">
        <f t="shared" si="3"/>
        <v>Pass</v>
      </c>
      <c r="L90" s="19">
        <v>74</v>
      </c>
      <c r="M90" s="17">
        <v>100</v>
      </c>
      <c r="N90" s="17">
        <v>50</v>
      </c>
      <c r="O90" s="22" t="s">
        <v>63</v>
      </c>
      <c r="P90" s="18" t="s">
        <v>64</v>
      </c>
      <c r="Q90" s="7"/>
      <c r="R90" s="7"/>
    </row>
    <row r="91" spans="1:18">
      <c r="A91" s="129">
        <v>43367</v>
      </c>
      <c r="B91" s="136">
        <v>32</v>
      </c>
      <c r="C91" s="19">
        <v>27</v>
      </c>
      <c r="D91" s="138">
        <f t="shared" si="4"/>
        <v>-5</v>
      </c>
      <c r="E91" s="132"/>
      <c r="F91" s="19"/>
      <c r="G91" s="145"/>
      <c r="H91" s="136"/>
      <c r="I91" s="19"/>
      <c r="J91" s="138"/>
      <c r="K91" s="147" t="str">
        <f t="shared" si="3"/>
        <v>Pass</v>
      </c>
      <c r="L91" s="19">
        <v>1340</v>
      </c>
      <c r="M91" s="17">
        <v>100</v>
      </c>
      <c r="N91" s="17">
        <v>50</v>
      </c>
      <c r="O91" s="18"/>
      <c r="P91" s="18"/>
      <c r="Q91" s="7"/>
      <c r="R91" s="7"/>
    </row>
    <row r="92" spans="1:18">
      <c r="A92" s="129">
        <v>43376</v>
      </c>
      <c r="B92" s="136">
        <v>30</v>
      </c>
      <c r="C92" s="19">
        <v>29</v>
      </c>
      <c r="D92" s="138">
        <f t="shared" si="4"/>
        <v>-1</v>
      </c>
      <c r="E92" s="132"/>
      <c r="F92" s="19"/>
      <c r="G92" s="145"/>
      <c r="H92" s="136"/>
      <c r="I92" s="19"/>
      <c r="J92" s="138"/>
      <c r="K92" s="147" t="str">
        <f t="shared" si="3"/>
        <v>Pass</v>
      </c>
      <c r="L92" s="19">
        <v>1335</v>
      </c>
      <c r="M92" s="17">
        <v>100</v>
      </c>
      <c r="N92" s="17">
        <v>50</v>
      </c>
      <c r="O92" s="22" t="s">
        <v>65</v>
      </c>
      <c r="P92" s="18"/>
      <c r="Q92" s="7"/>
      <c r="R92" s="7"/>
    </row>
    <row r="93" spans="1:18">
      <c r="A93" s="129">
        <v>43381</v>
      </c>
      <c r="B93" s="136">
        <v>36</v>
      </c>
      <c r="C93" s="19">
        <v>37</v>
      </c>
      <c r="D93" s="138">
        <f t="shared" si="4"/>
        <v>1</v>
      </c>
      <c r="E93" s="132"/>
      <c r="F93" s="19"/>
      <c r="G93" s="145"/>
      <c r="H93" s="136"/>
      <c r="I93" s="19"/>
      <c r="J93" s="138"/>
      <c r="K93" s="147" t="str">
        <f t="shared" si="3"/>
        <v>Pass</v>
      </c>
      <c r="L93" s="19">
        <v>1335</v>
      </c>
      <c r="M93" s="17">
        <v>100</v>
      </c>
      <c r="N93" s="17">
        <v>50</v>
      </c>
      <c r="O93" s="22" t="s">
        <v>66</v>
      </c>
      <c r="P93" s="18"/>
      <c r="Q93" s="7"/>
      <c r="R93" s="7"/>
    </row>
    <row r="94" spans="1:18">
      <c r="A94" s="129">
        <v>43388</v>
      </c>
      <c r="B94" s="136">
        <v>36</v>
      </c>
      <c r="C94" s="19">
        <v>31</v>
      </c>
      <c r="D94" s="138">
        <f t="shared" si="4"/>
        <v>-5</v>
      </c>
      <c r="E94" s="132"/>
      <c r="F94" s="19"/>
      <c r="G94" s="145"/>
      <c r="H94" s="136"/>
      <c r="I94" s="19"/>
      <c r="J94" s="138"/>
      <c r="K94" s="147" t="str">
        <f t="shared" si="3"/>
        <v>Pass</v>
      </c>
      <c r="L94" s="19">
        <v>1340</v>
      </c>
      <c r="M94" s="17">
        <v>100</v>
      </c>
      <c r="N94" s="17">
        <v>50</v>
      </c>
      <c r="O94" s="18"/>
      <c r="P94" s="18"/>
      <c r="Q94" s="7"/>
      <c r="R94" s="7"/>
    </row>
    <row r="95" spans="1:18">
      <c r="A95" s="129">
        <v>43395</v>
      </c>
      <c r="B95" s="136">
        <v>31</v>
      </c>
      <c r="C95" s="19">
        <v>33</v>
      </c>
      <c r="D95" s="138">
        <f t="shared" si="4"/>
        <v>2</v>
      </c>
      <c r="E95" s="132"/>
      <c r="F95" s="19"/>
      <c r="G95" s="145"/>
      <c r="H95" s="136"/>
      <c r="I95" s="19"/>
      <c r="J95" s="138"/>
      <c r="K95" s="147" t="str">
        <f t="shared" si="3"/>
        <v>Pass</v>
      </c>
      <c r="L95" s="19">
        <v>1159</v>
      </c>
      <c r="M95" s="17">
        <v>100</v>
      </c>
      <c r="N95" s="17">
        <v>50</v>
      </c>
      <c r="O95" s="22" t="s">
        <v>67</v>
      </c>
      <c r="P95" s="18"/>
      <c r="Q95" s="7"/>
      <c r="R95" s="7"/>
    </row>
    <row r="96" spans="1:18">
      <c r="A96" s="129">
        <v>43399</v>
      </c>
      <c r="B96" s="136">
        <v>44</v>
      </c>
      <c r="C96" s="19">
        <v>42</v>
      </c>
      <c r="D96" s="138">
        <f t="shared" si="4"/>
        <v>-2</v>
      </c>
      <c r="E96" s="132"/>
      <c r="F96" s="19"/>
      <c r="G96" s="145"/>
      <c r="H96" s="136"/>
      <c r="I96" s="19"/>
      <c r="J96" s="138"/>
      <c r="K96" s="147" t="str">
        <f t="shared" si="3"/>
        <v>Pass</v>
      </c>
      <c r="L96" s="19">
        <v>1159</v>
      </c>
      <c r="M96" s="17">
        <v>100</v>
      </c>
      <c r="N96" s="17">
        <v>50</v>
      </c>
      <c r="O96" s="22" t="s">
        <v>68</v>
      </c>
      <c r="P96" s="18"/>
      <c r="Q96" s="7"/>
      <c r="R96" s="7"/>
    </row>
    <row r="97" spans="1:18">
      <c r="A97" s="129">
        <v>43419</v>
      </c>
      <c r="B97" s="136">
        <v>43</v>
      </c>
      <c r="C97" s="19">
        <v>59</v>
      </c>
      <c r="D97" s="138">
        <f t="shared" si="4"/>
        <v>16</v>
      </c>
      <c r="E97" s="132"/>
      <c r="F97" s="19"/>
      <c r="G97" s="145"/>
      <c r="H97" s="136"/>
      <c r="I97" s="19"/>
      <c r="J97" s="138"/>
      <c r="K97" s="147" t="str">
        <f t="shared" si="3"/>
        <v>Pass</v>
      </c>
      <c r="L97" s="19">
        <v>1428</v>
      </c>
      <c r="M97" s="17">
        <v>100</v>
      </c>
      <c r="N97" s="17">
        <v>50</v>
      </c>
      <c r="O97" s="22" t="s">
        <v>69</v>
      </c>
      <c r="P97" s="18"/>
      <c r="Q97" s="7"/>
      <c r="R97" s="7"/>
    </row>
    <row r="98" spans="1:18">
      <c r="A98" s="129">
        <v>43433</v>
      </c>
      <c r="B98" s="136">
        <v>43</v>
      </c>
      <c r="C98" s="19">
        <v>51</v>
      </c>
      <c r="D98" s="138">
        <f t="shared" si="4"/>
        <v>8</v>
      </c>
      <c r="E98" s="132"/>
      <c r="F98" s="19"/>
      <c r="G98" s="145"/>
      <c r="H98" s="136"/>
      <c r="I98" s="19"/>
      <c r="J98" s="138"/>
      <c r="K98" s="147" t="str">
        <f t="shared" si="3"/>
        <v>Pass</v>
      </c>
      <c r="L98" s="19">
        <v>1340</v>
      </c>
      <c r="M98" s="17">
        <v>100</v>
      </c>
      <c r="N98" s="17">
        <v>50</v>
      </c>
      <c r="O98" s="18"/>
      <c r="P98" s="18"/>
      <c r="Q98" s="7"/>
      <c r="R98" s="7"/>
    </row>
    <row r="99" spans="1:18">
      <c r="A99" s="129">
        <v>43451</v>
      </c>
      <c r="B99" s="136">
        <v>6</v>
      </c>
      <c r="C99" s="19">
        <v>6</v>
      </c>
      <c r="D99" s="138">
        <f t="shared" si="4"/>
        <v>0</v>
      </c>
      <c r="E99" s="132"/>
      <c r="F99" s="19"/>
      <c r="G99" s="145"/>
      <c r="H99" s="136"/>
      <c r="I99" s="19"/>
      <c r="J99" s="138"/>
      <c r="K99" s="147" t="str">
        <f t="shared" si="3"/>
        <v>Pass</v>
      </c>
      <c r="L99" s="19">
        <v>1340</v>
      </c>
      <c r="M99" s="17">
        <v>100</v>
      </c>
      <c r="N99" s="17">
        <v>50</v>
      </c>
      <c r="O99" s="23" t="s">
        <v>70</v>
      </c>
      <c r="P99" s="18"/>
      <c r="Q99" s="7"/>
      <c r="R99" s="7"/>
    </row>
    <row r="100" spans="1:18">
      <c r="A100" s="129">
        <v>43458</v>
      </c>
      <c r="B100" s="136">
        <v>9</v>
      </c>
      <c r="C100" s="19">
        <v>8</v>
      </c>
      <c r="D100" s="138">
        <f t="shared" si="4"/>
        <v>-1</v>
      </c>
      <c r="E100" s="132"/>
      <c r="F100" s="19"/>
      <c r="G100" s="145"/>
      <c r="H100" s="136"/>
      <c r="I100" s="19"/>
      <c r="J100" s="138"/>
      <c r="K100" s="147" t="str">
        <f t="shared" si="3"/>
        <v>Pass</v>
      </c>
      <c r="L100" s="19">
        <v>1340</v>
      </c>
      <c r="M100" s="17">
        <v>100</v>
      </c>
      <c r="N100" s="17">
        <v>50</v>
      </c>
      <c r="O100" s="22" t="s">
        <v>71</v>
      </c>
      <c r="P100" s="18"/>
      <c r="Q100" s="7"/>
      <c r="R100" s="7"/>
    </row>
    <row r="101" spans="1:18">
      <c r="A101" s="129">
        <v>43462</v>
      </c>
      <c r="B101" s="136">
        <v>24</v>
      </c>
      <c r="C101" s="19">
        <v>14</v>
      </c>
      <c r="D101" s="138">
        <f t="shared" si="4"/>
        <v>-10</v>
      </c>
      <c r="E101" s="132"/>
      <c r="F101" s="19"/>
      <c r="G101" s="145"/>
      <c r="H101" s="136"/>
      <c r="I101" s="19"/>
      <c r="J101" s="138"/>
      <c r="K101" s="147" t="str">
        <f t="shared" si="3"/>
        <v>Pass</v>
      </c>
      <c r="L101" s="19">
        <v>1340</v>
      </c>
      <c r="M101" s="17">
        <v>100</v>
      </c>
      <c r="N101" s="17">
        <v>50</v>
      </c>
      <c r="O101" s="18"/>
      <c r="P101" s="18"/>
      <c r="Q101" s="7"/>
      <c r="R101" s="7"/>
    </row>
    <row r="102" spans="1:18">
      <c r="A102" s="129">
        <v>43468</v>
      </c>
      <c r="B102" s="136">
        <v>30</v>
      </c>
      <c r="C102" s="19">
        <v>30</v>
      </c>
      <c r="D102" s="138">
        <f>IF(((B102="")*AND(C102="")),"",(C102-B102))</f>
        <v>0</v>
      </c>
      <c r="E102" s="132"/>
      <c r="F102" s="19"/>
      <c r="G102" s="145"/>
      <c r="H102" s="136"/>
      <c r="I102" s="19"/>
      <c r="J102" s="138"/>
      <c r="K102" s="147" t="str">
        <f t="shared" si="3"/>
        <v>Pass</v>
      </c>
      <c r="L102" s="19">
        <v>1159</v>
      </c>
      <c r="M102" s="17">
        <v>100</v>
      </c>
      <c r="N102" s="17">
        <v>50</v>
      </c>
      <c r="O102" s="22" t="s">
        <v>72</v>
      </c>
      <c r="P102" s="18"/>
      <c r="Q102" s="7"/>
      <c r="R102" s="7"/>
    </row>
    <row r="103" spans="1:18">
      <c r="A103" s="129">
        <v>43476</v>
      </c>
      <c r="B103" s="136">
        <v>40</v>
      </c>
      <c r="C103" s="19">
        <v>31</v>
      </c>
      <c r="D103" s="138">
        <f>IF(((B103="")*AND(C103="")),"",(C103-B103))</f>
        <v>-9</v>
      </c>
      <c r="E103" s="132"/>
      <c r="F103" s="19"/>
      <c r="G103" s="145"/>
      <c r="H103" s="136"/>
      <c r="I103" s="19"/>
      <c r="J103" s="138"/>
      <c r="K103" s="147" t="str">
        <f t="shared" si="3"/>
        <v>Pass</v>
      </c>
      <c r="L103" s="19">
        <v>1340</v>
      </c>
      <c r="M103" s="17">
        <v>100</v>
      </c>
      <c r="N103" s="17">
        <v>50</v>
      </c>
      <c r="O103" s="18"/>
      <c r="P103" s="18"/>
      <c r="Q103" s="7"/>
      <c r="R103" s="7"/>
    </row>
    <row r="104" spans="1:18">
      <c r="A104" s="129">
        <v>43483</v>
      </c>
      <c r="B104" s="136">
        <v>25</v>
      </c>
      <c r="C104" s="19">
        <v>34</v>
      </c>
      <c r="D104" s="138">
        <f>IF(((B104="")*AND(C104="")),"",(C104-B104))</f>
        <v>9</v>
      </c>
      <c r="E104" s="132"/>
      <c r="F104" s="19"/>
      <c r="G104" s="145"/>
      <c r="H104" s="136"/>
      <c r="I104" s="19"/>
      <c r="J104" s="138"/>
      <c r="K104" s="147" t="str">
        <f t="shared" si="3"/>
        <v>Pass</v>
      </c>
      <c r="L104" s="19">
        <v>1340</v>
      </c>
      <c r="M104" s="17">
        <v>100</v>
      </c>
      <c r="N104" s="17">
        <v>50</v>
      </c>
      <c r="O104" s="18" t="s">
        <v>21</v>
      </c>
      <c r="P104" s="18"/>
      <c r="Q104" s="7"/>
      <c r="R104" s="7"/>
    </row>
    <row r="105" spans="1:18">
      <c r="A105" s="129">
        <v>43490</v>
      </c>
      <c r="B105" s="136">
        <v>16</v>
      </c>
      <c r="C105" s="19">
        <v>14</v>
      </c>
      <c r="D105" s="138">
        <f t="shared" ref="D105:D112" si="5">IF(((B105="")*AND(C105="")),"",(C105-B105))</f>
        <v>-2</v>
      </c>
      <c r="E105" s="132"/>
      <c r="F105" s="19"/>
      <c r="G105" s="145"/>
      <c r="H105" s="136"/>
      <c r="I105" s="19"/>
      <c r="J105" s="138"/>
      <c r="K105" s="147" t="str">
        <f t="shared" si="3"/>
        <v>Pass</v>
      </c>
      <c r="L105" s="19" t="s">
        <v>208</v>
      </c>
      <c r="M105" s="17">
        <v>100</v>
      </c>
      <c r="N105" s="17">
        <v>50</v>
      </c>
      <c r="O105" s="22" t="s">
        <v>209</v>
      </c>
      <c r="P105" s="18"/>
      <c r="Q105" s="7"/>
      <c r="R105" s="7"/>
    </row>
    <row r="106" spans="1:18">
      <c r="A106" s="129">
        <v>43494</v>
      </c>
      <c r="B106" s="136">
        <v>29</v>
      </c>
      <c r="C106" s="19">
        <v>30</v>
      </c>
      <c r="D106" s="138">
        <f t="shared" si="5"/>
        <v>1</v>
      </c>
      <c r="E106" s="132"/>
      <c r="F106" s="19"/>
      <c r="G106" s="145"/>
      <c r="H106" s="136"/>
      <c r="I106" s="19"/>
      <c r="J106" s="138"/>
      <c r="K106" s="147" t="str">
        <f t="shared" si="3"/>
        <v>Pass</v>
      </c>
      <c r="L106" s="19">
        <v>1159</v>
      </c>
      <c r="M106" s="17">
        <v>100</v>
      </c>
      <c r="N106" s="17">
        <v>50</v>
      </c>
      <c r="O106" s="22" t="s">
        <v>210</v>
      </c>
      <c r="P106" s="18"/>
      <c r="Q106" s="7"/>
      <c r="R106" s="7"/>
    </row>
    <row r="107" spans="1:18">
      <c r="A107" s="129">
        <v>43500</v>
      </c>
      <c r="B107" s="136">
        <v>20</v>
      </c>
      <c r="C107" s="19">
        <v>19</v>
      </c>
      <c r="D107" s="138">
        <f t="shared" si="5"/>
        <v>-1</v>
      </c>
      <c r="E107" s="132"/>
      <c r="F107" s="19"/>
      <c r="G107" s="145"/>
      <c r="H107" s="136"/>
      <c r="I107" s="19"/>
      <c r="J107" s="138"/>
      <c r="K107" s="147" t="str">
        <f t="shared" si="3"/>
        <v>Pass</v>
      </c>
      <c r="L107" s="19">
        <v>121</v>
      </c>
      <c r="M107" s="17">
        <v>100</v>
      </c>
      <c r="N107" s="17">
        <v>50</v>
      </c>
      <c r="O107" s="18"/>
      <c r="P107" s="18"/>
      <c r="Q107" s="7"/>
      <c r="R107" s="7"/>
    </row>
    <row r="108" spans="1:18">
      <c r="A108" s="129">
        <v>43504</v>
      </c>
      <c r="B108" s="136">
        <v>12</v>
      </c>
      <c r="C108" s="19">
        <v>20</v>
      </c>
      <c r="D108" s="138">
        <f t="shared" si="5"/>
        <v>8</v>
      </c>
      <c r="E108" s="132"/>
      <c r="F108" s="19"/>
      <c r="G108" s="145"/>
      <c r="H108" s="136"/>
      <c r="I108" s="19"/>
      <c r="J108" s="138"/>
      <c r="K108" s="147" t="str">
        <f t="shared" si="3"/>
        <v>Pass</v>
      </c>
      <c r="L108" s="19">
        <v>1340</v>
      </c>
      <c r="M108" s="17">
        <v>100</v>
      </c>
      <c r="N108" s="17">
        <v>50</v>
      </c>
      <c r="O108" s="18"/>
      <c r="P108" s="18"/>
      <c r="Q108" s="7"/>
      <c r="R108" s="7"/>
    </row>
    <row r="109" spans="1:18">
      <c r="A109" s="129">
        <v>43509</v>
      </c>
      <c r="B109" s="136">
        <v>41</v>
      </c>
      <c r="C109" s="19">
        <v>34</v>
      </c>
      <c r="D109" s="138">
        <f t="shared" si="5"/>
        <v>-7</v>
      </c>
      <c r="E109" s="132"/>
      <c r="F109" s="19"/>
      <c r="G109" s="145"/>
      <c r="H109" s="136"/>
      <c r="I109" s="19"/>
      <c r="J109" s="138"/>
      <c r="K109" s="147" t="str">
        <f t="shared" si="3"/>
        <v>Pass</v>
      </c>
      <c r="L109" s="19">
        <v>1159</v>
      </c>
      <c r="M109" s="17">
        <v>100</v>
      </c>
      <c r="N109" s="17">
        <v>50</v>
      </c>
      <c r="O109" s="22" t="s">
        <v>211</v>
      </c>
      <c r="P109" s="18"/>
      <c r="Q109" s="7"/>
      <c r="R109" s="7"/>
    </row>
    <row r="110" spans="1:18">
      <c r="A110" s="129">
        <v>43514</v>
      </c>
      <c r="B110" s="136">
        <v>24</v>
      </c>
      <c r="C110" s="19">
        <v>22</v>
      </c>
      <c r="D110" s="138">
        <f t="shared" si="5"/>
        <v>-2</v>
      </c>
      <c r="E110" s="132"/>
      <c r="F110" s="19"/>
      <c r="G110" s="145"/>
      <c r="H110" s="136"/>
      <c r="I110" s="19"/>
      <c r="J110" s="138"/>
      <c r="K110" s="147" t="str">
        <f t="shared" si="3"/>
        <v>Pass</v>
      </c>
      <c r="L110" s="19">
        <v>1159</v>
      </c>
      <c r="M110" s="17">
        <v>100</v>
      </c>
      <c r="N110" s="17">
        <v>50</v>
      </c>
      <c r="O110" s="22" t="s">
        <v>212</v>
      </c>
      <c r="P110" s="18"/>
      <c r="Q110" s="7"/>
      <c r="R110" s="7"/>
    </row>
    <row r="111" spans="1:18">
      <c r="A111" s="129">
        <v>43517</v>
      </c>
      <c r="B111" s="136">
        <v>24</v>
      </c>
      <c r="C111" s="19">
        <v>19</v>
      </c>
      <c r="D111" s="138">
        <f t="shared" si="5"/>
        <v>-5</v>
      </c>
      <c r="E111" s="132"/>
      <c r="F111" s="19"/>
      <c r="G111" s="145"/>
      <c r="H111" s="136"/>
      <c r="I111" s="19"/>
      <c r="J111" s="138"/>
      <c r="K111" s="147" t="str">
        <f t="shared" si="3"/>
        <v>Pass</v>
      </c>
      <c r="L111" s="19">
        <v>1159</v>
      </c>
      <c r="M111" s="17">
        <v>100</v>
      </c>
      <c r="N111" s="17">
        <v>50</v>
      </c>
      <c r="O111" s="22" t="s">
        <v>213</v>
      </c>
      <c r="P111" s="18"/>
      <c r="Q111" s="7"/>
      <c r="R111" s="7"/>
    </row>
    <row r="112" spans="1:18">
      <c r="A112" s="129">
        <v>43521</v>
      </c>
      <c r="B112" s="136">
        <v>23</v>
      </c>
      <c r="C112" s="19">
        <v>22</v>
      </c>
      <c r="D112" s="138">
        <f t="shared" si="5"/>
        <v>-1</v>
      </c>
      <c r="E112" s="132"/>
      <c r="F112" s="19"/>
      <c r="G112" s="145"/>
      <c r="H112" s="136"/>
      <c r="I112" s="19"/>
      <c r="J112" s="138"/>
      <c r="K112" s="147" t="str">
        <f t="shared" si="3"/>
        <v>Pass</v>
      </c>
      <c r="L112" s="19" t="s">
        <v>214</v>
      </c>
      <c r="M112" s="17">
        <v>100</v>
      </c>
      <c r="N112" s="17">
        <v>50</v>
      </c>
      <c r="O112" s="22" t="s">
        <v>215</v>
      </c>
      <c r="P112" s="18"/>
      <c r="Q112" s="7"/>
      <c r="R112" s="7"/>
    </row>
    <row r="113" spans="1:18">
      <c r="A113" s="129">
        <v>43524</v>
      </c>
      <c r="B113" s="136">
        <v>34</v>
      </c>
      <c r="C113" s="19">
        <v>35</v>
      </c>
      <c r="D113" s="138">
        <f>IF(((B113="")*AND(C113="")),"",(C113-B113))</f>
        <v>1</v>
      </c>
      <c r="E113" s="132"/>
      <c r="F113" s="19"/>
      <c r="G113" s="145"/>
      <c r="H113" s="136"/>
      <c r="I113" s="19"/>
      <c r="J113" s="138"/>
      <c r="K113" s="147" t="str">
        <f t="shared" si="3"/>
        <v>Pass</v>
      </c>
      <c r="L113" s="19">
        <v>121</v>
      </c>
      <c r="M113" s="17">
        <v>100</v>
      </c>
      <c r="N113" s="17">
        <v>50</v>
      </c>
      <c r="O113" s="18"/>
      <c r="P113" s="18"/>
      <c r="Q113" s="7"/>
      <c r="R113" s="7"/>
    </row>
    <row r="114" spans="1:18">
      <c r="A114" s="129">
        <v>43528</v>
      </c>
      <c r="B114" s="136">
        <v>18</v>
      </c>
      <c r="C114" s="19">
        <v>17</v>
      </c>
      <c r="D114" s="138">
        <f t="shared" ref="D114:D130" si="6">IF(((B114="")*AND(C114="")),"",(C114-B114))</f>
        <v>-1</v>
      </c>
      <c r="E114" s="132"/>
      <c r="F114" s="19"/>
      <c r="G114" s="145"/>
      <c r="H114" s="136"/>
      <c r="I114" s="19"/>
      <c r="J114" s="138"/>
      <c r="K114" s="147" t="str">
        <f t="shared" si="3"/>
        <v>Pass</v>
      </c>
      <c r="L114" s="19">
        <v>1159</v>
      </c>
      <c r="M114" s="17">
        <v>100</v>
      </c>
      <c r="N114" s="17">
        <v>50</v>
      </c>
      <c r="O114" s="22" t="s">
        <v>216</v>
      </c>
      <c r="P114" s="18"/>
      <c r="Q114" s="7"/>
      <c r="R114" s="7"/>
    </row>
    <row r="115" spans="1:18">
      <c r="A115" s="129">
        <v>43531</v>
      </c>
      <c r="B115" s="136">
        <v>22</v>
      </c>
      <c r="C115" s="19">
        <v>23</v>
      </c>
      <c r="D115" s="138">
        <f t="shared" si="6"/>
        <v>1</v>
      </c>
      <c r="E115" s="132"/>
      <c r="F115" s="19"/>
      <c r="G115" s="145"/>
      <c r="H115" s="136"/>
      <c r="I115" s="19"/>
      <c r="J115" s="138"/>
      <c r="K115" s="147" t="str">
        <f t="shared" si="3"/>
        <v>Pass</v>
      </c>
      <c r="L115" s="19">
        <v>1340</v>
      </c>
      <c r="M115" s="17">
        <v>100</v>
      </c>
      <c r="N115" s="17">
        <v>50</v>
      </c>
      <c r="O115" s="18"/>
      <c r="P115" s="18"/>
      <c r="Q115" s="7"/>
      <c r="R115" s="7"/>
    </row>
    <row r="116" spans="1:18">
      <c r="A116" s="129">
        <v>43535</v>
      </c>
      <c r="B116" s="136">
        <v>18</v>
      </c>
      <c r="C116" s="19">
        <v>21</v>
      </c>
      <c r="D116" s="138">
        <f t="shared" si="6"/>
        <v>3</v>
      </c>
      <c r="E116" s="132"/>
      <c r="F116" s="19"/>
      <c r="G116" s="145"/>
      <c r="H116" s="136"/>
      <c r="I116" s="19"/>
      <c r="J116" s="138"/>
      <c r="K116" s="147" t="str">
        <f t="shared" si="3"/>
        <v>Pass</v>
      </c>
      <c r="L116" s="19">
        <v>1428</v>
      </c>
      <c r="M116" s="17">
        <v>100</v>
      </c>
      <c r="N116" s="17">
        <v>50</v>
      </c>
      <c r="O116" s="18"/>
      <c r="P116" s="18"/>
      <c r="Q116" s="7"/>
      <c r="R116" s="7"/>
    </row>
    <row r="117" spans="1:18">
      <c r="A117" s="129">
        <v>43538</v>
      </c>
      <c r="B117" s="136">
        <v>61</v>
      </c>
      <c r="C117" s="19">
        <v>104</v>
      </c>
      <c r="D117" s="138">
        <f t="shared" si="6"/>
        <v>43</v>
      </c>
      <c r="E117" s="132"/>
      <c r="F117" s="19"/>
      <c r="G117" s="145"/>
      <c r="H117" s="136"/>
      <c r="I117" s="19"/>
      <c r="J117" s="138"/>
      <c r="K117" s="147" t="str">
        <f t="shared" si="3"/>
        <v>Pass</v>
      </c>
      <c r="L117" s="19">
        <v>74</v>
      </c>
      <c r="M117" s="17">
        <v>100</v>
      </c>
      <c r="N117" s="17">
        <v>50</v>
      </c>
      <c r="O117" s="22" t="s">
        <v>217</v>
      </c>
      <c r="P117" s="18"/>
      <c r="Q117" s="7"/>
      <c r="R117" s="7"/>
    </row>
    <row r="118" spans="1:18">
      <c r="A118" s="129">
        <v>43542</v>
      </c>
      <c r="B118" s="136">
        <v>6</v>
      </c>
      <c r="C118" s="19">
        <v>17</v>
      </c>
      <c r="D118" s="138">
        <f t="shared" si="6"/>
        <v>11</v>
      </c>
      <c r="E118" s="132"/>
      <c r="F118" s="19"/>
      <c r="G118" s="145"/>
      <c r="H118" s="136"/>
      <c r="I118" s="19"/>
      <c r="J118" s="138"/>
      <c r="K118" s="147" t="str">
        <f t="shared" si="3"/>
        <v>Pass</v>
      </c>
      <c r="L118" s="19">
        <v>1428</v>
      </c>
      <c r="M118" s="17">
        <v>100</v>
      </c>
      <c r="N118" s="17">
        <v>50</v>
      </c>
      <c r="O118" s="18"/>
      <c r="P118" s="18"/>
      <c r="Q118" s="7"/>
      <c r="R118" s="7"/>
    </row>
    <row r="119" spans="1:18">
      <c r="A119" s="129">
        <v>43546</v>
      </c>
      <c r="B119" s="136">
        <v>27</v>
      </c>
      <c r="C119" s="19">
        <v>27</v>
      </c>
      <c r="D119" s="138">
        <f t="shared" si="6"/>
        <v>0</v>
      </c>
      <c r="E119" s="132"/>
      <c r="F119" s="19"/>
      <c r="G119" s="145"/>
      <c r="H119" s="136"/>
      <c r="I119" s="19"/>
      <c r="J119" s="138"/>
      <c r="K119" s="147" t="str">
        <f t="shared" si="3"/>
        <v>Pass</v>
      </c>
      <c r="L119" s="19">
        <v>1340</v>
      </c>
      <c r="M119" s="17">
        <v>100</v>
      </c>
      <c r="N119" s="17">
        <v>50</v>
      </c>
      <c r="O119" s="18"/>
      <c r="P119" s="18"/>
      <c r="Q119" s="7"/>
      <c r="R119" s="7"/>
    </row>
    <row r="120" spans="1:18">
      <c r="A120" s="129">
        <v>43549</v>
      </c>
      <c r="B120" s="136">
        <v>9</v>
      </c>
      <c r="C120" s="19">
        <v>15</v>
      </c>
      <c r="D120" s="138">
        <f t="shared" si="6"/>
        <v>6</v>
      </c>
      <c r="E120" s="132"/>
      <c r="F120" s="19"/>
      <c r="G120" s="145"/>
      <c r="H120" s="136"/>
      <c r="I120" s="19"/>
      <c r="J120" s="138"/>
      <c r="K120" s="147" t="str">
        <f t="shared" si="3"/>
        <v>Pass</v>
      </c>
      <c r="L120" s="19">
        <v>74</v>
      </c>
      <c r="M120" s="17">
        <v>100</v>
      </c>
      <c r="N120" s="17">
        <v>50</v>
      </c>
      <c r="O120" s="22" t="s">
        <v>218</v>
      </c>
      <c r="P120" s="18"/>
      <c r="Q120" s="7"/>
      <c r="R120" s="7"/>
    </row>
    <row r="121" spans="1:18">
      <c r="A121" s="129">
        <v>43552</v>
      </c>
      <c r="B121" s="136">
        <v>14</v>
      </c>
      <c r="C121" s="19">
        <v>24</v>
      </c>
      <c r="D121" s="138">
        <f t="shared" si="6"/>
        <v>10</v>
      </c>
      <c r="E121" s="132"/>
      <c r="F121" s="19"/>
      <c r="G121" s="145"/>
      <c r="H121" s="136"/>
      <c r="I121" s="19"/>
      <c r="J121" s="138"/>
      <c r="K121" s="147" t="str">
        <f t="shared" si="3"/>
        <v>Pass</v>
      </c>
      <c r="L121" s="19" t="s">
        <v>219</v>
      </c>
      <c r="M121" s="17">
        <v>100</v>
      </c>
      <c r="N121" s="17">
        <v>50</v>
      </c>
      <c r="O121" s="18"/>
      <c r="P121" s="18"/>
      <c r="Q121" s="7"/>
      <c r="R121" s="7"/>
    </row>
    <row r="122" spans="1:18">
      <c r="A122" s="129">
        <v>43559</v>
      </c>
      <c r="B122" s="136">
        <v>8</v>
      </c>
      <c r="C122" s="19">
        <v>13</v>
      </c>
      <c r="D122" s="138">
        <f t="shared" si="6"/>
        <v>5</v>
      </c>
      <c r="E122" s="132"/>
      <c r="F122" s="19"/>
      <c r="G122" s="145"/>
      <c r="H122" s="136"/>
      <c r="I122" s="19"/>
      <c r="J122" s="138"/>
      <c r="K122" s="147" t="str">
        <f t="shared" si="3"/>
        <v>Pass</v>
      </c>
      <c r="L122" s="19">
        <v>1340</v>
      </c>
      <c r="M122" s="17">
        <v>100</v>
      </c>
      <c r="N122" s="17">
        <v>50</v>
      </c>
      <c r="O122" s="18"/>
      <c r="P122" s="18"/>
      <c r="Q122" s="7"/>
      <c r="R122" s="7"/>
    </row>
    <row r="123" spans="1:18">
      <c r="A123" s="129">
        <v>43566</v>
      </c>
      <c r="B123" s="136">
        <v>9</v>
      </c>
      <c r="C123" s="19">
        <v>12</v>
      </c>
      <c r="D123" s="138">
        <f t="shared" si="6"/>
        <v>3</v>
      </c>
      <c r="E123" s="132"/>
      <c r="F123" s="19"/>
      <c r="G123" s="145"/>
      <c r="H123" s="136"/>
      <c r="I123" s="19"/>
      <c r="J123" s="138"/>
      <c r="K123" s="147" t="str">
        <f t="shared" si="3"/>
        <v>Pass</v>
      </c>
      <c r="L123" s="19">
        <v>1159</v>
      </c>
      <c r="M123" s="17">
        <v>100</v>
      </c>
      <c r="N123" s="17">
        <v>50</v>
      </c>
      <c r="O123" s="22" t="s">
        <v>220</v>
      </c>
      <c r="P123" s="18"/>
      <c r="Q123" s="7"/>
      <c r="R123" s="7"/>
    </row>
    <row r="124" spans="1:18">
      <c r="A124" s="129">
        <v>43570</v>
      </c>
      <c r="B124" s="136">
        <v>28</v>
      </c>
      <c r="C124" s="19">
        <v>34</v>
      </c>
      <c r="D124" s="138">
        <f t="shared" si="6"/>
        <v>6</v>
      </c>
      <c r="E124" s="132"/>
      <c r="F124" s="19"/>
      <c r="G124" s="145"/>
      <c r="H124" s="136"/>
      <c r="I124" s="19"/>
      <c r="J124" s="138"/>
      <c r="K124" s="147" t="str">
        <f t="shared" si="3"/>
        <v>Pass</v>
      </c>
      <c r="L124" s="19">
        <v>121</v>
      </c>
      <c r="M124" s="17">
        <v>100</v>
      </c>
      <c r="N124" s="17">
        <v>50</v>
      </c>
      <c r="O124" s="22"/>
      <c r="P124" s="18"/>
      <c r="Q124" s="7"/>
      <c r="R124" s="7"/>
    </row>
    <row r="125" spans="1:18">
      <c r="A125" s="129">
        <v>43578</v>
      </c>
      <c r="B125" s="136">
        <v>38</v>
      </c>
      <c r="C125" s="19">
        <v>37</v>
      </c>
      <c r="D125" s="138">
        <f t="shared" si="6"/>
        <v>-1</v>
      </c>
      <c r="E125" s="132"/>
      <c r="F125" s="19"/>
      <c r="G125" s="145"/>
      <c r="H125" s="136"/>
      <c r="I125" s="19"/>
      <c r="J125" s="138"/>
      <c r="K125" s="147" t="str">
        <f t="shared" si="3"/>
        <v>Pass</v>
      </c>
      <c r="L125" s="19">
        <v>1159</v>
      </c>
      <c r="M125" s="17">
        <v>100</v>
      </c>
      <c r="N125" s="17">
        <v>50</v>
      </c>
      <c r="O125" s="22" t="s">
        <v>221</v>
      </c>
      <c r="P125" s="18"/>
      <c r="Q125" s="7"/>
      <c r="R125" s="7"/>
    </row>
    <row r="126" spans="1:18">
      <c r="A126" s="129">
        <v>43584</v>
      </c>
      <c r="B126" s="136">
        <v>8</v>
      </c>
      <c r="C126" s="19">
        <v>10</v>
      </c>
      <c r="D126" s="138">
        <f t="shared" si="6"/>
        <v>2</v>
      </c>
      <c r="E126" s="132"/>
      <c r="F126" s="19"/>
      <c r="G126" s="145"/>
      <c r="H126" s="136"/>
      <c r="I126" s="19"/>
      <c r="J126" s="138"/>
      <c r="K126" s="147" t="str">
        <f t="shared" si="3"/>
        <v>Pass</v>
      </c>
      <c r="L126" s="19">
        <v>1340</v>
      </c>
      <c r="M126" s="17">
        <v>100</v>
      </c>
      <c r="N126" s="17">
        <v>50</v>
      </c>
      <c r="O126" s="22"/>
      <c r="P126" s="18"/>
      <c r="Q126" s="7"/>
      <c r="R126" s="7"/>
    </row>
    <row r="127" spans="1:18">
      <c r="A127" s="129">
        <v>43588</v>
      </c>
      <c r="B127" s="136">
        <v>11</v>
      </c>
      <c r="C127" s="19">
        <v>8</v>
      </c>
      <c r="D127" s="138">
        <f t="shared" si="6"/>
        <v>-3</v>
      </c>
      <c r="E127" s="132"/>
      <c r="F127" s="19"/>
      <c r="G127" s="145"/>
      <c r="H127" s="136"/>
      <c r="I127" s="19"/>
      <c r="J127" s="138"/>
      <c r="K127" s="147" t="str">
        <f t="shared" si="3"/>
        <v>Pass</v>
      </c>
      <c r="L127" s="19">
        <v>1340</v>
      </c>
      <c r="M127" s="17">
        <v>100</v>
      </c>
      <c r="N127" s="17">
        <v>50</v>
      </c>
      <c r="O127" s="22"/>
      <c r="P127" s="18"/>
      <c r="Q127" s="7"/>
      <c r="R127" s="7"/>
    </row>
    <row r="128" spans="1:18">
      <c r="A128" s="129">
        <v>43592</v>
      </c>
      <c r="B128" s="136">
        <v>10</v>
      </c>
      <c r="C128" s="19">
        <v>13</v>
      </c>
      <c r="D128" s="138">
        <f t="shared" si="6"/>
        <v>3</v>
      </c>
      <c r="E128" s="132"/>
      <c r="F128" s="19"/>
      <c r="G128" s="145"/>
      <c r="H128" s="136"/>
      <c r="I128" s="19"/>
      <c r="J128" s="138"/>
      <c r="K128" s="147" t="str">
        <f t="shared" si="3"/>
        <v>Pass</v>
      </c>
      <c r="L128" s="19">
        <v>1159</v>
      </c>
      <c r="M128" s="17">
        <v>100</v>
      </c>
      <c r="N128" s="17">
        <v>50</v>
      </c>
      <c r="O128" s="22" t="s">
        <v>222</v>
      </c>
      <c r="P128" s="18"/>
      <c r="Q128" s="7"/>
      <c r="R128" s="7"/>
    </row>
    <row r="129" spans="1:18">
      <c r="A129" s="129">
        <v>43609</v>
      </c>
      <c r="B129" s="136">
        <v>48</v>
      </c>
      <c r="C129" s="19">
        <v>57</v>
      </c>
      <c r="D129" s="138">
        <f t="shared" si="6"/>
        <v>9</v>
      </c>
      <c r="E129" s="132"/>
      <c r="F129" s="19"/>
      <c r="G129" s="145"/>
      <c r="H129" s="136"/>
      <c r="I129" s="19"/>
      <c r="J129" s="138"/>
      <c r="K129" s="147" t="str">
        <f t="shared" si="3"/>
        <v>Pass</v>
      </c>
      <c r="L129" s="19">
        <v>1335</v>
      </c>
      <c r="M129" s="17">
        <v>100</v>
      </c>
      <c r="N129" s="17">
        <v>50</v>
      </c>
      <c r="O129" s="22" t="s">
        <v>260</v>
      </c>
      <c r="P129" s="18"/>
      <c r="Q129" s="7"/>
      <c r="R129" s="7"/>
    </row>
    <row r="130" spans="1:18">
      <c r="A130" s="129">
        <v>43613</v>
      </c>
      <c r="B130" s="136">
        <v>9</v>
      </c>
      <c r="C130" s="19">
        <v>14</v>
      </c>
      <c r="D130" s="138">
        <f t="shared" si="6"/>
        <v>5</v>
      </c>
      <c r="E130" s="132"/>
      <c r="F130" s="19"/>
      <c r="G130" s="145"/>
      <c r="H130" s="136"/>
      <c r="I130" s="19"/>
      <c r="J130" s="138"/>
      <c r="K130" s="147" t="str">
        <f t="shared" si="3"/>
        <v>Pass</v>
      </c>
      <c r="L130" s="19">
        <v>1340</v>
      </c>
      <c r="M130" s="17">
        <v>100</v>
      </c>
      <c r="N130" s="17">
        <v>50</v>
      </c>
      <c r="O130" s="22" t="s">
        <v>261</v>
      </c>
      <c r="P130" s="18"/>
      <c r="Q130" s="7"/>
      <c r="R130" s="7"/>
    </row>
    <row r="131" spans="1:18">
      <c r="A131" s="129">
        <v>43619</v>
      </c>
      <c r="B131" s="136">
        <v>16</v>
      </c>
      <c r="C131" s="19">
        <v>20</v>
      </c>
      <c r="D131" s="138">
        <f t="shared" ref="D131" si="7">IF(((B131="")*AND(C131="")),"",(C131-B131))</f>
        <v>4</v>
      </c>
      <c r="E131" s="132"/>
      <c r="F131" s="19"/>
      <c r="G131" s="145"/>
      <c r="H131" s="136"/>
      <c r="I131" s="19"/>
      <c r="J131" s="138"/>
      <c r="K131" s="147" t="str">
        <f t="shared" si="3"/>
        <v>Pass</v>
      </c>
      <c r="L131" s="19">
        <v>1159</v>
      </c>
      <c r="M131" s="17">
        <v>100</v>
      </c>
      <c r="N131" s="17">
        <v>50</v>
      </c>
      <c r="O131" s="22" t="s">
        <v>262</v>
      </c>
      <c r="P131" s="18"/>
      <c r="Q131" s="7"/>
      <c r="R131" s="7"/>
    </row>
    <row r="132" spans="1:18">
      <c r="A132" s="129">
        <v>43623</v>
      </c>
      <c r="B132" s="136">
        <v>27</v>
      </c>
      <c r="C132" s="19">
        <v>23</v>
      </c>
      <c r="D132" s="138">
        <f t="shared" ref="D132:D133" si="8">IF(((B132="")*AND(C132="")),"",(C132-B132))</f>
        <v>-4</v>
      </c>
      <c r="E132" s="132"/>
      <c r="F132" s="19"/>
      <c r="G132" s="145"/>
      <c r="H132" s="136"/>
      <c r="I132" s="19"/>
      <c r="J132" s="138"/>
      <c r="K132" s="147" t="str">
        <f t="shared" si="3"/>
        <v>Pass</v>
      </c>
      <c r="L132" s="19">
        <v>1340</v>
      </c>
      <c r="M132" s="17">
        <v>100</v>
      </c>
      <c r="N132" s="17">
        <v>50</v>
      </c>
      <c r="O132" s="22" t="s">
        <v>263</v>
      </c>
      <c r="P132" s="18"/>
      <c r="Q132" s="7"/>
      <c r="R132" s="7"/>
    </row>
    <row r="133" spans="1:18">
      <c r="A133" s="129">
        <v>43629</v>
      </c>
      <c r="B133" s="136">
        <v>29</v>
      </c>
      <c r="C133" s="19">
        <v>852</v>
      </c>
      <c r="D133" s="138">
        <f t="shared" si="8"/>
        <v>823</v>
      </c>
      <c r="E133" s="132"/>
      <c r="F133" s="19"/>
      <c r="G133" s="145"/>
      <c r="H133" s="136"/>
      <c r="I133" s="19"/>
      <c r="J133" s="138"/>
      <c r="K133" s="147" t="str">
        <f t="shared" si="3"/>
        <v>Fail</v>
      </c>
      <c r="L133" s="19">
        <v>1428</v>
      </c>
      <c r="M133" s="17">
        <v>100</v>
      </c>
      <c r="N133" s="17">
        <v>50</v>
      </c>
      <c r="O133" s="22"/>
      <c r="P133" s="18"/>
      <c r="Q133" s="7"/>
      <c r="R133" s="7"/>
    </row>
    <row r="134" spans="1:18">
      <c r="A134" s="129">
        <v>43630</v>
      </c>
      <c r="B134" s="136">
        <v>65</v>
      </c>
      <c r="C134" s="19">
        <v>68</v>
      </c>
      <c r="D134" s="138">
        <f t="shared" ref="D134:D142" si="9">IF(((B134="")*AND(C134="")),"",(C134-B134))</f>
        <v>3</v>
      </c>
      <c r="E134" s="132"/>
      <c r="F134" s="19"/>
      <c r="G134" s="145"/>
      <c r="H134" s="136"/>
      <c r="I134" s="19"/>
      <c r="J134" s="138"/>
      <c r="K134" s="147" t="str">
        <f t="shared" si="3"/>
        <v>Pass</v>
      </c>
      <c r="L134" s="19"/>
      <c r="M134" s="17">
        <v>100</v>
      </c>
      <c r="N134" s="17">
        <v>50</v>
      </c>
      <c r="O134" s="22"/>
      <c r="P134" s="18"/>
      <c r="Q134" s="7"/>
      <c r="R134" s="7"/>
    </row>
    <row r="135" spans="1:18">
      <c r="A135" s="129">
        <v>43634</v>
      </c>
      <c r="B135" s="136">
        <v>14</v>
      </c>
      <c r="C135" s="19">
        <v>9</v>
      </c>
      <c r="D135" s="138">
        <f t="shared" si="9"/>
        <v>-5</v>
      </c>
      <c r="E135" s="132"/>
      <c r="F135" s="19"/>
      <c r="G135" s="145"/>
      <c r="H135" s="136"/>
      <c r="I135" s="19"/>
      <c r="J135" s="138"/>
      <c r="K135" s="147" t="str">
        <f t="shared" si="3"/>
        <v>Pass</v>
      </c>
      <c r="L135" s="19">
        <v>1335</v>
      </c>
      <c r="M135" s="17">
        <v>100</v>
      </c>
      <c r="N135" s="17">
        <v>50</v>
      </c>
      <c r="O135" s="22"/>
      <c r="P135" s="18"/>
      <c r="Q135" s="7"/>
      <c r="R135" s="7"/>
    </row>
    <row r="136" spans="1:18">
      <c r="A136" s="129">
        <v>43640</v>
      </c>
      <c r="B136" s="136">
        <v>4</v>
      </c>
      <c r="C136" s="19">
        <v>13</v>
      </c>
      <c r="D136" s="138">
        <f t="shared" si="9"/>
        <v>9</v>
      </c>
      <c r="E136" s="132"/>
      <c r="F136" s="19"/>
      <c r="G136" s="145"/>
      <c r="H136" s="136"/>
      <c r="I136" s="19"/>
      <c r="J136" s="138"/>
      <c r="K136" s="147" t="str">
        <f t="shared" si="3"/>
        <v>Pass</v>
      </c>
      <c r="L136" s="19">
        <v>1340</v>
      </c>
      <c r="M136" s="17">
        <v>100</v>
      </c>
      <c r="N136" s="17">
        <v>50</v>
      </c>
      <c r="O136" s="22" t="s">
        <v>264</v>
      </c>
      <c r="P136" s="18"/>
      <c r="Q136" s="7"/>
      <c r="R136" s="7"/>
    </row>
    <row r="137" spans="1:18">
      <c r="A137" s="129">
        <v>43644</v>
      </c>
      <c r="B137" s="136">
        <v>16</v>
      </c>
      <c r="C137" s="19">
        <v>25</v>
      </c>
      <c r="D137" s="138">
        <f t="shared" si="9"/>
        <v>9</v>
      </c>
      <c r="E137" s="132"/>
      <c r="F137" s="19"/>
      <c r="G137" s="145"/>
      <c r="H137" s="136"/>
      <c r="I137" s="19"/>
      <c r="J137" s="138"/>
      <c r="K137" s="147" t="str">
        <f t="shared" si="3"/>
        <v>Pass</v>
      </c>
      <c r="L137" s="19">
        <v>1340</v>
      </c>
      <c r="M137" s="17">
        <v>100</v>
      </c>
      <c r="N137" s="17">
        <v>50</v>
      </c>
      <c r="O137" s="22"/>
      <c r="P137" s="18"/>
      <c r="Q137" s="7"/>
      <c r="R137" s="7"/>
    </row>
    <row r="138" spans="1:18">
      <c r="A138" s="129">
        <v>43648</v>
      </c>
      <c r="B138" s="136">
        <v>14</v>
      </c>
      <c r="C138" s="19">
        <v>16</v>
      </c>
      <c r="D138" s="138">
        <f t="shared" ref="D138" si="10">IF(((B138="")*AND(C138="")),"",(C138-B138))</f>
        <v>2</v>
      </c>
      <c r="E138" s="132"/>
      <c r="F138" s="19"/>
      <c r="G138" s="145"/>
      <c r="H138" s="136"/>
      <c r="I138" s="19"/>
      <c r="J138" s="138"/>
      <c r="K138" s="147" t="str">
        <f t="shared" si="3"/>
        <v>Pass</v>
      </c>
      <c r="L138" s="19">
        <v>1159</v>
      </c>
      <c r="M138" s="17">
        <v>100</v>
      </c>
      <c r="N138" s="17">
        <v>50</v>
      </c>
      <c r="O138" s="22" t="s">
        <v>267</v>
      </c>
      <c r="P138" s="18"/>
      <c r="Q138" s="7"/>
      <c r="R138" s="7"/>
    </row>
    <row r="139" spans="1:18">
      <c r="A139" s="129">
        <v>43653</v>
      </c>
      <c r="B139" s="136">
        <v>23</v>
      </c>
      <c r="C139" s="19">
        <v>23</v>
      </c>
      <c r="D139" s="138">
        <f t="shared" si="9"/>
        <v>0</v>
      </c>
      <c r="E139" s="132"/>
      <c r="F139" s="19"/>
      <c r="G139" s="145"/>
      <c r="H139" s="136"/>
      <c r="I139" s="19"/>
      <c r="J139" s="138"/>
      <c r="K139" s="147" t="str">
        <f t="shared" si="3"/>
        <v>Pass</v>
      </c>
      <c r="L139" s="19">
        <v>1335</v>
      </c>
      <c r="M139" s="17">
        <v>100</v>
      </c>
      <c r="N139" s="17">
        <v>50</v>
      </c>
      <c r="O139" s="22" t="s">
        <v>67</v>
      </c>
      <c r="P139" s="18"/>
      <c r="Q139" s="7"/>
      <c r="R139" s="7"/>
    </row>
    <row r="140" spans="1:18">
      <c r="A140" s="129">
        <v>43661</v>
      </c>
      <c r="B140" s="136">
        <v>25</v>
      </c>
      <c r="C140" s="19">
        <v>29</v>
      </c>
      <c r="D140" s="138">
        <f t="shared" si="9"/>
        <v>4</v>
      </c>
      <c r="E140" s="132"/>
      <c r="F140" s="19"/>
      <c r="G140" s="145"/>
      <c r="H140" s="136"/>
      <c r="I140" s="19"/>
      <c r="J140" s="138"/>
      <c r="K140" s="147" t="str">
        <f t="shared" ref="K140:K171" si="11">IF((D140=""),"",IF(D140&lt;=N140,"Pass","Fail"))</f>
        <v>Pass</v>
      </c>
      <c r="L140" s="19">
        <v>1335</v>
      </c>
      <c r="M140" s="17">
        <v>100</v>
      </c>
      <c r="N140" s="17">
        <v>50</v>
      </c>
      <c r="O140" s="22" t="s">
        <v>271</v>
      </c>
      <c r="P140" s="18"/>
      <c r="Q140" s="7"/>
      <c r="R140" s="7"/>
    </row>
    <row r="141" spans="1:18">
      <c r="A141" s="129">
        <v>43665</v>
      </c>
      <c r="B141" s="136">
        <v>32</v>
      </c>
      <c r="C141" s="19">
        <v>51</v>
      </c>
      <c r="D141" s="138">
        <f t="shared" si="9"/>
        <v>19</v>
      </c>
      <c r="E141" s="132"/>
      <c r="F141" s="19"/>
      <c r="G141" s="145"/>
      <c r="H141" s="136"/>
      <c r="I141" s="19"/>
      <c r="J141" s="138"/>
      <c r="K141" s="147" t="str">
        <f t="shared" si="11"/>
        <v>Pass</v>
      </c>
      <c r="L141" s="19">
        <v>1335</v>
      </c>
      <c r="M141" s="17">
        <v>100</v>
      </c>
      <c r="N141" s="17">
        <v>50</v>
      </c>
      <c r="O141" s="22" t="s">
        <v>273</v>
      </c>
      <c r="P141" s="18"/>
      <c r="Q141" s="7"/>
      <c r="R141" s="7"/>
    </row>
    <row r="142" spans="1:18">
      <c r="A142" s="129">
        <v>43669</v>
      </c>
      <c r="B142" s="136">
        <v>32</v>
      </c>
      <c r="C142" s="19">
        <v>32</v>
      </c>
      <c r="D142" s="138">
        <f t="shared" si="9"/>
        <v>0</v>
      </c>
      <c r="E142" s="132"/>
      <c r="F142" s="19"/>
      <c r="G142" s="145"/>
      <c r="H142" s="136"/>
      <c r="I142" s="19"/>
      <c r="J142" s="138"/>
      <c r="K142" s="147" t="str">
        <f t="shared" si="11"/>
        <v>Pass</v>
      </c>
      <c r="L142" s="19">
        <v>1340</v>
      </c>
      <c r="M142" s="17">
        <v>100</v>
      </c>
      <c r="N142" s="17">
        <v>50</v>
      </c>
      <c r="O142" s="22" t="s">
        <v>275</v>
      </c>
      <c r="Q142" s="7"/>
      <c r="R142" s="7"/>
    </row>
    <row r="143" spans="1:18">
      <c r="A143" s="129">
        <v>43673</v>
      </c>
      <c r="B143" s="136">
        <v>17</v>
      </c>
      <c r="C143" s="19">
        <v>25</v>
      </c>
      <c r="D143" s="138">
        <f t="shared" ref="D143:D164" si="12">IF(((B143="")*AND(C143="")),"",(C143-B143))</f>
        <v>8</v>
      </c>
      <c r="E143" s="132"/>
      <c r="F143" s="19"/>
      <c r="G143" s="145"/>
      <c r="H143" s="136"/>
      <c r="I143" s="19"/>
      <c r="J143" s="138"/>
      <c r="K143" s="147" t="str">
        <f t="shared" si="11"/>
        <v>Pass</v>
      </c>
      <c r="L143" s="19">
        <v>1340</v>
      </c>
      <c r="M143" s="17">
        <v>100</v>
      </c>
      <c r="N143" s="17">
        <v>50</v>
      </c>
      <c r="O143" s="22" t="s">
        <v>277</v>
      </c>
      <c r="P143" s="18"/>
      <c r="Q143" s="7"/>
      <c r="R143" s="7"/>
    </row>
    <row r="144" spans="1:18">
      <c r="A144" s="129">
        <v>43677</v>
      </c>
      <c r="B144" s="136">
        <v>4</v>
      </c>
      <c r="C144" s="19">
        <v>10</v>
      </c>
      <c r="D144" s="138">
        <f t="shared" ref="D144" si="13">IF(((B144="")*AND(C144="")),"",(C144-B144))</f>
        <v>6</v>
      </c>
      <c r="E144" s="132"/>
      <c r="F144" s="19"/>
      <c r="G144" s="145"/>
      <c r="H144" s="136"/>
      <c r="I144" s="19"/>
      <c r="J144" s="138"/>
      <c r="K144" s="147" t="str">
        <f t="shared" si="11"/>
        <v>Pass</v>
      </c>
      <c r="L144" s="19">
        <v>1159</v>
      </c>
      <c r="M144" s="17">
        <v>100</v>
      </c>
      <c r="N144" s="17">
        <v>50</v>
      </c>
      <c r="O144" s="22" t="s">
        <v>278</v>
      </c>
      <c r="P144" s="18"/>
      <c r="Q144" s="7"/>
      <c r="R144" s="7"/>
    </row>
    <row r="145" spans="1:18">
      <c r="A145" s="129">
        <v>43682</v>
      </c>
      <c r="B145" s="136">
        <v>24</v>
      </c>
      <c r="C145" s="19">
        <v>26</v>
      </c>
      <c r="D145" s="138">
        <f t="shared" si="12"/>
        <v>2</v>
      </c>
      <c r="E145" s="132"/>
      <c r="F145" s="19"/>
      <c r="G145" s="145"/>
      <c r="H145" s="136"/>
      <c r="I145" s="19"/>
      <c r="J145" s="138"/>
      <c r="K145" s="147" t="str">
        <f t="shared" si="11"/>
        <v>Pass</v>
      </c>
      <c r="L145" s="19">
        <v>1340</v>
      </c>
      <c r="M145" s="17">
        <v>100</v>
      </c>
      <c r="N145" s="17">
        <v>50</v>
      </c>
      <c r="O145" s="22" t="s">
        <v>280</v>
      </c>
      <c r="P145" s="18"/>
      <c r="Q145" s="7"/>
      <c r="R145" s="7"/>
    </row>
    <row r="146" spans="1:18">
      <c r="A146" s="129">
        <v>43690</v>
      </c>
      <c r="B146" s="136">
        <v>2</v>
      </c>
      <c r="C146" s="19">
        <v>5</v>
      </c>
      <c r="D146" s="138">
        <f t="shared" ref="D146" si="14">IF(((B146="")*AND(C146="")),"",(C146-B146))</f>
        <v>3</v>
      </c>
      <c r="E146" s="132"/>
      <c r="F146" s="19"/>
      <c r="G146" s="145"/>
      <c r="H146" s="136"/>
      <c r="I146" s="19"/>
      <c r="J146" s="138"/>
      <c r="K146" s="147" t="str">
        <f t="shared" si="11"/>
        <v>Pass</v>
      </c>
      <c r="L146" s="19">
        <v>1159</v>
      </c>
      <c r="M146" s="17">
        <v>100</v>
      </c>
      <c r="N146" s="17">
        <v>50</v>
      </c>
      <c r="O146" s="22" t="s">
        <v>295</v>
      </c>
      <c r="P146" s="18"/>
      <c r="Q146" s="7"/>
      <c r="R146" s="7"/>
    </row>
    <row r="147" spans="1:18">
      <c r="A147" s="129">
        <v>43696</v>
      </c>
      <c r="B147" s="136">
        <v>6</v>
      </c>
      <c r="C147" s="19">
        <v>7</v>
      </c>
      <c r="D147" s="138">
        <f t="shared" si="12"/>
        <v>1</v>
      </c>
      <c r="E147" s="132"/>
      <c r="F147" s="19"/>
      <c r="G147" s="145"/>
      <c r="H147" s="136"/>
      <c r="I147" s="19"/>
      <c r="J147" s="138"/>
      <c r="K147" s="147" t="str">
        <f t="shared" si="11"/>
        <v>Pass</v>
      </c>
      <c r="L147" s="19">
        <v>1340</v>
      </c>
      <c r="M147" s="17">
        <v>100</v>
      </c>
      <c r="N147" s="17">
        <v>50</v>
      </c>
      <c r="O147" s="22" t="s">
        <v>297</v>
      </c>
      <c r="P147" s="18"/>
      <c r="Q147" s="7"/>
      <c r="R147" s="7"/>
    </row>
    <row r="148" spans="1:18">
      <c r="A148" s="129">
        <v>43704</v>
      </c>
      <c r="B148" s="136">
        <v>14</v>
      </c>
      <c r="C148" s="19">
        <v>83</v>
      </c>
      <c r="D148" s="138">
        <f t="shared" ref="D148" si="15">IF(((B148="")*AND(C148="")),"",(C148-B148))</f>
        <v>69</v>
      </c>
      <c r="E148" s="132"/>
      <c r="F148" s="19"/>
      <c r="G148" s="145"/>
      <c r="H148" s="136"/>
      <c r="I148" s="19"/>
      <c r="J148" s="138"/>
      <c r="K148" s="147" t="str">
        <f t="shared" si="11"/>
        <v>Fail</v>
      </c>
      <c r="L148" s="19">
        <v>1159</v>
      </c>
      <c r="M148" s="17">
        <v>100</v>
      </c>
      <c r="N148" s="17">
        <v>50</v>
      </c>
      <c r="O148" s="22" t="s">
        <v>299</v>
      </c>
      <c r="P148" s="18"/>
      <c r="Q148" s="7"/>
      <c r="R148" s="7"/>
    </row>
    <row r="149" spans="1:18">
      <c r="A149" s="129">
        <v>43704</v>
      </c>
      <c r="B149" s="136">
        <v>11</v>
      </c>
      <c r="C149" s="19">
        <v>17</v>
      </c>
      <c r="D149" s="138">
        <f t="shared" ref="D149" si="16">IF(((B149="")*AND(C149="")),"",(C149-B149))</f>
        <v>6</v>
      </c>
      <c r="E149" s="132"/>
      <c r="F149" s="19"/>
      <c r="G149" s="145"/>
      <c r="H149" s="136"/>
      <c r="I149" s="19"/>
      <c r="J149" s="138"/>
      <c r="K149" s="147" t="str">
        <f t="shared" si="11"/>
        <v>Pass</v>
      </c>
      <c r="L149" s="19">
        <v>1159</v>
      </c>
      <c r="M149" s="17">
        <v>100</v>
      </c>
      <c r="N149" s="17">
        <v>50</v>
      </c>
      <c r="O149" s="22" t="s">
        <v>300</v>
      </c>
      <c r="P149" s="18"/>
      <c r="Q149" s="7"/>
      <c r="R149" s="7"/>
    </row>
    <row r="150" spans="1:18">
      <c r="A150" s="129">
        <v>43710</v>
      </c>
      <c r="B150" s="136">
        <v>41</v>
      </c>
      <c r="C150" s="19">
        <v>32</v>
      </c>
      <c r="D150" s="138">
        <f t="shared" si="12"/>
        <v>-9</v>
      </c>
      <c r="E150" s="132"/>
      <c r="F150" s="19"/>
      <c r="G150" s="145"/>
      <c r="H150" s="136"/>
      <c r="I150" s="19"/>
      <c r="J150" s="138"/>
      <c r="K150" s="147" t="str">
        <f t="shared" si="11"/>
        <v>Pass</v>
      </c>
      <c r="L150" s="19">
        <v>1335</v>
      </c>
      <c r="M150" s="17">
        <v>100</v>
      </c>
      <c r="N150" s="17">
        <v>50</v>
      </c>
      <c r="O150" s="22" t="s">
        <v>302</v>
      </c>
      <c r="P150" s="18"/>
      <c r="Q150" s="7"/>
      <c r="R150" s="7"/>
    </row>
    <row r="151" spans="1:18">
      <c r="A151" s="129">
        <v>43719</v>
      </c>
      <c r="B151" s="136">
        <v>32</v>
      </c>
      <c r="C151" s="19">
        <v>39</v>
      </c>
      <c r="D151" s="138">
        <f t="shared" si="12"/>
        <v>7</v>
      </c>
      <c r="E151" s="132"/>
      <c r="F151" s="19"/>
      <c r="G151" s="145"/>
      <c r="H151" s="136"/>
      <c r="I151" s="19"/>
      <c r="J151" s="138"/>
      <c r="K151" s="147" t="str">
        <f t="shared" si="11"/>
        <v>Pass</v>
      </c>
      <c r="L151" s="19">
        <v>1335</v>
      </c>
      <c r="M151" s="17">
        <v>100</v>
      </c>
      <c r="N151" s="17">
        <v>50</v>
      </c>
      <c r="O151" s="22" t="s">
        <v>305</v>
      </c>
      <c r="P151" s="18"/>
      <c r="Q151" s="7"/>
      <c r="R151" s="7"/>
    </row>
    <row r="152" spans="1:18">
      <c r="A152" s="129">
        <v>43728</v>
      </c>
      <c r="B152" s="136">
        <v>13</v>
      </c>
      <c r="C152" s="19">
        <v>15</v>
      </c>
      <c r="D152" s="138">
        <f t="shared" ref="D152" si="17">IF(((B152="")*AND(C152="")),"",(C152-B152))</f>
        <v>2</v>
      </c>
      <c r="E152" s="132"/>
      <c r="F152" s="19"/>
      <c r="G152" s="145"/>
      <c r="H152" s="136"/>
      <c r="I152" s="19"/>
      <c r="J152" s="138"/>
      <c r="K152" s="147" t="str">
        <f t="shared" si="11"/>
        <v>Pass</v>
      </c>
      <c r="L152" s="19">
        <v>1159</v>
      </c>
      <c r="M152" s="17">
        <v>100</v>
      </c>
      <c r="N152" s="17">
        <v>50</v>
      </c>
      <c r="O152" s="22" t="s">
        <v>309</v>
      </c>
      <c r="P152" s="18"/>
      <c r="Q152" s="7"/>
      <c r="R152" s="7"/>
    </row>
    <row r="153" spans="1:18">
      <c r="A153" s="129">
        <v>43733</v>
      </c>
      <c r="B153" s="136">
        <v>6</v>
      </c>
      <c r="C153" s="19">
        <v>627</v>
      </c>
      <c r="D153" s="138">
        <f t="shared" si="12"/>
        <v>621</v>
      </c>
      <c r="E153" s="132"/>
      <c r="F153" s="19"/>
      <c r="G153" s="145"/>
      <c r="H153" s="136"/>
      <c r="I153" s="19"/>
      <c r="J153" s="138"/>
      <c r="K153" s="147" t="str">
        <f t="shared" si="11"/>
        <v>Fail</v>
      </c>
      <c r="L153" s="19">
        <v>1428</v>
      </c>
      <c r="M153" s="17">
        <v>100</v>
      </c>
      <c r="N153" s="17">
        <v>50</v>
      </c>
      <c r="O153" s="22" t="s">
        <v>311</v>
      </c>
      <c r="P153" s="18"/>
      <c r="Q153" s="7"/>
      <c r="R153" s="7"/>
    </row>
    <row r="154" spans="1:18">
      <c r="A154" s="129">
        <v>43734</v>
      </c>
      <c r="B154" s="136">
        <v>4</v>
      </c>
      <c r="C154" s="19">
        <v>534</v>
      </c>
      <c r="D154" s="138">
        <f t="shared" si="12"/>
        <v>530</v>
      </c>
      <c r="E154" s="132"/>
      <c r="F154" s="19"/>
      <c r="G154" s="145"/>
      <c r="H154" s="136"/>
      <c r="I154" s="19"/>
      <c r="J154" s="138"/>
      <c r="K154" s="147" t="str">
        <f t="shared" si="11"/>
        <v>Fail</v>
      </c>
      <c r="L154" s="19">
        <v>1159</v>
      </c>
      <c r="M154" s="17">
        <v>100</v>
      </c>
      <c r="N154" s="17">
        <v>50</v>
      </c>
      <c r="O154" s="22" t="s">
        <v>312</v>
      </c>
      <c r="P154" s="18"/>
      <c r="Q154" s="7"/>
      <c r="R154" s="7"/>
    </row>
    <row r="155" spans="1:18">
      <c r="A155" s="129">
        <v>43734</v>
      </c>
      <c r="B155" s="136">
        <v>3</v>
      </c>
      <c r="C155" s="19">
        <v>4</v>
      </c>
      <c r="D155" s="138">
        <f t="shared" ref="D155" si="18">IF(((B155="")*AND(C155="")),"",(C155-B155))</f>
        <v>1</v>
      </c>
      <c r="E155" s="132"/>
      <c r="F155" s="19"/>
      <c r="G155" s="145"/>
      <c r="H155" s="136"/>
      <c r="I155" s="19"/>
      <c r="J155" s="138"/>
      <c r="K155" s="147" t="str">
        <f t="shared" si="11"/>
        <v>Pass</v>
      </c>
      <c r="L155" s="19">
        <v>1159</v>
      </c>
      <c r="M155" s="17">
        <v>100</v>
      </c>
      <c r="N155" s="17">
        <v>50</v>
      </c>
      <c r="O155" s="22" t="s">
        <v>313</v>
      </c>
      <c r="P155" s="18"/>
      <c r="Q155" s="7"/>
      <c r="R155" s="7"/>
    </row>
    <row r="156" spans="1:18">
      <c r="A156" s="129">
        <v>43739</v>
      </c>
      <c r="B156" s="136">
        <v>1</v>
      </c>
      <c r="C156" s="19">
        <v>51</v>
      </c>
      <c r="D156" s="138">
        <f t="shared" si="12"/>
        <v>50</v>
      </c>
      <c r="E156" s="132"/>
      <c r="F156" s="19"/>
      <c r="G156" s="145"/>
      <c r="H156" s="136"/>
      <c r="I156" s="19"/>
      <c r="J156" s="138"/>
      <c r="K156" s="147" t="str">
        <f t="shared" si="11"/>
        <v>Pass</v>
      </c>
      <c r="L156" s="19">
        <v>64</v>
      </c>
      <c r="M156" s="17">
        <v>100</v>
      </c>
      <c r="N156" s="17">
        <v>50</v>
      </c>
      <c r="O156" s="22"/>
      <c r="P156" s="18"/>
      <c r="Q156" s="7"/>
      <c r="R156" s="7"/>
    </row>
    <row r="157" spans="1:18">
      <c r="A157" s="129">
        <v>43742</v>
      </c>
      <c r="B157" s="136">
        <v>2</v>
      </c>
      <c r="C157" s="19">
        <v>2</v>
      </c>
      <c r="D157" s="138">
        <f t="shared" si="12"/>
        <v>0</v>
      </c>
      <c r="E157" s="132"/>
      <c r="F157" s="19"/>
      <c r="G157" s="145"/>
      <c r="H157" s="136"/>
      <c r="I157" s="19"/>
      <c r="J157" s="138"/>
      <c r="K157" s="147" t="str">
        <f t="shared" si="11"/>
        <v>Pass</v>
      </c>
      <c r="L157" s="19">
        <v>121</v>
      </c>
      <c r="M157" s="17">
        <v>100</v>
      </c>
      <c r="N157" s="17">
        <v>50</v>
      </c>
      <c r="O157" s="22" t="s">
        <v>316</v>
      </c>
      <c r="P157" s="18"/>
      <c r="Q157" s="7"/>
      <c r="R157" s="7"/>
    </row>
    <row r="158" spans="1:18">
      <c r="A158" s="129">
        <v>43753</v>
      </c>
      <c r="B158" s="136">
        <v>14</v>
      </c>
      <c r="C158" s="19">
        <v>11</v>
      </c>
      <c r="D158" s="138">
        <f t="shared" si="12"/>
        <v>-3</v>
      </c>
      <c r="E158" s="132"/>
      <c r="F158" s="19"/>
      <c r="G158" s="145"/>
      <c r="H158" s="136"/>
      <c r="I158" s="19"/>
      <c r="J158" s="138"/>
      <c r="K158" s="147" t="str">
        <f t="shared" si="11"/>
        <v>Pass</v>
      </c>
      <c r="L158" s="19">
        <v>1340</v>
      </c>
      <c r="M158" s="17">
        <v>100</v>
      </c>
      <c r="N158" s="17">
        <v>50</v>
      </c>
      <c r="O158" s="22" t="s">
        <v>319</v>
      </c>
      <c r="P158" s="18"/>
      <c r="Q158" s="7"/>
      <c r="R158" s="7"/>
    </row>
    <row r="159" spans="1:18">
      <c r="A159" s="129">
        <v>43759</v>
      </c>
      <c r="B159" s="136">
        <v>11</v>
      </c>
      <c r="C159" s="19">
        <v>14</v>
      </c>
      <c r="D159" s="138">
        <f t="shared" si="12"/>
        <v>3</v>
      </c>
      <c r="E159" s="132"/>
      <c r="F159" s="19"/>
      <c r="G159" s="145"/>
      <c r="H159" s="136"/>
      <c r="I159" s="19"/>
      <c r="J159" s="138"/>
      <c r="K159" s="147" t="str">
        <f t="shared" si="11"/>
        <v>Pass</v>
      </c>
      <c r="L159" s="19">
        <v>1428</v>
      </c>
      <c r="M159" s="17">
        <v>100</v>
      </c>
      <c r="N159" s="17">
        <v>30</v>
      </c>
      <c r="O159" s="22"/>
      <c r="P159" s="18"/>
      <c r="Q159" s="7"/>
      <c r="R159" s="7"/>
    </row>
    <row r="160" spans="1:18">
      <c r="A160" s="129">
        <v>43766</v>
      </c>
      <c r="B160" s="136">
        <v>16</v>
      </c>
      <c r="C160" s="19">
        <v>18</v>
      </c>
      <c r="D160" s="138">
        <f t="shared" si="12"/>
        <v>2</v>
      </c>
      <c r="E160" s="132"/>
      <c r="F160" s="19"/>
      <c r="G160" s="145"/>
      <c r="H160" s="136"/>
      <c r="I160" s="19"/>
      <c r="J160" s="138"/>
      <c r="K160" s="147" t="str">
        <f t="shared" si="11"/>
        <v>Pass</v>
      </c>
      <c r="L160" s="19">
        <v>1428</v>
      </c>
      <c r="M160" s="17">
        <v>100</v>
      </c>
      <c r="N160" s="17">
        <v>30</v>
      </c>
      <c r="O160" s="22"/>
      <c r="P160" s="18"/>
      <c r="Q160" s="7"/>
      <c r="R160" s="7"/>
    </row>
    <row r="161" spans="1:18">
      <c r="A161" s="129">
        <v>43770</v>
      </c>
      <c r="B161" s="136">
        <v>16</v>
      </c>
      <c r="C161" s="19">
        <v>750</v>
      </c>
      <c r="D161" s="138">
        <f t="shared" si="12"/>
        <v>734</v>
      </c>
      <c r="E161" s="132"/>
      <c r="F161" s="19"/>
      <c r="G161" s="145"/>
      <c r="H161" s="136"/>
      <c r="I161" s="19"/>
      <c r="J161" s="138"/>
      <c r="K161" s="147" t="str">
        <f t="shared" si="11"/>
        <v>Fail</v>
      </c>
      <c r="L161" s="19">
        <v>1428</v>
      </c>
      <c r="M161" s="17">
        <v>100</v>
      </c>
      <c r="N161" s="17">
        <v>30</v>
      </c>
      <c r="O161" s="22"/>
      <c r="P161" s="18"/>
      <c r="Q161" s="7"/>
      <c r="R161" s="7"/>
    </row>
    <row r="162" spans="1:18">
      <c r="A162" s="129">
        <v>43773</v>
      </c>
      <c r="B162" s="136">
        <v>16</v>
      </c>
      <c r="C162" s="19">
        <v>212</v>
      </c>
      <c r="D162" s="138">
        <f t="shared" si="12"/>
        <v>196</v>
      </c>
      <c r="E162" s="132"/>
      <c r="F162" s="19"/>
      <c r="G162" s="145"/>
      <c r="H162" s="136"/>
      <c r="I162" s="19"/>
      <c r="J162" s="138"/>
      <c r="K162" s="147" t="str">
        <f t="shared" si="11"/>
        <v>Fail</v>
      </c>
      <c r="L162" s="19">
        <v>64</v>
      </c>
      <c r="M162" s="17">
        <v>100</v>
      </c>
      <c r="N162" s="17">
        <v>30</v>
      </c>
      <c r="O162" s="22"/>
      <c r="P162" s="22" t="s">
        <v>329</v>
      </c>
      <c r="Q162" s="7"/>
      <c r="R162" s="7"/>
    </row>
    <row r="163" spans="1:18">
      <c r="A163" s="129">
        <v>43776</v>
      </c>
      <c r="B163" s="136">
        <v>19</v>
      </c>
      <c r="C163" s="19">
        <v>15</v>
      </c>
      <c r="D163" s="138">
        <f t="shared" ref="D163" si="19">IF(((B163="")*AND(C163="")),"",(C163-B163))</f>
        <v>-4</v>
      </c>
      <c r="E163" s="132"/>
      <c r="F163" s="19"/>
      <c r="G163" s="145"/>
      <c r="H163" s="136"/>
      <c r="I163" s="19"/>
      <c r="J163" s="138"/>
      <c r="K163" s="147" t="str">
        <f t="shared" si="11"/>
        <v>Pass</v>
      </c>
      <c r="L163" s="19">
        <v>102</v>
      </c>
      <c r="M163" s="17">
        <v>100</v>
      </c>
      <c r="N163" s="17">
        <v>30</v>
      </c>
      <c r="O163" s="22" t="s">
        <v>330</v>
      </c>
      <c r="P163" s="18" t="s">
        <v>357</v>
      </c>
      <c r="Q163" s="7"/>
      <c r="R163" s="7"/>
    </row>
    <row r="164" spans="1:18">
      <c r="A164" s="129">
        <v>43782</v>
      </c>
      <c r="B164" s="136">
        <v>44</v>
      </c>
      <c r="C164" s="19">
        <v>39</v>
      </c>
      <c r="D164" s="138">
        <f t="shared" si="12"/>
        <v>-5</v>
      </c>
      <c r="E164" s="132"/>
      <c r="F164" s="19"/>
      <c r="G164" s="145"/>
      <c r="H164" s="136"/>
      <c r="I164" s="19"/>
      <c r="J164" s="138"/>
      <c r="K164" s="147" t="str">
        <f t="shared" si="11"/>
        <v>Pass</v>
      </c>
      <c r="L164" s="19">
        <v>1340</v>
      </c>
      <c r="M164" s="17">
        <v>100</v>
      </c>
      <c r="N164" s="17">
        <v>30</v>
      </c>
      <c r="O164" s="22"/>
      <c r="P164" s="18"/>
      <c r="Q164" s="7"/>
      <c r="R164" s="7"/>
    </row>
    <row r="165" spans="1:18">
      <c r="A165" s="129">
        <v>43789</v>
      </c>
      <c r="B165" s="136">
        <v>11</v>
      </c>
      <c r="C165" s="19">
        <v>17</v>
      </c>
      <c r="D165" s="138">
        <f t="shared" ref="D165" si="20">IF(((B165="")*AND(C165="")),"",(C165-B165))</f>
        <v>6</v>
      </c>
      <c r="E165" s="132"/>
      <c r="F165" s="19"/>
      <c r="G165" s="145"/>
      <c r="H165" s="136"/>
      <c r="I165" s="19"/>
      <c r="J165" s="138"/>
      <c r="K165" s="147" t="str">
        <f t="shared" si="11"/>
        <v>Pass</v>
      </c>
      <c r="L165" s="19">
        <v>74</v>
      </c>
      <c r="M165" s="17">
        <v>100</v>
      </c>
      <c r="N165" s="17">
        <v>30</v>
      </c>
      <c r="O165" s="22"/>
      <c r="P165" s="18" t="s">
        <v>331</v>
      </c>
      <c r="Q165" s="7"/>
      <c r="R165" s="7"/>
    </row>
    <row r="166" spans="1:18">
      <c r="A166" s="129">
        <v>43794</v>
      </c>
      <c r="B166" s="136">
        <v>17</v>
      </c>
      <c r="C166" s="19">
        <v>22</v>
      </c>
      <c r="D166" s="138">
        <f t="shared" ref="D166:D180" si="21">IF(((B166="")*AND(C166="")),"",(C166-B166))</f>
        <v>5</v>
      </c>
      <c r="E166" s="132"/>
      <c r="F166" s="19"/>
      <c r="G166" s="145"/>
      <c r="H166" s="136"/>
      <c r="I166" s="19"/>
      <c r="J166" s="138"/>
      <c r="K166" s="147" t="str">
        <f t="shared" si="11"/>
        <v>Pass</v>
      </c>
      <c r="L166" s="19">
        <v>1428</v>
      </c>
      <c r="M166" s="17">
        <v>100</v>
      </c>
      <c r="N166" s="17">
        <v>30</v>
      </c>
      <c r="O166" s="22" t="s">
        <v>334</v>
      </c>
      <c r="P166" s="18" t="s">
        <v>333</v>
      </c>
      <c r="Q166" s="7"/>
      <c r="R166" s="7"/>
    </row>
    <row r="167" spans="1:18">
      <c r="A167" s="129">
        <v>43798</v>
      </c>
      <c r="B167" s="136">
        <v>1</v>
      </c>
      <c r="C167" s="19">
        <v>17</v>
      </c>
      <c r="D167" s="138">
        <f t="shared" si="21"/>
        <v>16</v>
      </c>
      <c r="E167" s="132"/>
      <c r="F167" s="19"/>
      <c r="G167" s="145"/>
      <c r="H167" s="136"/>
      <c r="I167" s="19"/>
      <c r="J167" s="138"/>
      <c r="K167" s="147" t="str">
        <f t="shared" si="11"/>
        <v>Pass</v>
      </c>
      <c r="L167" s="19">
        <v>74</v>
      </c>
      <c r="M167" s="17">
        <v>100</v>
      </c>
      <c r="N167" s="17">
        <v>30</v>
      </c>
      <c r="O167" s="22" t="s">
        <v>336</v>
      </c>
      <c r="P167" s="18" t="s">
        <v>339</v>
      </c>
      <c r="Q167" s="7"/>
      <c r="R167" s="7"/>
    </row>
    <row r="168" spans="1:18">
      <c r="A168" s="129">
        <v>43801</v>
      </c>
      <c r="B168" s="136">
        <v>2</v>
      </c>
      <c r="C168" s="19">
        <v>16</v>
      </c>
      <c r="D168" s="138">
        <f t="shared" ref="D168" si="22">IF(((B168="")*AND(C168="")),"",(C168-B168))</f>
        <v>14</v>
      </c>
      <c r="E168" s="132"/>
      <c r="F168" s="19"/>
      <c r="G168" s="145"/>
      <c r="H168" s="136"/>
      <c r="I168" s="19"/>
      <c r="J168" s="138"/>
      <c r="K168" s="147" t="str">
        <f t="shared" si="11"/>
        <v>Pass</v>
      </c>
      <c r="L168" s="19">
        <v>1159</v>
      </c>
      <c r="M168" s="17">
        <v>100</v>
      </c>
      <c r="N168" s="17">
        <v>23</v>
      </c>
      <c r="O168" s="22" t="s">
        <v>340</v>
      </c>
      <c r="P168" s="113" t="s">
        <v>342</v>
      </c>
      <c r="Q168" s="7"/>
      <c r="R168" s="7"/>
    </row>
    <row r="169" spans="1:18">
      <c r="A169" s="129">
        <v>43805</v>
      </c>
      <c r="B169" s="136">
        <v>0</v>
      </c>
      <c r="C169" s="19">
        <v>1</v>
      </c>
      <c r="D169" s="138">
        <f t="shared" ref="D169" si="23">IF(((B169="")*AND(C169="")),"",(C169-B169))</f>
        <v>1</v>
      </c>
      <c r="E169" s="132"/>
      <c r="F169" s="19"/>
      <c r="G169" s="145"/>
      <c r="H169" s="136"/>
      <c r="I169" s="19"/>
      <c r="J169" s="138"/>
      <c r="K169" s="147" t="str">
        <f t="shared" si="11"/>
        <v>Pass</v>
      </c>
      <c r="L169" s="19" t="s">
        <v>208</v>
      </c>
      <c r="M169" s="17">
        <v>100</v>
      </c>
      <c r="N169" s="17">
        <v>23</v>
      </c>
      <c r="O169" s="22" t="s">
        <v>343</v>
      </c>
      <c r="P169" s="113" t="s">
        <v>342</v>
      </c>
      <c r="Q169" s="7"/>
      <c r="R169" s="7"/>
    </row>
    <row r="170" spans="1:18">
      <c r="A170" s="129">
        <v>43809</v>
      </c>
      <c r="B170" s="136">
        <v>3</v>
      </c>
      <c r="C170" s="19">
        <v>19</v>
      </c>
      <c r="D170" s="138">
        <f t="shared" si="21"/>
        <v>16</v>
      </c>
      <c r="E170" s="132"/>
      <c r="F170" s="19"/>
      <c r="G170" s="145"/>
      <c r="H170" s="136"/>
      <c r="I170" s="19"/>
      <c r="J170" s="138"/>
      <c r="K170" s="147" t="str">
        <f t="shared" si="11"/>
        <v>Pass</v>
      </c>
      <c r="L170" s="19">
        <v>1340</v>
      </c>
      <c r="M170" s="17">
        <v>100</v>
      </c>
      <c r="N170" s="17">
        <v>23</v>
      </c>
      <c r="O170" s="22" t="s">
        <v>350</v>
      </c>
      <c r="P170" s="18"/>
      <c r="Q170" s="7"/>
      <c r="R170" s="7"/>
    </row>
    <row r="171" spans="1:18">
      <c r="A171" s="129">
        <v>43815</v>
      </c>
      <c r="B171" s="136">
        <v>5</v>
      </c>
      <c r="C171" s="19">
        <v>8</v>
      </c>
      <c r="D171" s="138">
        <f t="shared" ref="D171" si="24">IF(((B171="")*AND(C171="")),"",(C171-B171))</f>
        <v>3</v>
      </c>
      <c r="E171" s="132"/>
      <c r="F171" s="19"/>
      <c r="G171" s="145"/>
      <c r="H171" s="136"/>
      <c r="I171" s="19"/>
      <c r="J171" s="138"/>
      <c r="K171" s="147" t="str">
        <f t="shared" si="11"/>
        <v>Pass</v>
      </c>
      <c r="L171" s="19">
        <v>1159</v>
      </c>
      <c r="M171" s="17">
        <v>100</v>
      </c>
      <c r="N171" s="17">
        <v>23</v>
      </c>
      <c r="O171" s="22" t="s">
        <v>352</v>
      </c>
      <c r="P171" s="18"/>
      <c r="Q171" s="7"/>
      <c r="R171" s="7"/>
    </row>
    <row r="172" spans="1:18">
      <c r="A172" s="129">
        <v>43822</v>
      </c>
      <c r="B172" s="136">
        <v>2</v>
      </c>
      <c r="C172" s="19">
        <v>13</v>
      </c>
      <c r="D172" s="138">
        <f t="shared" si="21"/>
        <v>11</v>
      </c>
      <c r="E172" s="132"/>
      <c r="F172" s="19"/>
      <c r="G172" s="145"/>
      <c r="H172" s="136"/>
      <c r="I172" s="19"/>
      <c r="J172" s="138"/>
      <c r="K172" s="147" t="str">
        <f>IF((D172=""),"",IF(D172&lt;=N172,"Pass","Fail"))</f>
        <v>Pass</v>
      </c>
      <c r="L172" s="19">
        <v>74</v>
      </c>
      <c r="M172" s="17">
        <v>100</v>
      </c>
      <c r="N172" s="17">
        <v>23</v>
      </c>
      <c r="O172" s="22" t="s">
        <v>340</v>
      </c>
      <c r="P172" s="18" t="s">
        <v>353</v>
      </c>
      <c r="Q172" s="7"/>
      <c r="R172" s="7"/>
    </row>
    <row r="173" spans="1:18">
      <c r="A173" s="129">
        <v>43831</v>
      </c>
      <c r="B173" s="136">
        <v>4</v>
      </c>
      <c r="C173" s="19">
        <v>5</v>
      </c>
      <c r="D173" s="138">
        <f t="shared" si="21"/>
        <v>1</v>
      </c>
      <c r="E173" s="132"/>
      <c r="F173" s="19"/>
      <c r="G173" s="145"/>
      <c r="H173" s="136"/>
      <c r="I173" s="19"/>
      <c r="J173" s="138"/>
      <c r="K173" s="147" t="str">
        <f t="shared" ref="K173:K179" si="25">IF((D173=""),"",IF(D173&lt;=N173,"Pass","Fail"))</f>
        <v>Pass</v>
      </c>
      <c r="L173" s="19">
        <v>1335</v>
      </c>
      <c r="M173" s="17">
        <v>100</v>
      </c>
      <c r="N173" s="17">
        <v>23</v>
      </c>
      <c r="O173" s="22" t="s">
        <v>358</v>
      </c>
      <c r="P173" s="18"/>
      <c r="Q173" s="7"/>
      <c r="R173" s="7"/>
    </row>
    <row r="174" spans="1:18">
      <c r="A174" s="129">
        <v>43836</v>
      </c>
      <c r="B174" s="136">
        <v>2</v>
      </c>
      <c r="C174" s="19">
        <v>3</v>
      </c>
      <c r="D174" s="138">
        <f t="shared" si="21"/>
        <v>1</v>
      </c>
      <c r="E174" s="132"/>
      <c r="F174" s="19"/>
      <c r="G174" s="145"/>
      <c r="H174" s="136"/>
      <c r="I174" s="19"/>
      <c r="J174" s="138"/>
      <c r="K174" s="147" t="str">
        <f t="shared" si="25"/>
        <v>Pass</v>
      </c>
      <c r="L174" s="19">
        <v>1340</v>
      </c>
      <c r="M174" s="17">
        <v>100</v>
      </c>
      <c r="N174" s="17">
        <v>23</v>
      </c>
      <c r="O174" s="22" t="s">
        <v>360</v>
      </c>
      <c r="P174" s="18"/>
      <c r="Q174" s="7"/>
      <c r="R174" s="7"/>
    </row>
    <row r="175" spans="1:18">
      <c r="A175" s="129">
        <v>43840</v>
      </c>
      <c r="B175" s="136">
        <v>7</v>
      </c>
      <c r="C175" s="19">
        <v>10</v>
      </c>
      <c r="D175" s="138">
        <f t="shared" si="21"/>
        <v>3</v>
      </c>
      <c r="E175" s="132"/>
      <c r="F175" s="19"/>
      <c r="G175" s="145"/>
      <c r="H175" s="136"/>
      <c r="I175" s="19"/>
      <c r="J175" s="138"/>
      <c r="K175" s="147" t="str">
        <f t="shared" si="25"/>
        <v>Pass</v>
      </c>
      <c r="L175" s="19">
        <v>1340</v>
      </c>
      <c r="M175" s="17">
        <v>100</v>
      </c>
      <c r="N175" s="17">
        <v>23</v>
      </c>
      <c r="O175" s="22" t="s">
        <v>362</v>
      </c>
      <c r="P175" s="18"/>
      <c r="Q175" s="7"/>
      <c r="R175" s="7"/>
    </row>
    <row r="176" spans="1:18">
      <c r="A176" s="129">
        <v>43844</v>
      </c>
      <c r="B176" s="136">
        <v>13</v>
      </c>
      <c r="C176" s="19">
        <v>24</v>
      </c>
      <c r="D176" s="138">
        <f t="shared" ref="D176" si="26">IF(((B176="")*AND(C176="")),"",(C176-B176))</f>
        <v>11</v>
      </c>
      <c r="E176" s="132"/>
      <c r="F176" s="19"/>
      <c r="G176" s="145"/>
      <c r="H176" s="136"/>
      <c r="I176" s="19"/>
      <c r="J176" s="138"/>
      <c r="K176" s="147" t="str">
        <f t="shared" si="25"/>
        <v>Pass</v>
      </c>
      <c r="L176" s="19">
        <v>1159</v>
      </c>
      <c r="M176" s="17">
        <v>100</v>
      </c>
      <c r="N176" s="17">
        <v>23</v>
      </c>
      <c r="O176" s="22" t="s">
        <v>364</v>
      </c>
      <c r="P176" s="18"/>
      <c r="Q176" s="7"/>
      <c r="R176" s="7"/>
    </row>
    <row r="177" spans="1:18">
      <c r="A177" s="129">
        <v>43859</v>
      </c>
      <c r="B177" s="136">
        <v>4</v>
      </c>
      <c r="C177" s="19">
        <v>3</v>
      </c>
      <c r="D177" s="138">
        <f t="shared" ref="D177:D178" si="27">IF(((B177="")*AND(C177="")),"",(C177-B177))</f>
        <v>-1</v>
      </c>
      <c r="E177" s="132"/>
      <c r="F177" s="19"/>
      <c r="G177" s="145"/>
      <c r="H177" s="136"/>
      <c r="I177" s="19"/>
      <c r="J177" s="138"/>
      <c r="K177" s="147" t="str">
        <f t="shared" si="25"/>
        <v>Pass</v>
      </c>
      <c r="L177" s="19">
        <v>74</v>
      </c>
      <c r="M177" s="17">
        <v>100</v>
      </c>
      <c r="N177" s="17">
        <v>23</v>
      </c>
      <c r="O177" s="22" t="s">
        <v>366</v>
      </c>
      <c r="P177" s="18"/>
      <c r="Q177" s="7"/>
      <c r="R177" s="7"/>
    </row>
    <row r="178" spans="1:18">
      <c r="A178" s="129">
        <v>43864</v>
      </c>
      <c r="B178" s="136">
        <v>18</v>
      </c>
      <c r="C178" s="19">
        <v>49</v>
      </c>
      <c r="D178" s="138">
        <f t="shared" si="27"/>
        <v>31</v>
      </c>
      <c r="E178" s="132"/>
      <c r="F178" s="19"/>
      <c r="G178" s="145"/>
      <c r="H178" s="136"/>
      <c r="I178" s="19"/>
      <c r="J178" s="138"/>
      <c r="K178" s="147" t="str">
        <f>IF((D178=""),"",IF(D178&lt;=N178,"Pass","Fail"))</f>
        <v>Fail</v>
      </c>
      <c r="L178" s="19">
        <v>1159</v>
      </c>
      <c r="M178" s="17">
        <v>100</v>
      </c>
      <c r="N178" s="17">
        <v>23</v>
      </c>
      <c r="O178" s="22" t="s">
        <v>368</v>
      </c>
      <c r="P178" s="113" t="s">
        <v>371</v>
      </c>
      <c r="Q178" s="7"/>
      <c r="R178" s="7"/>
    </row>
    <row r="179" spans="1:18">
      <c r="A179" s="129">
        <v>43864</v>
      </c>
      <c r="B179" s="136">
        <v>49</v>
      </c>
      <c r="C179" s="19">
        <v>49</v>
      </c>
      <c r="D179" s="138">
        <f t="shared" si="21"/>
        <v>0</v>
      </c>
      <c r="E179" s="132"/>
      <c r="F179" s="19"/>
      <c r="G179" s="145"/>
      <c r="H179" s="136"/>
      <c r="I179" s="19"/>
      <c r="J179" s="138"/>
      <c r="K179" s="147" t="str">
        <f t="shared" si="25"/>
        <v>Pass</v>
      </c>
      <c r="L179" s="19">
        <v>1159</v>
      </c>
      <c r="M179" s="17">
        <v>100</v>
      </c>
      <c r="N179" s="17">
        <v>23</v>
      </c>
      <c r="O179" s="22" t="s">
        <v>369</v>
      </c>
      <c r="P179" s="113" t="s">
        <v>372</v>
      </c>
      <c r="Q179" s="7"/>
      <c r="R179" s="7"/>
    </row>
    <row r="180" spans="1:18">
      <c r="A180" s="129">
        <v>43864</v>
      </c>
      <c r="B180" s="136">
        <v>17</v>
      </c>
      <c r="C180" s="19">
        <v>26</v>
      </c>
      <c r="D180" s="138">
        <f t="shared" si="21"/>
        <v>9</v>
      </c>
      <c r="E180" s="132"/>
      <c r="F180" s="19"/>
      <c r="G180" s="145"/>
      <c r="H180" s="136"/>
      <c r="I180" s="19"/>
      <c r="J180" s="138"/>
      <c r="K180" s="147" t="str">
        <f t="shared" ref="K180" si="28">IF((D180=""),"",IF(D180&lt;=100,"Pass","Fail"))</f>
        <v>Pass</v>
      </c>
      <c r="L180" s="19">
        <v>1159</v>
      </c>
      <c r="M180" s="17">
        <v>100</v>
      </c>
      <c r="N180" s="17">
        <v>23</v>
      </c>
      <c r="O180" s="22" t="s">
        <v>370</v>
      </c>
      <c r="P180" s="113" t="s">
        <v>372</v>
      </c>
      <c r="Q180" s="7"/>
      <c r="R180" s="7"/>
    </row>
    <row r="181" spans="1:18">
      <c r="A181" s="129">
        <v>43868</v>
      </c>
      <c r="B181" s="136">
        <v>3</v>
      </c>
      <c r="C181" s="19">
        <v>19</v>
      </c>
      <c r="D181" s="138">
        <f t="shared" ref="D181:D182" si="29">IF(((B181="")*AND(C181="")),"",(C181-B181))</f>
        <v>16</v>
      </c>
      <c r="E181" s="132"/>
      <c r="F181" s="19"/>
      <c r="G181" s="145"/>
      <c r="H181" s="136"/>
      <c r="I181" s="19"/>
      <c r="J181" s="138"/>
      <c r="K181" s="147" t="str">
        <f t="shared" ref="K181:K182" si="30">IF((D181=""),"",IF(D181&lt;=100,"Pass","Fail"))</f>
        <v>Pass</v>
      </c>
      <c r="L181" s="19">
        <v>1335</v>
      </c>
      <c r="M181" s="17">
        <v>100</v>
      </c>
      <c r="N181" s="17">
        <v>23</v>
      </c>
      <c r="O181" s="22"/>
      <c r="P181" s="124"/>
      <c r="Q181" s="7"/>
      <c r="R181" s="7"/>
    </row>
    <row r="182" spans="1:18">
      <c r="A182" s="129">
        <v>43872</v>
      </c>
      <c r="B182" s="136">
        <v>23</v>
      </c>
      <c r="C182" s="19">
        <v>32</v>
      </c>
      <c r="D182" s="138">
        <f t="shared" si="29"/>
        <v>9</v>
      </c>
      <c r="E182" s="132"/>
      <c r="F182" s="19"/>
      <c r="G182" s="145"/>
      <c r="H182" s="136"/>
      <c r="I182" s="19"/>
      <c r="J182" s="138"/>
      <c r="K182" s="147" t="str">
        <f t="shared" si="30"/>
        <v>Pass</v>
      </c>
      <c r="L182" s="19">
        <v>1428</v>
      </c>
      <c r="M182" s="17">
        <v>100</v>
      </c>
      <c r="N182" s="17">
        <v>23</v>
      </c>
      <c r="O182" s="22" t="s">
        <v>374</v>
      </c>
      <c r="P182" s="124"/>
      <c r="Q182" s="7"/>
      <c r="R182" s="7"/>
    </row>
    <row r="183" spans="1:18">
      <c r="A183" s="129">
        <v>43875</v>
      </c>
      <c r="B183" s="136">
        <v>10</v>
      </c>
      <c r="C183" s="19">
        <v>13</v>
      </c>
      <c r="D183" s="138">
        <f t="shared" ref="D183:D185" si="31">IF(((B183="")*AND(C183="")),"",(C183-B183))</f>
        <v>3</v>
      </c>
      <c r="E183" s="132"/>
      <c r="F183" s="19"/>
      <c r="G183" s="145"/>
      <c r="H183" s="136"/>
      <c r="I183" s="19"/>
      <c r="J183" s="138"/>
      <c r="K183" s="147" t="str">
        <f t="shared" ref="K183" si="32">IF((D183=""),"",IF(D183&lt;=100,"Pass","Fail"))</f>
        <v>Pass</v>
      </c>
      <c r="L183" s="19">
        <v>64</v>
      </c>
      <c r="M183" s="17">
        <v>100</v>
      </c>
      <c r="N183" s="17">
        <v>23</v>
      </c>
      <c r="O183" s="22"/>
      <c r="P183" s="124"/>
      <c r="Q183" s="7"/>
      <c r="R183" s="7"/>
    </row>
    <row r="184" spans="1:18">
      <c r="A184" s="129">
        <v>43884</v>
      </c>
      <c r="B184" s="136">
        <v>41</v>
      </c>
      <c r="C184" s="19">
        <v>39</v>
      </c>
      <c r="D184" s="138">
        <f t="shared" si="31"/>
        <v>-2</v>
      </c>
      <c r="E184" s="132"/>
      <c r="F184" s="19"/>
      <c r="G184" s="145"/>
      <c r="H184" s="136"/>
      <c r="I184" s="19"/>
      <c r="J184" s="138"/>
      <c r="K184" s="147" t="str">
        <f t="shared" ref="K184" si="33">IF((D184=""),"",IF(D184&lt;=N184,"Pass","Fail"))</f>
        <v>Pass</v>
      </c>
      <c r="L184" s="19">
        <v>1159</v>
      </c>
      <c r="M184" s="17">
        <v>100</v>
      </c>
      <c r="N184" s="17">
        <v>23</v>
      </c>
      <c r="O184" s="22" t="s">
        <v>376</v>
      </c>
      <c r="P184" s="113" t="s">
        <v>377</v>
      </c>
      <c r="Q184" s="7"/>
      <c r="R184" s="7"/>
    </row>
    <row r="185" spans="1:18">
      <c r="A185" s="129">
        <v>43884</v>
      </c>
      <c r="B185" s="139">
        <v>28</v>
      </c>
      <c r="C185" s="27">
        <v>32</v>
      </c>
      <c r="D185" s="140">
        <f t="shared" si="31"/>
        <v>4</v>
      </c>
      <c r="E185" s="27"/>
      <c r="F185" s="27"/>
      <c r="G185" s="27"/>
      <c r="H185" s="139"/>
      <c r="I185" s="27"/>
      <c r="J185" s="140"/>
      <c r="K185" s="147" t="s">
        <v>379</v>
      </c>
      <c r="L185" s="27">
        <v>1335</v>
      </c>
      <c r="M185" s="8">
        <v>100</v>
      </c>
      <c r="N185" s="8">
        <v>23</v>
      </c>
      <c r="O185" s="22" t="s">
        <v>378</v>
      </c>
      <c r="P185" s="7"/>
      <c r="Q185" s="7"/>
      <c r="R185" s="7"/>
    </row>
    <row r="186" spans="1:18">
      <c r="A186" s="129">
        <v>43892</v>
      </c>
      <c r="B186" s="136">
        <v>24</v>
      </c>
      <c r="C186" s="19">
        <v>23</v>
      </c>
      <c r="D186" s="138">
        <f t="shared" ref="D186:D187" si="34">IF(((B186="")*AND(C186="")),"",(C186-B186))</f>
        <v>-1</v>
      </c>
      <c r="E186" s="132"/>
      <c r="F186" s="19"/>
      <c r="G186" s="145"/>
      <c r="H186" s="136"/>
      <c r="I186" s="19"/>
      <c r="J186" s="138"/>
      <c r="K186" s="147" t="str">
        <f t="shared" ref="K186:K187" si="35">IF((D186=""),"",IF(D186&lt;=N186,"Pass","Fail"))</f>
        <v>Pass</v>
      </c>
      <c r="L186" s="19">
        <v>1340</v>
      </c>
      <c r="M186" s="17">
        <v>100</v>
      </c>
      <c r="N186" s="17">
        <v>23</v>
      </c>
      <c r="O186" s="22" t="s">
        <v>381</v>
      </c>
      <c r="P186" s="7"/>
      <c r="Q186" s="7"/>
      <c r="R186" s="7"/>
    </row>
    <row r="187" spans="1:18">
      <c r="A187" s="129">
        <v>43896</v>
      </c>
      <c r="B187" s="136">
        <v>13</v>
      </c>
      <c r="C187" s="19">
        <v>26</v>
      </c>
      <c r="D187" s="138">
        <f t="shared" si="34"/>
        <v>13</v>
      </c>
      <c r="E187" s="132"/>
      <c r="F187" s="19"/>
      <c r="G187" s="145"/>
      <c r="H187" s="136"/>
      <c r="I187" s="19"/>
      <c r="J187" s="138"/>
      <c r="K187" s="147" t="str">
        <f t="shared" si="35"/>
        <v>Pass</v>
      </c>
      <c r="L187" s="19">
        <v>1340</v>
      </c>
      <c r="M187" s="17">
        <v>100</v>
      </c>
      <c r="N187" s="17">
        <v>23</v>
      </c>
      <c r="O187" s="22" t="s">
        <v>383</v>
      </c>
      <c r="P187" s="7"/>
      <c r="Q187" s="7"/>
      <c r="R187" s="7"/>
    </row>
    <row r="188" spans="1:18">
      <c r="A188" s="129">
        <v>43902</v>
      </c>
      <c r="B188" s="136">
        <v>19</v>
      </c>
      <c r="C188" s="19">
        <v>22</v>
      </c>
      <c r="D188" s="138">
        <f t="shared" ref="D188" si="36">IF(((B188="")*AND(C188="")),"",(C188-B188))</f>
        <v>3</v>
      </c>
      <c r="E188" s="132">
        <v>1</v>
      </c>
      <c r="F188" s="19">
        <v>3</v>
      </c>
      <c r="G188" s="145">
        <f>F188-E188</f>
        <v>2</v>
      </c>
      <c r="H188" s="136">
        <v>1</v>
      </c>
      <c r="I188" s="19">
        <v>3</v>
      </c>
      <c r="J188" s="138">
        <f>I188-H188</f>
        <v>2</v>
      </c>
      <c r="K188" s="147" t="str">
        <f t="shared" ref="K188" si="37">IF((D188=""),"",IF(D188&lt;=N188,"Pass","Fail"))</f>
        <v>Pass</v>
      </c>
      <c r="L188" s="19">
        <v>1159</v>
      </c>
      <c r="M188" s="17">
        <v>100</v>
      </c>
      <c r="N188" s="17">
        <v>23</v>
      </c>
      <c r="O188" s="22" t="s">
        <v>385</v>
      </c>
      <c r="P188" s="7"/>
      <c r="Q188" s="7"/>
      <c r="R188" s="7"/>
    </row>
    <row r="189" spans="1:18">
      <c r="A189" s="129">
        <v>43906</v>
      </c>
      <c r="B189" s="136">
        <v>37</v>
      </c>
      <c r="C189" s="19">
        <v>55</v>
      </c>
      <c r="D189" s="138">
        <f t="shared" ref="D189" si="38">IF(((B189="")*AND(C189="")),"",(C189-B189))</f>
        <v>18</v>
      </c>
      <c r="E189" s="132">
        <v>15</v>
      </c>
      <c r="F189" s="19">
        <v>17</v>
      </c>
      <c r="G189" s="145">
        <f t="shared" ref="G189:G236" si="39">F189-E189</f>
        <v>2</v>
      </c>
      <c r="H189" s="136">
        <v>1</v>
      </c>
      <c r="I189" s="19">
        <v>3</v>
      </c>
      <c r="J189" s="138">
        <f t="shared" ref="J189:J236" si="40">I189-H189</f>
        <v>2</v>
      </c>
      <c r="K189" s="147" t="str">
        <f t="shared" ref="K189" si="41">IF((D189=""),"",IF(D189&lt;=N189,"Pass","Fail"))</f>
        <v>Pass</v>
      </c>
      <c r="L189" s="19">
        <v>1428</v>
      </c>
      <c r="M189" s="17">
        <v>100</v>
      </c>
      <c r="N189" s="17">
        <v>23</v>
      </c>
      <c r="O189" s="22" t="s">
        <v>388</v>
      </c>
      <c r="P189" s="7"/>
      <c r="Q189" s="7"/>
      <c r="R189" s="7"/>
    </row>
    <row r="190" spans="1:18">
      <c r="A190" s="129">
        <v>43949</v>
      </c>
      <c r="B190" s="136">
        <v>2</v>
      </c>
      <c r="C190" s="19">
        <v>23</v>
      </c>
      <c r="D190" s="138">
        <f t="shared" ref="D190" si="42">IF(((B190="")*AND(C190="")),"",(C190-B190))</f>
        <v>21</v>
      </c>
      <c r="E190" s="132">
        <v>0</v>
      </c>
      <c r="F190" s="19">
        <v>10</v>
      </c>
      <c r="G190" s="145">
        <f t="shared" si="39"/>
        <v>10</v>
      </c>
      <c r="H190" s="136">
        <v>0</v>
      </c>
      <c r="I190" s="19">
        <v>5</v>
      </c>
      <c r="J190" s="138">
        <f t="shared" si="40"/>
        <v>5</v>
      </c>
      <c r="K190" s="147" t="str">
        <f t="shared" ref="K190" si="43">IF((D190=""),"",IF(D190&lt;=N190,"Pass","Fail"))</f>
        <v>Pass</v>
      </c>
      <c r="L190" s="19">
        <v>121</v>
      </c>
      <c r="M190" s="17">
        <v>100</v>
      </c>
      <c r="N190" s="17">
        <v>23</v>
      </c>
      <c r="O190" s="22" t="s">
        <v>389</v>
      </c>
      <c r="P190" s="7"/>
      <c r="Q190" s="7"/>
      <c r="R190" s="7"/>
    </row>
    <row r="191" spans="1:18">
      <c r="A191" s="129">
        <v>43957</v>
      </c>
      <c r="B191" s="136">
        <v>28</v>
      </c>
      <c r="C191" s="19">
        <v>54</v>
      </c>
      <c r="D191" s="138">
        <f t="shared" ref="D191" si="44">IF(((B191="")*AND(C191="")),"",(C191-B191))</f>
        <v>26</v>
      </c>
      <c r="E191" s="132"/>
      <c r="F191" s="19"/>
      <c r="G191" s="145"/>
      <c r="H191" s="136"/>
      <c r="I191" s="19"/>
      <c r="J191" s="138"/>
      <c r="K191" s="147" t="str">
        <f t="shared" ref="K191" si="45">IF((D191=""),"",IF(D191&lt;=N191,"Pass","Fail"))</f>
        <v>Fail</v>
      </c>
      <c r="L191" s="19">
        <v>1428</v>
      </c>
      <c r="M191" s="17">
        <v>100</v>
      </c>
      <c r="N191" s="17">
        <v>23</v>
      </c>
      <c r="O191" s="22" t="s">
        <v>391</v>
      </c>
      <c r="P191" s="7"/>
      <c r="Q191" s="7"/>
      <c r="R191" s="7"/>
    </row>
    <row r="192" spans="1:18">
      <c r="A192" s="129">
        <v>43957</v>
      </c>
      <c r="B192" s="136">
        <v>5</v>
      </c>
      <c r="C192" s="19">
        <v>27</v>
      </c>
      <c r="D192" s="138">
        <f t="shared" ref="D192" si="46">IF(((B192="")*AND(C192="")),"",(C192-B192))</f>
        <v>22</v>
      </c>
      <c r="E192" s="132">
        <v>0</v>
      </c>
      <c r="F192" s="19">
        <v>13</v>
      </c>
      <c r="G192" s="145">
        <f t="shared" si="39"/>
        <v>13</v>
      </c>
      <c r="H192" s="136">
        <v>0</v>
      </c>
      <c r="I192" s="19">
        <v>5</v>
      </c>
      <c r="J192" s="138">
        <f t="shared" si="40"/>
        <v>5</v>
      </c>
      <c r="K192" s="147" t="str">
        <f t="shared" ref="K192" si="47">IF((D192=""),"",IF(D192&lt;=N192,"Pass","Fail"))</f>
        <v>Pass</v>
      </c>
      <c r="L192" s="19">
        <v>1428</v>
      </c>
      <c r="M192" s="17">
        <v>100</v>
      </c>
      <c r="N192" s="17">
        <v>23</v>
      </c>
      <c r="O192" s="22" t="s">
        <v>391</v>
      </c>
      <c r="P192" s="7"/>
      <c r="Q192" s="7"/>
      <c r="R192" s="7"/>
    </row>
    <row r="193" spans="1:18">
      <c r="A193" s="129">
        <v>43980</v>
      </c>
      <c r="B193" s="136">
        <v>8</v>
      </c>
      <c r="C193" s="19">
        <v>2195</v>
      </c>
      <c r="D193" s="138">
        <f t="shared" ref="D193" si="48">IF(((B193="")*AND(C193="")),"",(C193-B193))</f>
        <v>2187</v>
      </c>
      <c r="E193" s="132">
        <v>0</v>
      </c>
      <c r="F193" s="19">
        <v>378</v>
      </c>
      <c r="G193" s="145">
        <f t="shared" si="39"/>
        <v>378</v>
      </c>
      <c r="H193" s="136">
        <v>0</v>
      </c>
      <c r="I193" s="19">
        <v>160</v>
      </c>
      <c r="J193" s="138">
        <f t="shared" si="40"/>
        <v>160</v>
      </c>
      <c r="K193" s="147" t="str">
        <f t="shared" ref="K193" si="49">IF((D193=""),"",IF(D193&lt;=N193,"Pass","Fail"))</f>
        <v>Fail</v>
      </c>
      <c r="L193" s="19">
        <v>1159</v>
      </c>
      <c r="M193" s="17">
        <v>100</v>
      </c>
      <c r="N193" s="17">
        <v>23</v>
      </c>
      <c r="O193" s="22" t="s">
        <v>393</v>
      </c>
      <c r="P193" s="7"/>
      <c r="Q193" s="7"/>
      <c r="R193" s="7"/>
    </row>
    <row r="194" spans="1:18">
      <c r="A194" s="129">
        <v>43986</v>
      </c>
      <c r="B194" s="136">
        <v>28</v>
      </c>
      <c r="C194" s="19">
        <v>615</v>
      </c>
      <c r="D194" s="138">
        <f t="shared" ref="D194" si="50">IF(((B194="")*AND(C194="")),"",(C194-B194))</f>
        <v>587</v>
      </c>
      <c r="E194" s="132">
        <v>17</v>
      </c>
      <c r="F194" s="19">
        <v>118</v>
      </c>
      <c r="G194" s="145">
        <f t="shared" si="39"/>
        <v>101</v>
      </c>
      <c r="H194" s="136">
        <v>4</v>
      </c>
      <c r="I194" s="19">
        <v>53</v>
      </c>
      <c r="J194" s="138">
        <f t="shared" si="40"/>
        <v>49</v>
      </c>
      <c r="K194" s="147" t="str">
        <f t="shared" ref="K194" si="51">IF((D194=""),"",IF(D194&lt;=N194,"Pass","Fail"))</f>
        <v>Fail</v>
      </c>
      <c r="L194" s="19">
        <v>1159</v>
      </c>
      <c r="M194" s="17">
        <v>100</v>
      </c>
      <c r="N194" s="17">
        <v>23</v>
      </c>
      <c r="O194" s="22" t="s">
        <v>394</v>
      </c>
      <c r="P194" s="7"/>
      <c r="Q194" s="7"/>
      <c r="R194" s="7"/>
    </row>
    <row r="195" spans="1:18">
      <c r="A195" s="129">
        <v>43986</v>
      </c>
      <c r="B195" s="136">
        <v>1</v>
      </c>
      <c r="C195" s="19">
        <v>400</v>
      </c>
      <c r="D195" s="138">
        <f t="shared" ref="D195:D197" si="52">IF(((B195="")*AND(C195="")),"",(C195-B195))</f>
        <v>399</v>
      </c>
      <c r="E195" s="132">
        <v>0</v>
      </c>
      <c r="F195" s="19">
        <v>61</v>
      </c>
      <c r="G195" s="145">
        <f t="shared" si="39"/>
        <v>61</v>
      </c>
      <c r="H195" s="136">
        <v>0</v>
      </c>
      <c r="I195" s="19">
        <v>32</v>
      </c>
      <c r="J195" s="138">
        <f t="shared" si="40"/>
        <v>32</v>
      </c>
      <c r="K195" s="147" t="str">
        <f t="shared" ref="K195:K197" si="53">IF((D195=""),"",IF(D195&lt;=N195,"Pass","Fail"))</f>
        <v>Fail</v>
      </c>
      <c r="L195" s="19">
        <v>1159</v>
      </c>
      <c r="M195" s="17">
        <v>100</v>
      </c>
      <c r="N195" s="17">
        <v>23</v>
      </c>
      <c r="O195" s="22" t="s">
        <v>395</v>
      </c>
      <c r="P195" s="7"/>
      <c r="Q195" s="7"/>
      <c r="R195" s="7"/>
    </row>
    <row r="196" spans="1:18">
      <c r="A196" s="129">
        <v>43986</v>
      </c>
      <c r="B196" s="136">
        <v>2</v>
      </c>
      <c r="C196" s="19">
        <v>440</v>
      </c>
      <c r="D196" s="138">
        <f t="shared" si="52"/>
        <v>438</v>
      </c>
      <c r="E196" s="132">
        <v>0</v>
      </c>
      <c r="F196" s="19">
        <v>72</v>
      </c>
      <c r="G196" s="145">
        <f t="shared" si="39"/>
        <v>72</v>
      </c>
      <c r="H196" s="136"/>
      <c r="I196" s="19"/>
      <c r="J196" s="138"/>
      <c r="K196" s="147" t="str">
        <f t="shared" si="53"/>
        <v>Fail</v>
      </c>
      <c r="L196" s="19">
        <v>1159</v>
      </c>
      <c r="M196" s="17">
        <v>100</v>
      </c>
      <c r="N196" s="17">
        <v>23</v>
      </c>
      <c r="O196" s="22" t="s">
        <v>396</v>
      </c>
      <c r="P196" s="7"/>
      <c r="Q196" s="7"/>
      <c r="R196" s="7"/>
    </row>
    <row r="197" spans="1:18">
      <c r="A197" s="129">
        <v>43986</v>
      </c>
      <c r="B197" s="136">
        <v>2</v>
      </c>
      <c r="C197" s="19">
        <v>376</v>
      </c>
      <c r="D197" s="138">
        <f t="shared" si="52"/>
        <v>374</v>
      </c>
      <c r="E197" s="132">
        <v>0</v>
      </c>
      <c r="F197" s="19">
        <v>63</v>
      </c>
      <c r="G197" s="145">
        <f t="shared" si="39"/>
        <v>63</v>
      </c>
      <c r="H197" s="136"/>
      <c r="I197" s="19"/>
      <c r="J197" s="138"/>
      <c r="K197" s="147" t="str">
        <f t="shared" si="53"/>
        <v>Fail</v>
      </c>
      <c r="L197" s="19">
        <v>1159</v>
      </c>
      <c r="M197" s="17">
        <v>100</v>
      </c>
      <c r="N197" s="17">
        <v>23</v>
      </c>
      <c r="O197" s="22" t="s">
        <v>397</v>
      </c>
      <c r="P197" s="7"/>
      <c r="Q197" s="7"/>
      <c r="R197" s="7"/>
    </row>
    <row r="198" spans="1:18">
      <c r="A198" s="129">
        <v>43992</v>
      </c>
      <c r="B198" s="136">
        <v>1</v>
      </c>
      <c r="C198" s="19">
        <v>184</v>
      </c>
      <c r="D198" s="138">
        <f t="shared" ref="D198:D199" si="54">IF(((B198="")*AND(C198="")),"",(C198-B198))</f>
        <v>183</v>
      </c>
      <c r="E198" s="132"/>
      <c r="F198" s="19"/>
      <c r="G198" s="145"/>
      <c r="H198" s="136"/>
      <c r="I198" s="19"/>
      <c r="J198" s="138"/>
      <c r="K198" s="147" t="str">
        <f t="shared" ref="K198:K199" si="55">IF((D198=""),"",IF(D198&lt;=N198,"Pass","Fail"))</f>
        <v>Fail</v>
      </c>
      <c r="L198" s="19">
        <v>1428</v>
      </c>
      <c r="M198" s="17">
        <v>100</v>
      </c>
      <c r="N198" s="17">
        <v>23</v>
      </c>
      <c r="O198" s="22" t="s">
        <v>397</v>
      </c>
      <c r="P198" s="7"/>
      <c r="Q198" s="7"/>
      <c r="R198" s="7"/>
    </row>
    <row r="199" spans="1:18">
      <c r="A199" s="129">
        <v>43992</v>
      </c>
      <c r="B199" s="136">
        <v>4</v>
      </c>
      <c r="C199" s="19">
        <v>55</v>
      </c>
      <c r="D199" s="138">
        <f t="shared" si="54"/>
        <v>51</v>
      </c>
      <c r="E199" s="132"/>
      <c r="F199" s="19"/>
      <c r="G199" s="145"/>
      <c r="H199" s="136"/>
      <c r="I199" s="19"/>
      <c r="J199" s="138"/>
      <c r="K199" s="147" t="str">
        <f t="shared" si="55"/>
        <v>Fail</v>
      </c>
      <c r="L199" s="19">
        <v>1335</v>
      </c>
      <c r="M199" s="17">
        <v>100</v>
      </c>
      <c r="N199" s="17">
        <v>23</v>
      </c>
      <c r="O199" s="22" t="s">
        <v>398</v>
      </c>
      <c r="P199" s="7"/>
      <c r="Q199" s="7"/>
      <c r="R199" s="7"/>
    </row>
    <row r="200" spans="1:18">
      <c r="A200" s="129">
        <v>43993</v>
      </c>
      <c r="B200" s="136">
        <v>3</v>
      </c>
      <c r="C200" s="19">
        <v>30</v>
      </c>
      <c r="D200" s="138">
        <f t="shared" ref="D200" si="56">IF(((B200="")*AND(C200="")),"",(C200-B200))</f>
        <v>27</v>
      </c>
      <c r="E200" s="132">
        <v>0</v>
      </c>
      <c r="F200" s="19">
        <v>9</v>
      </c>
      <c r="G200" s="145">
        <f t="shared" si="39"/>
        <v>9</v>
      </c>
      <c r="H200" s="136">
        <v>0</v>
      </c>
      <c r="I200" s="19">
        <v>7</v>
      </c>
      <c r="J200" s="138">
        <f t="shared" si="40"/>
        <v>7</v>
      </c>
      <c r="K200" s="147" t="str">
        <f t="shared" ref="K200" si="57">IF((D200=""),"",IF(D200&lt;=N200,"Pass","Fail"))</f>
        <v>Fail</v>
      </c>
      <c r="L200" s="19">
        <v>1428</v>
      </c>
      <c r="M200" s="17">
        <v>100</v>
      </c>
      <c r="N200" s="17">
        <v>23</v>
      </c>
      <c r="O200" s="22" t="s">
        <v>399</v>
      </c>
      <c r="P200" s="7"/>
      <c r="Q200" s="7"/>
      <c r="R200" s="7"/>
    </row>
    <row r="201" spans="1:18">
      <c r="A201" s="129">
        <v>43994</v>
      </c>
      <c r="B201" s="136">
        <v>1</v>
      </c>
      <c r="C201" s="19">
        <v>8</v>
      </c>
      <c r="D201" s="138">
        <f t="shared" ref="D201" si="58">IF(((B201="")*AND(C201="")),"",(C201-B201))</f>
        <v>7</v>
      </c>
      <c r="E201" s="132">
        <v>0</v>
      </c>
      <c r="F201" s="19">
        <v>2</v>
      </c>
      <c r="G201" s="145">
        <f t="shared" si="39"/>
        <v>2</v>
      </c>
      <c r="H201" s="136">
        <v>0</v>
      </c>
      <c r="I201" s="19">
        <v>1</v>
      </c>
      <c r="J201" s="138">
        <f t="shared" si="40"/>
        <v>1</v>
      </c>
      <c r="K201" s="147" t="str">
        <f t="shared" ref="K201" si="59">IF((D201=""),"",IF(D201&lt;=N201,"Pass","Fail"))</f>
        <v>Pass</v>
      </c>
      <c r="L201" s="19">
        <v>1159</v>
      </c>
      <c r="M201" s="17">
        <v>100</v>
      </c>
      <c r="N201" s="17">
        <v>23</v>
      </c>
      <c r="O201" s="22" t="s">
        <v>400</v>
      </c>
      <c r="P201" s="7"/>
      <c r="Q201" s="7"/>
      <c r="R201" s="7"/>
    </row>
    <row r="202" spans="1:18">
      <c r="A202" s="129">
        <v>43994</v>
      </c>
      <c r="B202" s="136">
        <v>8</v>
      </c>
      <c r="C202" s="19">
        <v>10</v>
      </c>
      <c r="D202" s="138">
        <f t="shared" ref="D202" si="60">IF(((B202="")*AND(C202="")),"",(C202-B202))</f>
        <v>2</v>
      </c>
      <c r="E202" s="132">
        <v>2</v>
      </c>
      <c r="F202" s="19">
        <v>2</v>
      </c>
      <c r="G202" s="145">
        <f t="shared" si="39"/>
        <v>0</v>
      </c>
      <c r="H202" s="136">
        <v>1</v>
      </c>
      <c r="I202" s="19">
        <v>1</v>
      </c>
      <c r="J202" s="138">
        <f t="shared" si="40"/>
        <v>0</v>
      </c>
      <c r="K202" s="147" t="str">
        <f t="shared" ref="K202" si="61">IF((D202=""),"",IF(D202&lt;=N202,"Pass","Fail"))</f>
        <v>Pass</v>
      </c>
      <c r="L202" s="19">
        <v>1159</v>
      </c>
      <c r="M202" s="17">
        <v>100</v>
      </c>
      <c r="N202" s="17">
        <v>23</v>
      </c>
      <c r="O202" s="22" t="s">
        <v>401</v>
      </c>
      <c r="P202" s="7"/>
      <c r="Q202" s="7"/>
      <c r="R202" s="7"/>
    </row>
    <row r="203" spans="1:18">
      <c r="A203" s="129">
        <v>43998</v>
      </c>
      <c r="B203" s="136">
        <v>0</v>
      </c>
      <c r="C203" s="19">
        <v>31</v>
      </c>
      <c r="D203" s="138">
        <f t="shared" ref="D203" si="62">IF(((B203="")*AND(C203="")),"",(C203-B203))</f>
        <v>31</v>
      </c>
      <c r="E203" s="132"/>
      <c r="F203" s="19"/>
      <c r="G203" s="145"/>
      <c r="H203" s="136"/>
      <c r="I203" s="19"/>
      <c r="J203" s="138"/>
      <c r="K203" s="147" t="str">
        <f t="shared" ref="K203" si="63">IF((D203=""),"",IF(D203&lt;=N203,"Pass","Fail"))</f>
        <v>Fail</v>
      </c>
      <c r="L203" s="19">
        <v>102</v>
      </c>
      <c r="M203" s="17">
        <v>100</v>
      </c>
      <c r="N203" s="17">
        <v>23</v>
      </c>
      <c r="O203" s="22" t="s">
        <v>403</v>
      </c>
      <c r="P203" s="7"/>
      <c r="Q203" s="7"/>
      <c r="R203" s="7"/>
    </row>
    <row r="204" spans="1:18">
      <c r="A204" s="129">
        <v>43998</v>
      </c>
      <c r="B204" s="136">
        <v>2</v>
      </c>
      <c r="C204" s="19">
        <v>37</v>
      </c>
      <c r="D204" s="138">
        <f t="shared" ref="D204" si="64">IF(((B204="")*AND(C204="")),"",(C204-B204))</f>
        <v>35</v>
      </c>
      <c r="E204" s="132">
        <v>0</v>
      </c>
      <c r="F204" s="19">
        <v>16</v>
      </c>
      <c r="G204" s="145">
        <f t="shared" si="39"/>
        <v>16</v>
      </c>
      <c r="H204" s="136">
        <v>0</v>
      </c>
      <c r="I204" s="19">
        <v>0</v>
      </c>
      <c r="J204" s="138">
        <f t="shared" si="40"/>
        <v>0</v>
      </c>
      <c r="K204" s="147" t="str">
        <f t="shared" ref="K204" si="65">IF((D204=""),"",IF(D204&lt;=N204,"Pass","Fail"))</f>
        <v>Fail</v>
      </c>
      <c r="L204" s="19">
        <v>102</v>
      </c>
      <c r="M204" s="17">
        <v>100</v>
      </c>
      <c r="N204" s="17">
        <v>23</v>
      </c>
      <c r="O204" s="22" t="s">
        <v>399</v>
      </c>
      <c r="P204" s="7"/>
      <c r="Q204" s="7"/>
      <c r="R204" s="7"/>
    </row>
    <row r="205" spans="1:18">
      <c r="A205" s="129">
        <v>43998</v>
      </c>
      <c r="B205" s="136">
        <v>2</v>
      </c>
      <c r="C205" s="19">
        <v>37</v>
      </c>
      <c r="D205" s="138">
        <f t="shared" ref="D205:D206" si="66">IF(((B205="")*AND(C205="")),"",(C205-B205))</f>
        <v>35</v>
      </c>
      <c r="E205" s="132"/>
      <c r="F205" s="19"/>
      <c r="G205" s="145"/>
      <c r="H205" s="136"/>
      <c r="I205" s="19"/>
      <c r="J205" s="138"/>
      <c r="K205" s="147" t="str">
        <f t="shared" ref="K205:K206" si="67">IF((D205=""),"",IF(D205&lt;=N205,"Pass","Fail"))</f>
        <v>Fail</v>
      </c>
      <c r="L205" s="19">
        <v>1340</v>
      </c>
      <c r="M205" s="17">
        <v>100</v>
      </c>
      <c r="N205" s="17">
        <v>23</v>
      </c>
      <c r="O205" s="22" t="s">
        <v>404</v>
      </c>
      <c r="P205" s="7"/>
      <c r="Q205" s="7"/>
      <c r="R205" s="7"/>
    </row>
    <row r="206" spans="1:18">
      <c r="A206" s="129">
        <v>43998</v>
      </c>
      <c r="B206" s="136">
        <v>2</v>
      </c>
      <c r="C206" s="19">
        <v>15</v>
      </c>
      <c r="D206" s="138">
        <f t="shared" si="66"/>
        <v>13</v>
      </c>
      <c r="E206" s="132">
        <v>0</v>
      </c>
      <c r="F206" s="19">
        <v>6</v>
      </c>
      <c r="G206" s="145">
        <f t="shared" si="39"/>
        <v>6</v>
      </c>
      <c r="H206" s="136">
        <v>0</v>
      </c>
      <c r="I206" s="19">
        <v>2</v>
      </c>
      <c r="J206" s="138">
        <f t="shared" si="40"/>
        <v>2</v>
      </c>
      <c r="K206" s="147" t="str">
        <f t="shared" si="67"/>
        <v>Pass</v>
      </c>
      <c r="L206" s="19">
        <v>1428</v>
      </c>
      <c r="M206" s="17">
        <v>100</v>
      </c>
      <c r="N206" s="17">
        <v>23</v>
      </c>
      <c r="O206" s="22" t="s">
        <v>405</v>
      </c>
      <c r="P206" s="7"/>
      <c r="Q206" s="7"/>
      <c r="R206" s="7"/>
    </row>
    <row r="207" spans="1:18">
      <c r="A207" s="129">
        <v>43998</v>
      </c>
      <c r="B207" s="136">
        <v>6</v>
      </c>
      <c r="C207" s="19">
        <v>14</v>
      </c>
      <c r="D207" s="138">
        <f t="shared" ref="D207" si="68">IF(((B207="")*AND(C207="")),"",(C207-B207))</f>
        <v>8</v>
      </c>
      <c r="E207" s="132">
        <v>5</v>
      </c>
      <c r="F207" s="19">
        <v>4</v>
      </c>
      <c r="G207" s="145">
        <f t="shared" si="39"/>
        <v>-1</v>
      </c>
      <c r="H207" s="136">
        <v>2</v>
      </c>
      <c r="I207" s="19">
        <v>4</v>
      </c>
      <c r="J207" s="138">
        <f t="shared" si="40"/>
        <v>2</v>
      </c>
      <c r="K207" s="147" t="str">
        <f t="shared" ref="K207" si="69">IF((D207=""),"",IF(D207&lt;=N207,"Pass","Fail"))</f>
        <v>Pass</v>
      </c>
      <c r="L207" s="19">
        <v>1428</v>
      </c>
      <c r="M207" s="17">
        <v>100</v>
      </c>
      <c r="N207" s="17">
        <v>23</v>
      </c>
      <c r="O207" s="22" t="s">
        <v>404</v>
      </c>
      <c r="P207" s="7"/>
      <c r="Q207" s="7"/>
      <c r="R207" s="7"/>
    </row>
    <row r="208" spans="1:18">
      <c r="A208" s="129">
        <v>44006</v>
      </c>
      <c r="B208" s="136">
        <v>5</v>
      </c>
      <c r="C208" s="19">
        <v>22</v>
      </c>
      <c r="D208" s="138">
        <f t="shared" ref="D208" si="70">IF(((B208="")*AND(C208="")),"",(C208-B208))</f>
        <v>17</v>
      </c>
      <c r="E208" s="132">
        <v>0</v>
      </c>
      <c r="F208" s="19">
        <v>5</v>
      </c>
      <c r="G208" s="145">
        <f t="shared" si="39"/>
        <v>5</v>
      </c>
      <c r="H208" s="136">
        <v>0</v>
      </c>
      <c r="I208" s="19">
        <v>3</v>
      </c>
      <c r="J208" s="138">
        <f t="shared" si="40"/>
        <v>3</v>
      </c>
      <c r="K208" s="147" t="str">
        <f t="shared" ref="K208" si="71">IF((D208=""),"",IF(D208&lt;=N208,"Pass","Fail"))</f>
        <v>Pass</v>
      </c>
      <c r="L208" s="19">
        <v>121</v>
      </c>
      <c r="M208" s="17">
        <v>100</v>
      </c>
      <c r="N208" s="17">
        <v>23</v>
      </c>
      <c r="O208" s="22" t="s">
        <v>407</v>
      </c>
      <c r="P208" s="7"/>
      <c r="Q208" s="7"/>
      <c r="R208" s="7"/>
    </row>
    <row r="209" spans="1:18">
      <c r="A209" s="129">
        <v>44006</v>
      </c>
      <c r="B209" s="136">
        <v>10</v>
      </c>
      <c r="C209" s="19">
        <v>20</v>
      </c>
      <c r="D209" s="138">
        <f t="shared" ref="D209" si="72">IF(((B209="")*AND(C209="")),"",(C209-B209))</f>
        <v>10</v>
      </c>
      <c r="E209" s="132">
        <v>0</v>
      </c>
      <c r="F209" s="19">
        <v>4</v>
      </c>
      <c r="G209" s="145">
        <f t="shared" si="39"/>
        <v>4</v>
      </c>
      <c r="H209" s="136">
        <v>0</v>
      </c>
      <c r="I209" s="19">
        <v>3</v>
      </c>
      <c r="J209" s="138">
        <f t="shared" si="40"/>
        <v>3</v>
      </c>
      <c r="K209" s="147" t="str">
        <f t="shared" ref="K209" si="73">IF((D209=""),"",IF(D209&lt;=N209,"Pass","Fail"))</f>
        <v>Pass</v>
      </c>
      <c r="L209" s="19">
        <v>1335</v>
      </c>
      <c r="M209" s="17">
        <v>100</v>
      </c>
      <c r="N209" s="17">
        <v>23</v>
      </c>
      <c r="O209" s="22" t="s">
        <v>407</v>
      </c>
      <c r="P209" s="7"/>
      <c r="Q209" s="7"/>
      <c r="R209" s="7"/>
    </row>
    <row r="210" spans="1:18">
      <c r="A210" s="129">
        <v>44015</v>
      </c>
      <c r="B210" s="136">
        <v>2</v>
      </c>
      <c r="C210" s="19">
        <v>3</v>
      </c>
      <c r="D210" s="138">
        <f t="shared" ref="D210" si="74">IF(((B210="")*AND(C210="")),"",(C210-B210))</f>
        <v>1</v>
      </c>
      <c r="E210" s="132">
        <v>0</v>
      </c>
      <c r="F210" s="19">
        <v>0</v>
      </c>
      <c r="G210" s="145">
        <f t="shared" si="39"/>
        <v>0</v>
      </c>
      <c r="H210" s="136">
        <v>0</v>
      </c>
      <c r="I210" s="19">
        <v>0</v>
      </c>
      <c r="J210" s="138">
        <f t="shared" si="40"/>
        <v>0</v>
      </c>
      <c r="K210" s="147" t="str">
        <f t="shared" ref="K210" si="75">IF((D210=""),"",IF(D210&lt;=N210,"Pass","Fail"))</f>
        <v>Pass</v>
      </c>
      <c r="L210" s="19">
        <v>1159</v>
      </c>
      <c r="M210" s="17">
        <v>100</v>
      </c>
      <c r="N210" s="17">
        <v>23</v>
      </c>
      <c r="O210" s="22" t="s">
        <v>410</v>
      </c>
      <c r="P210" s="7"/>
      <c r="Q210" s="7"/>
      <c r="R210" s="7"/>
    </row>
    <row r="211" spans="1:18">
      <c r="A211" s="129">
        <v>44019</v>
      </c>
      <c r="B211" s="136">
        <v>0</v>
      </c>
      <c r="C211" s="19">
        <v>23</v>
      </c>
      <c r="D211" s="138">
        <f t="shared" ref="D211" si="76">IF(((B211="")*AND(C211="")),"",(C211-B211))</f>
        <v>23</v>
      </c>
      <c r="E211" s="132">
        <v>0</v>
      </c>
      <c r="F211" s="19">
        <v>0</v>
      </c>
      <c r="G211" s="145">
        <f t="shared" si="39"/>
        <v>0</v>
      </c>
      <c r="H211" s="136">
        <v>0</v>
      </c>
      <c r="I211" s="19">
        <v>0</v>
      </c>
      <c r="J211" s="138">
        <f t="shared" si="40"/>
        <v>0</v>
      </c>
      <c r="K211" s="147" t="str">
        <f t="shared" ref="K211" si="77">IF((D211=""),"",IF(D211&lt;=N211,"Pass","Fail"))</f>
        <v>Pass</v>
      </c>
      <c r="L211" s="19">
        <v>1340</v>
      </c>
      <c r="M211" s="17">
        <v>100</v>
      </c>
      <c r="N211" s="17">
        <v>23</v>
      </c>
      <c r="O211" s="22" t="s">
        <v>412</v>
      </c>
      <c r="P211" s="7"/>
      <c r="Q211" s="7"/>
      <c r="R211" s="7"/>
    </row>
    <row r="212" spans="1:18">
      <c r="A212" s="129">
        <v>44023</v>
      </c>
      <c r="B212" s="136">
        <v>14</v>
      </c>
      <c r="C212" s="19">
        <v>87</v>
      </c>
      <c r="D212" s="138">
        <f t="shared" ref="D212" si="78">IF(((B212="")*AND(C212="")),"",(C212-B212))</f>
        <v>73</v>
      </c>
      <c r="E212" s="132"/>
      <c r="F212" s="19"/>
      <c r="G212" s="145"/>
      <c r="H212" s="136"/>
      <c r="I212" s="19"/>
      <c r="J212" s="138"/>
      <c r="K212" s="147" t="str">
        <f t="shared" ref="K212" si="79">IF((D212=""),"",IF(D212&lt;=N212,"Pass","Fail"))</f>
        <v>Fail</v>
      </c>
      <c r="L212" s="19">
        <v>1335</v>
      </c>
      <c r="M212" s="17">
        <v>100</v>
      </c>
      <c r="N212" s="17">
        <v>23</v>
      </c>
      <c r="O212" s="22" t="s">
        <v>414</v>
      </c>
      <c r="P212" s="7"/>
      <c r="Q212" s="7"/>
      <c r="R212" s="7"/>
    </row>
    <row r="213" spans="1:18">
      <c r="A213" s="129">
        <v>44023</v>
      </c>
      <c r="B213" s="136">
        <v>2</v>
      </c>
      <c r="C213" s="19">
        <v>7</v>
      </c>
      <c r="D213" s="138">
        <f t="shared" ref="D213" si="80">IF(((B213="")*AND(C213="")),"",(C213-B213))</f>
        <v>5</v>
      </c>
      <c r="E213" s="132">
        <v>0</v>
      </c>
      <c r="F213" s="19">
        <v>2</v>
      </c>
      <c r="G213" s="145">
        <f t="shared" si="39"/>
        <v>2</v>
      </c>
      <c r="H213" s="136">
        <v>0</v>
      </c>
      <c r="I213" s="19">
        <v>1</v>
      </c>
      <c r="J213" s="138">
        <f t="shared" si="40"/>
        <v>1</v>
      </c>
      <c r="K213" s="147" t="str">
        <f t="shared" ref="K213" si="81">IF((D213=""),"",IF(D213&lt;=N213,"Pass","Fail"))</f>
        <v>Pass</v>
      </c>
      <c r="L213" s="19">
        <v>1428</v>
      </c>
      <c r="M213" s="17">
        <v>100</v>
      </c>
      <c r="N213" s="17">
        <v>23</v>
      </c>
      <c r="O213" s="22" t="s">
        <v>415</v>
      </c>
      <c r="P213" s="7"/>
      <c r="Q213" s="7"/>
      <c r="R213" s="7"/>
    </row>
    <row r="214" spans="1:18">
      <c r="A214" s="129">
        <v>44028</v>
      </c>
      <c r="B214" s="136">
        <v>13</v>
      </c>
      <c r="C214" s="19">
        <v>3</v>
      </c>
      <c r="D214" s="138">
        <f t="shared" ref="D214" si="82">IF(((B214="")*AND(C214="")),"",(C214-B214))</f>
        <v>-10</v>
      </c>
      <c r="E214" s="132">
        <v>0</v>
      </c>
      <c r="F214" s="19">
        <v>1</v>
      </c>
      <c r="G214" s="145">
        <f t="shared" si="39"/>
        <v>1</v>
      </c>
      <c r="H214" s="136">
        <v>0</v>
      </c>
      <c r="I214" s="19">
        <v>1</v>
      </c>
      <c r="J214" s="138">
        <f t="shared" si="40"/>
        <v>1</v>
      </c>
      <c r="K214" s="147" t="str">
        <f t="shared" ref="K214" si="83">IF((D214=""),"",IF(D214&lt;=N214,"Pass","Fail"))</f>
        <v>Pass</v>
      </c>
      <c r="L214" s="19">
        <v>1159</v>
      </c>
      <c r="M214" s="17">
        <v>100</v>
      </c>
      <c r="N214" s="17">
        <v>23</v>
      </c>
      <c r="O214" s="22" t="s">
        <v>417</v>
      </c>
      <c r="P214" s="7"/>
      <c r="Q214" s="7"/>
      <c r="R214" s="7"/>
    </row>
    <row r="215" spans="1:18">
      <c r="A215" s="129">
        <v>44032</v>
      </c>
      <c r="B215" s="136">
        <v>6</v>
      </c>
      <c r="C215" s="19">
        <v>8</v>
      </c>
      <c r="D215" s="138">
        <f t="shared" ref="D215" si="84">IF(((B215="")*AND(C215="")),"",(C215-B215))</f>
        <v>2</v>
      </c>
      <c r="E215" s="132">
        <v>0</v>
      </c>
      <c r="F215" s="19">
        <v>1</v>
      </c>
      <c r="G215" s="145">
        <f t="shared" si="39"/>
        <v>1</v>
      </c>
      <c r="H215" s="136">
        <v>0</v>
      </c>
      <c r="I215" s="19">
        <v>9</v>
      </c>
      <c r="J215" s="138">
        <f t="shared" si="40"/>
        <v>9</v>
      </c>
      <c r="K215" s="147" t="str">
        <f t="shared" ref="K215" si="85">IF((D215=""),"",IF(D215&lt;=N215,"Pass","Fail"))</f>
        <v>Pass</v>
      </c>
      <c r="L215" s="19">
        <v>1340</v>
      </c>
      <c r="M215" s="17">
        <v>100</v>
      </c>
      <c r="N215" s="17">
        <v>23</v>
      </c>
      <c r="O215" s="22" t="s">
        <v>419</v>
      </c>
      <c r="P215" s="7"/>
      <c r="Q215" s="7"/>
      <c r="R215" s="7"/>
    </row>
    <row r="216" spans="1:18">
      <c r="A216" s="129">
        <v>44036</v>
      </c>
      <c r="B216" s="136">
        <v>10</v>
      </c>
      <c r="C216" s="19">
        <v>28</v>
      </c>
      <c r="D216" s="138">
        <f t="shared" ref="D216" si="86">IF(((B216="")*AND(C216="")),"",(C216-B216))</f>
        <v>18</v>
      </c>
      <c r="E216" s="132"/>
      <c r="F216" s="19"/>
      <c r="G216" s="145"/>
      <c r="H216" s="136"/>
      <c r="I216" s="19"/>
      <c r="J216" s="138"/>
      <c r="K216" s="147" t="str">
        <f t="shared" ref="K216" si="87">IF((D216=""),"",IF(D216&lt;=N216,"Pass","Fail"))</f>
        <v>Pass</v>
      </c>
      <c r="L216" s="19">
        <v>1340</v>
      </c>
      <c r="M216" s="17">
        <v>100</v>
      </c>
      <c r="N216" s="17">
        <v>23</v>
      </c>
      <c r="O216" s="22" t="s">
        <v>421</v>
      </c>
      <c r="P216" s="7"/>
      <c r="Q216" s="7"/>
      <c r="R216" s="7"/>
    </row>
    <row r="217" spans="1:18">
      <c r="A217" s="129">
        <v>44040</v>
      </c>
      <c r="B217" s="136">
        <v>13</v>
      </c>
      <c r="C217" s="19">
        <v>40</v>
      </c>
      <c r="D217" s="138">
        <f t="shared" ref="D217" si="88">IF(((B217="")*AND(C217="")),"",(C217-B217))</f>
        <v>27</v>
      </c>
      <c r="E217" s="132">
        <v>0</v>
      </c>
      <c r="F217" s="19">
        <v>12</v>
      </c>
      <c r="G217" s="145">
        <f t="shared" si="39"/>
        <v>12</v>
      </c>
      <c r="H217" s="136">
        <v>0</v>
      </c>
      <c r="I217" s="19">
        <v>4</v>
      </c>
      <c r="J217" s="138">
        <f t="shared" si="40"/>
        <v>4</v>
      </c>
      <c r="K217" s="147" t="str">
        <f t="shared" ref="K217" si="89">IF((D217=""),"",IF(D217&lt;=N217,"Pass","Fail"))</f>
        <v>Fail</v>
      </c>
      <c r="L217" s="19">
        <v>102</v>
      </c>
      <c r="M217" s="17">
        <v>100</v>
      </c>
      <c r="N217" s="17">
        <v>23</v>
      </c>
      <c r="O217" s="22" t="s">
        <v>423</v>
      </c>
      <c r="P217" s="7"/>
      <c r="Q217" s="7"/>
      <c r="R217" s="7"/>
    </row>
    <row r="218" spans="1:18">
      <c r="A218" s="129">
        <v>44040</v>
      </c>
      <c r="B218" s="136">
        <v>2</v>
      </c>
      <c r="C218" s="19">
        <v>28</v>
      </c>
      <c r="D218" s="138">
        <f t="shared" ref="D218" si="90">IF(((B218="")*AND(C218="")),"",(C218-B218))</f>
        <v>26</v>
      </c>
      <c r="E218" s="132">
        <v>0</v>
      </c>
      <c r="F218" s="19">
        <v>8</v>
      </c>
      <c r="G218" s="145">
        <f t="shared" si="39"/>
        <v>8</v>
      </c>
      <c r="H218" s="136">
        <v>0</v>
      </c>
      <c r="I218" s="19">
        <v>4</v>
      </c>
      <c r="J218" s="138">
        <f t="shared" si="40"/>
        <v>4</v>
      </c>
      <c r="K218" s="147" t="str">
        <f t="shared" ref="K218" si="91">IF((D218=""),"",IF(D218&lt;=N218,"Pass","Fail"))</f>
        <v>Fail</v>
      </c>
      <c r="L218" s="19">
        <v>102</v>
      </c>
      <c r="M218" s="17">
        <v>100</v>
      </c>
      <c r="N218" s="17">
        <v>23</v>
      </c>
      <c r="O218" s="22" t="s">
        <v>424</v>
      </c>
      <c r="P218" s="7" t="s">
        <v>469</v>
      </c>
      <c r="Q218" s="7"/>
      <c r="R218" s="7"/>
    </row>
    <row r="219" spans="1:18">
      <c r="A219" s="129">
        <v>44040</v>
      </c>
      <c r="B219" s="136">
        <v>1</v>
      </c>
      <c r="C219" s="19">
        <v>2</v>
      </c>
      <c r="D219" s="138">
        <f t="shared" ref="D219" si="92">IF(((B219="")*AND(C219="")),"",(C219-B219))</f>
        <v>1</v>
      </c>
      <c r="E219" s="132">
        <v>0</v>
      </c>
      <c r="F219" s="19">
        <v>1</v>
      </c>
      <c r="G219" s="145">
        <f t="shared" si="39"/>
        <v>1</v>
      </c>
      <c r="H219" s="136">
        <v>0</v>
      </c>
      <c r="I219" s="19">
        <v>1</v>
      </c>
      <c r="J219" s="138">
        <f t="shared" si="40"/>
        <v>1</v>
      </c>
      <c r="K219" s="147" t="str">
        <f t="shared" ref="K219" si="93">IF((D219=""),"",IF(D219&lt;=N219,"Pass","Fail"))</f>
        <v>Pass</v>
      </c>
      <c r="L219" s="19">
        <v>1340</v>
      </c>
      <c r="M219" s="17">
        <v>100</v>
      </c>
      <c r="N219" s="17">
        <v>23</v>
      </c>
      <c r="O219" s="22" t="s">
        <v>425</v>
      </c>
      <c r="P219" s="7" t="s">
        <v>469</v>
      </c>
      <c r="Q219" s="7"/>
      <c r="R219" s="7"/>
    </row>
    <row r="220" spans="1:18">
      <c r="A220" s="129">
        <v>44040</v>
      </c>
      <c r="B220" s="136">
        <v>1</v>
      </c>
      <c r="C220" s="19">
        <v>5</v>
      </c>
      <c r="D220" s="138">
        <f t="shared" ref="D220" si="94">IF(((B220="")*AND(C220="")),"",(C220-B220))</f>
        <v>4</v>
      </c>
      <c r="E220" s="132">
        <v>0</v>
      </c>
      <c r="F220" s="19">
        <v>4</v>
      </c>
      <c r="G220" s="145">
        <f t="shared" si="39"/>
        <v>4</v>
      </c>
      <c r="H220" s="136">
        <v>0</v>
      </c>
      <c r="I220" s="19">
        <v>3</v>
      </c>
      <c r="J220" s="138">
        <f t="shared" si="40"/>
        <v>3</v>
      </c>
      <c r="K220" s="147" t="str">
        <f t="shared" ref="K220" si="95">IF((D220=""),"",IF(D220&lt;=N220,"Pass","Fail"))</f>
        <v>Pass</v>
      </c>
      <c r="L220" s="19">
        <v>1428</v>
      </c>
      <c r="M220" s="17">
        <v>100</v>
      </c>
      <c r="N220" s="17">
        <v>23</v>
      </c>
      <c r="O220" s="22" t="s">
        <v>427</v>
      </c>
      <c r="P220" s="7"/>
      <c r="Q220" s="7"/>
      <c r="R220" s="7"/>
    </row>
    <row r="221" spans="1:18">
      <c r="A221" s="129">
        <v>44042</v>
      </c>
      <c r="B221" s="136">
        <v>4</v>
      </c>
      <c r="C221" s="19">
        <v>2</v>
      </c>
      <c r="D221" s="138">
        <f t="shared" ref="D221" si="96">IF(((B221="")*AND(C221="")),"",(C221-B221))</f>
        <v>-2</v>
      </c>
      <c r="E221" s="132">
        <v>0</v>
      </c>
      <c r="F221" s="19">
        <v>1</v>
      </c>
      <c r="G221" s="145">
        <f t="shared" si="39"/>
        <v>1</v>
      </c>
      <c r="H221" s="136">
        <v>0</v>
      </c>
      <c r="I221" s="19">
        <v>1</v>
      </c>
      <c r="J221" s="138">
        <f t="shared" si="40"/>
        <v>1</v>
      </c>
      <c r="K221" s="147" t="str">
        <f t="shared" ref="K221" si="97">IF((D221=""),"",IF(D221&lt;=N221,"Pass","Fail"))</f>
        <v>Pass</v>
      </c>
      <c r="L221" s="19" t="s">
        <v>428</v>
      </c>
      <c r="M221" s="17">
        <v>100</v>
      </c>
      <c r="N221" s="17">
        <v>23</v>
      </c>
      <c r="O221" s="22" t="s">
        <v>429</v>
      </c>
      <c r="P221" s="7"/>
      <c r="Q221" s="7"/>
      <c r="R221" s="7"/>
    </row>
    <row r="222" spans="1:18">
      <c r="A222" s="129">
        <v>44046</v>
      </c>
      <c r="B222" s="136">
        <v>3</v>
      </c>
      <c r="C222" s="19">
        <v>7</v>
      </c>
      <c r="D222" s="138">
        <f t="shared" ref="D222" si="98">IF(((B222="")*AND(C222="")),"",(C222-B222))</f>
        <v>4</v>
      </c>
      <c r="E222" s="132">
        <v>1</v>
      </c>
      <c r="F222" s="19">
        <v>2</v>
      </c>
      <c r="G222" s="145">
        <f t="shared" si="39"/>
        <v>1</v>
      </c>
      <c r="H222" s="136">
        <v>1</v>
      </c>
      <c r="I222" s="19">
        <v>2</v>
      </c>
      <c r="J222" s="138">
        <f t="shared" si="40"/>
        <v>1</v>
      </c>
      <c r="K222" s="147" t="str">
        <f t="shared" ref="K222" si="99">IF((D222=""),"",IF(D222&lt;=N222,"Pass","Fail"))</f>
        <v>Pass</v>
      </c>
      <c r="L222" s="19">
        <v>74</v>
      </c>
      <c r="M222" s="17">
        <v>100</v>
      </c>
      <c r="N222" s="17">
        <v>23</v>
      </c>
      <c r="O222" s="22" t="s">
        <v>429</v>
      </c>
      <c r="P222" s="7"/>
      <c r="Q222" s="7"/>
      <c r="R222" s="7"/>
    </row>
    <row r="223" spans="1:18">
      <c r="A223" s="129">
        <v>44050</v>
      </c>
      <c r="B223" s="136">
        <v>1</v>
      </c>
      <c r="C223" s="19">
        <v>0</v>
      </c>
      <c r="D223" s="138">
        <f t="shared" ref="D223" si="100">IF(((B223="")*AND(C223="")),"",(C223-B223))</f>
        <v>-1</v>
      </c>
      <c r="E223" s="132">
        <v>0</v>
      </c>
      <c r="F223" s="19">
        <v>0</v>
      </c>
      <c r="G223" s="145">
        <f t="shared" si="39"/>
        <v>0</v>
      </c>
      <c r="H223" s="136">
        <v>0</v>
      </c>
      <c r="I223" s="19">
        <v>0</v>
      </c>
      <c r="J223" s="138">
        <f t="shared" si="40"/>
        <v>0</v>
      </c>
      <c r="K223" s="147" t="str">
        <f t="shared" ref="K223" si="101">IF((D223=""),"",IF(D223&lt;=N223,"Pass","Fail"))</f>
        <v>Pass</v>
      </c>
      <c r="L223" s="19">
        <v>1159</v>
      </c>
      <c r="M223" s="17">
        <v>100</v>
      </c>
      <c r="N223" s="17">
        <v>23</v>
      </c>
      <c r="O223" s="22" t="s">
        <v>433</v>
      </c>
      <c r="P223" s="7"/>
      <c r="Q223" s="7"/>
      <c r="R223" s="7"/>
    </row>
    <row r="224" spans="1:18">
      <c r="A224" s="129">
        <v>44056</v>
      </c>
      <c r="B224" s="141">
        <v>2</v>
      </c>
      <c r="C224" s="126">
        <v>3</v>
      </c>
      <c r="D224" s="142">
        <f t="shared" ref="D224:D225" si="102">IF(((B224="")*AND(C224="")),"",(C224-B224))</f>
        <v>1</v>
      </c>
      <c r="E224" s="133">
        <v>1</v>
      </c>
      <c r="F224" s="126">
        <v>1</v>
      </c>
      <c r="G224" s="145">
        <f t="shared" si="39"/>
        <v>0</v>
      </c>
      <c r="H224" s="141">
        <v>1</v>
      </c>
      <c r="I224" s="126">
        <v>1</v>
      </c>
      <c r="J224" s="138">
        <f t="shared" si="40"/>
        <v>0</v>
      </c>
      <c r="K224" s="148" t="str">
        <f t="shared" ref="K224" si="103">IF((D224=""),"",IF(D224&lt;=N224,"Pass","Fail"))</f>
        <v>Pass</v>
      </c>
      <c r="L224" s="126">
        <v>1159</v>
      </c>
      <c r="M224" s="127">
        <v>100</v>
      </c>
      <c r="N224" s="17">
        <v>23</v>
      </c>
      <c r="O224" s="22" t="s">
        <v>433</v>
      </c>
      <c r="P224" s="7"/>
      <c r="Q224" s="7"/>
      <c r="R224" s="7"/>
    </row>
    <row r="225" spans="1:18">
      <c r="A225" s="129">
        <v>44060</v>
      </c>
      <c r="B225" s="136">
        <v>5</v>
      </c>
      <c r="C225" s="19">
        <v>9</v>
      </c>
      <c r="D225" s="138">
        <f t="shared" si="102"/>
        <v>4</v>
      </c>
      <c r="E225" s="132">
        <v>1</v>
      </c>
      <c r="F225" s="19">
        <v>2</v>
      </c>
      <c r="G225" s="145">
        <f t="shared" si="39"/>
        <v>1</v>
      </c>
      <c r="H225" s="136">
        <v>1</v>
      </c>
      <c r="I225" s="19">
        <v>1</v>
      </c>
      <c r="J225" s="138">
        <f t="shared" si="40"/>
        <v>0</v>
      </c>
      <c r="K225" s="147" t="str">
        <f t="shared" ref="K225" si="104">IF((D225=""),"",IF(D225&lt;=N225,"Pass","Fail"))</f>
        <v>Pass</v>
      </c>
      <c r="L225" s="19">
        <v>1534</v>
      </c>
      <c r="M225" s="17">
        <v>100</v>
      </c>
      <c r="N225" s="17">
        <v>23</v>
      </c>
      <c r="O225" s="22" t="s">
        <v>436</v>
      </c>
      <c r="P225" s="7"/>
      <c r="Q225" s="7"/>
      <c r="R225" s="7"/>
    </row>
    <row r="226" spans="1:18">
      <c r="A226" s="129">
        <v>44064</v>
      </c>
      <c r="B226" s="136">
        <v>2</v>
      </c>
      <c r="C226" s="19"/>
      <c r="D226" s="138"/>
      <c r="E226" s="132">
        <v>0</v>
      </c>
      <c r="F226" s="19">
        <v>2</v>
      </c>
      <c r="G226" s="145">
        <f t="shared" si="39"/>
        <v>2</v>
      </c>
      <c r="H226" s="136">
        <v>1</v>
      </c>
      <c r="I226" s="19">
        <v>1</v>
      </c>
      <c r="J226" s="138">
        <f t="shared" si="40"/>
        <v>0</v>
      </c>
      <c r="K226" s="147" t="str">
        <f t="shared" ref="K226:K227" si="105">IF((D226=""),"",IF(D226&lt;=N226,"Pass","Fail"))</f>
        <v/>
      </c>
      <c r="L226" s="19">
        <v>1335</v>
      </c>
      <c r="M226" s="17">
        <v>100</v>
      </c>
      <c r="N226" s="17">
        <v>23</v>
      </c>
      <c r="O226" s="22" t="s">
        <v>438</v>
      </c>
      <c r="P226" s="7"/>
      <c r="Q226" s="7"/>
      <c r="R226" s="7"/>
    </row>
    <row r="227" spans="1:18">
      <c r="A227" s="129">
        <v>44074</v>
      </c>
      <c r="B227" s="136">
        <v>6</v>
      </c>
      <c r="C227" s="19">
        <v>10</v>
      </c>
      <c r="D227" s="138">
        <f t="shared" ref="D227" si="106">IF(((B227="")*AND(C227="")),"",(C227-B227))</f>
        <v>4</v>
      </c>
      <c r="E227" s="132">
        <v>0</v>
      </c>
      <c r="F227" s="19">
        <v>2</v>
      </c>
      <c r="G227" s="145">
        <f t="shared" si="39"/>
        <v>2</v>
      </c>
      <c r="H227" s="136">
        <v>0</v>
      </c>
      <c r="I227" s="19">
        <v>2</v>
      </c>
      <c r="J227" s="138">
        <f t="shared" si="40"/>
        <v>2</v>
      </c>
      <c r="K227" s="147" t="str">
        <f t="shared" si="105"/>
        <v>Pass</v>
      </c>
      <c r="L227" s="19">
        <v>74</v>
      </c>
      <c r="M227" s="17">
        <v>100</v>
      </c>
      <c r="N227" s="17">
        <v>23</v>
      </c>
      <c r="O227" s="22" t="s">
        <v>429</v>
      </c>
      <c r="P227" s="7"/>
      <c r="Q227" s="7"/>
      <c r="R227" s="7"/>
    </row>
    <row r="228" spans="1:18">
      <c r="A228" s="129">
        <v>44078</v>
      </c>
      <c r="B228" s="136">
        <v>10</v>
      </c>
      <c r="C228" s="19">
        <v>13</v>
      </c>
      <c r="D228" s="138">
        <f t="shared" ref="D228" si="107">IF(((B228="")*AND(C228="")),"",(C228-B228))</f>
        <v>3</v>
      </c>
      <c r="E228" s="132">
        <v>3</v>
      </c>
      <c r="F228" s="19">
        <v>4</v>
      </c>
      <c r="G228" s="145">
        <f t="shared" si="39"/>
        <v>1</v>
      </c>
      <c r="H228" s="136">
        <v>3</v>
      </c>
      <c r="I228" s="19">
        <v>4</v>
      </c>
      <c r="J228" s="138">
        <f t="shared" si="40"/>
        <v>1</v>
      </c>
      <c r="K228" s="147" t="str">
        <f t="shared" ref="K228" si="108">IF((D228=""),"",IF(D228&lt;=N228,"Pass","Fail"))</f>
        <v>Pass</v>
      </c>
      <c r="L228" s="19">
        <v>74</v>
      </c>
      <c r="M228" s="17">
        <v>100</v>
      </c>
      <c r="N228" s="17">
        <v>23</v>
      </c>
      <c r="O228" s="22" t="s">
        <v>441</v>
      </c>
      <c r="P228" s="7"/>
      <c r="Q228" s="7"/>
      <c r="R228" s="7"/>
    </row>
    <row r="229" spans="1:18">
      <c r="A229" s="129">
        <v>44082</v>
      </c>
      <c r="B229" s="136">
        <v>7</v>
      </c>
      <c r="C229" s="19">
        <v>9</v>
      </c>
      <c r="D229" s="138">
        <f t="shared" ref="D229" si="109">IF(((B229="")*AND(C229="")),"",(C229-B229))</f>
        <v>2</v>
      </c>
      <c r="E229" s="132"/>
      <c r="F229" s="19"/>
      <c r="G229" s="145"/>
      <c r="H229" s="136"/>
      <c r="I229" s="19"/>
      <c r="J229" s="138"/>
      <c r="K229" s="147" t="str">
        <f t="shared" ref="K229" si="110">IF((D229=""),"",IF(D229&lt;=N229,"Pass","Fail"))</f>
        <v>Pass</v>
      </c>
      <c r="L229" s="19">
        <v>1159</v>
      </c>
      <c r="M229" s="17">
        <v>100</v>
      </c>
      <c r="N229" s="17">
        <v>23</v>
      </c>
      <c r="O229" s="22" t="s">
        <v>443</v>
      </c>
      <c r="P229" s="7"/>
      <c r="Q229" s="7"/>
      <c r="R229" s="7"/>
    </row>
    <row r="230" spans="1:18">
      <c r="A230" s="129">
        <v>44083</v>
      </c>
      <c r="B230" s="136">
        <v>2</v>
      </c>
      <c r="C230" s="19"/>
      <c r="D230" s="138">
        <f t="shared" ref="D230" si="111">IF(((B230="")*AND(C230="")),"",(C230-B230))</f>
        <v>-2</v>
      </c>
      <c r="E230" s="132"/>
      <c r="F230" s="19"/>
      <c r="G230" s="145"/>
      <c r="H230" s="136"/>
      <c r="I230" s="19"/>
      <c r="J230" s="138"/>
      <c r="K230" s="147" t="str">
        <f t="shared" ref="K230" si="112">IF((D230=""),"",IF(D230&lt;=N230,"Pass","Fail"))</f>
        <v>Pass</v>
      </c>
      <c r="L230" s="19">
        <v>64</v>
      </c>
      <c r="M230" s="17">
        <v>100</v>
      </c>
      <c r="N230" s="17">
        <v>23</v>
      </c>
      <c r="O230" s="22" t="s">
        <v>443</v>
      </c>
      <c r="P230" s="7" t="s">
        <v>445</v>
      </c>
      <c r="Q230" s="7"/>
      <c r="R230" s="7"/>
    </row>
    <row r="231" spans="1:18">
      <c r="A231" s="129">
        <v>44086</v>
      </c>
      <c r="B231" s="136">
        <v>6</v>
      </c>
      <c r="C231" s="19">
        <v>10</v>
      </c>
      <c r="D231" s="138">
        <f t="shared" ref="D231" si="113">IF(((B231="")*AND(C231="")),"",(C231-B231))</f>
        <v>4</v>
      </c>
      <c r="E231" s="132">
        <v>1</v>
      </c>
      <c r="F231" s="19">
        <v>6</v>
      </c>
      <c r="G231" s="145">
        <f t="shared" si="39"/>
        <v>5</v>
      </c>
      <c r="H231" s="136">
        <v>1</v>
      </c>
      <c r="I231" s="19">
        <v>2</v>
      </c>
      <c r="J231" s="138">
        <f t="shared" si="40"/>
        <v>1</v>
      </c>
      <c r="K231" s="147" t="str">
        <f t="shared" ref="K231" si="114">IF((D231=""),"",IF(D231&lt;=N231,"Pass","Fail"))</f>
        <v>Pass</v>
      </c>
      <c r="L231" s="19">
        <v>102</v>
      </c>
      <c r="M231" s="17">
        <v>100</v>
      </c>
      <c r="N231" s="17">
        <v>23</v>
      </c>
      <c r="O231" s="22" t="s">
        <v>447</v>
      </c>
      <c r="P231" s="7"/>
      <c r="Q231" s="7"/>
      <c r="R231" s="7"/>
    </row>
    <row r="232" spans="1:18">
      <c r="A232" s="129">
        <v>44091</v>
      </c>
      <c r="B232" s="136">
        <v>0</v>
      </c>
      <c r="C232" s="19">
        <v>5</v>
      </c>
      <c r="D232" s="138">
        <f t="shared" ref="D232" si="115">IF(((B232="")*AND(C232="")),"",(C232-B232))</f>
        <v>5</v>
      </c>
      <c r="E232" s="132">
        <v>0</v>
      </c>
      <c r="F232" s="19">
        <v>4</v>
      </c>
      <c r="G232" s="145">
        <f t="shared" si="39"/>
        <v>4</v>
      </c>
      <c r="H232" s="136">
        <v>0</v>
      </c>
      <c r="I232" s="19">
        <v>2</v>
      </c>
      <c r="J232" s="138">
        <f t="shared" si="40"/>
        <v>2</v>
      </c>
      <c r="K232" s="147" t="str">
        <f t="shared" ref="K232" si="116">IF((D232=""),"",IF(D232&lt;=N232,"Pass","Fail"))</f>
        <v>Pass</v>
      </c>
      <c r="L232" s="19" t="s">
        <v>242</v>
      </c>
      <c r="M232" s="17">
        <v>100</v>
      </c>
      <c r="N232" s="17">
        <v>23</v>
      </c>
      <c r="O232" s="22" t="s">
        <v>400</v>
      </c>
      <c r="P232" s="7"/>
      <c r="Q232" s="7"/>
      <c r="R232" s="7"/>
    </row>
    <row r="233" spans="1:18">
      <c r="A233" s="129">
        <v>44091</v>
      </c>
      <c r="B233" s="136">
        <v>6</v>
      </c>
      <c r="C233" s="19">
        <v>9</v>
      </c>
      <c r="D233" s="138">
        <f t="shared" ref="D233:D234" si="117">IF(((B233="")*AND(C233="")),"",(C233-B233))</f>
        <v>3</v>
      </c>
      <c r="E233" s="132">
        <v>6</v>
      </c>
      <c r="F233" s="19">
        <v>8</v>
      </c>
      <c r="G233" s="145">
        <f t="shared" si="39"/>
        <v>2</v>
      </c>
      <c r="H233" s="136">
        <v>4</v>
      </c>
      <c r="I233" s="19">
        <v>6</v>
      </c>
      <c r="J233" s="138">
        <f t="shared" si="40"/>
        <v>2</v>
      </c>
      <c r="K233" s="147" t="str">
        <f t="shared" ref="K233:K234" si="118">IF((D233=""),"",IF(D233&lt;=N233,"Pass","Fail"))</f>
        <v>Pass</v>
      </c>
      <c r="L233" s="19">
        <v>1428</v>
      </c>
      <c r="M233" s="17">
        <v>100</v>
      </c>
      <c r="N233" s="17">
        <v>23</v>
      </c>
      <c r="O233" s="22" t="s">
        <v>449</v>
      </c>
      <c r="P233" s="7"/>
      <c r="Q233" s="7"/>
      <c r="R233" s="7"/>
    </row>
    <row r="234" spans="1:18">
      <c r="A234" s="129">
        <v>44102</v>
      </c>
      <c r="B234" s="136">
        <v>5</v>
      </c>
      <c r="C234" s="19">
        <v>8</v>
      </c>
      <c r="D234" s="138">
        <f t="shared" si="117"/>
        <v>3</v>
      </c>
      <c r="E234" s="132">
        <v>3</v>
      </c>
      <c r="F234" s="19">
        <v>4</v>
      </c>
      <c r="G234" s="145">
        <f t="shared" si="39"/>
        <v>1</v>
      </c>
      <c r="H234" s="136">
        <v>3</v>
      </c>
      <c r="I234" s="19">
        <v>4</v>
      </c>
      <c r="J234" s="138">
        <f t="shared" si="40"/>
        <v>1</v>
      </c>
      <c r="K234" s="147" t="str">
        <f t="shared" si="118"/>
        <v>Pass</v>
      </c>
      <c r="L234" s="19">
        <v>74</v>
      </c>
      <c r="M234" s="17">
        <v>100</v>
      </c>
      <c r="N234" s="17">
        <v>23</v>
      </c>
      <c r="O234" s="22" t="s">
        <v>441</v>
      </c>
      <c r="P234" s="7"/>
      <c r="Q234" s="7"/>
      <c r="R234" s="7"/>
    </row>
    <row r="235" spans="1:18">
      <c r="A235" s="129">
        <v>44106</v>
      </c>
      <c r="B235" s="136">
        <v>4</v>
      </c>
      <c r="C235" s="19">
        <v>10</v>
      </c>
      <c r="D235" s="138">
        <f t="shared" ref="D235" si="119">IF(((B235="")*AND(C235="")),"",(C235-B235))</f>
        <v>6</v>
      </c>
      <c r="E235" s="132">
        <v>1</v>
      </c>
      <c r="F235" s="19">
        <v>3</v>
      </c>
      <c r="G235" s="145">
        <f t="shared" si="39"/>
        <v>2</v>
      </c>
      <c r="H235" s="136">
        <v>0</v>
      </c>
      <c r="I235" s="19">
        <v>1</v>
      </c>
      <c r="J235" s="138">
        <f t="shared" si="40"/>
        <v>1</v>
      </c>
      <c r="K235" s="147" t="str">
        <f t="shared" ref="K235" si="120">IF((D235=""),"",IF(D235&lt;=N235,"Pass","Fail"))</f>
        <v>Pass</v>
      </c>
      <c r="L235" s="19">
        <v>1159</v>
      </c>
      <c r="M235" s="17">
        <v>100</v>
      </c>
      <c r="N235" s="17">
        <v>23</v>
      </c>
      <c r="O235" s="22" t="s">
        <v>452</v>
      </c>
      <c r="P235" s="7"/>
      <c r="Q235" s="7"/>
      <c r="R235" s="7"/>
    </row>
    <row r="236" spans="1:18">
      <c r="A236" s="129">
        <v>44111</v>
      </c>
      <c r="B236" s="136">
        <v>13</v>
      </c>
      <c r="C236" s="19">
        <v>15</v>
      </c>
      <c r="D236" s="138">
        <f t="shared" ref="D236" si="121">IF(((B236="")*AND(C236="")),"",(C236-B236))</f>
        <v>2</v>
      </c>
      <c r="E236" s="132">
        <v>7</v>
      </c>
      <c r="F236" s="19">
        <v>8</v>
      </c>
      <c r="G236" s="145">
        <f t="shared" si="39"/>
        <v>1</v>
      </c>
      <c r="H236" s="136">
        <v>3</v>
      </c>
      <c r="I236" s="19">
        <v>4</v>
      </c>
      <c r="J236" s="138">
        <f t="shared" si="40"/>
        <v>1</v>
      </c>
      <c r="K236" s="147" t="str">
        <f t="shared" ref="K236" si="122">IF((D236=""),"",IF(D236&lt;=N236,"Pass","Fail"))</f>
        <v>Pass</v>
      </c>
      <c r="L236" s="19">
        <v>1159</v>
      </c>
      <c r="M236" s="17">
        <v>100</v>
      </c>
      <c r="N236" s="17">
        <v>23</v>
      </c>
      <c r="O236" s="22" t="s">
        <v>454</v>
      </c>
      <c r="P236" s="7"/>
      <c r="Q236" s="7"/>
      <c r="R236" s="7"/>
    </row>
    <row r="237" spans="1:18">
      <c r="A237" s="129">
        <v>44116</v>
      </c>
      <c r="B237" s="136">
        <v>8</v>
      </c>
      <c r="C237" s="19">
        <v>7</v>
      </c>
      <c r="D237" s="138">
        <f t="shared" ref="D237" si="123">IF(((B237="")*AND(C237="")),"",(C237-B237))</f>
        <v>-1</v>
      </c>
      <c r="E237" s="132">
        <v>1</v>
      </c>
      <c r="F237" s="19">
        <v>1</v>
      </c>
      <c r="G237" s="145">
        <f t="shared" ref="G237" si="124">F237-E237</f>
        <v>0</v>
      </c>
      <c r="H237" s="136">
        <v>1</v>
      </c>
      <c r="I237" s="19">
        <v>1</v>
      </c>
      <c r="J237" s="138">
        <f t="shared" ref="J237" si="125">I237-H237</f>
        <v>0</v>
      </c>
      <c r="K237" s="147" t="str">
        <f t="shared" ref="K237" si="126">IF((D237=""),"",IF(D237&lt;=N237,"Pass","Fail"))</f>
        <v>Pass</v>
      </c>
      <c r="L237" s="19">
        <v>1159</v>
      </c>
      <c r="M237" s="17">
        <v>100</v>
      </c>
      <c r="N237" s="17">
        <v>23</v>
      </c>
      <c r="O237" s="22" t="s">
        <v>460</v>
      </c>
      <c r="P237" s="7"/>
      <c r="Q237" s="7"/>
      <c r="R237" s="7"/>
    </row>
    <row r="238" spans="1:18">
      <c r="A238" s="129">
        <v>44123</v>
      </c>
      <c r="B238" s="136">
        <v>12</v>
      </c>
      <c r="C238" s="19">
        <v>19</v>
      </c>
      <c r="D238" s="138">
        <f t="shared" ref="D238" si="127">IF(((B238="")*AND(C238="")),"",(C238-B238))</f>
        <v>7</v>
      </c>
      <c r="E238" s="132">
        <v>0</v>
      </c>
      <c r="F238" s="19">
        <v>1</v>
      </c>
      <c r="G238" s="145">
        <f t="shared" ref="G238" si="128">F238-E238</f>
        <v>1</v>
      </c>
      <c r="H238" s="136">
        <v>0</v>
      </c>
      <c r="I238" s="19">
        <v>0</v>
      </c>
      <c r="J238" s="138">
        <f t="shared" ref="J238" si="129">I238-H238</f>
        <v>0</v>
      </c>
      <c r="K238" s="147" t="str">
        <f t="shared" ref="K238" si="130">IF((D238=""),"",IF(D238&lt;=N238,"Pass","Fail"))</f>
        <v>Pass</v>
      </c>
      <c r="L238" s="19">
        <v>1335</v>
      </c>
      <c r="M238" s="17">
        <v>100</v>
      </c>
      <c r="N238" s="17">
        <v>23</v>
      </c>
      <c r="O238" s="22" t="s">
        <v>462</v>
      </c>
      <c r="P238" s="7"/>
      <c r="Q238" s="7"/>
      <c r="R238" s="7"/>
    </row>
    <row r="239" spans="1:18">
      <c r="A239" s="129">
        <v>44127</v>
      </c>
      <c r="B239" s="136">
        <v>12</v>
      </c>
      <c r="C239" s="19">
        <v>15</v>
      </c>
      <c r="D239" s="138">
        <f t="shared" ref="D239" si="131">IF(((B239="")*AND(C239="")),"",(C239-B239))</f>
        <v>3</v>
      </c>
      <c r="E239" s="132">
        <v>0</v>
      </c>
      <c r="F239" s="19">
        <v>0</v>
      </c>
      <c r="G239" s="145">
        <f t="shared" ref="G239" si="132">F239-E239</f>
        <v>0</v>
      </c>
      <c r="H239" s="136">
        <v>0</v>
      </c>
      <c r="I239" s="19">
        <v>0</v>
      </c>
      <c r="J239" s="138">
        <f t="shared" ref="J239" si="133">I239-H239</f>
        <v>0</v>
      </c>
      <c r="K239" s="147" t="str">
        <f t="shared" ref="K239" si="134">IF((D239=""),"",IF(D239&lt;=N239,"Pass","Fail"))</f>
        <v>Pass</v>
      </c>
      <c r="L239" s="19">
        <v>74</v>
      </c>
      <c r="M239" s="17">
        <v>100</v>
      </c>
      <c r="N239" s="17">
        <v>23</v>
      </c>
      <c r="O239" s="22" t="s">
        <v>464</v>
      </c>
      <c r="P239" s="7"/>
      <c r="Q239" s="7"/>
      <c r="R239" s="7"/>
    </row>
    <row r="240" spans="1:18">
      <c r="A240" s="129">
        <v>44132</v>
      </c>
      <c r="B240" s="136">
        <v>3</v>
      </c>
      <c r="C240" s="19">
        <v>23</v>
      </c>
      <c r="D240" s="138">
        <f t="shared" ref="D240" si="135">IF(((B240="")*AND(C240="")),"",(C240-B240))</f>
        <v>20</v>
      </c>
      <c r="E240" s="132">
        <v>0</v>
      </c>
      <c r="F240" s="19">
        <v>5</v>
      </c>
      <c r="G240" s="145">
        <f t="shared" ref="G240" si="136">F240-E240</f>
        <v>5</v>
      </c>
      <c r="H240" s="136">
        <v>0</v>
      </c>
      <c r="I240" s="19">
        <v>3</v>
      </c>
      <c r="J240" s="138">
        <f t="shared" ref="J240" si="137">I240-H240</f>
        <v>3</v>
      </c>
      <c r="K240" s="147" t="str">
        <f t="shared" ref="K240" si="138">IF((D240=""),"",IF(D240&lt;=N240,"Pass","Fail"))</f>
        <v>Pass</v>
      </c>
      <c r="L240" s="19">
        <v>1159</v>
      </c>
      <c r="M240" s="17">
        <v>100</v>
      </c>
      <c r="N240" s="17">
        <v>23</v>
      </c>
      <c r="O240" s="22" t="s">
        <v>470</v>
      </c>
      <c r="P240" s="7"/>
      <c r="Q240" s="7"/>
      <c r="R240" s="7"/>
    </row>
    <row r="241" spans="1:18">
      <c r="A241" s="129">
        <v>44146</v>
      </c>
      <c r="B241" s="136">
        <v>8</v>
      </c>
      <c r="C241" s="19">
        <v>45</v>
      </c>
      <c r="D241" s="138">
        <f t="shared" ref="D241" si="139">IF(((B241="")*AND(C241="")),"",(C241-B241))</f>
        <v>37</v>
      </c>
      <c r="E241" s="132">
        <v>0</v>
      </c>
      <c r="F241" s="19">
        <v>6</v>
      </c>
      <c r="G241" s="145">
        <f t="shared" ref="G241" si="140">F241-E241</f>
        <v>6</v>
      </c>
      <c r="H241" s="136">
        <v>0</v>
      </c>
      <c r="I241" s="19">
        <v>3</v>
      </c>
      <c r="J241" s="138">
        <f t="shared" ref="J241" si="141">I241-H241</f>
        <v>3</v>
      </c>
      <c r="K241" s="147" t="str">
        <f t="shared" ref="K241" si="142">IF((D241=""),"",IF(D241&lt;=N241,"Pass","Fail"))</f>
        <v>Fail</v>
      </c>
      <c r="L241" s="19">
        <v>74</v>
      </c>
      <c r="M241" s="17">
        <v>100</v>
      </c>
      <c r="N241" s="17">
        <v>23</v>
      </c>
      <c r="O241" s="22" t="s">
        <v>472</v>
      </c>
      <c r="P241" s="7"/>
      <c r="Q241" s="7"/>
      <c r="R241" s="7"/>
    </row>
    <row r="242" spans="1:18">
      <c r="A242" s="129">
        <v>44146</v>
      </c>
      <c r="B242" s="136">
        <v>7</v>
      </c>
      <c r="C242" s="19">
        <v>10</v>
      </c>
      <c r="D242" s="138">
        <f t="shared" ref="D242:D243" si="143">IF(((B242="")*AND(C242="")),"",(C242-B242))</f>
        <v>3</v>
      </c>
      <c r="E242" s="132">
        <v>0</v>
      </c>
      <c r="F242" s="19">
        <v>0</v>
      </c>
      <c r="G242" s="145">
        <f t="shared" ref="G242:G243" si="144">F242-E242</f>
        <v>0</v>
      </c>
      <c r="H242" s="136">
        <v>0</v>
      </c>
      <c r="I242" s="19">
        <v>0</v>
      </c>
      <c r="J242" s="138">
        <f t="shared" ref="J242:J243" si="145">I242-H242</f>
        <v>0</v>
      </c>
      <c r="K242" s="147" t="str">
        <f t="shared" ref="K242:K243" si="146">IF((D242=""),"",IF(D242&lt;=N242,"Pass","Fail"))</f>
        <v>Pass</v>
      </c>
      <c r="L242" s="19">
        <v>74</v>
      </c>
      <c r="M242" s="17">
        <v>100</v>
      </c>
      <c r="N242" s="17">
        <v>23</v>
      </c>
      <c r="O242" s="22" t="s">
        <v>473</v>
      </c>
      <c r="P242" s="7"/>
      <c r="Q242" s="7"/>
      <c r="R242" s="7"/>
    </row>
    <row r="243" spans="1:18">
      <c r="A243" s="129">
        <v>44146</v>
      </c>
      <c r="B243" s="136">
        <v>3</v>
      </c>
      <c r="C243" s="19">
        <v>4</v>
      </c>
      <c r="D243" s="138">
        <f t="shared" si="143"/>
        <v>1</v>
      </c>
      <c r="E243" s="132">
        <v>1</v>
      </c>
      <c r="F243" s="19">
        <v>1</v>
      </c>
      <c r="G243" s="145">
        <f t="shared" si="144"/>
        <v>0</v>
      </c>
      <c r="H243" s="136">
        <v>1</v>
      </c>
      <c r="I243" s="19">
        <v>0</v>
      </c>
      <c r="J243" s="138">
        <f t="shared" si="145"/>
        <v>-1</v>
      </c>
      <c r="K243" s="147" t="str">
        <f t="shared" si="146"/>
        <v>Pass</v>
      </c>
      <c r="L243" s="19">
        <v>1159</v>
      </c>
      <c r="M243" s="17">
        <v>100</v>
      </c>
      <c r="N243" s="17">
        <v>23</v>
      </c>
      <c r="O243" s="22" t="s">
        <v>474</v>
      </c>
      <c r="P243" s="7"/>
      <c r="Q243" s="7"/>
      <c r="R243" s="7"/>
    </row>
    <row r="244" spans="1:18">
      <c r="A244" s="129">
        <v>44151</v>
      </c>
      <c r="B244" s="136">
        <v>0</v>
      </c>
      <c r="C244" s="19">
        <v>7</v>
      </c>
      <c r="D244" s="138">
        <f t="shared" ref="D244" si="147">IF(((B244="")*AND(C244="")),"",(C244-B244))</f>
        <v>7</v>
      </c>
      <c r="E244" s="132">
        <v>0</v>
      </c>
      <c r="F244" s="19">
        <v>1</v>
      </c>
      <c r="G244" s="145">
        <f t="shared" ref="G244" si="148">F244-E244</f>
        <v>1</v>
      </c>
      <c r="H244" s="136">
        <v>0</v>
      </c>
      <c r="I244" s="19">
        <v>1</v>
      </c>
      <c r="J244" s="138">
        <f t="shared" ref="J244" si="149">I244-H244</f>
        <v>1</v>
      </c>
      <c r="K244" s="147" t="str">
        <f t="shared" ref="K244" si="150">IF((D244=""),"",IF(D244&lt;=N244,"Pass","Fail"))</f>
        <v>Pass</v>
      </c>
      <c r="L244" s="19">
        <v>1340</v>
      </c>
      <c r="M244" s="17">
        <v>100</v>
      </c>
      <c r="N244" s="17">
        <v>23</v>
      </c>
      <c r="O244" s="22" t="s">
        <v>475</v>
      </c>
      <c r="P244" s="7"/>
      <c r="Q244" s="7"/>
      <c r="R244" s="7"/>
    </row>
    <row r="245" spans="1:18">
      <c r="A245" s="129">
        <v>44155</v>
      </c>
      <c r="B245" s="136">
        <v>5</v>
      </c>
      <c r="C245" s="19">
        <v>9</v>
      </c>
      <c r="D245" s="138">
        <f t="shared" ref="D245" si="151">IF(((B245="")*AND(C245="")),"",(C245-B245))</f>
        <v>4</v>
      </c>
      <c r="E245" s="132">
        <v>0</v>
      </c>
      <c r="F245" s="19">
        <v>2</v>
      </c>
      <c r="G245" s="145">
        <f t="shared" ref="G245:G254" si="152">F245-E245</f>
        <v>2</v>
      </c>
      <c r="H245" s="136">
        <v>0</v>
      </c>
      <c r="I245" s="19">
        <v>2</v>
      </c>
      <c r="J245" s="138">
        <f t="shared" ref="J245:J247" si="153">I245-H245</f>
        <v>2</v>
      </c>
      <c r="K245" s="147" t="str">
        <f t="shared" ref="K245" si="154">IF((D245=""),"",IF(D245&lt;=N245,"Pass","Fail"))</f>
        <v>Pass</v>
      </c>
      <c r="L245" s="19">
        <v>1340</v>
      </c>
      <c r="M245" s="17">
        <v>100</v>
      </c>
      <c r="N245" s="17">
        <v>23</v>
      </c>
      <c r="O245" s="22" t="s">
        <v>477</v>
      </c>
      <c r="P245" s="7"/>
      <c r="Q245" s="7"/>
      <c r="R245" s="7"/>
    </row>
    <row r="246" spans="1:18">
      <c r="A246" s="129">
        <v>44159</v>
      </c>
      <c r="B246" s="136">
        <v>23</v>
      </c>
      <c r="C246" s="19">
        <v>45</v>
      </c>
      <c r="D246" s="138">
        <v>22</v>
      </c>
      <c r="E246" s="132">
        <v>1</v>
      </c>
      <c r="F246" s="19">
        <v>4</v>
      </c>
      <c r="G246" s="145">
        <f t="shared" si="152"/>
        <v>3</v>
      </c>
      <c r="H246" s="136">
        <v>1</v>
      </c>
      <c r="I246" s="19">
        <v>3</v>
      </c>
      <c r="J246" s="138">
        <f t="shared" si="153"/>
        <v>2</v>
      </c>
      <c r="K246" s="147" t="str">
        <f t="shared" ref="K246" si="155">IF((D246=""),"",IF(D246&lt;=N246,"Pass","Fail"))</f>
        <v>Pass</v>
      </c>
      <c r="L246" s="19">
        <v>1159</v>
      </c>
      <c r="M246" s="17">
        <v>100</v>
      </c>
      <c r="N246" s="17">
        <v>23</v>
      </c>
      <c r="O246" s="22" t="s">
        <v>479</v>
      </c>
      <c r="P246" s="7"/>
      <c r="Q246" s="7"/>
      <c r="R246" s="7"/>
    </row>
    <row r="247" spans="1:18">
      <c r="A247" s="129">
        <v>44187</v>
      </c>
      <c r="B247" s="19">
        <v>11</v>
      </c>
      <c r="C247" s="19">
        <v>30</v>
      </c>
      <c r="D247" s="19">
        <f t="shared" ref="D247" si="156">IF(((B247="")*AND(C247="")),"",(C247-B247))</f>
        <v>19</v>
      </c>
      <c r="E247" s="19">
        <v>1</v>
      </c>
      <c r="F247" s="19">
        <v>15</v>
      </c>
      <c r="G247" s="145">
        <f t="shared" si="152"/>
        <v>14</v>
      </c>
      <c r="H247" s="19">
        <v>0</v>
      </c>
      <c r="I247" s="19">
        <v>6</v>
      </c>
      <c r="J247" s="19">
        <f t="shared" si="153"/>
        <v>6</v>
      </c>
      <c r="K247" s="147" t="str">
        <f t="shared" ref="K247" si="157">IF((D247=""),"",IF(D247&lt;=N247,"Pass","Fail"))</f>
        <v>Pass</v>
      </c>
      <c r="L247" s="19">
        <v>121</v>
      </c>
      <c r="M247" s="17">
        <v>100</v>
      </c>
      <c r="N247" s="17">
        <v>23</v>
      </c>
      <c r="O247" s="22" t="s">
        <v>481</v>
      </c>
      <c r="P247" s="7" t="s">
        <v>482</v>
      </c>
      <c r="Q247" s="7"/>
      <c r="R247" s="7"/>
    </row>
    <row r="248" spans="1:18">
      <c r="A248" s="129">
        <v>44187</v>
      </c>
      <c r="B248" s="19">
        <v>8</v>
      </c>
      <c r="C248" s="19">
        <v>23</v>
      </c>
      <c r="D248" s="19">
        <f t="shared" ref="D248" si="158">IF(((B248="")*AND(C248="")),"",(C248-B248))</f>
        <v>15</v>
      </c>
      <c r="E248" s="19">
        <v>0</v>
      </c>
      <c r="F248" s="19">
        <v>4</v>
      </c>
      <c r="G248" s="145">
        <f t="shared" si="152"/>
        <v>4</v>
      </c>
      <c r="H248" s="19">
        <v>0</v>
      </c>
      <c r="I248" s="19">
        <v>2</v>
      </c>
      <c r="J248" s="19">
        <f t="shared" ref="J248:J249" si="159">I248-H248</f>
        <v>2</v>
      </c>
      <c r="K248" s="147" t="str">
        <f t="shared" ref="K248" si="160">IF((D248=""),"",IF(D248&lt;=N248,"Pass","Fail"))</f>
        <v>Pass</v>
      </c>
      <c r="L248" s="19">
        <v>1159</v>
      </c>
      <c r="M248" s="17">
        <v>100</v>
      </c>
      <c r="N248" s="17">
        <v>23</v>
      </c>
      <c r="O248" s="22" t="s">
        <v>417</v>
      </c>
      <c r="P248" s="7"/>
      <c r="Q248" s="7"/>
      <c r="R248" s="7"/>
    </row>
    <row r="249" spans="1:18">
      <c r="A249" s="129">
        <v>44193</v>
      </c>
      <c r="B249" s="19">
        <v>3</v>
      </c>
      <c r="C249" s="19">
        <v>25</v>
      </c>
      <c r="D249" s="19">
        <f t="shared" ref="D249" si="161">IF(((B249="")*AND(C249="")),"",(C249-B249))</f>
        <v>22</v>
      </c>
      <c r="E249" s="19">
        <v>2</v>
      </c>
      <c r="F249" s="19">
        <v>12</v>
      </c>
      <c r="G249" s="145">
        <f t="shared" si="152"/>
        <v>10</v>
      </c>
      <c r="H249" s="19">
        <v>2</v>
      </c>
      <c r="I249" s="19">
        <v>6</v>
      </c>
      <c r="J249" s="19">
        <f t="shared" si="159"/>
        <v>4</v>
      </c>
      <c r="K249" s="147" t="str">
        <f t="shared" ref="K249" si="162">IF((D249=""),"",IF(D249&lt;=N249,"Pass","Fail"))</f>
        <v>Pass</v>
      </c>
      <c r="L249" s="19">
        <v>1159</v>
      </c>
      <c r="M249" s="17">
        <v>100</v>
      </c>
      <c r="N249" s="17">
        <v>23</v>
      </c>
      <c r="O249" s="22" t="s">
        <v>486</v>
      </c>
      <c r="P249" s="7" t="s">
        <v>487</v>
      </c>
      <c r="Q249" s="7"/>
      <c r="R249" s="7"/>
    </row>
    <row r="250" spans="1:18">
      <c r="A250" s="129">
        <v>44201</v>
      </c>
      <c r="B250" s="19">
        <v>10</v>
      </c>
      <c r="C250" s="19">
        <v>14</v>
      </c>
      <c r="D250" s="19">
        <f t="shared" ref="D250" si="163">IF(((B250="")*AND(C250="")),"",(C250-B250))</f>
        <v>4</v>
      </c>
      <c r="E250" s="19">
        <v>5</v>
      </c>
      <c r="F250" s="19">
        <v>7</v>
      </c>
      <c r="G250" s="145">
        <f t="shared" si="152"/>
        <v>2</v>
      </c>
      <c r="H250" s="19">
        <v>5</v>
      </c>
      <c r="I250" s="19">
        <v>7</v>
      </c>
      <c r="J250" s="19">
        <f t="shared" ref="J250" si="164">I250-H250</f>
        <v>2</v>
      </c>
      <c r="K250" s="147" t="str">
        <f t="shared" ref="K250" si="165">IF((D250=""),"",IF(D250&lt;=N250,"Pass","Fail"))</f>
        <v>Pass</v>
      </c>
      <c r="L250" s="19">
        <v>1159</v>
      </c>
      <c r="M250" s="17">
        <v>100</v>
      </c>
      <c r="N250" s="17">
        <v>23</v>
      </c>
      <c r="O250" s="22" t="s">
        <v>490</v>
      </c>
      <c r="P250" s="7" t="s">
        <v>492</v>
      </c>
      <c r="Q250" s="7"/>
      <c r="R250" s="7"/>
    </row>
    <row r="251" spans="1:18">
      <c r="A251" s="129">
        <v>44207</v>
      </c>
      <c r="B251" s="19">
        <v>16</v>
      </c>
      <c r="C251" s="19">
        <v>22</v>
      </c>
      <c r="D251" s="19">
        <f t="shared" ref="D251" si="166">IF(((B251="")*AND(C251="")),"",(C251-B251))</f>
        <v>6</v>
      </c>
      <c r="E251" s="19">
        <v>8</v>
      </c>
      <c r="F251" s="19">
        <v>8</v>
      </c>
      <c r="G251" s="145">
        <f t="shared" si="152"/>
        <v>0</v>
      </c>
      <c r="H251" s="19">
        <v>8</v>
      </c>
      <c r="I251" s="19">
        <v>8</v>
      </c>
      <c r="J251" s="19">
        <f t="shared" ref="J251" si="167">I251-H251</f>
        <v>0</v>
      </c>
      <c r="K251" s="147" t="str">
        <f t="shared" ref="K251" si="168">IF((D251=""),"",IF(D251&lt;=N251,"Pass","Fail"))</f>
        <v>Pass</v>
      </c>
      <c r="L251" s="19">
        <v>121</v>
      </c>
      <c r="M251" s="17">
        <v>100</v>
      </c>
      <c r="N251" s="17">
        <v>23</v>
      </c>
      <c r="O251" s="22" t="s">
        <v>493</v>
      </c>
      <c r="P251" s="7" t="s">
        <v>492</v>
      </c>
      <c r="Q251" s="7"/>
      <c r="R251" s="7"/>
    </row>
    <row r="252" spans="1:18">
      <c r="A252" s="129">
        <v>44216</v>
      </c>
      <c r="B252" s="19">
        <v>6</v>
      </c>
      <c r="C252" s="19">
        <v>11</v>
      </c>
      <c r="D252" s="19">
        <f t="shared" ref="D252" si="169">IF(((B252="")*AND(C252="")),"",(C252-B252))</f>
        <v>5</v>
      </c>
      <c r="E252" s="19">
        <v>2</v>
      </c>
      <c r="F252" s="19">
        <v>7</v>
      </c>
      <c r="G252" s="145">
        <f t="shared" si="152"/>
        <v>5</v>
      </c>
      <c r="H252" s="19">
        <v>2</v>
      </c>
      <c r="I252" s="19">
        <v>5</v>
      </c>
      <c r="J252" s="19">
        <f t="shared" ref="J252" si="170">I252-H252</f>
        <v>3</v>
      </c>
      <c r="K252" s="147" t="str">
        <f t="shared" ref="K252" si="171">IF((D252=""),"",IF(D252&lt;=N252,"Pass","Fail"))</f>
        <v>Pass</v>
      </c>
      <c r="L252" s="19">
        <v>74</v>
      </c>
      <c r="M252" s="17">
        <v>100</v>
      </c>
      <c r="N252" s="17">
        <v>23</v>
      </c>
      <c r="O252" s="22" t="s">
        <v>427</v>
      </c>
      <c r="P252" s="7"/>
      <c r="Q252" s="7"/>
      <c r="R252" s="7"/>
    </row>
    <row r="253" spans="1:18">
      <c r="A253" s="129">
        <v>44221</v>
      </c>
      <c r="B253" s="19">
        <v>2</v>
      </c>
      <c r="C253" s="19">
        <v>6</v>
      </c>
      <c r="D253" s="19">
        <f t="shared" ref="D253" si="172">IF(((B253="")*AND(C253="")),"",(C253-B253))</f>
        <v>4</v>
      </c>
      <c r="E253" s="19">
        <v>0</v>
      </c>
      <c r="F253" s="19">
        <v>0</v>
      </c>
      <c r="G253" s="145">
        <f t="shared" si="152"/>
        <v>0</v>
      </c>
      <c r="H253" s="19">
        <v>0</v>
      </c>
      <c r="I253" s="19">
        <v>0</v>
      </c>
      <c r="J253" s="19">
        <f t="shared" ref="J253" si="173">I253-H253</f>
        <v>0</v>
      </c>
      <c r="K253" s="147" t="str">
        <f t="shared" ref="K253" si="174">IF((D253=""),"",IF(D253&lt;=N253,"Pass","Fail"))</f>
        <v>Pass</v>
      </c>
      <c r="L253" s="19">
        <v>1335</v>
      </c>
      <c r="M253" s="17">
        <v>100</v>
      </c>
      <c r="N253" s="17">
        <v>23</v>
      </c>
      <c r="O253" s="22" t="s">
        <v>496</v>
      </c>
      <c r="P253" s="7"/>
      <c r="Q253" s="7"/>
      <c r="R253" s="7"/>
    </row>
    <row r="254" spans="1:18">
      <c r="A254" s="129">
        <v>44225</v>
      </c>
      <c r="B254" s="19">
        <v>10</v>
      </c>
      <c r="C254" s="19">
        <v>12</v>
      </c>
      <c r="D254" s="19">
        <f t="shared" ref="D254" si="175">IF(((B254="")*AND(C254="")),"",(C254-B254))</f>
        <v>2</v>
      </c>
      <c r="E254" s="19">
        <v>2</v>
      </c>
      <c r="F254" s="19">
        <v>4</v>
      </c>
      <c r="G254" s="145">
        <f t="shared" si="152"/>
        <v>2</v>
      </c>
      <c r="H254" s="19">
        <v>2</v>
      </c>
      <c r="I254" s="19">
        <v>4</v>
      </c>
      <c r="J254" s="19">
        <f t="shared" ref="J254" si="176">I254-H254</f>
        <v>2</v>
      </c>
      <c r="K254" s="147" t="str">
        <f t="shared" ref="K254" si="177">IF((D254=""),"",IF(D254&lt;=N254,"Pass","Fail"))</f>
        <v>Pass</v>
      </c>
      <c r="L254" s="19">
        <v>1340</v>
      </c>
      <c r="M254" s="17">
        <v>100</v>
      </c>
      <c r="N254" s="17">
        <v>23</v>
      </c>
      <c r="O254" s="22" t="s">
        <v>498</v>
      </c>
      <c r="P254" s="7"/>
      <c r="Q254" s="7"/>
      <c r="R254" s="7"/>
    </row>
    <row r="255" spans="1:18">
      <c r="A255" s="129">
        <v>44229</v>
      </c>
      <c r="B255" s="19">
        <v>13</v>
      </c>
      <c r="C255" s="19">
        <v>11</v>
      </c>
      <c r="D255" s="19">
        <f t="shared" ref="D255" si="178">IF(((B255="")*AND(C255="")),"",(C255-B255))</f>
        <v>-2</v>
      </c>
      <c r="E255" s="19">
        <v>3</v>
      </c>
      <c r="F255" s="19">
        <v>2</v>
      </c>
      <c r="G255" s="145">
        <f t="shared" ref="G255" si="179">F255-E255</f>
        <v>-1</v>
      </c>
      <c r="H255" s="19">
        <v>2</v>
      </c>
      <c r="I255" s="19">
        <v>2</v>
      </c>
      <c r="J255" s="19">
        <f t="shared" ref="J255" si="180">I255-H255</f>
        <v>0</v>
      </c>
      <c r="K255" s="147" t="str">
        <f t="shared" ref="K255" si="181">IF((D255=""),"",IF(D255&lt;=N255,"Pass","Fail"))</f>
        <v>Pass</v>
      </c>
      <c r="L255" s="19">
        <v>1428</v>
      </c>
      <c r="M255" s="17">
        <v>100</v>
      </c>
      <c r="N255" s="17">
        <v>23</v>
      </c>
      <c r="O255" s="22" t="s">
        <v>501</v>
      </c>
      <c r="P255" s="7"/>
      <c r="Q255" s="7"/>
      <c r="R255" s="7"/>
    </row>
    <row r="256" spans="1:18">
      <c r="A256" s="129">
        <v>44229</v>
      </c>
      <c r="B256" s="19">
        <v>2</v>
      </c>
      <c r="C256" s="19">
        <v>5</v>
      </c>
      <c r="D256" s="19">
        <f t="shared" ref="D256:D257" si="182">IF(((B256="")*AND(C256="")),"",(C256-B256))</f>
        <v>3</v>
      </c>
      <c r="E256" s="19">
        <v>0</v>
      </c>
      <c r="F256" s="19">
        <v>3</v>
      </c>
      <c r="G256" s="145">
        <f t="shared" ref="G256:G257" si="183">F256-E256</f>
        <v>3</v>
      </c>
      <c r="H256" s="19">
        <v>0</v>
      </c>
      <c r="I256" s="19">
        <v>2</v>
      </c>
      <c r="J256" s="19">
        <f t="shared" ref="J256:J257" si="184">I256-H256</f>
        <v>2</v>
      </c>
      <c r="K256" s="147" t="str">
        <f t="shared" ref="K256:K257" si="185">IF((D256=""),"",IF(D256&lt;=N256,"Pass","Fail"))</f>
        <v>Pass</v>
      </c>
      <c r="L256" s="19">
        <v>1428</v>
      </c>
      <c r="M256" s="17">
        <v>100</v>
      </c>
      <c r="N256" s="17">
        <v>23</v>
      </c>
      <c r="O256" s="22" t="s">
        <v>449</v>
      </c>
      <c r="P256" s="7"/>
      <c r="Q256" s="7"/>
      <c r="R256" s="7"/>
    </row>
    <row r="257" spans="1:18">
      <c r="A257" s="129">
        <v>44237</v>
      </c>
      <c r="B257" s="19">
        <v>4</v>
      </c>
      <c r="C257" s="19">
        <v>10</v>
      </c>
      <c r="D257" s="19">
        <f t="shared" si="182"/>
        <v>6</v>
      </c>
      <c r="E257" s="19">
        <v>3</v>
      </c>
      <c r="F257" s="19">
        <v>3</v>
      </c>
      <c r="G257" s="145">
        <f t="shared" si="183"/>
        <v>0</v>
      </c>
      <c r="H257" s="19">
        <v>1</v>
      </c>
      <c r="I257" s="19">
        <v>1</v>
      </c>
      <c r="J257" s="19">
        <f t="shared" si="184"/>
        <v>0</v>
      </c>
      <c r="K257" s="147" t="str">
        <f t="shared" si="185"/>
        <v>Pass</v>
      </c>
      <c r="L257" s="19">
        <v>74</v>
      </c>
      <c r="M257" s="17">
        <v>100</v>
      </c>
      <c r="N257" s="17">
        <v>23</v>
      </c>
      <c r="O257" s="22" t="s">
        <v>410</v>
      </c>
      <c r="P257" s="7"/>
      <c r="Q257" s="7"/>
      <c r="R257" s="7"/>
    </row>
    <row r="258" spans="1:18">
      <c r="A258" s="129">
        <v>44241</v>
      </c>
      <c r="B258" s="19">
        <v>8</v>
      </c>
      <c r="C258" s="19">
        <v>8</v>
      </c>
      <c r="D258" s="19">
        <f t="shared" ref="D258" si="186">IF(((B258="")*AND(C258="")),"",(C258-B258))</f>
        <v>0</v>
      </c>
      <c r="E258" s="19">
        <v>3</v>
      </c>
      <c r="F258" s="19">
        <v>3</v>
      </c>
      <c r="G258" s="145">
        <f t="shared" ref="G258" si="187">F258-E258</f>
        <v>0</v>
      </c>
      <c r="H258" s="19">
        <v>1</v>
      </c>
      <c r="I258" s="19">
        <v>1</v>
      </c>
      <c r="J258" s="19">
        <f t="shared" ref="J258" si="188">I258-H258</f>
        <v>0</v>
      </c>
      <c r="K258" s="147" t="str">
        <f t="shared" ref="K258" si="189">IF((D258=""),"",IF(D258&lt;=N258,"Pass","Fail"))</f>
        <v>Pass</v>
      </c>
      <c r="L258" s="19">
        <v>74</v>
      </c>
      <c r="M258" s="17">
        <v>100</v>
      </c>
      <c r="N258" s="17">
        <v>23</v>
      </c>
      <c r="O258" s="22" t="s">
        <v>505</v>
      </c>
      <c r="P258" s="7"/>
      <c r="Q258" s="7"/>
      <c r="R258" s="7"/>
    </row>
    <row r="259" spans="1:18">
      <c r="A259" s="129">
        <v>44245</v>
      </c>
      <c r="B259" s="19">
        <v>10</v>
      </c>
      <c r="C259" s="19">
        <v>20</v>
      </c>
      <c r="D259" s="19">
        <f t="shared" ref="D259:D260" si="190">IF(((B259="")*AND(C259="")),"",(C259-B259))</f>
        <v>10</v>
      </c>
      <c r="E259" s="19">
        <v>4</v>
      </c>
      <c r="F259" s="19">
        <v>11</v>
      </c>
      <c r="G259" s="145">
        <f t="shared" ref="G259:G260" si="191">F259-E259</f>
        <v>7</v>
      </c>
      <c r="H259" s="19">
        <v>1</v>
      </c>
      <c r="I259" s="19">
        <v>6</v>
      </c>
      <c r="J259" s="19">
        <f t="shared" ref="J259:J260" si="192">I259-H259</f>
        <v>5</v>
      </c>
      <c r="K259" s="147" t="str">
        <f t="shared" ref="K259:K260" si="193">IF((D259=""),"",IF(D259&lt;=N259,"Pass","Fail"))</f>
        <v>Pass</v>
      </c>
      <c r="L259" s="19">
        <v>1428</v>
      </c>
      <c r="M259" s="17">
        <v>100</v>
      </c>
      <c r="N259" s="17">
        <v>23</v>
      </c>
      <c r="O259" s="22" t="s">
        <v>507</v>
      </c>
      <c r="P259" s="7"/>
      <c r="Q259" s="7"/>
      <c r="R259" s="7"/>
    </row>
    <row r="260" spans="1:18">
      <c r="A260" s="129">
        <v>44249</v>
      </c>
      <c r="B260" s="19">
        <v>5</v>
      </c>
      <c r="C260" s="19">
        <v>19</v>
      </c>
      <c r="D260" s="19">
        <f t="shared" si="190"/>
        <v>14</v>
      </c>
      <c r="E260" s="19">
        <v>0</v>
      </c>
      <c r="F260" s="19">
        <v>0</v>
      </c>
      <c r="G260" s="145">
        <f t="shared" si="191"/>
        <v>0</v>
      </c>
      <c r="H260" s="19">
        <v>0</v>
      </c>
      <c r="I260" s="19">
        <v>0</v>
      </c>
      <c r="J260" s="19">
        <f t="shared" si="192"/>
        <v>0</v>
      </c>
      <c r="K260" s="147" t="str">
        <f t="shared" si="193"/>
        <v>Pass</v>
      </c>
      <c r="L260" s="19">
        <v>74</v>
      </c>
      <c r="M260" s="17">
        <v>100</v>
      </c>
      <c r="N260" s="17">
        <v>23</v>
      </c>
      <c r="O260" s="22" t="s">
        <v>505</v>
      </c>
      <c r="P260" s="158" t="s">
        <v>509</v>
      </c>
      <c r="Q260" s="7"/>
      <c r="R260" s="7"/>
    </row>
    <row r="261" spans="1:18">
      <c r="A261" s="129">
        <v>44254</v>
      </c>
      <c r="B261" s="19">
        <v>11</v>
      </c>
      <c r="C261" s="19">
        <v>10</v>
      </c>
      <c r="D261" s="19">
        <f t="shared" ref="D261" si="194">IF(((B261="")*AND(C261="")),"",(C261-B261))</f>
        <v>-1</v>
      </c>
      <c r="E261" s="19">
        <v>1</v>
      </c>
      <c r="F261" s="19">
        <v>2</v>
      </c>
      <c r="G261" s="145">
        <f t="shared" ref="G261" si="195">F261-E261</f>
        <v>1</v>
      </c>
      <c r="H261" s="19">
        <v>1</v>
      </c>
      <c r="I261" s="19">
        <v>2</v>
      </c>
      <c r="J261" s="19">
        <f t="shared" ref="J261" si="196">I261-H261</f>
        <v>1</v>
      </c>
      <c r="K261" s="147" t="str">
        <f t="shared" ref="K261" si="197">IF((D261=""),"",IF(D261&lt;=N261,"Pass","Fail"))</f>
        <v>Pass</v>
      </c>
      <c r="L261" s="19">
        <v>1335</v>
      </c>
      <c r="M261" s="17">
        <v>100</v>
      </c>
      <c r="N261" s="17">
        <v>23</v>
      </c>
      <c r="O261" s="22" t="s">
        <v>481</v>
      </c>
      <c r="P261" s="158" t="s">
        <v>509</v>
      </c>
      <c r="Q261" s="7"/>
      <c r="R261" s="7"/>
    </row>
    <row r="262" spans="1:18">
      <c r="A262" s="129">
        <v>44258</v>
      </c>
      <c r="B262" s="19">
        <v>6</v>
      </c>
      <c r="C262" s="19">
        <v>10</v>
      </c>
      <c r="D262" s="19">
        <f t="shared" ref="D262" si="198">IF(((B262="")*AND(C262="")),"",(C262-B262))</f>
        <v>4</v>
      </c>
      <c r="E262" s="19">
        <v>6</v>
      </c>
      <c r="F262" s="19">
        <v>5</v>
      </c>
      <c r="G262" s="145">
        <f t="shared" ref="G262" si="199">F262-E262</f>
        <v>-1</v>
      </c>
      <c r="H262" s="19">
        <v>5</v>
      </c>
      <c r="I262" s="19">
        <v>6</v>
      </c>
      <c r="J262" s="19">
        <f t="shared" ref="J262" si="200">I262-H262</f>
        <v>1</v>
      </c>
      <c r="K262" s="147" t="str">
        <f t="shared" ref="K262" si="201">IF((D262=""),"",IF(D262&lt;=N262,"Pass","Fail"))</f>
        <v>Pass</v>
      </c>
      <c r="L262" s="19">
        <v>1428</v>
      </c>
      <c r="M262" s="17">
        <v>100</v>
      </c>
      <c r="N262" s="17">
        <v>23</v>
      </c>
      <c r="O262" s="22" t="s">
        <v>512</v>
      </c>
      <c r="P262" s="158"/>
      <c r="Q262" s="7"/>
      <c r="R262" s="7"/>
    </row>
    <row r="263" spans="1:18">
      <c r="A263" s="129">
        <v>44262</v>
      </c>
      <c r="B263" s="19">
        <v>10</v>
      </c>
      <c r="C263" s="19">
        <v>29</v>
      </c>
      <c r="D263" s="19">
        <f t="shared" ref="D263" si="202">IF(((B263="")*AND(C263="")),"",(C263-B263))</f>
        <v>19</v>
      </c>
      <c r="E263" s="19">
        <v>6</v>
      </c>
      <c r="F263" s="19">
        <v>21</v>
      </c>
      <c r="G263" s="145">
        <v>15</v>
      </c>
      <c r="H263" s="19">
        <v>5</v>
      </c>
      <c r="I263" s="19">
        <v>14</v>
      </c>
      <c r="J263" s="19">
        <f t="shared" ref="J263" si="203">I263-H263</f>
        <v>9</v>
      </c>
      <c r="K263" s="147" t="str">
        <f t="shared" ref="K263" si="204">IF((D263=""),"",IF(D263&lt;=N263,"Pass","Fail"))</f>
        <v>Pass</v>
      </c>
      <c r="L263" s="19">
        <v>74</v>
      </c>
      <c r="M263" s="17">
        <v>100</v>
      </c>
      <c r="N263" s="17">
        <v>23</v>
      </c>
      <c r="O263" s="22" t="s">
        <v>512</v>
      </c>
      <c r="P263" s="158" t="s">
        <v>515</v>
      </c>
      <c r="Q263" s="7"/>
      <c r="R263" s="7"/>
    </row>
    <row r="264" spans="1:18">
      <c r="B264" s="28"/>
      <c r="C264" s="27"/>
      <c r="D264" s="27"/>
      <c r="E264" s="27"/>
      <c r="F264" s="27"/>
      <c r="G264" s="27"/>
      <c r="H264" s="27"/>
      <c r="I264" s="27"/>
      <c r="J264" s="27"/>
      <c r="K264" s="7"/>
      <c r="L264" s="27"/>
      <c r="N264" s="8"/>
      <c r="O264" s="7"/>
      <c r="P264" s="7"/>
      <c r="Q264" s="7"/>
      <c r="R264" s="7"/>
    </row>
    <row r="265" spans="1:18">
      <c r="B265" s="28"/>
      <c r="C265" s="27"/>
      <c r="D265" s="27"/>
      <c r="E265" s="27"/>
      <c r="F265" s="27"/>
      <c r="G265" s="27"/>
      <c r="H265" s="27"/>
      <c r="I265" s="27"/>
      <c r="J265" s="27"/>
      <c r="K265" s="7"/>
      <c r="L265" s="27"/>
      <c r="N265" s="8"/>
      <c r="O265" s="7"/>
      <c r="P265" s="7"/>
      <c r="Q265" s="7"/>
      <c r="R265" s="7"/>
    </row>
    <row r="266" spans="1:18">
      <c r="B266" s="28"/>
      <c r="C266" s="27"/>
      <c r="D266" s="27"/>
      <c r="E266" s="27"/>
      <c r="F266" s="27"/>
      <c r="G266" s="27"/>
      <c r="H266" s="27"/>
      <c r="I266" s="27"/>
      <c r="J266" s="27"/>
      <c r="K266" s="7"/>
      <c r="L266" s="27"/>
      <c r="N266" s="8"/>
      <c r="O266" s="7"/>
      <c r="P266" s="7"/>
      <c r="Q266" s="7"/>
      <c r="R266" s="7"/>
    </row>
    <row r="267" spans="1:18">
      <c r="B267" s="28"/>
      <c r="C267" s="27"/>
      <c r="D267" s="27"/>
      <c r="E267" s="27"/>
      <c r="F267" s="27"/>
      <c r="G267" s="27"/>
      <c r="H267" s="27"/>
      <c r="I267" s="27"/>
      <c r="J267" s="27"/>
      <c r="K267" s="7"/>
      <c r="L267" s="27"/>
      <c r="N267" s="8"/>
      <c r="O267" s="7"/>
      <c r="P267" s="7"/>
      <c r="Q267" s="7"/>
      <c r="R267" s="7"/>
    </row>
    <row r="268" spans="1:18">
      <c r="B268" s="28"/>
      <c r="C268" s="27"/>
      <c r="D268" s="27"/>
      <c r="E268" s="27"/>
      <c r="F268" s="27"/>
      <c r="G268" s="27"/>
      <c r="H268" s="27"/>
      <c r="I268" s="27"/>
      <c r="J268" s="27"/>
      <c r="K268" s="7"/>
      <c r="L268" s="27"/>
      <c r="N268" s="8"/>
      <c r="O268" s="7"/>
      <c r="P268" s="7"/>
      <c r="Q268" s="7"/>
      <c r="R268" s="7"/>
    </row>
    <row r="269" spans="1:18">
      <c r="B269" s="28"/>
      <c r="C269" s="27"/>
      <c r="D269" s="27"/>
      <c r="E269" s="27"/>
      <c r="F269" s="27"/>
      <c r="G269" s="27"/>
      <c r="H269" s="27"/>
      <c r="I269" s="27"/>
      <c r="J269" s="27"/>
      <c r="K269" s="7"/>
      <c r="L269" s="27"/>
      <c r="N269" s="8"/>
      <c r="O269" s="7"/>
      <c r="P269" s="7"/>
      <c r="Q269" s="7"/>
      <c r="R269" s="7"/>
    </row>
    <row r="270" spans="1:18">
      <c r="B270" s="28"/>
      <c r="C270" s="27"/>
      <c r="D270" s="27"/>
      <c r="E270" s="27"/>
      <c r="F270" s="27"/>
      <c r="G270" s="27"/>
      <c r="H270" s="27"/>
      <c r="I270" s="27"/>
      <c r="J270" s="27"/>
      <c r="K270" s="7"/>
      <c r="L270" s="27"/>
      <c r="N270" s="8"/>
      <c r="O270" s="7"/>
      <c r="P270" s="7"/>
      <c r="Q270" s="7"/>
      <c r="R270" s="7"/>
    </row>
    <row r="271" spans="1:18">
      <c r="B271" s="28"/>
      <c r="C271" s="27"/>
      <c r="D271" s="27"/>
      <c r="E271" s="27"/>
      <c r="F271" s="27"/>
      <c r="G271" s="27"/>
      <c r="H271" s="27"/>
      <c r="I271" s="27"/>
      <c r="J271" s="27"/>
      <c r="K271" s="7"/>
      <c r="L271" s="27"/>
      <c r="N271" s="8"/>
      <c r="O271" s="7"/>
      <c r="P271" s="7"/>
      <c r="Q271" s="7"/>
      <c r="R271" s="7"/>
    </row>
    <row r="272" spans="1:18">
      <c r="B272" s="28"/>
      <c r="C272" s="27"/>
      <c r="D272" s="27"/>
      <c r="E272" s="27"/>
      <c r="F272" s="27"/>
      <c r="G272" s="27"/>
      <c r="H272" s="27"/>
      <c r="I272" s="27"/>
      <c r="J272" s="27"/>
      <c r="K272" s="7"/>
      <c r="L272" s="27"/>
      <c r="N272" s="8"/>
      <c r="O272" s="7"/>
      <c r="P272" s="7"/>
      <c r="Q272" s="7"/>
      <c r="R272" s="7"/>
    </row>
    <row r="273" spans="2:18">
      <c r="B273" s="28"/>
      <c r="C273" s="27"/>
      <c r="D273" s="27"/>
      <c r="E273" s="27"/>
      <c r="F273" s="27"/>
      <c r="G273" s="27"/>
      <c r="H273" s="27"/>
      <c r="I273" s="27"/>
      <c r="J273" s="27"/>
      <c r="K273" s="7"/>
      <c r="L273" s="27"/>
      <c r="N273" s="8"/>
      <c r="O273" s="7"/>
      <c r="P273" s="7"/>
      <c r="Q273" s="7"/>
      <c r="R273" s="7"/>
    </row>
    <row r="274" spans="2:18">
      <c r="B274" s="28"/>
      <c r="C274" s="27"/>
      <c r="D274" s="27"/>
      <c r="E274" s="27"/>
      <c r="F274" s="27"/>
      <c r="G274" s="27"/>
      <c r="H274" s="27"/>
      <c r="I274" s="27"/>
      <c r="J274" s="27"/>
      <c r="K274" s="7"/>
      <c r="L274" s="27"/>
      <c r="N274" s="8"/>
      <c r="O274" s="7"/>
      <c r="P274" s="7"/>
      <c r="Q274" s="7"/>
      <c r="R274" s="7"/>
    </row>
    <row r="275" spans="2:18">
      <c r="B275" s="28"/>
      <c r="C275" s="27"/>
      <c r="D275" s="27"/>
      <c r="E275" s="27"/>
      <c r="F275" s="27"/>
      <c r="G275" s="27"/>
      <c r="H275" s="27"/>
      <c r="I275" s="27"/>
      <c r="J275" s="27"/>
      <c r="K275" s="7"/>
      <c r="L275" s="27"/>
      <c r="N275" s="8"/>
      <c r="O275" s="7"/>
      <c r="P275" s="7"/>
      <c r="Q275" s="7"/>
      <c r="R275" s="7"/>
    </row>
    <row r="276" spans="2:18">
      <c r="B276" s="28"/>
      <c r="C276" s="27"/>
      <c r="D276" s="27"/>
      <c r="E276" s="27"/>
      <c r="F276" s="27"/>
      <c r="G276" s="27"/>
      <c r="H276" s="27"/>
      <c r="I276" s="27"/>
      <c r="J276" s="27"/>
      <c r="K276" s="7"/>
      <c r="L276" s="27"/>
      <c r="N276" s="8"/>
      <c r="O276" s="7"/>
      <c r="P276" s="7"/>
      <c r="Q276" s="7"/>
      <c r="R276" s="7"/>
    </row>
    <row r="277" spans="2:18">
      <c r="B277" s="28"/>
      <c r="C277" s="27"/>
      <c r="D277" s="27"/>
      <c r="E277" s="27"/>
      <c r="F277" s="27"/>
      <c r="G277" s="27"/>
      <c r="H277" s="27"/>
      <c r="I277" s="27"/>
      <c r="J277" s="27"/>
      <c r="K277" s="7"/>
      <c r="L277" s="27"/>
      <c r="N277" s="8"/>
      <c r="O277" s="7"/>
      <c r="P277" s="7"/>
      <c r="Q277" s="7"/>
      <c r="R277" s="7"/>
    </row>
    <row r="278" spans="2:18">
      <c r="B278" s="28"/>
      <c r="C278" s="27"/>
      <c r="D278" s="27"/>
      <c r="E278" s="27"/>
      <c r="F278" s="27"/>
      <c r="G278" s="27"/>
      <c r="H278" s="27"/>
      <c r="I278" s="27"/>
      <c r="J278" s="27"/>
      <c r="K278" s="7"/>
      <c r="L278" s="27"/>
      <c r="N278" s="8"/>
      <c r="O278" s="7"/>
      <c r="P278" s="7"/>
      <c r="Q278" s="7"/>
      <c r="R278" s="7"/>
    </row>
    <row r="279" spans="2:18">
      <c r="B279" s="28"/>
      <c r="C279" s="27"/>
      <c r="D279" s="27"/>
      <c r="E279" s="27"/>
      <c r="F279" s="27"/>
      <c r="G279" s="27"/>
      <c r="H279" s="27"/>
      <c r="I279" s="27"/>
      <c r="J279" s="27"/>
      <c r="K279" s="7"/>
      <c r="L279" s="27"/>
      <c r="N279" s="8"/>
      <c r="O279" s="7"/>
      <c r="P279" s="7"/>
      <c r="Q279" s="7"/>
      <c r="R279" s="7"/>
    </row>
    <row r="280" spans="2:18">
      <c r="B280" s="28"/>
      <c r="C280" s="27"/>
      <c r="D280" s="27"/>
      <c r="E280" s="27"/>
      <c r="F280" s="27"/>
      <c r="G280" s="27"/>
      <c r="H280" s="27"/>
      <c r="I280" s="27"/>
      <c r="J280" s="27"/>
      <c r="K280" s="7"/>
      <c r="L280" s="27"/>
      <c r="N280" s="8"/>
      <c r="O280" s="7"/>
      <c r="P280" s="7"/>
      <c r="Q280" s="7"/>
      <c r="R280" s="7"/>
    </row>
    <row r="281" spans="2:18">
      <c r="B281" s="28"/>
      <c r="C281" s="27"/>
      <c r="D281" s="27"/>
      <c r="E281" s="27"/>
      <c r="F281" s="27"/>
      <c r="G281" s="27"/>
      <c r="H281" s="27"/>
      <c r="I281" s="27"/>
      <c r="J281" s="27"/>
      <c r="K281" s="7"/>
      <c r="L281" s="27"/>
      <c r="N281" s="8"/>
      <c r="O281" s="7"/>
      <c r="P281" s="7"/>
      <c r="Q281" s="7"/>
      <c r="R281" s="7"/>
    </row>
    <row r="282" spans="2:18">
      <c r="B282" s="28"/>
      <c r="C282" s="27"/>
      <c r="D282" s="27"/>
      <c r="E282" s="27"/>
      <c r="F282" s="27"/>
      <c r="G282" s="27"/>
      <c r="H282" s="27"/>
      <c r="I282" s="27"/>
      <c r="J282" s="27"/>
      <c r="K282" s="7"/>
      <c r="L282" s="27"/>
      <c r="N282" s="8"/>
      <c r="O282" s="7"/>
      <c r="P282" s="7"/>
      <c r="Q282" s="7"/>
      <c r="R282" s="7"/>
    </row>
    <row r="283" spans="2:18">
      <c r="B283" s="28"/>
      <c r="C283" s="27"/>
      <c r="D283" s="27"/>
      <c r="E283" s="27"/>
      <c r="F283" s="27"/>
      <c r="G283" s="27"/>
      <c r="H283" s="27"/>
      <c r="I283" s="27"/>
      <c r="J283" s="27"/>
      <c r="K283" s="7"/>
      <c r="L283" s="27"/>
      <c r="N283" s="8"/>
      <c r="O283" s="7"/>
      <c r="P283" s="7"/>
      <c r="Q283" s="7"/>
      <c r="R283" s="7"/>
    </row>
    <row r="284" spans="2:18">
      <c r="B284" s="28"/>
      <c r="C284" s="27"/>
      <c r="D284" s="27"/>
      <c r="E284" s="27"/>
      <c r="F284" s="27"/>
      <c r="G284" s="27"/>
      <c r="H284" s="27"/>
      <c r="I284" s="27"/>
      <c r="J284" s="27"/>
      <c r="K284" s="7"/>
      <c r="L284" s="27"/>
      <c r="N284" s="8"/>
      <c r="O284" s="7"/>
      <c r="P284" s="7"/>
      <c r="Q284" s="7"/>
      <c r="R284" s="7"/>
    </row>
    <row r="285" spans="2:18">
      <c r="B285" s="28"/>
      <c r="C285" s="27"/>
      <c r="D285" s="27"/>
      <c r="E285" s="27"/>
      <c r="F285" s="27"/>
      <c r="G285" s="27"/>
      <c r="H285" s="27"/>
      <c r="I285" s="27"/>
      <c r="J285" s="27"/>
      <c r="K285" s="7"/>
      <c r="L285" s="27"/>
      <c r="N285" s="8"/>
      <c r="O285" s="7"/>
      <c r="P285" s="7"/>
      <c r="Q285" s="7"/>
      <c r="R285" s="7"/>
    </row>
    <row r="286" spans="2:18">
      <c r="B286" s="28"/>
      <c r="C286" s="27"/>
      <c r="D286" s="27"/>
      <c r="E286" s="27"/>
      <c r="F286" s="27"/>
      <c r="G286" s="27"/>
      <c r="H286" s="27"/>
      <c r="I286" s="27"/>
      <c r="J286" s="27"/>
      <c r="K286" s="7"/>
      <c r="L286" s="27"/>
      <c r="N286" s="8"/>
      <c r="O286" s="7"/>
      <c r="P286" s="7"/>
      <c r="Q286" s="7"/>
      <c r="R286" s="7"/>
    </row>
    <row r="287" spans="2:18">
      <c r="B287" s="28"/>
      <c r="C287" s="27"/>
      <c r="D287" s="27"/>
      <c r="E287" s="27"/>
      <c r="F287" s="27"/>
      <c r="G287" s="27"/>
      <c r="H287" s="27"/>
      <c r="I287" s="27"/>
      <c r="J287" s="27"/>
      <c r="K287" s="7"/>
      <c r="L287" s="27"/>
      <c r="N287" s="8"/>
      <c r="O287" s="7"/>
      <c r="P287" s="7"/>
      <c r="Q287" s="7"/>
      <c r="R287" s="7"/>
    </row>
    <row r="288" spans="2:18">
      <c r="B288" s="28"/>
      <c r="C288" s="27"/>
      <c r="D288" s="27"/>
      <c r="E288" s="27"/>
      <c r="F288" s="27"/>
      <c r="G288" s="27"/>
      <c r="H288" s="27"/>
      <c r="I288" s="27"/>
      <c r="J288" s="27"/>
      <c r="K288" s="7"/>
      <c r="L288" s="27"/>
      <c r="N288" s="8"/>
      <c r="O288" s="7"/>
      <c r="P288" s="7"/>
      <c r="Q288" s="7"/>
      <c r="R288" s="7"/>
    </row>
    <row r="289" spans="2:18">
      <c r="B289" s="28"/>
      <c r="C289" s="27"/>
      <c r="D289" s="27"/>
      <c r="E289" s="27"/>
      <c r="F289" s="27"/>
      <c r="G289" s="27"/>
      <c r="H289" s="27"/>
      <c r="I289" s="27"/>
      <c r="J289" s="27"/>
      <c r="K289" s="7"/>
      <c r="L289" s="27"/>
      <c r="N289" s="8"/>
      <c r="O289" s="7"/>
      <c r="P289" s="7"/>
      <c r="Q289" s="7"/>
      <c r="R289" s="7"/>
    </row>
    <row r="290" spans="2:18">
      <c r="B290" s="28"/>
      <c r="C290" s="27"/>
      <c r="D290" s="27"/>
      <c r="E290" s="27"/>
      <c r="F290" s="27"/>
      <c r="G290" s="27"/>
      <c r="H290" s="27"/>
      <c r="I290" s="27"/>
      <c r="J290" s="27"/>
      <c r="K290" s="7"/>
      <c r="L290" s="27"/>
      <c r="N290" s="8"/>
      <c r="O290" s="7"/>
      <c r="P290" s="7"/>
      <c r="Q290" s="7"/>
      <c r="R290" s="7"/>
    </row>
    <row r="291" spans="2:18">
      <c r="B291" s="28"/>
      <c r="C291" s="27"/>
      <c r="D291" s="27"/>
      <c r="E291" s="27"/>
      <c r="F291" s="27"/>
      <c r="G291" s="27"/>
      <c r="H291" s="27"/>
      <c r="I291" s="27"/>
      <c r="J291" s="27"/>
      <c r="K291" s="7"/>
      <c r="L291" s="27"/>
      <c r="N291" s="8"/>
      <c r="O291" s="7"/>
      <c r="P291" s="7"/>
      <c r="Q291" s="7"/>
      <c r="R291" s="7"/>
    </row>
    <row r="292" spans="2:18">
      <c r="B292" s="28"/>
      <c r="C292" s="27"/>
      <c r="D292" s="27"/>
      <c r="E292" s="27"/>
      <c r="F292" s="27"/>
      <c r="G292" s="27"/>
      <c r="H292" s="27"/>
      <c r="I292" s="27"/>
      <c r="J292" s="27"/>
      <c r="K292" s="7"/>
      <c r="L292" s="27"/>
      <c r="N292" s="8"/>
      <c r="O292" s="7"/>
      <c r="P292" s="7"/>
      <c r="Q292" s="7"/>
      <c r="R292" s="7"/>
    </row>
    <row r="293" spans="2:18">
      <c r="B293" s="28"/>
      <c r="C293" s="27"/>
      <c r="D293" s="27"/>
      <c r="E293" s="27"/>
      <c r="F293" s="27"/>
      <c r="G293" s="27"/>
      <c r="H293" s="27"/>
      <c r="I293" s="27"/>
      <c r="J293" s="27"/>
      <c r="K293" s="7"/>
      <c r="L293" s="27"/>
      <c r="N293" s="8"/>
      <c r="O293" s="7"/>
      <c r="P293" s="7"/>
      <c r="Q293" s="7"/>
      <c r="R293" s="7"/>
    </row>
    <row r="294" spans="2:18">
      <c r="B294" s="28"/>
      <c r="C294" s="27"/>
      <c r="D294" s="27"/>
      <c r="E294" s="27"/>
      <c r="F294" s="27"/>
      <c r="G294" s="27"/>
      <c r="H294" s="27"/>
      <c r="I294" s="27"/>
      <c r="J294" s="27"/>
      <c r="K294" s="7"/>
      <c r="L294" s="27"/>
      <c r="N294" s="8"/>
      <c r="O294" s="7"/>
      <c r="P294" s="7"/>
      <c r="Q294" s="7"/>
      <c r="R294" s="7"/>
    </row>
    <row r="295" spans="2:18">
      <c r="B295" s="28"/>
      <c r="C295" s="27"/>
      <c r="D295" s="27"/>
      <c r="E295" s="27"/>
      <c r="F295" s="27"/>
      <c r="G295" s="27"/>
      <c r="H295" s="27"/>
      <c r="I295" s="27"/>
      <c r="J295" s="27"/>
      <c r="K295" s="7"/>
      <c r="L295" s="27"/>
      <c r="N295" s="8"/>
      <c r="O295" s="7"/>
      <c r="P295" s="7"/>
      <c r="Q295" s="7"/>
      <c r="R295" s="7"/>
    </row>
    <row r="296" spans="2:18">
      <c r="B296" s="28"/>
      <c r="C296" s="27"/>
      <c r="D296" s="27"/>
      <c r="E296" s="27"/>
      <c r="F296" s="27"/>
      <c r="G296" s="27"/>
      <c r="H296" s="27"/>
      <c r="I296" s="27"/>
      <c r="J296" s="27"/>
      <c r="K296" s="7"/>
      <c r="L296" s="27"/>
      <c r="N296" s="8"/>
      <c r="O296" s="7"/>
      <c r="P296" s="7"/>
      <c r="Q296" s="7"/>
      <c r="R296" s="7"/>
    </row>
    <row r="297" spans="2:18">
      <c r="B297" s="28"/>
      <c r="C297" s="27"/>
      <c r="D297" s="27"/>
      <c r="E297" s="27"/>
      <c r="F297" s="27"/>
      <c r="G297" s="27"/>
      <c r="H297" s="27"/>
      <c r="I297" s="27"/>
      <c r="J297" s="27"/>
      <c r="K297" s="7"/>
      <c r="L297" s="27"/>
      <c r="N297" s="8"/>
      <c r="O297" s="7"/>
      <c r="P297" s="7"/>
      <c r="Q297" s="7"/>
      <c r="R297" s="7"/>
    </row>
    <row r="298" spans="2:18">
      <c r="B298" s="28"/>
      <c r="C298" s="27"/>
      <c r="D298" s="27"/>
      <c r="E298" s="27"/>
      <c r="F298" s="27"/>
      <c r="G298" s="27"/>
      <c r="H298" s="27"/>
      <c r="I298" s="27"/>
      <c r="J298" s="27"/>
      <c r="K298" s="7"/>
      <c r="L298" s="27"/>
      <c r="N298" s="8"/>
      <c r="O298" s="7"/>
      <c r="P298" s="7"/>
      <c r="Q298" s="7"/>
      <c r="R298" s="7"/>
    </row>
    <row r="299" spans="2:18">
      <c r="B299" s="28"/>
      <c r="C299" s="27"/>
      <c r="D299" s="27"/>
      <c r="E299" s="27"/>
      <c r="F299" s="27"/>
      <c r="G299" s="27"/>
      <c r="H299" s="27"/>
      <c r="I299" s="27"/>
      <c r="J299" s="27"/>
      <c r="K299" s="7"/>
      <c r="L299" s="27"/>
      <c r="N299" s="8"/>
      <c r="O299" s="7"/>
      <c r="P299" s="7"/>
      <c r="Q299" s="7"/>
      <c r="R299" s="7"/>
    </row>
    <row r="300" spans="2:18">
      <c r="B300" s="28"/>
      <c r="C300" s="27"/>
      <c r="D300" s="27"/>
      <c r="E300" s="27"/>
      <c r="F300" s="27"/>
      <c r="G300" s="27"/>
      <c r="H300" s="27"/>
      <c r="I300" s="27"/>
      <c r="J300" s="27"/>
      <c r="K300" s="7"/>
      <c r="L300" s="27"/>
      <c r="N300" s="8"/>
      <c r="O300" s="7"/>
      <c r="P300" s="7"/>
      <c r="Q300" s="7"/>
      <c r="R300" s="7"/>
    </row>
    <row r="301" spans="2:18">
      <c r="B301" s="28"/>
      <c r="C301" s="27"/>
      <c r="D301" s="27"/>
      <c r="E301" s="27"/>
      <c r="F301" s="27"/>
      <c r="G301" s="27"/>
      <c r="H301" s="27"/>
      <c r="I301" s="27"/>
      <c r="J301" s="27"/>
      <c r="K301" s="7"/>
      <c r="L301" s="27"/>
      <c r="N301" s="8"/>
      <c r="O301" s="7"/>
      <c r="P301" s="7"/>
      <c r="Q301" s="7"/>
      <c r="R301" s="7"/>
    </row>
    <row r="302" spans="2:18">
      <c r="B302" s="28"/>
      <c r="C302" s="27"/>
      <c r="D302" s="27"/>
      <c r="E302" s="27"/>
      <c r="F302" s="27"/>
      <c r="G302" s="27"/>
      <c r="H302" s="27"/>
      <c r="I302" s="27"/>
      <c r="J302" s="27"/>
      <c r="K302" s="7"/>
      <c r="L302" s="27"/>
      <c r="N302" s="8"/>
      <c r="O302" s="7"/>
      <c r="P302" s="7"/>
      <c r="Q302" s="7"/>
      <c r="R302" s="7"/>
    </row>
    <row r="303" spans="2:18">
      <c r="B303" s="28"/>
      <c r="C303" s="27"/>
      <c r="D303" s="27"/>
      <c r="E303" s="27"/>
      <c r="F303" s="27"/>
      <c r="G303" s="27"/>
      <c r="H303" s="27"/>
      <c r="I303" s="27"/>
      <c r="J303" s="27"/>
      <c r="K303" s="7"/>
      <c r="L303" s="27"/>
      <c r="N303" s="8"/>
      <c r="O303" s="7"/>
      <c r="P303" s="7"/>
      <c r="Q303" s="7"/>
      <c r="R303" s="7"/>
    </row>
    <row r="304" spans="2:18">
      <c r="B304" s="28"/>
      <c r="C304" s="27"/>
      <c r="D304" s="27"/>
      <c r="E304" s="27"/>
      <c r="F304" s="27"/>
      <c r="G304" s="27"/>
      <c r="H304" s="27"/>
      <c r="I304" s="27"/>
      <c r="J304" s="27"/>
      <c r="K304" s="7"/>
      <c r="L304" s="27"/>
      <c r="N304" s="8"/>
      <c r="O304" s="7"/>
      <c r="P304" s="7"/>
      <c r="Q304" s="7"/>
      <c r="R304" s="7"/>
    </row>
    <row r="305" spans="2:18">
      <c r="B305" s="28"/>
      <c r="C305" s="27"/>
      <c r="D305" s="27"/>
      <c r="E305" s="27"/>
      <c r="F305" s="27"/>
      <c r="G305" s="27"/>
      <c r="H305" s="27"/>
      <c r="I305" s="27"/>
      <c r="J305" s="27"/>
      <c r="K305" s="7"/>
      <c r="L305" s="27"/>
      <c r="N305" s="8"/>
      <c r="O305" s="7"/>
      <c r="P305" s="7"/>
      <c r="Q305" s="7"/>
      <c r="R305" s="7"/>
    </row>
    <row r="306" spans="2:18">
      <c r="B306" s="28"/>
      <c r="C306" s="27"/>
      <c r="D306" s="27"/>
      <c r="E306" s="27"/>
      <c r="F306" s="27"/>
      <c r="G306" s="27"/>
      <c r="H306" s="27"/>
      <c r="I306" s="27"/>
      <c r="J306" s="27"/>
      <c r="K306" s="7"/>
      <c r="L306" s="27"/>
      <c r="N306" s="8"/>
      <c r="O306" s="7"/>
      <c r="P306" s="7"/>
      <c r="Q306" s="7"/>
      <c r="R306" s="7"/>
    </row>
    <row r="307" spans="2:18">
      <c r="B307" s="28"/>
      <c r="C307" s="27"/>
      <c r="D307" s="27"/>
      <c r="E307" s="27"/>
      <c r="F307" s="27"/>
      <c r="G307" s="27"/>
      <c r="H307" s="27"/>
      <c r="I307" s="27"/>
      <c r="J307" s="27"/>
      <c r="K307" s="7"/>
      <c r="L307" s="27"/>
      <c r="N307" s="8"/>
      <c r="O307" s="7"/>
      <c r="P307" s="7"/>
      <c r="Q307" s="7"/>
      <c r="R307" s="7"/>
    </row>
    <row r="308" spans="2:18">
      <c r="B308" s="28"/>
      <c r="C308" s="27"/>
      <c r="D308" s="27"/>
      <c r="E308" s="27"/>
      <c r="F308" s="27"/>
      <c r="G308" s="27"/>
      <c r="H308" s="27"/>
      <c r="I308" s="27"/>
      <c r="J308" s="27"/>
      <c r="K308" s="7"/>
      <c r="L308" s="27"/>
      <c r="N308" s="8"/>
      <c r="O308" s="7"/>
      <c r="P308" s="7"/>
      <c r="Q308" s="7"/>
      <c r="R308" s="7"/>
    </row>
    <row r="309" spans="2:18">
      <c r="B309" s="28"/>
      <c r="C309" s="27"/>
      <c r="D309" s="27"/>
      <c r="E309" s="27"/>
      <c r="F309" s="27"/>
      <c r="G309" s="27"/>
      <c r="H309" s="27"/>
      <c r="I309" s="27"/>
      <c r="J309" s="27"/>
      <c r="K309" s="7"/>
      <c r="L309" s="27"/>
      <c r="N309" s="8"/>
      <c r="O309" s="7"/>
      <c r="P309" s="7"/>
      <c r="Q309" s="7"/>
      <c r="R309" s="7"/>
    </row>
    <row r="310" spans="2:18">
      <c r="B310" s="28"/>
      <c r="C310" s="27"/>
      <c r="D310" s="27"/>
      <c r="E310" s="27"/>
      <c r="F310" s="27"/>
      <c r="G310" s="27"/>
      <c r="H310" s="27"/>
      <c r="I310" s="27"/>
      <c r="J310" s="27"/>
      <c r="K310" s="7"/>
      <c r="L310" s="27"/>
      <c r="N310" s="8"/>
      <c r="O310" s="7"/>
      <c r="P310" s="7"/>
      <c r="Q310" s="7"/>
      <c r="R310" s="7"/>
    </row>
    <row r="311" spans="2:18">
      <c r="B311" s="28"/>
      <c r="C311" s="27"/>
      <c r="D311" s="27"/>
      <c r="E311" s="27"/>
      <c r="F311" s="27"/>
      <c r="G311" s="27"/>
      <c r="H311" s="27"/>
      <c r="I311" s="27"/>
      <c r="J311" s="27"/>
      <c r="K311" s="7"/>
      <c r="L311" s="27"/>
      <c r="N311" s="8"/>
      <c r="O311" s="7"/>
      <c r="P311" s="7"/>
      <c r="Q311" s="7"/>
      <c r="R311" s="7"/>
    </row>
    <row r="312" spans="2:18">
      <c r="B312" s="28"/>
      <c r="C312" s="27"/>
      <c r="D312" s="27"/>
      <c r="E312" s="27"/>
      <c r="F312" s="27"/>
      <c r="G312" s="27"/>
      <c r="H312" s="27"/>
      <c r="I312" s="27"/>
      <c r="J312" s="27"/>
      <c r="K312" s="7"/>
      <c r="L312" s="27"/>
      <c r="N312" s="8"/>
      <c r="O312" s="7"/>
      <c r="P312" s="7"/>
      <c r="Q312" s="7"/>
      <c r="R312" s="7"/>
    </row>
    <row r="313" spans="2:18">
      <c r="B313" s="28"/>
      <c r="C313" s="27"/>
      <c r="D313" s="27"/>
      <c r="E313" s="27"/>
      <c r="F313" s="27"/>
      <c r="G313" s="27"/>
      <c r="H313" s="27"/>
      <c r="I313" s="27"/>
      <c r="J313" s="27"/>
      <c r="K313" s="7"/>
      <c r="L313" s="27"/>
      <c r="N313" s="8"/>
      <c r="O313" s="7"/>
      <c r="P313" s="7"/>
      <c r="Q313" s="7"/>
      <c r="R313" s="7"/>
    </row>
    <row r="314" spans="2:18">
      <c r="B314" s="28"/>
      <c r="C314" s="27"/>
      <c r="D314" s="27"/>
      <c r="E314" s="27"/>
      <c r="F314" s="27"/>
      <c r="G314" s="27"/>
      <c r="H314" s="27"/>
      <c r="I314" s="27"/>
      <c r="J314" s="27"/>
      <c r="K314" s="7"/>
      <c r="L314" s="27"/>
      <c r="N314" s="8"/>
      <c r="O314" s="7"/>
      <c r="P314" s="7"/>
      <c r="Q314" s="7"/>
      <c r="R314" s="7"/>
    </row>
    <row r="315" spans="2:18">
      <c r="B315" s="28"/>
      <c r="C315" s="27"/>
      <c r="D315" s="27"/>
      <c r="E315" s="27"/>
      <c r="F315" s="27"/>
      <c r="G315" s="27"/>
      <c r="H315" s="27"/>
      <c r="I315" s="27"/>
      <c r="J315" s="27"/>
      <c r="K315" s="7"/>
      <c r="L315" s="27"/>
      <c r="N315" s="8"/>
      <c r="O315" s="7"/>
      <c r="P315" s="7"/>
      <c r="Q315" s="7"/>
      <c r="R315" s="7"/>
    </row>
    <row r="316" spans="2:18">
      <c r="B316" s="28"/>
      <c r="C316" s="27"/>
      <c r="D316" s="27"/>
      <c r="E316" s="27"/>
      <c r="F316" s="27"/>
      <c r="G316" s="27"/>
      <c r="H316" s="27"/>
      <c r="I316" s="27"/>
      <c r="J316" s="27"/>
      <c r="K316" s="7"/>
      <c r="L316" s="27"/>
      <c r="N316" s="8"/>
      <c r="O316" s="7"/>
      <c r="P316" s="7"/>
      <c r="Q316" s="7"/>
      <c r="R316" s="7"/>
    </row>
    <row r="317" spans="2:18">
      <c r="B317" s="28"/>
      <c r="C317" s="27"/>
      <c r="D317" s="27"/>
      <c r="E317" s="27"/>
      <c r="F317" s="27"/>
      <c r="G317" s="27"/>
      <c r="H317" s="27"/>
      <c r="I317" s="27"/>
      <c r="J317" s="27"/>
      <c r="K317" s="7"/>
      <c r="L317" s="27"/>
      <c r="N317" s="8"/>
      <c r="O317" s="7"/>
      <c r="P317" s="7"/>
      <c r="Q317" s="7"/>
      <c r="R317" s="7"/>
    </row>
    <row r="318" spans="2:18">
      <c r="B318" s="28"/>
      <c r="C318" s="27"/>
      <c r="D318" s="27"/>
      <c r="E318" s="27"/>
      <c r="F318" s="27"/>
      <c r="G318" s="27"/>
      <c r="H318" s="27"/>
      <c r="I318" s="27"/>
      <c r="J318" s="27"/>
      <c r="K318" s="7"/>
      <c r="L318" s="27"/>
      <c r="N318" s="8"/>
      <c r="O318" s="7"/>
      <c r="P318" s="7"/>
      <c r="Q318" s="7"/>
      <c r="R318" s="7"/>
    </row>
    <row r="319" spans="2:18">
      <c r="B319" s="28"/>
      <c r="C319" s="27"/>
      <c r="D319" s="27"/>
      <c r="E319" s="27"/>
      <c r="F319" s="27"/>
      <c r="G319" s="27"/>
      <c r="H319" s="27"/>
      <c r="I319" s="27"/>
      <c r="J319" s="27"/>
      <c r="K319" s="7"/>
      <c r="L319" s="27"/>
      <c r="N319" s="8"/>
      <c r="O319" s="7"/>
      <c r="P319" s="7"/>
      <c r="Q319" s="7"/>
      <c r="R319" s="7"/>
    </row>
    <row r="320" spans="2:18">
      <c r="B320" s="28"/>
      <c r="C320" s="27"/>
      <c r="D320" s="27"/>
      <c r="E320" s="27"/>
      <c r="F320" s="27"/>
      <c r="G320" s="27"/>
      <c r="H320" s="27"/>
      <c r="I320" s="27"/>
      <c r="J320" s="27"/>
      <c r="K320" s="7"/>
      <c r="L320" s="27"/>
      <c r="N320" s="8"/>
      <c r="O320" s="7"/>
      <c r="P320" s="7"/>
      <c r="Q320" s="7"/>
      <c r="R320" s="7"/>
    </row>
    <row r="321" spans="2:18">
      <c r="B321" s="28"/>
      <c r="C321" s="27"/>
      <c r="D321" s="27"/>
      <c r="E321" s="27"/>
      <c r="F321" s="27"/>
      <c r="G321" s="27"/>
      <c r="H321" s="27"/>
      <c r="I321" s="27"/>
      <c r="J321" s="27"/>
      <c r="K321" s="7"/>
      <c r="L321" s="27"/>
      <c r="N321" s="8"/>
      <c r="O321" s="7"/>
      <c r="P321" s="7"/>
      <c r="Q321" s="7"/>
      <c r="R321" s="7"/>
    </row>
    <row r="322" spans="2:18">
      <c r="B322" s="28"/>
      <c r="C322" s="27"/>
      <c r="D322" s="27"/>
      <c r="E322" s="27"/>
      <c r="F322" s="27"/>
      <c r="G322" s="27"/>
      <c r="H322" s="27"/>
      <c r="I322" s="27"/>
      <c r="J322" s="27"/>
      <c r="K322" s="7"/>
      <c r="L322" s="27"/>
      <c r="N322" s="8"/>
      <c r="O322" s="7"/>
      <c r="P322" s="7"/>
      <c r="Q322" s="7"/>
      <c r="R322" s="7"/>
    </row>
    <row r="323" spans="2:18">
      <c r="B323" s="28"/>
      <c r="C323" s="27"/>
      <c r="D323" s="27"/>
      <c r="E323" s="27"/>
      <c r="F323" s="27"/>
      <c r="G323" s="27"/>
      <c r="H323" s="27"/>
      <c r="I323" s="27"/>
      <c r="J323" s="27"/>
      <c r="K323" s="7"/>
      <c r="L323" s="27"/>
      <c r="N323" s="8"/>
      <c r="O323" s="7"/>
      <c r="P323" s="7"/>
      <c r="Q323" s="7"/>
      <c r="R323" s="7"/>
    </row>
    <row r="324" spans="2:18">
      <c r="B324" s="28"/>
      <c r="C324" s="27"/>
      <c r="D324" s="27"/>
      <c r="E324" s="27"/>
      <c r="F324" s="27"/>
      <c r="G324" s="27"/>
      <c r="H324" s="27"/>
      <c r="I324" s="27"/>
      <c r="J324" s="27"/>
      <c r="K324" s="7"/>
      <c r="L324" s="27"/>
      <c r="N324" s="8"/>
      <c r="O324" s="7"/>
      <c r="P324" s="7"/>
      <c r="Q324" s="7"/>
      <c r="R324" s="7"/>
    </row>
    <row r="325" spans="2:18">
      <c r="B325" s="28"/>
      <c r="C325" s="27"/>
      <c r="D325" s="27"/>
      <c r="E325" s="27"/>
      <c r="F325" s="27"/>
      <c r="G325" s="27"/>
      <c r="H325" s="27"/>
      <c r="I325" s="27"/>
      <c r="J325" s="27"/>
      <c r="K325" s="7"/>
      <c r="L325" s="27"/>
      <c r="N325" s="8"/>
      <c r="O325" s="7"/>
      <c r="P325" s="7"/>
      <c r="Q325" s="7"/>
      <c r="R325" s="7"/>
    </row>
    <row r="326" spans="2:18">
      <c r="B326" s="28"/>
      <c r="C326" s="27"/>
      <c r="D326" s="27"/>
      <c r="E326" s="27"/>
      <c r="F326" s="27"/>
      <c r="G326" s="27"/>
      <c r="H326" s="27"/>
      <c r="I326" s="27"/>
      <c r="J326" s="27"/>
      <c r="K326" s="7"/>
      <c r="L326" s="27"/>
      <c r="N326" s="8"/>
      <c r="O326" s="7"/>
      <c r="P326" s="7"/>
      <c r="Q326" s="7"/>
      <c r="R326" s="7"/>
    </row>
    <row r="327" spans="2:18">
      <c r="B327" s="28"/>
      <c r="C327" s="27"/>
      <c r="D327" s="27"/>
      <c r="E327" s="27"/>
      <c r="F327" s="27"/>
      <c r="G327" s="27"/>
      <c r="H327" s="27"/>
      <c r="I327" s="27"/>
      <c r="J327" s="27"/>
      <c r="K327" s="7"/>
      <c r="L327" s="27"/>
      <c r="N327" s="8"/>
      <c r="O327" s="7"/>
      <c r="P327" s="7"/>
      <c r="Q327" s="7"/>
      <c r="R327" s="7"/>
    </row>
    <row r="328" spans="2:18">
      <c r="B328" s="28"/>
      <c r="C328" s="27"/>
      <c r="D328" s="27"/>
      <c r="E328" s="27"/>
      <c r="F328" s="27"/>
      <c r="G328" s="27"/>
      <c r="H328" s="27"/>
      <c r="I328" s="27"/>
      <c r="J328" s="27"/>
      <c r="K328" s="7"/>
      <c r="L328" s="27"/>
      <c r="N328" s="8"/>
      <c r="O328" s="7"/>
      <c r="P328" s="7"/>
      <c r="Q328" s="7"/>
      <c r="R328" s="7"/>
    </row>
    <row r="329" spans="2:18">
      <c r="B329" s="28"/>
      <c r="C329" s="27"/>
      <c r="D329" s="27"/>
      <c r="E329" s="27"/>
      <c r="F329" s="27"/>
      <c r="G329" s="27"/>
      <c r="H329" s="27"/>
      <c r="I329" s="27"/>
      <c r="J329" s="27"/>
      <c r="K329" s="7"/>
      <c r="L329" s="27"/>
      <c r="N329" s="8"/>
      <c r="O329" s="7"/>
      <c r="P329" s="7"/>
      <c r="Q329" s="7"/>
      <c r="R329" s="7"/>
    </row>
    <row r="330" spans="2:18">
      <c r="B330" s="28"/>
      <c r="C330" s="27"/>
      <c r="D330" s="27"/>
      <c r="E330" s="27"/>
      <c r="F330" s="27"/>
      <c r="G330" s="27"/>
      <c r="H330" s="27"/>
      <c r="I330" s="27"/>
      <c r="J330" s="27"/>
      <c r="K330" s="7"/>
      <c r="L330" s="27"/>
      <c r="N330" s="8"/>
      <c r="O330" s="7"/>
      <c r="P330" s="7"/>
      <c r="Q330" s="7"/>
      <c r="R330" s="7"/>
    </row>
    <row r="331" spans="2:18">
      <c r="B331" s="28"/>
      <c r="C331" s="27"/>
      <c r="D331" s="27"/>
      <c r="E331" s="27"/>
      <c r="F331" s="27"/>
      <c r="G331" s="27"/>
      <c r="H331" s="27"/>
      <c r="I331" s="27"/>
      <c r="J331" s="27"/>
      <c r="K331" s="7"/>
      <c r="L331" s="27"/>
      <c r="N331" s="8"/>
      <c r="O331" s="7"/>
      <c r="P331" s="7"/>
      <c r="Q331" s="7"/>
      <c r="R331" s="7"/>
    </row>
    <row r="332" spans="2:18">
      <c r="B332" s="28"/>
      <c r="C332" s="27"/>
      <c r="D332" s="27"/>
      <c r="E332" s="27"/>
      <c r="F332" s="27"/>
      <c r="G332" s="27"/>
      <c r="H332" s="27"/>
      <c r="I332" s="27"/>
      <c r="J332" s="27"/>
      <c r="K332" s="7"/>
      <c r="L332" s="27"/>
      <c r="N332" s="8"/>
      <c r="O332" s="7"/>
      <c r="P332" s="7"/>
      <c r="Q332" s="7"/>
      <c r="R332" s="7"/>
    </row>
    <row r="333" spans="2:18">
      <c r="B333" s="28"/>
      <c r="C333" s="27"/>
      <c r="D333" s="27"/>
      <c r="E333" s="27"/>
      <c r="F333" s="27"/>
      <c r="G333" s="27"/>
      <c r="H333" s="27"/>
      <c r="I333" s="27"/>
      <c r="J333" s="27"/>
      <c r="K333" s="7"/>
      <c r="L333" s="27"/>
      <c r="N333" s="8"/>
      <c r="O333" s="7"/>
      <c r="P333" s="7"/>
      <c r="Q333" s="7"/>
      <c r="R333" s="7"/>
    </row>
    <row r="334" spans="2:18">
      <c r="B334" s="28"/>
      <c r="C334" s="27"/>
      <c r="D334" s="27"/>
      <c r="E334" s="27"/>
      <c r="F334" s="27"/>
      <c r="G334" s="27"/>
      <c r="H334" s="27"/>
      <c r="I334" s="27"/>
      <c r="J334" s="27"/>
      <c r="K334" s="7"/>
      <c r="L334" s="27"/>
      <c r="N334" s="8"/>
      <c r="O334" s="7"/>
      <c r="P334" s="7"/>
      <c r="Q334" s="7"/>
      <c r="R334" s="7"/>
    </row>
    <row r="335" spans="2:18">
      <c r="B335" s="28"/>
      <c r="C335" s="27"/>
      <c r="D335" s="27"/>
      <c r="E335" s="27"/>
      <c r="F335" s="27"/>
      <c r="G335" s="27"/>
      <c r="H335" s="27"/>
      <c r="I335" s="27"/>
      <c r="J335" s="27"/>
      <c r="K335" s="7"/>
      <c r="L335" s="27"/>
      <c r="N335" s="8"/>
      <c r="O335" s="7"/>
      <c r="P335" s="7"/>
      <c r="Q335" s="7"/>
      <c r="R335" s="7"/>
    </row>
    <row r="336" spans="2:18">
      <c r="B336" s="28"/>
      <c r="C336" s="27"/>
      <c r="D336" s="27"/>
      <c r="E336" s="27"/>
      <c r="F336" s="27"/>
      <c r="G336" s="27"/>
      <c r="H336" s="27"/>
      <c r="I336" s="27"/>
      <c r="J336" s="27"/>
      <c r="K336" s="7"/>
      <c r="L336" s="27"/>
      <c r="N336" s="8"/>
      <c r="O336" s="7"/>
      <c r="P336" s="7"/>
      <c r="Q336" s="7"/>
      <c r="R336" s="7"/>
    </row>
    <row r="337" spans="2:18">
      <c r="B337" s="28"/>
      <c r="C337" s="27"/>
      <c r="D337" s="27"/>
      <c r="E337" s="27"/>
      <c r="F337" s="27"/>
      <c r="G337" s="27"/>
      <c r="H337" s="27"/>
      <c r="I337" s="27"/>
      <c r="J337" s="27"/>
      <c r="K337" s="7"/>
      <c r="L337" s="27"/>
      <c r="N337" s="8"/>
      <c r="O337" s="7"/>
      <c r="P337" s="7"/>
      <c r="Q337" s="7"/>
      <c r="R337" s="7"/>
    </row>
    <row r="338" spans="2:18">
      <c r="B338" s="28"/>
      <c r="C338" s="27"/>
      <c r="D338" s="27"/>
      <c r="E338" s="27"/>
      <c r="F338" s="27"/>
      <c r="G338" s="27"/>
      <c r="H338" s="27"/>
      <c r="I338" s="27"/>
      <c r="J338" s="27"/>
      <c r="K338" s="7"/>
      <c r="L338" s="27"/>
      <c r="N338" s="8"/>
      <c r="O338" s="7"/>
      <c r="P338" s="7"/>
      <c r="Q338" s="7"/>
      <c r="R338" s="7"/>
    </row>
    <row r="339" spans="2:18">
      <c r="B339" s="28"/>
      <c r="C339" s="27"/>
      <c r="D339" s="27"/>
      <c r="E339" s="27"/>
      <c r="F339" s="27"/>
      <c r="G339" s="27"/>
      <c r="H339" s="27"/>
      <c r="I339" s="27"/>
      <c r="J339" s="27"/>
      <c r="K339" s="7"/>
      <c r="L339" s="27"/>
      <c r="N339" s="8"/>
      <c r="O339" s="7"/>
      <c r="P339" s="7"/>
      <c r="Q339" s="7"/>
      <c r="R339" s="7"/>
    </row>
    <row r="340" spans="2:18">
      <c r="B340" s="28"/>
      <c r="C340" s="27"/>
      <c r="D340" s="27"/>
      <c r="E340" s="27"/>
      <c r="F340" s="27"/>
      <c r="G340" s="27"/>
      <c r="H340" s="27"/>
      <c r="I340" s="27"/>
      <c r="J340" s="27"/>
      <c r="K340" s="7"/>
      <c r="L340" s="27"/>
      <c r="N340" s="8"/>
      <c r="O340" s="7"/>
      <c r="P340" s="7"/>
      <c r="Q340" s="7"/>
      <c r="R340" s="7"/>
    </row>
    <row r="341" spans="2:18">
      <c r="B341" s="28"/>
      <c r="C341" s="27"/>
      <c r="D341" s="27"/>
      <c r="E341" s="27"/>
      <c r="F341" s="27"/>
      <c r="G341" s="27"/>
      <c r="H341" s="27"/>
      <c r="I341" s="27"/>
      <c r="J341" s="27"/>
      <c r="K341" s="7"/>
      <c r="L341" s="27"/>
      <c r="N341" s="8"/>
      <c r="O341" s="7"/>
      <c r="P341" s="7"/>
      <c r="Q341" s="7"/>
      <c r="R341" s="7"/>
    </row>
    <row r="342" spans="2:18">
      <c r="B342" s="28"/>
      <c r="C342" s="27"/>
      <c r="D342" s="27"/>
      <c r="E342" s="27"/>
      <c r="F342" s="27"/>
      <c r="G342" s="27"/>
      <c r="H342" s="27"/>
      <c r="I342" s="27"/>
      <c r="J342" s="27"/>
      <c r="K342" s="7"/>
      <c r="L342" s="27"/>
      <c r="N342" s="8"/>
      <c r="O342" s="7"/>
      <c r="P342" s="7"/>
      <c r="Q342" s="7"/>
      <c r="R342" s="7"/>
    </row>
    <row r="343" spans="2:18">
      <c r="B343" s="28"/>
      <c r="C343" s="27"/>
      <c r="D343" s="27"/>
      <c r="E343" s="27"/>
      <c r="F343" s="27"/>
      <c r="G343" s="27"/>
      <c r="H343" s="27"/>
      <c r="I343" s="27"/>
      <c r="J343" s="27"/>
      <c r="K343" s="7"/>
      <c r="L343" s="27"/>
      <c r="N343" s="8"/>
      <c r="O343" s="7"/>
      <c r="P343" s="7"/>
      <c r="Q343" s="7"/>
      <c r="R343" s="7"/>
    </row>
    <row r="344" spans="2:18">
      <c r="B344" s="28"/>
      <c r="C344" s="27"/>
      <c r="D344" s="27"/>
      <c r="E344" s="27"/>
      <c r="F344" s="27"/>
      <c r="G344" s="27"/>
      <c r="H344" s="27"/>
      <c r="I344" s="27"/>
      <c r="J344" s="27"/>
      <c r="K344" s="7"/>
      <c r="L344" s="27"/>
      <c r="N344" s="8"/>
      <c r="O344" s="7"/>
      <c r="P344" s="7"/>
      <c r="Q344" s="7"/>
      <c r="R344" s="7"/>
    </row>
    <row r="345" spans="2:18">
      <c r="B345" s="28"/>
      <c r="C345" s="27"/>
      <c r="D345" s="27"/>
      <c r="E345" s="27"/>
      <c r="F345" s="27"/>
      <c r="G345" s="27"/>
      <c r="H345" s="27"/>
      <c r="I345" s="27"/>
      <c r="J345" s="27"/>
      <c r="K345" s="7"/>
      <c r="L345" s="27"/>
      <c r="N345" s="8"/>
      <c r="O345" s="7"/>
      <c r="P345" s="7"/>
      <c r="Q345" s="7"/>
      <c r="R345" s="7"/>
    </row>
    <row r="346" spans="2:18">
      <c r="B346" s="28"/>
      <c r="C346" s="27"/>
      <c r="D346" s="27"/>
      <c r="E346" s="27"/>
      <c r="F346" s="27"/>
      <c r="G346" s="27"/>
      <c r="H346" s="27"/>
      <c r="I346" s="27"/>
      <c r="J346" s="27"/>
      <c r="K346" s="7"/>
      <c r="L346" s="27"/>
      <c r="N346" s="8"/>
      <c r="O346" s="7"/>
      <c r="P346" s="7"/>
      <c r="Q346" s="7"/>
      <c r="R346" s="7"/>
    </row>
    <row r="347" spans="2:18">
      <c r="B347" s="28"/>
      <c r="C347" s="27"/>
      <c r="D347" s="27"/>
      <c r="E347" s="27"/>
      <c r="F347" s="27"/>
      <c r="G347" s="27"/>
      <c r="H347" s="27"/>
      <c r="I347" s="27"/>
      <c r="J347" s="27"/>
      <c r="K347" s="7"/>
      <c r="L347" s="27"/>
      <c r="N347" s="8"/>
      <c r="O347" s="7"/>
      <c r="P347" s="7"/>
      <c r="Q347" s="7"/>
      <c r="R347" s="7"/>
    </row>
    <row r="348" spans="2:18">
      <c r="B348" s="28"/>
      <c r="C348" s="27"/>
      <c r="D348" s="27"/>
      <c r="E348" s="27"/>
      <c r="F348" s="27"/>
      <c r="G348" s="27"/>
      <c r="H348" s="27"/>
      <c r="I348" s="27"/>
      <c r="J348" s="27"/>
      <c r="K348" s="7"/>
      <c r="L348" s="27"/>
      <c r="N348" s="8"/>
      <c r="O348" s="7"/>
      <c r="P348" s="7"/>
      <c r="Q348" s="7"/>
      <c r="R348" s="7"/>
    </row>
    <row r="349" spans="2:18">
      <c r="B349" s="28"/>
      <c r="C349" s="27"/>
      <c r="D349" s="27"/>
      <c r="E349" s="27"/>
      <c r="F349" s="27"/>
      <c r="G349" s="27"/>
      <c r="H349" s="27"/>
      <c r="I349" s="27"/>
      <c r="J349" s="27"/>
      <c r="K349" s="7"/>
      <c r="L349" s="27"/>
      <c r="N349" s="8"/>
      <c r="O349" s="7"/>
      <c r="P349" s="7"/>
      <c r="Q349" s="7"/>
      <c r="R349" s="7"/>
    </row>
    <row r="350" spans="2:18">
      <c r="B350" s="28"/>
      <c r="C350" s="27"/>
      <c r="D350" s="27"/>
      <c r="E350" s="27"/>
      <c r="F350" s="27"/>
      <c r="G350" s="27"/>
      <c r="H350" s="27"/>
      <c r="I350" s="27"/>
      <c r="J350" s="27"/>
      <c r="K350" s="7"/>
      <c r="L350" s="27"/>
      <c r="N350" s="8"/>
      <c r="O350" s="7"/>
      <c r="P350" s="7"/>
      <c r="Q350" s="7"/>
      <c r="R350" s="7"/>
    </row>
    <row r="351" spans="2:18">
      <c r="B351" s="28"/>
      <c r="C351" s="27"/>
      <c r="D351" s="27"/>
      <c r="E351" s="27"/>
      <c r="F351" s="27"/>
      <c r="G351" s="27"/>
      <c r="H351" s="27"/>
      <c r="I351" s="27"/>
      <c r="J351" s="27"/>
      <c r="K351" s="7"/>
      <c r="L351" s="27"/>
      <c r="N351" s="8"/>
      <c r="O351" s="7"/>
      <c r="P351" s="7"/>
      <c r="Q351" s="7"/>
      <c r="R351" s="7"/>
    </row>
    <row r="352" spans="2:18">
      <c r="B352" s="28"/>
      <c r="C352" s="27"/>
      <c r="D352" s="27"/>
      <c r="E352" s="27"/>
      <c r="F352" s="27"/>
      <c r="G352" s="27"/>
      <c r="H352" s="27"/>
      <c r="I352" s="27"/>
      <c r="J352" s="27"/>
      <c r="K352" s="7"/>
      <c r="L352" s="27"/>
      <c r="N352" s="8"/>
      <c r="O352" s="7"/>
      <c r="P352" s="7"/>
      <c r="Q352" s="7"/>
      <c r="R352" s="7"/>
    </row>
    <row r="353" spans="2:18">
      <c r="B353" s="28"/>
      <c r="C353" s="27"/>
      <c r="D353" s="27"/>
      <c r="E353" s="27"/>
      <c r="F353" s="27"/>
      <c r="G353" s="27"/>
      <c r="H353" s="27"/>
      <c r="I353" s="27"/>
      <c r="J353" s="27"/>
      <c r="K353" s="7"/>
      <c r="L353" s="27"/>
      <c r="N353" s="8"/>
      <c r="O353" s="7"/>
      <c r="P353" s="7"/>
      <c r="Q353" s="7"/>
      <c r="R353" s="7"/>
    </row>
    <row r="354" spans="2:18">
      <c r="B354" s="28"/>
      <c r="C354" s="27"/>
      <c r="D354" s="27"/>
      <c r="E354" s="27"/>
      <c r="F354" s="27"/>
      <c r="G354" s="27"/>
      <c r="H354" s="27"/>
      <c r="I354" s="27"/>
      <c r="J354" s="27"/>
      <c r="K354" s="7"/>
      <c r="L354" s="27"/>
      <c r="N354" s="8"/>
      <c r="O354" s="7"/>
      <c r="P354" s="7"/>
      <c r="Q354" s="7"/>
      <c r="R354" s="7"/>
    </row>
    <row r="355" spans="2:18">
      <c r="B355" s="28"/>
      <c r="C355" s="27"/>
      <c r="D355" s="27"/>
      <c r="E355" s="27"/>
      <c r="F355" s="27"/>
      <c r="G355" s="27"/>
      <c r="H355" s="27"/>
      <c r="I355" s="27"/>
      <c r="J355" s="27"/>
      <c r="K355" s="7"/>
      <c r="L355" s="27"/>
      <c r="N355" s="8"/>
      <c r="O355" s="7"/>
      <c r="P355" s="7"/>
      <c r="Q355" s="7"/>
      <c r="R355" s="7"/>
    </row>
    <row r="356" spans="2:18">
      <c r="B356" s="28"/>
      <c r="C356" s="27"/>
      <c r="D356" s="27"/>
      <c r="E356" s="27"/>
      <c r="F356" s="27"/>
      <c r="G356" s="27"/>
      <c r="H356" s="27"/>
      <c r="I356" s="27"/>
      <c r="J356" s="27"/>
      <c r="K356" s="7"/>
      <c r="L356" s="27"/>
      <c r="N356" s="8"/>
      <c r="O356" s="7"/>
      <c r="P356" s="7"/>
      <c r="Q356" s="7"/>
      <c r="R356" s="7"/>
    </row>
    <row r="357" spans="2:18">
      <c r="B357" s="28"/>
      <c r="C357" s="27"/>
      <c r="D357" s="27"/>
      <c r="E357" s="27"/>
      <c r="F357" s="27"/>
      <c r="G357" s="27"/>
      <c r="H357" s="27"/>
      <c r="I357" s="27"/>
      <c r="J357" s="27"/>
      <c r="K357" s="7"/>
      <c r="L357" s="27"/>
      <c r="N357" s="8"/>
      <c r="O357" s="7"/>
      <c r="P357" s="7"/>
      <c r="Q357" s="7"/>
      <c r="R357" s="7"/>
    </row>
    <row r="358" spans="2:18">
      <c r="B358" s="28"/>
      <c r="C358" s="27"/>
      <c r="D358" s="27"/>
      <c r="E358" s="27"/>
      <c r="F358" s="27"/>
      <c r="G358" s="27"/>
      <c r="H358" s="27"/>
      <c r="I358" s="27"/>
      <c r="J358" s="27"/>
      <c r="K358" s="7"/>
      <c r="L358" s="27"/>
      <c r="N358" s="8"/>
      <c r="O358" s="7"/>
      <c r="P358" s="7"/>
      <c r="Q358" s="7"/>
      <c r="R358" s="7"/>
    </row>
    <row r="359" spans="2:18">
      <c r="B359" s="28"/>
      <c r="C359" s="27"/>
      <c r="D359" s="27"/>
      <c r="E359" s="27"/>
      <c r="F359" s="27"/>
      <c r="G359" s="27"/>
      <c r="H359" s="27"/>
      <c r="I359" s="27"/>
      <c r="J359" s="27"/>
      <c r="K359" s="7"/>
      <c r="L359" s="27"/>
      <c r="N359" s="8"/>
      <c r="O359" s="7"/>
      <c r="P359" s="7"/>
      <c r="Q359" s="7"/>
      <c r="R359" s="7"/>
    </row>
    <row r="360" spans="2:18">
      <c r="B360" s="28"/>
      <c r="C360" s="27"/>
      <c r="D360" s="27"/>
      <c r="E360" s="27"/>
      <c r="F360" s="27"/>
      <c r="G360" s="27"/>
      <c r="H360" s="27"/>
      <c r="I360" s="27"/>
      <c r="J360" s="27"/>
      <c r="K360" s="7"/>
      <c r="L360" s="27"/>
      <c r="N360" s="8"/>
      <c r="O360" s="7"/>
      <c r="P360" s="7"/>
      <c r="Q360" s="7"/>
      <c r="R360" s="7"/>
    </row>
    <row r="361" spans="2:18">
      <c r="B361" s="28"/>
      <c r="C361" s="27"/>
      <c r="D361" s="27"/>
      <c r="E361" s="27"/>
      <c r="F361" s="27"/>
      <c r="G361" s="27"/>
      <c r="H361" s="27"/>
      <c r="I361" s="27"/>
      <c r="J361" s="27"/>
      <c r="K361" s="7"/>
      <c r="L361" s="27"/>
      <c r="N361" s="8"/>
      <c r="O361" s="7"/>
      <c r="P361" s="7"/>
      <c r="Q361" s="7"/>
      <c r="R361" s="7"/>
    </row>
    <row r="362" spans="2:18">
      <c r="B362" s="28"/>
      <c r="C362" s="27"/>
      <c r="D362" s="27"/>
      <c r="E362" s="27"/>
      <c r="F362" s="27"/>
      <c r="G362" s="27"/>
      <c r="H362" s="27"/>
      <c r="I362" s="27"/>
      <c r="J362" s="27"/>
      <c r="K362" s="7"/>
      <c r="L362" s="27"/>
      <c r="N362" s="8"/>
      <c r="O362" s="7"/>
      <c r="P362" s="7"/>
      <c r="Q362" s="7"/>
      <c r="R362" s="7"/>
    </row>
    <row r="363" spans="2:18">
      <c r="B363" s="28"/>
      <c r="C363" s="27"/>
      <c r="D363" s="27"/>
      <c r="E363" s="27"/>
      <c r="F363" s="27"/>
      <c r="G363" s="27"/>
      <c r="H363" s="27"/>
      <c r="I363" s="27"/>
      <c r="J363" s="27"/>
      <c r="K363" s="7"/>
      <c r="L363" s="27"/>
      <c r="N363" s="8"/>
      <c r="O363" s="7"/>
      <c r="P363" s="7"/>
      <c r="Q363" s="7"/>
      <c r="R363" s="7"/>
    </row>
    <row r="364" spans="2:18">
      <c r="B364" s="28"/>
      <c r="C364" s="27"/>
      <c r="D364" s="27"/>
      <c r="E364" s="27"/>
      <c r="F364" s="27"/>
      <c r="G364" s="27"/>
      <c r="H364" s="27"/>
      <c r="I364" s="27"/>
      <c r="J364" s="27"/>
      <c r="K364" s="7"/>
      <c r="L364" s="27"/>
      <c r="N364" s="8"/>
      <c r="O364" s="7"/>
      <c r="P364" s="7"/>
      <c r="Q364" s="7"/>
      <c r="R364" s="7"/>
    </row>
    <row r="365" spans="2:18">
      <c r="B365" s="28"/>
      <c r="C365" s="27"/>
      <c r="D365" s="27"/>
      <c r="E365" s="27"/>
      <c r="F365" s="27"/>
      <c r="G365" s="27"/>
      <c r="H365" s="27"/>
      <c r="I365" s="27"/>
      <c r="J365" s="27"/>
      <c r="K365" s="7"/>
      <c r="L365" s="27"/>
      <c r="N365" s="8"/>
      <c r="O365" s="7"/>
      <c r="P365" s="7"/>
      <c r="Q365" s="7"/>
      <c r="R365" s="7"/>
    </row>
    <row r="366" spans="2:18">
      <c r="B366" s="28"/>
      <c r="C366" s="27"/>
      <c r="D366" s="27"/>
      <c r="E366" s="27"/>
      <c r="F366" s="27"/>
      <c r="G366" s="27"/>
      <c r="H366" s="27"/>
      <c r="I366" s="27"/>
      <c r="J366" s="27"/>
      <c r="K366" s="7"/>
      <c r="L366" s="27"/>
      <c r="N366" s="8"/>
      <c r="O366" s="7"/>
      <c r="P366" s="7"/>
      <c r="Q366" s="7"/>
      <c r="R366" s="7"/>
    </row>
    <row r="367" spans="2:18">
      <c r="C367" s="7"/>
      <c r="D367" s="7"/>
      <c r="E367" s="7"/>
      <c r="F367" s="7"/>
      <c r="G367" s="7"/>
      <c r="H367" s="7"/>
      <c r="I367" s="7"/>
      <c r="J367" s="7"/>
      <c r="K367" s="7"/>
      <c r="L367" s="27"/>
      <c r="N367" s="8"/>
      <c r="O367" s="7"/>
      <c r="P367" s="7"/>
      <c r="Q367" s="7"/>
      <c r="R367" s="7"/>
    </row>
    <row r="368" spans="2:18">
      <c r="C368" s="7"/>
      <c r="D368" s="7"/>
      <c r="E368" s="7"/>
      <c r="F368" s="7"/>
      <c r="G368" s="7"/>
      <c r="H368" s="7"/>
      <c r="I368" s="7"/>
      <c r="J368" s="7"/>
      <c r="K368" s="7"/>
      <c r="L368" s="27"/>
      <c r="N368" s="8"/>
      <c r="O368" s="7"/>
      <c r="P368" s="7"/>
      <c r="Q368" s="7"/>
      <c r="R368" s="7"/>
    </row>
    <row r="369" spans="3:18">
      <c r="C369" s="7"/>
      <c r="D369" s="7"/>
      <c r="E369" s="7"/>
      <c r="F369" s="7"/>
      <c r="G369" s="7"/>
      <c r="H369" s="7"/>
      <c r="I369" s="7"/>
      <c r="J369" s="7"/>
      <c r="K369" s="7"/>
      <c r="L369" s="27"/>
      <c r="N369" s="8"/>
      <c r="O369" s="7"/>
      <c r="P369" s="7"/>
      <c r="Q369" s="7"/>
      <c r="R369" s="7"/>
    </row>
    <row r="370" spans="3:18">
      <c r="C370" s="7"/>
      <c r="D370" s="7"/>
      <c r="E370" s="7"/>
      <c r="F370" s="7"/>
      <c r="G370" s="7"/>
      <c r="H370" s="7"/>
      <c r="I370" s="7"/>
      <c r="J370" s="7"/>
      <c r="K370" s="7"/>
      <c r="L370" s="27"/>
      <c r="N370" s="8"/>
      <c r="O370" s="7"/>
      <c r="P370" s="7"/>
      <c r="Q370" s="7"/>
      <c r="R370" s="7"/>
    </row>
    <row r="371" spans="3:18">
      <c r="C371" s="7"/>
      <c r="D371" s="7"/>
      <c r="E371" s="7"/>
      <c r="F371" s="7"/>
      <c r="G371" s="7"/>
      <c r="H371" s="7"/>
      <c r="I371" s="7"/>
      <c r="J371" s="7"/>
      <c r="K371" s="7"/>
      <c r="L371" s="27"/>
      <c r="N371" s="8"/>
      <c r="O371" s="7"/>
      <c r="P371" s="7"/>
      <c r="Q371" s="7"/>
      <c r="R371" s="7"/>
    </row>
    <row r="372" spans="3:18">
      <c r="C372" s="7"/>
      <c r="D372" s="7"/>
      <c r="E372" s="7"/>
      <c r="F372" s="7"/>
      <c r="G372" s="7"/>
      <c r="H372" s="7"/>
      <c r="I372" s="7"/>
      <c r="J372" s="7"/>
      <c r="K372" s="7"/>
      <c r="L372" s="27"/>
      <c r="N372" s="8"/>
      <c r="O372" s="7"/>
      <c r="P372" s="7"/>
      <c r="Q372" s="7"/>
      <c r="R372" s="7"/>
    </row>
    <row r="373" spans="3:18">
      <c r="C373" s="7"/>
      <c r="D373" s="7"/>
      <c r="E373" s="7"/>
      <c r="F373" s="7"/>
      <c r="G373" s="7"/>
      <c r="H373" s="7"/>
      <c r="I373" s="7"/>
      <c r="J373" s="7"/>
      <c r="K373" s="7"/>
      <c r="L373" s="27"/>
      <c r="N373" s="8"/>
      <c r="O373" s="7"/>
      <c r="P373" s="7"/>
      <c r="Q373" s="7"/>
      <c r="R373" s="7"/>
    </row>
    <row r="374" spans="3:18">
      <c r="C374" s="7"/>
      <c r="D374" s="7"/>
      <c r="E374" s="7"/>
      <c r="F374" s="7"/>
      <c r="G374" s="7"/>
      <c r="H374" s="7"/>
      <c r="I374" s="7"/>
      <c r="J374" s="7"/>
      <c r="K374" s="7"/>
      <c r="L374" s="27"/>
      <c r="N374" s="8"/>
      <c r="O374" s="7"/>
      <c r="P374" s="7"/>
      <c r="Q374" s="7"/>
      <c r="R374" s="7"/>
    </row>
    <row r="375" spans="3:18">
      <c r="C375" s="7"/>
      <c r="D375" s="7"/>
      <c r="E375" s="7"/>
      <c r="F375" s="7"/>
      <c r="G375" s="7"/>
      <c r="H375" s="7"/>
      <c r="I375" s="7"/>
      <c r="J375" s="7"/>
      <c r="K375" s="7"/>
      <c r="L375" s="27"/>
      <c r="N375" s="8"/>
      <c r="O375" s="7"/>
      <c r="P375" s="7"/>
      <c r="Q375" s="7"/>
      <c r="R375" s="7"/>
    </row>
    <row r="376" spans="3:18">
      <c r="C376" s="7"/>
      <c r="D376" s="7"/>
      <c r="E376" s="7"/>
      <c r="F376" s="7"/>
      <c r="G376" s="7"/>
      <c r="H376" s="7"/>
      <c r="I376" s="7"/>
      <c r="J376" s="7"/>
      <c r="K376" s="7"/>
      <c r="L376" s="27"/>
      <c r="N376" s="8"/>
      <c r="O376" s="7"/>
      <c r="P376" s="7"/>
      <c r="Q376" s="7"/>
      <c r="R376" s="7"/>
    </row>
    <row r="377" spans="3:18">
      <c r="C377" s="7"/>
      <c r="D377" s="7"/>
      <c r="E377" s="7"/>
      <c r="F377" s="7"/>
      <c r="G377" s="7"/>
      <c r="H377" s="7"/>
      <c r="I377" s="7"/>
      <c r="J377" s="7"/>
      <c r="K377" s="7"/>
      <c r="L377" s="27"/>
      <c r="N377" s="8"/>
      <c r="O377" s="7"/>
      <c r="P377" s="7"/>
      <c r="Q377" s="7"/>
      <c r="R377" s="7"/>
    </row>
    <row r="378" spans="3:18">
      <c r="C378" s="7"/>
      <c r="D378" s="7"/>
      <c r="E378" s="7"/>
      <c r="F378" s="7"/>
      <c r="G378" s="7"/>
      <c r="H378" s="7"/>
      <c r="I378" s="7"/>
      <c r="J378" s="7"/>
      <c r="K378" s="7"/>
      <c r="L378" s="27"/>
      <c r="N378" s="8"/>
      <c r="O378" s="7"/>
      <c r="P378" s="7"/>
      <c r="Q378" s="7"/>
      <c r="R378" s="7"/>
    </row>
    <row r="379" spans="3:18">
      <c r="C379" s="7"/>
      <c r="D379" s="7"/>
      <c r="E379" s="7"/>
      <c r="F379" s="7"/>
      <c r="G379" s="7"/>
      <c r="H379" s="7"/>
      <c r="I379" s="7"/>
      <c r="J379" s="7"/>
      <c r="K379" s="7"/>
      <c r="L379" s="27"/>
      <c r="N379" s="8"/>
      <c r="O379" s="7"/>
      <c r="P379" s="7"/>
      <c r="Q379" s="7"/>
      <c r="R379" s="7"/>
    </row>
    <row r="380" spans="3:18">
      <c r="C380" s="7"/>
      <c r="D380" s="7"/>
      <c r="E380" s="7"/>
      <c r="F380" s="7"/>
      <c r="G380" s="7"/>
      <c r="H380" s="7"/>
      <c r="I380" s="7"/>
      <c r="J380" s="7"/>
      <c r="K380" s="7"/>
      <c r="L380" s="27"/>
      <c r="N380" s="8"/>
      <c r="O380" s="7"/>
      <c r="P380" s="7"/>
      <c r="Q380" s="7"/>
      <c r="R380" s="7"/>
    </row>
    <row r="381" spans="3:18">
      <c r="C381" s="7"/>
      <c r="D381" s="7"/>
      <c r="E381" s="7"/>
      <c r="F381" s="7"/>
      <c r="G381" s="7"/>
      <c r="H381" s="7"/>
      <c r="I381" s="7"/>
      <c r="J381" s="7"/>
      <c r="K381" s="7"/>
      <c r="L381" s="27"/>
      <c r="N381" s="8"/>
      <c r="O381" s="7"/>
      <c r="P381" s="7"/>
      <c r="Q381" s="7"/>
      <c r="R381" s="7"/>
    </row>
    <row r="382" spans="3:18">
      <c r="C382" s="7"/>
      <c r="D382" s="7"/>
      <c r="E382" s="7"/>
      <c r="F382" s="7"/>
      <c r="G382" s="7"/>
      <c r="H382" s="7"/>
      <c r="I382" s="7"/>
      <c r="J382" s="7"/>
      <c r="K382" s="7"/>
      <c r="L382" s="27"/>
      <c r="N382" s="8"/>
      <c r="O382" s="7"/>
      <c r="P382" s="7"/>
      <c r="Q382" s="7"/>
      <c r="R382" s="7"/>
    </row>
    <row r="383" spans="3:18">
      <c r="C383" s="7"/>
      <c r="D383" s="7"/>
      <c r="E383" s="7"/>
      <c r="F383" s="7"/>
      <c r="G383" s="7"/>
      <c r="H383" s="7"/>
      <c r="I383" s="7"/>
      <c r="J383" s="7"/>
      <c r="K383" s="7"/>
      <c r="L383" s="27"/>
      <c r="N383" s="8"/>
      <c r="O383" s="7"/>
      <c r="P383" s="7"/>
      <c r="Q383" s="7"/>
      <c r="R383" s="7"/>
    </row>
    <row r="384" spans="3:18">
      <c r="C384" s="7"/>
      <c r="D384" s="7"/>
      <c r="E384" s="7"/>
      <c r="F384" s="7"/>
      <c r="G384" s="7"/>
      <c r="H384" s="7"/>
      <c r="I384" s="7"/>
      <c r="J384" s="7"/>
      <c r="K384" s="7"/>
      <c r="L384" s="27"/>
      <c r="N384" s="8"/>
      <c r="O384" s="7"/>
      <c r="P384" s="7"/>
      <c r="Q384" s="7"/>
      <c r="R384" s="7"/>
    </row>
    <row r="385" spans="3:18">
      <c r="C385" s="7"/>
      <c r="D385" s="7"/>
      <c r="E385" s="7"/>
      <c r="F385" s="7"/>
      <c r="G385" s="7"/>
      <c r="H385" s="7"/>
      <c r="I385" s="7"/>
      <c r="J385" s="7"/>
      <c r="K385" s="7"/>
      <c r="L385" s="27"/>
      <c r="N385" s="8"/>
      <c r="O385" s="7"/>
      <c r="P385" s="7"/>
      <c r="Q385" s="7"/>
      <c r="R385" s="7"/>
    </row>
    <row r="386" spans="3:18">
      <c r="C386" s="7"/>
      <c r="D386" s="7"/>
      <c r="E386" s="7"/>
      <c r="F386" s="7"/>
      <c r="G386" s="7"/>
      <c r="H386" s="7"/>
      <c r="I386" s="7"/>
      <c r="J386" s="7"/>
      <c r="K386" s="7"/>
      <c r="L386" s="27"/>
      <c r="N386" s="8"/>
      <c r="O386" s="7"/>
      <c r="P386" s="7"/>
      <c r="Q386" s="7"/>
      <c r="R386" s="7"/>
    </row>
    <row r="387" spans="3:18">
      <c r="C387" s="7"/>
      <c r="D387" s="7"/>
      <c r="E387" s="7"/>
      <c r="F387" s="7"/>
      <c r="G387" s="7"/>
      <c r="H387" s="7"/>
      <c r="I387" s="7"/>
      <c r="J387" s="7"/>
      <c r="K387" s="7"/>
      <c r="L387" s="27"/>
      <c r="N387" s="8"/>
      <c r="O387" s="7"/>
      <c r="P387" s="7"/>
      <c r="Q387" s="7"/>
      <c r="R387" s="7"/>
    </row>
    <row r="388" spans="3:18">
      <c r="C388" s="7"/>
      <c r="D388" s="7"/>
      <c r="E388" s="7"/>
      <c r="F388" s="7"/>
      <c r="G388" s="7"/>
      <c r="H388" s="7"/>
      <c r="I388" s="7"/>
      <c r="J388" s="7"/>
      <c r="K388" s="7"/>
      <c r="L388" s="27"/>
      <c r="N388" s="8"/>
      <c r="O388" s="7"/>
      <c r="P388" s="7"/>
      <c r="Q388" s="7"/>
      <c r="R388" s="7"/>
    </row>
    <row r="389" spans="3:18">
      <c r="C389" s="7"/>
      <c r="D389" s="7"/>
      <c r="E389" s="7"/>
      <c r="F389" s="7"/>
      <c r="G389" s="7"/>
      <c r="H389" s="7"/>
      <c r="I389" s="7"/>
      <c r="J389" s="7"/>
      <c r="K389" s="7"/>
      <c r="L389" s="27"/>
      <c r="N389" s="8"/>
      <c r="O389" s="7"/>
      <c r="P389" s="7"/>
      <c r="Q389" s="7"/>
      <c r="R389" s="7"/>
    </row>
    <row r="390" spans="3:18">
      <c r="C390" s="7"/>
      <c r="D390" s="7"/>
      <c r="E390" s="7"/>
      <c r="F390" s="7"/>
      <c r="G390" s="7"/>
      <c r="H390" s="7"/>
      <c r="I390" s="7"/>
      <c r="J390" s="7"/>
      <c r="K390" s="7"/>
      <c r="L390" s="27"/>
      <c r="N390" s="8"/>
      <c r="O390" s="7"/>
      <c r="P390" s="7"/>
      <c r="Q390" s="7"/>
      <c r="R390" s="7"/>
    </row>
    <row r="391" spans="3:18">
      <c r="C391" s="7"/>
      <c r="D391" s="7"/>
      <c r="E391" s="7"/>
      <c r="F391" s="7"/>
      <c r="G391" s="7"/>
      <c r="H391" s="7"/>
      <c r="I391" s="7"/>
      <c r="J391" s="7"/>
      <c r="K391" s="7"/>
      <c r="L391" s="27"/>
      <c r="N391" s="8"/>
      <c r="O391" s="7"/>
      <c r="P391" s="7"/>
      <c r="Q391" s="7"/>
      <c r="R391" s="7"/>
    </row>
    <row r="392" spans="3:18">
      <c r="C392" s="7"/>
      <c r="D392" s="7"/>
      <c r="E392" s="7"/>
      <c r="F392" s="7"/>
      <c r="G392" s="7"/>
      <c r="H392" s="7"/>
      <c r="I392" s="7"/>
      <c r="J392" s="7"/>
      <c r="K392" s="7"/>
      <c r="L392" s="27"/>
      <c r="N392" s="8"/>
      <c r="O392" s="7"/>
      <c r="P392" s="7"/>
      <c r="Q392" s="7"/>
      <c r="R392" s="7"/>
    </row>
    <row r="393" spans="3:18">
      <c r="C393" s="7"/>
      <c r="D393" s="7"/>
      <c r="E393" s="7"/>
      <c r="F393" s="7"/>
      <c r="G393" s="7"/>
      <c r="H393" s="7"/>
      <c r="I393" s="7"/>
      <c r="J393" s="7"/>
      <c r="K393" s="7"/>
      <c r="L393" s="27"/>
      <c r="N393" s="8"/>
      <c r="O393" s="7"/>
      <c r="P393" s="7"/>
      <c r="Q393" s="7"/>
      <c r="R393" s="7"/>
    </row>
    <row r="394" spans="3:18">
      <c r="C394" s="7"/>
      <c r="D394" s="7"/>
      <c r="E394" s="7"/>
      <c r="F394" s="7"/>
      <c r="G394" s="7"/>
      <c r="H394" s="7"/>
      <c r="I394" s="7"/>
      <c r="J394" s="7"/>
      <c r="K394" s="7"/>
      <c r="L394" s="27"/>
      <c r="N394" s="8"/>
      <c r="O394" s="7"/>
      <c r="P394" s="7"/>
      <c r="Q394" s="7"/>
      <c r="R394" s="7"/>
    </row>
    <row r="395" spans="3:18">
      <c r="C395" s="7"/>
      <c r="D395" s="7"/>
      <c r="E395" s="7"/>
      <c r="F395" s="7"/>
      <c r="G395" s="7"/>
      <c r="H395" s="7"/>
      <c r="I395" s="7"/>
      <c r="J395" s="7"/>
      <c r="K395" s="7"/>
      <c r="L395" s="27"/>
      <c r="N395" s="8"/>
      <c r="O395" s="7"/>
      <c r="P395" s="7"/>
      <c r="Q395" s="7"/>
      <c r="R395" s="7"/>
    </row>
    <row r="396" spans="3:18">
      <c r="C396" s="7"/>
      <c r="D396" s="7"/>
      <c r="E396" s="7"/>
      <c r="F396" s="7"/>
      <c r="G396" s="7"/>
      <c r="H396" s="7"/>
      <c r="I396" s="7"/>
      <c r="J396" s="7"/>
      <c r="K396" s="7"/>
      <c r="L396" s="27"/>
      <c r="N396" s="8"/>
      <c r="O396" s="7"/>
      <c r="P396" s="7"/>
      <c r="Q396" s="7"/>
      <c r="R396" s="7"/>
    </row>
    <row r="397" spans="3:18">
      <c r="C397" s="7"/>
      <c r="D397" s="7"/>
      <c r="E397" s="7"/>
      <c r="F397" s="7"/>
      <c r="G397" s="7"/>
      <c r="H397" s="7"/>
      <c r="I397" s="7"/>
      <c r="J397" s="7"/>
      <c r="K397" s="7"/>
      <c r="L397" s="27"/>
      <c r="N397" s="8"/>
      <c r="O397" s="7"/>
      <c r="P397" s="7"/>
      <c r="Q397" s="7"/>
      <c r="R397" s="7"/>
    </row>
    <row r="398" spans="3:18">
      <c r="C398" s="7"/>
      <c r="D398" s="7"/>
      <c r="E398" s="7"/>
      <c r="F398" s="7"/>
      <c r="G398" s="7"/>
      <c r="H398" s="7"/>
      <c r="I398" s="7"/>
      <c r="J398" s="7"/>
      <c r="K398" s="7"/>
      <c r="L398" s="27"/>
      <c r="N398" s="8"/>
      <c r="O398" s="7"/>
      <c r="P398" s="7"/>
      <c r="Q398" s="7"/>
      <c r="R398" s="7"/>
    </row>
    <row r="399" spans="3:18">
      <c r="C399" s="7"/>
      <c r="D399" s="7"/>
      <c r="E399" s="7"/>
      <c r="F399" s="7"/>
      <c r="G399" s="7"/>
      <c r="H399" s="7"/>
      <c r="I399" s="7"/>
      <c r="J399" s="7"/>
      <c r="K399" s="7"/>
      <c r="L399" s="27"/>
      <c r="N399" s="8"/>
      <c r="O399" s="7"/>
      <c r="P399" s="7"/>
      <c r="Q399" s="7"/>
      <c r="R399" s="7"/>
    </row>
    <row r="400" spans="3:18">
      <c r="C400" s="7"/>
      <c r="D400" s="7"/>
      <c r="E400" s="7"/>
      <c r="F400" s="7"/>
      <c r="G400" s="7"/>
      <c r="H400" s="7"/>
      <c r="I400" s="7"/>
      <c r="J400" s="7"/>
      <c r="K400" s="7"/>
      <c r="L400" s="27"/>
      <c r="N400" s="8"/>
      <c r="O400" s="7"/>
      <c r="P400" s="7"/>
      <c r="Q400" s="7"/>
      <c r="R400" s="7"/>
    </row>
    <row r="401" spans="3:18">
      <c r="C401" s="7"/>
      <c r="D401" s="7"/>
      <c r="E401" s="7"/>
      <c r="F401" s="7"/>
      <c r="G401" s="7"/>
      <c r="H401" s="7"/>
      <c r="I401" s="7"/>
      <c r="J401" s="7"/>
      <c r="K401" s="7"/>
      <c r="L401" s="27"/>
      <c r="N401" s="8"/>
      <c r="O401" s="7"/>
      <c r="P401" s="7"/>
      <c r="Q401" s="7"/>
      <c r="R401" s="7"/>
    </row>
    <row r="402" spans="3:18">
      <c r="C402" s="7"/>
      <c r="D402" s="7"/>
      <c r="E402" s="7"/>
      <c r="F402" s="7"/>
      <c r="G402" s="7"/>
      <c r="H402" s="7"/>
      <c r="I402" s="7"/>
      <c r="J402" s="7"/>
      <c r="K402" s="7"/>
      <c r="L402" s="27"/>
      <c r="N402" s="8"/>
      <c r="O402" s="7"/>
      <c r="P402" s="7"/>
      <c r="Q402" s="7"/>
      <c r="R402" s="7"/>
    </row>
    <row r="403" spans="3:18">
      <c r="C403" s="7"/>
      <c r="D403" s="7"/>
      <c r="E403" s="7"/>
      <c r="F403" s="7"/>
      <c r="G403" s="7"/>
      <c r="H403" s="7"/>
      <c r="I403" s="7"/>
      <c r="J403" s="7"/>
      <c r="K403" s="7"/>
      <c r="L403" s="27"/>
      <c r="N403" s="8"/>
      <c r="O403" s="7"/>
      <c r="P403" s="7"/>
      <c r="Q403" s="7"/>
      <c r="R403" s="7"/>
    </row>
    <row r="404" spans="3:18">
      <c r="C404" s="7"/>
      <c r="D404" s="7"/>
      <c r="E404" s="7"/>
      <c r="F404" s="7"/>
      <c r="G404" s="7"/>
      <c r="H404" s="7"/>
      <c r="I404" s="7"/>
      <c r="J404" s="7"/>
      <c r="K404" s="7"/>
      <c r="L404" s="27"/>
      <c r="N404" s="8"/>
      <c r="O404" s="7"/>
      <c r="P404" s="7"/>
      <c r="Q404" s="7"/>
      <c r="R404" s="7"/>
    </row>
    <row r="405" spans="3:18">
      <c r="C405" s="7"/>
      <c r="D405" s="7"/>
      <c r="E405" s="7"/>
      <c r="F405" s="7"/>
      <c r="G405" s="7"/>
      <c r="H405" s="7"/>
      <c r="I405" s="7"/>
      <c r="J405" s="7"/>
      <c r="K405" s="7"/>
      <c r="L405" s="27"/>
      <c r="N405" s="8"/>
      <c r="O405" s="7"/>
      <c r="P405" s="7"/>
      <c r="Q405" s="7"/>
      <c r="R405" s="7"/>
    </row>
    <row r="406" spans="3:18">
      <c r="C406" s="7"/>
      <c r="D406" s="7"/>
      <c r="E406" s="7"/>
      <c r="F406" s="7"/>
      <c r="G406" s="7"/>
      <c r="H406" s="7"/>
      <c r="I406" s="7"/>
      <c r="J406" s="7"/>
      <c r="K406" s="7"/>
      <c r="L406" s="27"/>
      <c r="N406" s="8"/>
      <c r="O406" s="7"/>
      <c r="P406" s="7"/>
      <c r="Q406" s="7"/>
      <c r="R406" s="7"/>
    </row>
    <row r="407" spans="3:18">
      <c r="C407" s="7"/>
      <c r="D407" s="7"/>
      <c r="E407" s="7"/>
      <c r="F407" s="7"/>
      <c r="G407" s="7"/>
      <c r="H407" s="7"/>
      <c r="I407" s="7"/>
      <c r="J407" s="7"/>
      <c r="K407" s="7"/>
      <c r="L407" s="27"/>
      <c r="N407" s="8"/>
      <c r="O407" s="7"/>
      <c r="P407" s="7"/>
      <c r="Q407" s="7"/>
      <c r="R407" s="7"/>
    </row>
    <row r="408" spans="3:18">
      <c r="C408" s="7"/>
      <c r="D408" s="7"/>
      <c r="E408" s="7"/>
      <c r="F408" s="7"/>
      <c r="G408" s="7"/>
      <c r="H408" s="7"/>
      <c r="I408" s="7"/>
      <c r="J408" s="7"/>
      <c r="K408" s="7"/>
      <c r="L408" s="27"/>
      <c r="N408" s="8"/>
      <c r="O408" s="7"/>
      <c r="P408" s="7"/>
      <c r="Q408" s="7"/>
      <c r="R408" s="7"/>
    </row>
    <row r="409" spans="3:18">
      <c r="C409" s="7"/>
      <c r="D409" s="7"/>
      <c r="E409" s="7"/>
      <c r="F409" s="7"/>
      <c r="G409" s="7"/>
      <c r="H409" s="7"/>
      <c r="I409" s="7"/>
      <c r="J409" s="7"/>
      <c r="K409" s="7"/>
      <c r="L409" s="27"/>
      <c r="N409" s="8"/>
      <c r="O409" s="7"/>
      <c r="P409" s="7"/>
      <c r="Q409" s="7"/>
      <c r="R409" s="7"/>
    </row>
    <row r="410" spans="3:18">
      <c r="C410" s="7"/>
      <c r="D410" s="7"/>
      <c r="E410" s="7"/>
      <c r="F410" s="7"/>
      <c r="G410" s="7"/>
      <c r="H410" s="7"/>
      <c r="I410" s="7"/>
      <c r="J410" s="7"/>
      <c r="K410" s="7"/>
      <c r="L410" s="27"/>
      <c r="N410" s="8"/>
      <c r="O410" s="7"/>
      <c r="P410" s="7"/>
      <c r="Q410" s="7"/>
      <c r="R410" s="7"/>
    </row>
    <row r="411" spans="3:18">
      <c r="C411" s="7"/>
      <c r="D411" s="7"/>
      <c r="E411" s="7"/>
      <c r="F411" s="7"/>
      <c r="G411" s="7"/>
      <c r="H411" s="7"/>
      <c r="I411" s="7"/>
      <c r="J411" s="7"/>
      <c r="K411" s="7"/>
      <c r="L411" s="27"/>
      <c r="N411" s="8"/>
      <c r="O411" s="7"/>
      <c r="P411" s="7"/>
      <c r="Q411" s="7"/>
      <c r="R411" s="7"/>
    </row>
    <row r="412" spans="3:18">
      <c r="C412" s="7"/>
      <c r="D412" s="7"/>
      <c r="E412" s="7"/>
      <c r="F412" s="7"/>
      <c r="G412" s="7"/>
      <c r="H412" s="7"/>
      <c r="I412" s="7"/>
      <c r="J412" s="7"/>
      <c r="K412" s="7"/>
      <c r="L412" s="27"/>
      <c r="N412" s="8"/>
      <c r="O412" s="7"/>
      <c r="P412" s="7"/>
      <c r="Q412" s="7"/>
      <c r="R412" s="7"/>
    </row>
    <row r="413" spans="3:18">
      <c r="C413" s="7"/>
      <c r="D413" s="7"/>
      <c r="E413" s="7"/>
      <c r="F413" s="7"/>
      <c r="G413" s="7"/>
      <c r="H413" s="7"/>
      <c r="I413" s="7"/>
      <c r="J413" s="7"/>
      <c r="K413" s="7"/>
      <c r="L413" s="27"/>
      <c r="N413" s="8"/>
      <c r="O413" s="7"/>
      <c r="P413" s="7"/>
      <c r="Q413" s="7"/>
      <c r="R413" s="7"/>
    </row>
    <row r="414" spans="3:18">
      <c r="C414" s="7"/>
      <c r="D414" s="7"/>
      <c r="E414" s="7"/>
      <c r="F414" s="7"/>
      <c r="G414" s="7"/>
      <c r="H414" s="7"/>
      <c r="I414" s="7"/>
      <c r="J414" s="7"/>
      <c r="K414" s="7"/>
      <c r="L414" s="27"/>
      <c r="N414" s="8"/>
      <c r="O414" s="7"/>
      <c r="P414" s="7"/>
      <c r="Q414" s="7"/>
      <c r="R414" s="7"/>
    </row>
    <row r="415" spans="3:18">
      <c r="C415" s="7"/>
      <c r="D415" s="7"/>
      <c r="E415" s="7"/>
      <c r="F415" s="7"/>
      <c r="G415" s="7"/>
      <c r="H415" s="7"/>
      <c r="I415" s="7"/>
      <c r="J415" s="7"/>
      <c r="K415" s="7"/>
      <c r="L415" s="27"/>
      <c r="N415" s="8"/>
      <c r="O415" s="7"/>
      <c r="P415" s="7"/>
      <c r="Q415" s="7"/>
      <c r="R415" s="7"/>
    </row>
    <row r="416" spans="3:18">
      <c r="C416" s="7"/>
      <c r="D416" s="7"/>
      <c r="E416" s="7"/>
      <c r="F416" s="7"/>
      <c r="G416" s="7"/>
      <c r="H416" s="7"/>
      <c r="I416" s="7"/>
      <c r="J416" s="7"/>
      <c r="K416" s="7"/>
      <c r="L416" s="27"/>
      <c r="N416" s="8"/>
      <c r="O416" s="7"/>
      <c r="P416" s="7"/>
      <c r="Q416" s="7"/>
      <c r="R416" s="7"/>
    </row>
    <row r="417" spans="3:18">
      <c r="C417" s="7"/>
      <c r="D417" s="7"/>
      <c r="E417" s="7"/>
      <c r="F417" s="7"/>
      <c r="G417" s="7"/>
      <c r="H417" s="7"/>
      <c r="I417" s="7"/>
      <c r="J417" s="7"/>
      <c r="K417" s="7"/>
      <c r="L417" s="27"/>
      <c r="N417" s="8"/>
      <c r="O417" s="7"/>
      <c r="P417" s="7"/>
      <c r="Q417" s="7"/>
      <c r="R417" s="7"/>
    </row>
    <row r="418" spans="3:18">
      <c r="C418" s="7"/>
      <c r="D418" s="7"/>
      <c r="E418" s="7"/>
      <c r="F418" s="7"/>
      <c r="G418" s="7"/>
      <c r="H418" s="7"/>
      <c r="I418" s="7"/>
      <c r="J418" s="7"/>
      <c r="K418" s="7"/>
      <c r="L418" s="27"/>
      <c r="N418" s="8"/>
      <c r="O418" s="7"/>
      <c r="P418" s="7"/>
      <c r="Q418" s="7"/>
      <c r="R418" s="7"/>
    </row>
    <row r="419" spans="3:18">
      <c r="C419" s="7"/>
      <c r="D419" s="7"/>
      <c r="E419" s="7"/>
      <c r="F419" s="7"/>
      <c r="G419" s="7"/>
      <c r="H419" s="7"/>
      <c r="I419" s="7"/>
      <c r="J419" s="7"/>
      <c r="K419" s="7"/>
      <c r="L419" s="27"/>
      <c r="N419" s="8"/>
      <c r="O419" s="7"/>
      <c r="P419" s="7"/>
      <c r="Q419" s="7"/>
      <c r="R419" s="7"/>
    </row>
    <row r="420" spans="3:18">
      <c r="C420" s="7"/>
      <c r="D420" s="7"/>
      <c r="E420" s="7"/>
      <c r="F420" s="7"/>
      <c r="G420" s="7"/>
      <c r="H420" s="7"/>
      <c r="I420" s="7"/>
      <c r="J420" s="7"/>
      <c r="K420" s="7"/>
      <c r="L420" s="27"/>
      <c r="N420" s="8"/>
      <c r="O420" s="7"/>
      <c r="P420" s="7"/>
      <c r="Q420" s="7"/>
      <c r="R420" s="7"/>
    </row>
    <row r="421" spans="3:18">
      <c r="C421" s="7"/>
      <c r="D421" s="7"/>
      <c r="E421" s="7"/>
      <c r="F421" s="7"/>
      <c r="G421" s="7"/>
      <c r="H421" s="7"/>
      <c r="I421" s="7"/>
      <c r="J421" s="7"/>
      <c r="K421" s="7"/>
      <c r="L421" s="27"/>
      <c r="N421" s="8"/>
      <c r="O421" s="7"/>
      <c r="P421" s="7"/>
      <c r="Q421" s="7"/>
      <c r="R421" s="7"/>
    </row>
    <row r="422" spans="3:18">
      <c r="C422" s="7"/>
      <c r="D422" s="7"/>
      <c r="E422" s="7"/>
      <c r="F422" s="7"/>
      <c r="G422" s="7"/>
      <c r="H422" s="7"/>
      <c r="I422" s="7"/>
      <c r="J422" s="7"/>
      <c r="K422" s="7"/>
      <c r="L422" s="27"/>
      <c r="N422" s="8"/>
      <c r="O422" s="7"/>
      <c r="P422" s="7"/>
      <c r="Q422" s="7"/>
      <c r="R422" s="7"/>
    </row>
    <row r="423" spans="3:18">
      <c r="C423" s="7"/>
      <c r="D423" s="7"/>
      <c r="E423" s="7"/>
      <c r="F423" s="7"/>
      <c r="G423" s="7"/>
      <c r="H423" s="7"/>
      <c r="I423" s="7"/>
      <c r="J423" s="7"/>
      <c r="K423" s="7"/>
      <c r="L423" s="27"/>
      <c r="N423" s="8"/>
      <c r="O423" s="7"/>
      <c r="P423" s="7"/>
      <c r="Q423" s="7"/>
      <c r="R423" s="7"/>
    </row>
    <row r="424" spans="3:18">
      <c r="C424" s="7"/>
      <c r="D424" s="7"/>
      <c r="E424" s="7"/>
      <c r="F424" s="7"/>
      <c r="G424" s="7"/>
      <c r="H424" s="7"/>
      <c r="I424" s="7"/>
      <c r="J424" s="7"/>
      <c r="K424" s="7"/>
      <c r="L424" s="27"/>
      <c r="N424" s="8"/>
      <c r="O424" s="7"/>
      <c r="P424" s="7"/>
      <c r="Q424" s="7"/>
      <c r="R424" s="7"/>
    </row>
    <row r="425" spans="3:18">
      <c r="C425" s="7"/>
      <c r="D425" s="7"/>
      <c r="E425" s="7"/>
      <c r="F425" s="7"/>
      <c r="G425" s="7"/>
      <c r="H425" s="7"/>
      <c r="I425" s="7"/>
      <c r="J425" s="7"/>
      <c r="K425" s="7"/>
      <c r="L425" s="27"/>
      <c r="N425" s="8"/>
      <c r="O425" s="7"/>
      <c r="P425" s="7"/>
      <c r="Q425" s="7"/>
      <c r="R425" s="7"/>
    </row>
    <row r="426" spans="3:18">
      <c r="C426" s="7"/>
      <c r="D426" s="7"/>
      <c r="E426" s="7"/>
      <c r="F426" s="7"/>
      <c r="G426" s="7"/>
      <c r="H426" s="7"/>
      <c r="I426" s="7"/>
      <c r="J426" s="7"/>
      <c r="K426" s="7"/>
      <c r="L426" s="27"/>
      <c r="N426" s="8"/>
      <c r="O426" s="7"/>
      <c r="P426" s="7"/>
      <c r="Q426" s="7"/>
      <c r="R426" s="7"/>
    </row>
    <row r="427" spans="3:18">
      <c r="C427" s="7"/>
      <c r="D427" s="7"/>
      <c r="E427" s="7"/>
      <c r="F427" s="7"/>
      <c r="G427" s="7"/>
      <c r="H427" s="7"/>
      <c r="I427" s="7"/>
      <c r="J427" s="7"/>
      <c r="K427" s="7"/>
      <c r="L427" s="27"/>
      <c r="N427" s="8"/>
      <c r="O427" s="7"/>
      <c r="P427" s="7"/>
      <c r="Q427" s="7"/>
      <c r="R427" s="7"/>
    </row>
    <row r="428" spans="3:18">
      <c r="C428" s="7"/>
      <c r="D428" s="7"/>
      <c r="E428" s="7"/>
      <c r="F428" s="7"/>
      <c r="G428" s="7"/>
      <c r="H428" s="7"/>
      <c r="I428" s="7"/>
      <c r="J428" s="7"/>
      <c r="K428" s="7"/>
      <c r="L428" s="27"/>
      <c r="N428" s="8"/>
      <c r="O428" s="7"/>
      <c r="P428" s="7"/>
      <c r="Q428" s="7"/>
      <c r="R428" s="7"/>
    </row>
    <row r="429" spans="3:18">
      <c r="C429" s="7"/>
      <c r="D429" s="7"/>
      <c r="E429" s="7"/>
      <c r="F429" s="7"/>
      <c r="G429" s="7"/>
      <c r="H429" s="7"/>
      <c r="I429" s="7"/>
      <c r="J429" s="7"/>
      <c r="K429" s="7"/>
      <c r="L429" s="27"/>
      <c r="N429" s="8"/>
      <c r="O429" s="7"/>
      <c r="P429" s="7"/>
      <c r="Q429" s="7"/>
      <c r="R429" s="7"/>
    </row>
    <row r="430" spans="3:18">
      <c r="C430" s="7"/>
      <c r="D430" s="7"/>
      <c r="E430" s="7"/>
      <c r="F430" s="7"/>
      <c r="G430" s="7"/>
      <c r="H430" s="7"/>
      <c r="I430" s="7"/>
      <c r="J430" s="7"/>
      <c r="K430" s="7"/>
      <c r="L430" s="27"/>
      <c r="N430" s="8"/>
      <c r="O430" s="7"/>
      <c r="P430" s="7"/>
      <c r="Q430" s="7"/>
      <c r="R430" s="7"/>
    </row>
    <row r="431" spans="3:18">
      <c r="C431" s="7"/>
      <c r="D431" s="7"/>
      <c r="E431" s="7"/>
      <c r="F431" s="7"/>
      <c r="G431" s="7"/>
      <c r="H431" s="7"/>
      <c r="I431" s="7"/>
      <c r="J431" s="7"/>
      <c r="K431" s="7"/>
      <c r="L431" s="27"/>
      <c r="N431" s="8"/>
      <c r="O431" s="7"/>
      <c r="P431" s="7"/>
      <c r="Q431" s="7"/>
      <c r="R431" s="7"/>
    </row>
    <row r="432" spans="3:18">
      <c r="C432" s="7"/>
      <c r="D432" s="7"/>
      <c r="E432" s="7"/>
      <c r="F432" s="7"/>
      <c r="G432" s="7"/>
      <c r="H432" s="7"/>
      <c r="I432" s="7"/>
      <c r="J432" s="7"/>
      <c r="K432" s="7"/>
      <c r="L432" s="27"/>
      <c r="N432" s="8"/>
      <c r="O432" s="7"/>
      <c r="P432" s="7"/>
      <c r="Q432" s="7"/>
      <c r="R432" s="7"/>
    </row>
    <row r="433" spans="3:18">
      <c r="C433" s="7"/>
      <c r="D433" s="7"/>
      <c r="E433" s="7"/>
      <c r="F433" s="7"/>
      <c r="G433" s="7"/>
      <c r="H433" s="7"/>
      <c r="I433" s="7"/>
      <c r="J433" s="7"/>
      <c r="K433" s="7"/>
      <c r="L433" s="27"/>
      <c r="N433" s="8"/>
      <c r="O433" s="7"/>
      <c r="P433" s="7"/>
      <c r="Q433" s="7"/>
      <c r="R433" s="7"/>
    </row>
    <row r="434" spans="3:18">
      <c r="C434" s="7"/>
      <c r="D434" s="7"/>
      <c r="E434" s="7"/>
      <c r="F434" s="7"/>
      <c r="G434" s="7"/>
      <c r="H434" s="7"/>
      <c r="I434" s="7"/>
      <c r="J434" s="7"/>
      <c r="K434" s="7"/>
      <c r="L434" s="27"/>
      <c r="N434" s="8"/>
      <c r="O434" s="7"/>
      <c r="P434" s="7"/>
      <c r="Q434" s="7"/>
      <c r="R434" s="7"/>
    </row>
    <row r="435" spans="3:18">
      <c r="C435" s="7"/>
      <c r="D435" s="7"/>
      <c r="E435" s="7"/>
      <c r="F435" s="7"/>
      <c r="G435" s="7"/>
      <c r="H435" s="7"/>
      <c r="I435" s="7"/>
      <c r="J435" s="7"/>
      <c r="K435" s="7"/>
      <c r="L435" s="27"/>
      <c r="N435" s="8"/>
      <c r="O435" s="7"/>
      <c r="P435" s="7"/>
      <c r="Q435" s="7"/>
      <c r="R435" s="7"/>
    </row>
    <row r="436" spans="3:18">
      <c r="C436" s="7"/>
      <c r="D436" s="7"/>
      <c r="E436" s="7"/>
      <c r="F436" s="7"/>
      <c r="G436" s="7"/>
      <c r="H436" s="7"/>
      <c r="I436" s="7"/>
      <c r="J436" s="7"/>
      <c r="K436" s="7"/>
      <c r="L436" s="27"/>
      <c r="N436" s="8"/>
      <c r="O436" s="7"/>
      <c r="P436" s="7"/>
      <c r="Q436" s="7"/>
      <c r="R436" s="7"/>
    </row>
    <row r="437" spans="3:18">
      <c r="C437" s="7"/>
      <c r="D437" s="7"/>
      <c r="E437" s="7"/>
      <c r="F437" s="7"/>
      <c r="G437" s="7"/>
      <c r="H437" s="7"/>
      <c r="I437" s="7"/>
      <c r="J437" s="7"/>
      <c r="K437" s="7"/>
      <c r="L437" s="27"/>
      <c r="N437" s="8"/>
      <c r="O437" s="7"/>
      <c r="P437" s="7"/>
      <c r="Q437" s="7"/>
      <c r="R437" s="7"/>
    </row>
    <row r="438" spans="3:18">
      <c r="C438" s="7"/>
      <c r="D438" s="7"/>
      <c r="E438" s="7"/>
      <c r="F438" s="7"/>
      <c r="G438" s="7"/>
      <c r="H438" s="7"/>
      <c r="I438" s="7"/>
      <c r="J438" s="7"/>
      <c r="K438" s="7"/>
      <c r="L438" s="27"/>
      <c r="N438" s="8"/>
      <c r="O438" s="7"/>
      <c r="P438" s="7"/>
      <c r="Q438" s="7"/>
      <c r="R438" s="7"/>
    </row>
    <row r="439" spans="3:18">
      <c r="C439" s="7"/>
      <c r="D439" s="7"/>
      <c r="E439" s="7"/>
      <c r="F439" s="7"/>
      <c r="G439" s="7"/>
      <c r="H439" s="7"/>
      <c r="I439" s="7"/>
      <c r="J439" s="7"/>
      <c r="K439" s="7"/>
      <c r="L439" s="27"/>
      <c r="N439" s="8"/>
      <c r="O439" s="7"/>
      <c r="P439" s="7"/>
      <c r="Q439" s="7"/>
      <c r="R439" s="7"/>
    </row>
    <row r="440" spans="3:18">
      <c r="C440" s="7"/>
      <c r="D440" s="7"/>
      <c r="E440" s="7"/>
      <c r="F440" s="7"/>
      <c r="G440" s="7"/>
      <c r="H440" s="7"/>
      <c r="I440" s="7"/>
      <c r="J440" s="7"/>
      <c r="K440" s="7"/>
      <c r="L440" s="27"/>
      <c r="N440" s="8"/>
      <c r="O440" s="7"/>
      <c r="P440" s="7"/>
      <c r="Q440" s="7"/>
      <c r="R440" s="7"/>
    </row>
    <row r="441" spans="3:18">
      <c r="C441" s="7"/>
      <c r="D441" s="7"/>
      <c r="E441" s="7"/>
      <c r="F441" s="7"/>
      <c r="G441" s="7"/>
      <c r="H441" s="7"/>
      <c r="I441" s="7"/>
      <c r="J441" s="7"/>
      <c r="K441" s="7"/>
      <c r="L441" s="27"/>
      <c r="N441" s="8"/>
      <c r="O441" s="7"/>
      <c r="P441" s="7"/>
      <c r="Q441" s="7"/>
      <c r="R441" s="7"/>
    </row>
    <row r="442" spans="3:18">
      <c r="C442" s="7"/>
      <c r="D442" s="7"/>
      <c r="E442" s="7"/>
      <c r="F442" s="7"/>
      <c r="G442" s="7"/>
      <c r="H442" s="7"/>
      <c r="I442" s="7"/>
      <c r="J442" s="7"/>
      <c r="K442" s="7"/>
      <c r="L442" s="27"/>
      <c r="N442" s="8"/>
      <c r="O442" s="7"/>
      <c r="P442" s="7"/>
      <c r="Q442" s="7"/>
      <c r="R442" s="7"/>
    </row>
    <row r="443" spans="3:18">
      <c r="C443" s="7"/>
      <c r="D443" s="7"/>
      <c r="E443" s="7"/>
      <c r="F443" s="7"/>
      <c r="G443" s="7"/>
      <c r="H443" s="7"/>
      <c r="I443" s="7"/>
      <c r="J443" s="7"/>
      <c r="K443" s="7"/>
      <c r="L443" s="27"/>
      <c r="N443" s="8"/>
      <c r="O443" s="7"/>
      <c r="P443" s="7"/>
      <c r="Q443" s="7"/>
      <c r="R443" s="7"/>
    </row>
    <row r="444" spans="3:18">
      <c r="C444" s="7"/>
      <c r="D444" s="7"/>
      <c r="E444" s="7"/>
      <c r="F444" s="7"/>
      <c r="G444" s="7"/>
      <c r="H444" s="7"/>
      <c r="I444" s="7"/>
      <c r="J444" s="7"/>
      <c r="K444" s="7"/>
      <c r="L444" s="27"/>
      <c r="N444" s="8"/>
      <c r="O444" s="7"/>
      <c r="P444" s="7"/>
      <c r="Q444" s="7"/>
      <c r="R444" s="7"/>
    </row>
    <row r="445" spans="3:18">
      <c r="C445" s="7"/>
      <c r="D445" s="7"/>
      <c r="E445" s="7"/>
      <c r="F445" s="7"/>
      <c r="G445" s="7"/>
      <c r="H445" s="7"/>
      <c r="I445" s="7"/>
      <c r="J445" s="7"/>
      <c r="K445" s="7"/>
      <c r="L445" s="27"/>
      <c r="N445" s="8"/>
      <c r="O445" s="7"/>
      <c r="P445" s="7"/>
      <c r="Q445" s="7"/>
      <c r="R445" s="7"/>
    </row>
    <row r="446" spans="3:18">
      <c r="C446" s="7"/>
      <c r="D446" s="7"/>
      <c r="E446" s="7"/>
      <c r="F446" s="7"/>
      <c r="G446" s="7"/>
      <c r="H446" s="7"/>
      <c r="I446" s="7"/>
      <c r="J446" s="7"/>
      <c r="K446" s="7"/>
      <c r="L446" s="27"/>
      <c r="N446" s="8"/>
      <c r="O446" s="7"/>
      <c r="P446" s="7"/>
      <c r="Q446" s="7"/>
      <c r="R446" s="7"/>
    </row>
    <row r="447" spans="3:18">
      <c r="C447" s="7"/>
      <c r="D447" s="7"/>
      <c r="E447" s="7"/>
      <c r="F447" s="7"/>
      <c r="G447" s="7"/>
      <c r="H447" s="7"/>
      <c r="I447" s="7"/>
      <c r="J447" s="7"/>
      <c r="K447" s="7"/>
      <c r="L447" s="27"/>
      <c r="N447" s="8"/>
      <c r="O447" s="7"/>
      <c r="P447" s="7"/>
      <c r="Q447" s="7"/>
      <c r="R447" s="7"/>
    </row>
    <row r="448" spans="3:18">
      <c r="C448" s="7"/>
      <c r="D448" s="7"/>
      <c r="E448" s="7"/>
      <c r="F448" s="7"/>
      <c r="G448" s="7"/>
      <c r="H448" s="7"/>
      <c r="I448" s="7"/>
      <c r="J448" s="7"/>
      <c r="K448" s="7"/>
      <c r="L448" s="27"/>
      <c r="N448" s="8"/>
      <c r="O448" s="7"/>
      <c r="P448" s="7"/>
      <c r="Q448" s="7"/>
      <c r="R448" s="7"/>
    </row>
    <row r="449" spans="3:18">
      <c r="C449" s="7"/>
      <c r="D449" s="7"/>
      <c r="E449" s="7"/>
      <c r="F449" s="7"/>
      <c r="G449" s="7"/>
      <c r="H449" s="7"/>
      <c r="I449" s="7"/>
      <c r="J449" s="7"/>
      <c r="K449" s="7"/>
      <c r="L449" s="27"/>
      <c r="N449" s="8"/>
      <c r="O449" s="7"/>
      <c r="P449" s="7"/>
      <c r="Q449" s="7"/>
      <c r="R449" s="7"/>
    </row>
    <row r="450" spans="3:18">
      <c r="C450" s="7"/>
      <c r="D450" s="7"/>
      <c r="E450" s="7"/>
      <c r="F450" s="7"/>
      <c r="G450" s="7"/>
      <c r="H450" s="7"/>
      <c r="I450" s="7"/>
      <c r="J450" s="7"/>
      <c r="K450" s="7"/>
      <c r="L450" s="27"/>
      <c r="N450" s="8"/>
      <c r="O450" s="7"/>
      <c r="P450" s="7"/>
      <c r="Q450" s="7"/>
      <c r="R450" s="7"/>
    </row>
    <row r="451" spans="3:18">
      <c r="C451" s="7"/>
      <c r="D451" s="7"/>
      <c r="E451" s="7"/>
      <c r="F451" s="7"/>
      <c r="G451" s="7"/>
      <c r="H451" s="7"/>
      <c r="I451" s="7"/>
      <c r="J451" s="7"/>
      <c r="K451" s="7"/>
      <c r="L451" s="27"/>
      <c r="N451" s="8"/>
      <c r="O451" s="7"/>
      <c r="P451" s="7"/>
      <c r="Q451" s="7"/>
      <c r="R451" s="7"/>
    </row>
    <row r="452" spans="3:18">
      <c r="C452" s="7"/>
      <c r="D452" s="7"/>
      <c r="E452" s="7"/>
      <c r="F452" s="7"/>
      <c r="G452" s="7"/>
      <c r="H452" s="7"/>
      <c r="I452" s="7"/>
      <c r="J452" s="7"/>
      <c r="K452" s="7"/>
      <c r="L452" s="27"/>
      <c r="N452" s="8"/>
      <c r="O452" s="7"/>
      <c r="P452" s="7"/>
      <c r="Q452" s="7"/>
      <c r="R452" s="7"/>
    </row>
    <row r="453" spans="3:18">
      <c r="C453" s="7"/>
      <c r="D453" s="7"/>
      <c r="E453" s="7"/>
      <c r="F453" s="7"/>
      <c r="G453" s="7"/>
      <c r="H453" s="7"/>
      <c r="I453" s="7"/>
      <c r="J453" s="7"/>
      <c r="K453" s="7"/>
      <c r="L453" s="27"/>
      <c r="N453" s="8"/>
      <c r="O453" s="7"/>
      <c r="P453" s="7"/>
      <c r="Q453" s="7"/>
      <c r="R453" s="7"/>
    </row>
    <row r="454" spans="3:18">
      <c r="C454" s="7"/>
      <c r="D454" s="7"/>
      <c r="E454" s="7"/>
      <c r="F454" s="7"/>
      <c r="G454" s="7"/>
      <c r="H454" s="7"/>
      <c r="I454" s="7"/>
      <c r="J454" s="7"/>
      <c r="K454" s="7"/>
      <c r="L454" s="27"/>
      <c r="N454" s="8"/>
      <c r="O454" s="7"/>
      <c r="P454" s="7"/>
      <c r="Q454" s="7"/>
      <c r="R454" s="7"/>
    </row>
    <row r="455" spans="3:18">
      <c r="C455" s="7"/>
      <c r="D455" s="7"/>
      <c r="E455" s="7"/>
      <c r="F455" s="7"/>
      <c r="G455" s="7"/>
      <c r="H455" s="7"/>
      <c r="I455" s="7"/>
      <c r="J455" s="7"/>
      <c r="K455" s="7"/>
      <c r="L455" s="27"/>
      <c r="N455" s="8"/>
      <c r="O455" s="7"/>
      <c r="P455" s="7"/>
      <c r="Q455" s="7"/>
      <c r="R455" s="7"/>
    </row>
    <row r="456" spans="3:18">
      <c r="C456" s="7"/>
      <c r="D456" s="7"/>
      <c r="E456" s="7"/>
      <c r="F456" s="7"/>
      <c r="G456" s="7"/>
      <c r="H456" s="7"/>
      <c r="I456" s="7"/>
      <c r="J456" s="7"/>
      <c r="K456" s="7"/>
      <c r="L456" s="27"/>
      <c r="N456" s="8"/>
      <c r="O456" s="7"/>
      <c r="P456" s="7"/>
      <c r="Q456" s="7"/>
      <c r="R456" s="7"/>
    </row>
    <row r="457" spans="3:18">
      <c r="C457" s="7"/>
      <c r="D457" s="7"/>
      <c r="E457" s="7"/>
      <c r="F457" s="7"/>
      <c r="G457" s="7"/>
      <c r="H457" s="7"/>
      <c r="I457" s="7"/>
      <c r="J457" s="7"/>
      <c r="K457" s="7"/>
      <c r="L457" s="27"/>
      <c r="N457" s="8"/>
      <c r="O457" s="7"/>
      <c r="P457" s="7"/>
      <c r="Q457" s="7"/>
      <c r="R457" s="7"/>
    </row>
    <row r="458" spans="3:18">
      <c r="C458" s="7"/>
      <c r="D458" s="7"/>
      <c r="E458" s="7"/>
      <c r="F458" s="7"/>
      <c r="G458" s="7"/>
      <c r="H458" s="7"/>
      <c r="I458" s="7"/>
      <c r="J458" s="7"/>
      <c r="K458" s="7"/>
      <c r="L458" s="27"/>
      <c r="N458" s="8"/>
      <c r="O458" s="7"/>
      <c r="P458" s="7"/>
      <c r="Q458" s="7"/>
      <c r="R458" s="7"/>
    </row>
    <row r="459" spans="3:18">
      <c r="C459" s="7"/>
      <c r="D459" s="7"/>
      <c r="E459" s="7"/>
      <c r="F459" s="7"/>
      <c r="G459" s="7"/>
      <c r="H459" s="7"/>
      <c r="I459" s="7"/>
      <c r="J459" s="7"/>
      <c r="K459" s="7"/>
      <c r="L459" s="27"/>
      <c r="N459" s="8"/>
      <c r="O459" s="7"/>
      <c r="P459" s="7"/>
      <c r="Q459" s="7"/>
      <c r="R459" s="7"/>
    </row>
    <row r="460" spans="3:18">
      <c r="C460" s="7"/>
      <c r="D460" s="7"/>
      <c r="E460" s="7"/>
      <c r="F460" s="7"/>
      <c r="G460" s="7"/>
      <c r="H460" s="7"/>
      <c r="I460" s="7"/>
      <c r="J460" s="7"/>
      <c r="K460" s="7"/>
      <c r="L460" s="27"/>
      <c r="N460" s="8"/>
      <c r="O460" s="7"/>
      <c r="P460" s="7"/>
      <c r="Q460" s="7"/>
      <c r="R460" s="7"/>
    </row>
    <row r="461" spans="3:18">
      <c r="C461" s="7"/>
      <c r="D461" s="7"/>
      <c r="E461" s="7"/>
      <c r="F461" s="7"/>
      <c r="G461" s="7"/>
      <c r="H461" s="7"/>
      <c r="I461" s="7"/>
      <c r="J461" s="7"/>
      <c r="K461" s="7"/>
      <c r="L461" s="27"/>
      <c r="N461" s="8"/>
      <c r="O461" s="7"/>
      <c r="P461" s="7"/>
      <c r="Q461" s="7"/>
      <c r="R461" s="7"/>
    </row>
    <row r="462" spans="3:18">
      <c r="C462" s="7"/>
      <c r="D462" s="7"/>
      <c r="E462" s="7"/>
      <c r="F462" s="7"/>
      <c r="G462" s="7"/>
      <c r="H462" s="7"/>
      <c r="I462" s="7"/>
      <c r="J462" s="7"/>
      <c r="K462" s="7"/>
      <c r="L462" s="27"/>
      <c r="N462" s="8"/>
      <c r="O462" s="7"/>
      <c r="P462" s="7"/>
      <c r="Q462" s="7"/>
      <c r="R462" s="7"/>
    </row>
    <row r="463" spans="3:18">
      <c r="C463" s="7"/>
      <c r="D463" s="7"/>
      <c r="E463" s="7"/>
      <c r="F463" s="7"/>
      <c r="G463" s="7"/>
      <c r="H463" s="7"/>
      <c r="I463" s="7"/>
      <c r="J463" s="7"/>
      <c r="K463" s="7"/>
      <c r="L463" s="27"/>
      <c r="N463" s="8"/>
      <c r="O463" s="7"/>
      <c r="P463" s="7"/>
      <c r="Q463" s="7"/>
      <c r="R463" s="7"/>
    </row>
    <row r="464" spans="3:18">
      <c r="C464" s="7"/>
      <c r="D464" s="7"/>
      <c r="E464" s="7"/>
      <c r="F464" s="7"/>
      <c r="G464" s="7"/>
      <c r="H464" s="7"/>
      <c r="I464" s="7"/>
      <c r="J464" s="7"/>
      <c r="K464" s="7"/>
      <c r="L464" s="27"/>
      <c r="N464" s="8"/>
      <c r="O464" s="7"/>
      <c r="P464" s="7"/>
      <c r="Q464" s="7"/>
      <c r="R464" s="7"/>
    </row>
    <row r="465" spans="3:18">
      <c r="C465" s="7"/>
      <c r="D465" s="7"/>
      <c r="E465" s="7"/>
      <c r="F465" s="7"/>
      <c r="G465" s="7"/>
      <c r="H465" s="7"/>
      <c r="I465" s="7"/>
      <c r="J465" s="7"/>
      <c r="K465" s="7"/>
      <c r="L465" s="27"/>
      <c r="N465" s="8"/>
      <c r="O465" s="7"/>
      <c r="P465" s="7"/>
      <c r="Q465" s="7"/>
      <c r="R465" s="7"/>
    </row>
    <row r="466" spans="3:18">
      <c r="C466" s="7"/>
      <c r="D466" s="7"/>
      <c r="E466" s="7"/>
      <c r="F466" s="7"/>
      <c r="G466" s="7"/>
      <c r="H466" s="7"/>
      <c r="I466" s="7"/>
      <c r="J466" s="7"/>
      <c r="K466" s="7"/>
      <c r="L466" s="27"/>
      <c r="N466" s="8"/>
      <c r="O466" s="7"/>
      <c r="P466" s="7"/>
      <c r="Q466" s="7"/>
      <c r="R466" s="7"/>
    </row>
    <row r="467" spans="3:18">
      <c r="C467" s="7"/>
      <c r="D467" s="7"/>
      <c r="E467" s="7"/>
      <c r="F467" s="7"/>
      <c r="G467" s="7"/>
      <c r="H467" s="7"/>
      <c r="I467" s="7"/>
      <c r="J467" s="7"/>
      <c r="K467" s="7"/>
      <c r="L467" s="27"/>
      <c r="N467" s="8"/>
      <c r="O467" s="7"/>
      <c r="P467" s="7"/>
      <c r="Q467" s="7"/>
      <c r="R467" s="7"/>
    </row>
    <row r="468" spans="3:18">
      <c r="C468" s="7"/>
      <c r="D468" s="7"/>
      <c r="E468" s="7"/>
      <c r="F468" s="7"/>
      <c r="G468" s="7"/>
      <c r="H468" s="7"/>
      <c r="I468" s="7"/>
      <c r="J468" s="7"/>
      <c r="K468" s="7"/>
      <c r="L468" s="27"/>
      <c r="N468" s="8"/>
      <c r="O468" s="7"/>
      <c r="P468" s="7"/>
      <c r="Q468" s="7"/>
      <c r="R468" s="7"/>
    </row>
    <row r="469" spans="3:18">
      <c r="C469" s="7"/>
      <c r="D469" s="7"/>
      <c r="E469" s="7"/>
      <c r="F469" s="7"/>
      <c r="G469" s="7"/>
      <c r="H469" s="7"/>
      <c r="I469" s="7"/>
      <c r="J469" s="7"/>
      <c r="K469" s="7"/>
      <c r="L469" s="27"/>
      <c r="N469" s="8"/>
      <c r="O469" s="7"/>
      <c r="P469" s="7"/>
      <c r="Q469" s="7"/>
      <c r="R469" s="7"/>
    </row>
    <row r="470" spans="3:18">
      <c r="C470" s="7"/>
      <c r="D470" s="7"/>
      <c r="E470" s="7"/>
      <c r="F470" s="7"/>
      <c r="G470" s="7"/>
      <c r="H470" s="7"/>
      <c r="I470" s="7"/>
      <c r="J470" s="7"/>
      <c r="K470" s="7"/>
      <c r="L470" s="27"/>
      <c r="N470" s="8"/>
      <c r="O470" s="7"/>
      <c r="P470" s="7"/>
      <c r="Q470" s="7"/>
      <c r="R470" s="7"/>
    </row>
    <row r="471" spans="3:18">
      <c r="C471" s="7"/>
      <c r="D471" s="7"/>
      <c r="E471" s="7"/>
      <c r="F471" s="7"/>
      <c r="G471" s="7"/>
      <c r="H471" s="7"/>
      <c r="I471" s="7"/>
      <c r="J471" s="7"/>
      <c r="K471" s="7"/>
      <c r="L471" s="27"/>
      <c r="N471" s="8"/>
      <c r="O471" s="7"/>
      <c r="P471" s="7"/>
      <c r="Q471" s="7"/>
      <c r="R471" s="7"/>
    </row>
    <row r="472" spans="3:18">
      <c r="C472" s="7"/>
      <c r="D472" s="7"/>
      <c r="E472" s="7"/>
      <c r="F472" s="7"/>
      <c r="G472" s="7"/>
      <c r="H472" s="7"/>
      <c r="I472" s="7"/>
      <c r="J472" s="7"/>
      <c r="K472" s="7"/>
      <c r="L472" s="27"/>
      <c r="N472" s="8"/>
      <c r="O472" s="7"/>
      <c r="P472" s="7"/>
      <c r="Q472" s="7"/>
      <c r="R472" s="7"/>
    </row>
    <row r="473" spans="3:18">
      <c r="C473" s="7"/>
      <c r="D473" s="7"/>
      <c r="E473" s="7"/>
      <c r="F473" s="7"/>
      <c r="G473" s="7"/>
      <c r="H473" s="7"/>
      <c r="I473" s="7"/>
      <c r="J473" s="7"/>
      <c r="K473" s="7"/>
      <c r="L473" s="27"/>
      <c r="N473" s="8"/>
      <c r="O473" s="7"/>
      <c r="P473" s="7"/>
      <c r="Q473" s="7"/>
      <c r="R473" s="7"/>
    </row>
    <row r="474" spans="3:18">
      <c r="C474" s="7"/>
      <c r="D474" s="7"/>
      <c r="E474" s="7"/>
      <c r="F474" s="7"/>
      <c r="G474" s="7"/>
      <c r="H474" s="7"/>
      <c r="I474" s="7"/>
      <c r="J474" s="7"/>
      <c r="K474" s="7"/>
      <c r="L474" s="27"/>
      <c r="N474" s="8"/>
      <c r="O474" s="7"/>
      <c r="P474" s="7"/>
      <c r="Q474" s="7"/>
      <c r="R474" s="7"/>
    </row>
    <row r="475" spans="3:18">
      <c r="C475" s="7"/>
      <c r="D475" s="7"/>
      <c r="E475" s="7"/>
      <c r="F475" s="7"/>
      <c r="G475" s="7"/>
      <c r="H475" s="7"/>
      <c r="I475" s="7"/>
      <c r="J475" s="7"/>
      <c r="K475" s="7"/>
      <c r="L475" s="27"/>
      <c r="N475" s="8"/>
      <c r="O475" s="7"/>
      <c r="P475" s="7"/>
      <c r="Q475" s="7"/>
      <c r="R475" s="7"/>
    </row>
    <row r="476" spans="3:18">
      <c r="C476" s="7"/>
      <c r="D476" s="7"/>
      <c r="E476" s="7"/>
      <c r="F476" s="7"/>
      <c r="G476" s="7"/>
      <c r="H476" s="7"/>
      <c r="I476" s="7"/>
      <c r="J476" s="7"/>
      <c r="K476" s="7"/>
      <c r="L476" s="27"/>
      <c r="N476" s="8"/>
      <c r="O476" s="7"/>
      <c r="P476" s="7"/>
      <c r="Q476" s="7"/>
      <c r="R476" s="7"/>
    </row>
    <row r="477" spans="3:18">
      <c r="C477" s="7"/>
      <c r="D477" s="7"/>
      <c r="E477" s="7"/>
      <c r="F477" s="7"/>
      <c r="G477" s="7"/>
      <c r="H477" s="7"/>
      <c r="I477" s="7"/>
      <c r="J477" s="7"/>
      <c r="K477" s="7"/>
      <c r="L477" s="27"/>
      <c r="N477" s="8"/>
      <c r="O477" s="7"/>
      <c r="P477" s="7"/>
      <c r="Q477" s="7"/>
      <c r="R477" s="7"/>
    </row>
    <row r="478" spans="3:18">
      <c r="C478" s="7"/>
      <c r="D478" s="7"/>
      <c r="E478" s="7"/>
      <c r="F478" s="7"/>
      <c r="G478" s="7"/>
      <c r="H478" s="7"/>
      <c r="I478" s="7"/>
      <c r="J478" s="7"/>
      <c r="K478" s="7"/>
      <c r="L478" s="27"/>
      <c r="N478" s="8"/>
      <c r="O478" s="7"/>
      <c r="P478" s="7"/>
      <c r="Q478" s="7"/>
      <c r="R478" s="7"/>
    </row>
    <row r="479" spans="3:18">
      <c r="C479" s="7"/>
      <c r="D479" s="7"/>
      <c r="E479" s="7"/>
      <c r="F479" s="7"/>
      <c r="G479" s="7"/>
      <c r="H479" s="7"/>
      <c r="I479" s="7"/>
      <c r="J479" s="7"/>
      <c r="K479" s="7"/>
      <c r="L479" s="27"/>
      <c r="N479" s="8"/>
      <c r="O479" s="7"/>
      <c r="P479" s="7"/>
      <c r="Q479" s="7"/>
      <c r="R479" s="7"/>
    </row>
    <row r="480" spans="3:18">
      <c r="C480" s="7"/>
      <c r="D480" s="7"/>
      <c r="E480" s="7"/>
      <c r="F480" s="7"/>
      <c r="G480" s="7"/>
      <c r="H480" s="7"/>
      <c r="I480" s="7"/>
      <c r="J480" s="7"/>
      <c r="K480" s="7"/>
      <c r="L480" s="27"/>
      <c r="N480" s="8"/>
      <c r="O480" s="7"/>
      <c r="P480" s="7"/>
      <c r="Q480" s="7"/>
      <c r="R480" s="7"/>
    </row>
    <row r="481" spans="3:18">
      <c r="C481" s="7"/>
      <c r="D481" s="7"/>
      <c r="E481" s="7"/>
      <c r="F481" s="7"/>
      <c r="G481" s="7"/>
      <c r="H481" s="7"/>
      <c r="I481" s="7"/>
      <c r="J481" s="7"/>
      <c r="K481" s="7"/>
      <c r="L481" s="27"/>
      <c r="N481" s="8"/>
      <c r="O481" s="7"/>
      <c r="P481" s="7"/>
      <c r="Q481" s="7"/>
      <c r="R481" s="7"/>
    </row>
    <row r="482" spans="3:18">
      <c r="C482" s="7"/>
      <c r="D482" s="7"/>
      <c r="E482" s="7"/>
      <c r="F482" s="7"/>
      <c r="G482" s="7"/>
      <c r="H482" s="7"/>
      <c r="I482" s="7"/>
      <c r="J482" s="7"/>
      <c r="K482" s="7"/>
      <c r="L482" s="27"/>
      <c r="N482" s="8"/>
      <c r="O482" s="7"/>
      <c r="P482" s="7"/>
      <c r="Q482" s="7"/>
      <c r="R482" s="7"/>
    </row>
    <row r="483" spans="3:18">
      <c r="C483" s="7"/>
      <c r="D483" s="7"/>
      <c r="E483" s="7"/>
      <c r="F483" s="7"/>
      <c r="G483" s="7"/>
      <c r="H483" s="7"/>
      <c r="I483" s="7"/>
      <c r="J483" s="7"/>
      <c r="K483" s="7"/>
      <c r="L483" s="27"/>
      <c r="N483" s="8"/>
      <c r="O483" s="7"/>
      <c r="P483" s="7"/>
      <c r="Q483" s="7"/>
      <c r="R483" s="7"/>
    </row>
    <row r="484" spans="3:18">
      <c r="C484" s="7"/>
      <c r="D484" s="7"/>
      <c r="E484" s="7"/>
      <c r="F484" s="7"/>
      <c r="G484" s="7"/>
      <c r="H484" s="7"/>
      <c r="I484" s="7"/>
      <c r="J484" s="7"/>
      <c r="K484" s="7"/>
      <c r="L484" s="27"/>
      <c r="N484" s="8"/>
      <c r="O484" s="7"/>
      <c r="P484" s="7"/>
      <c r="Q484" s="7"/>
      <c r="R484" s="7"/>
    </row>
    <row r="485" spans="3:18">
      <c r="C485" s="7"/>
      <c r="D485" s="7"/>
      <c r="E485" s="7"/>
      <c r="F485" s="7"/>
      <c r="G485" s="7"/>
      <c r="H485" s="7"/>
      <c r="I485" s="7"/>
      <c r="J485" s="7"/>
      <c r="K485" s="7"/>
      <c r="L485" s="27"/>
      <c r="N485" s="8"/>
      <c r="O485" s="7"/>
      <c r="P485" s="7"/>
      <c r="Q485" s="7"/>
      <c r="R485" s="7"/>
    </row>
    <row r="486" spans="3:18">
      <c r="C486" s="7"/>
      <c r="D486" s="7"/>
      <c r="E486" s="7"/>
      <c r="F486" s="7"/>
      <c r="G486" s="7"/>
      <c r="H486" s="7"/>
      <c r="I486" s="7"/>
      <c r="J486" s="7"/>
      <c r="K486" s="7"/>
      <c r="L486" s="27"/>
      <c r="N486" s="8"/>
      <c r="O486" s="7"/>
      <c r="P486" s="7"/>
      <c r="Q486" s="7"/>
      <c r="R486" s="7"/>
    </row>
    <row r="487" spans="3:18">
      <c r="C487" s="7"/>
      <c r="D487" s="7"/>
      <c r="E487" s="7"/>
      <c r="F487" s="7"/>
      <c r="G487" s="7"/>
      <c r="H487" s="7"/>
      <c r="I487" s="7"/>
      <c r="J487" s="7"/>
      <c r="K487" s="7"/>
      <c r="L487" s="27"/>
      <c r="N487" s="8"/>
      <c r="O487" s="7"/>
      <c r="P487" s="7"/>
      <c r="Q487" s="7"/>
      <c r="R487" s="7"/>
    </row>
    <row r="488" spans="3:18">
      <c r="C488" s="7"/>
      <c r="D488" s="7"/>
      <c r="E488" s="7"/>
      <c r="F488" s="7"/>
      <c r="G488" s="7"/>
      <c r="H488" s="7"/>
      <c r="I488" s="7"/>
      <c r="J488" s="7"/>
      <c r="K488" s="7"/>
      <c r="L488" s="27"/>
      <c r="N488" s="8"/>
      <c r="O488" s="7"/>
      <c r="P488" s="7"/>
      <c r="Q488" s="7"/>
      <c r="R488" s="7"/>
    </row>
    <row r="489" spans="3:18">
      <c r="C489" s="7"/>
      <c r="D489" s="7"/>
      <c r="E489" s="7"/>
      <c r="F489" s="7"/>
      <c r="G489" s="7"/>
      <c r="H489" s="7"/>
      <c r="I489" s="7"/>
      <c r="J489" s="7"/>
      <c r="K489" s="7"/>
      <c r="L489" s="27"/>
      <c r="N489" s="8"/>
      <c r="O489" s="7"/>
      <c r="P489" s="7"/>
      <c r="Q489" s="7"/>
      <c r="R489" s="7"/>
    </row>
    <row r="490" spans="3:18">
      <c r="C490" s="7"/>
      <c r="D490" s="7"/>
      <c r="E490" s="7"/>
      <c r="F490" s="7"/>
      <c r="G490" s="7"/>
      <c r="H490" s="7"/>
      <c r="I490" s="7"/>
      <c r="J490" s="7"/>
      <c r="K490" s="7"/>
      <c r="L490" s="27"/>
      <c r="N490" s="8"/>
      <c r="O490" s="7"/>
      <c r="P490" s="7"/>
      <c r="Q490" s="7"/>
      <c r="R490" s="7"/>
    </row>
    <row r="491" spans="3:18">
      <c r="C491" s="7"/>
      <c r="D491" s="7"/>
      <c r="E491" s="7"/>
      <c r="F491" s="7"/>
      <c r="G491" s="7"/>
      <c r="H491" s="7"/>
      <c r="I491" s="7"/>
      <c r="J491" s="7"/>
      <c r="K491" s="7"/>
      <c r="L491" s="27"/>
      <c r="N491" s="8"/>
      <c r="O491" s="7"/>
      <c r="P491" s="7"/>
      <c r="Q491" s="7"/>
      <c r="R491" s="7"/>
    </row>
    <row r="492" spans="3:18">
      <c r="C492" s="7"/>
      <c r="D492" s="7"/>
      <c r="E492" s="7"/>
      <c r="F492" s="7"/>
      <c r="G492" s="7"/>
      <c r="H492" s="7"/>
      <c r="I492" s="7"/>
      <c r="J492" s="7"/>
      <c r="K492" s="7"/>
      <c r="L492" s="27"/>
      <c r="N492" s="8"/>
      <c r="O492" s="7"/>
      <c r="P492" s="7"/>
      <c r="Q492" s="7"/>
      <c r="R492" s="7"/>
    </row>
    <row r="493" spans="3:18">
      <c r="C493" s="7"/>
      <c r="D493" s="7"/>
      <c r="E493" s="7"/>
      <c r="F493" s="7"/>
      <c r="G493" s="7"/>
      <c r="H493" s="7"/>
      <c r="I493" s="7"/>
      <c r="J493" s="7"/>
      <c r="K493" s="7"/>
      <c r="L493" s="27"/>
      <c r="N493" s="8"/>
      <c r="O493" s="7"/>
      <c r="P493" s="7"/>
      <c r="Q493" s="7"/>
      <c r="R493" s="7"/>
    </row>
    <row r="494" spans="3:18">
      <c r="C494" s="7"/>
      <c r="D494" s="7"/>
      <c r="E494" s="7"/>
      <c r="F494" s="7"/>
      <c r="G494" s="7"/>
      <c r="H494" s="7"/>
      <c r="I494" s="7"/>
      <c r="J494" s="7"/>
      <c r="K494" s="7"/>
      <c r="L494" s="27"/>
      <c r="N494" s="8"/>
      <c r="O494" s="7"/>
      <c r="P494" s="7"/>
      <c r="Q494" s="7"/>
      <c r="R494" s="7"/>
    </row>
    <row r="495" spans="3:18">
      <c r="C495" s="7"/>
      <c r="D495" s="7"/>
      <c r="E495" s="7"/>
      <c r="F495" s="7"/>
      <c r="G495" s="7"/>
      <c r="H495" s="7"/>
      <c r="I495" s="7"/>
      <c r="J495" s="7"/>
      <c r="K495" s="7"/>
      <c r="L495" s="27"/>
      <c r="N495" s="8"/>
      <c r="O495" s="7"/>
      <c r="P495" s="7"/>
      <c r="Q495" s="7"/>
      <c r="R495" s="7"/>
    </row>
    <row r="496" spans="3:18">
      <c r="C496" s="7"/>
      <c r="D496" s="7"/>
      <c r="E496" s="7"/>
      <c r="F496" s="7"/>
      <c r="G496" s="7"/>
      <c r="H496" s="7"/>
      <c r="I496" s="7"/>
      <c r="J496" s="7"/>
      <c r="K496" s="7"/>
      <c r="L496" s="27"/>
      <c r="N496" s="8"/>
      <c r="O496" s="7"/>
      <c r="P496" s="7"/>
      <c r="Q496" s="7"/>
      <c r="R496" s="7"/>
    </row>
    <row r="497" spans="3:18">
      <c r="C497" s="7"/>
      <c r="D497" s="7"/>
      <c r="E497" s="7"/>
      <c r="F497" s="7"/>
      <c r="G497" s="7"/>
      <c r="H497" s="7"/>
      <c r="I497" s="7"/>
      <c r="J497" s="7"/>
      <c r="K497" s="7"/>
      <c r="L497" s="27"/>
      <c r="N497" s="8"/>
      <c r="O497" s="7"/>
      <c r="P497" s="7"/>
      <c r="Q497" s="7"/>
      <c r="R497" s="7"/>
    </row>
    <row r="498" spans="3:18">
      <c r="C498" s="7"/>
      <c r="D498" s="7"/>
      <c r="E498" s="7"/>
      <c r="F498" s="7"/>
      <c r="G498" s="7"/>
      <c r="H498" s="7"/>
      <c r="I498" s="7"/>
      <c r="J498" s="7"/>
      <c r="K498" s="7"/>
      <c r="L498" s="27"/>
      <c r="N498" s="8"/>
      <c r="O498" s="7"/>
      <c r="P498" s="7"/>
      <c r="Q498" s="7"/>
      <c r="R498" s="7"/>
    </row>
    <row r="499" spans="3:18">
      <c r="C499" s="7"/>
      <c r="D499" s="7"/>
      <c r="E499" s="7"/>
      <c r="F499" s="7"/>
      <c r="G499" s="7"/>
      <c r="H499" s="7"/>
      <c r="I499" s="7"/>
      <c r="J499" s="7"/>
      <c r="K499" s="7"/>
      <c r="L499" s="27"/>
      <c r="N499" s="8"/>
      <c r="O499" s="7"/>
      <c r="P499" s="7"/>
      <c r="Q499" s="7"/>
      <c r="R499" s="7"/>
    </row>
    <row r="500" spans="3:18">
      <c r="C500" s="7"/>
      <c r="D500" s="7"/>
      <c r="E500" s="7"/>
      <c r="F500" s="7"/>
      <c r="G500" s="7"/>
      <c r="H500" s="7"/>
      <c r="I500" s="7"/>
      <c r="J500" s="7"/>
      <c r="K500" s="7"/>
      <c r="L500" s="27"/>
      <c r="N500" s="8"/>
      <c r="O500" s="7"/>
      <c r="P500" s="7"/>
      <c r="Q500" s="7"/>
      <c r="R500" s="7"/>
    </row>
    <row r="501" spans="3:18">
      <c r="C501" s="7"/>
      <c r="D501" s="7"/>
      <c r="E501" s="7"/>
      <c r="F501" s="7"/>
      <c r="G501" s="7"/>
      <c r="H501" s="7"/>
      <c r="I501" s="7"/>
      <c r="J501" s="7"/>
      <c r="K501" s="7"/>
      <c r="L501" s="27"/>
      <c r="N501" s="8"/>
      <c r="O501" s="7"/>
      <c r="P501" s="7"/>
      <c r="Q501" s="7"/>
      <c r="R501" s="7"/>
    </row>
    <row r="502" spans="3:18">
      <c r="C502" s="7"/>
      <c r="D502" s="7"/>
      <c r="E502" s="7"/>
      <c r="F502" s="7"/>
      <c r="G502" s="7"/>
      <c r="H502" s="7"/>
      <c r="I502" s="7"/>
      <c r="J502" s="7"/>
      <c r="K502" s="7"/>
      <c r="L502" s="27"/>
      <c r="N502" s="8"/>
      <c r="O502" s="7"/>
      <c r="P502" s="7"/>
      <c r="Q502" s="7"/>
      <c r="R502" s="7"/>
    </row>
    <row r="503" spans="3:18">
      <c r="C503" s="7"/>
      <c r="D503" s="7"/>
      <c r="E503" s="7"/>
      <c r="F503" s="7"/>
      <c r="G503" s="7"/>
      <c r="H503" s="7"/>
      <c r="I503" s="7"/>
      <c r="J503" s="7"/>
      <c r="K503" s="7"/>
      <c r="L503" s="27"/>
      <c r="N503" s="8"/>
      <c r="O503" s="7"/>
      <c r="P503" s="7"/>
      <c r="Q503" s="7"/>
      <c r="R503" s="7"/>
    </row>
    <row r="504" spans="3:18">
      <c r="C504" s="7"/>
      <c r="D504" s="7"/>
      <c r="E504" s="7"/>
      <c r="F504" s="7"/>
      <c r="G504" s="7"/>
      <c r="H504" s="7"/>
      <c r="I504" s="7"/>
      <c r="J504" s="7"/>
      <c r="K504" s="7"/>
      <c r="L504" s="27"/>
      <c r="N504" s="8"/>
      <c r="O504" s="7"/>
      <c r="P504" s="7"/>
      <c r="Q504" s="7"/>
      <c r="R504" s="7"/>
    </row>
    <row r="505" spans="3:18">
      <c r="C505" s="7"/>
      <c r="D505" s="7"/>
      <c r="E505" s="7"/>
      <c r="F505" s="7"/>
      <c r="G505" s="7"/>
      <c r="H505" s="7"/>
      <c r="I505" s="7"/>
      <c r="J505" s="7"/>
      <c r="K505" s="7"/>
      <c r="L505" s="27"/>
      <c r="N505" s="8"/>
      <c r="O505" s="7"/>
      <c r="P505" s="7"/>
      <c r="Q505" s="7"/>
      <c r="R505" s="7"/>
    </row>
    <row r="506" spans="3:18">
      <c r="C506" s="7"/>
      <c r="D506" s="7"/>
      <c r="E506" s="7"/>
      <c r="F506" s="7"/>
      <c r="G506" s="7"/>
      <c r="H506" s="7"/>
      <c r="I506" s="7"/>
      <c r="J506" s="7"/>
      <c r="K506" s="7"/>
      <c r="L506" s="27"/>
      <c r="N506" s="8"/>
      <c r="O506" s="7"/>
      <c r="P506" s="7"/>
      <c r="Q506" s="7"/>
      <c r="R506" s="7"/>
    </row>
    <row r="507" spans="3:18">
      <c r="C507" s="7"/>
      <c r="D507" s="7"/>
      <c r="E507" s="7"/>
      <c r="F507" s="7"/>
      <c r="G507" s="7"/>
      <c r="H507" s="7"/>
      <c r="I507" s="7"/>
      <c r="J507" s="7"/>
      <c r="K507" s="7"/>
      <c r="L507" s="27"/>
      <c r="N507" s="8"/>
      <c r="O507" s="7"/>
      <c r="P507" s="7"/>
      <c r="Q507" s="7"/>
      <c r="R507" s="7"/>
    </row>
    <row r="508" spans="3:18">
      <c r="C508" s="7"/>
      <c r="D508" s="7"/>
      <c r="E508" s="7"/>
      <c r="F508" s="7"/>
      <c r="G508" s="7"/>
      <c r="H508" s="7"/>
      <c r="I508" s="7"/>
      <c r="J508" s="7"/>
      <c r="K508" s="7"/>
      <c r="L508" s="27"/>
      <c r="N508" s="8"/>
      <c r="O508" s="7"/>
      <c r="P508" s="7"/>
      <c r="Q508" s="7"/>
      <c r="R508" s="7"/>
    </row>
    <row r="509" spans="3:18">
      <c r="C509" s="7"/>
      <c r="D509" s="7"/>
      <c r="E509" s="7"/>
      <c r="F509" s="7"/>
      <c r="G509" s="7"/>
      <c r="H509" s="7"/>
      <c r="I509" s="7"/>
      <c r="J509" s="7"/>
      <c r="K509" s="7"/>
      <c r="L509" s="27"/>
      <c r="N509" s="8"/>
      <c r="O509" s="7"/>
      <c r="P509" s="7"/>
      <c r="Q509" s="7"/>
      <c r="R509" s="7"/>
    </row>
    <row r="510" spans="3:18">
      <c r="C510" s="7"/>
      <c r="D510" s="7"/>
      <c r="E510" s="7"/>
      <c r="F510" s="7"/>
      <c r="G510" s="7"/>
      <c r="H510" s="7"/>
      <c r="I510" s="7"/>
      <c r="J510" s="7"/>
      <c r="K510" s="7"/>
      <c r="L510" s="27"/>
      <c r="N510" s="8"/>
      <c r="O510" s="7"/>
      <c r="P510" s="7"/>
      <c r="Q510" s="7"/>
      <c r="R510" s="7"/>
    </row>
    <row r="511" spans="3:18">
      <c r="C511" s="7"/>
      <c r="D511" s="7"/>
      <c r="E511" s="7"/>
      <c r="F511" s="7"/>
      <c r="G511" s="7"/>
      <c r="H511" s="7"/>
      <c r="I511" s="7"/>
      <c r="J511" s="7"/>
      <c r="K511" s="7"/>
      <c r="L511" s="27"/>
      <c r="N511" s="8"/>
      <c r="O511" s="7"/>
      <c r="P511" s="7"/>
      <c r="Q511" s="7"/>
      <c r="R511" s="7"/>
    </row>
    <row r="512" spans="3:18">
      <c r="C512" s="7"/>
      <c r="D512" s="7"/>
      <c r="E512" s="7"/>
      <c r="F512" s="7"/>
      <c r="G512" s="7"/>
      <c r="H512" s="7"/>
      <c r="I512" s="7"/>
      <c r="J512" s="7"/>
      <c r="K512" s="7"/>
      <c r="L512" s="27"/>
      <c r="N512" s="8"/>
      <c r="O512" s="7"/>
      <c r="P512" s="7"/>
      <c r="Q512" s="7"/>
      <c r="R512" s="7"/>
    </row>
    <row r="513" spans="3:18">
      <c r="C513" s="7"/>
      <c r="D513" s="7"/>
      <c r="E513" s="7"/>
      <c r="F513" s="7"/>
      <c r="G513" s="7"/>
      <c r="H513" s="7"/>
      <c r="I513" s="7"/>
      <c r="J513" s="7"/>
      <c r="K513" s="7"/>
      <c r="L513" s="27"/>
      <c r="N513" s="8"/>
      <c r="O513" s="7"/>
      <c r="P513" s="7"/>
      <c r="Q513" s="7"/>
      <c r="R513" s="7"/>
    </row>
    <row r="514" spans="3:18">
      <c r="C514" s="7"/>
      <c r="D514" s="7"/>
      <c r="E514" s="7"/>
      <c r="F514" s="7"/>
      <c r="G514" s="7"/>
      <c r="H514" s="7"/>
      <c r="I514" s="7"/>
      <c r="J514" s="7"/>
      <c r="K514" s="7"/>
      <c r="L514" s="27"/>
      <c r="N514" s="8"/>
      <c r="O514" s="7"/>
      <c r="P514" s="7"/>
      <c r="Q514" s="7"/>
      <c r="R514" s="7"/>
    </row>
    <row r="515" spans="3:18">
      <c r="C515" s="7"/>
      <c r="D515" s="7"/>
      <c r="E515" s="7"/>
      <c r="F515" s="7"/>
      <c r="G515" s="7"/>
      <c r="H515" s="7"/>
      <c r="I515" s="7"/>
      <c r="J515" s="7"/>
      <c r="K515" s="7"/>
      <c r="L515" s="27"/>
      <c r="N515" s="8"/>
      <c r="O515" s="7"/>
      <c r="P515" s="7"/>
      <c r="Q515" s="7"/>
      <c r="R515" s="7"/>
    </row>
    <row r="516" spans="3:18">
      <c r="C516" s="7"/>
      <c r="D516" s="7"/>
      <c r="E516" s="7"/>
      <c r="F516" s="7"/>
      <c r="G516" s="7"/>
      <c r="H516" s="7"/>
      <c r="I516" s="7"/>
      <c r="J516" s="7"/>
      <c r="K516" s="7"/>
      <c r="L516" s="27"/>
      <c r="N516" s="8"/>
      <c r="O516" s="7"/>
      <c r="P516" s="7"/>
      <c r="Q516" s="7"/>
      <c r="R516" s="7"/>
    </row>
    <row r="517" spans="3:18">
      <c r="C517" s="7"/>
      <c r="D517" s="7"/>
      <c r="E517" s="7"/>
      <c r="F517" s="7"/>
      <c r="G517" s="7"/>
      <c r="H517" s="7"/>
      <c r="I517" s="7"/>
      <c r="J517" s="7"/>
      <c r="K517" s="7"/>
      <c r="L517" s="27"/>
      <c r="N517" s="8"/>
      <c r="O517" s="7"/>
      <c r="P517" s="7"/>
      <c r="Q517" s="7"/>
      <c r="R517" s="7"/>
    </row>
    <row r="518" spans="3:18">
      <c r="C518" s="7"/>
      <c r="D518" s="7"/>
      <c r="E518" s="7"/>
      <c r="F518" s="7"/>
      <c r="G518" s="7"/>
      <c r="H518" s="7"/>
      <c r="I518" s="7"/>
      <c r="J518" s="7"/>
      <c r="K518" s="7"/>
      <c r="L518" s="27"/>
      <c r="N518" s="8"/>
      <c r="O518" s="7"/>
      <c r="P518" s="7"/>
      <c r="Q518" s="7"/>
      <c r="R518" s="7"/>
    </row>
    <row r="519" spans="3:18">
      <c r="C519" s="7"/>
      <c r="D519" s="7"/>
      <c r="E519" s="7"/>
      <c r="F519" s="7"/>
      <c r="G519" s="7"/>
      <c r="H519" s="7"/>
      <c r="I519" s="7"/>
      <c r="J519" s="7"/>
      <c r="K519" s="7"/>
      <c r="L519" s="27"/>
      <c r="N519" s="8"/>
      <c r="O519" s="7"/>
      <c r="P519" s="7"/>
      <c r="Q519" s="7"/>
      <c r="R519" s="7"/>
    </row>
    <row r="520" spans="3:18">
      <c r="C520" s="7"/>
      <c r="D520" s="7"/>
      <c r="E520" s="7"/>
      <c r="F520" s="7"/>
      <c r="G520" s="7"/>
      <c r="H520" s="7"/>
      <c r="I520" s="7"/>
      <c r="J520" s="7"/>
      <c r="K520" s="7"/>
      <c r="L520" s="27"/>
      <c r="N520" s="8"/>
      <c r="O520" s="7"/>
      <c r="P520" s="7"/>
      <c r="Q520" s="7"/>
      <c r="R520" s="7"/>
    </row>
    <row r="521" spans="3:18">
      <c r="C521" s="7"/>
      <c r="D521" s="7"/>
      <c r="E521" s="7"/>
      <c r="F521" s="7"/>
      <c r="G521" s="7"/>
      <c r="H521" s="7"/>
      <c r="I521" s="7"/>
      <c r="J521" s="7"/>
      <c r="K521" s="7"/>
      <c r="L521" s="27"/>
      <c r="N521" s="8"/>
      <c r="O521" s="7"/>
      <c r="P521" s="7"/>
      <c r="Q521" s="7"/>
      <c r="R521" s="7"/>
    </row>
    <row r="522" spans="3:18">
      <c r="C522" s="7"/>
      <c r="D522" s="7"/>
      <c r="E522" s="7"/>
      <c r="F522" s="7"/>
      <c r="G522" s="7"/>
      <c r="H522" s="7"/>
      <c r="I522" s="7"/>
      <c r="J522" s="7"/>
      <c r="K522" s="7"/>
      <c r="L522" s="27"/>
      <c r="N522" s="8"/>
      <c r="O522" s="7"/>
      <c r="P522" s="7"/>
      <c r="Q522" s="7"/>
      <c r="R522" s="7"/>
    </row>
    <row r="523" spans="3:18">
      <c r="C523" s="7"/>
      <c r="D523" s="7"/>
      <c r="E523" s="7"/>
      <c r="F523" s="7"/>
      <c r="G523" s="7"/>
      <c r="H523" s="7"/>
      <c r="I523" s="7"/>
      <c r="J523" s="7"/>
      <c r="K523" s="7"/>
      <c r="L523" s="27"/>
      <c r="N523" s="8"/>
      <c r="O523" s="7"/>
      <c r="P523" s="7"/>
      <c r="Q523" s="7"/>
      <c r="R523" s="7"/>
    </row>
    <row r="524" spans="3:18">
      <c r="C524" s="7"/>
      <c r="D524" s="7"/>
      <c r="E524" s="7"/>
      <c r="F524" s="7"/>
      <c r="G524" s="7"/>
      <c r="H524" s="7"/>
      <c r="I524" s="7"/>
      <c r="J524" s="7"/>
      <c r="K524" s="7"/>
      <c r="L524" s="27"/>
      <c r="N524" s="8"/>
      <c r="O524" s="7"/>
      <c r="P524" s="7"/>
      <c r="Q524" s="7"/>
      <c r="R524" s="7"/>
    </row>
    <row r="525" spans="3:18">
      <c r="C525" s="7"/>
      <c r="D525" s="7"/>
      <c r="E525" s="7"/>
      <c r="F525" s="7"/>
      <c r="G525" s="7"/>
      <c r="H525" s="7"/>
      <c r="I525" s="7"/>
      <c r="J525" s="7"/>
      <c r="K525" s="7"/>
      <c r="L525" s="27"/>
      <c r="N525" s="8"/>
      <c r="O525" s="7"/>
      <c r="P525" s="7"/>
      <c r="Q525" s="7"/>
      <c r="R525" s="7"/>
    </row>
    <row r="526" spans="3:18">
      <c r="C526" s="7"/>
      <c r="D526" s="7"/>
      <c r="E526" s="7"/>
      <c r="F526" s="7"/>
      <c r="G526" s="7"/>
      <c r="H526" s="7"/>
      <c r="I526" s="7"/>
      <c r="J526" s="7"/>
      <c r="K526" s="7"/>
      <c r="L526" s="27"/>
      <c r="N526" s="8"/>
      <c r="O526" s="7"/>
      <c r="P526" s="7"/>
      <c r="Q526" s="7"/>
      <c r="R526" s="7"/>
    </row>
    <row r="527" spans="3:18">
      <c r="C527" s="7"/>
      <c r="D527" s="7"/>
      <c r="E527" s="7"/>
      <c r="F527" s="7"/>
      <c r="G527" s="7"/>
      <c r="H527" s="7"/>
      <c r="I527" s="7"/>
      <c r="J527" s="7"/>
      <c r="K527" s="7"/>
      <c r="L527" s="27"/>
      <c r="N527" s="8"/>
      <c r="O527" s="7"/>
      <c r="P527" s="7"/>
      <c r="Q527" s="7"/>
      <c r="R527" s="7"/>
    </row>
    <row r="528" spans="3:18">
      <c r="C528" s="7"/>
      <c r="D528" s="7"/>
      <c r="E528" s="7"/>
      <c r="F528" s="7"/>
      <c r="G528" s="7"/>
      <c r="H528" s="7"/>
      <c r="I528" s="7"/>
      <c r="J528" s="7"/>
      <c r="K528" s="7"/>
      <c r="L528" s="27"/>
      <c r="N528" s="8"/>
      <c r="O528" s="7"/>
      <c r="P528" s="7"/>
      <c r="Q528" s="7"/>
      <c r="R528" s="7"/>
    </row>
    <row r="529" spans="3:18">
      <c r="C529" s="7"/>
      <c r="D529" s="7"/>
      <c r="E529" s="7"/>
      <c r="F529" s="7"/>
      <c r="G529" s="7"/>
      <c r="H529" s="7"/>
      <c r="I529" s="7"/>
      <c r="J529" s="7"/>
      <c r="K529" s="7"/>
      <c r="L529" s="27"/>
      <c r="N529" s="8"/>
      <c r="O529" s="7"/>
      <c r="P529" s="7"/>
      <c r="Q529" s="7"/>
      <c r="R529" s="7"/>
    </row>
    <row r="530" spans="3:18">
      <c r="C530" s="7"/>
      <c r="D530" s="7"/>
      <c r="E530" s="7"/>
      <c r="F530" s="7"/>
      <c r="G530" s="7"/>
      <c r="H530" s="7"/>
      <c r="I530" s="7"/>
      <c r="J530" s="7"/>
      <c r="K530" s="7"/>
      <c r="L530" s="27"/>
      <c r="N530" s="8"/>
      <c r="O530" s="7"/>
      <c r="P530" s="7"/>
      <c r="Q530" s="7"/>
      <c r="R530" s="7"/>
    </row>
    <row r="531" spans="3:18">
      <c r="C531" s="7"/>
      <c r="D531" s="7"/>
      <c r="E531" s="7"/>
      <c r="F531" s="7"/>
      <c r="G531" s="7"/>
      <c r="H531" s="7"/>
      <c r="I531" s="7"/>
      <c r="J531" s="7"/>
      <c r="K531" s="7"/>
      <c r="L531" s="27"/>
      <c r="N531" s="8"/>
      <c r="O531" s="7"/>
      <c r="P531" s="7"/>
      <c r="Q531" s="7"/>
      <c r="R531" s="7"/>
    </row>
    <row r="532" spans="3:18">
      <c r="C532" s="7"/>
      <c r="D532" s="7"/>
      <c r="E532" s="7"/>
      <c r="F532" s="7"/>
      <c r="G532" s="7"/>
      <c r="H532" s="7"/>
      <c r="I532" s="7"/>
      <c r="J532" s="7"/>
      <c r="K532" s="7"/>
      <c r="L532" s="27"/>
      <c r="N532" s="8"/>
      <c r="O532" s="7"/>
      <c r="P532" s="7"/>
      <c r="Q532" s="7"/>
      <c r="R532" s="7"/>
    </row>
    <row r="533" spans="3:18">
      <c r="C533" s="7"/>
      <c r="D533" s="7"/>
      <c r="E533" s="7"/>
      <c r="F533" s="7"/>
      <c r="G533" s="7"/>
      <c r="H533" s="7"/>
      <c r="I533" s="7"/>
      <c r="J533" s="7"/>
      <c r="K533" s="7"/>
      <c r="L533" s="27"/>
      <c r="N533" s="8"/>
      <c r="O533" s="7"/>
      <c r="P533" s="7"/>
      <c r="Q533" s="7"/>
      <c r="R533" s="7"/>
    </row>
    <row r="534" spans="3:18">
      <c r="C534" s="7"/>
      <c r="D534" s="7"/>
      <c r="E534" s="7"/>
      <c r="F534" s="7"/>
      <c r="G534" s="7"/>
      <c r="H534" s="7"/>
      <c r="I534" s="7"/>
      <c r="J534" s="7"/>
      <c r="K534" s="7"/>
      <c r="L534" s="27"/>
      <c r="N534" s="8"/>
      <c r="O534" s="7"/>
      <c r="P534" s="7"/>
      <c r="Q534" s="7"/>
      <c r="R534" s="7"/>
    </row>
    <row r="535" spans="3:18">
      <c r="C535" s="7"/>
      <c r="D535" s="7"/>
      <c r="E535" s="7"/>
      <c r="F535" s="7"/>
      <c r="G535" s="7"/>
      <c r="H535" s="7"/>
      <c r="I535" s="7"/>
      <c r="J535" s="7"/>
      <c r="K535" s="7"/>
      <c r="L535" s="27"/>
      <c r="N535" s="8"/>
      <c r="O535" s="7"/>
      <c r="P535" s="7"/>
      <c r="Q535" s="7"/>
      <c r="R535" s="7"/>
    </row>
    <row r="536" spans="3:18">
      <c r="C536" s="7"/>
      <c r="D536" s="7"/>
      <c r="E536" s="7"/>
      <c r="F536" s="7"/>
      <c r="G536" s="7"/>
      <c r="H536" s="7"/>
      <c r="I536" s="7"/>
      <c r="J536" s="7"/>
      <c r="K536" s="7"/>
      <c r="L536" s="27"/>
      <c r="N536" s="8"/>
      <c r="O536" s="7"/>
      <c r="P536" s="7"/>
      <c r="Q536" s="7"/>
      <c r="R536" s="7"/>
    </row>
    <row r="537" spans="3:18">
      <c r="C537" s="7"/>
      <c r="D537" s="7"/>
      <c r="E537" s="7"/>
      <c r="F537" s="7"/>
      <c r="G537" s="7"/>
      <c r="H537" s="7"/>
      <c r="I537" s="7"/>
      <c r="J537" s="7"/>
      <c r="K537" s="7"/>
      <c r="L537" s="27"/>
      <c r="N537" s="8"/>
      <c r="O537" s="7"/>
      <c r="P537" s="7"/>
      <c r="Q537" s="7"/>
      <c r="R537" s="7"/>
    </row>
    <row r="538" spans="3:18">
      <c r="C538" s="7"/>
      <c r="D538" s="7"/>
      <c r="E538" s="7"/>
      <c r="F538" s="7"/>
      <c r="G538" s="7"/>
      <c r="H538" s="7"/>
      <c r="I538" s="7"/>
      <c r="J538" s="7"/>
      <c r="K538" s="7"/>
      <c r="L538" s="27"/>
      <c r="N538" s="8"/>
      <c r="O538" s="7"/>
      <c r="P538" s="7"/>
      <c r="Q538" s="7"/>
      <c r="R538" s="7"/>
    </row>
    <row r="539" spans="3:18">
      <c r="C539" s="7"/>
      <c r="D539" s="7"/>
      <c r="E539" s="7"/>
      <c r="F539" s="7"/>
      <c r="G539" s="7"/>
      <c r="H539" s="7"/>
      <c r="I539" s="7"/>
      <c r="J539" s="7"/>
      <c r="K539" s="7"/>
      <c r="L539" s="27"/>
      <c r="N539" s="8"/>
      <c r="O539" s="7"/>
      <c r="P539" s="7"/>
      <c r="Q539" s="7"/>
      <c r="R539" s="7"/>
    </row>
    <row r="540" spans="3:18">
      <c r="C540" s="7"/>
      <c r="D540" s="7"/>
      <c r="E540" s="7"/>
      <c r="F540" s="7"/>
      <c r="G540" s="7"/>
      <c r="H540" s="7"/>
      <c r="I540" s="7"/>
      <c r="J540" s="7"/>
      <c r="K540" s="7"/>
      <c r="L540" s="27"/>
      <c r="N540" s="8"/>
      <c r="O540" s="7"/>
      <c r="P540" s="7"/>
      <c r="Q540" s="7"/>
      <c r="R540" s="7"/>
    </row>
    <row r="541" spans="3:18">
      <c r="C541" s="7"/>
      <c r="D541" s="7"/>
      <c r="E541" s="7"/>
      <c r="F541" s="7"/>
      <c r="G541" s="7"/>
      <c r="H541" s="7"/>
      <c r="I541" s="7"/>
      <c r="J541" s="7"/>
      <c r="K541" s="7"/>
      <c r="L541" s="27"/>
      <c r="N541" s="8"/>
      <c r="O541" s="7"/>
      <c r="P541" s="7"/>
      <c r="Q541" s="7"/>
      <c r="R541" s="7"/>
    </row>
    <row r="542" spans="3:18">
      <c r="C542" s="7"/>
      <c r="D542" s="7"/>
      <c r="E542" s="7"/>
      <c r="F542" s="7"/>
      <c r="G542" s="7"/>
      <c r="H542" s="7"/>
      <c r="I542" s="7"/>
      <c r="J542" s="7"/>
      <c r="K542" s="7"/>
      <c r="L542" s="27"/>
      <c r="N542" s="8"/>
      <c r="O542" s="7"/>
      <c r="P542" s="7"/>
      <c r="Q542" s="7"/>
      <c r="R542" s="7"/>
    </row>
    <row r="543" spans="3:18">
      <c r="C543" s="7"/>
      <c r="D543" s="7"/>
      <c r="E543" s="7"/>
      <c r="F543" s="7"/>
      <c r="G543" s="7"/>
      <c r="H543" s="7"/>
      <c r="I543" s="7"/>
      <c r="J543" s="7"/>
      <c r="K543" s="7"/>
      <c r="L543" s="27"/>
      <c r="N543" s="8"/>
      <c r="O543" s="7"/>
      <c r="P543" s="7"/>
      <c r="Q543" s="7"/>
      <c r="R543" s="7"/>
    </row>
    <row r="544" spans="3:18">
      <c r="C544" s="7"/>
      <c r="D544" s="7"/>
      <c r="E544" s="7"/>
      <c r="F544" s="7"/>
      <c r="G544" s="7"/>
      <c r="H544" s="7"/>
      <c r="I544" s="7"/>
      <c r="J544" s="7"/>
      <c r="K544" s="7"/>
      <c r="L544" s="27"/>
      <c r="N544" s="8"/>
      <c r="O544" s="7"/>
      <c r="P544" s="7"/>
      <c r="Q544" s="7"/>
      <c r="R544" s="7"/>
    </row>
    <row r="545" spans="3:18">
      <c r="C545" s="7"/>
      <c r="D545" s="7"/>
      <c r="E545" s="7"/>
      <c r="F545" s="7"/>
      <c r="G545" s="7"/>
      <c r="H545" s="7"/>
      <c r="I545" s="7"/>
      <c r="J545" s="7"/>
      <c r="K545" s="7"/>
      <c r="L545" s="27"/>
      <c r="N545" s="8"/>
      <c r="O545" s="7"/>
      <c r="P545" s="7"/>
      <c r="Q545" s="7"/>
      <c r="R545" s="7"/>
    </row>
    <row r="546" spans="3:18">
      <c r="C546" s="7"/>
      <c r="D546" s="7"/>
      <c r="E546" s="7"/>
      <c r="F546" s="7"/>
      <c r="G546" s="7"/>
      <c r="H546" s="7"/>
      <c r="I546" s="7"/>
      <c r="J546" s="7"/>
      <c r="K546" s="7"/>
      <c r="L546" s="27"/>
      <c r="N546" s="8"/>
      <c r="O546" s="7"/>
      <c r="P546" s="7"/>
      <c r="Q546" s="7"/>
      <c r="R546" s="7"/>
    </row>
    <row r="547" spans="3:18">
      <c r="C547" s="7"/>
      <c r="D547" s="7"/>
      <c r="E547" s="7"/>
      <c r="F547" s="7"/>
      <c r="G547" s="7"/>
      <c r="H547" s="7"/>
      <c r="I547" s="7"/>
      <c r="J547" s="7"/>
      <c r="K547" s="7"/>
      <c r="L547" s="27"/>
      <c r="N547" s="8"/>
      <c r="O547" s="7"/>
      <c r="P547" s="7"/>
      <c r="Q547" s="7"/>
      <c r="R547" s="7"/>
    </row>
    <row r="548" spans="3:18">
      <c r="C548" s="7"/>
      <c r="D548" s="7"/>
      <c r="E548" s="7"/>
      <c r="F548" s="7"/>
      <c r="G548" s="7"/>
      <c r="H548" s="7"/>
      <c r="I548" s="7"/>
      <c r="J548" s="7"/>
      <c r="K548" s="7"/>
      <c r="L548" s="27"/>
      <c r="N548" s="8"/>
      <c r="O548" s="7"/>
      <c r="P548" s="7"/>
      <c r="Q548" s="7"/>
      <c r="R548" s="7"/>
    </row>
    <row r="549" spans="3:18">
      <c r="C549" s="7"/>
      <c r="D549" s="7"/>
      <c r="E549" s="7"/>
      <c r="F549" s="7"/>
      <c r="G549" s="7"/>
      <c r="H549" s="7"/>
      <c r="I549" s="7"/>
      <c r="J549" s="7"/>
      <c r="K549" s="7"/>
      <c r="L549" s="27"/>
      <c r="N549" s="8"/>
      <c r="O549" s="7"/>
      <c r="P549" s="7"/>
      <c r="Q549" s="7"/>
      <c r="R549" s="7"/>
    </row>
    <row r="550" spans="3:18">
      <c r="C550" s="7"/>
      <c r="D550" s="7"/>
      <c r="E550" s="7"/>
      <c r="F550" s="7"/>
      <c r="G550" s="7"/>
      <c r="H550" s="7"/>
      <c r="I550" s="7"/>
      <c r="J550" s="7"/>
      <c r="K550" s="7"/>
      <c r="L550" s="27"/>
      <c r="N550" s="8"/>
      <c r="O550" s="7"/>
      <c r="P550" s="7"/>
      <c r="Q550" s="7"/>
      <c r="R550" s="7"/>
    </row>
    <row r="551" spans="3:18">
      <c r="C551" s="7"/>
      <c r="D551" s="7"/>
      <c r="E551" s="7"/>
      <c r="F551" s="7"/>
      <c r="G551" s="7"/>
      <c r="H551" s="7"/>
      <c r="I551" s="7"/>
      <c r="J551" s="7"/>
      <c r="K551" s="7"/>
      <c r="L551" s="27"/>
      <c r="N551" s="8"/>
      <c r="O551" s="7"/>
      <c r="P551" s="7"/>
      <c r="Q551" s="7"/>
      <c r="R551" s="7"/>
    </row>
    <row r="552" spans="3:18">
      <c r="C552" s="7"/>
      <c r="D552" s="7"/>
      <c r="E552" s="7"/>
      <c r="F552" s="7"/>
      <c r="G552" s="7"/>
      <c r="H552" s="7"/>
      <c r="I552" s="7"/>
      <c r="J552" s="7"/>
      <c r="K552" s="7"/>
      <c r="L552" s="27"/>
      <c r="N552" s="8"/>
      <c r="O552" s="7"/>
      <c r="P552" s="7"/>
      <c r="Q552" s="7"/>
      <c r="R552" s="7"/>
    </row>
    <row r="553" spans="3:18">
      <c r="C553" s="7"/>
      <c r="D553" s="7"/>
      <c r="E553" s="7"/>
      <c r="F553" s="7"/>
      <c r="G553" s="7"/>
      <c r="H553" s="7"/>
      <c r="I553" s="7"/>
      <c r="J553" s="7"/>
      <c r="K553" s="7"/>
      <c r="L553" s="27"/>
      <c r="N553" s="8"/>
      <c r="O553" s="7"/>
      <c r="P553" s="7"/>
      <c r="Q553" s="7"/>
      <c r="R553" s="7"/>
    </row>
    <row r="554" spans="3:18">
      <c r="C554" s="7"/>
      <c r="D554" s="7"/>
      <c r="E554" s="7"/>
      <c r="F554" s="7"/>
      <c r="G554" s="7"/>
      <c r="H554" s="7"/>
      <c r="I554" s="7"/>
      <c r="J554" s="7"/>
      <c r="K554" s="7"/>
      <c r="L554" s="27"/>
      <c r="N554" s="8"/>
      <c r="O554" s="7"/>
      <c r="P554" s="7"/>
      <c r="Q554" s="7"/>
      <c r="R554" s="7"/>
    </row>
    <row r="555" spans="3:18">
      <c r="C555" s="7"/>
      <c r="D555" s="7"/>
      <c r="E555" s="7"/>
      <c r="F555" s="7"/>
      <c r="G555" s="7"/>
      <c r="H555" s="7"/>
      <c r="I555" s="7"/>
      <c r="J555" s="7"/>
      <c r="K555" s="7"/>
      <c r="L555" s="27"/>
      <c r="N555" s="8"/>
      <c r="O555" s="7"/>
      <c r="P555" s="7"/>
      <c r="Q555" s="7"/>
      <c r="R555" s="7"/>
    </row>
    <row r="556" spans="3:18">
      <c r="C556" s="7"/>
      <c r="D556" s="7"/>
      <c r="E556" s="7"/>
      <c r="F556" s="7"/>
      <c r="G556" s="7"/>
      <c r="H556" s="7"/>
      <c r="I556" s="7"/>
      <c r="J556" s="7"/>
      <c r="K556" s="7"/>
      <c r="L556" s="27"/>
      <c r="N556" s="8"/>
      <c r="O556" s="7"/>
      <c r="P556" s="7"/>
      <c r="Q556" s="7"/>
      <c r="R556" s="7"/>
    </row>
    <row r="557" spans="3:18">
      <c r="C557" s="7"/>
      <c r="D557" s="7"/>
      <c r="E557" s="7"/>
      <c r="F557" s="7"/>
      <c r="G557" s="7"/>
      <c r="H557" s="7"/>
      <c r="I557" s="7"/>
      <c r="J557" s="7"/>
      <c r="K557" s="7"/>
      <c r="L557" s="27"/>
      <c r="N557" s="8"/>
      <c r="O557" s="7"/>
      <c r="P557" s="7"/>
      <c r="Q557" s="7"/>
      <c r="R557" s="7"/>
    </row>
    <row r="558" spans="3:18">
      <c r="C558" s="7"/>
      <c r="D558" s="7"/>
      <c r="E558" s="7"/>
      <c r="F558" s="7"/>
      <c r="G558" s="7"/>
      <c r="H558" s="7"/>
      <c r="I558" s="7"/>
      <c r="J558" s="7"/>
      <c r="K558" s="7"/>
      <c r="L558" s="27"/>
      <c r="N558" s="8"/>
      <c r="O558" s="7"/>
      <c r="P558" s="7"/>
      <c r="Q558" s="7"/>
      <c r="R558" s="7"/>
    </row>
    <row r="559" spans="3:18">
      <c r="C559" s="7"/>
      <c r="D559" s="7"/>
      <c r="E559" s="7"/>
      <c r="F559" s="7"/>
      <c r="G559" s="7"/>
      <c r="H559" s="7"/>
      <c r="I559" s="7"/>
      <c r="J559" s="7"/>
      <c r="K559" s="7"/>
      <c r="L559" s="27"/>
      <c r="N559" s="8"/>
      <c r="O559" s="7"/>
      <c r="P559" s="7"/>
      <c r="Q559" s="7"/>
      <c r="R559" s="7"/>
    </row>
    <row r="560" spans="3:18">
      <c r="C560" s="7"/>
      <c r="D560" s="7"/>
      <c r="E560" s="7"/>
      <c r="F560" s="7"/>
      <c r="G560" s="7"/>
      <c r="H560" s="7"/>
      <c r="I560" s="7"/>
      <c r="J560" s="7"/>
      <c r="K560" s="7"/>
      <c r="L560" s="27"/>
      <c r="N560" s="8"/>
      <c r="O560" s="7"/>
      <c r="P560" s="7"/>
      <c r="Q560" s="7"/>
      <c r="R560" s="7"/>
    </row>
    <row r="561" spans="3:18">
      <c r="C561" s="7"/>
      <c r="D561" s="7"/>
      <c r="E561" s="7"/>
      <c r="F561" s="7"/>
      <c r="G561" s="7"/>
      <c r="H561" s="7"/>
      <c r="I561" s="7"/>
      <c r="J561" s="7"/>
      <c r="K561" s="7"/>
      <c r="L561" s="27"/>
      <c r="N561" s="8"/>
      <c r="O561" s="7"/>
      <c r="P561" s="7"/>
      <c r="Q561" s="7"/>
      <c r="R561" s="7"/>
    </row>
    <row r="562" spans="3:18">
      <c r="C562" s="7"/>
      <c r="D562" s="7"/>
      <c r="E562" s="7"/>
      <c r="F562" s="7"/>
      <c r="G562" s="7"/>
      <c r="H562" s="7"/>
      <c r="I562" s="7"/>
      <c r="J562" s="7"/>
      <c r="K562" s="7"/>
      <c r="L562" s="27"/>
      <c r="N562" s="8"/>
      <c r="O562" s="7"/>
      <c r="P562" s="7"/>
      <c r="Q562" s="7"/>
      <c r="R562" s="7"/>
    </row>
    <row r="563" spans="3:18">
      <c r="C563" s="7"/>
      <c r="D563" s="7"/>
      <c r="E563" s="7"/>
      <c r="F563" s="7"/>
      <c r="G563" s="7"/>
      <c r="H563" s="7"/>
      <c r="I563" s="7"/>
      <c r="J563" s="7"/>
      <c r="K563" s="7"/>
      <c r="L563" s="27"/>
      <c r="N563" s="8"/>
      <c r="O563" s="7"/>
      <c r="P563" s="7"/>
      <c r="Q563" s="7"/>
      <c r="R563" s="7"/>
    </row>
    <row r="564" spans="3:18">
      <c r="C564" s="7"/>
      <c r="D564" s="7"/>
      <c r="E564" s="7"/>
      <c r="F564" s="7"/>
      <c r="G564" s="7"/>
      <c r="H564" s="7"/>
      <c r="I564" s="7"/>
      <c r="J564" s="7"/>
      <c r="K564" s="7"/>
      <c r="L564" s="27"/>
      <c r="N564" s="8"/>
      <c r="O564" s="7"/>
      <c r="P564" s="7"/>
      <c r="Q564" s="7"/>
      <c r="R564" s="7"/>
    </row>
    <row r="565" spans="3:18">
      <c r="C565" s="7"/>
      <c r="D565" s="7"/>
      <c r="E565" s="7"/>
      <c r="F565" s="7"/>
      <c r="G565" s="7"/>
      <c r="H565" s="7"/>
      <c r="I565" s="7"/>
      <c r="J565" s="7"/>
      <c r="K565" s="7"/>
      <c r="L565" s="27"/>
      <c r="N565" s="8"/>
      <c r="O565" s="7"/>
      <c r="P565" s="7"/>
      <c r="Q565" s="7"/>
      <c r="R565" s="7"/>
    </row>
    <row r="566" spans="3:18">
      <c r="C566" s="7"/>
      <c r="D566" s="7"/>
      <c r="E566" s="7"/>
      <c r="F566" s="7"/>
      <c r="G566" s="7"/>
      <c r="H566" s="7"/>
      <c r="I566" s="7"/>
      <c r="J566" s="7"/>
      <c r="K566" s="7"/>
      <c r="L566" s="27"/>
      <c r="N566" s="8"/>
      <c r="O566" s="7"/>
      <c r="P566" s="7"/>
      <c r="Q566" s="7"/>
      <c r="R566" s="7"/>
    </row>
    <row r="567" spans="3:18">
      <c r="C567" s="7"/>
      <c r="D567" s="7"/>
      <c r="E567" s="7"/>
      <c r="F567" s="7"/>
      <c r="G567" s="7"/>
      <c r="H567" s="7"/>
      <c r="I567" s="7"/>
      <c r="J567" s="7"/>
      <c r="K567" s="7"/>
      <c r="L567" s="27"/>
      <c r="N567" s="8"/>
      <c r="O567" s="7"/>
      <c r="P567" s="7"/>
      <c r="Q567" s="7"/>
      <c r="R567" s="7"/>
    </row>
    <row r="568" spans="3:18">
      <c r="C568" s="7"/>
      <c r="D568" s="7"/>
      <c r="E568" s="7"/>
      <c r="F568" s="7"/>
      <c r="G568" s="7"/>
      <c r="H568" s="7"/>
      <c r="I568" s="7"/>
      <c r="J568" s="7"/>
      <c r="K568" s="7"/>
      <c r="L568" s="27"/>
      <c r="N568" s="8"/>
      <c r="O568" s="7"/>
      <c r="P568" s="7"/>
      <c r="Q568" s="7"/>
      <c r="R568" s="7"/>
    </row>
    <row r="569" spans="3:18">
      <c r="C569" s="7"/>
      <c r="D569" s="7"/>
      <c r="E569" s="7"/>
      <c r="F569" s="7"/>
      <c r="G569" s="7"/>
      <c r="H569" s="7"/>
      <c r="I569" s="7"/>
      <c r="J569" s="7"/>
      <c r="K569" s="7"/>
      <c r="L569" s="27"/>
      <c r="N569" s="8"/>
      <c r="O569" s="7"/>
      <c r="P569" s="7"/>
      <c r="Q569" s="7"/>
      <c r="R569" s="7"/>
    </row>
    <row r="570" spans="3:18">
      <c r="C570" s="7"/>
      <c r="D570" s="7"/>
      <c r="E570" s="7"/>
      <c r="F570" s="7"/>
      <c r="G570" s="7"/>
      <c r="H570" s="7"/>
      <c r="I570" s="7"/>
      <c r="J570" s="7"/>
      <c r="K570" s="7"/>
      <c r="L570" s="27"/>
      <c r="N570" s="8"/>
      <c r="O570" s="7"/>
      <c r="P570" s="7"/>
      <c r="Q570" s="7"/>
      <c r="R570" s="7"/>
    </row>
    <row r="571" spans="3:18">
      <c r="C571" s="7"/>
      <c r="D571" s="7"/>
      <c r="E571" s="7"/>
      <c r="F571" s="7"/>
      <c r="G571" s="7"/>
      <c r="H571" s="7"/>
      <c r="I571" s="7"/>
      <c r="J571" s="7"/>
      <c r="K571" s="7"/>
      <c r="L571" s="27"/>
      <c r="N571" s="8"/>
      <c r="O571" s="7"/>
      <c r="P571" s="7"/>
      <c r="Q571" s="7"/>
      <c r="R571" s="7"/>
    </row>
    <row r="572" spans="3:18">
      <c r="C572" s="7"/>
      <c r="D572" s="7"/>
      <c r="E572" s="7"/>
      <c r="F572" s="7"/>
      <c r="G572" s="7"/>
      <c r="H572" s="7"/>
      <c r="I572" s="7"/>
      <c r="J572" s="7"/>
      <c r="K572" s="7"/>
      <c r="L572" s="27"/>
      <c r="N572" s="8"/>
      <c r="O572" s="7"/>
      <c r="P572" s="7"/>
      <c r="Q572" s="7"/>
      <c r="R572" s="7"/>
    </row>
    <row r="573" spans="3:18">
      <c r="C573" s="7"/>
      <c r="D573" s="7"/>
      <c r="E573" s="7"/>
      <c r="F573" s="7"/>
      <c r="G573" s="7"/>
      <c r="H573" s="7"/>
      <c r="I573" s="7"/>
      <c r="J573" s="7"/>
      <c r="K573" s="7"/>
      <c r="L573" s="27"/>
      <c r="N573" s="8"/>
      <c r="O573" s="7"/>
      <c r="P573" s="7"/>
      <c r="Q573" s="7"/>
      <c r="R573" s="7"/>
    </row>
    <row r="574" spans="3:18">
      <c r="C574" s="7"/>
      <c r="D574" s="7"/>
      <c r="E574" s="7"/>
      <c r="F574" s="7"/>
      <c r="G574" s="7"/>
      <c r="H574" s="7"/>
      <c r="I574" s="7"/>
      <c r="J574" s="7"/>
      <c r="K574" s="7"/>
      <c r="L574" s="27"/>
      <c r="N574" s="8"/>
      <c r="O574" s="7"/>
      <c r="P574" s="7"/>
      <c r="Q574" s="7"/>
      <c r="R574" s="7"/>
    </row>
    <row r="575" spans="3:18">
      <c r="C575" s="7"/>
      <c r="D575" s="7"/>
      <c r="E575" s="7"/>
      <c r="F575" s="7"/>
      <c r="G575" s="7"/>
      <c r="H575" s="7"/>
      <c r="I575" s="7"/>
      <c r="J575" s="7"/>
      <c r="K575" s="7"/>
      <c r="L575" s="27"/>
      <c r="N575" s="8"/>
      <c r="O575" s="7"/>
      <c r="P575" s="7"/>
      <c r="Q575" s="7"/>
      <c r="R575" s="7"/>
    </row>
    <row r="576" spans="3:18">
      <c r="C576" s="7"/>
      <c r="D576" s="7"/>
      <c r="E576" s="7"/>
      <c r="F576" s="7"/>
      <c r="G576" s="7"/>
      <c r="H576" s="7"/>
      <c r="I576" s="7"/>
      <c r="J576" s="7"/>
      <c r="K576" s="7"/>
      <c r="L576" s="27"/>
      <c r="N576" s="8"/>
      <c r="O576" s="7"/>
      <c r="P576" s="7"/>
      <c r="Q576" s="7"/>
      <c r="R576" s="7"/>
    </row>
    <row r="577" spans="3:18">
      <c r="C577" s="7"/>
      <c r="D577" s="7"/>
      <c r="E577" s="7"/>
      <c r="F577" s="7"/>
      <c r="G577" s="7"/>
      <c r="H577" s="7"/>
      <c r="I577" s="7"/>
      <c r="J577" s="7"/>
      <c r="K577" s="7"/>
      <c r="L577" s="27"/>
      <c r="N577" s="8"/>
      <c r="O577" s="7"/>
      <c r="P577" s="7"/>
      <c r="Q577" s="7"/>
      <c r="R577" s="7"/>
    </row>
    <row r="578" spans="3:18">
      <c r="C578" s="7"/>
      <c r="D578" s="7"/>
      <c r="E578" s="7"/>
      <c r="F578" s="7"/>
      <c r="G578" s="7"/>
      <c r="H578" s="7"/>
      <c r="I578" s="7"/>
      <c r="J578" s="7"/>
      <c r="K578" s="7"/>
      <c r="L578" s="27"/>
      <c r="N578" s="8"/>
      <c r="O578" s="7"/>
      <c r="P578" s="7"/>
      <c r="Q578" s="7"/>
      <c r="R578" s="7"/>
    </row>
    <row r="579" spans="3:18">
      <c r="C579" s="7"/>
      <c r="D579" s="7"/>
      <c r="E579" s="7"/>
      <c r="F579" s="7"/>
      <c r="G579" s="7"/>
      <c r="H579" s="7"/>
      <c r="I579" s="7"/>
      <c r="J579" s="7"/>
      <c r="K579" s="7"/>
      <c r="L579" s="27"/>
      <c r="N579" s="8"/>
      <c r="O579" s="7"/>
      <c r="P579" s="7"/>
      <c r="Q579" s="7"/>
      <c r="R579" s="7"/>
    </row>
    <row r="580" spans="3:18">
      <c r="C580" s="7"/>
      <c r="D580" s="7"/>
      <c r="E580" s="7"/>
      <c r="F580" s="7"/>
      <c r="G580" s="7"/>
      <c r="H580" s="7"/>
      <c r="I580" s="7"/>
      <c r="J580" s="7"/>
      <c r="K580" s="7"/>
      <c r="L580" s="27"/>
      <c r="N580" s="8"/>
      <c r="O580" s="7"/>
      <c r="P580" s="7"/>
      <c r="Q580" s="7"/>
      <c r="R580" s="7"/>
    </row>
    <row r="581" spans="3:18">
      <c r="C581" s="7"/>
      <c r="D581" s="7"/>
      <c r="E581" s="7"/>
      <c r="F581" s="7"/>
      <c r="G581" s="7"/>
      <c r="H581" s="7"/>
      <c r="I581" s="7"/>
      <c r="J581" s="7"/>
      <c r="K581" s="7"/>
      <c r="L581" s="27"/>
      <c r="N581" s="8"/>
      <c r="O581" s="7"/>
      <c r="P581" s="7"/>
      <c r="Q581" s="7"/>
      <c r="R581" s="7"/>
    </row>
    <row r="582" spans="3:18">
      <c r="C582" s="7"/>
      <c r="D582" s="7"/>
      <c r="E582" s="7"/>
      <c r="F582" s="7"/>
      <c r="G582" s="7"/>
      <c r="H582" s="7"/>
      <c r="I582" s="7"/>
      <c r="J582" s="7"/>
      <c r="K582" s="7"/>
      <c r="L582" s="27"/>
      <c r="N582" s="8"/>
      <c r="O582" s="7"/>
      <c r="P582" s="7"/>
      <c r="Q582" s="7"/>
      <c r="R582" s="7"/>
    </row>
    <row r="583" spans="3:18">
      <c r="C583" s="7"/>
      <c r="D583" s="7"/>
      <c r="E583" s="7"/>
      <c r="F583" s="7"/>
      <c r="G583" s="7"/>
      <c r="H583" s="7"/>
      <c r="I583" s="7"/>
      <c r="J583" s="7"/>
      <c r="K583" s="7"/>
      <c r="L583" s="27"/>
      <c r="N583" s="8"/>
      <c r="O583" s="7"/>
      <c r="P583" s="7"/>
      <c r="Q583" s="7"/>
      <c r="R583" s="7"/>
    </row>
    <row r="584" spans="3:18">
      <c r="C584" s="7"/>
      <c r="D584" s="7"/>
      <c r="E584" s="7"/>
      <c r="F584" s="7"/>
      <c r="G584" s="7"/>
      <c r="H584" s="7"/>
      <c r="I584" s="7"/>
      <c r="J584" s="7"/>
      <c r="K584" s="7"/>
      <c r="L584" s="27"/>
      <c r="N584" s="8"/>
      <c r="O584" s="7"/>
      <c r="P584" s="7"/>
      <c r="Q584" s="7"/>
      <c r="R584" s="7"/>
    </row>
    <row r="585" spans="3:18">
      <c r="C585" s="7"/>
      <c r="D585" s="7"/>
      <c r="E585" s="7"/>
      <c r="F585" s="7"/>
      <c r="G585" s="7"/>
      <c r="H585" s="7"/>
      <c r="I585" s="7"/>
      <c r="J585" s="7"/>
      <c r="K585" s="7"/>
      <c r="L585" s="27"/>
      <c r="N585" s="8"/>
      <c r="O585" s="7"/>
      <c r="P585" s="7"/>
      <c r="Q585" s="7"/>
      <c r="R585" s="7"/>
    </row>
    <row r="586" spans="3:18">
      <c r="C586" s="7"/>
      <c r="D586" s="7"/>
      <c r="E586" s="7"/>
      <c r="F586" s="7"/>
      <c r="G586" s="7"/>
      <c r="H586" s="7"/>
      <c r="I586" s="7"/>
      <c r="J586" s="7"/>
      <c r="K586" s="7"/>
      <c r="L586" s="27"/>
      <c r="N586" s="8"/>
      <c r="O586" s="7"/>
      <c r="P586" s="7"/>
      <c r="Q586" s="7"/>
      <c r="R586" s="7"/>
    </row>
    <row r="587" spans="3:18">
      <c r="C587" s="7"/>
      <c r="D587" s="7"/>
      <c r="E587" s="7"/>
      <c r="F587" s="7"/>
      <c r="G587" s="7"/>
      <c r="H587" s="7"/>
      <c r="I587" s="7"/>
      <c r="J587" s="7"/>
      <c r="K587" s="7"/>
      <c r="L587" s="27"/>
      <c r="N587" s="8"/>
      <c r="O587" s="7"/>
      <c r="P587" s="7"/>
      <c r="Q587" s="7"/>
      <c r="R587" s="7"/>
    </row>
    <row r="588" spans="3:18">
      <c r="C588" s="7"/>
      <c r="D588" s="7"/>
      <c r="E588" s="7"/>
      <c r="F588" s="7"/>
      <c r="G588" s="7"/>
      <c r="H588" s="7"/>
      <c r="I588" s="7"/>
      <c r="J588" s="7"/>
      <c r="K588" s="7"/>
      <c r="L588" s="27"/>
      <c r="N588" s="8"/>
      <c r="O588" s="7"/>
      <c r="P588" s="7"/>
      <c r="Q588" s="7"/>
      <c r="R588" s="7"/>
    </row>
    <row r="589" spans="3:18">
      <c r="C589" s="7"/>
      <c r="D589" s="7"/>
      <c r="E589" s="7"/>
      <c r="F589" s="7"/>
      <c r="G589" s="7"/>
      <c r="H589" s="7"/>
      <c r="I589" s="7"/>
      <c r="J589" s="7"/>
      <c r="K589" s="7"/>
      <c r="L589" s="27"/>
      <c r="N589" s="8"/>
      <c r="O589" s="7"/>
      <c r="P589" s="7"/>
      <c r="Q589" s="7"/>
      <c r="R589" s="7"/>
    </row>
    <row r="590" spans="3:18">
      <c r="C590" s="7"/>
      <c r="D590" s="7"/>
      <c r="E590" s="7"/>
      <c r="F590" s="7"/>
      <c r="G590" s="7"/>
      <c r="H590" s="7"/>
      <c r="I590" s="7"/>
      <c r="J590" s="7"/>
      <c r="K590" s="7"/>
      <c r="L590" s="27"/>
      <c r="N590" s="8"/>
      <c r="O590" s="7"/>
      <c r="P590" s="7"/>
      <c r="Q590" s="7"/>
      <c r="R590" s="7"/>
    </row>
    <row r="591" spans="3:18">
      <c r="C591" s="7"/>
      <c r="D591" s="7"/>
      <c r="E591" s="7"/>
      <c r="F591" s="7"/>
      <c r="G591" s="7"/>
      <c r="H591" s="7"/>
      <c r="I591" s="7"/>
      <c r="J591" s="7"/>
      <c r="K591" s="7"/>
      <c r="L591" s="27"/>
      <c r="N591" s="8"/>
      <c r="O591" s="7"/>
      <c r="P591" s="7"/>
      <c r="Q591" s="7"/>
      <c r="R591" s="7"/>
    </row>
    <row r="592" spans="3:18">
      <c r="C592" s="7"/>
      <c r="D592" s="7"/>
      <c r="E592" s="7"/>
      <c r="F592" s="7"/>
      <c r="G592" s="7"/>
      <c r="H592" s="7"/>
      <c r="I592" s="7"/>
      <c r="J592" s="7"/>
      <c r="K592" s="7"/>
      <c r="L592" s="27"/>
      <c r="N592" s="8"/>
      <c r="O592" s="7"/>
      <c r="P592" s="7"/>
      <c r="Q592" s="7"/>
      <c r="R592" s="7"/>
    </row>
    <row r="593" spans="3:18">
      <c r="C593" s="7"/>
      <c r="D593" s="7"/>
      <c r="E593" s="7"/>
      <c r="F593" s="7"/>
      <c r="G593" s="7"/>
      <c r="H593" s="7"/>
      <c r="I593" s="7"/>
      <c r="J593" s="7"/>
      <c r="K593" s="7"/>
      <c r="L593" s="27"/>
      <c r="N593" s="8"/>
      <c r="O593" s="7"/>
      <c r="P593" s="7"/>
      <c r="Q593" s="7"/>
      <c r="R593" s="7"/>
    </row>
    <row r="594" spans="3:18">
      <c r="C594" s="7"/>
      <c r="D594" s="7"/>
      <c r="E594" s="7"/>
      <c r="F594" s="7"/>
      <c r="G594" s="7"/>
      <c r="H594" s="7"/>
      <c r="I594" s="7"/>
      <c r="J594" s="7"/>
      <c r="K594" s="7"/>
      <c r="L594" s="27"/>
      <c r="N594" s="8"/>
      <c r="O594" s="7"/>
      <c r="P594" s="7"/>
      <c r="Q594" s="7"/>
      <c r="R594" s="7"/>
    </row>
    <row r="595" spans="3:18">
      <c r="C595" s="7"/>
      <c r="D595" s="7"/>
      <c r="E595" s="7"/>
      <c r="F595" s="7"/>
      <c r="G595" s="7"/>
      <c r="H595" s="7"/>
      <c r="I595" s="7"/>
      <c r="J595" s="7"/>
      <c r="K595" s="7"/>
      <c r="L595" s="27"/>
      <c r="N595" s="8"/>
      <c r="O595" s="7"/>
      <c r="P595" s="7"/>
      <c r="Q595" s="7"/>
      <c r="R595" s="7"/>
    </row>
    <row r="596" spans="3:18">
      <c r="C596" s="7"/>
      <c r="D596" s="7"/>
      <c r="E596" s="7"/>
      <c r="F596" s="7"/>
      <c r="G596" s="7"/>
      <c r="H596" s="7"/>
      <c r="I596" s="7"/>
      <c r="J596" s="7"/>
      <c r="K596" s="7"/>
      <c r="L596" s="27"/>
      <c r="N596" s="8"/>
      <c r="O596" s="7"/>
      <c r="P596" s="7"/>
      <c r="Q596" s="7"/>
      <c r="R596" s="7"/>
    </row>
    <row r="597" spans="3:18">
      <c r="C597" s="7"/>
      <c r="D597" s="7"/>
      <c r="E597" s="7"/>
      <c r="F597" s="7"/>
      <c r="G597" s="7"/>
      <c r="H597" s="7"/>
      <c r="I597" s="7"/>
      <c r="J597" s="7"/>
      <c r="K597" s="7"/>
      <c r="L597" s="27"/>
      <c r="N597" s="8"/>
      <c r="O597" s="7"/>
      <c r="P597" s="7"/>
      <c r="Q597" s="7"/>
      <c r="R597" s="7"/>
    </row>
    <row r="598" spans="3:18">
      <c r="C598" s="7"/>
      <c r="D598" s="7"/>
      <c r="E598" s="7"/>
      <c r="F598" s="7"/>
      <c r="G598" s="7"/>
      <c r="H598" s="7"/>
      <c r="I598" s="7"/>
      <c r="J598" s="7"/>
      <c r="K598" s="7"/>
      <c r="L598" s="27"/>
      <c r="N598" s="8"/>
      <c r="O598" s="7"/>
      <c r="P598" s="7"/>
      <c r="Q598" s="7"/>
      <c r="R598" s="7"/>
    </row>
    <row r="599" spans="3:18">
      <c r="C599" s="7"/>
      <c r="D599" s="7"/>
      <c r="E599" s="7"/>
      <c r="F599" s="7"/>
      <c r="G599" s="7"/>
      <c r="H599" s="7"/>
      <c r="I599" s="7"/>
      <c r="J599" s="7"/>
      <c r="K599" s="7"/>
      <c r="L599" s="27"/>
      <c r="N599" s="8"/>
      <c r="O599" s="7"/>
      <c r="P599" s="7"/>
      <c r="Q599" s="7"/>
      <c r="R599" s="7"/>
    </row>
    <row r="600" spans="3:18">
      <c r="C600" s="7"/>
      <c r="D600" s="7"/>
      <c r="E600" s="7"/>
      <c r="F600" s="7"/>
      <c r="G600" s="7"/>
      <c r="H600" s="7"/>
      <c r="I600" s="7"/>
      <c r="J600" s="7"/>
      <c r="K600" s="7"/>
      <c r="L600" s="27"/>
      <c r="N600" s="8"/>
      <c r="O600" s="7"/>
      <c r="P600" s="7"/>
      <c r="Q600" s="7"/>
      <c r="R600" s="7"/>
    </row>
    <row r="601" spans="3:18">
      <c r="C601" s="7"/>
      <c r="D601" s="7"/>
      <c r="E601" s="7"/>
      <c r="F601" s="7"/>
      <c r="G601" s="7"/>
      <c r="H601" s="7"/>
      <c r="I601" s="7"/>
      <c r="J601" s="7"/>
      <c r="K601" s="7"/>
      <c r="L601" s="27"/>
      <c r="N601" s="8"/>
      <c r="O601" s="7"/>
      <c r="P601" s="7"/>
      <c r="Q601" s="7"/>
      <c r="R601" s="7"/>
    </row>
    <row r="602" spans="3:18">
      <c r="C602" s="7"/>
      <c r="D602" s="7"/>
      <c r="E602" s="7"/>
      <c r="F602" s="7"/>
      <c r="G602" s="7"/>
      <c r="H602" s="7"/>
      <c r="I602" s="7"/>
      <c r="J602" s="7"/>
      <c r="K602" s="7"/>
      <c r="L602" s="27"/>
      <c r="N602" s="8"/>
      <c r="O602" s="7"/>
      <c r="P602" s="7"/>
      <c r="Q602" s="7"/>
      <c r="R602" s="7"/>
    </row>
    <row r="603" spans="3:18">
      <c r="C603" s="7"/>
      <c r="D603" s="7"/>
      <c r="E603" s="7"/>
      <c r="F603" s="7"/>
      <c r="G603" s="7"/>
      <c r="H603" s="7"/>
      <c r="I603" s="7"/>
      <c r="J603" s="7"/>
      <c r="K603" s="7"/>
      <c r="L603" s="27"/>
      <c r="N603" s="8"/>
      <c r="O603" s="7"/>
      <c r="P603" s="7"/>
      <c r="Q603" s="7"/>
      <c r="R603" s="7"/>
    </row>
    <row r="604" spans="3:18">
      <c r="C604" s="7"/>
      <c r="D604" s="7"/>
      <c r="E604" s="7"/>
      <c r="F604" s="7"/>
      <c r="G604" s="7"/>
      <c r="H604" s="7"/>
      <c r="I604" s="7"/>
      <c r="J604" s="7"/>
      <c r="K604" s="7"/>
      <c r="L604" s="27"/>
      <c r="N604" s="8"/>
      <c r="O604" s="7"/>
      <c r="P604" s="7"/>
      <c r="Q604" s="7"/>
      <c r="R604" s="7"/>
    </row>
    <row r="605" spans="3:18">
      <c r="C605" s="7"/>
      <c r="D605" s="7"/>
      <c r="E605" s="7"/>
      <c r="F605" s="7"/>
      <c r="G605" s="7"/>
      <c r="H605" s="7"/>
      <c r="I605" s="7"/>
      <c r="J605" s="7"/>
      <c r="K605" s="7"/>
      <c r="L605" s="27"/>
      <c r="N605" s="8"/>
      <c r="O605" s="7"/>
      <c r="P605" s="7"/>
      <c r="Q605" s="7"/>
      <c r="R605" s="7"/>
    </row>
    <row r="606" spans="3:18">
      <c r="C606" s="7"/>
      <c r="D606" s="7"/>
      <c r="E606" s="7"/>
      <c r="F606" s="7"/>
      <c r="G606" s="7"/>
      <c r="H606" s="7"/>
      <c r="I606" s="7"/>
      <c r="J606" s="7"/>
      <c r="K606" s="7"/>
      <c r="L606" s="27"/>
      <c r="N606" s="8"/>
      <c r="O606" s="7"/>
      <c r="P606" s="7"/>
      <c r="Q606" s="7"/>
      <c r="R606" s="7"/>
    </row>
    <row r="607" spans="3:18">
      <c r="C607" s="7"/>
      <c r="D607" s="7"/>
      <c r="E607" s="7"/>
      <c r="F607" s="7"/>
      <c r="G607" s="7"/>
      <c r="H607" s="7"/>
      <c r="I607" s="7"/>
      <c r="J607" s="7"/>
      <c r="K607" s="7"/>
      <c r="L607" s="27"/>
      <c r="N607" s="8"/>
      <c r="O607" s="7"/>
      <c r="P607" s="7"/>
      <c r="Q607" s="7"/>
      <c r="R607" s="7"/>
    </row>
    <row r="608" spans="3:18">
      <c r="C608" s="7"/>
      <c r="D608" s="7"/>
      <c r="E608" s="7"/>
      <c r="F608" s="7"/>
      <c r="G608" s="7"/>
      <c r="H608" s="7"/>
      <c r="I608" s="7"/>
      <c r="J608" s="7"/>
      <c r="K608" s="7"/>
      <c r="L608" s="27"/>
      <c r="N608" s="8"/>
      <c r="O608" s="7"/>
      <c r="P608" s="7"/>
      <c r="Q608" s="7"/>
      <c r="R608" s="7"/>
    </row>
    <row r="609" spans="3:18">
      <c r="C609" s="7"/>
      <c r="D609" s="7"/>
      <c r="E609" s="7"/>
      <c r="F609" s="7"/>
      <c r="G609" s="7"/>
      <c r="H609" s="7"/>
      <c r="I609" s="7"/>
      <c r="J609" s="7"/>
      <c r="K609" s="7"/>
      <c r="L609" s="27"/>
      <c r="N609" s="8"/>
      <c r="O609" s="7"/>
      <c r="P609" s="7"/>
      <c r="Q609" s="7"/>
      <c r="R609" s="7"/>
    </row>
    <row r="610" spans="3:18">
      <c r="C610" s="7"/>
      <c r="D610" s="7"/>
      <c r="E610" s="7"/>
      <c r="F610" s="7"/>
      <c r="G610" s="7"/>
      <c r="H610" s="7"/>
      <c r="I610" s="7"/>
      <c r="J610" s="7"/>
      <c r="K610" s="7"/>
      <c r="L610" s="27"/>
      <c r="N610" s="8"/>
      <c r="O610" s="7"/>
      <c r="P610" s="7"/>
      <c r="Q610" s="7"/>
      <c r="R610" s="7"/>
    </row>
    <row r="611" spans="3:18">
      <c r="C611" s="7"/>
      <c r="D611" s="7"/>
      <c r="E611" s="7"/>
      <c r="F611" s="7"/>
      <c r="G611" s="7"/>
      <c r="H611" s="7"/>
      <c r="I611" s="7"/>
      <c r="J611" s="7"/>
      <c r="K611" s="7"/>
      <c r="L611" s="27"/>
      <c r="N611" s="8"/>
      <c r="O611" s="7"/>
      <c r="P611" s="7"/>
      <c r="Q611" s="7"/>
      <c r="R611" s="7"/>
    </row>
    <row r="612" spans="3:18">
      <c r="C612" s="7"/>
      <c r="D612" s="7"/>
      <c r="E612" s="7"/>
      <c r="F612" s="7"/>
      <c r="G612" s="7"/>
      <c r="H612" s="7"/>
      <c r="I612" s="7"/>
      <c r="J612" s="7"/>
      <c r="K612" s="7"/>
      <c r="L612" s="27"/>
      <c r="N612" s="8"/>
      <c r="O612" s="7"/>
      <c r="P612" s="7"/>
      <c r="Q612" s="7"/>
      <c r="R612" s="7"/>
    </row>
    <row r="613" spans="3:18">
      <c r="C613" s="7"/>
      <c r="D613" s="7"/>
      <c r="E613" s="7"/>
      <c r="F613" s="7"/>
      <c r="G613" s="7"/>
      <c r="H613" s="7"/>
      <c r="I613" s="7"/>
      <c r="J613" s="7"/>
      <c r="K613" s="7"/>
      <c r="L613" s="27"/>
      <c r="N613" s="8"/>
      <c r="O613" s="7"/>
      <c r="P613" s="7"/>
      <c r="Q613" s="7"/>
      <c r="R613" s="7"/>
    </row>
    <row r="614" spans="3:18">
      <c r="C614" s="7"/>
      <c r="D614" s="7"/>
      <c r="E614" s="7"/>
      <c r="F614" s="7"/>
      <c r="G614" s="7"/>
      <c r="H614" s="7"/>
      <c r="I614" s="7"/>
      <c r="J614" s="7"/>
      <c r="K614" s="7"/>
      <c r="L614" s="27"/>
      <c r="N614" s="8"/>
      <c r="O614" s="7"/>
      <c r="P614" s="7"/>
      <c r="Q614" s="7"/>
      <c r="R614" s="7"/>
    </row>
    <row r="615" spans="3:18">
      <c r="C615" s="7"/>
      <c r="D615" s="7"/>
      <c r="E615" s="7"/>
      <c r="F615" s="7"/>
      <c r="G615" s="7"/>
      <c r="H615" s="7"/>
      <c r="I615" s="7"/>
      <c r="J615" s="7"/>
      <c r="K615" s="7"/>
      <c r="L615" s="27"/>
      <c r="N615" s="8"/>
      <c r="O615" s="7"/>
      <c r="P615" s="7"/>
      <c r="Q615" s="7"/>
      <c r="R615" s="7"/>
    </row>
    <row r="616" spans="3:18">
      <c r="C616" s="7"/>
      <c r="D616" s="7"/>
      <c r="E616" s="7"/>
      <c r="F616" s="7"/>
      <c r="G616" s="7"/>
      <c r="H616" s="7"/>
      <c r="I616" s="7"/>
      <c r="J616" s="7"/>
      <c r="K616" s="7"/>
      <c r="L616" s="27"/>
      <c r="N616" s="8"/>
      <c r="O616" s="7"/>
      <c r="P616" s="7"/>
      <c r="Q616" s="7"/>
      <c r="R616" s="7"/>
    </row>
    <row r="617" spans="3:18">
      <c r="C617" s="7"/>
      <c r="D617" s="7"/>
      <c r="E617" s="7"/>
      <c r="F617" s="7"/>
      <c r="G617" s="7"/>
      <c r="H617" s="7"/>
      <c r="I617" s="7"/>
      <c r="J617" s="7"/>
      <c r="K617" s="7"/>
      <c r="L617" s="27"/>
      <c r="N617" s="8"/>
      <c r="O617" s="7"/>
      <c r="P617" s="7"/>
      <c r="Q617" s="7"/>
      <c r="R617" s="7"/>
    </row>
    <row r="618" spans="3:18">
      <c r="C618" s="7"/>
      <c r="D618" s="7"/>
      <c r="E618" s="7"/>
      <c r="F618" s="7"/>
      <c r="G618" s="7"/>
      <c r="H618" s="7"/>
      <c r="I618" s="7"/>
      <c r="J618" s="7"/>
      <c r="K618" s="7"/>
      <c r="L618" s="27"/>
      <c r="N618" s="8"/>
      <c r="O618" s="7"/>
      <c r="P618" s="7"/>
      <c r="Q618" s="7"/>
      <c r="R618" s="7"/>
    </row>
    <row r="619" spans="3:18">
      <c r="C619" s="7"/>
      <c r="D619" s="7"/>
      <c r="E619" s="7"/>
      <c r="F619" s="7"/>
      <c r="G619" s="7"/>
      <c r="H619" s="7"/>
      <c r="I619" s="7"/>
      <c r="J619" s="7"/>
      <c r="K619" s="7"/>
      <c r="L619" s="27"/>
      <c r="N619" s="8"/>
      <c r="O619" s="7"/>
      <c r="P619" s="7"/>
      <c r="Q619" s="7"/>
      <c r="R619" s="7"/>
    </row>
    <row r="620" spans="3:18">
      <c r="C620" s="7"/>
      <c r="D620" s="7"/>
      <c r="E620" s="7"/>
      <c r="F620" s="7"/>
      <c r="G620" s="7"/>
      <c r="H620" s="7"/>
      <c r="I620" s="7"/>
      <c r="J620" s="7"/>
      <c r="K620" s="7"/>
      <c r="L620" s="27"/>
      <c r="N620" s="8"/>
      <c r="O620" s="7"/>
      <c r="P620" s="7"/>
      <c r="Q620" s="7"/>
      <c r="R620" s="7"/>
    </row>
    <row r="621" spans="3:18">
      <c r="C621" s="7"/>
      <c r="D621" s="7"/>
      <c r="E621" s="7"/>
      <c r="F621" s="7"/>
      <c r="G621" s="7"/>
      <c r="H621" s="7"/>
      <c r="I621" s="7"/>
      <c r="J621" s="7"/>
      <c r="K621" s="7"/>
      <c r="L621" s="27"/>
      <c r="N621" s="8"/>
      <c r="O621" s="7"/>
      <c r="P621" s="7"/>
      <c r="Q621" s="7"/>
      <c r="R621" s="7"/>
    </row>
    <row r="622" spans="3:18">
      <c r="C622" s="7"/>
      <c r="D622" s="7"/>
      <c r="E622" s="7"/>
      <c r="F622" s="7"/>
      <c r="G622" s="7"/>
      <c r="H622" s="7"/>
      <c r="I622" s="7"/>
      <c r="J622" s="7"/>
      <c r="K622" s="7"/>
      <c r="L622" s="27"/>
      <c r="N622" s="8"/>
      <c r="O622" s="7"/>
      <c r="P622" s="7"/>
      <c r="Q622" s="7"/>
      <c r="R622" s="7"/>
    </row>
    <row r="623" spans="3:18">
      <c r="C623" s="7"/>
      <c r="D623" s="7"/>
      <c r="E623" s="7"/>
      <c r="F623" s="7"/>
      <c r="G623" s="7"/>
      <c r="H623" s="7"/>
      <c r="I623" s="7"/>
      <c r="J623" s="7"/>
      <c r="K623" s="7"/>
      <c r="L623" s="27"/>
      <c r="N623" s="8"/>
      <c r="O623" s="7"/>
      <c r="P623" s="7"/>
      <c r="Q623" s="7"/>
      <c r="R623" s="7"/>
    </row>
    <row r="624" spans="3:18">
      <c r="C624" s="7"/>
      <c r="D624" s="7"/>
      <c r="E624" s="7"/>
      <c r="F624" s="7"/>
      <c r="G624" s="7"/>
      <c r="H624" s="7"/>
      <c r="I624" s="7"/>
      <c r="J624" s="7"/>
      <c r="K624" s="7"/>
      <c r="L624" s="27"/>
      <c r="N624" s="8"/>
      <c r="O624" s="7"/>
      <c r="P624" s="7"/>
      <c r="Q624" s="7"/>
      <c r="R624" s="7"/>
    </row>
    <row r="625" spans="3:18">
      <c r="C625" s="7"/>
      <c r="D625" s="7"/>
      <c r="E625" s="7"/>
      <c r="F625" s="7"/>
      <c r="G625" s="7"/>
      <c r="H625" s="7"/>
      <c r="I625" s="7"/>
      <c r="J625" s="7"/>
      <c r="K625" s="7"/>
      <c r="L625" s="27"/>
      <c r="N625" s="8"/>
      <c r="O625" s="7"/>
      <c r="P625" s="7"/>
      <c r="Q625" s="7"/>
      <c r="R625" s="7"/>
    </row>
    <row r="626" spans="3:18">
      <c r="C626" s="7"/>
      <c r="D626" s="7"/>
      <c r="E626" s="7"/>
      <c r="F626" s="7"/>
      <c r="G626" s="7"/>
      <c r="H626" s="7"/>
      <c r="I626" s="7"/>
      <c r="J626" s="7"/>
      <c r="K626" s="7"/>
      <c r="L626" s="27"/>
      <c r="N626" s="8"/>
      <c r="O626" s="7"/>
      <c r="P626" s="7"/>
      <c r="Q626" s="7"/>
      <c r="R626" s="7"/>
    </row>
    <row r="627" spans="3:18">
      <c r="C627" s="7"/>
      <c r="D627" s="7"/>
      <c r="E627" s="7"/>
      <c r="F627" s="7"/>
      <c r="G627" s="7"/>
      <c r="H627" s="7"/>
      <c r="I627" s="7"/>
      <c r="J627" s="7"/>
      <c r="K627" s="7"/>
      <c r="L627" s="27"/>
      <c r="N627" s="8"/>
      <c r="O627" s="7"/>
      <c r="P627" s="7"/>
      <c r="Q627" s="7"/>
      <c r="R627" s="7"/>
    </row>
    <row r="628" spans="3:18">
      <c r="C628" s="7"/>
      <c r="D628" s="7"/>
      <c r="E628" s="7"/>
      <c r="F628" s="7"/>
      <c r="G628" s="7"/>
      <c r="H628" s="7"/>
      <c r="I628" s="7"/>
      <c r="J628" s="7"/>
      <c r="K628" s="7"/>
      <c r="L628" s="27"/>
      <c r="N628" s="8"/>
      <c r="O628" s="7"/>
      <c r="P628" s="7"/>
      <c r="Q628" s="7"/>
      <c r="R628" s="7"/>
    </row>
    <row r="629" spans="3:18">
      <c r="C629" s="7"/>
      <c r="D629" s="7"/>
      <c r="E629" s="7"/>
      <c r="F629" s="7"/>
      <c r="G629" s="7"/>
      <c r="H629" s="7"/>
      <c r="I629" s="7"/>
      <c r="J629" s="7"/>
      <c r="K629" s="7"/>
      <c r="L629" s="27"/>
      <c r="N629" s="8"/>
      <c r="O629" s="7"/>
      <c r="P629" s="7"/>
      <c r="Q629" s="7"/>
      <c r="R629" s="7"/>
    </row>
    <row r="630" spans="3:18">
      <c r="C630" s="7"/>
      <c r="D630" s="7"/>
      <c r="E630" s="7"/>
      <c r="F630" s="7"/>
      <c r="G630" s="7"/>
      <c r="H630" s="7"/>
      <c r="I630" s="7"/>
      <c r="J630" s="7"/>
      <c r="K630" s="7"/>
      <c r="L630" s="27"/>
      <c r="N630" s="8"/>
      <c r="O630" s="7"/>
      <c r="P630" s="7"/>
      <c r="Q630" s="7"/>
      <c r="R630" s="7"/>
    </row>
    <row r="631" spans="3:18">
      <c r="C631" s="7"/>
      <c r="D631" s="7"/>
      <c r="E631" s="7"/>
      <c r="F631" s="7"/>
      <c r="G631" s="7"/>
      <c r="H631" s="7"/>
      <c r="I631" s="7"/>
      <c r="J631" s="7"/>
      <c r="K631" s="7"/>
      <c r="L631" s="27"/>
      <c r="N631" s="8"/>
      <c r="O631" s="7"/>
      <c r="P631" s="7"/>
      <c r="Q631" s="7"/>
      <c r="R631" s="7"/>
    </row>
    <row r="632" spans="3:18">
      <c r="C632" s="7"/>
      <c r="D632" s="7"/>
      <c r="E632" s="7"/>
      <c r="F632" s="7"/>
      <c r="G632" s="7"/>
      <c r="H632" s="7"/>
      <c r="I632" s="7"/>
      <c r="J632" s="7"/>
      <c r="K632" s="7"/>
      <c r="L632" s="27"/>
      <c r="N632" s="8"/>
      <c r="O632" s="7"/>
      <c r="P632" s="7"/>
      <c r="Q632" s="7"/>
      <c r="R632" s="7"/>
    </row>
    <row r="633" spans="3:18">
      <c r="C633" s="7"/>
      <c r="D633" s="7"/>
      <c r="E633" s="7"/>
      <c r="F633" s="7"/>
      <c r="G633" s="7"/>
      <c r="H633" s="7"/>
      <c r="I633" s="7"/>
      <c r="J633" s="7"/>
      <c r="K633" s="7"/>
      <c r="L633" s="27"/>
      <c r="N633" s="8"/>
      <c r="O633" s="7"/>
      <c r="P633" s="7"/>
      <c r="Q633" s="7"/>
      <c r="R633" s="7"/>
    </row>
    <row r="634" spans="3:18">
      <c r="C634" s="7"/>
      <c r="D634" s="7"/>
      <c r="E634" s="7"/>
      <c r="F634" s="7"/>
      <c r="G634" s="7"/>
      <c r="H634" s="7"/>
      <c r="I634" s="7"/>
      <c r="J634" s="7"/>
      <c r="K634" s="7"/>
      <c r="L634" s="27"/>
      <c r="N634" s="8"/>
      <c r="O634" s="7"/>
      <c r="P634" s="7"/>
      <c r="Q634" s="7"/>
      <c r="R634" s="7"/>
    </row>
    <row r="635" spans="3:18">
      <c r="C635" s="7"/>
      <c r="D635" s="7"/>
      <c r="E635" s="7"/>
      <c r="F635" s="7"/>
      <c r="G635" s="7"/>
      <c r="H635" s="7"/>
      <c r="I635" s="7"/>
      <c r="J635" s="7"/>
      <c r="K635" s="7"/>
      <c r="L635" s="27"/>
      <c r="N635" s="8"/>
      <c r="O635" s="7"/>
      <c r="P635" s="7"/>
      <c r="Q635" s="7"/>
      <c r="R635" s="7"/>
    </row>
    <row r="636" spans="3:18">
      <c r="C636" s="7"/>
      <c r="D636" s="7"/>
      <c r="E636" s="7"/>
      <c r="F636" s="7"/>
      <c r="G636" s="7"/>
      <c r="H636" s="7"/>
      <c r="I636" s="7"/>
      <c r="J636" s="7"/>
      <c r="K636" s="7"/>
      <c r="L636" s="27"/>
      <c r="N636" s="8"/>
      <c r="O636" s="7"/>
      <c r="P636" s="7"/>
      <c r="Q636" s="7"/>
      <c r="R636" s="7"/>
    </row>
    <row r="637" spans="3:18">
      <c r="C637" s="7"/>
      <c r="D637" s="7"/>
      <c r="E637" s="7"/>
      <c r="F637" s="7"/>
      <c r="G637" s="7"/>
      <c r="H637" s="7"/>
      <c r="I637" s="7"/>
      <c r="J637" s="7"/>
      <c r="K637" s="7"/>
      <c r="L637" s="27"/>
      <c r="N637" s="8"/>
      <c r="O637" s="7"/>
      <c r="P637" s="7"/>
      <c r="Q637" s="7"/>
      <c r="R637" s="7"/>
    </row>
    <row r="638" spans="3:18">
      <c r="C638" s="7"/>
      <c r="D638" s="7"/>
      <c r="E638" s="7"/>
      <c r="F638" s="7"/>
      <c r="G638" s="7"/>
      <c r="H638" s="7"/>
      <c r="I638" s="7"/>
      <c r="J638" s="7"/>
      <c r="K638" s="7"/>
      <c r="L638" s="27"/>
      <c r="N638" s="8"/>
      <c r="O638" s="7"/>
      <c r="P638" s="7"/>
      <c r="Q638" s="7"/>
      <c r="R638" s="7"/>
    </row>
    <row r="639" spans="3:18">
      <c r="C639" s="7"/>
      <c r="D639" s="7"/>
      <c r="E639" s="7"/>
      <c r="F639" s="7"/>
      <c r="G639" s="7"/>
      <c r="H639" s="7"/>
      <c r="I639" s="7"/>
      <c r="J639" s="7"/>
      <c r="K639" s="7"/>
      <c r="L639" s="27"/>
      <c r="N639" s="8"/>
      <c r="O639" s="7"/>
      <c r="P639" s="7"/>
      <c r="Q639" s="7"/>
      <c r="R639" s="7"/>
    </row>
    <row r="640" spans="3:18">
      <c r="C640" s="7"/>
      <c r="D640" s="7"/>
      <c r="E640" s="7"/>
      <c r="F640" s="7"/>
      <c r="G640" s="7"/>
      <c r="H640" s="7"/>
      <c r="I640" s="7"/>
      <c r="J640" s="7"/>
      <c r="K640" s="7"/>
      <c r="L640" s="27"/>
      <c r="N640" s="8"/>
      <c r="O640" s="7"/>
      <c r="P640" s="7"/>
      <c r="Q640" s="7"/>
      <c r="R640" s="7"/>
    </row>
    <row r="641" spans="3:18">
      <c r="C641" s="7"/>
      <c r="D641" s="7"/>
      <c r="E641" s="7"/>
      <c r="F641" s="7"/>
      <c r="G641" s="7"/>
      <c r="H641" s="7"/>
      <c r="I641" s="7"/>
      <c r="J641" s="7"/>
      <c r="K641" s="7"/>
      <c r="L641" s="27"/>
      <c r="N641" s="8"/>
      <c r="O641" s="7"/>
      <c r="P641" s="7"/>
      <c r="Q641" s="7"/>
      <c r="R641" s="7"/>
    </row>
    <row r="642" spans="3:18">
      <c r="C642" s="7"/>
      <c r="D642" s="7"/>
      <c r="E642" s="7"/>
      <c r="F642" s="7"/>
      <c r="G642" s="7"/>
      <c r="H642" s="7"/>
      <c r="I642" s="7"/>
      <c r="J642" s="7"/>
      <c r="K642" s="7"/>
      <c r="L642" s="27"/>
      <c r="N642" s="8"/>
      <c r="O642" s="7"/>
      <c r="P642" s="7"/>
      <c r="Q642" s="7"/>
      <c r="R642" s="7"/>
    </row>
    <row r="643" spans="3:18">
      <c r="C643" s="7"/>
      <c r="D643" s="7"/>
      <c r="E643" s="7"/>
      <c r="F643" s="7"/>
      <c r="G643" s="7"/>
      <c r="H643" s="7"/>
      <c r="I643" s="7"/>
      <c r="J643" s="7"/>
      <c r="K643" s="7"/>
      <c r="L643" s="27"/>
      <c r="N643" s="8"/>
      <c r="O643" s="7"/>
      <c r="P643" s="7"/>
      <c r="Q643" s="7"/>
      <c r="R643" s="7"/>
    </row>
    <row r="644" spans="3:18">
      <c r="C644" s="7"/>
      <c r="D644" s="7"/>
      <c r="E644" s="7"/>
      <c r="F644" s="7"/>
      <c r="G644" s="7"/>
      <c r="H644" s="7"/>
      <c r="I644" s="7"/>
      <c r="J644" s="7"/>
      <c r="K644" s="7"/>
      <c r="L644" s="27"/>
      <c r="N644" s="8"/>
      <c r="O644" s="7"/>
      <c r="P644" s="7"/>
      <c r="Q644" s="7"/>
      <c r="R644" s="7"/>
    </row>
    <row r="645" spans="3:18">
      <c r="C645" s="7"/>
      <c r="D645" s="7"/>
      <c r="E645" s="7"/>
      <c r="F645" s="7"/>
      <c r="G645" s="7"/>
      <c r="H645" s="7"/>
      <c r="I645" s="7"/>
      <c r="J645" s="7"/>
      <c r="K645" s="7"/>
      <c r="L645" s="27"/>
      <c r="N645" s="8"/>
      <c r="O645" s="7"/>
      <c r="P645" s="7"/>
      <c r="Q645" s="7"/>
      <c r="R645" s="7"/>
    </row>
    <row r="646" spans="3:18">
      <c r="C646" s="7"/>
      <c r="D646" s="7"/>
      <c r="E646" s="7"/>
      <c r="F646" s="7"/>
      <c r="G646" s="7"/>
      <c r="H646" s="7"/>
      <c r="I646" s="7"/>
      <c r="J646" s="7"/>
      <c r="K646" s="7"/>
      <c r="L646" s="27"/>
      <c r="N646" s="8"/>
      <c r="O646" s="7"/>
      <c r="P646" s="7"/>
      <c r="Q646" s="7"/>
      <c r="R646" s="7"/>
    </row>
    <row r="647" spans="3:18">
      <c r="C647" s="7"/>
      <c r="D647" s="7"/>
      <c r="E647" s="7"/>
      <c r="F647" s="7"/>
      <c r="G647" s="7"/>
      <c r="H647" s="7"/>
      <c r="I647" s="7"/>
      <c r="J647" s="7"/>
      <c r="K647" s="7"/>
      <c r="L647" s="27"/>
      <c r="N647" s="8"/>
      <c r="O647" s="7"/>
      <c r="P647" s="7"/>
      <c r="Q647" s="7"/>
      <c r="R647" s="7"/>
    </row>
    <row r="648" spans="3:18">
      <c r="C648" s="7"/>
      <c r="D648" s="7"/>
      <c r="E648" s="7"/>
      <c r="F648" s="7"/>
      <c r="G648" s="7"/>
      <c r="H648" s="7"/>
      <c r="I648" s="7"/>
      <c r="J648" s="7"/>
      <c r="K648" s="7"/>
      <c r="L648" s="27"/>
      <c r="N648" s="8"/>
      <c r="O648" s="7"/>
      <c r="P648" s="7"/>
      <c r="Q648" s="7"/>
      <c r="R648" s="7"/>
    </row>
    <row r="649" spans="3:18">
      <c r="C649" s="7"/>
      <c r="D649" s="7"/>
      <c r="E649" s="7"/>
      <c r="F649" s="7"/>
      <c r="G649" s="7"/>
      <c r="H649" s="7"/>
      <c r="I649" s="7"/>
      <c r="J649" s="7"/>
      <c r="K649" s="7"/>
      <c r="L649" s="27"/>
      <c r="N649" s="8"/>
      <c r="O649" s="7"/>
      <c r="P649" s="7"/>
      <c r="Q649" s="7"/>
      <c r="R649" s="7"/>
    </row>
    <row r="650" spans="3:18">
      <c r="C650" s="7"/>
      <c r="D650" s="7"/>
      <c r="E650" s="7"/>
      <c r="F650" s="7"/>
      <c r="G650" s="7"/>
      <c r="H650" s="7"/>
      <c r="I650" s="7"/>
      <c r="J650" s="7"/>
      <c r="K650" s="7"/>
      <c r="L650" s="27"/>
      <c r="N650" s="8"/>
      <c r="O650" s="7"/>
      <c r="P650" s="7"/>
      <c r="Q650" s="7"/>
      <c r="R650" s="7"/>
    </row>
    <row r="651" spans="3:18">
      <c r="C651" s="7"/>
      <c r="D651" s="7"/>
      <c r="E651" s="7"/>
      <c r="F651" s="7"/>
      <c r="G651" s="7"/>
      <c r="H651" s="7"/>
      <c r="I651" s="7"/>
      <c r="J651" s="7"/>
      <c r="K651" s="7"/>
      <c r="L651" s="27"/>
      <c r="N651" s="8"/>
      <c r="O651" s="7"/>
      <c r="P651" s="7"/>
      <c r="Q651" s="7"/>
      <c r="R651" s="7"/>
    </row>
    <row r="652" spans="3:18">
      <c r="C652" s="7"/>
      <c r="D652" s="7"/>
      <c r="E652" s="7"/>
      <c r="F652" s="7"/>
      <c r="G652" s="7"/>
      <c r="H652" s="7"/>
      <c r="I652" s="7"/>
      <c r="J652" s="7"/>
      <c r="K652" s="7"/>
      <c r="L652" s="27"/>
      <c r="N652" s="8"/>
      <c r="O652" s="7"/>
      <c r="P652" s="7"/>
      <c r="Q652" s="7"/>
      <c r="R652" s="7"/>
    </row>
    <row r="653" spans="3:18">
      <c r="C653" s="7"/>
      <c r="D653" s="7"/>
      <c r="E653" s="7"/>
      <c r="F653" s="7"/>
      <c r="G653" s="7"/>
      <c r="H653" s="7"/>
      <c r="I653" s="7"/>
      <c r="J653" s="7"/>
      <c r="K653" s="7"/>
      <c r="L653" s="27"/>
      <c r="N653" s="8"/>
      <c r="O653" s="7"/>
      <c r="P653" s="7"/>
      <c r="Q653" s="7"/>
      <c r="R653" s="7"/>
    </row>
    <row r="654" spans="3:18">
      <c r="C654" s="7"/>
      <c r="D654" s="7"/>
      <c r="E654" s="7"/>
      <c r="F654" s="7"/>
      <c r="G654" s="7"/>
      <c r="H654" s="7"/>
      <c r="I654" s="7"/>
      <c r="J654" s="7"/>
      <c r="K654" s="7"/>
      <c r="L654" s="27"/>
      <c r="N654" s="8"/>
      <c r="O654" s="7"/>
      <c r="P654" s="7"/>
      <c r="Q654" s="7"/>
      <c r="R654" s="7"/>
    </row>
    <row r="655" spans="3:18">
      <c r="C655" s="7"/>
      <c r="D655" s="7"/>
      <c r="E655" s="7"/>
      <c r="F655" s="7"/>
      <c r="G655" s="7"/>
      <c r="H655" s="7"/>
      <c r="I655" s="7"/>
      <c r="J655" s="7"/>
      <c r="K655" s="7"/>
      <c r="L655" s="27"/>
      <c r="N655" s="8"/>
      <c r="O655" s="7"/>
      <c r="P655" s="7"/>
      <c r="Q655" s="7"/>
      <c r="R655" s="7"/>
    </row>
    <row r="656" spans="3:18">
      <c r="C656" s="7"/>
      <c r="D656" s="7"/>
      <c r="E656" s="7"/>
      <c r="F656" s="7"/>
      <c r="G656" s="7"/>
      <c r="H656" s="7"/>
      <c r="I656" s="7"/>
      <c r="J656" s="7"/>
      <c r="K656" s="7"/>
      <c r="L656" s="27"/>
      <c r="N656" s="8"/>
      <c r="O656" s="7"/>
      <c r="P656" s="7"/>
      <c r="Q656" s="7"/>
      <c r="R656" s="7"/>
    </row>
    <row r="657" spans="3:18">
      <c r="C657" s="7"/>
      <c r="D657" s="7"/>
      <c r="E657" s="7"/>
      <c r="F657" s="7"/>
      <c r="G657" s="7"/>
      <c r="H657" s="7"/>
      <c r="I657" s="7"/>
      <c r="J657" s="7"/>
      <c r="K657" s="7"/>
      <c r="L657" s="27"/>
      <c r="N657" s="8"/>
      <c r="O657" s="7"/>
      <c r="P657" s="7"/>
      <c r="Q657" s="7"/>
      <c r="R657" s="7"/>
    </row>
    <row r="658" spans="3:18">
      <c r="C658" s="7"/>
      <c r="D658" s="7"/>
      <c r="E658" s="7"/>
      <c r="F658" s="7"/>
      <c r="G658" s="7"/>
      <c r="H658" s="7"/>
      <c r="I658" s="7"/>
      <c r="J658" s="7"/>
      <c r="K658" s="7"/>
      <c r="L658" s="27"/>
      <c r="N658" s="8"/>
      <c r="O658" s="7"/>
      <c r="P658" s="7"/>
      <c r="Q658" s="7"/>
      <c r="R658" s="7"/>
    </row>
    <row r="659" spans="3:18">
      <c r="C659" s="7"/>
      <c r="D659" s="7"/>
      <c r="E659" s="7"/>
      <c r="F659" s="7"/>
      <c r="G659" s="7"/>
      <c r="H659" s="7"/>
      <c r="I659" s="7"/>
      <c r="J659" s="7"/>
      <c r="K659" s="7"/>
      <c r="L659" s="27"/>
      <c r="N659" s="8"/>
      <c r="O659" s="7"/>
      <c r="P659" s="7"/>
      <c r="Q659" s="7"/>
      <c r="R659" s="7"/>
    </row>
    <row r="660" spans="3:18">
      <c r="C660" s="7"/>
      <c r="D660" s="7"/>
      <c r="E660" s="7"/>
      <c r="F660" s="7"/>
      <c r="G660" s="7"/>
      <c r="H660" s="7"/>
      <c r="I660" s="7"/>
      <c r="J660" s="7"/>
      <c r="K660" s="7"/>
      <c r="L660" s="27"/>
      <c r="N660" s="8"/>
      <c r="O660" s="7"/>
      <c r="P660" s="7"/>
      <c r="Q660" s="7"/>
      <c r="R660" s="7"/>
    </row>
    <row r="661" spans="3:18">
      <c r="C661" s="7"/>
      <c r="D661" s="7"/>
      <c r="E661" s="7"/>
      <c r="F661" s="7"/>
      <c r="G661" s="7"/>
      <c r="H661" s="7"/>
      <c r="I661" s="7"/>
      <c r="J661" s="7"/>
      <c r="K661" s="7"/>
      <c r="L661" s="27"/>
      <c r="N661" s="8"/>
      <c r="O661" s="7"/>
      <c r="P661" s="7"/>
      <c r="Q661" s="7"/>
      <c r="R661" s="7"/>
    </row>
    <row r="662" spans="3:18">
      <c r="C662" s="7"/>
      <c r="D662" s="7"/>
      <c r="E662" s="7"/>
      <c r="F662" s="7"/>
      <c r="G662" s="7"/>
      <c r="H662" s="7"/>
      <c r="I662" s="7"/>
      <c r="J662" s="7"/>
      <c r="K662" s="7"/>
      <c r="L662" s="27"/>
      <c r="N662" s="8"/>
      <c r="O662" s="7"/>
      <c r="P662" s="7"/>
      <c r="Q662" s="7"/>
      <c r="R662" s="7"/>
    </row>
    <row r="663" spans="3:18">
      <c r="C663" s="7"/>
      <c r="D663" s="7"/>
      <c r="E663" s="7"/>
      <c r="F663" s="7"/>
      <c r="G663" s="7"/>
      <c r="H663" s="7"/>
      <c r="I663" s="7"/>
      <c r="J663" s="7"/>
      <c r="K663" s="7"/>
      <c r="L663" s="27"/>
      <c r="N663" s="8"/>
      <c r="O663" s="7"/>
      <c r="P663" s="7"/>
      <c r="Q663" s="7"/>
      <c r="R663" s="7"/>
    </row>
    <row r="664" spans="3:18">
      <c r="C664" s="7"/>
      <c r="D664" s="7"/>
      <c r="E664" s="7"/>
      <c r="F664" s="7"/>
      <c r="G664" s="7"/>
      <c r="H664" s="7"/>
      <c r="I664" s="7"/>
      <c r="J664" s="7"/>
      <c r="K664" s="7"/>
      <c r="L664" s="27"/>
      <c r="N664" s="8"/>
      <c r="O664" s="7"/>
      <c r="P664" s="7"/>
      <c r="Q664" s="7"/>
      <c r="R664" s="7"/>
    </row>
    <row r="665" spans="3:18">
      <c r="C665" s="7"/>
      <c r="D665" s="7"/>
      <c r="E665" s="7"/>
      <c r="F665" s="7"/>
      <c r="G665" s="7"/>
      <c r="H665" s="7"/>
      <c r="I665" s="7"/>
      <c r="J665" s="7"/>
      <c r="K665" s="7"/>
      <c r="L665" s="27"/>
      <c r="N665" s="8"/>
      <c r="O665" s="7"/>
      <c r="P665" s="7"/>
      <c r="Q665" s="7"/>
      <c r="R665" s="7"/>
    </row>
    <row r="666" spans="3:18">
      <c r="C666" s="7"/>
      <c r="D666" s="7"/>
      <c r="E666" s="7"/>
      <c r="F666" s="7"/>
      <c r="G666" s="7"/>
      <c r="H666" s="7"/>
      <c r="I666" s="7"/>
      <c r="J666" s="7"/>
      <c r="K666" s="7"/>
      <c r="L666" s="27"/>
      <c r="N666" s="8"/>
      <c r="O666" s="7"/>
      <c r="P666" s="7"/>
      <c r="Q666" s="7"/>
      <c r="R666" s="7"/>
    </row>
    <row r="667" spans="3:18">
      <c r="C667" s="7"/>
      <c r="D667" s="7"/>
      <c r="E667" s="7"/>
      <c r="F667" s="7"/>
      <c r="G667" s="7"/>
      <c r="H667" s="7"/>
      <c r="I667" s="7"/>
      <c r="J667" s="7"/>
      <c r="K667" s="7"/>
      <c r="L667" s="27"/>
      <c r="N667" s="8"/>
      <c r="O667" s="7"/>
      <c r="P667" s="7"/>
      <c r="Q667" s="7"/>
      <c r="R667" s="7"/>
    </row>
    <row r="668" spans="3:18">
      <c r="C668" s="7"/>
      <c r="D668" s="7"/>
      <c r="E668" s="7"/>
      <c r="F668" s="7"/>
      <c r="G668" s="7"/>
      <c r="H668" s="7"/>
      <c r="I668" s="7"/>
      <c r="J668" s="7"/>
      <c r="K668" s="7"/>
      <c r="L668" s="27"/>
      <c r="N668" s="8"/>
      <c r="O668" s="7"/>
      <c r="P668" s="7"/>
      <c r="Q668" s="7"/>
      <c r="R668" s="7"/>
    </row>
    <row r="669" spans="3:18">
      <c r="C669" s="7"/>
      <c r="D669" s="7"/>
      <c r="E669" s="7"/>
      <c r="F669" s="7"/>
      <c r="G669" s="7"/>
      <c r="H669" s="7"/>
      <c r="I669" s="7"/>
      <c r="J669" s="7"/>
      <c r="K669" s="7"/>
      <c r="L669" s="27"/>
      <c r="N669" s="8"/>
      <c r="O669" s="7"/>
      <c r="P669" s="7"/>
      <c r="Q669" s="7"/>
      <c r="R669" s="7"/>
    </row>
    <row r="670" spans="3:18">
      <c r="C670" s="7"/>
      <c r="D670" s="7"/>
      <c r="E670" s="7"/>
      <c r="F670" s="7"/>
      <c r="G670" s="7"/>
      <c r="H670" s="7"/>
      <c r="I670" s="7"/>
      <c r="J670" s="7"/>
      <c r="K670" s="7"/>
      <c r="L670" s="27"/>
      <c r="N670" s="8"/>
      <c r="O670" s="7"/>
      <c r="P670" s="7"/>
      <c r="Q670" s="7"/>
      <c r="R670" s="7"/>
    </row>
    <row r="671" spans="3:18">
      <c r="C671" s="7"/>
      <c r="D671" s="7"/>
      <c r="E671" s="7"/>
      <c r="F671" s="7"/>
      <c r="G671" s="7"/>
      <c r="H671" s="7"/>
      <c r="I671" s="7"/>
      <c r="J671" s="7"/>
      <c r="K671" s="7"/>
      <c r="L671" s="27"/>
      <c r="N671" s="8"/>
      <c r="O671" s="7"/>
      <c r="P671" s="7"/>
      <c r="Q671" s="7"/>
      <c r="R671" s="7"/>
    </row>
    <row r="672" spans="3:18">
      <c r="C672" s="7"/>
      <c r="D672" s="7"/>
      <c r="E672" s="7"/>
      <c r="F672" s="7"/>
      <c r="G672" s="7"/>
      <c r="H672" s="7"/>
      <c r="I672" s="7"/>
      <c r="J672" s="7"/>
      <c r="K672" s="7"/>
      <c r="L672" s="27"/>
      <c r="N672" s="8"/>
      <c r="O672" s="7"/>
      <c r="P672" s="7"/>
      <c r="Q672" s="7"/>
      <c r="R672" s="7"/>
    </row>
    <row r="673" spans="3:18">
      <c r="C673" s="7"/>
      <c r="D673" s="7"/>
      <c r="E673" s="7"/>
      <c r="F673" s="7"/>
      <c r="G673" s="7"/>
      <c r="H673" s="7"/>
      <c r="I673" s="7"/>
      <c r="J673" s="7"/>
      <c r="K673" s="7"/>
      <c r="L673" s="27"/>
      <c r="N673" s="8"/>
      <c r="O673" s="7"/>
      <c r="P673" s="7"/>
      <c r="Q673" s="7"/>
      <c r="R673" s="7"/>
    </row>
    <row r="674" spans="3:18">
      <c r="C674" s="7"/>
      <c r="D674" s="7"/>
      <c r="E674" s="7"/>
      <c r="F674" s="7"/>
      <c r="G674" s="7"/>
      <c r="H674" s="7"/>
      <c r="I674" s="7"/>
      <c r="J674" s="7"/>
      <c r="K674" s="7"/>
      <c r="L674" s="27"/>
      <c r="N674" s="8"/>
      <c r="O674" s="7"/>
      <c r="P674" s="7"/>
      <c r="Q674" s="7"/>
      <c r="R674" s="7"/>
    </row>
    <row r="675" spans="3:18">
      <c r="C675" s="7"/>
      <c r="D675" s="7"/>
      <c r="E675" s="7"/>
      <c r="F675" s="7"/>
      <c r="G675" s="7"/>
      <c r="H675" s="7"/>
      <c r="I675" s="7"/>
      <c r="J675" s="7"/>
      <c r="K675" s="7"/>
      <c r="L675" s="27"/>
      <c r="N675" s="8"/>
      <c r="O675" s="7"/>
      <c r="P675" s="7"/>
      <c r="Q675" s="7"/>
      <c r="R675" s="7"/>
    </row>
    <row r="676" spans="3:18">
      <c r="C676" s="7"/>
      <c r="D676" s="7"/>
      <c r="E676" s="7"/>
      <c r="F676" s="7"/>
      <c r="G676" s="7"/>
      <c r="H676" s="7"/>
      <c r="I676" s="7"/>
      <c r="J676" s="7"/>
      <c r="K676" s="7"/>
      <c r="L676" s="27"/>
      <c r="N676" s="8"/>
      <c r="O676" s="7"/>
      <c r="P676" s="7"/>
      <c r="Q676" s="7"/>
      <c r="R676" s="7"/>
    </row>
    <row r="677" spans="3:18">
      <c r="C677" s="7"/>
      <c r="D677" s="7"/>
      <c r="E677" s="7"/>
      <c r="F677" s="7"/>
      <c r="G677" s="7"/>
      <c r="H677" s="7"/>
      <c r="I677" s="7"/>
      <c r="J677" s="7"/>
      <c r="K677" s="7"/>
      <c r="L677" s="27"/>
      <c r="N677" s="8"/>
      <c r="O677" s="7"/>
      <c r="P677" s="7"/>
      <c r="Q677" s="7"/>
      <c r="R677" s="7"/>
    </row>
    <row r="678" spans="3:18">
      <c r="C678" s="7"/>
      <c r="D678" s="7"/>
      <c r="E678" s="7"/>
      <c r="F678" s="7"/>
      <c r="G678" s="7"/>
      <c r="H678" s="7"/>
      <c r="I678" s="7"/>
      <c r="J678" s="7"/>
      <c r="K678" s="7"/>
      <c r="L678" s="27"/>
      <c r="N678" s="8"/>
      <c r="O678" s="7"/>
      <c r="P678" s="7"/>
      <c r="Q678" s="7"/>
      <c r="R678" s="7"/>
    </row>
    <row r="679" spans="3:18">
      <c r="C679" s="7"/>
      <c r="D679" s="7"/>
      <c r="E679" s="7"/>
      <c r="F679" s="7"/>
      <c r="G679" s="7"/>
      <c r="H679" s="7"/>
      <c r="I679" s="7"/>
      <c r="J679" s="7"/>
      <c r="K679" s="7"/>
      <c r="L679" s="27"/>
      <c r="N679" s="8"/>
      <c r="O679" s="7"/>
      <c r="P679" s="7"/>
      <c r="Q679" s="7"/>
      <c r="R679" s="7"/>
    </row>
    <row r="680" spans="3:18">
      <c r="C680" s="7"/>
      <c r="D680" s="7"/>
      <c r="E680" s="7"/>
      <c r="F680" s="7"/>
      <c r="G680" s="7"/>
      <c r="H680" s="7"/>
      <c r="I680" s="7"/>
      <c r="J680" s="7"/>
      <c r="K680" s="7"/>
      <c r="L680" s="27"/>
      <c r="N680" s="8"/>
      <c r="O680" s="7"/>
      <c r="P680" s="7"/>
      <c r="Q680" s="7"/>
      <c r="R680" s="7"/>
    </row>
    <row r="681" spans="3:18">
      <c r="C681" s="7"/>
      <c r="D681" s="7"/>
      <c r="E681" s="7"/>
      <c r="F681" s="7"/>
      <c r="G681" s="7"/>
      <c r="H681" s="7"/>
      <c r="I681" s="7"/>
      <c r="J681" s="7"/>
      <c r="K681" s="7"/>
      <c r="L681" s="27"/>
      <c r="N681" s="8"/>
      <c r="O681" s="7"/>
      <c r="P681" s="7"/>
      <c r="Q681" s="7"/>
      <c r="R681" s="7"/>
    </row>
    <row r="682" spans="3:18">
      <c r="C682" s="7"/>
      <c r="D682" s="7"/>
      <c r="E682" s="7"/>
      <c r="F682" s="7"/>
      <c r="G682" s="7"/>
      <c r="H682" s="7"/>
      <c r="I682" s="7"/>
      <c r="J682" s="7"/>
      <c r="K682" s="7"/>
      <c r="L682" s="27"/>
      <c r="N682" s="8"/>
      <c r="O682" s="7"/>
      <c r="P682" s="7"/>
      <c r="Q682" s="7"/>
      <c r="R682" s="7"/>
    </row>
    <row r="683" spans="3:18">
      <c r="C683" s="7"/>
      <c r="D683" s="7"/>
      <c r="E683" s="7"/>
      <c r="F683" s="7"/>
      <c r="G683" s="7"/>
      <c r="H683" s="7"/>
      <c r="I683" s="7"/>
      <c r="J683" s="7"/>
      <c r="K683" s="7"/>
      <c r="L683" s="27"/>
      <c r="N683" s="8"/>
      <c r="O683" s="7"/>
      <c r="P683" s="7"/>
      <c r="Q683" s="7"/>
      <c r="R683" s="7"/>
    </row>
    <row r="684" spans="3:18">
      <c r="C684" s="7"/>
      <c r="D684" s="7"/>
      <c r="E684" s="7"/>
      <c r="F684" s="7"/>
      <c r="G684" s="7"/>
      <c r="H684" s="7"/>
      <c r="I684" s="7"/>
      <c r="J684" s="7"/>
      <c r="K684" s="7"/>
      <c r="L684" s="27"/>
      <c r="N684" s="8"/>
      <c r="O684" s="7"/>
      <c r="P684" s="7"/>
      <c r="Q684" s="7"/>
      <c r="R684" s="7"/>
    </row>
    <row r="685" spans="3:18">
      <c r="C685" s="7"/>
      <c r="D685" s="7"/>
      <c r="E685" s="7"/>
      <c r="F685" s="7"/>
      <c r="G685" s="7"/>
      <c r="H685" s="7"/>
      <c r="I685" s="7"/>
      <c r="J685" s="7"/>
      <c r="K685" s="7"/>
      <c r="L685" s="27"/>
      <c r="N685" s="8"/>
      <c r="O685" s="7"/>
      <c r="P685" s="7"/>
      <c r="Q685" s="7"/>
      <c r="R685" s="7"/>
    </row>
    <row r="686" spans="3:18">
      <c r="C686" s="7"/>
      <c r="D686" s="7"/>
      <c r="E686" s="7"/>
      <c r="F686" s="7"/>
      <c r="G686" s="7"/>
      <c r="H686" s="7"/>
      <c r="I686" s="7"/>
      <c r="J686" s="7"/>
      <c r="K686" s="7"/>
      <c r="L686" s="27"/>
      <c r="N686" s="8"/>
      <c r="O686" s="7"/>
      <c r="P686" s="7"/>
      <c r="Q686" s="7"/>
      <c r="R686" s="7"/>
    </row>
    <row r="687" spans="3:18">
      <c r="C687" s="7"/>
      <c r="D687" s="7"/>
      <c r="E687" s="7"/>
      <c r="F687" s="7"/>
      <c r="G687" s="7"/>
      <c r="H687" s="7"/>
      <c r="I687" s="7"/>
      <c r="J687" s="7"/>
      <c r="K687" s="7"/>
      <c r="L687" s="27"/>
      <c r="N687" s="8"/>
      <c r="O687" s="7"/>
      <c r="P687" s="7"/>
      <c r="Q687" s="7"/>
      <c r="R687" s="7"/>
    </row>
    <row r="688" spans="3:18">
      <c r="C688" s="7"/>
      <c r="D688" s="7"/>
      <c r="E688" s="7"/>
      <c r="F688" s="7"/>
      <c r="G688" s="7"/>
      <c r="H688" s="7"/>
      <c r="I688" s="7"/>
      <c r="J688" s="7"/>
      <c r="K688" s="7"/>
      <c r="L688" s="27"/>
      <c r="N688" s="8"/>
      <c r="O688" s="7"/>
      <c r="P688" s="7"/>
      <c r="Q688" s="7"/>
      <c r="R688" s="7"/>
    </row>
    <row r="689" spans="3:18">
      <c r="C689" s="7"/>
      <c r="D689" s="7"/>
      <c r="E689" s="7"/>
      <c r="F689" s="7"/>
      <c r="G689" s="7"/>
      <c r="H689" s="7"/>
      <c r="I689" s="7"/>
      <c r="J689" s="7"/>
      <c r="K689" s="7"/>
      <c r="L689" s="27"/>
      <c r="N689" s="8"/>
      <c r="O689" s="7"/>
      <c r="P689" s="7"/>
      <c r="Q689" s="7"/>
      <c r="R689" s="7"/>
    </row>
    <row r="690" spans="3:18">
      <c r="C690" s="7"/>
      <c r="D690" s="7"/>
      <c r="E690" s="7"/>
      <c r="F690" s="7"/>
      <c r="G690" s="7"/>
      <c r="H690" s="7"/>
      <c r="I690" s="7"/>
      <c r="J690" s="7"/>
      <c r="K690" s="7"/>
      <c r="L690" s="27"/>
      <c r="N690" s="8"/>
      <c r="O690" s="7"/>
      <c r="P690" s="7"/>
      <c r="Q690" s="7"/>
      <c r="R690" s="7"/>
    </row>
    <row r="691" spans="3:18">
      <c r="C691" s="7"/>
      <c r="D691" s="7"/>
      <c r="E691" s="7"/>
      <c r="F691" s="7"/>
      <c r="G691" s="7"/>
      <c r="H691" s="7"/>
      <c r="I691" s="7"/>
      <c r="J691" s="7"/>
      <c r="K691" s="7"/>
      <c r="L691" s="27"/>
      <c r="N691" s="8"/>
      <c r="O691" s="7"/>
      <c r="P691" s="7"/>
      <c r="Q691" s="7"/>
      <c r="R691" s="7"/>
    </row>
    <row r="692" spans="3:18">
      <c r="C692" s="7"/>
      <c r="D692" s="7"/>
      <c r="E692" s="7"/>
      <c r="F692" s="7"/>
      <c r="G692" s="7"/>
      <c r="H692" s="7"/>
      <c r="I692" s="7"/>
      <c r="J692" s="7"/>
      <c r="K692" s="7"/>
      <c r="L692" s="27"/>
      <c r="N692" s="8"/>
      <c r="O692" s="7"/>
      <c r="P692" s="7"/>
      <c r="Q692" s="7"/>
      <c r="R692" s="7"/>
    </row>
    <row r="693" spans="3:18">
      <c r="C693" s="7"/>
      <c r="D693" s="7"/>
      <c r="E693" s="7"/>
      <c r="F693" s="7"/>
      <c r="G693" s="7"/>
      <c r="H693" s="7"/>
      <c r="I693" s="7"/>
      <c r="J693" s="7"/>
      <c r="K693" s="7"/>
      <c r="L693" s="27"/>
      <c r="N693" s="8"/>
      <c r="O693" s="7"/>
      <c r="P693" s="7"/>
      <c r="Q693" s="7"/>
      <c r="R693" s="7"/>
    </row>
    <row r="694" spans="3:18">
      <c r="C694" s="7"/>
      <c r="D694" s="7"/>
      <c r="E694" s="7"/>
      <c r="F694" s="7"/>
      <c r="G694" s="7"/>
      <c r="H694" s="7"/>
      <c r="I694" s="7"/>
      <c r="J694" s="7"/>
      <c r="K694" s="7"/>
      <c r="L694" s="27"/>
      <c r="N694" s="8"/>
      <c r="O694" s="7"/>
      <c r="P694" s="7"/>
      <c r="Q694" s="7"/>
      <c r="R694" s="7"/>
    </row>
    <row r="695" spans="3:18">
      <c r="C695" s="7"/>
      <c r="D695" s="7"/>
      <c r="E695" s="7"/>
      <c r="F695" s="7"/>
      <c r="G695" s="7"/>
      <c r="H695" s="7"/>
      <c r="I695" s="7"/>
      <c r="J695" s="7"/>
      <c r="K695" s="7"/>
      <c r="L695" s="27"/>
      <c r="N695" s="8"/>
      <c r="O695" s="7"/>
      <c r="P695" s="7"/>
      <c r="Q695" s="7"/>
      <c r="R695" s="7"/>
    </row>
    <row r="696" spans="3:18">
      <c r="C696" s="7"/>
      <c r="D696" s="7"/>
      <c r="E696" s="7"/>
      <c r="F696" s="7"/>
      <c r="G696" s="7"/>
      <c r="H696" s="7"/>
      <c r="I696" s="7"/>
      <c r="J696" s="7"/>
      <c r="K696" s="7"/>
      <c r="L696" s="27"/>
      <c r="N696" s="8"/>
      <c r="O696" s="7"/>
      <c r="P696" s="7"/>
      <c r="Q696" s="7"/>
      <c r="R696" s="7"/>
    </row>
    <row r="697" spans="3:18">
      <c r="C697" s="7"/>
      <c r="D697" s="7"/>
      <c r="E697" s="7"/>
      <c r="F697" s="7"/>
      <c r="G697" s="7"/>
      <c r="H697" s="7"/>
      <c r="I697" s="7"/>
      <c r="J697" s="7"/>
      <c r="K697" s="7"/>
      <c r="L697" s="27"/>
      <c r="N697" s="8"/>
      <c r="O697" s="7"/>
      <c r="P697" s="7"/>
      <c r="Q697" s="7"/>
      <c r="R697" s="7"/>
    </row>
    <row r="698" spans="3:18">
      <c r="C698" s="7"/>
      <c r="D698" s="7"/>
      <c r="E698" s="7"/>
      <c r="F698" s="7"/>
      <c r="G698" s="7"/>
      <c r="H698" s="7"/>
      <c r="I698" s="7"/>
      <c r="J698" s="7"/>
      <c r="K698" s="7"/>
      <c r="L698" s="27"/>
      <c r="N698" s="8"/>
      <c r="O698" s="7"/>
      <c r="P698" s="7"/>
      <c r="Q698" s="7"/>
      <c r="R698" s="7"/>
    </row>
    <row r="699" spans="3:18">
      <c r="C699" s="7"/>
      <c r="D699" s="7"/>
      <c r="E699" s="7"/>
      <c r="F699" s="7"/>
      <c r="G699" s="7"/>
      <c r="H699" s="7"/>
      <c r="I699" s="7"/>
      <c r="J699" s="7"/>
      <c r="K699" s="7"/>
      <c r="L699" s="27"/>
      <c r="N699" s="8"/>
      <c r="O699" s="7"/>
      <c r="P699" s="7"/>
      <c r="Q699" s="7"/>
      <c r="R699" s="7"/>
    </row>
    <row r="700" spans="3:18">
      <c r="C700" s="7"/>
      <c r="D700" s="7"/>
      <c r="E700" s="7"/>
      <c r="F700" s="7"/>
      <c r="G700" s="7"/>
      <c r="H700" s="7"/>
      <c r="I700" s="7"/>
      <c r="J700" s="7"/>
      <c r="K700" s="7"/>
      <c r="L700" s="27"/>
      <c r="N700" s="8"/>
      <c r="O700" s="7"/>
      <c r="P700" s="7"/>
      <c r="Q700" s="7"/>
      <c r="R700" s="7"/>
    </row>
    <row r="701" spans="3:18">
      <c r="C701" s="7"/>
      <c r="D701" s="7"/>
      <c r="E701" s="7"/>
      <c r="F701" s="7"/>
      <c r="G701" s="7"/>
      <c r="H701" s="7"/>
      <c r="I701" s="7"/>
      <c r="J701" s="7"/>
      <c r="K701" s="7"/>
      <c r="L701" s="27"/>
      <c r="N701" s="8"/>
      <c r="O701" s="7"/>
      <c r="P701" s="7"/>
      <c r="Q701" s="7"/>
      <c r="R701" s="7"/>
    </row>
    <row r="702" spans="3:18">
      <c r="C702" s="7"/>
      <c r="D702" s="7"/>
      <c r="E702" s="7"/>
      <c r="F702" s="7"/>
      <c r="G702" s="7"/>
      <c r="H702" s="7"/>
      <c r="I702" s="7"/>
      <c r="J702" s="7"/>
      <c r="K702" s="7"/>
      <c r="L702" s="27"/>
      <c r="N702" s="8"/>
      <c r="O702" s="7"/>
      <c r="P702" s="7"/>
      <c r="Q702" s="7"/>
      <c r="R702" s="7"/>
    </row>
    <row r="703" spans="3:18">
      <c r="C703" s="7"/>
      <c r="D703" s="7"/>
      <c r="E703" s="7"/>
      <c r="F703" s="7"/>
      <c r="G703" s="7"/>
      <c r="H703" s="7"/>
      <c r="I703" s="7"/>
      <c r="J703" s="7"/>
      <c r="K703" s="7"/>
      <c r="L703" s="27"/>
      <c r="N703" s="8"/>
      <c r="O703" s="7"/>
      <c r="P703" s="7"/>
      <c r="Q703" s="7"/>
      <c r="R703" s="7"/>
    </row>
    <row r="704" spans="3:18">
      <c r="C704" s="7"/>
      <c r="D704" s="7"/>
      <c r="E704" s="7"/>
      <c r="F704" s="7"/>
      <c r="G704" s="7"/>
      <c r="H704" s="7"/>
      <c r="I704" s="7"/>
      <c r="J704" s="7"/>
      <c r="K704" s="7"/>
      <c r="L704" s="27"/>
      <c r="N704" s="8"/>
      <c r="O704" s="7"/>
      <c r="P704" s="7"/>
      <c r="Q704" s="7"/>
      <c r="R704" s="7"/>
    </row>
    <row r="705" spans="3:18">
      <c r="C705" s="7"/>
      <c r="D705" s="7"/>
      <c r="E705" s="7"/>
      <c r="F705" s="7"/>
      <c r="G705" s="7"/>
      <c r="H705" s="7"/>
      <c r="I705" s="7"/>
      <c r="J705" s="7"/>
      <c r="K705" s="7"/>
      <c r="L705" s="27"/>
      <c r="N705" s="8"/>
      <c r="O705" s="7"/>
      <c r="P705" s="7"/>
      <c r="Q705" s="7"/>
      <c r="R705" s="7"/>
    </row>
    <row r="706" spans="3:18">
      <c r="C706" s="7"/>
      <c r="D706" s="7"/>
      <c r="E706" s="7"/>
      <c r="F706" s="7"/>
      <c r="G706" s="7"/>
      <c r="H706" s="7"/>
      <c r="I706" s="7"/>
      <c r="J706" s="7"/>
      <c r="K706" s="7"/>
      <c r="L706" s="27"/>
      <c r="N706" s="8"/>
      <c r="O706" s="7"/>
      <c r="P706" s="7"/>
      <c r="Q706" s="7"/>
      <c r="R706" s="7"/>
    </row>
    <row r="707" spans="3:18">
      <c r="C707" s="7"/>
      <c r="D707" s="7"/>
      <c r="E707" s="7"/>
      <c r="F707" s="7"/>
      <c r="G707" s="7"/>
      <c r="H707" s="7"/>
      <c r="I707" s="7"/>
      <c r="J707" s="7"/>
      <c r="K707" s="7"/>
      <c r="L707" s="27"/>
      <c r="N707" s="8"/>
      <c r="O707" s="7"/>
      <c r="P707" s="7"/>
      <c r="Q707" s="7"/>
      <c r="R707" s="7"/>
    </row>
    <row r="708" spans="3:18">
      <c r="C708" s="7"/>
      <c r="D708" s="7"/>
      <c r="E708" s="7"/>
      <c r="F708" s="7"/>
      <c r="G708" s="7"/>
      <c r="H708" s="7"/>
      <c r="I708" s="7"/>
      <c r="J708" s="7"/>
      <c r="K708" s="7"/>
      <c r="L708" s="27"/>
      <c r="N708" s="8"/>
      <c r="O708" s="7"/>
      <c r="P708" s="7"/>
      <c r="Q708" s="7"/>
      <c r="R708" s="7"/>
    </row>
    <row r="709" spans="3:18">
      <c r="C709" s="7"/>
      <c r="D709" s="7"/>
      <c r="E709" s="7"/>
      <c r="F709" s="7"/>
      <c r="G709" s="7"/>
      <c r="H709" s="7"/>
      <c r="I709" s="7"/>
      <c r="J709" s="7"/>
      <c r="K709" s="7"/>
      <c r="L709" s="27"/>
      <c r="N709" s="8"/>
      <c r="O709" s="7"/>
      <c r="P709" s="7"/>
      <c r="Q709" s="7"/>
      <c r="R709" s="7"/>
    </row>
    <row r="710" spans="3:18">
      <c r="C710" s="7"/>
      <c r="D710" s="7"/>
      <c r="E710" s="7"/>
      <c r="F710" s="7"/>
      <c r="G710" s="7"/>
      <c r="H710" s="7"/>
      <c r="I710" s="7"/>
      <c r="J710" s="7"/>
      <c r="K710" s="7"/>
      <c r="L710" s="27"/>
      <c r="N710" s="8"/>
      <c r="O710" s="7"/>
      <c r="P710" s="7"/>
      <c r="Q710" s="7"/>
      <c r="R710" s="7"/>
    </row>
    <row r="711" spans="3:18">
      <c r="C711" s="7"/>
      <c r="D711" s="7"/>
      <c r="E711" s="7"/>
      <c r="F711" s="7"/>
      <c r="G711" s="7"/>
      <c r="H711" s="7"/>
      <c r="I711" s="7"/>
      <c r="J711" s="7"/>
      <c r="K711" s="7"/>
      <c r="L711" s="27"/>
      <c r="N711" s="8"/>
      <c r="O711" s="7"/>
      <c r="P711" s="7"/>
      <c r="Q711" s="7"/>
      <c r="R711" s="7"/>
    </row>
    <row r="712" spans="3:18">
      <c r="C712" s="7"/>
      <c r="D712" s="7"/>
      <c r="E712" s="7"/>
      <c r="F712" s="7"/>
      <c r="G712" s="7"/>
      <c r="H712" s="7"/>
      <c r="I712" s="7"/>
      <c r="J712" s="7"/>
      <c r="K712" s="7"/>
      <c r="L712" s="27"/>
      <c r="N712" s="8"/>
      <c r="O712" s="7"/>
      <c r="P712" s="7"/>
      <c r="Q712" s="7"/>
      <c r="R712" s="7"/>
    </row>
    <row r="713" spans="3:18">
      <c r="C713" s="7"/>
      <c r="D713" s="7"/>
      <c r="E713" s="7"/>
      <c r="F713" s="7"/>
      <c r="G713" s="7"/>
      <c r="H713" s="7"/>
      <c r="I713" s="7"/>
      <c r="J713" s="7"/>
      <c r="K713" s="7"/>
      <c r="L713" s="27"/>
      <c r="N713" s="8"/>
      <c r="O713" s="7"/>
      <c r="P713" s="7"/>
      <c r="Q713" s="7"/>
      <c r="R713" s="7"/>
    </row>
    <row r="714" spans="3:18">
      <c r="C714" s="7"/>
      <c r="D714" s="7"/>
      <c r="E714" s="7"/>
      <c r="F714" s="7"/>
      <c r="G714" s="7"/>
      <c r="H714" s="7"/>
      <c r="I714" s="7"/>
      <c r="J714" s="7"/>
      <c r="K714" s="7"/>
      <c r="L714" s="27"/>
      <c r="N714" s="8"/>
      <c r="O714" s="7"/>
      <c r="P714" s="7"/>
      <c r="Q714" s="7"/>
      <c r="R714" s="7"/>
    </row>
    <row r="715" spans="3:18">
      <c r="C715" s="7"/>
      <c r="D715" s="7"/>
      <c r="E715" s="7"/>
      <c r="F715" s="7"/>
      <c r="G715" s="7"/>
      <c r="H715" s="7"/>
      <c r="I715" s="7"/>
      <c r="J715" s="7"/>
      <c r="K715" s="7"/>
      <c r="L715" s="27"/>
      <c r="N715" s="8"/>
      <c r="O715" s="7"/>
      <c r="P715" s="7"/>
      <c r="Q715" s="7"/>
      <c r="R715" s="7"/>
    </row>
    <row r="716" spans="3:18">
      <c r="C716" s="7"/>
      <c r="D716" s="7"/>
      <c r="E716" s="7"/>
      <c r="F716" s="7"/>
      <c r="G716" s="7"/>
      <c r="H716" s="7"/>
      <c r="I716" s="7"/>
      <c r="J716" s="7"/>
      <c r="K716" s="7"/>
      <c r="L716" s="27"/>
      <c r="N716" s="8"/>
      <c r="O716" s="7"/>
      <c r="P716" s="7"/>
      <c r="Q716" s="7"/>
      <c r="R716" s="7"/>
    </row>
    <row r="717" spans="3:18">
      <c r="C717" s="7"/>
      <c r="D717" s="7"/>
      <c r="E717" s="7"/>
      <c r="F717" s="7"/>
      <c r="G717" s="7"/>
      <c r="H717" s="7"/>
      <c r="I717" s="7"/>
      <c r="J717" s="7"/>
      <c r="K717" s="7"/>
      <c r="L717" s="27"/>
      <c r="N717" s="8"/>
      <c r="O717" s="7"/>
      <c r="P717" s="7"/>
      <c r="Q717" s="7"/>
      <c r="R717" s="7"/>
    </row>
    <row r="718" spans="3:18">
      <c r="C718" s="7"/>
      <c r="D718" s="7"/>
      <c r="E718" s="7"/>
      <c r="F718" s="7"/>
      <c r="G718" s="7"/>
      <c r="H718" s="7"/>
      <c r="I718" s="7"/>
      <c r="J718" s="7"/>
      <c r="K718" s="7"/>
      <c r="L718" s="27"/>
      <c r="N718" s="8"/>
      <c r="O718" s="7"/>
      <c r="P718" s="7"/>
      <c r="Q718" s="7"/>
      <c r="R718" s="7"/>
    </row>
    <row r="719" spans="3:18">
      <c r="C719" s="7"/>
      <c r="D719" s="7"/>
      <c r="E719" s="7"/>
      <c r="F719" s="7"/>
      <c r="G719" s="7"/>
      <c r="H719" s="7"/>
      <c r="I719" s="7"/>
      <c r="J719" s="7"/>
      <c r="K719" s="7"/>
      <c r="L719" s="27"/>
      <c r="N719" s="8"/>
      <c r="O719" s="7"/>
      <c r="P719" s="7"/>
      <c r="Q719" s="7"/>
      <c r="R719" s="7"/>
    </row>
    <row r="720" spans="3:18">
      <c r="C720" s="7"/>
      <c r="D720" s="7"/>
      <c r="E720" s="7"/>
      <c r="F720" s="7"/>
      <c r="G720" s="7"/>
      <c r="H720" s="7"/>
      <c r="I720" s="7"/>
      <c r="J720" s="7"/>
      <c r="K720" s="7"/>
      <c r="L720" s="27"/>
      <c r="N720" s="8"/>
      <c r="O720" s="7"/>
      <c r="P720" s="7"/>
      <c r="Q720" s="7"/>
      <c r="R720" s="7"/>
    </row>
    <row r="721" spans="3:18">
      <c r="C721" s="7"/>
      <c r="D721" s="7"/>
      <c r="E721" s="7"/>
      <c r="F721" s="7"/>
      <c r="G721" s="7"/>
      <c r="H721" s="7"/>
      <c r="I721" s="7"/>
      <c r="J721" s="7"/>
      <c r="K721" s="7"/>
      <c r="L721" s="27"/>
      <c r="N721" s="8"/>
      <c r="O721" s="7"/>
      <c r="P721" s="7"/>
      <c r="Q721" s="7"/>
      <c r="R721" s="7"/>
    </row>
    <row r="722" spans="3:18">
      <c r="C722" s="7"/>
      <c r="D722" s="7"/>
      <c r="E722" s="7"/>
      <c r="F722" s="7"/>
      <c r="G722" s="7"/>
      <c r="H722" s="7"/>
      <c r="I722" s="7"/>
      <c r="J722" s="7"/>
      <c r="K722" s="7"/>
      <c r="L722" s="27"/>
      <c r="N722" s="8"/>
      <c r="O722" s="7"/>
      <c r="P722" s="7"/>
      <c r="Q722" s="7"/>
      <c r="R722" s="7"/>
    </row>
    <row r="723" spans="3:18">
      <c r="C723" s="7"/>
      <c r="D723" s="7"/>
      <c r="E723" s="7"/>
      <c r="F723" s="7"/>
      <c r="G723" s="7"/>
      <c r="H723" s="7"/>
      <c r="I723" s="7"/>
      <c r="J723" s="7"/>
      <c r="K723" s="7"/>
      <c r="L723" s="27"/>
      <c r="N723" s="8"/>
      <c r="O723" s="7"/>
      <c r="P723" s="7"/>
      <c r="Q723" s="7"/>
      <c r="R723" s="7"/>
    </row>
    <row r="724" spans="3:18">
      <c r="C724" s="7"/>
      <c r="D724" s="7"/>
      <c r="E724" s="7"/>
      <c r="F724" s="7"/>
      <c r="G724" s="7"/>
      <c r="H724" s="7"/>
      <c r="I724" s="7"/>
      <c r="J724" s="7"/>
      <c r="K724" s="7"/>
      <c r="L724" s="27"/>
      <c r="N724" s="8"/>
      <c r="O724" s="7"/>
      <c r="P724" s="7"/>
      <c r="Q724" s="7"/>
      <c r="R724" s="7"/>
    </row>
    <row r="725" spans="3:18">
      <c r="C725" s="7"/>
      <c r="D725" s="7"/>
      <c r="E725" s="7"/>
      <c r="F725" s="7"/>
      <c r="G725" s="7"/>
      <c r="H725" s="7"/>
      <c r="I725" s="7"/>
      <c r="J725" s="7"/>
      <c r="K725" s="7"/>
      <c r="L725" s="27"/>
      <c r="N725" s="8"/>
      <c r="O725" s="7"/>
      <c r="P725" s="7"/>
      <c r="Q725" s="7"/>
      <c r="R725" s="7"/>
    </row>
    <row r="726" spans="3:18">
      <c r="C726" s="7"/>
      <c r="D726" s="7"/>
      <c r="E726" s="7"/>
      <c r="F726" s="7"/>
      <c r="G726" s="7"/>
      <c r="H726" s="7"/>
      <c r="I726" s="7"/>
      <c r="J726" s="7"/>
      <c r="K726" s="7"/>
      <c r="L726" s="27"/>
      <c r="N726" s="8"/>
      <c r="O726" s="7"/>
      <c r="P726" s="7"/>
      <c r="Q726" s="7"/>
      <c r="R726" s="7"/>
    </row>
    <row r="727" spans="3:18">
      <c r="C727" s="7"/>
      <c r="D727" s="7"/>
      <c r="E727" s="7"/>
      <c r="F727" s="7"/>
      <c r="G727" s="7"/>
      <c r="H727" s="7"/>
      <c r="I727" s="7"/>
      <c r="J727" s="7"/>
      <c r="K727" s="7"/>
      <c r="L727" s="27"/>
      <c r="N727" s="8"/>
      <c r="O727" s="7"/>
      <c r="P727" s="7"/>
      <c r="Q727" s="7"/>
      <c r="R727" s="7"/>
    </row>
    <row r="728" spans="3:18">
      <c r="C728" s="7"/>
      <c r="D728" s="7"/>
      <c r="E728" s="7"/>
      <c r="F728" s="7"/>
      <c r="G728" s="7"/>
      <c r="H728" s="7"/>
      <c r="I728" s="7"/>
      <c r="J728" s="7"/>
      <c r="K728" s="7"/>
      <c r="L728" s="27"/>
      <c r="N728" s="8"/>
      <c r="O728" s="7"/>
      <c r="P728" s="7"/>
      <c r="Q728" s="7"/>
      <c r="R728" s="7"/>
    </row>
    <row r="729" spans="3:18">
      <c r="C729" s="7"/>
      <c r="D729" s="7"/>
      <c r="E729" s="7"/>
      <c r="F729" s="7"/>
      <c r="G729" s="7"/>
      <c r="H729" s="7"/>
      <c r="I729" s="7"/>
      <c r="J729" s="7"/>
      <c r="K729" s="7"/>
      <c r="L729" s="27"/>
      <c r="N729" s="8"/>
      <c r="O729" s="7"/>
      <c r="P729" s="7"/>
      <c r="Q729" s="7"/>
      <c r="R729" s="7"/>
    </row>
    <row r="730" spans="3:18">
      <c r="C730" s="7"/>
      <c r="D730" s="7"/>
      <c r="E730" s="7"/>
      <c r="F730" s="7"/>
      <c r="G730" s="7"/>
      <c r="H730" s="7"/>
      <c r="I730" s="7"/>
      <c r="J730" s="7"/>
      <c r="K730" s="7"/>
      <c r="L730" s="27"/>
      <c r="N730" s="8"/>
      <c r="O730" s="7"/>
      <c r="P730" s="7"/>
      <c r="Q730" s="7"/>
      <c r="R730" s="7"/>
    </row>
    <row r="731" spans="3:18">
      <c r="C731" s="7"/>
      <c r="D731" s="7"/>
      <c r="E731" s="7"/>
      <c r="F731" s="7"/>
      <c r="G731" s="7"/>
      <c r="H731" s="7"/>
      <c r="I731" s="7"/>
      <c r="J731" s="7"/>
      <c r="K731" s="7"/>
      <c r="L731" s="27"/>
      <c r="N731" s="8"/>
      <c r="O731" s="7"/>
      <c r="P731" s="7"/>
      <c r="Q731" s="7"/>
      <c r="R731" s="7"/>
    </row>
    <row r="732" spans="3:18">
      <c r="C732" s="7"/>
      <c r="D732" s="7"/>
      <c r="E732" s="7"/>
      <c r="F732" s="7"/>
      <c r="G732" s="7"/>
      <c r="H732" s="7"/>
      <c r="I732" s="7"/>
      <c r="J732" s="7"/>
      <c r="K732" s="7"/>
      <c r="L732" s="27"/>
      <c r="N732" s="8"/>
      <c r="O732" s="7"/>
      <c r="P732" s="7"/>
      <c r="Q732" s="7"/>
      <c r="R732" s="7"/>
    </row>
    <row r="733" spans="3:18">
      <c r="C733" s="7"/>
      <c r="D733" s="7"/>
      <c r="E733" s="7"/>
      <c r="F733" s="7"/>
      <c r="G733" s="7"/>
      <c r="H733" s="7"/>
      <c r="I733" s="7"/>
      <c r="J733" s="7"/>
      <c r="K733" s="7"/>
      <c r="L733" s="27"/>
      <c r="N733" s="8"/>
      <c r="O733" s="7"/>
      <c r="P733" s="7"/>
      <c r="Q733" s="7"/>
      <c r="R733" s="7"/>
    </row>
    <row r="734" spans="3:18">
      <c r="C734" s="7"/>
      <c r="D734" s="7"/>
      <c r="E734" s="7"/>
      <c r="F734" s="7"/>
      <c r="G734" s="7"/>
      <c r="H734" s="7"/>
      <c r="I734" s="7"/>
      <c r="J734" s="7"/>
      <c r="K734" s="7"/>
      <c r="L734" s="27"/>
      <c r="N734" s="8"/>
      <c r="O734" s="7"/>
      <c r="P734" s="7"/>
      <c r="Q734" s="7"/>
      <c r="R734" s="7"/>
    </row>
    <row r="735" spans="3:18">
      <c r="C735" s="7"/>
      <c r="D735" s="7"/>
      <c r="E735" s="7"/>
      <c r="F735" s="7"/>
      <c r="G735" s="7"/>
      <c r="H735" s="7"/>
      <c r="I735" s="7"/>
      <c r="J735" s="7"/>
      <c r="K735" s="7"/>
      <c r="L735" s="27"/>
      <c r="N735" s="8"/>
      <c r="O735" s="7"/>
      <c r="P735" s="7"/>
      <c r="Q735" s="7"/>
      <c r="R735" s="7"/>
    </row>
    <row r="736" spans="3:18">
      <c r="C736" s="7"/>
      <c r="D736" s="7"/>
      <c r="E736" s="7"/>
      <c r="F736" s="7"/>
      <c r="G736" s="7"/>
      <c r="H736" s="7"/>
      <c r="I736" s="7"/>
      <c r="J736" s="7"/>
      <c r="K736" s="7"/>
      <c r="L736" s="27"/>
      <c r="N736" s="8"/>
      <c r="O736" s="7"/>
      <c r="P736" s="7"/>
      <c r="Q736" s="7"/>
      <c r="R736" s="7"/>
    </row>
    <row r="737" spans="3:18">
      <c r="C737" s="7"/>
      <c r="D737" s="7"/>
      <c r="E737" s="7"/>
      <c r="F737" s="7"/>
      <c r="G737" s="7"/>
      <c r="H737" s="7"/>
      <c r="I737" s="7"/>
      <c r="J737" s="7"/>
      <c r="K737" s="7"/>
      <c r="L737" s="27"/>
      <c r="N737" s="8"/>
      <c r="O737" s="7"/>
      <c r="P737" s="7"/>
      <c r="Q737" s="7"/>
      <c r="R737" s="7"/>
    </row>
    <row r="738" spans="3:18">
      <c r="C738" s="7"/>
      <c r="D738" s="7"/>
      <c r="E738" s="7"/>
      <c r="F738" s="7"/>
      <c r="G738" s="7"/>
      <c r="H738" s="7"/>
      <c r="I738" s="7"/>
      <c r="J738" s="7"/>
      <c r="K738" s="7"/>
      <c r="L738" s="27"/>
      <c r="N738" s="8"/>
      <c r="O738" s="7"/>
      <c r="P738" s="7"/>
      <c r="Q738" s="7"/>
      <c r="R738" s="7"/>
    </row>
    <row r="739" spans="3:18">
      <c r="C739" s="7"/>
      <c r="D739" s="7"/>
      <c r="E739" s="7"/>
      <c r="F739" s="7"/>
      <c r="G739" s="7"/>
      <c r="H739" s="7"/>
      <c r="I739" s="7"/>
      <c r="J739" s="7"/>
      <c r="K739" s="7"/>
      <c r="L739" s="27"/>
      <c r="N739" s="8"/>
      <c r="O739" s="7"/>
      <c r="P739" s="7"/>
      <c r="Q739" s="7"/>
      <c r="R739" s="7"/>
    </row>
    <row r="740" spans="3:18">
      <c r="C740" s="7"/>
      <c r="D740" s="7"/>
      <c r="E740" s="7"/>
      <c r="F740" s="7"/>
      <c r="G740" s="7"/>
      <c r="H740" s="7"/>
      <c r="I740" s="7"/>
      <c r="J740" s="7"/>
      <c r="K740" s="7"/>
      <c r="L740" s="27"/>
      <c r="N740" s="8"/>
      <c r="O740" s="7"/>
      <c r="P740" s="7"/>
      <c r="Q740" s="7"/>
      <c r="R740" s="7"/>
    </row>
    <row r="741" spans="3:18">
      <c r="C741" s="7"/>
      <c r="D741" s="7"/>
      <c r="E741" s="7"/>
      <c r="F741" s="7"/>
      <c r="G741" s="7"/>
      <c r="H741" s="7"/>
      <c r="I741" s="7"/>
      <c r="J741" s="7"/>
      <c r="K741" s="7"/>
      <c r="L741" s="27"/>
      <c r="N741" s="8"/>
      <c r="O741" s="7"/>
      <c r="P741" s="7"/>
      <c r="Q741" s="7"/>
      <c r="R741" s="7"/>
    </row>
    <row r="742" spans="3:18">
      <c r="C742" s="7"/>
      <c r="D742" s="7"/>
      <c r="E742" s="7"/>
      <c r="F742" s="7"/>
      <c r="G742" s="7"/>
      <c r="H742" s="7"/>
      <c r="I742" s="7"/>
      <c r="J742" s="7"/>
      <c r="K742" s="7"/>
      <c r="L742" s="27"/>
      <c r="N742" s="8"/>
      <c r="O742" s="7"/>
      <c r="P742" s="7"/>
      <c r="Q742" s="7"/>
      <c r="R742" s="7"/>
    </row>
    <row r="743" spans="3:18">
      <c r="C743" s="7"/>
      <c r="D743" s="7"/>
      <c r="E743" s="7"/>
      <c r="F743" s="7"/>
      <c r="G743" s="7"/>
      <c r="H743" s="7"/>
      <c r="I743" s="7"/>
      <c r="J743" s="7"/>
      <c r="K743" s="7"/>
      <c r="L743" s="27"/>
      <c r="N743" s="8"/>
      <c r="O743" s="7"/>
      <c r="P743" s="7"/>
      <c r="Q743" s="7"/>
      <c r="R743" s="7"/>
    </row>
    <row r="744" spans="3:18">
      <c r="C744" s="7"/>
      <c r="D744" s="7"/>
      <c r="E744" s="7"/>
      <c r="F744" s="7"/>
      <c r="G744" s="7"/>
      <c r="H744" s="7"/>
      <c r="I744" s="7"/>
      <c r="J744" s="7"/>
      <c r="K744" s="7"/>
      <c r="L744" s="27"/>
      <c r="N744" s="8"/>
      <c r="O744" s="7"/>
      <c r="P744" s="7"/>
      <c r="Q744" s="7"/>
      <c r="R744" s="7"/>
    </row>
    <row r="745" spans="3:18">
      <c r="C745" s="7"/>
      <c r="D745" s="7"/>
      <c r="E745" s="7"/>
      <c r="F745" s="7"/>
      <c r="G745" s="7"/>
      <c r="H745" s="7"/>
      <c r="I745" s="7"/>
      <c r="J745" s="7"/>
      <c r="K745" s="7"/>
      <c r="L745" s="27"/>
      <c r="N745" s="8"/>
      <c r="O745" s="7"/>
      <c r="P745" s="7"/>
      <c r="Q745" s="7"/>
      <c r="R745" s="7"/>
    </row>
    <row r="746" spans="3:18">
      <c r="C746" s="7"/>
      <c r="D746" s="7"/>
      <c r="E746" s="7"/>
      <c r="F746" s="7"/>
      <c r="G746" s="7"/>
      <c r="H746" s="7"/>
      <c r="I746" s="7"/>
      <c r="J746" s="7"/>
      <c r="K746" s="7"/>
      <c r="L746" s="27"/>
      <c r="N746" s="8"/>
      <c r="O746" s="7"/>
      <c r="P746" s="7"/>
      <c r="Q746" s="7"/>
      <c r="R746" s="7"/>
    </row>
    <row r="747" spans="3:18">
      <c r="C747" s="7"/>
      <c r="D747" s="7"/>
      <c r="E747" s="7"/>
      <c r="F747" s="7"/>
      <c r="G747" s="7"/>
      <c r="H747" s="7"/>
      <c r="I747" s="7"/>
      <c r="J747" s="7"/>
      <c r="K747" s="7"/>
      <c r="L747" s="27"/>
      <c r="N747" s="8"/>
      <c r="O747" s="7"/>
      <c r="P747" s="7"/>
      <c r="Q747" s="7"/>
      <c r="R747" s="7"/>
    </row>
    <row r="748" spans="3:18">
      <c r="C748" s="7"/>
      <c r="D748" s="7"/>
      <c r="E748" s="7"/>
      <c r="F748" s="7"/>
      <c r="G748" s="7"/>
      <c r="H748" s="7"/>
      <c r="I748" s="7"/>
      <c r="J748" s="7"/>
      <c r="K748" s="7"/>
      <c r="L748" s="27"/>
      <c r="N748" s="8"/>
      <c r="O748" s="7"/>
      <c r="P748" s="7"/>
      <c r="Q748" s="7"/>
      <c r="R748" s="7"/>
    </row>
    <row r="749" spans="3:18">
      <c r="C749" s="7"/>
      <c r="D749" s="7"/>
      <c r="E749" s="7"/>
      <c r="F749" s="7"/>
      <c r="G749" s="7"/>
      <c r="H749" s="7"/>
      <c r="I749" s="7"/>
      <c r="J749" s="7"/>
      <c r="K749" s="7"/>
      <c r="L749" s="27"/>
      <c r="N749" s="8"/>
      <c r="O749" s="7"/>
      <c r="P749" s="7"/>
      <c r="Q749" s="7"/>
      <c r="R749" s="7"/>
    </row>
    <row r="750" spans="3:18">
      <c r="C750" s="7"/>
      <c r="D750" s="7"/>
      <c r="E750" s="7"/>
      <c r="F750" s="7"/>
      <c r="G750" s="7"/>
      <c r="H750" s="7"/>
      <c r="I750" s="7"/>
      <c r="J750" s="7"/>
      <c r="K750" s="7"/>
      <c r="L750" s="27"/>
      <c r="N750" s="8"/>
      <c r="O750" s="7"/>
      <c r="P750" s="7"/>
      <c r="Q750" s="7"/>
      <c r="R750" s="7"/>
    </row>
    <row r="751" spans="3:18">
      <c r="C751" s="7"/>
      <c r="D751" s="7"/>
      <c r="E751" s="7"/>
      <c r="F751" s="7"/>
      <c r="G751" s="7"/>
      <c r="H751" s="7"/>
      <c r="I751" s="7"/>
      <c r="J751" s="7"/>
      <c r="K751" s="7"/>
      <c r="L751" s="27"/>
      <c r="N751" s="8"/>
      <c r="O751" s="7"/>
      <c r="P751" s="7"/>
      <c r="Q751" s="7"/>
      <c r="R751" s="7"/>
    </row>
    <row r="752" spans="3:18">
      <c r="C752" s="7"/>
      <c r="D752" s="7"/>
      <c r="E752" s="7"/>
      <c r="F752" s="7"/>
      <c r="G752" s="7"/>
      <c r="H752" s="7"/>
      <c r="I752" s="7"/>
      <c r="J752" s="7"/>
      <c r="K752" s="7"/>
      <c r="L752" s="27"/>
      <c r="N752" s="8"/>
      <c r="O752" s="7"/>
      <c r="P752" s="7"/>
      <c r="Q752" s="7"/>
      <c r="R752" s="7"/>
    </row>
    <row r="753" spans="3:18">
      <c r="C753" s="7"/>
      <c r="D753" s="7"/>
      <c r="E753" s="7"/>
      <c r="F753" s="7"/>
      <c r="G753" s="7"/>
      <c r="H753" s="7"/>
      <c r="I753" s="7"/>
      <c r="J753" s="7"/>
      <c r="K753" s="7"/>
      <c r="L753" s="27"/>
      <c r="N753" s="8"/>
      <c r="O753" s="7"/>
      <c r="P753" s="7"/>
      <c r="Q753" s="7"/>
      <c r="R753" s="7"/>
    </row>
    <row r="754" spans="3:18">
      <c r="C754" s="7"/>
      <c r="D754" s="7"/>
      <c r="E754" s="7"/>
      <c r="F754" s="7"/>
      <c r="G754" s="7"/>
      <c r="H754" s="7"/>
      <c r="I754" s="7"/>
      <c r="J754" s="7"/>
      <c r="K754" s="7"/>
      <c r="L754" s="27"/>
      <c r="N754" s="8"/>
      <c r="O754" s="7"/>
      <c r="P754" s="7"/>
      <c r="Q754" s="7"/>
      <c r="R754" s="7"/>
    </row>
    <row r="755" spans="3:18">
      <c r="C755" s="7"/>
      <c r="D755" s="7"/>
      <c r="E755" s="7"/>
      <c r="F755" s="7"/>
      <c r="G755" s="7"/>
      <c r="H755" s="7"/>
      <c r="I755" s="7"/>
      <c r="J755" s="7"/>
      <c r="K755" s="7"/>
      <c r="L755" s="27"/>
      <c r="N755" s="8"/>
      <c r="O755" s="7"/>
      <c r="P755" s="7"/>
      <c r="Q755" s="7"/>
      <c r="R755" s="7"/>
    </row>
    <row r="756" spans="3:18">
      <c r="C756" s="7"/>
      <c r="D756" s="7"/>
      <c r="E756" s="7"/>
      <c r="F756" s="7"/>
      <c r="G756" s="7"/>
      <c r="H756" s="7"/>
      <c r="I756" s="7"/>
      <c r="J756" s="7"/>
      <c r="K756" s="7"/>
      <c r="L756" s="27"/>
      <c r="N756" s="8"/>
      <c r="O756" s="7"/>
      <c r="P756" s="7"/>
      <c r="Q756" s="7"/>
      <c r="R756" s="7"/>
    </row>
    <row r="757" spans="3:18">
      <c r="C757" s="7"/>
      <c r="D757" s="7"/>
      <c r="E757" s="7"/>
      <c r="F757" s="7"/>
      <c r="G757" s="7"/>
      <c r="H757" s="7"/>
      <c r="I757" s="7"/>
      <c r="J757" s="7"/>
      <c r="K757" s="7"/>
      <c r="L757" s="27"/>
      <c r="N757" s="8"/>
      <c r="O757" s="7"/>
      <c r="P757" s="7"/>
      <c r="Q757" s="7"/>
      <c r="R757" s="7"/>
    </row>
    <row r="758" spans="3:18">
      <c r="C758" s="7"/>
      <c r="D758" s="7"/>
      <c r="E758" s="7"/>
      <c r="F758" s="7"/>
      <c r="G758" s="7"/>
      <c r="H758" s="7"/>
      <c r="I758" s="7"/>
      <c r="J758" s="7"/>
      <c r="K758" s="7"/>
      <c r="L758" s="27"/>
      <c r="N758" s="8"/>
      <c r="O758" s="7"/>
      <c r="P758" s="7"/>
      <c r="Q758" s="7"/>
      <c r="R758" s="7"/>
    </row>
    <row r="759" spans="3:18">
      <c r="C759" s="7"/>
      <c r="D759" s="7"/>
      <c r="E759" s="7"/>
      <c r="F759" s="7"/>
      <c r="G759" s="7"/>
      <c r="H759" s="7"/>
      <c r="I759" s="7"/>
      <c r="J759" s="7"/>
      <c r="K759" s="7"/>
      <c r="L759" s="27"/>
      <c r="N759" s="8"/>
      <c r="O759" s="7"/>
      <c r="P759" s="7"/>
      <c r="Q759" s="7"/>
      <c r="R759" s="7"/>
    </row>
    <row r="760" spans="3:18">
      <c r="C760" s="7"/>
      <c r="D760" s="7"/>
      <c r="E760" s="7"/>
      <c r="F760" s="7"/>
      <c r="G760" s="7"/>
      <c r="H760" s="7"/>
      <c r="I760" s="7"/>
      <c r="J760" s="7"/>
      <c r="K760" s="7"/>
      <c r="L760" s="27"/>
      <c r="N760" s="8"/>
      <c r="O760" s="7"/>
      <c r="P760" s="7"/>
      <c r="Q760" s="7"/>
      <c r="R760" s="7"/>
    </row>
    <row r="761" spans="3:18">
      <c r="C761" s="7"/>
      <c r="D761" s="7"/>
      <c r="E761" s="7"/>
      <c r="F761" s="7"/>
      <c r="G761" s="7"/>
      <c r="H761" s="7"/>
      <c r="I761" s="7"/>
      <c r="J761" s="7"/>
      <c r="K761" s="7"/>
      <c r="L761" s="27"/>
      <c r="N761" s="8"/>
      <c r="O761" s="7"/>
      <c r="P761" s="7"/>
      <c r="Q761" s="7"/>
      <c r="R761" s="7"/>
    </row>
    <row r="762" spans="3:18">
      <c r="C762" s="7"/>
      <c r="D762" s="7"/>
      <c r="E762" s="7"/>
      <c r="F762" s="7"/>
      <c r="G762" s="7"/>
      <c r="H762" s="7"/>
      <c r="I762" s="7"/>
      <c r="J762" s="7"/>
      <c r="K762" s="7"/>
      <c r="L762" s="27"/>
      <c r="N762" s="8"/>
      <c r="O762" s="7"/>
      <c r="P762" s="7"/>
      <c r="Q762" s="7"/>
      <c r="R762" s="7"/>
    </row>
    <row r="763" spans="3:18">
      <c r="C763" s="7"/>
      <c r="D763" s="7"/>
      <c r="E763" s="7"/>
      <c r="F763" s="7"/>
      <c r="G763" s="7"/>
      <c r="H763" s="7"/>
      <c r="I763" s="7"/>
      <c r="J763" s="7"/>
      <c r="K763" s="7"/>
      <c r="L763" s="27"/>
      <c r="N763" s="8"/>
      <c r="O763" s="7"/>
      <c r="P763" s="7"/>
      <c r="Q763" s="7"/>
      <c r="R763" s="7"/>
    </row>
    <row r="764" spans="3:18">
      <c r="C764" s="7"/>
      <c r="D764" s="7"/>
      <c r="E764" s="7"/>
      <c r="F764" s="7"/>
      <c r="G764" s="7"/>
      <c r="H764" s="7"/>
      <c r="I764" s="7"/>
      <c r="J764" s="7"/>
      <c r="K764" s="7"/>
      <c r="L764" s="27"/>
      <c r="N764" s="8"/>
      <c r="O764" s="7"/>
      <c r="P764" s="7"/>
      <c r="Q764" s="7"/>
      <c r="R764" s="7"/>
    </row>
    <row r="765" spans="3:18">
      <c r="C765" s="7"/>
      <c r="D765" s="7"/>
      <c r="E765" s="7"/>
      <c r="F765" s="7"/>
      <c r="G765" s="7"/>
      <c r="H765" s="7"/>
      <c r="I765" s="7"/>
      <c r="J765" s="7"/>
      <c r="K765" s="7"/>
      <c r="L765" s="27"/>
      <c r="N765" s="8"/>
      <c r="O765" s="7"/>
      <c r="P765" s="7"/>
      <c r="Q765" s="7"/>
      <c r="R765" s="7"/>
    </row>
    <row r="766" spans="3:18">
      <c r="C766" s="7"/>
      <c r="D766" s="7"/>
      <c r="E766" s="7"/>
      <c r="F766" s="7"/>
      <c r="G766" s="7"/>
      <c r="H766" s="7"/>
      <c r="I766" s="7"/>
      <c r="J766" s="7"/>
      <c r="K766" s="7"/>
      <c r="L766" s="27"/>
      <c r="N766" s="8"/>
      <c r="O766" s="7"/>
      <c r="P766" s="7"/>
      <c r="Q766" s="7"/>
      <c r="R766" s="7"/>
    </row>
    <row r="767" spans="3:18">
      <c r="C767" s="7"/>
      <c r="D767" s="7"/>
      <c r="E767" s="7"/>
      <c r="F767" s="7"/>
      <c r="G767" s="7"/>
      <c r="H767" s="7"/>
      <c r="I767" s="7"/>
      <c r="J767" s="7"/>
      <c r="K767" s="7"/>
      <c r="L767" s="27"/>
      <c r="N767" s="8"/>
      <c r="O767" s="7"/>
      <c r="P767" s="7"/>
      <c r="Q767" s="7"/>
      <c r="R767" s="7"/>
    </row>
    <row r="768" spans="3:18">
      <c r="C768" s="7"/>
      <c r="D768" s="7"/>
      <c r="E768" s="7"/>
      <c r="F768" s="7"/>
      <c r="G768" s="7"/>
      <c r="H768" s="7"/>
      <c r="I768" s="7"/>
      <c r="J768" s="7"/>
      <c r="K768" s="7"/>
      <c r="L768" s="27"/>
      <c r="N768" s="8"/>
      <c r="O768" s="7"/>
      <c r="P768" s="7"/>
      <c r="Q768" s="7"/>
      <c r="R768" s="7"/>
    </row>
    <row r="769" spans="3:18">
      <c r="C769" s="7"/>
      <c r="D769" s="7"/>
      <c r="E769" s="7"/>
      <c r="F769" s="7"/>
      <c r="G769" s="7"/>
      <c r="H769" s="7"/>
      <c r="I769" s="7"/>
      <c r="J769" s="7"/>
      <c r="K769" s="7"/>
      <c r="L769" s="27"/>
      <c r="N769" s="8"/>
      <c r="O769" s="7"/>
      <c r="P769" s="7"/>
      <c r="Q769" s="7"/>
      <c r="R769" s="7"/>
    </row>
    <row r="770" spans="3:18">
      <c r="C770" s="7"/>
      <c r="D770" s="7"/>
      <c r="E770" s="7"/>
      <c r="F770" s="7"/>
      <c r="G770" s="7"/>
      <c r="H770" s="7"/>
      <c r="I770" s="7"/>
      <c r="J770" s="7"/>
      <c r="K770" s="7"/>
      <c r="L770" s="27"/>
      <c r="N770" s="8"/>
      <c r="O770" s="7"/>
      <c r="P770" s="7"/>
      <c r="Q770" s="7"/>
      <c r="R770" s="7"/>
    </row>
    <row r="771" spans="3:18">
      <c r="C771" s="7"/>
      <c r="D771" s="7"/>
      <c r="E771" s="7"/>
      <c r="F771" s="7"/>
      <c r="G771" s="7"/>
      <c r="H771" s="7"/>
      <c r="I771" s="7"/>
      <c r="J771" s="7"/>
      <c r="K771" s="7"/>
      <c r="L771" s="27"/>
      <c r="N771" s="8"/>
      <c r="O771" s="7"/>
      <c r="P771" s="7"/>
      <c r="Q771" s="7"/>
      <c r="R771" s="7"/>
    </row>
    <row r="772" spans="3:18">
      <c r="C772" s="7"/>
      <c r="D772" s="7"/>
      <c r="E772" s="7"/>
      <c r="F772" s="7"/>
      <c r="G772" s="7"/>
      <c r="H772" s="7"/>
      <c r="I772" s="7"/>
      <c r="J772" s="7"/>
      <c r="K772" s="7"/>
      <c r="L772" s="27"/>
      <c r="N772" s="8"/>
      <c r="O772" s="7"/>
      <c r="P772" s="7"/>
      <c r="Q772" s="7"/>
      <c r="R772" s="7"/>
    </row>
    <row r="773" spans="3:18">
      <c r="C773" s="7"/>
      <c r="D773" s="7"/>
      <c r="E773" s="7"/>
      <c r="F773" s="7"/>
      <c r="G773" s="7"/>
      <c r="H773" s="7"/>
      <c r="I773" s="7"/>
      <c r="J773" s="7"/>
      <c r="K773" s="7"/>
      <c r="L773" s="27"/>
      <c r="N773" s="8"/>
      <c r="O773" s="7"/>
      <c r="P773" s="7"/>
      <c r="Q773" s="7"/>
      <c r="R773" s="7"/>
    </row>
    <row r="774" spans="3:18">
      <c r="C774" s="7"/>
      <c r="D774" s="7"/>
      <c r="E774" s="7"/>
      <c r="F774" s="7"/>
      <c r="G774" s="7"/>
      <c r="H774" s="7"/>
      <c r="I774" s="7"/>
      <c r="J774" s="7"/>
      <c r="K774" s="7"/>
      <c r="L774" s="27"/>
      <c r="N774" s="8"/>
      <c r="O774" s="7"/>
      <c r="P774" s="7"/>
      <c r="Q774" s="7"/>
      <c r="R774" s="7"/>
    </row>
    <row r="775" spans="3:18">
      <c r="C775" s="7"/>
      <c r="D775" s="7"/>
      <c r="E775" s="7"/>
      <c r="F775" s="7"/>
      <c r="G775" s="7"/>
      <c r="H775" s="7"/>
      <c r="I775" s="7"/>
      <c r="J775" s="7"/>
      <c r="K775" s="7"/>
      <c r="L775" s="27"/>
      <c r="N775" s="8"/>
      <c r="O775" s="7"/>
      <c r="P775" s="7"/>
      <c r="Q775" s="7"/>
      <c r="R775" s="7"/>
    </row>
    <row r="776" spans="3:18">
      <c r="C776" s="7"/>
      <c r="D776" s="7"/>
      <c r="E776" s="7"/>
      <c r="F776" s="7"/>
      <c r="G776" s="7"/>
      <c r="H776" s="7"/>
      <c r="I776" s="7"/>
      <c r="J776" s="7"/>
      <c r="K776" s="7"/>
      <c r="L776" s="27"/>
      <c r="N776" s="8"/>
      <c r="O776" s="7"/>
      <c r="P776" s="7"/>
      <c r="Q776" s="7"/>
      <c r="R776" s="7"/>
    </row>
    <row r="777" spans="3:18">
      <c r="C777" s="7"/>
      <c r="D777" s="7"/>
      <c r="E777" s="7"/>
      <c r="F777" s="7"/>
      <c r="G777" s="7"/>
      <c r="H777" s="7"/>
      <c r="I777" s="7"/>
      <c r="J777" s="7"/>
      <c r="K777" s="7"/>
      <c r="L777" s="27"/>
      <c r="N777" s="8"/>
      <c r="O777" s="7"/>
      <c r="P777" s="7"/>
      <c r="Q777" s="7"/>
      <c r="R777" s="7"/>
    </row>
    <row r="778" spans="3:18">
      <c r="C778" s="7"/>
      <c r="D778" s="7"/>
      <c r="E778" s="7"/>
      <c r="F778" s="7"/>
      <c r="G778" s="7"/>
      <c r="H778" s="7"/>
      <c r="I778" s="7"/>
      <c r="J778" s="7"/>
      <c r="K778" s="7"/>
      <c r="L778" s="27"/>
      <c r="N778" s="8"/>
      <c r="O778" s="7"/>
      <c r="P778" s="7"/>
      <c r="Q778" s="7"/>
      <c r="R778" s="7"/>
    </row>
    <row r="779" spans="3:18">
      <c r="C779" s="7"/>
      <c r="D779" s="7"/>
      <c r="E779" s="7"/>
      <c r="F779" s="7"/>
      <c r="G779" s="7"/>
      <c r="H779" s="7"/>
      <c r="I779" s="7"/>
      <c r="J779" s="7"/>
      <c r="K779" s="7"/>
      <c r="L779" s="27"/>
      <c r="N779" s="8"/>
      <c r="O779" s="7"/>
      <c r="P779" s="7"/>
      <c r="Q779" s="7"/>
      <c r="R779" s="7"/>
    </row>
    <row r="780" spans="3:18">
      <c r="C780" s="7"/>
      <c r="D780" s="7"/>
      <c r="E780" s="7"/>
      <c r="F780" s="7"/>
      <c r="G780" s="7"/>
      <c r="H780" s="7"/>
      <c r="I780" s="7"/>
      <c r="J780" s="7"/>
      <c r="K780" s="7"/>
      <c r="L780" s="27"/>
      <c r="N780" s="8"/>
      <c r="O780" s="7"/>
      <c r="P780" s="7"/>
      <c r="Q780" s="7"/>
      <c r="R780" s="7"/>
    </row>
    <row r="781" spans="3:18">
      <c r="C781" s="7"/>
      <c r="D781" s="7"/>
      <c r="E781" s="7"/>
      <c r="F781" s="7"/>
      <c r="G781" s="7"/>
      <c r="H781" s="7"/>
      <c r="I781" s="7"/>
      <c r="J781" s="7"/>
      <c r="K781" s="7"/>
      <c r="L781" s="27"/>
      <c r="N781" s="8"/>
      <c r="O781" s="7"/>
      <c r="P781" s="7"/>
      <c r="Q781" s="7"/>
      <c r="R781" s="7"/>
    </row>
    <row r="782" spans="3:18">
      <c r="C782" s="7"/>
      <c r="D782" s="7"/>
      <c r="E782" s="7"/>
      <c r="F782" s="7"/>
      <c r="G782" s="7"/>
      <c r="H782" s="7"/>
      <c r="I782" s="7"/>
      <c r="J782" s="7"/>
      <c r="K782" s="7"/>
      <c r="L782" s="27"/>
      <c r="N782" s="8"/>
      <c r="O782" s="7"/>
      <c r="P782" s="7"/>
      <c r="Q782" s="7"/>
      <c r="R782" s="7"/>
    </row>
    <row r="783" spans="3:18">
      <c r="C783" s="7"/>
      <c r="D783" s="7"/>
      <c r="E783" s="7"/>
      <c r="F783" s="7"/>
      <c r="G783" s="7"/>
      <c r="H783" s="7"/>
      <c r="I783" s="7"/>
      <c r="J783" s="7"/>
      <c r="K783" s="7"/>
      <c r="L783" s="27"/>
      <c r="N783" s="8"/>
      <c r="O783" s="7"/>
      <c r="P783" s="7"/>
      <c r="Q783" s="7"/>
      <c r="R783" s="7"/>
    </row>
    <row r="784" spans="3:18">
      <c r="C784" s="7"/>
      <c r="D784" s="7"/>
      <c r="E784" s="7"/>
      <c r="F784" s="7"/>
      <c r="G784" s="7"/>
      <c r="H784" s="7"/>
      <c r="I784" s="7"/>
      <c r="J784" s="7"/>
      <c r="K784" s="7"/>
      <c r="L784" s="27"/>
      <c r="N784" s="8"/>
      <c r="O784" s="7"/>
      <c r="P784" s="7"/>
      <c r="Q784" s="7"/>
      <c r="R784" s="7"/>
    </row>
    <row r="785" spans="3:18">
      <c r="C785" s="7"/>
      <c r="D785" s="7"/>
      <c r="E785" s="7"/>
      <c r="F785" s="7"/>
      <c r="G785" s="7"/>
      <c r="H785" s="7"/>
      <c r="I785" s="7"/>
      <c r="J785" s="7"/>
      <c r="K785" s="7"/>
      <c r="L785" s="27"/>
      <c r="N785" s="8"/>
      <c r="O785" s="7"/>
      <c r="P785" s="7"/>
      <c r="Q785" s="7"/>
      <c r="R785" s="7"/>
    </row>
    <row r="786" spans="3:18">
      <c r="C786" s="7"/>
      <c r="D786" s="7"/>
      <c r="E786" s="7"/>
      <c r="F786" s="7"/>
      <c r="G786" s="7"/>
      <c r="H786" s="7"/>
      <c r="I786" s="7"/>
      <c r="J786" s="7"/>
      <c r="K786" s="7"/>
      <c r="L786" s="27"/>
      <c r="N786" s="8"/>
      <c r="O786" s="7"/>
      <c r="P786" s="7"/>
      <c r="Q786" s="7"/>
      <c r="R786" s="7"/>
    </row>
    <row r="787" spans="3:18">
      <c r="C787" s="7"/>
      <c r="D787" s="7"/>
      <c r="E787" s="7"/>
      <c r="F787" s="7"/>
      <c r="G787" s="7"/>
      <c r="H787" s="7"/>
      <c r="I787" s="7"/>
      <c r="J787" s="7"/>
      <c r="K787" s="7"/>
      <c r="L787" s="27"/>
      <c r="N787" s="8"/>
      <c r="O787" s="7"/>
      <c r="P787" s="7"/>
      <c r="Q787" s="7"/>
      <c r="R787" s="7"/>
    </row>
    <row r="788" spans="3:18">
      <c r="C788" s="7"/>
      <c r="D788" s="7"/>
      <c r="E788" s="7"/>
      <c r="F788" s="7"/>
      <c r="G788" s="7"/>
      <c r="H788" s="7"/>
      <c r="I788" s="7"/>
      <c r="J788" s="7"/>
      <c r="K788" s="7"/>
      <c r="L788" s="27"/>
      <c r="N788" s="8"/>
      <c r="O788" s="7"/>
      <c r="P788" s="7"/>
      <c r="Q788" s="7"/>
      <c r="R788" s="7"/>
    </row>
    <row r="789" spans="3:18">
      <c r="C789" s="7"/>
      <c r="D789" s="7"/>
      <c r="E789" s="7"/>
      <c r="F789" s="7"/>
      <c r="G789" s="7"/>
      <c r="H789" s="7"/>
      <c r="I789" s="7"/>
      <c r="J789" s="7"/>
      <c r="K789" s="7"/>
      <c r="L789" s="27"/>
      <c r="N789" s="8"/>
      <c r="O789" s="7"/>
      <c r="P789" s="7"/>
      <c r="Q789" s="7"/>
      <c r="R789" s="7"/>
    </row>
    <row r="790" spans="3:18">
      <c r="C790" s="7"/>
      <c r="D790" s="7"/>
      <c r="E790" s="7"/>
      <c r="F790" s="7"/>
      <c r="G790" s="7"/>
      <c r="H790" s="7"/>
      <c r="I790" s="7"/>
      <c r="J790" s="7"/>
      <c r="K790" s="7"/>
      <c r="L790" s="27"/>
      <c r="N790" s="8"/>
      <c r="O790" s="7"/>
      <c r="P790" s="7"/>
      <c r="Q790" s="7"/>
      <c r="R790" s="7"/>
    </row>
    <row r="791" spans="3:18">
      <c r="C791" s="7"/>
      <c r="D791" s="7"/>
      <c r="E791" s="7"/>
      <c r="F791" s="7"/>
      <c r="G791" s="7"/>
      <c r="H791" s="7"/>
      <c r="I791" s="7"/>
      <c r="J791" s="7"/>
      <c r="K791" s="7"/>
      <c r="L791" s="27"/>
      <c r="N791" s="8"/>
      <c r="O791" s="7"/>
      <c r="P791" s="7"/>
      <c r="Q791" s="7"/>
      <c r="R791" s="7"/>
    </row>
    <row r="792" spans="3:18">
      <c r="C792" s="7"/>
      <c r="D792" s="7"/>
      <c r="E792" s="7"/>
      <c r="F792" s="7"/>
      <c r="G792" s="7"/>
      <c r="H792" s="7"/>
      <c r="I792" s="7"/>
      <c r="J792" s="7"/>
      <c r="K792" s="7"/>
      <c r="L792" s="27"/>
      <c r="N792" s="8"/>
      <c r="O792" s="7"/>
      <c r="P792" s="7"/>
      <c r="Q792" s="7"/>
      <c r="R792" s="7"/>
    </row>
    <row r="793" spans="3:18">
      <c r="C793" s="7"/>
      <c r="D793" s="7"/>
      <c r="E793" s="7"/>
      <c r="F793" s="7"/>
      <c r="G793" s="7"/>
      <c r="H793" s="7"/>
      <c r="I793" s="7"/>
      <c r="J793" s="7"/>
      <c r="K793" s="7"/>
      <c r="L793" s="27"/>
      <c r="N793" s="8"/>
      <c r="O793" s="7"/>
      <c r="P793" s="7"/>
      <c r="Q793" s="7"/>
      <c r="R793" s="7"/>
    </row>
    <row r="794" spans="3:18">
      <c r="C794" s="7"/>
      <c r="D794" s="7"/>
      <c r="E794" s="7"/>
      <c r="F794" s="7"/>
      <c r="G794" s="7"/>
      <c r="H794" s="7"/>
      <c r="I794" s="7"/>
      <c r="J794" s="7"/>
      <c r="K794" s="7"/>
      <c r="L794" s="27"/>
      <c r="N794" s="8"/>
      <c r="O794" s="7"/>
      <c r="P794" s="7"/>
      <c r="Q794" s="7"/>
      <c r="R794" s="7"/>
    </row>
    <row r="795" spans="3:18">
      <c r="C795" s="7"/>
      <c r="D795" s="7"/>
      <c r="E795" s="7"/>
      <c r="F795" s="7"/>
      <c r="G795" s="7"/>
      <c r="H795" s="7"/>
      <c r="I795" s="7"/>
      <c r="J795" s="7"/>
      <c r="K795" s="7"/>
      <c r="L795" s="27"/>
      <c r="N795" s="8"/>
      <c r="O795" s="7"/>
      <c r="P795" s="7"/>
      <c r="Q795" s="7"/>
      <c r="R795" s="7"/>
    </row>
    <row r="796" spans="3:18">
      <c r="C796" s="7"/>
      <c r="D796" s="7"/>
      <c r="E796" s="7"/>
      <c r="F796" s="7"/>
      <c r="G796" s="7"/>
      <c r="H796" s="7"/>
      <c r="I796" s="7"/>
      <c r="J796" s="7"/>
      <c r="K796" s="7"/>
      <c r="L796" s="27"/>
      <c r="N796" s="8"/>
      <c r="O796" s="7"/>
      <c r="P796" s="7"/>
      <c r="Q796" s="7"/>
      <c r="R796" s="7"/>
    </row>
    <row r="797" spans="3:18">
      <c r="C797" s="7"/>
      <c r="D797" s="7"/>
      <c r="E797" s="7"/>
      <c r="F797" s="7"/>
      <c r="G797" s="7"/>
      <c r="H797" s="7"/>
      <c r="I797" s="7"/>
      <c r="J797" s="7"/>
      <c r="K797" s="7"/>
      <c r="L797" s="27"/>
      <c r="N797" s="8"/>
      <c r="O797" s="7"/>
      <c r="P797" s="7"/>
      <c r="Q797" s="7"/>
      <c r="R797" s="7"/>
    </row>
    <row r="798" spans="3:18">
      <c r="C798" s="7"/>
      <c r="D798" s="7"/>
      <c r="E798" s="7"/>
      <c r="F798" s="7"/>
      <c r="G798" s="7"/>
      <c r="H798" s="7"/>
      <c r="I798" s="7"/>
      <c r="J798" s="7"/>
      <c r="K798" s="7"/>
      <c r="L798" s="27"/>
      <c r="N798" s="8"/>
      <c r="O798" s="7"/>
      <c r="P798" s="7"/>
      <c r="Q798" s="7"/>
      <c r="R798" s="7"/>
    </row>
    <row r="799" spans="3:18">
      <c r="C799" s="7"/>
      <c r="D799" s="7"/>
      <c r="E799" s="7"/>
      <c r="F799" s="7"/>
      <c r="G799" s="7"/>
      <c r="H799" s="7"/>
      <c r="I799" s="7"/>
      <c r="J799" s="7"/>
      <c r="K799" s="7"/>
      <c r="L799" s="27"/>
      <c r="N799" s="8"/>
      <c r="O799" s="7"/>
      <c r="P799" s="7"/>
      <c r="Q799" s="7"/>
      <c r="R799" s="7"/>
    </row>
    <row r="800" spans="3:18">
      <c r="C800" s="7"/>
      <c r="D800" s="7"/>
      <c r="E800" s="7"/>
      <c r="F800" s="7"/>
      <c r="G800" s="7"/>
      <c r="H800" s="7"/>
      <c r="I800" s="7"/>
      <c r="J800" s="7"/>
      <c r="K800" s="7"/>
      <c r="L800" s="27"/>
      <c r="N800" s="8"/>
      <c r="O800" s="7"/>
      <c r="P800" s="7"/>
      <c r="Q800" s="7"/>
      <c r="R800" s="7"/>
    </row>
    <row r="801" spans="3:18">
      <c r="C801" s="7"/>
      <c r="D801" s="7"/>
      <c r="E801" s="7"/>
      <c r="F801" s="7"/>
      <c r="G801" s="7"/>
      <c r="H801" s="7"/>
      <c r="I801" s="7"/>
      <c r="J801" s="7"/>
      <c r="K801" s="7"/>
      <c r="L801" s="27"/>
      <c r="N801" s="8"/>
      <c r="O801" s="7"/>
      <c r="P801" s="7"/>
      <c r="Q801" s="7"/>
      <c r="R801" s="7"/>
    </row>
    <row r="802" spans="3:18">
      <c r="C802" s="7"/>
      <c r="D802" s="7"/>
      <c r="E802" s="7"/>
      <c r="F802" s="7"/>
      <c r="G802" s="7"/>
      <c r="H802" s="7"/>
      <c r="I802" s="7"/>
      <c r="J802" s="7"/>
      <c r="K802" s="7"/>
      <c r="L802" s="27"/>
      <c r="N802" s="8"/>
      <c r="O802" s="7"/>
      <c r="P802" s="7"/>
      <c r="Q802" s="7"/>
      <c r="R802" s="7"/>
    </row>
    <row r="803" spans="3:18">
      <c r="C803" s="7"/>
      <c r="D803" s="7"/>
      <c r="E803" s="7"/>
      <c r="F803" s="7"/>
      <c r="G803" s="7"/>
      <c r="H803" s="7"/>
      <c r="I803" s="7"/>
      <c r="J803" s="7"/>
      <c r="K803" s="7"/>
      <c r="L803" s="27"/>
      <c r="N803" s="8"/>
      <c r="O803" s="7"/>
      <c r="P803" s="7"/>
      <c r="Q803" s="7"/>
      <c r="R803" s="7"/>
    </row>
    <row r="804" spans="3:18">
      <c r="C804" s="7"/>
      <c r="D804" s="7"/>
      <c r="E804" s="7"/>
      <c r="F804" s="7"/>
      <c r="G804" s="7"/>
      <c r="H804" s="7"/>
      <c r="I804" s="7"/>
      <c r="J804" s="7"/>
      <c r="K804" s="7"/>
      <c r="L804" s="27"/>
      <c r="N804" s="8"/>
      <c r="O804" s="7"/>
      <c r="P804" s="7"/>
      <c r="Q804" s="7"/>
      <c r="R804" s="7"/>
    </row>
    <row r="805" spans="3:18">
      <c r="C805" s="7"/>
      <c r="D805" s="7"/>
      <c r="E805" s="7"/>
      <c r="F805" s="7"/>
      <c r="G805" s="7"/>
      <c r="H805" s="7"/>
      <c r="I805" s="7"/>
      <c r="J805" s="7"/>
      <c r="K805" s="7"/>
      <c r="L805" s="27"/>
      <c r="N805" s="8"/>
      <c r="O805" s="7"/>
      <c r="P805" s="7"/>
      <c r="Q805" s="7"/>
      <c r="R805" s="7"/>
    </row>
    <row r="806" spans="3:18">
      <c r="C806" s="7"/>
      <c r="D806" s="7"/>
      <c r="E806" s="7"/>
      <c r="F806" s="7"/>
      <c r="G806" s="7"/>
      <c r="H806" s="7"/>
      <c r="I806" s="7"/>
      <c r="J806" s="7"/>
      <c r="K806" s="7"/>
      <c r="L806" s="27"/>
      <c r="N806" s="8"/>
      <c r="O806" s="7"/>
      <c r="P806" s="7"/>
      <c r="Q806" s="7"/>
      <c r="R806" s="7"/>
    </row>
    <row r="807" spans="3:18">
      <c r="C807" s="7"/>
      <c r="D807" s="7"/>
      <c r="E807" s="7"/>
      <c r="F807" s="7"/>
      <c r="G807" s="7"/>
      <c r="H807" s="7"/>
      <c r="I807" s="7"/>
      <c r="J807" s="7"/>
      <c r="K807" s="7"/>
      <c r="L807" s="27"/>
      <c r="N807" s="8"/>
      <c r="O807" s="7"/>
      <c r="P807" s="7"/>
      <c r="Q807" s="7"/>
      <c r="R807" s="7"/>
    </row>
    <row r="808" spans="3:18">
      <c r="C808" s="7"/>
      <c r="D808" s="7"/>
      <c r="E808" s="7"/>
      <c r="F808" s="7"/>
      <c r="G808" s="7"/>
      <c r="H808" s="7"/>
      <c r="I808" s="7"/>
      <c r="J808" s="7"/>
      <c r="K808" s="7"/>
      <c r="L808" s="27"/>
      <c r="N808" s="8"/>
      <c r="O808" s="7"/>
      <c r="P808" s="7"/>
      <c r="Q808" s="7"/>
      <c r="R808" s="7"/>
    </row>
    <row r="809" spans="3:18">
      <c r="C809" s="7"/>
      <c r="D809" s="7"/>
      <c r="E809" s="7"/>
      <c r="F809" s="7"/>
      <c r="G809" s="7"/>
      <c r="H809" s="7"/>
      <c r="I809" s="7"/>
      <c r="J809" s="7"/>
      <c r="K809" s="7"/>
      <c r="L809" s="27"/>
      <c r="N809" s="8"/>
      <c r="O809" s="7"/>
      <c r="P809" s="7"/>
      <c r="Q809" s="7"/>
      <c r="R809" s="7"/>
    </row>
    <row r="810" spans="3:18">
      <c r="C810" s="7"/>
      <c r="D810" s="7"/>
      <c r="E810" s="7"/>
      <c r="F810" s="7"/>
      <c r="G810" s="7"/>
      <c r="H810" s="7"/>
      <c r="I810" s="7"/>
      <c r="J810" s="7"/>
      <c r="K810" s="7"/>
      <c r="L810" s="27"/>
      <c r="N810" s="8"/>
      <c r="O810" s="7"/>
      <c r="P810" s="7"/>
      <c r="Q810" s="7"/>
      <c r="R810" s="7"/>
    </row>
    <row r="811" spans="3:18">
      <c r="C811" s="7"/>
      <c r="D811" s="7"/>
      <c r="E811" s="7"/>
      <c r="F811" s="7"/>
      <c r="G811" s="7"/>
      <c r="H811" s="7"/>
      <c r="I811" s="7"/>
      <c r="J811" s="7"/>
      <c r="K811" s="7"/>
      <c r="L811" s="27"/>
      <c r="N811" s="8"/>
      <c r="O811" s="7"/>
      <c r="P811" s="7"/>
      <c r="Q811" s="7"/>
      <c r="R811" s="7"/>
    </row>
    <row r="812" spans="3:18">
      <c r="C812" s="7"/>
      <c r="D812" s="7"/>
      <c r="E812" s="7"/>
      <c r="F812" s="7"/>
      <c r="G812" s="7"/>
      <c r="H812" s="7"/>
      <c r="I812" s="7"/>
      <c r="J812" s="7"/>
      <c r="K812" s="7"/>
      <c r="L812" s="27"/>
      <c r="N812" s="8"/>
      <c r="O812" s="7"/>
      <c r="P812" s="7"/>
      <c r="Q812" s="7"/>
      <c r="R812" s="7"/>
    </row>
    <row r="813" spans="3:18">
      <c r="C813" s="7"/>
      <c r="D813" s="7"/>
      <c r="E813" s="7"/>
      <c r="F813" s="7"/>
      <c r="G813" s="7"/>
      <c r="H813" s="7"/>
      <c r="I813" s="7"/>
      <c r="J813" s="7"/>
      <c r="K813" s="7"/>
      <c r="L813" s="27"/>
      <c r="N813" s="8"/>
      <c r="O813" s="7"/>
      <c r="P813" s="7"/>
      <c r="Q813" s="7"/>
      <c r="R813" s="7"/>
    </row>
    <row r="814" spans="3:18">
      <c r="C814" s="7"/>
      <c r="D814" s="7"/>
      <c r="E814" s="7"/>
      <c r="F814" s="7"/>
      <c r="G814" s="7"/>
      <c r="H814" s="7"/>
      <c r="I814" s="7"/>
      <c r="J814" s="7"/>
      <c r="K814" s="7"/>
      <c r="L814" s="27"/>
      <c r="N814" s="8"/>
      <c r="O814" s="7"/>
      <c r="P814" s="7"/>
      <c r="Q814" s="7"/>
      <c r="R814" s="7"/>
    </row>
    <row r="815" spans="3:18">
      <c r="C815" s="7"/>
      <c r="D815" s="7"/>
      <c r="E815" s="7"/>
      <c r="F815" s="7"/>
      <c r="G815" s="7"/>
      <c r="H815" s="7"/>
      <c r="I815" s="7"/>
      <c r="J815" s="7"/>
      <c r="K815" s="7"/>
      <c r="L815" s="27"/>
      <c r="N815" s="8"/>
      <c r="O815" s="7"/>
      <c r="P815" s="7"/>
      <c r="Q815" s="7"/>
      <c r="R815" s="7"/>
    </row>
    <row r="816" spans="3:18">
      <c r="C816" s="7"/>
      <c r="D816" s="7"/>
      <c r="E816" s="7"/>
      <c r="F816" s="7"/>
      <c r="G816" s="7"/>
      <c r="H816" s="7"/>
      <c r="I816" s="7"/>
      <c r="J816" s="7"/>
      <c r="K816" s="7"/>
      <c r="L816" s="27"/>
      <c r="N816" s="8"/>
      <c r="O816" s="7"/>
      <c r="P816" s="7"/>
      <c r="Q816" s="7"/>
      <c r="R816" s="7"/>
    </row>
    <row r="817" spans="3:18">
      <c r="C817" s="7"/>
      <c r="D817" s="7"/>
      <c r="E817" s="7"/>
      <c r="F817" s="7"/>
      <c r="G817" s="7"/>
      <c r="H817" s="7"/>
      <c r="I817" s="7"/>
      <c r="J817" s="7"/>
      <c r="K817" s="7"/>
      <c r="L817" s="27"/>
      <c r="N817" s="8"/>
      <c r="O817" s="7"/>
      <c r="P817" s="7"/>
      <c r="Q817" s="7"/>
      <c r="R817" s="7"/>
    </row>
    <row r="818" spans="3:18">
      <c r="C818" s="7"/>
      <c r="D818" s="7"/>
      <c r="E818" s="7"/>
      <c r="F818" s="7"/>
      <c r="G818" s="7"/>
      <c r="H818" s="7"/>
      <c r="I818" s="7"/>
      <c r="J818" s="7"/>
      <c r="K818" s="7"/>
      <c r="L818" s="27"/>
      <c r="N818" s="8"/>
      <c r="O818" s="7"/>
      <c r="P818" s="7"/>
      <c r="Q818" s="7"/>
      <c r="R818" s="7"/>
    </row>
    <row r="819" spans="3:18">
      <c r="C819" s="7"/>
      <c r="D819" s="7"/>
      <c r="E819" s="7"/>
      <c r="F819" s="7"/>
      <c r="G819" s="7"/>
      <c r="H819" s="7"/>
      <c r="I819" s="7"/>
      <c r="J819" s="7"/>
      <c r="K819" s="7"/>
      <c r="L819" s="27"/>
      <c r="N819" s="8"/>
      <c r="O819" s="7"/>
      <c r="P819" s="7"/>
      <c r="Q819" s="7"/>
      <c r="R819" s="7"/>
    </row>
    <row r="820" spans="3:18">
      <c r="C820" s="7"/>
      <c r="D820" s="7"/>
      <c r="E820" s="7"/>
      <c r="F820" s="7"/>
      <c r="G820" s="7"/>
      <c r="H820" s="7"/>
      <c r="I820" s="7"/>
      <c r="J820" s="7"/>
      <c r="K820" s="7"/>
      <c r="L820" s="27"/>
      <c r="N820" s="8"/>
      <c r="O820" s="7"/>
      <c r="P820" s="7"/>
      <c r="Q820" s="7"/>
      <c r="R820" s="7"/>
    </row>
    <row r="821" spans="3:18">
      <c r="C821" s="7"/>
      <c r="D821" s="7"/>
      <c r="E821" s="7"/>
      <c r="F821" s="7"/>
      <c r="G821" s="7"/>
      <c r="H821" s="7"/>
      <c r="I821" s="7"/>
      <c r="J821" s="7"/>
      <c r="K821" s="7"/>
      <c r="L821" s="27"/>
      <c r="N821" s="8"/>
      <c r="O821" s="7"/>
      <c r="P821" s="7"/>
      <c r="Q821" s="7"/>
      <c r="R821" s="7"/>
    </row>
    <row r="822" spans="3:18">
      <c r="C822" s="7"/>
      <c r="D822" s="7"/>
      <c r="E822" s="7"/>
      <c r="F822" s="7"/>
      <c r="G822" s="7"/>
      <c r="H822" s="7"/>
      <c r="I822" s="7"/>
      <c r="J822" s="7"/>
      <c r="K822" s="7"/>
      <c r="L822" s="27"/>
      <c r="N822" s="8"/>
      <c r="O822" s="7"/>
      <c r="P822" s="7"/>
      <c r="Q822" s="7"/>
      <c r="R822" s="7"/>
    </row>
    <row r="823" spans="3:18">
      <c r="C823" s="7"/>
      <c r="D823" s="7"/>
      <c r="E823" s="7"/>
      <c r="F823" s="7"/>
      <c r="G823" s="7"/>
      <c r="H823" s="7"/>
      <c r="I823" s="7"/>
      <c r="J823" s="7"/>
      <c r="K823" s="7"/>
      <c r="L823" s="27"/>
      <c r="N823" s="8"/>
      <c r="O823" s="7"/>
      <c r="P823" s="7"/>
      <c r="Q823" s="7"/>
      <c r="R823" s="7"/>
    </row>
    <row r="824" spans="3:18">
      <c r="C824" s="7"/>
      <c r="D824" s="7"/>
      <c r="E824" s="7"/>
      <c r="F824" s="7"/>
      <c r="G824" s="7"/>
      <c r="H824" s="7"/>
      <c r="I824" s="7"/>
      <c r="J824" s="7"/>
      <c r="K824" s="7"/>
      <c r="L824" s="27"/>
      <c r="N824" s="8"/>
      <c r="O824" s="7"/>
      <c r="P824" s="7"/>
      <c r="Q824" s="7"/>
      <c r="R824" s="7"/>
    </row>
    <row r="825" spans="3:18">
      <c r="C825" s="7"/>
      <c r="D825" s="7"/>
      <c r="E825" s="7"/>
      <c r="F825" s="7"/>
      <c r="G825" s="7"/>
      <c r="H825" s="7"/>
      <c r="I825" s="7"/>
      <c r="J825" s="7"/>
      <c r="K825" s="7"/>
      <c r="L825" s="27"/>
      <c r="N825" s="8"/>
      <c r="O825" s="7"/>
      <c r="P825" s="7"/>
      <c r="Q825" s="7"/>
      <c r="R825" s="7"/>
    </row>
    <row r="826" spans="3:18">
      <c r="C826" s="7"/>
      <c r="D826" s="7"/>
      <c r="E826" s="7"/>
      <c r="F826" s="7"/>
      <c r="G826" s="7"/>
      <c r="H826" s="7"/>
      <c r="I826" s="7"/>
      <c r="J826" s="7"/>
      <c r="K826" s="7"/>
      <c r="L826" s="27"/>
      <c r="N826" s="8"/>
      <c r="O826" s="7"/>
      <c r="P826" s="7"/>
      <c r="Q826" s="7"/>
      <c r="R826" s="7"/>
    </row>
    <row r="827" spans="3:18">
      <c r="C827" s="7"/>
      <c r="D827" s="7"/>
      <c r="E827" s="7"/>
      <c r="F827" s="7"/>
      <c r="G827" s="7"/>
      <c r="H827" s="7"/>
      <c r="I827" s="7"/>
      <c r="J827" s="7"/>
      <c r="K827" s="7"/>
      <c r="L827" s="27"/>
      <c r="N827" s="8"/>
      <c r="O827" s="7"/>
      <c r="P827" s="7"/>
      <c r="Q827" s="7"/>
      <c r="R827" s="7"/>
    </row>
    <row r="828" spans="3:18">
      <c r="C828" s="7"/>
      <c r="D828" s="7"/>
      <c r="E828" s="7"/>
      <c r="F828" s="7"/>
      <c r="G828" s="7"/>
      <c r="H828" s="7"/>
      <c r="I828" s="7"/>
      <c r="J828" s="7"/>
      <c r="K828" s="7"/>
      <c r="L828" s="27"/>
      <c r="N828" s="8"/>
      <c r="O828" s="7"/>
      <c r="P828" s="7"/>
      <c r="Q828" s="7"/>
      <c r="R828" s="7"/>
    </row>
    <row r="829" spans="3:18">
      <c r="C829" s="7"/>
      <c r="D829" s="7"/>
      <c r="E829" s="7"/>
      <c r="F829" s="7"/>
      <c r="G829" s="7"/>
      <c r="H829" s="7"/>
      <c r="I829" s="7"/>
      <c r="J829" s="7"/>
      <c r="K829" s="7"/>
      <c r="L829" s="27"/>
      <c r="N829" s="8"/>
      <c r="O829" s="7"/>
      <c r="P829" s="7"/>
      <c r="Q829" s="7"/>
      <c r="R829" s="7"/>
    </row>
    <row r="830" spans="3:18">
      <c r="C830" s="7"/>
      <c r="D830" s="7"/>
      <c r="E830" s="7"/>
      <c r="F830" s="7"/>
      <c r="G830" s="7"/>
      <c r="H830" s="7"/>
      <c r="I830" s="7"/>
      <c r="J830" s="7"/>
      <c r="K830" s="7"/>
      <c r="L830" s="27"/>
      <c r="N830" s="8"/>
      <c r="O830" s="7"/>
      <c r="P830" s="7"/>
      <c r="Q830" s="7"/>
      <c r="R830" s="7"/>
    </row>
    <row r="831" spans="3:18">
      <c r="C831" s="7"/>
      <c r="D831" s="7"/>
      <c r="E831" s="7"/>
      <c r="F831" s="7"/>
      <c r="G831" s="7"/>
      <c r="H831" s="7"/>
      <c r="I831" s="7"/>
      <c r="J831" s="7"/>
      <c r="K831" s="7"/>
      <c r="L831" s="27"/>
      <c r="N831" s="8"/>
      <c r="O831" s="7"/>
      <c r="P831" s="7"/>
      <c r="Q831" s="7"/>
      <c r="R831" s="7"/>
    </row>
    <row r="832" spans="3:18">
      <c r="C832" s="7"/>
      <c r="D832" s="7"/>
      <c r="E832" s="7"/>
      <c r="F832" s="7"/>
      <c r="G832" s="7"/>
      <c r="H832" s="7"/>
      <c r="I832" s="7"/>
      <c r="J832" s="7"/>
      <c r="K832" s="7"/>
      <c r="L832" s="27"/>
      <c r="N832" s="8"/>
      <c r="O832" s="7"/>
      <c r="P832" s="7"/>
      <c r="Q832" s="7"/>
      <c r="R832" s="7"/>
    </row>
    <row r="833" spans="3:18">
      <c r="C833" s="7"/>
      <c r="D833" s="7"/>
      <c r="E833" s="7"/>
      <c r="F833" s="7"/>
      <c r="G833" s="7"/>
      <c r="H833" s="7"/>
      <c r="I833" s="7"/>
      <c r="J833" s="7"/>
      <c r="K833" s="7"/>
      <c r="L833" s="27"/>
      <c r="N833" s="8"/>
      <c r="O833" s="7"/>
      <c r="P833" s="7"/>
      <c r="Q833" s="7"/>
      <c r="R833" s="7"/>
    </row>
    <row r="834" spans="3:18">
      <c r="C834" s="7"/>
      <c r="D834" s="7"/>
      <c r="E834" s="7"/>
      <c r="F834" s="7"/>
      <c r="G834" s="7"/>
      <c r="H834" s="7"/>
      <c r="I834" s="7"/>
      <c r="J834" s="7"/>
      <c r="K834" s="7"/>
      <c r="L834" s="27"/>
      <c r="N834" s="8"/>
      <c r="O834" s="7"/>
      <c r="P834" s="7"/>
      <c r="Q834" s="7"/>
      <c r="R834" s="7"/>
    </row>
    <row r="835" spans="3:18">
      <c r="C835" s="7"/>
      <c r="D835" s="7"/>
      <c r="E835" s="7"/>
      <c r="F835" s="7"/>
      <c r="G835" s="7"/>
      <c r="H835" s="7"/>
      <c r="I835" s="7"/>
      <c r="J835" s="7"/>
      <c r="K835" s="7"/>
      <c r="L835" s="27"/>
      <c r="N835" s="8"/>
      <c r="O835" s="7"/>
      <c r="P835" s="7"/>
      <c r="Q835" s="7"/>
      <c r="R835" s="7"/>
    </row>
    <row r="836" spans="3:18">
      <c r="C836" s="7"/>
      <c r="D836" s="7"/>
      <c r="E836" s="7"/>
      <c r="F836" s="7"/>
      <c r="G836" s="7"/>
      <c r="H836" s="7"/>
      <c r="I836" s="7"/>
      <c r="J836" s="7"/>
      <c r="K836" s="7"/>
      <c r="L836" s="27"/>
      <c r="N836" s="8"/>
      <c r="O836" s="7"/>
      <c r="P836" s="7"/>
      <c r="Q836" s="7"/>
      <c r="R836" s="7"/>
    </row>
    <row r="837" spans="3:18">
      <c r="C837" s="7"/>
      <c r="D837" s="7"/>
      <c r="E837" s="7"/>
      <c r="F837" s="7"/>
      <c r="G837" s="7"/>
      <c r="H837" s="7"/>
      <c r="I837" s="7"/>
      <c r="J837" s="7"/>
      <c r="K837" s="7"/>
      <c r="L837" s="27"/>
      <c r="N837" s="8"/>
      <c r="O837" s="7"/>
      <c r="P837" s="7"/>
      <c r="Q837" s="7"/>
      <c r="R837" s="7"/>
    </row>
    <row r="838" spans="3:18">
      <c r="C838" s="7"/>
      <c r="D838" s="7"/>
      <c r="E838" s="7"/>
      <c r="F838" s="7"/>
      <c r="G838" s="7"/>
      <c r="H838" s="7"/>
      <c r="I838" s="7"/>
      <c r="J838" s="7"/>
      <c r="K838" s="7"/>
      <c r="L838" s="27"/>
      <c r="N838" s="8"/>
      <c r="O838" s="7"/>
      <c r="P838" s="7"/>
      <c r="Q838" s="7"/>
      <c r="R838" s="7"/>
    </row>
    <row r="839" spans="3:18">
      <c r="C839" s="7"/>
      <c r="D839" s="7"/>
      <c r="E839" s="7"/>
      <c r="F839" s="7"/>
      <c r="G839" s="7"/>
      <c r="H839" s="7"/>
      <c r="I839" s="7"/>
      <c r="J839" s="7"/>
      <c r="K839" s="7"/>
      <c r="L839" s="27"/>
      <c r="N839" s="8"/>
      <c r="O839" s="7"/>
      <c r="P839" s="7"/>
      <c r="Q839" s="7"/>
      <c r="R839" s="7"/>
    </row>
    <row r="840" spans="3:18">
      <c r="C840" s="7"/>
      <c r="D840" s="7"/>
      <c r="E840" s="7"/>
      <c r="F840" s="7"/>
      <c r="G840" s="7"/>
      <c r="H840" s="7"/>
      <c r="I840" s="7"/>
      <c r="J840" s="7"/>
      <c r="K840" s="7"/>
      <c r="L840" s="27"/>
      <c r="N840" s="8"/>
      <c r="O840" s="7"/>
      <c r="P840" s="7"/>
      <c r="Q840" s="7"/>
      <c r="R840" s="7"/>
    </row>
    <row r="841" spans="3:18">
      <c r="C841" s="7"/>
      <c r="D841" s="7"/>
      <c r="E841" s="7"/>
      <c r="F841" s="7"/>
      <c r="G841" s="7"/>
      <c r="H841" s="7"/>
      <c r="I841" s="7"/>
      <c r="J841" s="7"/>
      <c r="K841" s="7"/>
      <c r="L841" s="27"/>
      <c r="N841" s="8"/>
      <c r="O841" s="7"/>
      <c r="P841" s="7"/>
      <c r="Q841" s="7"/>
      <c r="R841" s="7"/>
    </row>
    <row r="842" spans="3:18">
      <c r="C842" s="7"/>
      <c r="D842" s="7"/>
      <c r="E842" s="7"/>
      <c r="F842" s="7"/>
      <c r="G842" s="7"/>
      <c r="H842" s="7"/>
      <c r="I842" s="7"/>
      <c r="J842" s="7"/>
      <c r="K842" s="7"/>
      <c r="L842" s="27"/>
      <c r="N842" s="8"/>
      <c r="O842" s="7"/>
      <c r="P842" s="7"/>
      <c r="Q842" s="7"/>
      <c r="R842" s="7"/>
    </row>
    <row r="843" spans="3:18">
      <c r="C843" s="7"/>
      <c r="D843" s="7"/>
      <c r="E843" s="7"/>
      <c r="F843" s="7"/>
      <c r="G843" s="7"/>
      <c r="H843" s="7"/>
      <c r="I843" s="7"/>
      <c r="J843" s="7"/>
      <c r="K843" s="7"/>
      <c r="L843" s="27"/>
      <c r="N843" s="8"/>
      <c r="O843" s="7"/>
      <c r="P843" s="7"/>
      <c r="Q843" s="7"/>
      <c r="R843" s="7"/>
    </row>
    <row r="844" spans="3:18">
      <c r="C844" s="7"/>
      <c r="D844" s="7"/>
      <c r="E844" s="7"/>
      <c r="F844" s="7"/>
      <c r="G844" s="7"/>
      <c r="H844" s="7"/>
      <c r="I844" s="7"/>
      <c r="J844" s="7"/>
      <c r="K844" s="7"/>
      <c r="L844" s="27"/>
      <c r="N844" s="8"/>
      <c r="O844" s="7"/>
      <c r="P844" s="7"/>
      <c r="Q844" s="7"/>
      <c r="R844" s="7"/>
    </row>
    <row r="845" spans="3:18">
      <c r="C845" s="7"/>
      <c r="D845" s="7"/>
      <c r="E845" s="7"/>
      <c r="F845" s="7"/>
      <c r="G845" s="7"/>
      <c r="H845" s="7"/>
      <c r="I845" s="7"/>
      <c r="J845" s="7"/>
      <c r="K845" s="7"/>
      <c r="L845" s="27"/>
      <c r="N845" s="8"/>
      <c r="O845" s="7"/>
      <c r="P845" s="7"/>
      <c r="Q845" s="7"/>
      <c r="R845" s="7"/>
    </row>
    <row r="846" spans="3:18">
      <c r="C846" s="7"/>
      <c r="D846" s="7"/>
      <c r="E846" s="7"/>
      <c r="F846" s="7"/>
      <c r="G846" s="7"/>
      <c r="H846" s="7"/>
      <c r="I846" s="7"/>
      <c r="J846" s="7"/>
      <c r="K846" s="7"/>
      <c r="L846" s="27"/>
      <c r="N846" s="8"/>
      <c r="O846" s="7"/>
      <c r="P846" s="7"/>
      <c r="Q846" s="7"/>
      <c r="R846" s="7"/>
    </row>
    <row r="847" spans="3:18">
      <c r="C847" s="7"/>
      <c r="D847" s="7"/>
      <c r="E847" s="7"/>
      <c r="F847" s="7"/>
      <c r="G847" s="7"/>
      <c r="H847" s="7"/>
      <c r="I847" s="7"/>
      <c r="J847" s="7"/>
      <c r="K847" s="7"/>
      <c r="L847" s="27"/>
      <c r="N847" s="8"/>
      <c r="O847" s="7"/>
      <c r="P847" s="7"/>
      <c r="Q847" s="7"/>
      <c r="R847" s="7"/>
    </row>
    <row r="848" spans="3:18">
      <c r="C848" s="7"/>
      <c r="D848" s="7"/>
      <c r="E848" s="7"/>
      <c r="F848" s="7"/>
      <c r="G848" s="7"/>
      <c r="H848" s="7"/>
      <c r="I848" s="7"/>
      <c r="J848" s="7"/>
      <c r="K848" s="7"/>
      <c r="L848" s="27"/>
      <c r="N848" s="8"/>
      <c r="O848" s="7"/>
      <c r="P848" s="7"/>
      <c r="Q848" s="7"/>
      <c r="R848" s="7"/>
    </row>
    <row r="849" spans="3:18">
      <c r="C849" s="7"/>
      <c r="D849" s="7"/>
      <c r="E849" s="7"/>
      <c r="F849" s="7"/>
      <c r="G849" s="7"/>
      <c r="H849" s="7"/>
      <c r="I849" s="7"/>
      <c r="J849" s="7"/>
      <c r="K849" s="7"/>
      <c r="L849" s="27"/>
      <c r="N849" s="8"/>
      <c r="O849" s="7"/>
      <c r="P849" s="7"/>
      <c r="Q849" s="7"/>
      <c r="R849" s="7"/>
    </row>
    <row r="850" spans="3:18">
      <c r="C850" s="7"/>
      <c r="D850" s="7"/>
      <c r="E850" s="7"/>
      <c r="F850" s="7"/>
      <c r="G850" s="7"/>
      <c r="H850" s="7"/>
      <c r="I850" s="7"/>
      <c r="J850" s="7"/>
      <c r="K850" s="7"/>
      <c r="L850" s="27"/>
      <c r="N850" s="8"/>
      <c r="O850" s="7"/>
      <c r="P850" s="7"/>
      <c r="Q850" s="7"/>
      <c r="R850" s="7"/>
    </row>
    <row r="851" spans="3:18">
      <c r="C851" s="7"/>
      <c r="D851" s="7"/>
      <c r="E851" s="7"/>
      <c r="F851" s="7"/>
      <c r="G851" s="7"/>
      <c r="H851" s="7"/>
      <c r="I851" s="7"/>
      <c r="J851" s="7"/>
      <c r="K851" s="7"/>
      <c r="L851" s="27"/>
      <c r="N851" s="8"/>
      <c r="O851" s="7"/>
      <c r="P851" s="7"/>
      <c r="Q851" s="7"/>
      <c r="R851" s="7"/>
    </row>
    <row r="852" spans="3:18">
      <c r="C852" s="7"/>
      <c r="D852" s="7"/>
      <c r="E852" s="7"/>
      <c r="F852" s="7"/>
      <c r="G852" s="7"/>
      <c r="H852" s="7"/>
      <c r="I852" s="7"/>
      <c r="J852" s="7"/>
      <c r="K852" s="7"/>
      <c r="L852" s="27"/>
      <c r="N852" s="8"/>
      <c r="O852" s="7"/>
      <c r="P852" s="7"/>
      <c r="Q852" s="7"/>
      <c r="R852" s="7"/>
    </row>
    <row r="853" spans="3:18">
      <c r="C853" s="7"/>
      <c r="D853" s="7"/>
      <c r="E853" s="7"/>
      <c r="F853" s="7"/>
      <c r="G853" s="7"/>
      <c r="H853" s="7"/>
      <c r="I853" s="7"/>
      <c r="J853" s="7"/>
      <c r="K853" s="7"/>
      <c r="L853" s="27"/>
      <c r="N853" s="8"/>
      <c r="O853" s="7"/>
      <c r="P853" s="7"/>
      <c r="Q853" s="7"/>
      <c r="R853" s="7"/>
    </row>
    <row r="854" spans="3:18">
      <c r="C854" s="7"/>
      <c r="D854" s="7"/>
      <c r="E854" s="7"/>
      <c r="F854" s="7"/>
      <c r="G854" s="7"/>
      <c r="H854" s="7"/>
      <c r="I854" s="7"/>
      <c r="J854" s="7"/>
      <c r="K854" s="7"/>
      <c r="L854" s="27"/>
      <c r="N854" s="8"/>
      <c r="O854" s="7"/>
      <c r="P854" s="7"/>
      <c r="Q854" s="7"/>
      <c r="R854" s="7"/>
    </row>
    <row r="855" spans="3:18">
      <c r="C855" s="7"/>
      <c r="D855" s="7"/>
      <c r="E855" s="7"/>
      <c r="F855" s="7"/>
      <c r="G855" s="7"/>
      <c r="H855" s="7"/>
      <c r="I855" s="7"/>
      <c r="J855" s="7"/>
      <c r="K855" s="7"/>
      <c r="L855" s="27"/>
      <c r="N855" s="8"/>
      <c r="O855" s="7"/>
      <c r="P855" s="7"/>
      <c r="Q855" s="7"/>
      <c r="R855" s="7"/>
    </row>
    <row r="856" spans="3:18">
      <c r="C856" s="7"/>
      <c r="D856" s="7"/>
      <c r="E856" s="7"/>
      <c r="F856" s="7"/>
      <c r="G856" s="7"/>
      <c r="H856" s="7"/>
      <c r="I856" s="7"/>
      <c r="J856" s="7"/>
      <c r="K856" s="7"/>
      <c r="L856" s="27"/>
      <c r="N856" s="8"/>
      <c r="O856" s="7"/>
      <c r="P856" s="7"/>
      <c r="Q856" s="7"/>
      <c r="R856" s="7"/>
    </row>
    <row r="857" spans="3:18">
      <c r="C857" s="7"/>
      <c r="D857" s="7"/>
      <c r="E857" s="7"/>
      <c r="F857" s="7"/>
      <c r="G857" s="7"/>
      <c r="H857" s="7"/>
      <c r="I857" s="7"/>
      <c r="J857" s="7"/>
      <c r="K857" s="7"/>
      <c r="L857" s="27"/>
      <c r="N857" s="8"/>
      <c r="O857" s="7"/>
      <c r="P857" s="7"/>
      <c r="Q857" s="7"/>
      <c r="R857" s="7"/>
    </row>
    <row r="858" spans="3:18">
      <c r="C858" s="7"/>
      <c r="D858" s="7"/>
      <c r="E858" s="7"/>
      <c r="F858" s="7"/>
      <c r="G858" s="7"/>
      <c r="H858" s="7"/>
      <c r="I858" s="7"/>
      <c r="J858" s="7"/>
      <c r="K858" s="7"/>
      <c r="L858" s="27"/>
      <c r="N858" s="8"/>
      <c r="O858" s="7"/>
      <c r="P858" s="7"/>
      <c r="Q858" s="7"/>
      <c r="R858" s="7"/>
    </row>
    <row r="859" spans="3:18">
      <c r="C859" s="7"/>
      <c r="D859" s="7"/>
      <c r="E859" s="7"/>
      <c r="F859" s="7"/>
      <c r="G859" s="7"/>
      <c r="H859" s="7"/>
      <c r="I859" s="7"/>
      <c r="J859" s="7"/>
      <c r="K859" s="7"/>
      <c r="L859" s="27"/>
      <c r="N859" s="8"/>
      <c r="O859" s="7"/>
      <c r="P859" s="7"/>
      <c r="Q859" s="7"/>
      <c r="R859" s="7"/>
    </row>
    <row r="860" spans="3:18">
      <c r="C860" s="7"/>
      <c r="D860" s="7"/>
      <c r="E860" s="7"/>
      <c r="F860" s="7"/>
      <c r="G860" s="7"/>
      <c r="H860" s="7"/>
      <c r="I860" s="7"/>
      <c r="J860" s="7"/>
      <c r="K860" s="7"/>
      <c r="L860" s="27"/>
      <c r="N860" s="8"/>
      <c r="O860" s="7"/>
      <c r="P860" s="7"/>
      <c r="Q860" s="7"/>
      <c r="R860" s="7"/>
    </row>
    <row r="861" spans="3:18">
      <c r="C861" s="7"/>
      <c r="D861" s="7"/>
      <c r="E861" s="7"/>
      <c r="F861" s="7"/>
      <c r="G861" s="7"/>
      <c r="H861" s="7"/>
      <c r="I861" s="7"/>
      <c r="J861" s="7"/>
      <c r="K861" s="7"/>
      <c r="L861" s="27"/>
      <c r="N861" s="8"/>
      <c r="O861" s="7"/>
      <c r="P861" s="7"/>
      <c r="Q861" s="7"/>
      <c r="R861" s="7"/>
    </row>
    <row r="862" spans="3:18">
      <c r="C862" s="7"/>
      <c r="D862" s="7"/>
      <c r="E862" s="7"/>
      <c r="F862" s="7"/>
      <c r="G862" s="7"/>
      <c r="H862" s="7"/>
      <c r="I862" s="7"/>
      <c r="J862" s="7"/>
      <c r="K862" s="7"/>
      <c r="L862" s="27"/>
      <c r="N862" s="8"/>
      <c r="O862" s="7"/>
      <c r="P862" s="7"/>
      <c r="Q862" s="7"/>
      <c r="R862" s="7"/>
    </row>
    <row r="863" spans="3:18">
      <c r="C863" s="7"/>
      <c r="D863" s="7"/>
      <c r="E863" s="7"/>
      <c r="F863" s="7"/>
      <c r="G863" s="7"/>
      <c r="H863" s="7"/>
      <c r="I863" s="7"/>
      <c r="J863" s="7"/>
      <c r="K863" s="7"/>
      <c r="L863" s="27"/>
      <c r="N863" s="8"/>
      <c r="O863" s="7"/>
      <c r="P863" s="7"/>
      <c r="Q863" s="7"/>
      <c r="R863" s="7"/>
    </row>
    <row r="864" spans="3:18">
      <c r="C864" s="7"/>
      <c r="D864" s="7"/>
      <c r="E864" s="7"/>
      <c r="F864" s="7"/>
      <c r="G864" s="7"/>
      <c r="H864" s="7"/>
      <c r="I864" s="7"/>
      <c r="J864" s="7"/>
      <c r="K864" s="7"/>
      <c r="L864" s="27"/>
      <c r="N864" s="8"/>
      <c r="O864" s="7"/>
      <c r="P864" s="7"/>
      <c r="Q864" s="7"/>
      <c r="R864" s="7"/>
    </row>
    <row r="865" spans="3:18">
      <c r="C865" s="7"/>
      <c r="D865" s="7"/>
      <c r="E865" s="7"/>
      <c r="F865" s="7"/>
      <c r="G865" s="7"/>
      <c r="H865" s="7"/>
      <c r="I865" s="7"/>
      <c r="J865" s="7"/>
      <c r="K865" s="7"/>
      <c r="L865" s="27"/>
      <c r="N865" s="8"/>
      <c r="O865" s="7"/>
      <c r="P865" s="7"/>
      <c r="Q865" s="7"/>
      <c r="R865" s="7"/>
    </row>
    <row r="866" spans="3:18">
      <c r="C866" s="7"/>
      <c r="D866" s="7"/>
      <c r="E866" s="7"/>
      <c r="F866" s="7"/>
      <c r="G866" s="7"/>
      <c r="H866" s="7"/>
      <c r="I866" s="7"/>
      <c r="J866" s="7"/>
      <c r="K866" s="7"/>
      <c r="L866" s="27"/>
      <c r="N866" s="8"/>
      <c r="O866" s="7"/>
      <c r="P866" s="7"/>
      <c r="Q866" s="7"/>
      <c r="R866" s="7"/>
    </row>
    <row r="867" spans="3:18">
      <c r="C867" s="7"/>
      <c r="D867" s="7"/>
      <c r="E867" s="7"/>
      <c r="F867" s="7"/>
      <c r="G867" s="7"/>
      <c r="H867" s="7"/>
      <c r="I867" s="7"/>
      <c r="J867" s="7"/>
      <c r="K867" s="7"/>
      <c r="L867" s="27"/>
      <c r="N867" s="8"/>
      <c r="O867" s="7"/>
      <c r="P867" s="7"/>
      <c r="Q867" s="7"/>
      <c r="R867" s="7"/>
    </row>
    <row r="868" spans="3:18">
      <c r="C868" s="7"/>
      <c r="D868" s="7"/>
      <c r="E868" s="7"/>
      <c r="F868" s="7"/>
      <c r="G868" s="7"/>
      <c r="H868" s="7"/>
      <c r="I868" s="7"/>
      <c r="J868" s="7"/>
      <c r="K868" s="7"/>
      <c r="L868" s="27"/>
      <c r="N868" s="8"/>
      <c r="O868" s="7"/>
      <c r="P868" s="7"/>
      <c r="Q868" s="7"/>
      <c r="R868" s="7"/>
    </row>
    <row r="869" spans="3:18">
      <c r="C869" s="7"/>
      <c r="D869" s="7"/>
      <c r="E869" s="7"/>
      <c r="F869" s="7"/>
      <c r="G869" s="7"/>
      <c r="H869" s="7"/>
      <c r="I869" s="7"/>
      <c r="J869" s="7"/>
      <c r="K869" s="7"/>
      <c r="L869" s="27"/>
      <c r="N869" s="8"/>
      <c r="O869" s="7"/>
      <c r="P869" s="7"/>
      <c r="Q869" s="7"/>
      <c r="R869" s="7"/>
    </row>
    <row r="870" spans="3:18">
      <c r="C870" s="7"/>
      <c r="D870" s="7"/>
      <c r="E870" s="7"/>
      <c r="F870" s="7"/>
      <c r="G870" s="7"/>
      <c r="H870" s="7"/>
      <c r="I870" s="7"/>
      <c r="J870" s="7"/>
      <c r="K870" s="7"/>
      <c r="L870" s="27"/>
      <c r="N870" s="8"/>
      <c r="O870" s="7"/>
      <c r="P870" s="7"/>
      <c r="Q870" s="7"/>
      <c r="R870" s="7"/>
    </row>
    <row r="871" spans="3:18">
      <c r="C871" s="7"/>
      <c r="D871" s="7"/>
      <c r="E871" s="7"/>
      <c r="F871" s="7"/>
      <c r="G871" s="7"/>
      <c r="H871" s="7"/>
      <c r="I871" s="7"/>
      <c r="J871" s="7"/>
      <c r="K871" s="7"/>
      <c r="L871" s="27"/>
      <c r="N871" s="8"/>
      <c r="O871" s="7"/>
      <c r="P871" s="7"/>
      <c r="Q871" s="7"/>
      <c r="R871" s="7"/>
    </row>
    <row r="872" spans="3:18">
      <c r="C872" s="7"/>
      <c r="D872" s="7"/>
      <c r="E872" s="7"/>
      <c r="F872" s="7"/>
      <c r="G872" s="7"/>
      <c r="H872" s="7"/>
      <c r="I872" s="7"/>
      <c r="J872" s="7"/>
      <c r="K872" s="7"/>
      <c r="L872" s="27"/>
      <c r="N872" s="8"/>
      <c r="O872" s="7"/>
      <c r="P872" s="7"/>
      <c r="Q872" s="7"/>
      <c r="R872" s="7"/>
    </row>
    <row r="873" spans="3:18">
      <c r="C873" s="7"/>
      <c r="D873" s="7"/>
      <c r="E873" s="7"/>
      <c r="F873" s="7"/>
      <c r="G873" s="7"/>
      <c r="H873" s="7"/>
      <c r="I873" s="7"/>
      <c r="J873" s="7"/>
      <c r="K873" s="7"/>
      <c r="L873" s="27"/>
      <c r="N873" s="8"/>
      <c r="O873" s="7"/>
      <c r="P873" s="7"/>
      <c r="Q873" s="7"/>
      <c r="R873" s="7"/>
    </row>
    <row r="874" spans="3:18">
      <c r="C874" s="7"/>
      <c r="D874" s="7"/>
      <c r="E874" s="7"/>
      <c r="F874" s="7"/>
      <c r="G874" s="7"/>
      <c r="H874" s="7"/>
      <c r="I874" s="7"/>
      <c r="J874" s="7"/>
      <c r="K874" s="7"/>
      <c r="L874" s="27"/>
      <c r="N874" s="8"/>
      <c r="O874" s="7"/>
      <c r="P874" s="7"/>
      <c r="Q874" s="7"/>
      <c r="R874" s="7"/>
    </row>
    <row r="875" spans="3:18">
      <c r="C875" s="7"/>
      <c r="D875" s="7"/>
      <c r="E875" s="7"/>
      <c r="F875" s="7"/>
      <c r="G875" s="7"/>
      <c r="H875" s="7"/>
      <c r="I875" s="7"/>
      <c r="J875" s="7"/>
      <c r="K875" s="7"/>
      <c r="L875" s="27"/>
      <c r="N875" s="8"/>
      <c r="O875" s="7"/>
      <c r="P875" s="7"/>
      <c r="Q875" s="7"/>
      <c r="R875" s="7"/>
    </row>
    <row r="876" spans="3:18">
      <c r="C876" s="7"/>
      <c r="D876" s="7"/>
      <c r="E876" s="7"/>
      <c r="F876" s="7"/>
      <c r="G876" s="7"/>
      <c r="H876" s="7"/>
      <c r="I876" s="7"/>
      <c r="J876" s="7"/>
      <c r="K876" s="7"/>
      <c r="L876" s="27"/>
      <c r="N876" s="8"/>
      <c r="O876" s="7"/>
      <c r="P876" s="7"/>
      <c r="Q876" s="7"/>
      <c r="R876" s="7"/>
    </row>
    <row r="877" spans="3:18">
      <c r="C877" s="7"/>
      <c r="D877" s="7"/>
      <c r="E877" s="7"/>
      <c r="F877" s="7"/>
      <c r="G877" s="7"/>
      <c r="H877" s="7"/>
      <c r="I877" s="7"/>
      <c r="J877" s="7"/>
      <c r="K877" s="7"/>
      <c r="L877" s="27"/>
      <c r="N877" s="8"/>
      <c r="O877" s="7"/>
      <c r="P877" s="7"/>
      <c r="Q877" s="7"/>
      <c r="R877" s="7"/>
    </row>
    <row r="878" spans="3:18">
      <c r="C878" s="7"/>
      <c r="D878" s="7"/>
      <c r="E878" s="7"/>
      <c r="F878" s="7"/>
      <c r="G878" s="7"/>
      <c r="H878" s="7"/>
      <c r="I878" s="7"/>
      <c r="J878" s="7"/>
      <c r="K878" s="7"/>
      <c r="L878" s="27"/>
      <c r="N878" s="8"/>
      <c r="O878" s="7"/>
      <c r="P878" s="7"/>
      <c r="Q878" s="7"/>
      <c r="R878" s="7"/>
    </row>
    <row r="879" spans="3:18">
      <c r="C879" s="7"/>
      <c r="D879" s="7"/>
      <c r="E879" s="7"/>
      <c r="F879" s="7"/>
      <c r="G879" s="7"/>
      <c r="H879" s="7"/>
      <c r="I879" s="7"/>
      <c r="J879" s="7"/>
      <c r="K879" s="7"/>
      <c r="L879" s="27"/>
      <c r="N879" s="8"/>
      <c r="O879" s="7"/>
      <c r="P879" s="7"/>
      <c r="Q879" s="7"/>
      <c r="R879" s="7"/>
    </row>
    <row r="880" spans="3:18">
      <c r="C880" s="7"/>
      <c r="D880" s="7"/>
      <c r="E880" s="7"/>
      <c r="F880" s="7"/>
      <c r="G880" s="7"/>
      <c r="H880" s="7"/>
      <c r="I880" s="7"/>
      <c r="J880" s="7"/>
      <c r="K880" s="7"/>
      <c r="L880" s="27"/>
      <c r="N880" s="8"/>
      <c r="O880" s="7"/>
      <c r="P880" s="7"/>
      <c r="Q880" s="7"/>
      <c r="R880" s="7"/>
    </row>
    <row r="881" spans="3:18">
      <c r="C881" s="7"/>
      <c r="D881" s="7"/>
      <c r="E881" s="7"/>
      <c r="F881" s="7"/>
      <c r="G881" s="7"/>
      <c r="H881" s="7"/>
      <c r="I881" s="7"/>
      <c r="J881" s="7"/>
      <c r="K881" s="7"/>
      <c r="L881" s="27"/>
      <c r="N881" s="8"/>
      <c r="O881" s="7"/>
      <c r="P881" s="7"/>
      <c r="Q881" s="7"/>
      <c r="R881" s="7"/>
    </row>
    <row r="882" spans="3:18">
      <c r="C882" s="7"/>
      <c r="D882" s="7"/>
      <c r="E882" s="7"/>
      <c r="F882" s="7"/>
      <c r="G882" s="7"/>
      <c r="H882" s="7"/>
      <c r="I882" s="7"/>
      <c r="J882" s="7"/>
      <c r="K882" s="7"/>
      <c r="L882" s="27"/>
      <c r="N882" s="8"/>
      <c r="O882" s="7"/>
      <c r="P882" s="7"/>
      <c r="Q882" s="7"/>
      <c r="R882" s="7"/>
    </row>
    <row r="883" spans="3:18">
      <c r="C883" s="7"/>
      <c r="D883" s="7"/>
      <c r="E883" s="7"/>
      <c r="F883" s="7"/>
      <c r="G883" s="7"/>
      <c r="H883" s="7"/>
      <c r="I883" s="7"/>
      <c r="J883" s="7"/>
      <c r="K883" s="7"/>
      <c r="L883" s="27"/>
      <c r="N883" s="8"/>
      <c r="O883" s="7"/>
      <c r="P883" s="7"/>
      <c r="Q883" s="7"/>
      <c r="R883" s="7"/>
    </row>
    <row r="884" spans="3:18">
      <c r="C884" s="7"/>
      <c r="D884" s="7"/>
      <c r="E884" s="7"/>
      <c r="F884" s="7"/>
      <c r="G884" s="7"/>
      <c r="H884" s="7"/>
      <c r="I884" s="7"/>
      <c r="J884" s="7"/>
      <c r="K884" s="7"/>
      <c r="L884" s="27"/>
      <c r="N884" s="8"/>
      <c r="O884" s="7"/>
      <c r="P884" s="7"/>
      <c r="Q884" s="7"/>
      <c r="R884" s="7"/>
    </row>
    <row r="885" spans="3:18">
      <c r="C885" s="7"/>
      <c r="D885" s="7"/>
      <c r="E885" s="7"/>
      <c r="F885" s="7"/>
      <c r="G885" s="7"/>
      <c r="H885" s="7"/>
      <c r="I885" s="7"/>
      <c r="J885" s="7"/>
      <c r="K885" s="7"/>
      <c r="L885" s="27"/>
      <c r="N885" s="8"/>
      <c r="O885" s="7"/>
      <c r="P885" s="7"/>
      <c r="Q885" s="7"/>
      <c r="R885" s="7"/>
    </row>
    <row r="886" spans="3:18">
      <c r="C886" s="7"/>
      <c r="D886" s="7"/>
      <c r="E886" s="7"/>
      <c r="F886" s="7"/>
      <c r="G886" s="7"/>
      <c r="H886" s="7"/>
      <c r="I886" s="7"/>
      <c r="J886" s="7"/>
      <c r="K886" s="7"/>
      <c r="L886" s="27"/>
      <c r="N886" s="8"/>
      <c r="O886" s="7"/>
      <c r="P886" s="7"/>
      <c r="Q886" s="7"/>
      <c r="R886" s="7"/>
    </row>
    <row r="887" spans="3:18">
      <c r="C887" s="7"/>
      <c r="D887" s="7"/>
      <c r="E887" s="7"/>
      <c r="F887" s="7"/>
      <c r="G887" s="7"/>
      <c r="H887" s="7"/>
      <c r="I887" s="7"/>
      <c r="J887" s="7"/>
      <c r="K887" s="7"/>
      <c r="L887" s="27"/>
      <c r="N887" s="8"/>
      <c r="O887" s="7"/>
      <c r="P887" s="7"/>
      <c r="Q887" s="7"/>
      <c r="R887" s="7"/>
    </row>
    <row r="888" spans="3:18">
      <c r="C888" s="7"/>
      <c r="D888" s="7"/>
      <c r="E888" s="7"/>
      <c r="F888" s="7"/>
      <c r="G888" s="7"/>
      <c r="H888" s="7"/>
      <c r="I888" s="7"/>
      <c r="J888" s="7"/>
      <c r="K888" s="7"/>
      <c r="L888" s="27"/>
      <c r="N888" s="8"/>
      <c r="O888" s="7"/>
      <c r="P888" s="7"/>
      <c r="Q888" s="7"/>
      <c r="R888" s="7"/>
    </row>
    <row r="889" spans="3:18">
      <c r="C889" s="7"/>
      <c r="D889" s="7"/>
      <c r="E889" s="7"/>
      <c r="F889" s="7"/>
      <c r="G889" s="7"/>
      <c r="H889" s="7"/>
      <c r="I889" s="7"/>
      <c r="J889" s="7"/>
      <c r="K889" s="7"/>
      <c r="L889" s="27"/>
      <c r="N889" s="8"/>
      <c r="O889" s="7"/>
      <c r="P889" s="7"/>
      <c r="Q889" s="7"/>
      <c r="R889" s="7"/>
    </row>
    <row r="890" spans="3:18">
      <c r="C890" s="7"/>
      <c r="D890" s="7"/>
      <c r="E890" s="7"/>
      <c r="F890" s="7"/>
      <c r="G890" s="7"/>
      <c r="H890" s="7"/>
      <c r="I890" s="7"/>
      <c r="J890" s="7"/>
      <c r="K890" s="7"/>
      <c r="L890" s="27"/>
      <c r="N890" s="8"/>
      <c r="O890" s="7"/>
      <c r="P890" s="7"/>
      <c r="Q890" s="7"/>
      <c r="R890" s="7"/>
    </row>
    <row r="891" spans="3:18">
      <c r="C891" s="7"/>
      <c r="D891" s="7"/>
      <c r="E891" s="7"/>
      <c r="F891" s="7"/>
      <c r="G891" s="7"/>
      <c r="H891" s="7"/>
      <c r="I891" s="7"/>
      <c r="J891" s="7"/>
      <c r="K891" s="7"/>
      <c r="L891" s="27"/>
      <c r="N891" s="8"/>
      <c r="O891" s="7"/>
      <c r="P891" s="7"/>
      <c r="Q891" s="7"/>
      <c r="R891" s="7"/>
    </row>
    <row r="892" spans="3:18">
      <c r="C892" s="7"/>
      <c r="D892" s="7"/>
      <c r="E892" s="7"/>
      <c r="F892" s="7"/>
      <c r="G892" s="7"/>
      <c r="H892" s="7"/>
      <c r="I892" s="7"/>
      <c r="J892" s="7"/>
      <c r="K892" s="7"/>
      <c r="L892" s="27"/>
      <c r="N892" s="8"/>
      <c r="O892" s="7"/>
      <c r="P892" s="7"/>
      <c r="Q892" s="7"/>
      <c r="R892" s="7"/>
    </row>
    <row r="893" spans="3:18">
      <c r="C893" s="7"/>
      <c r="D893" s="7"/>
      <c r="E893" s="7"/>
      <c r="F893" s="7"/>
      <c r="G893" s="7"/>
      <c r="H893" s="7"/>
      <c r="I893" s="7"/>
      <c r="J893" s="7"/>
      <c r="K893" s="7"/>
      <c r="L893" s="27"/>
      <c r="N893" s="8"/>
      <c r="O893" s="7"/>
      <c r="P893" s="7"/>
      <c r="Q893" s="7"/>
      <c r="R893" s="7"/>
    </row>
    <row r="894" spans="3:18">
      <c r="C894" s="7"/>
      <c r="D894" s="7"/>
      <c r="E894" s="7"/>
      <c r="F894" s="7"/>
      <c r="G894" s="7"/>
      <c r="H894" s="7"/>
      <c r="I894" s="7"/>
      <c r="J894" s="7"/>
      <c r="K894" s="7"/>
      <c r="L894" s="27"/>
      <c r="N894" s="8"/>
      <c r="O894" s="7"/>
      <c r="P894" s="7"/>
      <c r="Q894" s="7"/>
      <c r="R894" s="7"/>
    </row>
    <row r="895" spans="3:18">
      <c r="C895" s="7"/>
      <c r="D895" s="7"/>
      <c r="E895" s="7"/>
      <c r="F895" s="7"/>
      <c r="G895" s="7"/>
      <c r="H895" s="7"/>
      <c r="I895" s="7"/>
      <c r="J895" s="7"/>
      <c r="K895" s="7"/>
      <c r="L895" s="27"/>
      <c r="N895" s="8"/>
      <c r="O895" s="7"/>
      <c r="P895" s="7"/>
      <c r="Q895" s="7"/>
      <c r="R895" s="7"/>
    </row>
    <row r="896" spans="3:18">
      <c r="C896" s="7"/>
      <c r="D896" s="7"/>
      <c r="E896" s="7"/>
      <c r="F896" s="7"/>
      <c r="G896" s="7"/>
      <c r="H896" s="7"/>
      <c r="I896" s="7"/>
      <c r="J896" s="7"/>
      <c r="K896" s="7"/>
      <c r="L896" s="27"/>
      <c r="N896" s="8"/>
      <c r="O896" s="7"/>
      <c r="P896" s="7"/>
      <c r="Q896" s="7"/>
      <c r="R896" s="7"/>
    </row>
    <row r="897" spans="3:18">
      <c r="C897" s="7"/>
      <c r="D897" s="7"/>
      <c r="E897" s="7"/>
      <c r="F897" s="7"/>
      <c r="G897" s="7"/>
      <c r="H897" s="7"/>
      <c r="I897" s="7"/>
      <c r="J897" s="7"/>
      <c r="K897" s="7"/>
      <c r="L897" s="27"/>
      <c r="N897" s="8"/>
      <c r="O897" s="7"/>
      <c r="P897" s="7"/>
      <c r="Q897" s="7"/>
      <c r="R897" s="7"/>
    </row>
    <row r="898" spans="3:18">
      <c r="C898" s="7"/>
      <c r="D898" s="7"/>
      <c r="E898" s="7"/>
      <c r="F898" s="7"/>
      <c r="G898" s="7"/>
      <c r="H898" s="7"/>
      <c r="I898" s="7"/>
      <c r="J898" s="7"/>
      <c r="K898" s="7"/>
      <c r="L898" s="27"/>
      <c r="N898" s="8"/>
      <c r="O898" s="7"/>
      <c r="P898" s="7"/>
      <c r="Q898" s="7"/>
      <c r="R898" s="7"/>
    </row>
    <row r="899" spans="3:18">
      <c r="C899" s="7"/>
      <c r="D899" s="7"/>
      <c r="E899" s="7"/>
      <c r="F899" s="7"/>
      <c r="G899" s="7"/>
      <c r="H899" s="7"/>
      <c r="I899" s="7"/>
      <c r="J899" s="7"/>
      <c r="K899" s="7"/>
      <c r="L899" s="27"/>
      <c r="N899" s="8"/>
      <c r="O899" s="7"/>
      <c r="P899" s="7"/>
      <c r="Q899" s="7"/>
      <c r="R899" s="7"/>
    </row>
    <row r="900" spans="3:18">
      <c r="C900" s="7"/>
      <c r="D900" s="7"/>
      <c r="E900" s="7"/>
      <c r="F900" s="7"/>
      <c r="G900" s="7"/>
      <c r="H900" s="7"/>
      <c r="I900" s="7"/>
      <c r="J900" s="7"/>
      <c r="K900" s="7"/>
      <c r="L900" s="27"/>
      <c r="N900" s="8"/>
      <c r="O900" s="7"/>
      <c r="P900" s="7"/>
      <c r="Q900" s="7"/>
      <c r="R900" s="7"/>
    </row>
    <row r="901" spans="3:18">
      <c r="C901" s="7"/>
      <c r="D901" s="7"/>
      <c r="E901" s="7"/>
      <c r="F901" s="7"/>
      <c r="G901" s="7"/>
      <c r="H901" s="7"/>
      <c r="I901" s="7"/>
      <c r="J901" s="7"/>
      <c r="K901" s="7"/>
      <c r="L901" s="27"/>
      <c r="N901" s="8"/>
      <c r="O901" s="7"/>
      <c r="P901" s="7"/>
      <c r="Q901" s="7"/>
      <c r="R901" s="7"/>
    </row>
    <row r="902" spans="3:18">
      <c r="C902" s="7"/>
      <c r="D902" s="7"/>
      <c r="E902" s="7"/>
      <c r="F902" s="7"/>
      <c r="G902" s="7"/>
      <c r="H902" s="7"/>
      <c r="I902" s="7"/>
      <c r="J902" s="7"/>
      <c r="K902" s="7"/>
      <c r="L902" s="27"/>
      <c r="N902" s="8"/>
      <c r="O902" s="7"/>
      <c r="P902" s="7"/>
      <c r="Q902" s="7"/>
      <c r="R902" s="7"/>
    </row>
    <row r="903" spans="3:18">
      <c r="C903" s="7"/>
      <c r="D903" s="7"/>
      <c r="E903" s="7"/>
      <c r="F903" s="7"/>
      <c r="G903" s="7"/>
      <c r="H903" s="7"/>
      <c r="I903" s="7"/>
      <c r="J903" s="7"/>
      <c r="K903" s="7"/>
      <c r="L903" s="27"/>
      <c r="N903" s="8"/>
      <c r="O903" s="7"/>
      <c r="P903" s="7"/>
      <c r="Q903" s="7"/>
      <c r="R903" s="7"/>
    </row>
    <row r="904" spans="3:18">
      <c r="C904" s="7"/>
      <c r="D904" s="7"/>
      <c r="E904" s="7"/>
      <c r="F904" s="7"/>
      <c r="G904" s="7"/>
      <c r="H904" s="7"/>
      <c r="I904" s="7"/>
      <c r="J904" s="7"/>
      <c r="K904" s="7"/>
      <c r="L904" s="27"/>
      <c r="N904" s="8"/>
      <c r="O904" s="7"/>
      <c r="P904" s="7"/>
      <c r="Q904" s="7"/>
      <c r="R904" s="7"/>
    </row>
    <row r="905" spans="3:18">
      <c r="C905" s="7"/>
      <c r="D905" s="7"/>
      <c r="E905" s="7"/>
      <c r="F905" s="7"/>
      <c r="G905" s="7"/>
      <c r="H905" s="7"/>
      <c r="I905" s="7"/>
      <c r="J905" s="7"/>
      <c r="K905" s="7"/>
      <c r="L905" s="27"/>
      <c r="N905" s="8"/>
      <c r="O905" s="7"/>
      <c r="P905" s="7"/>
      <c r="Q905" s="7"/>
      <c r="R905" s="7"/>
    </row>
    <row r="906" spans="3:18">
      <c r="C906" s="7"/>
      <c r="D906" s="7"/>
      <c r="E906" s="7"/>
      <c r="F906" s="7"/>
      <c r="G906" s="7"/>
      <c r="H906" s="7"/>
      <c r="I906" s="7"/>
      <c r="J906" s="7"/>
      <c r="K906" s="7"/>
      <c r="L906" s="27"/>
      <c r="N906" s="8"/>
      <c r="O906" s="7"/>
      <c r="P906" s="7"/>
      <c r="Q906" s="7"/>
      <c r="R906" s="7"/>
    </row>
    <row r="907" spans="3:18">
      <c r="C907" s="7"/>
      <c r="D907" s="7"/>
      <c r="E907" s="7"/>
      <c r="F907" s="7"/>
      <c r="G907" s="7"/>
      <c r="H907" s="7"/>
      <c r="I907" s="7"/>
      <c r="J907" s="7"/>
      <c r="K907" s="7"/>
      <c r="L907" s="27"/>
      <c r="N907" s="8"/>
      <c r="O907" s="7"/>
      <c r="P907" s="7"/>
      <c r="Q907" s="7"/>
      <c r="R907" s="7"/>
    </row>
    <row r="908" spans="3:18">
      <c r="C908" s="7"/>
      <c r="D908" s="7"/>
      <c r="E908" s="7"/>
      <c r="F908" s="7"/>
      <c r="G908" s="7"/>
      <c r="H908" s="7"/>
      <c r="I908" s="7"/>
      <c r="J908" s="7"/>
      <c r="K908" s="7"/>
      <c r="L908" s="27"/>
      <c r="N908" s="8"/>
      <c r="O908" s="7"/>
      <c r="P908" s="7"/>
      <c r="Q908" s="7"/>
      <c r="R908" s="7"/>
    </row>
    <row r="909" spans="3:18">
      <c r="C909" s="7"/>
      <c r="D909" s="7"/>
      <c r="E909" s="7"/>
      <c r="F909" s="7"/>
      <c r="G909" s="7"/>
      <c r="H909" s="7"/>
      <c r="I909" s="7"/>
      <c r="J909" s="7"/>
      <c r="K909" s="7"/>
      <c r="L909" s="27"/>
      <c r="N909" s="8"/>
      <c r="O909" s="7"/>
      <c r="P909" s="7"/>
      <c r="Q909" s="7"/>
      <c r="R909" s="7"/>
    </row>
    <row r="910" spans="3:18">
      <c r="C910" s="7"/>
      <c r="D910" s="7"/>
      <c r="E910" s="7"/>
      <c r="F910" s="7"/>
      <c r="G910" s="7"/>
      <c r="H910" s="7"/>
      <c r="I910" s="7"/>
      <c r="J910" s="7"/>
      <c r="K910" s="7"/>
      <c r="L910" s="27"/>
      <c r="N910" s="8"/>
      <c r="O910" s="7"/>
      <c r="P910" s="7"/>
      <c r="Q910" s="7"/>
      <c r="R910" s="7"/>
    </row>
    <row r="911" spans="3:18">
      <c r="C911" s="7"/>
      <c r="D911" s="7"/>
      <c r="E911" s="7"/>
      <c r="F911" s="7"/>
      <c r="G911" s="7"/>
      <c r="H911" s="7"/>
      <c r="I911" s="7"/>
      <c r="J911" s="7"/>
      <c r="K911" s="7"/>
      <c r="L911" s="27"/>
      <c r="N911" s="8"/>
      <c r="O911" s="7"/>
      <c r="P911" s="7"/>
      <c r="Q911" s="7"/>
      <c r="R911" s="7"/>
    </row>
    <row r="912" spans="3:18">
      <c r="C912" s="7"/>
      <c r="D912" s="7"/>
      <c r="E912" s="7"/>
      <c r="F912" s="7"/>
      <c r="G912" s="7"/>
      <c r="H912" s="7"/>
      <c r="I912" s="7"/>
      <c r="J912" s="7"/>
      <c r="K912" s="7"/>
      <c r="L912" s="27"/>
      <c r="N912" s="8"/>
      <c r="O912" s="7"/>
      <c r="P912" s="7"/>
      <c r="Q912" s="7"/>
      <c r="R912" s="7"/>
    </row>
    <row r="913" spans="3:18">
      <c r="C913" s="7"/>
      <c r="D913" s="7"/>
      <c r="E913" s="7"/>
      <c r="F913" s="7"/>
      <c r="G913" s="7"/>
      <c r="H913" s="7"/>
      <c r="I913" s="7"/>
      <c r="J913" s="7"/>
      <c r="K913" s="7"/>
      <c r="L913" s="27"/>
      <c r="N913" s="8"/>
      <c r="O913" s="7"/>
      <c r="P913" s="7"/>
      <c r="Q913" s="7"/>
      <c r="R913" s="7"/>
    </row>
    <row r="914" spans="3:18">
      <c r="C914" s="7"/>
      <c r="D914" s="7"/>
      <c r="E914" s="7"/>
      <c r="F914" s="7"/>
      <c r="G914" s="7"/>
      <c r="H914" s="7"/>
      <c r="I914" s="7"/>
      <c r="J914" s="7"/>
      <c r="K914" s="7"/>
      <c r="L914" s="27"/>
      <c r="N914" s="8"/>
      <c r="O914" s="7"/>
      <c r="P914" s="7"/>
      <c r="Q914" s="7"/>
      <c r="R914" s="7"/>
    </row>
    <row r="915" spans="3:18">
      <c r="C915" s="7"/>
      <c r="D915" s="7"/>
      <c r="E915" s="7"/>
      <c r="F915" s="7"/>
      <c r="G915" s="7"/>
      <c r="H915" s="7"/>
      <c r="I915" s="7"/>
      <c r="J915" s="7"/>
      <c r="K915" s="7"/>
      <c r="L915" s="27"/>
      <c r="N915" s="8"/>
      <c r="O915" s="7"/>
      <c r="P915" s="7"/>
      <c r="Q915" s="7"/>
      <c r="R915" s="7"/>
    </row>
    <row r="916" spans="3:18">
      <c r="C916" s="7"/>
      <c r="D916" s="7"/>
      <c r="E916" s="7"/>
      <c r="F916" s="7"/>
      <c r="G916" s="7"/>
      <c r="H916" s="7"/>
      <c r="I916" s="7"/>
      <c r="J916" s="7"/>
      <c r="K916" s="7"/>
      <c r="L916" s="27"/>
      <c r="N916" s="8"/>
      <c r="O916" s="7"/>
      <c r="P916" s="7"/>
      <c r="Q916" s="7"/>
      <c r="R916" s="7"/>
    </row>
    <row r="917" spans="3:18">
      <c r="C917" s="7"/>
      <c r="D917" s="7"/>
      <c r="E917" s="7"/>
      <c r="F917" s="7"/>
      <c r="G917" s="7"/>
      <c r="H917" s="7"/>
      <c r="I917" s="7"/>
      <c r="J917" s="7"/>
      <c r="K917" s="7"/>
      <c r="L917" s="27"/>
      <c r="N917" s="8"/>
      <c r="O917" s="7"/>
      <c r="P917" s="7"/>
      <c r="Q917" s="7"/>
      <c r="R917" s="7"/>
    </row>
    <row r="918" spans="3:18">
      <c r="C918" s="7"/>
      <c r="D918" s="7"/>
      <c r="E918" s="7"/>
      <c r="F918" s="7"/>
      <c r="G918" s="7"/>
      <c r="H918" s="7"/>
      <c r="I918" s="7"/>
      <c r="J918" s="7"/>
      <c r="K918" s="7"/>
      <c r="L918" s="27"/>
      <c r="N918" s="8"/>
      <c r="O918" s="7"/>
      <c r="P918" s="7"/>
      <c r="Q918" s="7"/>
      <c r="R918" s="7"/>
    </row>
    <row r="919" spans="3:18">
      <c r="C919" s="7"/>
      <c r="D919" s="7"/>
      <c r="E919" s="7"/>
      <c r="F919" s="7"/>
      <c r="G919" s="7"/>
      <c r="H919" s="7"/>
      <c r="I919" s="7"/>
      <c r="J919" s="7"/>
      <c r="K919" s="7"/>
      <c r="L919" s="27"/>
      <c r="N919" s="8"/>
      <c r="O919" s="7"/>
      <c r="P919" s="7"/>
      <c r="Q919" s="7"/>
      <c r="R919" s="7"/>
    </row>
    <row r="920" spans="3:18">
      <c r="C920" s="7"/>
      <c r="D920" s="7"/>
      <c r="E920" s="7"/>
      <c r="F920" s="7"/>
      <c r="G920" s="7"/>
      <c r="H920" s="7"/>
      <c r="I920" s="7"/>
      <c r="J920" s="7"/>
      <c r="K920" s="7"/>
      <c r="L920" s="27"/>
      <c r="N920" s="8"/>
      <c r="O920" s="7"/>
      <c r="P920" s="7"/>
      <c r="Q920" s="7"/>
      <c r="R920" s="7"/>
    </row>
    <row r="921" spans="3:18">
      <c r="C921" s="7"/>
      <c r="D921" s="7"/>
      <c r="E921" s="7"/>
      <c r="F921" s="7"/>
      <c r="G921" s="7"/>
      <c r="H921" s="7"/>
      <c r="I921" s="7"/>
      <c r="J921" s="7"/>
      <c r="K921" s="7"/>
      <c r="L921" s="27"/>
      <c r="N921" s="8"/>
      <c r="O921" s="7"/>
      <c r="P921" s="7"/>
      <c r="Q921" s="7"/>
      <c r="R921" s="7"/>
    </row>
    <row r="922" spans="3:18">
      <c r="C922" s="7"/>
      <c r="D922" s="7"/>
      <c r="E922" s="7"/>
      <c r="F922" s="7"/>
      <c r="G922" s="7"/>
      <c r="H922" s="7"/>
      <c r="I922" s="7"/>
      <c r="J922" s="7"/>
      <c r="K922" s="7"/>
      <c r="L922" s="27"/>
      <c r="N922" s="8"/>
      <c r="O922" s="7"/>
      <c r="P922" s="7"/>
      <c r="Q922" s="7"/>
      <c r="R922" s="7"/>
    </row>
    <row r="923" spans="3:18">
      <c r="C923" s="7"/>
      <c r="D923" s="7"/>
      <c r="E923" s="7"/>
      <c r="F923" s="7"/>
      <c r="G923" s="7"/>
      <c r="H923" s="7"/>
      <c r="I923" s="7"/>
      <c r="J923" s="7"/>
      <c r="K923" s="7"/>
      <c r="L923" s="27"/>
      <c r="N923" s="8"/>
      <c r="O923" s="7"/>
      <c r="P923" s="7"/>
      <c r="Q923" s="7"/>
      <c r="R923" s="7"/>
    </row>
    <row r="924" spans="3:18">
      <c r="C924" s="7"/>
      <c r="D924" s="7"/>
      <c r="E924" s="7"/>
      <c r="F924" s="7"/>
      <c r="G924" s="7"/>
      <c r="H924" s="7"/>
      <c r="I924" s="7"/>
      <c r="J924" s="7"/>
      <c r="K924" s="7"/>
      <c r="L924" s="27"/>
      <c r="N924" s="8"/>
      <c r="O924" s="7"/>
      <c r="P924" s="7"/>
      <c r="Q924" s="7"/>
      <c r="R924" s="7"/>
    </row>
    <row r="925" spans="3:18">
      <c r="C925" s="7"/>
      <c r="D925" s="7"/>
      <c r="E925" s="7"/>
      <c r="F925" s="7"/>
      <c r="G925" s="7"/>
      <c r="H925" s="7"/>
      <c r="I925" s="7"/>
      <c r="J925" s="7"/>
      <c r="K925" s="7"/>
      <c r="L925" s="27"/>
      <c r="N925" s="8"/>
      <c r="O925" s="7"/>
      <c r="P925" s="7"/>
      <c r="Q925" s="7"/>
      <c r="R925" s="7"/>
    </row>
    <row r="926" spans="3:18">
      <c r="C926" s="7"/>
      <c r="D926" s="7"/>
      <c r="E926" s="7"/>
      <c r="F926" s="7"/>
      <c r="G926" s="7"/>
      <c r="H926" s="7"/>
      <c r="I926" s="7"/>
      <c r="J926" s="7"/>
      <c r="K926" s="7"/>
      <c r="L926" s="27"/>
      <c r="N926" s="8"/>
      <c r="O926" s="7"/>
      <c r="P926" s="7"/>
      <c r="Q926" s="7"/>
      <c r="R926" s="7"/>
    </row>
    <row r="927" spans="3:18">
      <c r="C927" s="7"/>
      <c r="D927" s="7"/>
      <c r="E927" s="7"/>
      <c r="F927" s="7"/>
      <c r="G927" s="7"/>
      <c r="H927" s="7"/>
      <c r="I927" s="7"/>
      <c r="J927" s="7"/>
      <c r="K927" s="7"/>
      <c r="L927" s="27"/>
      <c r="N927" s="8"/>
      <c r="O927" s="7"/>
      <c r="P927" s="7"/>
      <c r="Q927" s="7"/>
      <c r="R927" s="7"/>
    </row>
    <row r="928" spans="3:18">
      <c r="C928" s="7"/>
      <c r="D928" s="7"/>
      <c r="E928" s="7"/>
      <c r="F928" s="7"/>
      <c r="G928" s="7"/>
      <c r="H928" s="7"/>
      <c r="I928" s="7"/>
      <c r="J928" s="7"/>
      <c r="K928" s="7"/>
      <c r="L928" s="27"/>
      <c r="N928" s="8"/>
      <c r="O928" s="7"/>
      <c r="P928" s="7"/>
      <c r="Q928" s="7"/>
      <c r="R928" s="7"/>
    </row>
    <row r="929" spans="3:18">
      <c r="C929" s="7"/>
      <c r="D929" s="7"/>
      <c r="E929" s="7"/>
      <c r="F929" s="7"/>
      <c r="G929" s="7"/>
      <c r="H929" s="7"/>
      <c r="I929" s="7"/>
      <c r="J929" s="7"/>
      <c r="K929" s="7"/>
      <c r="L929" s="27"/>
      <c r="N929" s="8"/>
      <c r="O929" s="7"/>
      <c r="P929" s="7"/>
      <c r="Q929" s="7"/>
      <c r="R929" s="7"/>
    </row>
    <row r="930" spans="3:18">
      <c r="C930" s="7"/>
      <c r="D930" s="7"/>
      <c r="E930" s="7"/>
      <c r="F930" s="7"/>
      <c r="G930" s="7"/>
      <c r="H930" s="7"/>
      <c r="I930" s="7"/>
      <c r="J930" s="7"/>
      <c r="K930" s="7"/>
      <c r="L930" s="27"/>
      <c r="N930" s="8"/>
      <c r="O930" s="7"/>
      <c r="P930" s="7"/>
      <c r="Q930" s="7"/>
      <c r="R930" s="7"/>
    </row>
    <row r="931" spans="3:18">
      <c r="C931" s="7"/>
      <c r="D931" s="7"/>
      <c r="E931" s="7"/>
      <c r="F931" s="7"/>
      <c r="G931" s="7"/>
      <c r="H931" s="7"/>
      <c r="I931" s="7"/>
      <c r="J931" s="7"/>
      <c r="K931" s="7"/>
      <c r="L931" s="27"/>
      <c r="N931" s="8"/>
      <c r="O931" s="7"/>
      <c r="P931" s="7"/>
      <c r="Q931" s="7"/>
      <c r="R931" s="7"/>
    </row>
    <row r="932" spans="3:18">
      <c r="C932" s="7"/>
      <c r="D932" s="7"/>
      <c r="E932" s="7"/>
      <c r="F932" s="7"/>
      <c r="G932" s="7"/>
      <c r="H932" s="7"/>
      <c r="I932" s="7"/>
      <c r="J932" s="7"/>
      <c r="K932" s="7"/>
      <c r="L932" s="27"/>
      <c r="N932" s="8"/>
      <c r="O932" s="7"/>
      <c r="P932" s="7"/>
      <c r="Q932" s="7"/>
      <c r="R932" s="7"/>
    </row>
    <row r="933" spans="3:18">
      <c r="C933" s="7"/>
      <c r="D933" s="7"/>
      <c r="E933" s="7"/>
      <c r="F933" s="7"/>
      <c r="G933" s="7"/>
      <c r="H933" s="7"/>
      <c r="I933" s="7"/>
      <c r="J933" s="7"/>
      <c r="K933" s="7"/>
      <c r="L933" s="27"/>
      <c r="N933" s="8"/>
      <c r="O933" s="7"/>
      <c r="P933" s="7"/>
      <c r="Q933" s="7"/>
      <c r="R933" s="7"/>
    </row>
    <row r="934" spans="3:18">
      <c r="C934" s="7"/>
      <c r="D934" s="7"/>
      <c r="E934" s="7"/>
      <c r="F934" s="7"/>
      <c r="G934" s="7"/>
      <c r="H934" s="7"/>
      <c r="I934" s="7"/>
      <c r="J934" s="7"/>
      <c r="K934" s="7"/>
      <c r="L934" s="27"/>
      <c r="N934" s="8"/>
      <c r="O934" s="7"/>
      <c r="P934" s="7"/>
      <c r="Q934" s="7"/>
      <c r="R934" s="7"/>
    </row>
    <row r="935" spans="3:18">
      <c r="C935" s="7"/>
      <c r="D935" s="7"/>
      <c r="E935" s="7"/>
      <c r="F935" s="7"/>
      <c r="G935" s="7"/>
      <c r="H935" s="7"/>
      <c r="I935" s="7"/>
      <c r="J935" s="7"/>
      <c r="K935" s="7"/>
      <c r="L935" s="27"/>
      <c r="N935" s="8"/>
      <c r="O935" s="7"/>
      <c r="P935" s="7"/>
      <c r="Q935" s="7"/>
      <c r="R935" s="7"/>
    </row>
    <row r="936" spans="3:18">
      <c r="C936" s="7"/>
      <c r="D936" s="7"/>
      <c r="E936" s="7"/>
      <c r="F936" s="7"/>
      <c r="G936" s="7"/>
      <c r="H936" s="7"/>
      <c r="I936" s="7"/>
      <c r="J936" s="7"/>
      <c r="K936" s="7"/>
      <c r="L936" s="27"/>
      <c r="N936" s="8"/>
      <c r="O936" s="7"/>
      <c r="P936" s="7"/>
      <c r="Q936" s="7"/>
      <c r="R936" s="7"/>
    </row>
    <row r="937" spans="3:18">
      <c r="C937" s="7"/>
      <c r="D937" s="7"/>
      <c r="E937" s="7"/>
      <c r="F937" s="7"/>
      <c r="G937" s="7"/>
      <c r="H937" s="7"/>
      <c r="I937" s="7"/>
      <c r="J937" s="7"/>
      <c r="K937" s="7"/>
      <c r="L937" s="27"/>
      <c r="N937" s="8"/>
      <c r="O937" s="7"/>
      <c r="P937" s="7"/>
      <c r="Q937" s="7"/>
      <c r="R937" s="7"/>
    </row>
    <row r="938" spans="3:18">
      <c r="C938" s="7"/>
      <c r="D938" s="7"/>
      <c r="E938" s="7"/>
      <c r="F938" s="7"/>
      <c r="G938" s="7"/>
      <c r="H938" s="7"/>
      <c r="I938" s="7"/>
      <c r="J938" s="7"/>
      <c r="K938" s="7"/>
      <c r="L938" s="27"/>
      <c r="N938" s="8"/>
      <c r="O938" s="7"/>
      <c r="P938" s="7"/>
      <c r="Q938" s="7"/>
      <c r="R938" s="7"/>
    </row>
    <row r="939" spans="3:18">
      <c r="C939" s="7"/>
      <c r="D939" s="7"/>
      <c r="E939" s="7"/>
      <c r="F939" s="7"/>
      <c r="G939" s="7"/>
      <c r="H939" s="7"/>
      <c r="I939" s="7"/>
      <c r="J939" s="7"/>
      <c r="K939" s="7"/>
      <c r="L939" s="27"/>
      <c r="N939" s="8"/>
      <c r="O939" s="7"/>
      <c r="P939" s="7"/>
      <c r="Q939" s="7"/>
      <c r="R939" s="7"/>
    </row>
    <row r="940" spans="3:18">
      <c r="C940" s="7"/>
      <c r="D940" s="7"/>
      <c r="E940" s="7"/>
      <c r="F940" s="7"/>
      <c r="G940" s="7"/>
      <c r="H940" s="7"/>
      <c r="I940" s="7"/>
      <c r="J940" s="7"/>
      <c r="K940" s="7"/>
      <c r="L940" s="27"/>
      <c r="N940" s="8"/>
      <c r="O940" s="7"/>
      <c r="P940" s="7"/>
      <c r="Q940" s="7"/>
      <c r="R940" s="7"/>
    </row>
    <row r="941" spans="3:18">
      <c r="C941" s="7"/>
      <c r="D941" s="7"/>
      <c r="E941" s="7"/>
      <c r="F941" s="7"/>
      <c r="G941" s="7"/>
      <c r="H941" s="7"/>
      <c r="I941" s="7"/>
      <c r="J941" s="7"/>
      <c r="K941" s="7"/>
      <c r="L941" s="27"/>
      <c r="N941" s="8"/>
      <c r="O941" s="7"/>
      <c r="P941" s="7"/>
      <c r="Q941" s="7"/>
      <c r="R941" s="7"/>
    </row>
    <row r="942" spans="3:18">
      <c r="C942" s="7"/>
      <c r="D942" s="7"/>
      <c r="E942" s="7"/>
      <c r="F942" s="7"/>
      <c r="G942" s="7"/>
      <c r="H942" s="7"/>
      <c r="I942" s="7"/>
      <c r="J942" s="7"/>
      <c r="K942" s="7"/>
      <c r="L942" s="27"/>
      <c r="N942" s="8"/>
      <c r="O942" s="7"/>
      <c r="P942" s="7"/>
      <c r="Q942" s="7"/>
      <c r="R942" s="7"/>
    </row>
    <row r="943" spans="3:18">
      <c r="C943" s="7"/>
      <c r="D943" s="7"/>
      <c r="E943" s="7"/>
      <c r="F943" s="7"/>
      <c r="G943" s="7"/>
      <c r="H943" s="7"/>
      <c r="I943" s="7"/>
      <c r="J943" s="7"/>
      <c r="K943" s="7"/>
      <c r="L943" s="27"/>
      <c r="N943" s="8"/>
      <c r="O943" s="7"/>
      <c r="P943" s="7"/>
      <c r="Q943" s="7"/>
      <c r="R943" s="7"/>
    </row>
    <row r="944" spans="3:18">
      <c r="C944" s="7"/>
      <c r="D944" s="7"/>
      <c r="E944" s="7"/>
      <c r="F944" s="7"/>
      <c r="G944" s="7"/>
      <c r="H944" s="7"/>
      <c r="I944" s="7"/>
      <c r="J944" s="7"/>
      <c r="K944" s="7"/>
      <c r="L944" s="27"/>
      <c r="N944" s="8"/>
      <c r="O944" s="7"/>
      <c r="P944" s="7"/>
      <c r="Q944" s="7"/>
      <c r="R944" s="7"/>
    </row>
    <row r="945" spans="3:18">
      <c r="C945" s="7"/>
      <c r="D945" s="7"/>
      <c r="E945" s="7"/>
      <c r="F945" s="7"/>
      <c r="G945" s="7"/>
      <c r="H945" s="7"/>
      <c r="I945" s="7"/>
      <c r="J945" s="7"/>
      <c r="K945" s="7"/>
      <c r="L945" s="27"/>
      <c r="N945" s="8"/>
      <c r="O945" s="7"/>
      <c r="P945" s="7"/>
      <c r="Q945" s="7"/>
      <c r="R945" s="7"/>
    </row>
    <row r="946" spans="3:18">
      <c r="C946" s="7"/>
      <c r="D946" s="7"/>
      <c r="E946" s="7"/>
      <c r="F946" s="7"/>
      <c r="G946" s="7"/>
      <c r="H946" s="7"/>
      <c r="I946" s="7"/>
      <c r="J946" s="7"/>
      <c r="K946" s="7"/>
      <c r="L946" s="27"/>
      <c r="N946" s="8"/>
      <c r="O946" s="7"/>
      <c r="P946" s="7"/>
      <c r="Q946" s="7"/>
      <c r="R946" s="7"/>
    </row>
    <row r="947" spans="3:18">
      <c r="C947" s="7"/>
      <c r="D947" s="7"/>
      <c r="E947" s="7"/>
      <c r="F947" s="7"/>
      <c r="G947" s="7"/>
      <c r="H947" s="7"/>
      <c r="I947" s="7"/>
      <c r="J947" s="7"/>
      <c r="K947" s="7"/>
      <c r="L947" s="27"/>
      <c r="N947" s="8"/>
      <c r="O947" s="7"/>
      <c r="P947" s="7"/>
      <c r="Q947" s="7"/>
      <c r="R947" s="7"/>
    </row>
    <row r="948" spans="3:18">
      <c r="C948" s="7"/>
      <c r="D948" s="7"/>
      <c r="E948" s="7"/>
      <c r="F948" s="7"/>
      <c r="G948" s="7"/>
      <c r="H948" s="7"/>
      <c r="I948" s="7"/>
      <c r="J948" s="7"/>
      <c r="K948" s="7"/>
      <c r="L948" s="27"/>
      <c r="N948" s="8"/>
      <c r="O948" s="7"/>
      <c r="P948" s="7"/>
      <c r="Q948" s="7"/>
      <c r="R948" s="7"/>
    </row>
    <row r="949" spans="3:18">
      <c r="C949" s="7"/>
      <c r="D949" s="7"/>
      <c r="E949" s="7"/>
      <c r="F949" s="7"/>
      <c r="G949" s="7"/>
      <c r="H949" s="7"/>
      <c r="I949" s="7"/>
      <c r="J949" s="7"/>
      <c r="K949" s="7"/>
      <c r="L949" s="27"/>
      <c r="N949" s="8"/>
      <c r="O949" s="7"/>
      <c r="P949" s="7"/>
      <c r="Q949" s="7"/>
      <c r="R949" s="7"/>
    </row>
    <row r="950" spans="3:18">
      <c r="C950" s="7"/>
      <c r="D950" s="7"/>
      <c r="E950" s="7"/>
      <c r="F950" s="7"/>
      <c r="G950" s="7"/>
      <c r="H950" s="7"/>
      <c r="I950" s="7"/>
      <c r="J950" s="7"/>
      <c r="K950" s="7"/>
      <c r="L950" s="27"/>
      <c r="N950" s="8"/>
      <c r="O950" s="7"/>
      <c r="P950" s="7"/>
      <c r="Q950" s="7"/>
      <c r="R950" s="7"/>
    </row>
    <row r="951" spans="3:18">
      <c r="C951" s="7"/>
      <c r="D951" s="7"/>
      <c r="E951" s="7"/>
      <c r="F951" s="7"/>
      <c r="G951" s="7"/>
      <c r="H951" s="7"/>
      <c r="I951" s="7"/>
      <c r="J951" s="7"/>
      <c r="K951" s="7"/>
      <c r="L951" s="27"/>
      <c r="N951" s="8"/>
      <c r="O951" s="7"/>
      <c r="P951" s="7"/>
      <c r="Q951" s="7"/>
      <c r="R951" s="7"/>
    </row>
    <row r="952" spans="3:18">
      <c r="C952" s="7"/>
      <c r="D952" s="7"/>
      <c r="E952" s="7"/>
      <c r="F952" s="7"/>
      <c r="G952" s="7"/>
      <c r="H952" s="7"/>
      <c r="I952" s="7"/>
      <c r="J952" s="7"/>
      <c r="K952" s="7"/>
      <c r="L952" s="27"/>
      <c r="N952" s="8"/>
      <c r="O952" s="7"/>
      <c r="P952" s="7"/>
      <c r="Q952" s="7"/>
      <c r="R952" s="7"/>
    </row>
    <row r="953" spans="3:18">
      <c r="C953" s="7"/>
      <c r="D953" s="7"/>
      <c r="E953" s="7"/>
      <c r="F953" s="7"/>
      <c r="G953" s="7"/>
      <c r="H953" s="7"/>
      <c r="I953" s="7"/>
      <c r="J953" s="7"/>
      <c r="K953" s="7"/>
      <c r="L953" s="27"/>
      <c r="N953" s="8"/>
      <c r="O953" s="7"/>
      <c r="P953" s="7"/>
      <c r="Q953" s="7"/>
      <c r="R953" s="7"/>
    </row>
    <row r="954" spans="3:18">
      <c r="C954" s="7"/>
      <c r="D954" s="7"/>
      <c r="E954" s="7"/>
      <c r="F954" s="7"/>
      <c r="G954" s="7"/>
      <c r="H954" s="7"/>
      <c r="I954" s="7"/>
      <c r="J954" s="7"/>
      <c r="K954" s="7"/>
      <c r="L954" s="27"/>
      <c r="N954" s="8"/>
      <c r="O954" s="7"/>
      <c r="P954" s="7"/>
      <c r="Q954" s="7"/>
      <c r="R954" s="7"/>
    </row>
    <row r="955" spans="3:18">
      <c r="C955" s="7"/>
      <c r="D955" s="7"/>
      <c r="E955" s="7"/>
      <c r="F955" s="7"/>
      <c r="G955" s="7"/>
      <c r="H955" s="7"/>
      <c r="I955" s="7"/>
      <c r="J955" s="7"/>
      <c r="K955" s="7"/>
      <c r="L955" s="27"/>
      <c r="N955" s="8"/>
      <c r="O955" s="7"/>
      <c r="P955" s="7"/>
      <c r="Q955" s="7"/>
      <c r="R955" s="7"/>
    </row>
    <row r="956" spans="3:18">
      <c r="C956" s="7"/>
      <c r="D956" s="7"/>
      <c r="E956" s="7"/>
      <c r="F956" s="7"/>
      <c r="G956" s="7"/>
      <c r="H956" s="7"/>
      <c r="I956" s="7"/>
      <c r="J956" s="7"/>
      <c r="K956" s="7"/>
      <c r="L956" s="27"/>
      <c r="N956" s="8"/>
      <c r="O956" s="7"/>
      <c r="P956" s="7"/>
      <c r="Q956" s="7"/>
      <c r="R956" s="7"/>
    </row>
    <row r="957" spans="3:18">
      <c r="C957" s="7"/>
      <c r="D957" s="7"/>
      <c r="E957" s="7"/>
      <c r="F957" s="7"/>
      <c r="G957" s="7"/>
      <c r="H957" s="7"/>
      <c r="I957" s="7"/>
      <c r="J957" s="7"/>
      <c r="K957" s="7"/>
      <c r="L957" s="27"/>
      <c r="N957" s="8"/>
      <c r="O957" s="7"/>
      <c r="P957" s="7"/>
      <c r="Q957" s="7"/>
      <c r="R957" s="7"/>
    </row>
    <row r="958" spans="3:18">
      <c r="C958" s="7"/>
      <c r="D958" s="7"/>
      <c r="E958" s="7"/>
      <c r="F958" s="7"/>
      <c r="G958" s="7"/>
      <c r="H958" s="7"/>
      <c r="I958" s="7"/>
      <c r="J958" s="7"/>
      <c r="K958" s="7"/>
      <c r="L958" s="27"/>
      <c r="N958" s="8"/>
      <c r="O958" s="7"/>
      <c r="P958" s="7"/>
      <c r="Q958" s="7"/>
      <c r="R958" s="7"/>
    </row>
    <row r="959" spans="3:18">
      <c r="C959" s="7"/>
      <c r="D959" s="7"/>
      <c r="E959" s="7"/>
      <c r="F959" s="7"/>
      <c r="G959" s="7"/>
      <c r="H959" s="7"/>
      <c r="I959" s="7"/>
      <c r="J959" s="7"/>
      <c r="K959" s="7"/>
      <c r="L959" s="27"/>
      <c r="N959" s="8"/>
      <c r="O959" s="7"/>
      <c r="P959" s="7"/>
      <c r="Q959" s="7"/>
      <c r="R959" s="7"/>
    </row>
    <row r="960" spans="3:18">
      <c r="C960" s="7"/>
      <c r="D960" s="7"/>
      <c r="E960" s="7"/>
      <c r="F960" s="7"/>
      <c r="G960" s="7"/>
      <c r="H960" s="7"/>
      <c r="I960" s="7"/>
      <c r="J960" s="7"/>
      <c r="K960" s="7"/>
      <c r="L960" s="27"/>
      <c r="N960" s="8"/>
      <c r="O960" s="7"/>
      <c r="P960" s="7"/>
      <c r="Q960" s="7"/>
      <c r="R960" s="7"/>
    </row>
    <row r="961" spans="3:18">
      <c r="C961" s="7"/>
      <c r="D961" s="7"/>
      <c r="E961" s="7"/>
      <c r="F961" s="7"/>
      <c r="G961" s="7"/>
      <c r="H961" s="7"/>
      <c r="I961" s="7"/>
      <c r="J961" s="7"/>
      <c r="K961" s="7"/>
      <c r="L961" s="27"/>
      <c r="N961" s="8"/>
      <c r="O961" s="7"/>
      <c r="P961" s="7"/>
      <c r="Q961" s="7"/>
      <c r="R961" s="7"/>
    </row>
    <row r="962" spans="3:18">
      <c r="C962" s="7"/>
      <c r="D962" s="7"/>
      <c r="E962" s="7"/>
      <c r="F962" s="7"/>
      <c r="G962" s="7"/>
      <c r="H962" s="7"/>
      <c r="I962" s="7"/>
      <c r="J962" s="7"/>
      <c r="K962" s="7"/>
      <c r="L962" s="27"/>
      <c r="N962" s="8"/>
      <c r="O962" s="7"/>
      <c r="P962" s="7"/>
      <c r="Q962" s="7"/>
      <c r="R962" s="7"/>
    </row>
    <row r="963" spans="3:18">
      <c r="C963" s="7"/>
      <c r="D963" s="7"/>
      <c r="E963" s="7"/>
      <c r="F963" s="7"/>
      <c r="G963" s="7"/>
      <c r="H963" s="7"/>
      <c r="I963" s="7"/>
      <c r="J963" s="7"/>
      <c r="K963" s="7"/>
      <c r="L963" s="27"/>
      <c r="N963" s="8"/>
      <c r="O963" s="7"/>
      <c r="P963" s="7"/>
      <c r="Q963" s="7"/>
      <c r="R963" s="7"/>
    </row>
    <row r="964" spans="3:18">
      <c r="C964" s="7"/>
      <c r="D964" s="7"/>
      <c r="E964" s="7"/>
      <c r="F964" s="7"/>
      <c r="G964" s="7"/>
      <c r="H964" s="7"/>
      <c r="I964" s="7"/>
      <c r="J964" s="7"/>
      <c r="K964" s="7"/>
      <c r="L964" s="27"/>
      <c r="N964" s="8"/>
      <c r="O964" s="7"/>
      <c r="P964" s="7"/>
      <c r="Q964" s="7"/>
      <c r="R964" s="7"/>
    </row>
    <row r="965" spans="3:18">
      <c r="C965" s="7"/>
      <c r="D965" s="7"/>
      <c r="E965" s="7"/>
      <c r="F965" s="7"/>
      <c r="G965" s="7"/>
      <c r="H965" s="7"/>
      <c r="I965" s="7"/>
      <c r="J965" s="7"/>
      <c r="K965" s="7"/>
      <c r="L965" s="27"/>
      <c r="N965" s="8"/>
      <c r="O965" s="7"/>
      <c r="P965" s="7"/>
      <c r="Q965" s="7"/>
      <c r="R965" s="7"/>
    </row>
    <row r="966" spans="3:18">
      <c r="C966" s="7"/>
      <c r="D966" s="7"/>
      <c r="E966" s="7"/>
      <c r="F966" s="7"/>
      <c r="G966" s="7"/>
      <c r="H966" s="7"/>
      <c r="I966" s="7"/>
      <c r="J966" s="7"/>
      <c r="K966" s="7"/>
      <c r="L966" s="27"/>
      <c r="N966" s="8"/>
      <c r="O966" s="7"/>
      <c r="P966" s="7"/>
      <c r="Q966" s="7"/>
      <c r="R966" s="7"/>
    </row>
    <row r="967" spans="3:18">
      <c r="C967" s="7"/>
      <c r="D967" s="7"/>
      <c r="E967" s="7"/>
      <c r="F967" s="7"/>
      <c r="G967" s="7"/>
      <c r="H967" s="7"/>
      <c r="I967" s="7"/>
      <c r="J967" s="7"/>
      <c r="K967" s="7"/>
      <c r="L967" s="27"/>
      <c r="N967" s="8"/>
      <c r="O967" s="7"/>
      <c r="P967" s="7"/>
      <c r="Q967" s="7"/>
      <c r="R967" s="7"/>
    </row>
    <row r="968" spans="3:18">
      <c r="C968" s="7"/>
      <c r="D968" s="7"/>
      <c r="E968" s="7"/>
      <c r="F968" s="7"/>
      <c r="G968" s="7"/>
      <c r="H968" s="7"/>
      <c r="I968" s="7"/>
      <c r="J968" s="7"/>
      <c r="K968" s="7"/>
      <c r="L968" s="27"/>
      <c r="N968" s="8"/>
      <c r="O968" s="7"/>
      <c r="P968" s="7"/>
      <c r="Q968" s="7"/>
      <c r="R968" s="7"/>
    </row>
    <row r="969" spans="3:18">
      <c r="C969" s="7"/>
      <c r="D969" s="7"/>
      <c r="E969" s="7"/>
      <c r="F969" s="7"/>
      <c r="G969" s="7"/>
      <c r="H969" s="7"/>
      <c r="I969" s="7"/>
      <c r="J969" s="7"/>
      <c r="K969" s="7"/>
      <c r="L969" s="27"/>
      <c r="N969" s="8"/>
      <c r="O969" s="7"/>
      <c r="P969" s="7"/>
      <c r="Q969" s="7"/>
      <c r="R969" s="7"/>
    </row>
    <row r="970" spans="3:18">
      <c r="C970" s="7"/>
      <c r="D970" s="7"/>
      <c r="E970" s="7"/>
      <c r="F970" s="7"/>
      <c r="G970" s="7"/>
      <c r="H970" s="7"/>
      <c r="I970" s="7"/>
      <c r="J970" s="7"/>
      <c r="K970" s="7"/>
      <c r="L970" s="27"/>
      <c r="N970" s="8"/>
      <c r="O970" s="7"/>
      <c r="P970" s="7"/>
      <c r="Q970" s="7"/>
      <c r="R970" s="7"/>
    </row>
    <row r="971" spans="3:18">
      <c r="C971" s="7"/>
      <c r="D971" s="7"/>
      <c r="E971" s="7"/>
      <c r="F971" s="7"/>
      <c r="G971" s="7"/>
      <c r="H971" s="7"/>
      <c r="I971" s="7"/>
      <c r="J971" s="7"/>
      <c r="K971" s="7"/>
      <c r="L971" s="27"/>
      <c r="N971" s="8"/>
      <c r="O971" s="7"/>
      <c r="P971" s="7"/>
      <c r="Q971" s="7"/>
      <c r="R971" s="7"/>
    </row>
    <row r="972" spans="3:18">
      <c r="C972" s="7"/>
      <c r="D972" s="7"/>
      <c r="E972" s="7"/>
      <c r="F972" s="7"/>
      <c r="G972" s="7"/>
      <c r="H972" s="7"/>
      <c r="I972" s="7"/>
      <c r="J972" s="7"/>
      <c r="K972" s="7"/>
      <c r="L972" s="27"/>
      <c r="N972" s="8"/>
      <c r="O972" s="7"/>
      <c r="P972" s="7"/>
      <c r="Q972" s="7"/>
      <c r="R972" s="7"/>
    </row>
    <row r="973" spans="3:18">
      <c r="C973" s="7"/>
      <c r="D973" s="7"/>
      <c r="E973" s="7"/>
      <c r="F973" s="7"/>
      <c r="G973" s="7"/>
      <c r="H973" s="7"/>
      <c r="I973" s="7"/>
      <c r="J973" s="7"/>
      <c r="K973" s="7"/>
      <c r="L973" s="27"/>
      <c r="N973" s="8"/>
      <c r="O973" s="7"/>
      <c r="P973" s="7"/>
      <c r="Q973" s="7"/>
      <c r="R973" s="7"/>
    </row>
    <row r="974" spans="3:18">
      <c r="C974" s="7"/>
      <c r="D974" s="7"/>
      <c r="E974" s="7"/>
      <c r="F974" s="7"/>
      <c r="G974" s="7"/>
      <c r="H974" s="7"/>
      <c r="I974" s="7"/>
      <c r="J974" s="7"/>
      <c r="K974" s="7"/>
      <c r="L974" s="27"/>
      <c r="N974" s="8"/>
      <c r="O974" s="7"/>
      <c r="P974" s="7"/>
      <c r="Q974" s="7"/>
      <c r="R974" s="7"/>
    </row>
    <row r="975" spans="3:18">
      <c r="C975" s="7"/>
      <c r="D975" s="7"/>
      <c r="E975" s="7"/>
      <c r="F975" s="7"/>
      <c r="G975" s="7"/>
      <c r="H975" s="7"/>
      <c r="I975" s="7"/>
      <c r="J975" s="7"/>
      <c r="K975" s="7"/>
      <c r="L975" s="27"/>
      <c r="N975" s="8"/>
      <c r="O975" s="7"/>
      <c r="P975" s="7"/>
      <c r="Q975" s="7"/>
      <c r="R975" s="7"/>
    </row>
    <row r="976" spans="3:18">
      <c r="C976" s="7"/>
      <c r="D976" s="7"/>
      <c r="E976" s="7"/>
      <c r="F976" s="7"/>
      <c r="G976" s="7"/>
      <c r="H976" s="7"/>
      <c r="I976" s="7"/>
      <c r="J976" s="7"/>
      <c r="K976" s="7"/>
      <c r="L976" s="27"/>
      <c r="N976" s="8"/>
      <c r="O976" s="7"/>
      <c r="P976" s="7"/>
      <c r="Q976" s="7"/>
      <c r="R976" s="7"/>
    </row>
    <row r="977" spans="3:18">
      <c r="C977" s="7"/>
      <c r="D977" s="7"/>
      <c r="E977" s="7"/>
      <c r="F977" s="7"/>
      <c r="G977" s="7"/>
      <c r="H977" s="7"/>
      <c r="I977" s="7"/>
      <c r="J977" s="7"/>
      <c r="K977" s="7"/>
      <c r="L977" s="27"/>
      <c r="N977" s="8"/>
      <c r="O977" s="7"/>
      <c r="P977" s="7"/>
      <c r="Q977" s="7"/>
      <c r="R977" s="7"/>
    </row>
    <row r="978" spans="3:18">
      <c r="C978" s="7"/>
      <c r="D978" s="7"/>
      <c r="E978" s="7"/>
      <c r="F978" s="7"/>
      <c r="G978" s="7"/>
      <c r="H978" s="7"/>
      <c r="I978" s="7"/>
      <c r="J978" s="7"/>
      <c r="K978" s="7"/>
      <c r="L978" s="27"/>
      <c r="N978" s="8"/>
      <c r="O978" s="7"/>
      <c r="P978" s="7"/>
      <c r="Q978" s="7"/>
      <c r="R978" s="7"/>
    </row>
    <row r="979" spans="3:18">
      <c r="C979" s="7"/>
      <c r="D979" s="7"/>
      <c r="E979" s="7"/>
      <c r="F979" s="7"/>
      <c r="G979" s="7"/>
      <c r="H979" s="7"/>
      <c r="I979" s="7"/>
      <c r="J979" s="7"/>
      <c r="K979" s="7"/>
      <c r="L979" s="27"/>
      <c r="N979" s="8"/>
      <c r="O979" s="7"/>
      <c r="P979" s="7"/>
      <c r="Q979" s="7"/>
      <c r="R979" s="7"/>
    </row>
    <row r="980" spans="3:18">
      <c r="C980" s="7"/>
      <c r="D980" s="7"/>
      <c r="E980" s="7"/>
      <c r="F980" s="7"/>
      <c r="G980" s="7"/>
      <c r="H980" s="7"/>
      <c r="I980" s="7"/>
      <c r="J980" s="7"/>
      <c r="K980" s="7"/>
      <c r="L980" s="27"/>
      <c r="N980" s="8"/>
      <c r="O980" s="7"/>
      <c r="P980" s="7"/>
      <c r="Q980" s="7"/>
      <c r="R980" s="7"/>
    </row>
    <row r="981" spans="3:18">
      <c r="C981" s="7"/>
      <c r="D981" s="7"/>
      <c r="E981" s="7"/>
      <c r="F981" s="7"/>
      <c r="G981" s="7"/>
      <c r="H981" s="7"/>
      <c r="I981" s="7"/>
      <c r="J981" s="7"/>
      <c r="K981" s="7"/>
      <c r="L981" s="27"/>
      <c r="N981" s="8"/>
      <c r="O981" s="7"/>
      <c r="P981" s="7"/>
      <c r="Q981" s="7"/>
      <c r="R981" s="7"/>
    </row>
    <row r="982" spans="3:18">
      <c r="C982" s="7"/>
      <c r="D982" s="7"/>
      <c r="E982" s="7"/>
      <c r="F982" s="7"/>
      <c r="G982" s="7"/>
      <c r="H982" s="7"/>
      <c r="I982" s="7"/>
      <c r="J982" s="7"/>
      <c r="K982" s="7"/>
      <c r="L982" s="27"/>
      <c r="N982" s="8"/>
      <c r="O982" s="7"/>
      <c r="P982" s="7"/>
      <c r="Q982" s="7"/>
      <c r="R982" s="7"/>
    </row>
    <row r="983" spans="3:18">
      <c r="C983" s="7"/>
      <c r="D983" s="7"/>
      <c r="E983" s="7"/>
      <c r="F983" s="7"/>
      <c r="G983" s="7"/>
      <c r="H983" s="7"/>
      <c r="I983" s="7"/>
      <c r="J983" s="7"/>
      <c r="K983" s="7"/>
      <c r="L983" s="27"/>
      <c r="N983" s="8"/>
      <c r="O983" s="7"/>
      <c r="P983" s="7"/>
      <c r="Q983" s="7"/>
      <c r="R983" s="7"/>
    </row>
    <row r="984" spans="3:18">
      <c r="C984" s="7"/>
      <c r="D984" s="7"/>
      <c r="E984" s="7"/>
      <c r="F984" s="7"/>
      <c r="G984" s="7"/>
      <c r="H984" s="7"/>
      <c r="I984" s="7"/>
      <c r="J984" s="7"/>
      <c r="K984" s="7"/>
      <c r="L984" s="27"/>
      <c r="N984" s="8"/>
      <c r="O984" s="7"/>
      <c r="P984" s="7"/>
      <c r="Q984" s="7"/>
      <c r="R984" s="7"/>
    </row>
    <row r="985" spans="3:18">
      <c r="C985" s="7"/>
      <c r="D985" s="7"/>
      <c r="E985" s="7"/>
      <c r="F985" s="7"/>
      <c r="G985" s="7"/>
      <c r="H985" s="7"/>
      <c r="I985" s="7"/>
      <c r="J985" s="7"/>
      <c r="K985" s="7"/>
      <c r="L985" s="27"/>
      <c r="N985" s="8"/>
      <c r="O985" s="7"/>
      <c r="P985" s="7"/>
      <c r="Q985" s="7"/>
      <c r="R985" s="7"/>
    </row>
    <row r="986" spans="3:18">
      <c r="C986" s="7"/>
      <c r="D986" s="7"/>
      <c r="E986" s="7"/>
      <c r="F986" s="7"/>
      <c r="G986" s="7"/>
      <c r="H986" s="7"/>
      <c r="I986" s="7"/>
      <c r="J986" s="7"/>
      <c r="K986" s="7"/>
      <c r="L986" s="27"/>
      <c r="N986" s="8"/>
      <c r="O986" s="7"/>
      <c r="P986" s="7"/>
      <c r="Q986" s="7"/>
      <c r="R986" s="7"/>
    </row>
    <row r="987" spans="3:18">
      <c r="C987" s="7"/>
      <c r="D987" s="7"/>
      <c r="E987" s="7"/>
      <c r="F987" s="7"/>
      <c r="G987" s="7"/>
      <c r="H987" s="7"/>
      <c r="I987" s="7"/>
      <c r="J987" s="7"/>
      <c r="K987" s="7"/>
      <c r="L987" s="27"/>
      <c r="N987" s="8"/>
      <c r="O987" s="7"/>
      <c r="P987" s="7"/>
      <c r="Q987" s="7"/>
      <c r="R987" s="7"/>
    </row>
    <row r="988" spans="3:18">
      <c r="C988" s="7"/>
      <c r="D988" s="7"/>
      <c r="E988" s="7"/>
      <c r="F988" s="7"/>
      <c r="G988" s="7"/>
      <c r="H988" s="7"/>
      <c r="I988" s="7"/>
      <c r="J988" s="7"/>
      <c r="K988" s="7"/>
      <c r="L988" s="27"/>
      <c r="N988" s="8"/>
      <c r="O988" s="7"/>
      <c r="P988" s="7"/>
      <c r="Q988" s="7"/>
      <c r="R988" s="7"/>
    </row>
    <row r="989" spans="3:18">
      <c r="C989" s="7"/>
      <c r="D989" s="7"/>
      <c r="E989" s="7"/>
      <c r="F989" s="7"/>
      <c r="G989" s="7"/>
      <c r="H989" s="7"/>
      <c r="I989" s="7"/>
      <c r="J989" s="7"/>
      <c r="K989" s="7"/>
      <c r="L989" s="27"/>
      <c r="N989" s="8"/>
      <c r="O989" s="7"/>
      <c r="P989" s="7"/>
      <c r="Q989" s="7"/>
      <c r="R989" s="7"/>
    </row>
    <row r="990" spans="3:18">
      <c r="C990" s="7"/>
      <c r="D990" s="7"/>
      <c r="E990" s="7"/>
      <c r="F990" s="7"/>
      <c r="G990" s="7"/>
      <c r="H990" s="7"/>
      <c r="I990" s="7"/>
      <c r="J990" s="7"/>
      <c r="K990" s="7"/>
      <c r="L990" s="27"/>
      <c r="N990" s="8"/>
      <c r="O990" s="7"/>
      <c r="P990" s="7"/>
      <c r="Q990" s="7"/>
      <c r="R990" s="7"/>
    </row>
    <row r="991" spans="3:18">
      <c r="C991" s="7"/>
      <c r="D991" s="7"/>
      <c r="E991" s="7"/>
      <c r="F991" s="7"/>
      <c r="G991" s="7"/>
      <c r="H991" s="7"/>
      <c r="I991" s="7"/>
      <c r="J991" s="7"/>
      <c r="K991" s="7"/>
      <c r="L991" s="27"/>
      <c r="N991" s="8"/>
      <c r="O991" s="7"/>
      <c r="P991" s="7"/>
      <c r="Q991" s="7"/>
      <c r="R991" s="7"/>
    </row>
    <row r="992" spans="3:18">
      <c r="C992" s="7"/>
      <c r="D992" s="7"/>
      <c r="E992" s="7"/>
      <c r="F992" s="7"/>
      <c r="G992" s="7"/>
      <c r="H992" s="7"/>
      <c r="I992" s="7"/>
      <c r="J992" s="7"/>
      <c r="K992" s="7"/>
      <c r="L992" s="27"/>
      <c r="N992" s="8"/>
      <c r="O992" s="7"/>
      <c r="P992" s="7"/>
      <c r="Q992" s="7"/>
      <c r="R992" s="7"/>
    </row>
    <row r="993" spans="3:18">
      <c r="C993" s="7"/>
      <c r="D993" s="7"/>
      <c r="E993" s="7"/>
      <c r="F993" s="7"/>
      <c r="G993" s="7"/>
      <c r="H993" s="7"/>
      <c r="I993" s="7"/>
      <c r="J993" s="7"/>
      <c r="K993" s="7"/>
      <c r="L993" s="27"/>
      <c r="N993" s="8"/>
      <c r="O993" s="7"/>
      <c r="P993" s="7"/>
      <c r="Q993" s="7"/>
      <c r="R993" s="7"/>
    </row>
    <row r="994" spans="3:18">
      <c r="C994" s="7"/>
      <c r="D994" s="7"/>
      <c r="E994" s="7"/>
      <c r="F994" s="7"/>
      <c r="G994" s="7"/>
      <c r="H994" s="7"/>
      <c r="I994" s="7"/>
      <c r="J994" s="7"/>
      <c r="K994" s="7"/>
      <c r="L994" s="27"/>
      <c r="N994" s="8"/>
      <c r="O994" s="7"/>
      <c r="P994" s="7"/>
      <c r="Q994" s="7"/>
      <c r="R994" s="7"/>
    </row>
    <row r="995" spans="3:18">
      <c r="C995" s="7"/>
      <c r="D995" s="7"/>
      <c r="E995" s="7"/>
      <c r="F995" s="7"/>
      <c r="G995" s="7"/>
      <c r="H995" s="7"/>
      <c r="I995" s="7"/>
      <c r="J995" s="7"/>
      <c r="K995" s="7"/>
      <c r="L995" s="27"/>
      <c r="N995" s="8"/>
      <c r="O995" s="7"/>
      <c r="P995" s="7"/>
      <c r="Q995" s="7"/>
      <c r="R995" s="7"/>
    </row>
    <row r="996" spans="3:18">
      <c r="C996" s="7"/>
      <c r="D996" s="7"/>
      <c r="E996" s="7"/>
      <c r="F996" s="7"/>
      <c r="G996" s="7"/>
      <c r="H996" s="7"/>
      <c r="I996" s="7"/>
      <c r="J996" s="7"/>
      <c r="K996" s="7"/>
      <c r="L996" s="27"/>
      <c r="N996" s="8"/>
      <c r="O996" s="7"/>
      <c r="P996" s="7"/>
      <c r="Q996" s="7"/>
      <c r="R996" s="7"/>
    </row>
    <row r="997" spans="3:18">
      <c r="C997" s="7"/>
      <c r="D997" s="7"/>
      <c r="E997" s="7"/>
      <c r="F997" s="7"/>
      <c r="G997" s="7"/>
      <c r="H997" s="7"/>
      <c r="I997" s="7"/>
      <c r="J997" s="7"/>
      <c r="K997" s="7"/>
      <c r="L997" s="27"/>
      <c r="N997" s="8"/>
      <c r="O997" s="7"/>
      <c r="P997" s="7"/>
      <c r="Q997" s="7"/>
      <c r="R997" s="7"/>
    </row>
    <row r="998" spans="3:18">
      <c r="C998" s="7"/>
      <c r="D998" s="7"/>
      <c r="E998" s="7"/>
      <c r="F998" s="7"/>
      <c r="G998" s="7"/>
      <c r="H998" s="7"/>
      <c r="I998" s="7"/>
      <c r="J998" s="7"/>
      <c r="K998" s="7"/>
      <c r="L998" s="27"/>
      <c r="N998" s="8"/>
      <c r="O998" s="7"/>
      <c r="P998" s="7"/>
      <c r="Q998" s="7"/>
      <c r="R998" s="7"/>
    </row>
    <row r="999" spans="3:18">
      <c r="C999" s="7"/>
      <c r="D999" s="7"/>
      <c r="E999" s="7"/>
      <c r="F999" s="7"/>
      <c r="G999" s="7"/>
      <c r="H999" s="7"/>
      <c r="I999" s="7"/>
      <c r="J999" s="7"/>
      <c r="K999" s="7"/>
      <c r="L999" s="27"/>
      <c r="N999" s="8"/>
      <c r="O999" s="7"/>
      <c r="P999" s="7"/>
      <c r="Q999" s="7"/>
      <c r="R999" s="7"/>
    </row>
    <row r="1000" spans="3:18">
      <c r="C1000" s="7"/>
      <c r="D1000" s="7"/>
      <c r="E1000" s="7"/>
      <c r="F1000" s="7"/>
      <c r="G1000" s="7"/>
      <c r="H1000" s="7"/>
      <c r="I1000" s="7"/>
      <c r="J1000" s="7"/>
      <c r="K1000" s="7"/>
      <c r="L1000" s="27"/>
      <c r="N1000" s="8"/>
      <c r="O1000" s="7"/>
      <c r="P1000" s="7"/>
      <c r="Q1000" s="7"/>
      <c r="R1000" s="7"/>
    </row>
    <row r="1001" spans="3:18">
      <c r="C1001" s="7"/>
      <c r="D1001" s="7"/>
      <c r="E1001" s="7"/>
      <c r="F1001" s="7"/>
      <c r="G1001" s="7"/>
      <c r="H1001" s="7"/>
      <c r="I1001" s="7"/>
      <c r="J1001" s="7"/>
      <c r="K1001" s="7"/>
      <c r="L1001" s="27"/>
      <c r="N1001" s="8"/>
      <c r="O1001" s="7"/>
      <c r="P1001" s="7"/>
      <c r="Q1001" s="7"/>
      <c r="R1001" s="7"/>
    </row>
    <row r="1002" spans="3:18">
      <c r="C1002" s="7"/>
      <c r="D1002" s="7"/>
      <c r="E1002" s="7"/>
      <c r="F1002" s="7"/>
      <c r="G1002" s="7"/>
      <c r="H1002" s="7"/>
      <c r="I1002" s="7"/>
      <c r="J1002" s="7"/>
      <c r="K1002" s="7"/>
      <c r="L1002" s="27"/>
      <c r="N1002" s="8"/>
      <c r="O1002" s="7"/>
      <c r="P1002" s="7"/>
      <c r="Q1002" s="7"/>
      <c r="R1002" s="7"/>
    </row>
    <row r="1003" spans="3:18">
      <c r="C1003" s="7"/>
      <c r="D1003" s="7"/>
      <c r="E1003" s="7"/>
      <c r="F1003" s="7"/>
      <c r="G1003" s="7"/>
      <c r="H1003" s="7"/>
      <c r="I1003" s="7"/>
      <c r="J1003" s="7"/>
      <c r="K1003" s="7"/>
      <c r="L1003" s="27"/>
      <c r="N1003" s="8"/>
      <c r="O1003" s="7"/>
      <c r="P1003" s="7"/>
      <c r="Q1003" s="7"/>
      <c r="R1003" s="7"/>
    </row>
    <row r="1004" spans="3:18">
      <c r="C1004" s="7"/>
      <c r="D1004" s="7"/>
      <c r="E1004" s="7"/>
      <c r="F1004" s="7"/>
      <c r="G1004" s="7"/>
      <c r="H1004" s="7"/>
      <c r="I1004" s="7"/>
      <c r="J1004" s="7"/>
      <c r="K1004" s="7"/>
      <c r="L1004" s="27"/>
      <c r="N1004" s="8"/>
      <c r="O1004" s="7"/>
      <c r="P1004" s="7"/>
      <c r="Q1004" s="7"/>
      <c r="R1004" s="7"/>
    </row>
    <row r="1005" spans="3:18">
      <c r="C1005" s="7"/>
      <c r="D1005" s="7"/>
      <c r="E1005" s="7"/>
      <c r="F1005" s="7"/>
      <c r="G1005" s="7"/>
      <c r="H1005" s="7"/>
      <c r="I1005" s="7"/>
      <c r="J1005" s="7"/>
      <c r="K1005" s="7"/>
      <c r="L1005" s="27"/>
      <c r="N1005" s="8"/>
      <c r="O1005" s="7"/>
      <c r="P1005" s="7"/>
      <c r="Q1005" s="7"/>
      <c r="R1005" s="7"/>
    </row>
    <row r="1006" spans="3:18">
      <c r="C1006" s="7"/>
      <c r="D1006" s="7"/>
      <c r="E1006" s="7"/>
      <c r="F1006" s="7"/>
      <c r="G1006" s="7"/>
      <c r="H1006" s="7"/>
      <c r="I1006" s="7"/>
      <c r="J1006" s="7"/>
      <c r="K1006" s="7"/>
      <c r="L1006" s="27"/>
      <c r="N1006" s="8"/>
      <c r="O1006" s="7"/>
      <c r="P1006" s="7"/>
      <c r="Q1006" s="7"/>
      <c r="R1006" s="7"/>
    </row>
    <row r="1007" spans="3:18">
      <c r="C1007" s="7"/>
      <c r="D1007" s="7"/>
      <c r="E1007" s="7"/>
      <c r="F1007" s="7"/>
      <c r="G1007" s="7"/>
      <c r="H1007" s="7"/>
      <c r="I1007" s="7"/>
      <c r="J1007" s="7"/>
      <c r="K1007" s="7"/>
      <c r="L1007" s="27"/>
      <c r="N1007" s="8"/>
      <c r="O1007" s="7"/>
      <c r="P1007" s="7"/>
      <c r="Q1007" s="7"/>
      <c r="R1007" s="7"/>
    </row>
    <row r="1008" spans="3:18">
      <c r="C1008" s="7"/>
      <c r="D1008" s="7"/>
      <c r="E1008" s="7"/>
      <c r="F1008" s="7"/>
      <c r="G1008" s="7"/>
      <c r="H1008" s="7"/>
      <c r="I1008" s="7"/>
      <c r="J1008" s="7"/>
      <c r="K1008" s="7"/>
      <c r="L1008" s="27"/>
      <c r="N1008" s="8"/>
      <c r="O1008" s="7"/>
      <c r="P1008" s="7"/>
      <c r="Q1008" s="7"/>
      <c r="R1008" s="7"/>
    </row>
    <row r="1009" spans="3:18">
      <c r="C1009" s="7"/>
      <c r="D1009" s="7"/>
      <c r="E1009" s="7"/>
      <c r="F1009" s="7"/>
      <c r="G1009" s="7"/>
      <c r="H1009" s="7"/>
      <c r="I1009" s="7"/>
      <c r="J1009" s="7"/>
      <c r="K1009" s="7"/>
      <c r="L1009" s="27"/>
      <c r="N1009" s="8"/>
      <c r="O1009" s="7"/>
      <c r="P1009" s="7"/>
      <c r="Q1009" s="7"/>
      <c r="R1009" s="7"/>
    </row>
    <row r="1010" spans="3:18">
      <c r="C1010" s="7"/>
      <c r="D1010" s="7"/>
      <c r="E1010" s="7"/>
      <c r="F1010" s="7"/>
      <c r="G1010" s="7"/>
      <c r="H1010" s="7"/>
      <c r="I1010" s="7"/>
      <c r="J1010" s="7"/>
      <c r="K1010" s="7"/>
      <c r="L1010" s="27"/>
      <c r="N1010" s="8"/>
      <c r="O1010" s="7"/>
      <c r="P1010" s="7"/>
      <c r="Q1010" s="7"/>
      <c r="R1010" s="7"/>
    </row>
    <row r="1011" spans="3:18">
      <c r="C1011" s="7"/>
      <c r="D1011" s="7"/>
      <c r="E1011" s="7"/>
      <c r="F1011" s="7"/>
      <c r="G1011" s="7"/>
      <c r="H1011" s="7"/>
      <c r="I1011" s="7"/>
      <c r="J1011" s="7"/>
      <c r="K1011" s="7"/>
      <c r="L1011" s="27"/>
      <c r="N1011" s="8"/>
      <c r="O1011" s="7"/>
      <c r="P1011" s="7"/>
      <c r="Q1011" s="7"/>
      <c r="R1011" s="7"/>
    </row>
    <row r="1012" spans="3:18">
      <c r="C1012" s="7"/>
      <c r="D1012" s="7"/>
      <c r="E1012" s="7"/>
      <c r="F1012" s="7"/>
      <c r="G1012" s="7"/>
      <c r="H1012" s="7"/>
      <c r="I1012" s="7"/>
      <c r="J1012" s="7"/>
      <c r="K1012" s="7"/>
      <c r="L1012" s="27"/>
      <c r="N1012" s="8"/>
      <c r="O1012" s="7"/>
      <c r="P1012" s="7"/>
      <c r="Q1012" s="7"/>
      <c r="R1012" s="7"/>
    </row>
    <row r="1013" spans="3:18">
      <c r="C1013" s="7"/>
      <c r="D1013" s="7"/>
      <c r="E1013" s="7"/>
      <c r="F1013" s="7"/>
      <c r="G1013" s="7"/>
      <c r="H1013" s="7"/>
      <c r="I1013" s="7"/>
      <c r="J1013" s="7"/>
      <c r="K1013" s="7"/>
      <c r="L1013" s="27"/>
      <c r="N1013" s="8"/>
      <c r="O1013" s="7"/>
      <c r="P1013" s="7"/>
      <c r="Q1013" s="7"/>
      <c r="R1013" s="7"/>
    </row>
    <row r="1014" spans="3:18">
      <c r="C1014" s="7"/>
      <c r="D1014" s="7"/>
      <c r="E1014" s="7"/>
      <c r="F1014" s="7"/>
      <c r="G1014" s="7"/>
      <c r="H1014" s="7"/>
      <c r="I1014" s="7"/>
      <c r="J1014" s="7"/>
      <c r="K1014" s="7"/>
      <c r="L1014" s="27"/>
      <c r="N1014" s="8"/>
      <c r="O1014" s="7"/>
      <c r="P1014" s="7"/>
      <c r="Q1014" s="7"/>
      <c r="R1014" s="7"/>
    </row>
    <row r="1015" spans="3:18">
      <c r="C1015" s="7"/>
      <c r="D1015" s="7"/>
      <c r="E1015" s="7"/>
      <c r="F1015" s="7"/>
      <c r="G1015" s="7"/>
      <c r="H1015" s="7"/>
      <c r="I1015" s="7"/>
      <c r="J1015" s="7"/>
      <c r="K1015" s="7"/>
      <c r="L1015" s="27"/>
      <c r="N1015" s="8"/>
      <c r="O1015" s="7"/>
      <c r="P1015" s="7"/>
      <c r="Q1015" s="7"/>
      <c r="R1015" s="7"/>
    </row>
    <row r="1016" spans="3:18">
      <c r="C1016" s="7"/>
      <c r="D1016" s="7"/>
      <c r="E1016" s="7"/>
      <c r="F1016" s="7"/>
      <c r="G1016" s="7"/>
      <c r="H1016" s="7"/>
      <c r="I1016" s="7"/>
      <c r="J1016" s="7"/>
      <c r="K1016" s="7"/>
      <c r="L1016" s="27"/>
      <c r="N1016" s="8"/>
      <c r="O1016" s="7"/>
      <c r="P1016" s="7"/>
      <c r="Q1016" s="7"/>
      <c r="R1016" s="7"/>
    </row>
    <row r="1017" spans="3:18">
      <c r="C1017" s="7"/>
      <c r="D1017" s="7"/>
      <c r="E1017" s="7"/>
      <c r="F1017" s="7"/>
      <c r="G1017" s="7"/>
      <c r="H1017" s="7"/>
      <c r="I1017" s="7"/>
      <c r="J1017" s="7"/>
      <c r="K1017" s="7"/>
      <c r="L1017" s="27"/>
      <c r="N1017" s="8"/>
      <c r="O1017" s="7"/>
      <c r="P1017" s="7"/>
      <c r="Q1017" s="7"/>
      <c r="R1017" s="7"/>
    </row>
    <row r="1018" spans="3:18">
      <c r="C1018" s="7"/>
      <c r="D1018" s="7"/>
      <c r="E1018" s="7"/>
      <c r="F1018" s="7"/>
      <c r="G1018" s="7"/>
      <c r="H1018" s="7"/>
      <c r="I1018" s="7"/>
      <c r="J1018" s="7"/>
      <c r="K1018" s="7"/>
      <c r="L1018" s="27"/>
      <c r="N1018" s="8"/>
      <c r="O1018" s="7"/>
      <c r="P1018" s="7"/>
      <c r="Q1018" s="7"/>
      <c r="R1018" s="7"/>
    </row>
    <row r="1019" spans="3:18">
      <c r="C1019" s="7"/>
      <c r="D1019" s="7"/>
      <c r="E1019" s="7"/>
      <c r="F1019" s="7"/>
      <c r="G1019" s="7"/>
      <c r="H1019" s="7"/>
      <c r="I1019" s="7"/>
      <c r="J1019" s="7"/>
      <c r="K1019" s="7"/>
      <c r="L1019" s="27"/>
      <c r="N1019" s="8"/>
      <c r="O1019" s="7"/>
      <c r="P1019" s="7"/>
      <c r="Q1019" s="7"/>
      <c r="R1019" s="7"/>
    </row>
    <row r="1020" spans="3:18">
      <c r="C1020" s="7"/>
      <c r="D1020" s="7"/>
      <c r="E1020" s="7"/>
      <c r="F1020" s="7"/>
      <c r="G1020" s="7"/>
      <c r="H1020" s="7"/>
      <c r="I1020" s="7"/>
      <c r="J1020" s="7"/>
      <c r="K1020" s="7"/>
      <c r="L1020" s="27"/>
      <c r="N1020" s="8"/>
      <c r="O1020" s="7"/>
      <c r="P1020" s="7"/>
      <c r="Q1020" s="7"/>
      <c r="R1020" s="7"/>
    </row>
    <row r="1021" spans="3:18">
      <c r="C1021" s="7"/>
      <c r="D1021" s="7"/>
      <c r="E1021" s="7"/>
      <c r="F1021" s="7"/>
      <c r="G1021" s="7"/>
      <c r="H1021" s="7"/>
      <c r="I1021" s="7"/>
      <c r="J1021" s="7"/>
      <c r="K1021" s="7"/>
      <c r="L1021" s="27"/>
      <c r="N1021" s="8"/>
      <c r="O1021" s="7"/>
      <c r="P1021" s="7"/>
      <c r="Q1021" s="7"/>
      <c r="R1021" s="7"/>
    </row>
    <row r="1022" spans="3:18">
      <c r="C1022" s="7"/>
      <c r="D1022" s="7"/>
      <c r="E1022" s="7"/>
      <c r="F1022" s="7"/>
      <c r="G1022" s="7"/>
      <c r="H1022" s="7"/>
      <c r="I1022" s="7"/>
      <c r="J1022" s="7"/>
      <c r="K1022" s="7"/>
      <c r="L1022" s="27"/>
      <c r="N1022" s="8"/>
      <c r="O1022" s="7"/>
      <c r="P1022" s="7"/>
      <c r="Q1022" s="7"/>
      <c r="R1022" s="7"/>
    </row>
    <row r="1023" spans="3:18">
      <c r="C1023" s="7"/>
      <c r="D1023" s="7"/>
      <c r="E1023" s="7"/>
      <c r="F1023" s="7"/>
      <c r="G1023" s="7"/>
      <c r="H1023" s="7"/>
      <c r="I1023" s="7"/>
      <c r="J1023" s="7"/>
      <c r="K1023" s="7"/>
      <c r="L1023" s="27"/>
      <c r="N1023" s="8"/>
      <c r="O1023" s="7"/>
      <c r="P1023" s="7"/>
      <c r="Q1023" s="7"/>
      <c r="R1023" s="7"/>
    </row>
    <row r="1024" spans="3:18">
      <c r="C1024" s="7"/>
      <c r="D1024" s="7"/>
      <c r="E1024" s="7"/>
      <c r="F1024" s="7"/>
      <c r="G1024" s="7"/>
      <c r="H1024" s="7"/>
      <c r="I1024" s="7"/>
      <c r="J1024" s="7"/>
      <c r="K1024" s="7"/>
      <c r="L1024" s="27"/>
      <c r="N1024" s="8"/>
      <c r="O1024" s="7"/>
      <c r="P1024" s="7"/>
      <c r="Q1024" s="7"/>
      <c r="R1024" s="7"/>
    </row>
    <row r="1025" spans="3:18">
      <c r="C1025" s="7"/>
      <c r="D1025" s="7"/>
      <c r="E1025" s="7"/>
      <c r="F1025" s="7"/>
      <c r="G1025" s="7"/>
      <c r="H1025" s="7"/>
      <c r="I1025" s="7"/>
      <c r="J1025" s="7"/>
      <c r="K1025" s="7"/>
      <c r="L1025" s="27"/>
      <c r="N1025" s="8"/>
      <c r="O1025" s="7"/>
      <c r="P1025" s="7"/>
      <c r="Q1025" s="7"/>
      <c r="R1025" s="7"/>
    </row>
    <row r="1026" spans="3:18">
      <c r="C1026" s="7"/>
      <c r="D1026" s="7"/>
      <c r="E1026" s="7"/>
      <c r="F1026" s="7"/>
      <c r="G1026" s="7"/>
      <c r="H1026" s="7"/>
      <c r="I1026" s="7"/>
      <c r="J1026" s="7"/>
      <c r="K1026" s="7"/>
      <c r="L1026" s="27"/>
      <c r="N1026" s="8"/>
      <c r="O1026" s="7"/>
      <c r="P1026" s="7"/>
      <c r="Q1026" s="7"/>
      <c r="R1026" s="7"/>
    </row>
    <row r="1027" spans="3:18">
      <c r="C1027" s="7"/>
      <c r="D1027" s="7"/>
      <c r="E1027" s="7"/>
      <c r="F1027" s="7"/>
      <c r="G1027" s="7"/>
      <c r="H1027" s="7"/>
      <c r="I1027" s="7"/>
      <c r="J1027" s="7"/>
      <c r="K1027" s="7"/>
      <c r="L1027" s="27"/>
      <c r="N1027" s="8"/>
      <c r="O1027" s="7"/>
      <c r="P1027" s="7"/>
      <c r="Q1027" s="7"/>
      <c r="R1027" s="7"/>
    </row>
    <row r="1028" spans="3:18">
      <c r="C1028" s="7"/>
      <c r="D1028" s="7"/>
      <c r="E1028" s="7"/>
      <c r="F1028" s="7"/>
      <c r="G1028" s="7"/>
      <c r="H1028" s="7"/>
      <c r="I1028" s="7"/>
      <c r="J1028" s="7"/>
      <c r="K1028" s="7"/>
      <c r="L1028" s="27"/>
      <c r="N1028" s="8"/>
      <c r="O1028" s="7"/>
      <c r="P1028" s="7"/>
      <c r="Q1028" s="7"/>
      <c r="R1028" s="7"/>
    </row>
    <row r="1029" spans="3:18">
      <c r="C1029" s="7"/>
      <c r="D1029" s="7"/>
      <c r="E1029" s="7"/>
      <c r="F1029" s="7"/>
      <c r="G1029" s="7"/>
      <c r="H1029" s="7"/>
      <c r="I1029" s="7"/>
      <c r="J1029" s="7"/>
      <c r="K1029" s="7"/>
      <c r="L1029" s="27"/>
      <c r="N1029" s="8"/>
      <c r="O1029" s="7"/>
      <c r="P1029" s="7"/>
      <c r="Q1029" s="7"/>
      <c r="R1029" s="7"/>
    </row>
    <row r="1030" spans="3:18">
      <c r="C1030" s="7"/>
      <c r="D1030" s="7"/>
      <c r="E1030" s="7"/>
      <c r="F1030" s="7"/>
      <c r="G1030" s="7"/>
      <c r="H1030" s="7"/>
      <c r="I1030" s="7"/>
      <c r="J1030" s="7"/>
      <c r="K1030" s="7"/>
      <c r="L1030" s="27"/>
      <c r="N1030" s="8"/>
      <c r="O1030" s="7"/>
      <c r="P1030" s="7"/>
      <c r="Q1030" s="7"/>
      <c r="R1030" s="7"/>
    </row>
    <row r="1031" spans="3:18">
      <c r="C1031" s="7"/>
      <c r="D1031" s="7"/>
      <c r="E1031" s="7"/>
      <c r="F1031" s="7"/>
      <c r="G1031" s="7"/>
      <c r="H1031" s="7"/>
      <c r="I1031" s="7"/>
      <c r="J1031" s="7"/>
      <c r="K1031" s="7"/>
      <c r="L1031" s="27"/>
      <c r="N1031" s="8"/>
      <c r="O1031" s="7"/>
      <c r="P1031" s="7"/>
      <c r="Q1031" s="7"/>
      <c r="R1031" s="7"/>
    </row>
    <row r="1032" spans="3:18">
      <c r="C1032" s="7"/>
      <c r="D1032" s="7"/>
      <c r="E1032" s="7"/>
      <c r="F1032" s="7"/>
      <c r="G1032" s="7"/>
      <c r="H1032" s="7"/>
      <c r="I1032" s="7"/>
      <c r="J1032" s="7"/>
      <c r="K1032" s="7"/>
      <c r="L1032" s="27"/>
      <c r="N1032" s="8"/>
      <c r="O1032" s="7"/>
      <c r="P1032" s="7"/>
      <c r="Q1032" s="7"/>
      <c r="R1032" s="7"/>
    </row>
    <row r="1033" spans="3:18">
      <c r="C1033" s="7"/>
      <c r="D1033" s="7"/>
      <c r="E1033" s="7"/>
      <c r="F1033" s="7"/>
      <c r="G1033" s="7"/>
      <c r="H1033" s="7"/>
      <c r="I1033" s="7"/>
      <c r="J1033" s="7"/>
      <c r="K1033" s="7"/>
      <c r="L1033" s="27"/>
      <c r="N1033" s="8"/>
      <c r="O1033" s="7"/>
      <c r="P1033" s="7"/>
      <c r="Q1033" s="7"/>
      <c r="R1033" s="7"/>
    </row>
    <row r="1034" spans="3:18">
      <c r="C1034" s="7"/>
      <c r="D1034" s="7"/>
      <c r="E1034" s="7"/>
      <c r="F1034" s="7"/>
      <c r="G1034" s="7"/>
      <c r="H1034" s="7"/>
      <c r="I1034" s="7"/>
      <c r="J1034" s="7"/>
      <c r="K1034" s="7"/>
      <c r="L1034" s="27"/>
      <c r="N1034" s="8"/>
      <c r="O1034" s="7"/>
      <c r="P1034" s="7"/>
      <c r="Q1034" s="7"/>
      <c r="R1034" s="7"/>
    </row>
    <row r="1035" spans="3:18">
      <c r="C1035" s="7"/>
      <c r="D1035" s="7"/>
      <c r="E1035" s="7"/>
      <c r="F1035" s="7"/>
      <c r="G1035" s="7"/>
      <c r="H1035" s="7"/>
      <c r="I1035" s="7"/>
      <c r="J1035" s="7"/>
      <c r="K1035" s="7"/>
      <c r="L1035" s="27"/>
      <c r="N1035" s="8"/>
      <c r="O1035" s="7"/>
      <c r="P1035" s="7"/>
      <c r="Q1035" s="7"/>
      <c r="R1035" s="7"/>
    </row>
    <row r="1036" spans="3:18">
      <c r="C1036" s="7"/>
      <c r="D1036" s="7"/>
      <c r="E1036" s="7"/>
      <c r="F1036" s="7"/>
      <c r="G1036" s="7"/>
      <c r="H1036" s="7"/>
      <c r="I1036" s="7"/>
      <c r="J1036" s="7"/>
      <c r="K1036" s="7"/>
      <c r="L1036" s="27"/>
      <c r="N1036" s="8"/>
      <c r="O1036" s="7"/>
      <c r="P1036" s="7"/>
      <c r="Q1036" s="7"/>
      <c r="R1036" s="7"/>
    </row>
    <row r="1037" spans="3:18">
      <c r="C1037" s="7"/>
      <c r="D1037" s="7"/>
      <c r="E1037" s="7"/>
      <c r="F1037" s="7"/>
      <c r="G1037" s="7"/>
      <c r="H1037" s="7"/>
      <c r="I1037" s="7"/>
      <c r="J1037" s="7"/>
      <c r="K1037" s="7"/>
      <c r="L1037" s="27"/>
      <c r="N1037" s="8"/>
      <c r="O1037" s="7"/>
      <c r="P1037" s="7"/>
      <c r="Q1037" s="7"/>
      <c r="R1037" s="7"/>
    </row>
    <row r="1038" spans="3:18">
      <c r="C1038" s="7"/>
      <c r="D1038" s="7"/>
      <c r="E1038" s="7"/>
      <c r="F1038" s="7"/>
      <c r="G1038" s="7"/>
      <c r="H1038" s="7"/>
      <c r="I1038" s="7"/>
      <c r="J1038" s="7"/>
      <c r="K1038" s="7"/>
      <c r="L1038" s="27"/>
      <c r="N1038" s="8"/>
      <c r="O1038" s="7"/>
      <c r="P1038" s="7"/>
      <c r="Q1038" s="7"/>
      <c r="R1038" s="7"/>
    </row>
    <row r="1039" spans="3:18">
      <c r="C1039" s="7"/>
      <c r="D1039" s="7"/>
      <c r="E1039" s="7"/>
      <c r="F1039" s="7"/>
      <c r="G1039" s="7"/>
      <c r="H1039" s="7"/>
      <c r="I1039" s="7"/>
      <c r="J1039" s="7"/>
      <c r="K1039" s="7"/>
      <c r="L1039" s="27"/>
      <c r="N1039" s="8"/>
      <c r="O1039" s="7"/>
      <c r="P1039" s="7"/>
      <c r="Q1039" s="7"/>
      <c r="R1039" s="7"/>
    </row>
    <row r="1040" spans="3:18">
      <c r="C1040" s="7"/>
      <c r="D1040" s="7"/>
      <c r="E1040" s="7"/>
      <c r="F1040" s="7"/>
      <c r="G1040" s="7"/>
      <c r="H1040" s="7"/>
      <c r="I1040" s="7"/>
      <c r="J1040" s="7"/>
      <c r="K1040" s="7"/>
      <c r="L1040" s="27"/>
      <c r="N1040" s="8"/>
      <c r="O1040" s="7"/>
      <c r="P1040" s="7"/>
      <c r="Q1040" s="7"/>
      <c r="R1040" s="7"/>
    </row>
    <row r="1041" spans="3:18">
      <c r="C1041" s="7"/>
      <c r="D1041" s="7"/>
      <c r="E1041" s="7"/>
      <c r="F1041" s="7"/>
      <c r="G1041" s="7"/>
      <c r="H1041" s="7"/>
      <c r="I1041" s="7"/>
      <c r="J1041" s="7"/>
      <c r="K1041" s="7"/>
      <c r="L1041" s="27"/>
      <c r="N1041" s="8"/>
      <c r="O1041" s="7"/>
      <c r="P1041" s="7"/>
      <c r="Q1041" s="7"/>
      <c r="R1041" s="7"/>
    </row>
    <row r="1042" spans="3:18">
      <c r="C1042" s="7"/>
      <c r="D1042" s="7"/>
      <c r="E1042" s="7"/>
      <c r="F1042" s="7"/>
      <c r="G1042" s="7"/>
      <c r="H1042" s="7"/>
      <c r="I1042" s="7"/>
      <c r="J1042" s="7"/>
      <c r="K1042" s="7"/>
      <c r="L1042" s="27"/>
      <c r="N1042" s="8"/>
      <c r="O1042" s="7"/>
      <c r="P1042" s="7"/>
      <c r="Q1042" s="7"/>
      <c r="R1042" s="7"/>
    </row>
    <row r="1043" spans="3:18">
      <c r="C1043" s="7"/>
      <c r="D1043" s="7"/>
      <c r="E1043" s="7"/>
      <c r="F1043" s="7"/>
      <c r="G1043" s="7"/>
      <c r="H1043" s="7"/>
      <c r="I1043" s="7"/>
      <c r="J1043" s="7"/>
      <c r="K1043" s="7"/>
      <c r="L1043" s="27"/>
      <c r="N1043" s="8"/>
      <c r="O1043" s="7"/>
      <c r="P1043" s="7"/>
      <c r="Q1043" s="7"/>
      <c r="R1043" s="7"/>
    </row>
    <row r="1044" spans="3:18">
      <c r="C1044" s="7"/>
      <c r="D1044" s="7"/>
      <c r="E1044" s="7"/>
      <c r="F1044" s="7"/>
      <c r="G1044" s="7"/>
      <c r="H1044" s="7"/>
      <c r="I1044" s="7"/>
      <c r="J1044" s="7"/>
      <c r="K1044" s="7"/>
      <c r="L1044" s="27"/>
      <c r="N1044" s="8"/>
      <c r="O1044" s="7"/>
      <c r="P1044" s="7"/>
      <c r="Q1044" s="7"/>
      <c r="R1044" s="7"/>
    </row>
    <row r="1045" spans="3:18">
      <c r="C1045" s="7"/>
      <c r="D1045" s="7"/>
      <c r="E1045" s="7"/>
      <c r="F1045" s="7"/>
      <c r="G1045" s="7"/>
      <c r="H1045" s="7"/>
      <c r="I1045" s="7"/>
      <c r="J1045" s="7"/>
      <c r="K1045" s="7"/>
      <c r="L1045" s="27"/>
      <c r="N1045" s="8"/>
      <c r="O1045" s="7"/>
      <c r="P1045" s="7"/>
      <c r="Q1045" s="7"/>
      <c r="R1045" s="7"/>
    </row>
    <row r="1046" spans="3:18">
      <c r="C1046" s="7"/>
      <c r="D1046" s="7"/>
      <c r="E1046" s="7"/>
      <c r="F1046" s="7"/>
      <c r="G1046" s="7"/>
      <c r="H1046" s="7"/>
      <c r="I1046" s="7"/>
      <c r="J1046" s="7"/>
      <c r="K1046" s="7"/>
      <c r="L1046" s="27"/>
      <c r="N1046" s="8"/>
      <c r="O1046" s="7"/>
      <c r="P1046" s="7"/>
      <c r="Q1046" s="7"/>
      <c r="R1046" s="7"/>
    </row>
    <row r="1047" spans="3:18">
      <c r="C1047" s="7"/>
      <c r="D1047" s="7"/>
      <c r="E1047" s="7"/>
      <c r="F1047" s="7"/>
      <c r="G1047" s="7"/>
      <c r="H1047" s="7"/>
      <c r="I1047" s="7"/>
      <c r="J1047" s="7"/>
      <c r="K1047" s="7"/>
      <c r="L1047" s="27"/>
      <c r="N1047" s="8"/>
      <c r="O1047" s="7"/>
      <c r="P1047" s="7"/>
      <c r="Q1047" s="7"/>
      <c r="R1047" s="7"/>
    </row>
    <row r="1048" spans="3:18">
      <c r="C1048" s="7"/>
      <c r="D1048" s="7"/>
      <c r="E1048" s="7"/>
      <c r="F1048" s="7"/>
      <c r="G1048" s="7"/>
      <c r="H1048" s="7"/>
      <c r="I1048" s="7"/>
      <c r="J1048" s="7"/>
      <c r="K1048" s="7"/>
      <c r="L1048" s="27"/>
      <c r="N1048" s="8"/>
      <c r="O1048" s="7"/>
      <c r="P1048" s="7"/>
      <c r="Q1048" s="7"/>
      <c r="R1048" s="7"/>
    </row>
    <row r="1049" spans="3:18">
      <c r="C1049" s="7"/>
      <c r="D1049" s="7"/>
      <c r="E1049" s="7"/>
      <c r="F1049" s="7"/>
      <c r="G1049" s="7"/>
      <c r="H1049" s="7"/>
      <c r="I1049" s="7"/>
      <c r="J1049" s="7"/>
      <c r="K1049" s="7"/>
      <c r="L1049" s="27"/>
      <c r="N1049" s="8"/>
      <c r="O1049" s="7"/>
      <c r="P1049" s="7"/>
      <c r="Q1049" s="7"/>
      <c r="R1049" s="7"/>
    </row>
    <row r="1050" spans="3:18">
      <c r="C1050" s="7"/>
      <c r="D1050" s="7"/>
      <c r="E1050" s="7"/>
      <c r="F1050" s="7"/>
      <c r="G1050" s="7"/>
      <c r="H1050" s="7"/>
      <c r="I1050" s="7"/>
      <c r="J1050" s="7"/>
      <c r="K1050" s="7"/>
      <c r="L1050" s="27"/>
      <c r="N1050" s="8"/>
      <c r="O1050" s="7"/>
      <c r="P1050" s="7"/>
      <c r="Q1050" s="7"/>
      <c r="R1050" s="7"/>
    </row>
    <row r="1051" spans="3:18">
      <c r="C1051" s="7"/>
      <c r="D1051" s="7"/>
      <c r="E1051" s="7"/>
      <c r="F1051" s="7"/>
      <c r="G1051" s="7"/>
      <c r="H1051" s="7"/>
      <c r="I1051" s="7"/>
      <c r="J1051" s="7"/>
      <c r="K1051" s="7"/>
      <c r="L1051" s="27"/>
      <c r="N1051" s="8"/>
      <c r="O1051" s="7"/>
      <c r="P1051" s="7"/>
      <c r="Q1051" s="7"/>
      <c r="R1051" s="7"/>
    </row>
    <row r="1052" spans="3:18">
      <c r="C1052" s="7"/>
      <c r="D1052" s="7"/>
      <c r="E1052" s="7"/>
      <c r="F1052" s="7"/>
      <c r="G1052" s="7"/>
      <c r="H1052" s="7"/>
      <c r="I1052" s="7"/>
      <c r="J1052" s="7"/>
      <c r="K1052" s="7"/>
      <c r="L1052" s="27"/>
      <c r="N1052" s="8"/>
      <c r="O1052" s="7"/>
      <c r="P1052" s="7"/>
      <c r="Q1052" s="7"/>
      <c r="R1052" s="7"/>
    </row>
    <row r="1053" spans="3:18">
      <c r="C1053" s="7"/>
      <c r="D1053" s="7"/>
      <c r="E1053" s="7"/>
      <c r="F1053" s="7"/>
      <c r="G1053" s="7"/>
      <c r="H1053" s="7"/>
      <c r="I1053" s="7"/>
      <c r="J1053" s="7"/>
      <c r="K1053" s="7"/>
      <c r="L1053" s="27"/>
      <c r="N1053" s="8"/>
      <c r="O1053" s="7"/>
      <c r="P1053" s="7"/>
      <c r="Q1053" s="7"/>
      <c r="R1053" s="7"/>
    </row>
    <row r="1054" spans="3:18">
      <c r="C1054" s="7"/>
      <c r="D1054" s="7"/>
      <c r="E1054" s="7"/>
      <c r="F1054" s="7"/>
      <c r="G1054" s="7"/>
      <c r="H1054" s="7"/>
      <c r="I1054" s="7"/>
      <c r="J1054" s="7"/>
      <c r="K1054" s="7"/>
      <c r="L1054" s="27"/>
      <c r="N1054" s="8"/>
      <c r="O1054" s="7"/>
      <c r="P1054" s="7"/>
      <c r="Q1054" s="7"/>
      <c r="R1054" s="7"/>
    </row>
    <row r="1055" spans="3:18">
      <c r="C1055" s="7"/>
      <c r="D1055" s="7"/>
      <c r="E1055" s="7"/>
      <c r="F1055" s="7"/>
      <c r="G1055" s="7"/>
      <c r="H1055" s="7"/>
      <c r="I1055" s="7"/>
      <c r="J1055" s="7"/>
      <c r="K1055" s="7"/>
      <c r="L1055" s="27"/>
      <c r="N1055" s="8"/>
      <c r="O1055" s="7"/>
      <c r="P1055" s="7"/>
      <c r="Q1055" s="7"/>
      <c r="R1055" s="7"/>
    </row>
    <row r="1056" spans="3:18">
      <c r="C1056" s="7"/>
      <c r="D1056" s="7"/>
      <c r="E1056" s="7"/>
      <c r="F1056" s="7"/>
      <c r="G1056" s="7"/>
      <c r="H1056" s="7"/>
      <c r="I1056" s="7"/>
      <c r="J1056" s="7"/>
      <c r="K1056" s="7"/>
      <c r="L1056" s="27"/>
      <c r="N1056" s="8"/>
      <c r="O1056" s="7"/>
      <c r="P1056" s="7"/>
      <c r="Q1056" s="7"/>
      <c r="R1056" s="7"/>
    </row>
    <row r="1057" spans="3:18">
      <c r="C1057" s="7"/>
      <c r="D1057" s="7"/>
      <c r="E1057" s="7"/>
      <c r="F1057" s="7"/>
      <c r="G1057" s="7"/>
      <c r="H1057" s="7"/>
      <c r="I1057" s="7"/>
      <c r="J1057" s="7"/>
      <c r="K1057" s="7"/>
      <c r="L1057" s="27"/>
      <c r="N1057" s="8"/>
      <c r="O1057" s="7"/>
      <c r="P1057" s="7"/>
      <c r="Q1057" s="7"/>
      <c r="R1057" s="7"/>
    </row>
    <row r="1058" spans="3:18">
      <c r="C1058" s="7"/>
      <c r="D1058" s="7"/>
      <c r="E1058" s="7"/>
      <c r="F1058" s="7"/>
      <c r="G1058" s="7"/>
      <c r="H1058" s="7"/>
      <c r="I1058" s="7"/>
      <c r="J1058" s="7"/>
      <c r="K1058" s="7"/>
      <c r="L1058" s="27"/>
      <c r="N1058" s="8"/>
      <c r="O1058" s="7"/>
      <c r="P1058" s="7"/>
      <c r="Q1058" s="7"/>
      <c r="R1058" s="7"/>
    </row>
    <row r="1059" spans="3:18">
      <c r="C1059" s="7"/>
      <c r="D1059" s="7"/>
      <c r="E1059" s="7"/>
      <c r="F1059" s="7"/>
      <c r="G1059" s="7"/>
      <c r="H1059" s="7"/>
      <c r="I1059" s="7"/>
      <c r="J1059" s="7"/>
      <c r="K1059" s="7"/>
      <c r="L1059" s="27"/>
      <c r="N1059" s="8"/>
      <c r="O1059" s="7"/>
      <c r="P1059" s="7"/>
      <c r="Q1059" s="7"/>
      <c r="R1059" s="7"/>
    </row>
    <row r="1060" spans="3:18">
      <c r="C1060" s="7"/>
      <c r="D1060" s="7"/>
      <c r="E1060" s="7"/>
      <c r="F1060" s="7"/>
      <c r="G1060" s="7"/>
      <c r="H1060" s="7"/>
      <c r="I1060" s="7"/>
      <c r="J1060" s="7"/>
      <c r="K1060" s="7"/>
      <c r="L1060" s="27"/>
      <c r="N1060" s="8"/>
      <c r="O1060" s="7"/>
      <c r="P1060" s="7"/>
      <c r="Q1060" s="7"/>
      <c r="R1060" s="7"/>
    </row>
    <row r="1061" spans="3:18">
      <c r="C1061" s="7"/>
      <c r="D1061" s="7"/>
      <c r="E1061" s="7"/>
      <c r="F1061" s="7"/>
      <c r="G1061" s="7"/>
      <c r="H1061" s="7"/>
      <c r="I1061" s="7"/>
      <c r="J1061" s="7"/>
      <c r="K1061" s="7"/>
      <c r="L1061" s="27"/>
      <c r="N1061" s="8"/>
      <c r="O1061" s="7"/>
      <c r="P1061" s="7"/>
      <c r="Q1061" s="7"/>
      <c r="R1061" s="7"/>
    </row>
    <row r="1062" spans="3:18">
      <c r="C1062" s="7"/>
      <c r="D1062" s="7"/>
      <c r="E1062" s="7"/>
      <c r="F1062" s="7"/>
      <c r="G1062" s="7"/>
      <c r="H1062" s="7"/>
      <c r="I1062" s="7"/>
      <c r="J1062" s="7"/>
      <c r="K1062" s="7"/>
      <c r="L1062" s="27"/>
      <c r="N1062" s="8"/>
      <c r="O1062" s="7"/>
      <c r="P1062" s="7"/>
      <c r="Q1062" s="7"/>
      <c r="R1062" s="7"/>
    </row>
    <row r="1063" spans="3:18">
      <c r="C1063" s="7"/>
      <c r="D1063" s="7"/>
      <c r="E1063" s="7"/>
      <c r="F1063" s="7"/>
      <c r="G1063" s="7"/>
      <c r="H1063" s="7"/>
      <c r="I1063" s="7"/>
      <c r="J1063" s="7"/>
      <c r="K1063" s="7"/>
      <c r="L1063" s="27"/>
      <c r="N1063" s="8"/>
      <c r="O1063" s="7"/>
      <c r="P1063" s="7"/>
      <c r="Q1063" s="7"/>
      <c r="R1063" s="7"/>
    </row>
    <row r="1064" spans="3:18">
      <c r="C1064" s="7"/>
      <c r="D1064" s="7"/>
      <c r="E1064" s="7"/>
      <c r="F1064" s="7"/>
      <c r="G1064" s="7"/>
      <c r="H1064" s="7"/>
      <c r="I1064" s="7"/>
      <c r="J1064" s="7"/>
      <c r="K1064" s="7"/>
      <c r="L1064" s="27"/>
      <c r="N1064" s="8"/>
      <c r="O1064" s="7"/>
      <c r="P1064" s="7"/>
      <c r="Q1064" s="7"/>
      <c r="R1064" s="7"/>
    </row>
    <row r="1065" spans="3:18">
      <c r="C1065" s="7"/>
      <c r="D1065" s="7"/>
      <c r="E1065" s="7"/>
      <c r="F1065" s="7"/>
      <c r="G1065" s="7"/>
      <c r="H1065" s="7"/>
      <c r="I1065" s="7"/>
      <c r="J1065" s="7"/>
      <c r="K1065" s="7"/>
      <c r="L1065" s="27"/>
      <c r="N1065" s="8"/>
      <c r="O1065" s="7"/>
      <c r="P1065" s="7"/>
      <c r="Q1065" s="7"/>
      <c r="R1065" s="7"/>
    </row>
    <row r="1066" spans="3:18">
      <c r="C1066" s="7"/>
      <c r="D1066" s="7"/>
      <c r="E1066" s="7"/>
      <c r="F1066" s="7"/>
      <c r="G1066" s="7"/>
      <c r="H1066" s="7"/>
      <c r="I1066" s="7"/>
      <c r="J1066" s="7"/>
      <c r="K1066" s="7"/>
      <c r="L1066" s="27"/>
      <c r="N1066" s="8"/>
      <c r="O1066" s="7"/>
      <c r="P1066" s="7"/>
      <c r="Q1066" s="7"/>
      <c r="R1066" s="7"/>
    </row>
    <row r="1067" spans="3:18">
      <c r="C1067" s="7"/>
      <c r="D1067" s="7"/>
      <c r="E1067" s="7"/>
      <c r="F1067" s="7"/>
      <c r="G1067" s="7"/>
      <c r="H1067" s="7"/>
      <c r="I1067" s="7"/>
      <c r="J1067" s="7"/>
      <c r="K1067" s="7"/>
      <c r="L1067" s="27"/>
      <c r="N1067" s="8"/>
      <c r="O1067" s="7"/>
      <c r="P1067" s="7"/>
      <c r="Q1067" s="7"/>
      <c r="R1067" s="7"/>
    </row>
    <row r="1068" spans="3:18">
      <c r="C1068" s="7"/>
      <c r="D1068" s="7"/>
      <c r="E1068" s="7"/>
      <c r="F1068" s="7"/>
      <c r="G1068" s="7"/>
      <c r="H1068" s="7"/>
      <c r="I1068" s="7"/>
      <c r="J1068" s="7"/>
      <c r="K1068" s="7"/>
      <c r="L1068" s="27"/>
      <c r="N1068" s="8"/>
      <c r="O1068" s="7"/>
      <c r="P1068" s="7"/>
      <c r="Q1068" s="7"/>
      <c r="R1068" s="7"/>
    </row>
    <row r="1069" spans="3:18">
      <c r="C1069" s="7"/>
      <c r="D1069" s="7"/>
      <c r="E1069" s="7"/>
      <c r="F1069" s="7"/>
      <c r="G1069" s="7"/>
      <c r="H1069" s="7"/>
      <c r="I1069" s="7"/>
      <c r="J1069" s="7"/>
      <c r="K1069" s="7"/>
      <c r="L1069" s="27"/>
      <c r="N1069" s="8"/>
      <c r="O1069" s="7"/>
      <c r="P1069" s="7"/>
      <c r="Q1069" s="7"/>
      <c r="R1069" s="7"/>
    </row>
    <row r="1070" spans="3:18">
      <c r="C1070" s="7"/>
      <c r="D1070" s="7"/>
      <c r="E1070" s="7"/>
      <c r="F1070" s="7"/>
      <c r="G1070" s="7"/>
      <c r="H1070" s="7"/>
      <c r="I1070" s="7"/>
      <c r="J1070" s="7"/>
      <c r="K1070" s="7"/>
      <c r="L1070" s="27"/>
      <c r="N1070" s="8"/>
      <c r="O1070" s="7"/>
      <c r="P1070" s="7"/>
      <c r="Q1070" s="7"/>
      <c r="R1070" s="7"/>
    </row>
    <row r="1071" spans="3:18">
      <c r="C1071" s="7"/>
      <c r="D1071" s="7"/>
      <c r="E1071" s="7"/>
      <c r="F1071" s="7"/>
      <c r="G1071" s="7"/>
      <c r="H1071" s="7"/>
      <c r="I1071" s="7"/>
      <c r="J1071" s="7"/>
      <c r="K1071" s="7"/>
      <c r="L1071" s="27"/>
      <c r="N1071" s="8"/>
      <c r="O1071" s="7"/>
      <c r="P1071" s="7"/>
      <c r="Q1071" s="7"/>
      <c r="R1071" s="7"/>
    </row>
    <row r="1072" spans="3:18">
      <c r="C1072" s="7"/>
      <c r="D1072" s="7"/>
      <c r="E1072" s="7"/>
      <c r="F1072" s="7"/>
      <c r="G1072" s="7"/>
      <c r="H1072" s="7"/>
      <c r="I1072" s="7"/>
      <c r="J1072" s="7"/>
      <c r="K1072" s="7"/>
      <c r="L1072" s="27"/>
      <c r="N1072" s="8"/>
      <c r="O1072" s="7"/>
      <c r="P1072" s="7"/>
      <c r="Q1072" s="7"/>
      <c r="R1072" s="7"/>
    </row>
    <row r="1073" spans="3:18">
      <c r="C1073" s="7"/>
      <c r="D1073" s="7"/>
      <c r="E1073" s="7"/>
      <c r="F1073" s="7"/>
      <c r="G1073" s="7"/>
      <c r="H1073" s="7"/>
      <c r="I1073" s="7"/>
      <c r="J1073" s="7"/>
      <c r="K1073" s="7"/>
      <c r="L1073" s="27"/>
      <c r="N1073" s="8"/>
      <c r="O1073" s="7"/>
      <c r="P1073" s="7"/>
      <c r="Q1073" s="7"/>
      <c r="R1073" s="7"/>
    </row>
    <row r="1074" spans="3:18">
      <c r="C1074" s="7"/>
      <c r="D1074" s="7"/>
      <c r="E1074" s="7"/>
      <c r="F1074" s="7"/>
      <c r="G1074" s="7"/>
      <c r="H1074" s="7"/>
      <c r="I1074" s="7"/>
      <c r="J1074" s="7"/>
      <c r="K1074" s="7"/>
      <c r="L1074" s="27"/>
      <c r="N1074" s="8"/>
      <c r="O1074" s="7"/>
      <c r="P1074" s="7"/>
      <c r="Q1074" s="7"/>
      <c r="R1074" s="7"/>
    </row>
    <row r="1075" spans="3:18">
      <c r="C1075" s="7"/>
      <c r="D1075" s="7"/>
      <c r="E1075" s="7"/>
      <c r="F1075" s="7"/>
      <c r="G1075" s="7"/>
      <c r="H1075" s="7"/>
      <c r="I1075" s="7"/>
      <c r="J1075" s="7"/>
      <c r="K1075" s="7"/>
      <c r="L1075" s="27"/>
      <c r="N1075" s="8"/>
      <c r="O1075" s="7"/>
      <c r="P1075" s="7"/>
      <c r="Q1075" s="7"/>
      <c r="R1075" s="7"/>
    </row>
    <row r="1076" spans="3:18">
      <c r="C1076" s="7"/>
      <c r="D1076" s="7"/>
      <c r="E1076" s="7"/>
      <c r="F1076" s="7"/>
      <c r="G1076" s="7"/>
      <c r="H1076" s="7"/>
      <c r="I1076" s="7"/>
      <c r="J1076" s="7"/>
      <c r="K1076" s="7"/>
      <c r="L1076" s="27"/>
      <c r="N1076" s="8"/>
      <c r="O1076" s="7"/>
      <c r="P1076" s="7"/>
      <c r="Q1076" s="7"/>
      <c r="R1076" s="7"/>
    </row>
    <row r="1077" spans="3:18">
      <c r="C1077" s="7"/>
      <c r="D1077" s="7"/>
      <c r="E1077" s="7"/>
      <c r="F1077" s="7"/>
      <c r="G1077" s="7"/>
      <c r="H1077" s="7"/>
      <c r="I1077" s="7"/>
      <c r="J1077" s="7"/>
      <c r="K1077" s="7"/>
      <c r="L1077" s="27"/>
      <c r="N1077" s="8"/>
      <c r="O1077" s="7"/>
      <c r="P1077" s="7"/>
      <c r="Q1077" s="7"/>
      <c r="R1077" s="7"/>
    </row>
    <row r="1078" spans="3:18">
      <c r="C1078" s="7"/>
      <c r="D1078" s="7"/>
      <c r="E1078" s="7"/>
      <c r="F1078" s="7"/>
      <c r="G1078" s="7"/>
      <c r="H1078" s="7"/>
      <c r="I1078" s="7"/>
      <c r="J1078" s="7"/>
      <c r="K1078" s="7"/>
      <c r="L1078" s="27"/>
      <c r="N1078" s="8"/>
      <c r="O1078" s="7"/>
      <c r="P1078" s="7"/>
      <c r="Q1078" s="7"/>
      <c r="R1078" s="7"/>
    </row>
    <row r="1079" spans="3:18">
      <c r="C1079" s="7"/>
      <c r="D1079" s="7"/>
      <c r="E1079" s="7"/>
      <c r="F1079" s="7"/>
      <c r="G1079" s="7"/>
      <c r="H1079" s="7"/>
      <c r="I1079" s="7"/>
      <c r="J1079" s="7"/>
      <c r="K1079" s="7"/>
      <c r="L1079" s="27"/>
      <c r="N1079" s="8"/>
      <c r="O1079" s="7"/>
      <c r="P1079" s="7"/>
      <c r="Q1079" s="7"/>
      <c r="R1079" s="7"/>
    </row>
    <row r="1080" spans="3:18">
      <c r="C1080" s="7"/>
      <c r="D1080" s="7"/>
      <c r="E1080" s="7"/>
      <c r="F1080" s="7"/>
      <c r="G1080" s="7"/>
      <c r="H1080" s="7"/>
      <c r="I1080" s="7"/>
      <c r="J1080" s="7"/>
      <c r="K1080" s="7"/>
      <c r="L1080" s="27"/>
      <c r="N1080" s="8"/>
      <c r="O1080" s="7"/>
      <c r="P1080" s="7"/>
      <c r="Q1080" s="7"/>
      <c r="R1080" s="7"/>
    </row>
    <row r="1081" spans="3:18">
      <c r="C1081" s="7"/>
      <c r="D1081" s="7"/>
      <c r="E1081" s="7"/>
      <c r="F1081" s="7"/>
      <c r="G1081" s="7"/>
      <c r="H1081" s="7"/>
      <c r="I1081" s="7"/>
      <c r="J1081" s="7"/>
      <c r="K1081" s="7"/>
      <c r="L1081" s="27"/>
      <c r="N1081" s="8"/>
      <c r="O1081" s="7"/>
      <c r="P1081" s="7"/>
      <c r="Q1081" s="7"/>
      <c r="R1081" s="7"/>
    </row>
    <row r="1082" spans="3:18">
      <c r="C1082" s="7"/>
      <c r="D1082" s="7"/>
      <c r="E1082" s="7"/>
      <c r="F1082" s="7"/>
      <c r="G1082" s="7"/>
      <c r="H1082" s="7"/>
      <c r="I1082" s="7"/>
      <c r="J1082" s="7"/>
      <c r="K1082" s="7"/>
      <c r="L1082" s="27"/>
      <c r="N1082" s="8"/>
      <c r="O1082" s="7"/>
      <c r="P1082" s="7"/>
      <c r="Q1082" s="7"/>
      <c r="R1082" s="7"/>
    </row>
    <row r="1083" spans="3:18">
      <c r="C1083" s="7"/>
      <c r="D1083" s="7"/>
      <c r="E1083" s="7"/>
      <c r="F1083" s="7"/>
      <c r="G1083" s="7"/>
      <c r="H1083" s="7"/>
      <c r="I1083" s="7"/>
      <c r="J1083" s="7"/>
      <c r="K1083" s="7"/>
      <c r="L1083" s="27"/>
      <c r="N1083" s="8"/>
      <c r="O1083" s="7"/>
      <c r="P1083" s="7"/>
      <c r="Q1083" s="7"/>
      <c r="R1083" s="7"/>
    </row>
    <row r="1084" spans="3:18">
      <c r="C1084" s="7"/>
      <c r="D1084" s="7"/>
      <c r="E1084" s="7"/>
      <c r="F1084" s="7"/>
      <c r="G1084" s="7"/>
      <c r="H1084" s="7"/>
      <c r="I1084" s="7"/>
      <c r="J1084" s="7"/>
      <c r="K1084" s="7"/>
      <c r="L1084" s="27"/>
      <c r="N1084" s="8"/>
      <c r="O1084" s="7"/>
      <c r="P1084" s="7"/>
      <c r="Q1084" s="7"/>
      <c r="R1084" s="7"/>
    </row>
    <row r="1085" spans="3:18">
      <c r="C1085" s="7"/>
      <c r="D1085" s="7"/>
      <c r="E1085" s="7"/>
      <c r="F1085" s="7"/>
      <c r="G1085" s="7"/>
      <c r="H1085" s="7"/>
      <c r="I1085" s="7"/>
      <c r="J1085" s="7"/>
      <c r="K1085" s="7"/>
      <c r="L1085" s="27"/>
      <c r="N1085" s="8"/>
      <c r="O1085" s="7"/>
      <c r="P1085" s="7"/>
      <c r="Q1085" s="7"/>
      <c r="R1085" s="7"/>
    </row>
    <row r="1086" spans="3:18">
      <c r="C1086" s="7"/>
      <c r="D1086" s="7"/>
      <c r="E1086" s="7"/>
      <c r="F1086" s="7"/>
      <c r="G1086" s="7"/>
      <c r="H1086" s="7"/>
      <c r="I1086" s="7"/>
      <c r="J1086" s="7"/>
      <c r="K1086" s="7"/>
      <c r="L1086" s="27"/>
      <c r="N1086" s="8"/>
      <c r="O1086" s="7"/>
      <c r="P1086" s="7"/>
      <c r="Q1086" s="7"/>
      <c r="R1086" s="7"/>
    </row>
    <row r="1087" spans="3:18">
      <c r="C1087" s="7"/>
      <c r="D1087" s="7"/>
      <c r="E1087" s="7"/>
      <c r="F1087" s="7"/>
      <c r="G1087" s="7"/>
      <c r="H1087" s="7"/>
      <c r="I1087" s="7"/>
      <c r="J1087" s="7"/>
      <c r="K1087" s="7"/>
      <c r="L1087" s="27"/>
      <c r="N1087" s="8"/>
      <c r="O1087" s="7"/>
      <c r="P1087" s="7"/>
      <c r="Q1087" s="7"/>
      <c r="R1087" s="7"/>
    </row>
    <row r="1088" spans="3:18">
      <c r="C1088" s="7"/>
      <c r="D1088" s="7"/>
      <c r="E1088" s="7"/>
      <c r="F1088" s="7"/>
      <c r="G1088" s="7"/>
      <c r="H1088" s="7"/>
      <c r="I1088" s="7"/>
      <c r="J1088" s="7"/>
      <c r="K1088" s="7"/>
      <c r="L1088" s="27"/>
      <c r="N1088" s="8"/>
      <c r="O1088" s="7"/>
      <c r="P1088" s="7"/>
      <c r="Q1088" s="7"/>
      <c r="R1088" s="7"/>
    </row>
    <row r="1089" spans="3:18">
      <c r="C1089" s="7"/>
      <c r="D1089" s="7"/>
      <c r="E1089" s="7"/>
      <c r="F1089" s="7"/>
      <c r="G1089" s="7"/>
      <c r="H1089" s="7"/>
      <c r="I1089" s="7"/>
      <c r="J1089" s="7"/>
      <c r="K1089" s="7"/>
      <c r="L1089" s="27"/>
      <c r="N1089" s="8"/>
      <c r="O1089" s="7"/>
      <c r="P1089" s="7"/>
      <c r="Q1089" s="7"/>
      <c r="R1089" s="7"/>
    </row>
    <row r="1090" spans="3:18">
      <c r="C1090" s="7"/>
      <c r="D1090" s="7"/>
      <c r="E1090" s="7"/>
      <c r="F1090" s="7"/>
      <c r="G1090" s="7"/>
      <c r="H1090" s="7"/>
      <c r="I1090" s="7"/>
      <c r="J1090" s="7"/>
      <c r="K1090" s="7"/>
      <c r="L1090" s="27"/>
      <c r="N1090" s="8"/>
      <c r="O1090" s="7"/>
      <c r="P1090" s="7"/>
      <c r="Q1090" s="7"/>
      <c r="R1090" s="7"/>
    </row>
    <row r="1091" spans="3:18">
      <c r="C1091" s="7"/>
      <c r="D1091" s="7"/>
      <c r="E1091" s="7"/>
      <c r="F1091" s="7"/>
      <c r="G1091" s="7"/>
      <c r="H1091" s="7"/>
      <c r="I1091" s="7"/>
      <c r="J1091" s="7"/>
      <c r="K1091" s="7"/>
      <c r="L1091" s="27"/>
      <c r="N1091" s="8"/>
      <c r="O1091" s="7"/>
      <c r="P1091" s="7"/>
      <c r="Q1091" s="7"/>
      <c r="R1091" s="7"/>
    </row>
    <row r="1092" spans="3:18">
      <c r="C1092" s="7"/>
      <c r="D1092" s="7"/>
      <c r="E1092" s="7"/>
      <c r="F1092" s="7"/>
      <c r="G1092" s="7"/>
      <c r="H1092" s="7"/>
      <c r="I1092" s="7"/>
      <c r="J1092" s="7"/>
      <c r="K1092" s="7"/>
      <c r="L1092" s="27"/>
      <c r="N1092" s="8"/>
      <c r="O1092" s="7"/>
      <c r="P1092" s="7"/>
      <c r="Q1092" s="7"/>
      <c r="R1092" s="7"/>
    </row>
    <row r="1093" spans="3:18">
      <c r="C1093" s="7"/>
      <c r="D1093" s="7"/>
      <c r="E1093" s="7"/>
      <c r="F1093" s="7"/>
      <c r="G1093" s="7"/>
      <c r="H1093" s="7"/>
      <c r="I1093" s="7"/>
      <c r="J1093" s="7"/>
      <c r="K1093" s="7"/>
      <c r="L1093" s="27"/>
      <c r="N1093" s="8"/>
      <c r="O1093" s="7"/>
      <c r="P1093" s="7"/>
      <c r="Q1093" s="7"/>
      <c r="R1093" s="7"/>
    </row>
    <row r="1094" spans="3:18">
      <c r="C1094" s="7"/>
      <c r="D1094" s="7"/>
      <c r="E1094" s="7"/>
      <c r="F1094" s="7"/>
      <c r="G1094" s="7"/>
      <c r="H1094" s="7"/>
      <c r="I1094" s="7"/>
      <c r="J1094" s="7"/>
      <c r="K1094" s="7"/>
      <c r="L1094" s="27"/>
      <c r="N1094" s="8"/>
      <c r="O1094" s="7"/>
      <c r="P1094" s="7"/>
      <c r="Q1094" s="7"/>
      <c r="R1094" s="7"/>
    </row>
    <row r="1095" spans="3:18">
      <c r="C1095" s="7"/>
      <c r="D1095" s="7"/>
      <c r="E1095" s="7"/>
      <c r="F1095" s="7"/>
      <c r="G1095" s="7"/>
      <c r="H1095" s="7"/>
      <c r="I1095" s="7"/>
      <c r="J1095" s="7"/>
      <c r="K1095" s="7"/>
      <c r="L1095" s="27"/>
      <c r="N1095" s="8"/>
      <c r="O1095" s="7"/>
      <c r="P1095" s="7"/>
      <c r="Q1095" s="7"/>
      <c r="R1095" s="7"/>
    </row>
    <row r="1096" spans="3:18">
      <c r="C1096" s="7"/>
      <c r="D1096" s="7"/>
      <c r="E1096" s="7"/>
      <c r="F1096" s="7"/>
      <c r="G1096" s="7"/>
      <c r="H1096" s="7"/>
      <c r="I1096" s="7"/>
      <c r="J1096" s="7"/>
      <c r="K1096" s="7"/>
      <c r="L1096" s="27"/>
      <c r="N1096" s="8"/>
      <c r="O1096" s="7"/>
      <c r="P1096" s="7"/>
      <c r="Q1096" s="7"/>
      <c r="R1096" s="7"/>
    </row>
    <row r="1097" spans="3:18">
      <c r="C1097" s="7"/>
      <c r="D1097" s="7"/>
      <c r="E1097" s="7"/>
      <c r="F1097" s="7"/>
      <c r="G1097" s="7"/>
      <c r="H1097" s="7"/>
      <c r="I1097" s="7"/>
      <c r="J1097" s="7"/>
      <c r="K1097" s="7"/>
      <c r="L1097" s="27"/>
      <c r="N1097" s="8"/>
      <c r="O1097" s="7"/>
      <c r="P1097" s="7"/>
      <c r="Q1097" s="7"/>
      <c r="R1097" s="7"/>
    </row>
    <row r="1098" spans="3:18">
      <c r="C1098" s="7"/>
      <c r="D1098" s="7"/>
      <c r="E1098" s="7"/>
      <c r="F1098" s="7"/>
      <c r="G1098" s="7"/>
      <c r="H1098" s="7"/>
      <c r="I1098" s="7"/>
      <c r="J1098" s="7"/>
      <c r="K1098" s="7"/>
      <c r="L1098" s="27"/>
      <c r="N1098" s="8"/>
      <c r="O1098" s="7"/>
      <c r="P1098" s="7"/>
      <c r="Q1098" s="7"/>
      <c r="R1098" s="7"/>
    </row>
    <row r="1099" spans="3:18">
      <c r="C1099" s="7"/>
      <c r="D1099" s="7"/>
      <c r="E1099" s="7"/>
      <c r="F1099" s="7"/>
      <c r="G1099" s="7"/>
      <c r="H1099" s="7"/>
      <c r="I1099" s="7"/>
      <c r="J1099" s="7"/>
      <c r="K1099" s="7"/>
      <c r="L1099" s="27"/>
      <c r="N1099" s="8"/>
      <c r="O1099" s="7"/>
      <c r="P1099" s="7"/>
      <c r="Q1099" s="7"/>
      <c r="R1099" s="7"/>
    </row>
    <row r="1100" spans="3:18">
      <c r="C1100" s="7"/>
      <c r="D1100" s="7"/>
      <c r="E1100" s="7"/>
      <c r="F1100" s="7"/>
      <c r="G1100" s="7"/>
      <c r="H1100" s="7"/>
      <c r="I1100" s="7"/>
      <c r="J1100" s="7"/>
      <c r="K1100" s="7"/>
      <c r="L1100" s="27"/>
      <c r="N1100" s="8"/>
      <c r="O1100" s="7"/>
      <c r="P1100" s="7"/>
      <c r="Q1100" s="7"/>
      <c r="R1100" s="7"/>
    </row>
    <row r="1101" spans="3:18">
      <c r="C1101" s="7"/>
      <c r="D1101" s="7"/>
      <c r="E1101" s="7"/>
      <c r="F1101" s="7"/>
      <c r="G1101" s="7"/>
      <c r="H1101" s="7"/>
      <c r="I1101" s="7"/>
      <c r="J1101" s="7"/>
      <c r="K1101" s="7"/>
      <c r="L1101" s="27"/>
      <c r="N1101" s="8"/>
      <c r="O1101" s="7"/>
      <c r="P1101" s="7"/>
      <c r="Q1101" s="7"/>
      <c r="R1101" s="7"/>
    </row>
    <row r="1102" spans="3:18">
      <c r="C1102" s="7"/>
      <c r="D1102" s="7"/>
      <c r="E1102" s="7"/>
      <c r="F1102" s="7"/>
      <c r="G1102" s="7"/>
      <c r="H1102" s="7"/>
      <c r="I1102" s="7"/>
      <c r="J1102" s="7"/>
      <c r="K1102" s="7"/>
      <c r="L1102" s="27"/>
      <c r="N1102" s="8"/>
      <c r="O1102" s="7"/>
      <c r="P1102" s="7"/>
      <c r="Q1102" s="7"/>
      <c r="R1102" s="7"/>
    </row>
    <row r="1103" spans="3:18">
      <c r="C1103" s="7"/>
      <c r="D1103" s="7"/>
      <c r="E1103" s="7"/>
      <c r="F1103" s="7"/>
      <c r="G1103" s="7"/>
      <c r="H1103" s="7"/>
      <c r="I1103" s="7"/>
      <c r="J1103" s="7"/>
      <c r="K1103" s="7"/>
      <c r="L1103" s="27"/>
      <c r="N1103" s="8"/>
      <c r="O1103" s="7"/>
      <c r="P1103" s="7"/>
      <c r="Q1103" s="7"/>
      <c r="R1103" s="7"/>
    </row>
    <row r="1104" spans="3:18">
      <c r="C1104" s="7"/>
      <c r="D1104" s="7"/>
      <c r="E1104" s="7"/>
      <c r="F1104" s="7"/>
      <c r="G1104" s="7"/>
      <c r="H1104" s="7"/>
      <c r="I1104" s="7"/>
      <c r="J1104" s="7"/>
      <c r="K1104" s="7"/>
      <c r="L1104" s="27"/>
      <c r="N1104" s="8"/>
      <c r="O1104" s="7"/>
      <c r="P1104" s="7"/>
      <c r="Q1104" s="7"/>
      <c r="R1104" s="7"/>
    </row>
    <row r="1105" spans="3:18">
      <c r="C1105" s="7"/>
      <c r="D1105" s="7"/>
      <c r="E1105" s="7"/>
      <c r="F1105" s="7"/>
      <c r="G1105" s="7"/>
      <c r="H1105" s="7"/>
      <c r="I1105" s="7"/>
      <c r="J1105" s="7"/>
      <c r="K1105" s="7"/>
      <c r="L1105" s="27"/>
      <c r="N1105" s="8"/>
      <c r="O1105" s="7"/>
      <c r="P1105" s="7"/>
      <c r="Q1105" s="7"/>
      <c r="R1105" s="7"/>
    </row>
    <row r="1106" spans="3:18">
      <c r="C1106" s="7"/>
      <c r="D1106" s="7"/>
      <c r="E1106" s="7"/>
      <c r="F1106" s="7"/>
      <c r="G1106" s="7"/>
      <c r="H1106" s="7"/>
      <c r="I1106" s="7"/>
      <c r="J1106" s="7"/>
      <c r="K1106" s="7"/>
      <c r="L1106" s="27"/>
      <c r="N1106" s="8"/>
      <c r="O1106" s="7"/>
      <c r="P1106" s="7"/>
      <c r="Q1106" s="7"/>
      <c r="R1106" s="7"/>
    </row>
    <row r="1107" spans="3:18">
      <c r="C1107" s="7"/>
      <c r="D1107" s="7"/>
      <c r="E1107" s="7"/>
      <c r="F1107" s="7"/>
      <c r="G1107" s="7"/>
      <c r="H1107" s="7"/>
      <c r="I1107" s="7"/>
      <c r="J1107" s="7"/>
      <c r="K1107" s="7"/>
      <c r="L1107" s="27"/>
      <c r="N1107" s="8"/>
      <c r="O1107" s="7"/>
      <c r="P1107" s="7"/>
      <c r="Q1107" s="7"/>
      <c r="R1107" s="7"/>
    </row>
    <row r="1108" spans="3:18">
      <c r="C1108" s="7"/>
      <c r="D1108" s="7"/>
      <c r="E1108" s="7"/>
      <c r="F1108" s="7"/>
      <c r="G1108" s="7"/>
      <c r="H1108" s="7"/>
      <c r="I1108" s="7"/>
      <c r="J1108" s="7"/>
      <c r="K1108" s="7"/>
      <c r="L1108" s="27"/>
      <c r="N1108" s="8"/>
      <c r="O1108" s="7"/>
      <c r="P1108" s="7"/>
      <c r="Q1108" s="7"/>
      <c r="R1108" s="7"/>
    </row>
    <row r="1109" spans="3:18">
      <c r="C1109" s="7"/>
      <c r="D1109" s="7"/>
      <c r="E1109" s="7"/>
      <c r="F1109" s="7"/>
      <c r="G1109" s="7"/>
      <c r="H1109" s="7"/>
      <c r="I1109" s="7"/>
      <c r="J1109" s="7"/>
      <c r="K1109" s="7"/>
      <c r="L1109" s="27"/>
      <c r="N1109" s="8"/>
      <c r="O1109" s="7"/>
      <c r="P1109" s="7"/>
      <c r="Q1109" s="7"/>
      <c r="R1109" s="7"/>
    </row>
    <row r="1110" spans="3:18">
      <c r="C1110" s="7"/>
      <c r="D1110" s="7"/>
      <c r="E1110" s="7"/>
      <c r="F1110" s="7"/>
      <c r="G1110" s="7"/>
      <c r="H1110" s="7"/>
      <c r="I1110" s="7"/>
      <c r="J1110" s="7"/>
      <c r="K1110" s="7"/>
      <c r="L1110" s="27"/>
      <c r="N1110" s="8"/>
      <c r="O1110" s="7"/>
      <c r="P1110" s="7"/>
      <c r="Q1110" s="7"/>
      <c r="R1110" s="7"/>
    </row>
    <row r="1111" spans="3:18">
      <c r="C1111" s="7"/>
      <c r="D1111" s="7"/>
      <c r="E1111" s="7"/>
      <c r="F1111" s="7"/>
      <c r="G1111" s="7"/>
      <c r="H1111" s="7"/>
      <c r="I1111" s="7"/>
      <c r="J1111" s="7"/>
      <c r="K1111" s="7"/>
      <c r="L1111" s="27"/>
      <c r="N1111" s="8"/>
      <c r="O1111" s="7"/>
      <c r="P1111" s="7"/>
      <c r="Q1111" s="7"/>
      <c r="R1111" s="7"/>
    </row>
    <row r="1112" spans="3:18">
      <c r="C1112" s="7"/>
      <c r="D1112" s="7"/>
      <c r="E1112" s="7"/>
      <c r="F1112" s="7"/>
      <c r="G1112" s="7"/>
      <c r="H1112" s="7"/>
      <c r="I1112" s="7"/>
      <c r="J1112" s="7"/>
      <c r="K1112" s="7"/>
      <c r="L1112" s="27"/>
      <c r="N1112" s="8"/>
      <c r="O1112" s="7"/>
      <c r="P1112" s="7"/>
      <c r="Q1112" s="7"/>
      <c r="R1112" s="7"/>
    </row>
    <row r="1113" spans="3:18">
      <c r="C1113" s="7"/>
      <c r="D1113" s="7"/>
      <c r="E1113" s="7"/>
      <c r="F1113" s="7"/>
      <c r="G1113" s="7"/>
      <c r="H1113" s="7"/>
      <c r="I1113" s="7"/>
      <c r="J1113" s="7"/>
      <c r="K1113" s="7"/>
      <c r="L1113" s="27"/>
      <c r="N1113" s="8"/>
      <c r="O1113" s="7"/>
      <c r="P1113" s="7"/>
      <c r="Q1113" s="7"/>
      <c r="R1113" s="7"/>
    </row>
    <row r="1114" spans="3:18">
      <c r="C1114" s="7"/>
      <c r="D1114" s="7"/>
      <c r="E1114" s="7"/>
      <c r="F1114" s="7"/>
      <c r="G1114" s="7"/>
      <c r="H1114" s="7"/>
      <c r="I1114" s="7"/>
      <c r="J1114" s="7"/>
      <c r="K1114" s="7"/>
      <c r="L1114" s="27"/>
      <c r="N1114" s="8"/>
      <c r="O1114" s="7"/>
      <c r="P1114" s="7"/>
      <c r="Q1114" s="7"/>
      <c r="R1114" s="7"/>
    </row>
    <row r="1115" spans="3:18">
      <c r="C1115" s="7"/>
      <c r="D1115" s="7"/>
      <c r="E1115" s="7"/>
      <c r="F1115" s="7"/>
      <c r="G1115" s="7"/>
      <c r="H1115" s="7"/>
      <c r="I1115" s="7"/>
      <c r="J1115" s="7"/>
      <c r="K1115" s="7"/>
      <c r="L1115" s="27"/>
      <c r="N1115" s="8"/>
      <c r="O1115" s="7"/>
      <c r="P1115" s="7"/>
      <c r="Q1115" s="7"/>
      <c r="R1115" s="7"/>
    </row>
    <row r="1116" spans="3:18">
      <c r="C1116" s="7"/>
      <c r="D1116" s="7"/>
      <c r="E1116" s="7"/>
      <c r="F1116" s="7"/>
      <c r="G1116" s="7"/>
      <c r="H1116" s="7"/>
      <c r="I1116" s="7"/>
      <c r="J1116" s="7"/>
      <c r="K1116" s="7"/>
      <c r="L1116" s="27"/>
      <c r="N1116" s="8"/>
      <c r="O1116" s="7"/>
      <c r="P1116" s="7"/>
      <c r="Q1116" s="7"/>
      <c r="R1116" s="7"/>
    </row>
    <row r="1117" spans="3:18">
      <c r="C1117" s="7"/>
      <c r="D1117" s="7"/>
      <c r="E1117" s="7"/>
      <c r="F1117" s="7"/>
      <c r="G1117" s="7"/>
      <c r="H1117" s="7"/>
      <c r="I1117" s="7"/>
      <c r="J1117" s="7"/>
      <c r="K1117" s="7"/>
      <c r="L1117" s="27"/>
      <c r="N1117" s="8"/>
      <c r="O1117" s="7"/>
      <c r="P1117" s="7"/>
      <c r="Q1117" s="7"/>
      <c r="R1117" s="7"/>
    </row>
    <row r="1118" spans="3:18">
      <c r="C1118" s="7"/>
      <c r="D1118" s="7"/>
      <c r="E1118" s="7"/>
      <c r="F1118" s="7"/>
      <c r="G1118" s="7"/>
      <c r="H1118" s="7"/>
      <c r="I1118" s="7"/>
      <c r="J1118" s="7"/>
      <c r="K1118" s="7"/>
      <c r="L1118" s="27"/>
      <c r="N1118" s="8"/>
      <c r="O1118" s="7"/>
      <c r="P1118" s="7"/>
      <c r="Q1118" s="7"/>
      <c r="R1118" s="7"/>
    </row>
    <row r="1119" spans="3:18">
      <c r="C1119" s="7"/>
      <c r="D1119" s="7"/>
      <c r="E1119" s="7"/>
      <c r="F1119" s="7"/>
      <c r="G1119" s="7"/>
      <c r="H1119" s="7"/>
      <c r="I1119" s="7"/>
      <c r="J1119" s="7"/>
      <c r="K1119" s="7"/>
      <c r="L1119" s="27"/>
      <c r="N1119" s="8"/>
      <c r="O1119" s="7"/>
      <c r="P1119" s="7"/>
      <c r="Q1119" s="7"/>
      <c r="R1119" s="7"/>
    </row>
    <row r="1120" spans="3:18">
      <c r="C1120" s="7"/>
      <c r="D1120" s="7"/>
      <c r="E1120" s="7"/>
      <c r="F1120" s="7"/>
      <c r="G1120" s="7"/>
      <c r="H1120" s="7"/>
      <c r="I1120" s="7"/>
      <c r="J1120" s="7"/>
      <c r="K1120" s="7"/>
      <c r="L1120" s="27"/>
      <c r="N1120" s="8"/>
      <c r="O1120" s="7"/>
      <c r="P1120" s="7"/>
      <c r="Q1120" s="7"/>
      <c r="R1120" s="7"/>
    </row>
    <row r="1121" spans="3:18">
      <c r="C1121" s="7"/>
      <c r="D1121" s="7"/>
      <c r="E1121" s="7"/>
      <c r="F1121" s="7"/>
      <c r="G1121" s="7"/>
      <c r="H1121" s="7"/>
      <c r="I1121" s="7"/>
      <c r="J1121" s="7"/>
      <c r="K1121" s="7"/>
      <c r="L1121" s="27"/>
      <c r="N1121" s="8"/>
      <c r="O1121" s="7"/>
      <c r="P1121" s="7"/>
      <c r="Q1121" s="7"/>
      <c r="R1121" s="7"/>
    </row>
    <row r="1122" spans="3:18">
      <c r="C1122" s="7"/>
      <c r="D1122" s="7"/>
      <c r="E1122" s="7"/>
      <c r="F1122" s="7"/>
      <c r="G1122" s="7"/>
      <c r="H1122" s="7"/>
      <c r="I1122" s="7"/>
      <c r="J1122" s="7"/>
      <c r="K1122" s="7"/>
      <c r="L1122" s="27"/>
      <c r="N1122" s="8"/>
      <c r="O1122" s="7"/>
      <c r="P1122" s="7"/>
      <c r="Q1122" s="7"/>
      <c r="R1122" s="7"/>
    </row>
    <row r="1123" spans="3:18">
      <c r="C1123" s="7"/>
      <c r="D1123" s="7"/>
      <c r="E1123" s="7"/>
      <c r="F1123" s="7"/>
      <c r="G1123" s="7"/>
      <c r="H1123" s="7"/>
      <c r="I1123" s="7"/>
      <c r="J1123" s="7"/>
      <c r="K1123" s="7"/>
      <c r="L1123" s="27"/>
      <c r="N1123" s="8"/>
      <c r="O1123" s="7"/>
      <c r="P1123" s="7"/>
      <c r="Q1123" s="7"/>
      <c r="R1123" s="7"/>
    </row>
    <row r="1124" spans="3:18">
      <c r="C1124" s="7"/>
      <c r="D1124" s="7"/>
      <c r="E1124" s="7"/>
      <c r="F1124" s="7"/>
      <c r="G1124" s="7"/>
      <c r="H1124" s="7"/>
      <c r="I1124" s="7"/>
      <c r="J1124" s="7"/>
      <c r="K1124" s="7"/>
      <c r="L1124" s="27"/>
      <c r="N1124" s="8"/>
      <c r="O1124" s="7"/>
      <c r="P1124" s="7"/>
      <c r="Q1124" s="7"/>
      <c r="R1124" s="7"/>
    </row>
    <row r="1125" spans="3:18">
      <c r="C1125" s="7"/>
      <c r="D1125" s="7"/>
      <c r="E1125" s="7"/>
      <c r="F1125" s="7"/>
      <c r="G1125" s="7"/>
      <c r="H1125" s="7"/>
      <c r="I1125" s="7"/>
      <c r="J1125" s="7"/>
      <c r="K1125" s="7"/>
      <c r="L1125" s="27"/>
      <c r="N1125" s="8"/>
      <c r="O1125" s="7"/>
      <c r="P1125" s="7"/>
      <c r="Q1125" s="7"/>
      <c r="R1125" s="7"/>
    </row>
    <row r="1126" spans="3:18">
      <c r="C1126" s="7"/>
      <c r="D1126" s="7"/>
      <c r="E1126" s="7"/>
      <c r="F1126" s="7"/>
      <c r="G1126" s="7"/>
      <c r="H1126" s="7"/>
      <c r="I1126" s="7"/>
      <c r="J1126" s="7"/>
      <c r="K1126" s="7"/>
      <c r="L1126" s="27"/>
      <c r="N1126" s="8"/>
      <c r="O1126" s="7"/>
      <c r="P1126" s="7"/>
      <c r="Q1126" s="7"/>
      <c r="R1126" s="7"/>
    </row>
    <row r="1127" spans="3:18">
      <c r="C1127" s="7"/>
      <c r="D1127" s="7"/>
      <c r="E1127" s="7"/>
      <c r="F1127" s="7"/>
      <c r="G1127" s="7"/>
      <c r="H1127" s="7"/>
      <c r="I1127" s="7"/>
      <c r="J1127" s="7"/>
      <c r="K1127" s="7"/>
      <c r="L1127" s="27"/>
      <c r="N1127" s="8"/>
      <c r="O1127" s="7"/>
      <c r="P1127" s="7"/>
      <c r="Q1127" s="7"/>
      <c r="R1127" s="7"/>
    </row>
    <row r="1128" spans="3:18">
      <c r="C1128" s="7"/>
      <c r="D1128" s="7"/>
      <c r="E1128" s="7"/>
      <c r="F1128" s="7"/>
      <c r="G1128" s="7"/>
      <c r="H1128" s="7"/>
      <c r="I1128" s="7"/>
      <c r="J1128" s="7"/>
      <c r="K1128" s="7"/>
      <c r="L1128" s="27"/>
      <c r="N1128" s="8"/>
      <c r="O1128" s="7"/>
      <c r="P1128" s="7"/>
      <c r="Q1128" s="7"/>
      <c r="R1128" s="7"/>
    </row>
    <row r="1129" spans="3:18">
      <c r="C1129" s="7"/>
      <c r="D1129" s="7"/>
      <c r="E1129" s="7"/>
      <c r="F1129" s="7"/>
      <c r="G1129" s="7"/>
      <c r="H1129" s="7"/>
      <c r="I1129" s="7"/>
      <c r="J1129" s="7"/>
      <c r="K1129" s="7"/>
      <c r="L1129" s="27"/>
      <c r="N1129" s="8"/>
      <c r="O1129" s="7"/>
      <c r="P1129" s="7"/>
      <c r="Q1129" s="7"/>
      <c r="R1129" s="7"/>
    </row>
    <row r="1130" spans="3:18">
      <c r="C1130" s="7"/>
      <c r="D1130" s="7"/>
      <c r="E1130" s="7"/>
      <c r="F1130" s="7"/>
      <c r="G1130" s="7"/>
      <c r="H1130" s="7"/>
      <c r="I1130" s="7"/>
      <c r="J1130" s="7"/>
      <c r="K1130" s="7"/>
      <c r="L1130" s="27"/>
      <c r="N1130" s="8"/>
      <c r="O1130" s="7"/>
      <c r="P1130" s="7"/>
      <c r="Q1130" s="7"/>
      <c r="R1130" s="7"/>
    </row>
    <row r="1131" spans="3:18">
      <c r="C1131" s="7"/>
      <c r="D1131" s="7"/>
      <c r="E1131" s="7"/>
      <c r="F1131" s="7"/>
      <c r="G1131" s="7"/>
      <c r="H1131" s="7"/>
      <c r="I1131" s="7"/>
      <c r="J1131" s="7"/>
      <c r="K1131" s="7"/>
      <c r="L1131" s="27"/>
      <c r="N1131" s="8"/>
      <c r="O1131" s="7"/>
      <c r="P1131" s="7"/>
      <c r="Q1131" s="7"/>
      <c r="R1131" s="7"/>
    </row>
    <row r="1132" spans="3:18">
      <c r="C1132" s="7"/>
      <c r="D1132" s="7"/>
      <c r="E1132" s="7"/>
      <c r="F1132" s="7"/>
      <c r="G1132" s="7"/>
      <c r="H1132" s="7"/>
      <c r="I1132" s="7"/>
      <c r="J1132" s="7"/>
      <c r="K1132" s="7"/>
      <c r="L1132" s="27"/>
      <c r="N1132" s="8"/>
      <c r="O1132" s="7"/>
      <c r="P1132" s="7"/>
      <c r="Q1132" s="7"/>
      <c r="R1132" s="7"/>
    </row>
    <row r="1133" spans="3:18">
      <c r="C1133" s="7"/>
      <c r="D1133" s="7"/>
      <c r="E1133" s="7"/>
      <c r="F1133" s="7"/>
      <c r="G1133" s="7"/>
      <c r="H1133" s="7"/>
      <c r="I1133" s="7"/>
      <c r="J1133" s="7"/>
      <c r="K1133" s="7"/>
      <c r="L1133" s="27"/>
      <c r="N1133" s="8"/>
      <c r="O1133" s="7"/>
      <c r="P1133" s="7"/>
      <c r="Q1133" s="7"/>
      <c r="R1133" s="7"/>
    </row>
    <row r="1134" spans="3:18">
      <c r="C1134" s="7"/>
      <c r="D1134" s="7"/>
      <c r="E1134" s="7"/>
      <c r="F1134" s="7"/>
      <c r="G1134" s="7"/>
      <c r="H1134" s="7"/>
      <c r="I1134" s="7"/>
      <c r="J1134" s="7"/>
      <c r="K1134" s="7"/>
      <c r="L1134" s="27"/>
      <c r="N1134" s="8"/>
      <c r="O1134" s="7"/>
      <c r="P1134" s="7"/>
      <c r="Q1134" s="7"/>
      <c r="R1134" s="7"/>
    </row>
    <row r="1135" spans="3:18">
      <c r="C1135" s="7"/>
      <c r="D1135" s="7"/>
      <c r="E1135" s="7"/>
      <c r="F1135" s="7"/>
      <c r="G1135" s="7"/>
      <c r="H1135" s="7"/>
      <c r="I1135" s="7"/>
      <c r="J1135" s="7"/>
      <c r="K1135" s="7"/>
      <c r="L1135" s="27"/>
      <c r="N1135" s="8"/>
      <c r="O1135" s="7"/>
      <c r="P1135" s="7"/>
      <c r="Q1135" s="7"/>
      <c r="R1135" s="7"/>
    </row>
    <row r="1136" spans="3:18">
      <c r="C1136" s="7"/>
      <c r="D1136" s="7"/>
      <c r="E1136" s="7"/>
      <c r="F1136" s="7"/>
      <c r="G1136" s="7"/>
      <c r="H1136" s="7"/>
      <c r="I1136" s="7"/>
      <c r="J1136" s="7"/>
      <c r="K1136" s="7"/>
      <c r="L1136" s="27"/>
      <c r="N1136" s="8"/>
      <c r="O1136" s="7"/>
      <c r="P1136" s="7"/>
      <c r="Q1136" s="7"/>
      <c r="R1136" s="7"/>
    </row>
    <row r="1137" spans="3:18">
      <c r="C1137" s="7"/>
      <c r="D1137" s="7"/>
      <c r="E1137" s="7"/>
      <c r="F1137" s="7"/>
      <c r="G1137" s="7"/>
      <c r="H1137" s="7"/>
      <c r="I1137" s="7"/>
      <c r="J1137" s="7"/>
      <c r="K1137" s="7"/>
      <c r="L1137" s="27"/>
      <c r="N1137" s="8"/>
      <c r="O1137" s="7"/>
      <c r="P1137" s="7"/>
      <c r="Q1137" s="7"/>
      <c r="R1137" s="7"/>
    </row>
    <row r="1138" spans="3:18">
      <c r="C1138" s="7"/>
      <c r="D1138" s="7"/>
      <c r="E1138" s="7"/>
      <c r="F1138" s="7"/>
      <c r="G1138" s="7"/>
      <c r="H1138" s="7"/>
      <c r="I1138" s="7"/>
      <c r="J1138" s="7"/>
      <c r="K1138" s="7"/>
      <c r="L1138" s="27"/>
      <c r="N1138" s="8"/>
      <c r="O1138" s="7"/>
      <c r="P1138" s="7"/>
      <c r="Q1138" s="7"/>
      <c r="R1138" s="7"/>
    </row>
    <row r="1139" spans="3:18">
      <c r="C1139" s="7"/>
      <c r="D1139" s="7"/>
      <c r="E1139" s="7"/>
      <c r="F1139" s="7"/>
      <c r="G1139" s="7"/>
      <c r="H1139" s="7"/>
      <c r="I1139" s="7"/>
      <c r="J1139" s="7"/>
      <c r="K1139" s="7"/>
      <c r="L1139" s="27"/>
      <c r="N1139" s="8"/>
      <c r="O1139" s="7"/>
      <c r="P1139" s="7"/>
      <c r="Q1139" s="7"/>
      <c r="R1139" s="7"/>
    </row>
    <row r="1140" spans="3:18">
      <c r="C1140" s="7"/>
      <c r="D1140" s="7"/>
      <c r="E1140" s="7"/>
      <c r="F1140" s="7"/>
      <c r="G1140" s="7"/>
      <c r="H1140" s="7"/>
      <c r="I1140" s="7"/>
      <c r="J1140" s="7"/>
      <c r="K1140" s="7"/>
      <c r="L1140" s="27"/>
      <c r="N1140" s="8"/>
      <c r="O1140" s="7"/>
      <c r="P1140" s="7"/>
      <c r="Q1140" s="7"/>
      <c r="R1140" s="7"/>
    </row>
    <row r="1141" spans="3:18">
      <c r="C1141" s="7"/>
      <c r="D1141" s="7"/>
      <c r="E1141" s="7"/>
      <c r="F1141" s="7"/>
      <c r="G1141" s="7"/>
      <c r="H1141" s="7"/>
      <c r="I1141" s="7"/>
      <c r="J1141" s="7"/>
      <c r="K1141" s="7"/>
      <c r="L1141" s="27"/>
      <c r="N1141" s="8"/>
      <c r="O1141" s="7"/>
      <c r="P1141" s="7"/>
      <c r="Q1141" s="7"/>
      <c r="R1141" s="7"/>
    </row>
    <row r="1142" spans="3:18">
      <c r="C1142" s="7"/>
      <c r="D1142" s="7"/>
      <c r="E1142" s="7"/>
      <c r="F1142" s="7"/>
      <c r="G1142" s="7"/>
      <c r="H1142" s="7"/>
      <c r="I1142" s="7"/>
      <c r="J1142" s="7"/>
      <c r="K1142" s="7"/>
      <c r="L1142" s="27"/>
      <c r="N1142" s="8"/>
      <c r="O1142" s="7"/>
      <c r="P1142" s="7"/>
      <c r="Q1142" s="7"/>
      <c r="R1142" s="7"/>
    </row>
    <row r="1143" spans="3:18">
      <c r="C1143" s="7"/>
      <c r="D1143" s="7"/>
      <c r="E1143" s="7"/>
      <c r="F1143" s="7"/>
      <c r="G1143" s="7"/>
      <c r="H1143" s="7"/>
      <c r="I1143" s="7"/>
      <c r="J1143" s="7"/>
      <c r="K1143" s="7"/>
      <c r="L1143" s="27"/>
      <c r="N1143" s="8"/>
      <c r="O1143" s="7"/>
      <c r="P1143" s="7"/>
      <c r="Q1143" s="7"/>
      <c r="R1143" s="7"/>
    </row>
    <row r="1144" spans="3:18">
      <c r="C1144" s="7"/>
      <c r="D1144" s="7"/>
      <c r="E1144" s="7"/>
      <c r="F1144" s="7"/>
      <c r="G1144" s="7"/>
      <c r="H1144" s="7"/>
      <c r="I1144" s="7"/>
      <c r="J1144" s="7"/>
      <c r="K1144" s="7"/>
      <c r="L1144" s="27"/>
      <c r="N1144" s="8"/>
      <c r="O1144" s="7"/>
      <c r="P1144" s="7"/>
      <c r="Q1144" s="7"/>
      <c r="R1144" s="7"/>
    </row>
    <row r="1145" spans="3:18">
      <c r="C1145" s="7"/>
      <c r="D1145" s="7"/>
      <c r="E1145" s="7"/>
      <c r="F1145" s="7"/>
      <c r="G1145" s="7"/>
      <c r="H1145" s="7"/>
      <c r="I1145" s="7"/>
      <c r="J1145" s="7"/>
      <c r="K1145" s="7"/>
      <c r="L1145" s="27"/>
      <c r="N1145" s="8"/>
      <c r="O1145" s="7"/>
      <c r="P1145" s="7"/>
      <c r="Q1145" s="7"/>
      <c r="R1145" s="7"/>
    </row>
    <row r="1146" spans="3:18">
      <c r="C1146" s="7"/>
      <c r="D1146" s="7"/>
      <c r="E1146" s="7"/>
      <c r="F1146" s="7"/>
      <c r="G1146" s="7"/>
      <c r="H1146" s="7"/>
      <c r="I1146" s="7"/>
      <c r="J1146" s="7"/>
      <c r="K1146" s="7"/>
      <c r="L1146" s="27"/>
      <c r="N1146" s="8"/>
      <c r="O1146" s="7"/>
      <c r="P1146" s="7"/>
      <c r="Q1146" s="7"/>
      <c r="R1146" s="7"/>
    </row>
    <row r="1147" spans="3:18">
      <c r="C1147" s="7"/>
      <c r="D1147" s="7"/>
      <c r="E1147" s="7"/>
      <c r="F1147" s="7"/>
      <c r="G1147" s="7"/>
      <c r="H1147" s="7"/>
      <c r="I1147" s="7"/>
      <c r="J1147" s="7"/>
      <c r="K1147" s="7"/>
      <c r="L1147" s="27"/>
      <c r="N1147" s="8"/>
      <c r="O1147" s="7"/>
      <c r="P1147" s="7"/>
      <c r="Q1147" s="7"/>
      <c r="R1147" s="7"/>
    </row>
    <row r="1148" spans="3:18">
      <c r="C1148" s="7"/>
      <c r="D1148" s="7"/>
      <c r="E1148" s="7"/>
      <c r="F1148" s="7"/>
      <c r="G1148" s="7"/>
      <c r="H1148" s="7"/>
      <c r="I1148" s="7"/>
      <c r="J1148" s="7"/>
      <c r="K1148" s="7"/>
      <c r="L1148" s="27"/>
      <c r="N1148" s="8"/>
      <c r="O1148" s="7"/>
      <c r="P1148" s="7"/>
      <c r="Q1148" s="7"/>
      <c r="R1148" s="7"/>
    </row>
    <row r="1149" spans="3:18">
      <c r="C1149" s="7"/>
      <c r="D1149" s="7"/>
      <c r="E1149" s="7"/>
      <c r="F1149" s="7"/>
      <c r="G1149" s="7"/>
      <c r="H1149" s="7"/>
      <c r="I1149" s="7"/>
      <c r="J1149" s="7"/>
      <c r="K1149" s="7"/>
      <c r="L1149" s="27"/>
      <c r="N1149" s="8"/>
      <c r="O1149" s="7"/>
      <c r="P1149" s="7"/>
      <c r="Q1149" s="7"/>
      <c r="R1149" s="7"/>
    </row>
    <row r="1150" spans="3:18">
      <c r="C1150" s="7"/>
      <c r="D1150" s="7"/>
      <c r="E1150" s="7"/>
      <c r="F1150" s="7"/>
      <c r="G1150" s="7"/>
      <c r="H1150" s="7"/>
      <c r="I1150" s="7"/>
      <c r="J1150" s="7"/>
      <c r="K1150" s="7"/>
      <c r="L1150" s="27"/>
      <c r="N1150" s="8"/>
      <c r="O1150" s="7"/>
      <c r="P1150" s="7"/>
      <c r="Q1150" s="7"/>
      <c r="R1150" s="7"/>
    </row>
    <row r="1151" spans="3:18">
      <c r="C1151" s="7"/>
      <c r="D1151" s="7"/>
      <c r="E1151" s="7"/>
      <c r="F1151" s="7"/>
      <c r="G1151" s="7"/>
      <c r="H1151" s="7"/>
      <c r="I1151" s="7"/>
      <c r="J1151" s="7"/>
      <c r="K1151" s="7"/>
      <c r="L1151" s="27"/>
      <c r="N1151" s="8"/>
      <c r="O1151" s="7"/>
      <c r="P1151" s="7"/>
      <c r="Q1151" s="7"/>
      <c r="R1151" s="7"/>
    </row>
    <row r="1152" spans="3:18">
      <c r="C1152" s="7"/>
      <c r="D1152" s="7"/>
      <c r="E1152" s="7"/>
      <c r="F1152" s="7"/>
      <c r="G1152" s="7"/>
      <c r="H1152" s="7"/>
      <c r="I1152" s="7"/>
      <c r="J1152" s="7"/>
      <c r="K1152" s="7"/>
      <c r="L1152" s="27"/>
      <c r="N1152" s="8"/>
      <c r="O1152" s="7"/>
      <c r="P1152" s="7"/>
      <c r="Q1152" s="7"/>
      <c r="R1152" s="7"/>
    </row>
    <row r="1153" spans="3:18">
      <c r="C1153" s="7"/>
      <c r="D1153" s="7"/>
      <c r="E1153" s="7"/>
      <c r="F1153" s="7"/>
      <c r="G1153" s="7"/>
      <c r="H1153" s="7"/>
      <c r="I1153" s="7"/>
      <c r="J1153" s="7"/>
      <c r="K1153" s="7"/>
      <c r="L1153" s="27"/>
      <c r="N1153" s="8"/>
      <c r="O1153" s="7"/>
      <c r="P1153" s="7"/>
      <c r="Q1153" s="7"/>
      <c r="R1153" s="7"/>
    </row>
    <row r="1154" spans="3:18">
      <c r="C1154" s="7"/>
      <c r="D1154" s="7"/>
      <c r="E1154" s="7"/>
      <c r="F1154" s="7"/>
      <c r="G1154" s="7"/>
      <c r="H1154" s="7"/>
      <c r="I1154" s="7"/>
      <c r="J1154" s="7"/>
      <c r="K1154" s="7"/>
      <c r="L1154" s="27"/>
      <c r="N1154" s="8"/>
      <c r="O1154" s="7"/>
      <c r="P1154" s="7"/>
      <c r="Q1154" s="7"/>
      <c r="R1154" s="7"/>
    </row>
    <row r="1155" spans="3:18">
      <c r="C1155" s="7"/>
      <c r="D1155" s="7"/>
      <c r="E1155" s="7"/>
      <c r="F1155" s="7"/>
      <c r="G1155" s="7"/>
      <c r="H1155" s="7"/>
      <c r="I1155" s="7"/>
      <c r="J1155" s="7"/>
      <c r="K1155" s="7"/>
      <c r="L1155" s="27"/>
      <c r="N1155" s="8"/>
      <c r="O1155" s="7"/>
      <c r="P1155" s="7"/>
      <c r="Q1155" s="7"/>
      <c r="R1155" s="7"/>
    </row>
    <row r="1156" spans="3:18">
      <c r="C1156" s="7"/>
      <c r="D1156" s="7"/>
      <c r="E1156" s="7"/>
      <c r="F1156" s="7"/>
      <c r="G1156" s="7"/>
      <c r="H1156" s="7"/>
      <c r="I1156" s="7"/>
      <c r="J1156" s="7"/>
      <c r="K1156" s="7"/>
      <c r="L1156" s="27"/>
      <c r="N1156" s="8"/>
      <c r="O1156" s="7"/>
      <c r="P1156" s="7"/>
      <c r="Q1156" s="7"/>
      <c r="R1156" s="7"/>
    </row>
    <row r="1157" spans="3:18">
      <c r="C1157" s="7"/>
      <c r="D1157" s="7"/>
      <c r="E1157" s="7"/>
      <c r="F1157" s="7"/>
      <c r="G1157" s="7"/>
      <c r="H1157" s="7"/>
      <c r="I1157" s="7"/>
      <c r="J1157" s="7"/>
      <c r="K1157" s="7"/>
      <c r="L1157" s="27"/>
      <c r="N1157" s="8"/>
      <c r="O1157" s="7"/>
      <c r="P1157" s="7"/>
      <c r="Q1157" s="7"/>
      <c r="R1157" s="7"/>
    </row>
    <row r="1158" spans="3:18">
      <c r="C1158" s="7"/>
      <c r="D1158" s="7"/>
      <c r="E1158" s="7"/>
      <c r="F1158" s="7"/>
      <c r="G1158" s="7"/>
      <c r="H1158" s="7"/>
      <c r="I1158" s="7"/>
      <c r="J1158" s="7"/>
      <c r="K1158" s="7"/>
      <c r="L1158" s="27"/>
      <c r="N1158" s="8"/>
      <c r="O1158" s="7"/>
      <c r="P1158" s="7"/>
      <c r="Q1158" s="7"/>
      <c r="R1158" s="7"/>
    </row>
    <row r="1159" spans="3:18">
      <c r="C1159" s="7"/>
      <c r="D1159" s="7"/>
      <c r="E1159" s="7"/>
      <c r="F1159" s="7"/>
      <c r="G1159" s="7"/>
      <c r="H1159" s="7"/>
      <c r="I1159" s="7"/>
      <c r="J1159" s="7"/>
      <c r="K1159" s="7"/>
      <c r="L1159" s="27"/>
      <c r="N1159" s="8"/>
      <c r="O1159" s="7"/>
      <c r="P1159" s="7"/>
      <c r="Q1159" s="7"/>
      <c r="R1159" s="7"/>
    </row>
    <row r="1160" spans="3:18">
      <c r="C1160" s="7"/>
      <c r="D1160" s="7"/>
      <c r="E1160" s="7"/>
      <c r="F1160" s="7"/>
      <c r="G1160" s="7"/>
      <c r="H1160" s="7"/>
      <c r="I1160" s="7"/>
      <c r="J1160" s="7"/>
      <c r="K1160" s="7"/>
      <c r="L1160" s="27"/>
      <c r="N1160" s="8"/>
      <c r="O1160" s="7"/>
      <c r="P1160" s="7"/>
      <c r="Q1160" s="7"/>
      <c r="R1160" s="7"/>
    </row>
    <row r="1161" spans="3:18">
      <c r="C1161" s="7"/>
      <c r="D1161" s="7"/>
      <c r="E1161" s="7"/>
      <c r="F1161" s="7"/>
      <c r="G1161" s="7"/>
      <c r="H1161" s="7"/>
      <c r="I1161" s="7"/>
      <c r="J1161" s="7"/>
      <c r="K1161" s="7"/>
      <c r="L1161" s="27"/>
      <c r="N1161" s="8"/>
      <c r="O1161" s="7"/>
      <c r="P1161" s="7"/>
      <c r="Q1161" s="7"/>
      <c r="R1161" s="7"/>
    </row>
    <row r="1162" spans="3:18">
      <c r="C1162" s="7"/>
      <c r="D1162" s="7"/>
      <c r="E1162" s="7"/>
      <c r="F1162" s="7"/>
      <c r="G1162" s="7"/>
      <c r="H1162" s="7"/>
      <c r="I1162" s="7"/>
      <c r="J1162" s="7"/>
      <c r="K1162" s="7"/>
      <c r="L1162" s="27"/>
      <c r="N1162" s="8"/>
      <c r="O1162" s="7"/>
      <c r="P1162" s="7"/>
      <c r="Q1162" s="7"/>
      <c r="R1162" s="7"/>
    </row>
    <row r="1163" spans="3:18">
      <c r="C1163" s="7"/>
      <c r="D1163" s="7"/>
      <c r="E1163" s="7"/>
      <c r="F1163" s="7"/>
      <c r="G1163" s="7"/>
      <c r="H1163" s="7"/>
      <c r="I1163" s="7"/>
      <c r="J1163" s="7"/>
      <c r="K1163" s="7"/>
      <c r="L1163" s="27"/>
      <c r="N1163" s="8"/>
      <c r="O1163" s="7"/>
      <c r="P1163" s="7"/>
      <c r="Q1163" s="7"/>
      <c r="R1163" s="7"/>
    </row>
    <row r="1164" spans="3:18">
      <c r="C1164" s="7"/>
      <c r="D1164" s="7"/>
      <c r="E1164" s="7"/>
      <c r="F1164" s="7"/>
      <c r="G1164" s="7"/>
      <c r="H1164" s="7"/>
      <c r="I1164" s="7"/>
      <c r="J1164" s="7"/>
      <c r="K1164" s="7"/>
      <c r="L1164" s="27"/>
      <c r="N1164" s="8"/>
      <c r="O1164" s="7"/>
      <c r="P1164" s="7"/>
      <c r="Q1164" s="7"/>
      <c r="R1164" s="7"/>
    </row>
    <row r="1165" spans="3:18">
      <c r="C1165" s="7"/>
      <c r="D1165" s="7"/>
      <c r="E1165" s="7"/>
      <c r="F1165" s="7"/>
      <c r="G1165" s="7"/>
      <c r="H1165" s="7"/>
      <c r="I1165" s="7"/>
      <c r="J1165" s="7"/>
      <c r="K1165" s="7"/>
      <c r="L1165" s="27"/>
      <c r="N1165" s="8"/>
      <c r="O1165" s="7"/>
      <c r="P1165" s="7"/>
      <c r="Q1165" s="7"/>
      <c r="R1165" s="7"/>
    </row>
    <row r="1166" spans="3:18">
      <c r="C1166" s="7"/>
      <c r="D1166" s="7"/>
      <c r="E1166" s="7"/>
      <c r="F1166" s="7"/>
      <c r="G1166" s="7"/>
      <c r="H1166" s="7"/>
      <c r="I1166" s="7"/>
      <c r="J1166" s="7"/>
      <c r="K1166" s="7"/>
      <c r="L1166" s="27"/>
      <c r="N1166" s="8"/>
      <c r="O1166" s="7"/>
      <c r="P1166" s="7"/>
      <c r="Q1166" s="7"/>
      <c r="R1166" s="7"/>
    </row>
    <row r="1167" spans="3:18">
      <c r="C1167" s="7"/>
      <c r="D1167" s="7"/>
      <c r="E1167" s="7"/>
      <c r="F1167" s="7"/>
      <c r="G1167" s="7"/>
      <c r="H1167" s="7"/>
      <c r="I1167" s="7"/>
      <c r="J1167" s="7"/>
      <c r="K1167" s="7"/>
      <c r="L1167" s="27"/>
      <c r="N1167" s="8"/>
      <c r="O1167" s="7"/>
      <c r="P1167" s="7"/>
      <c r="Q1167" s="7"/>
      <c r="R1167" s="7"/>
    </row>
    <row r="1168" spans="3:18">
      <c r="C1168" s="7"/>
      <c r="D1168" s="7"/>
      <c r="E1168" s="7"/>
      <c r="F1168" s="7"/>
      <c r="G1168" s="7"/>
      <c r="H1168" s="7"/>
      <c r="I1168" s="7"/>
      <c r="J1168" s="7"/>
      <c r="K1168" s="7"/>
      <c r="L1168" s="27"/>
      <c r="N1168" s="8"/>
      <c r="O1168" s="7"/>
      <c r="P1168" s="7"/>
      <c r="Q1168" s="7"/>
      <c r="R1168" s="7"/>
    </row>
    <row r="1169" spans="3:18">
      <c r="C1169" s="7"/>
      <c r="D1169" s="7"/>
      <c r="E1169" s="7"/>
      <c r="F1169" s="7"/>
      <c r="G1169" s="7"/>
      <c r="H1169" s="7"/>
      <c r="I1169" s="7"/>
      <c r="J1169" s="7"/>
      <c r="K1169" s="7"/>
      <c r="L1169" s="27"/>
      <c r="N1169" s="8"/>
      <c r="O1169" s="7"/>
      <c r="P1169" s="7"/>
      <c r="Q1169" s="7"/>
      <c r="R1169" s="7"/>
    </row>
    <row r="1170" spans="3:18">
      <c r="C1170" s="7"/>
      <c r="D1170" s="7"/>
      <c r="E1170" s="7"/>
      <c r="F1170" s="7"/>
      <c r="G1170" s="7"/>
      <c r="H1170" s="7"/>
      <c r="I1170" s="7"/>
      <c r="J1170" s="7"/>
      <c r="K1170" s="7"/>
      <c r="L1170" s="27"/>
      <c r="N1170" s="8"/>
      <c r="O1170" s="7"/>
      <c r="P1170" s="7"/>
      <c r="Q1170" s="7"/>
      <c r="R1170" s="7"/>
    </row>
    <row r="1171" spans="3:18">
      <c r="C1171" s="7"/>
      <c r="D1171" s="7"/>
      <c r="E1171" s="7"/>
      <c r="F1171" s="7"/>
      <c r="G1171" s="7"/>
      <c r="H1171" s="7"/>
      <c r="I1171" s="7"/>
      <c r="J1171" s="7"/>
      <c r="K1171" s="7"/>
      <c r="L1171" s="27"/>
      <c r="N1171" s="8"/>
      <c r="O1171" s="7"/>
      <c r="P1171" s="7"/>
      <c r="Q1171" s="7"/>
      <c r="R1171" s="7"/>
    </row>
    <row r="1172" spans="3:18">
      <c r="C1172" s="7"/>
      <c r="D1172" s="7"/>
      <c r="E1172" s="7"/>
      <c r="F1172" s="7"/>
      <c r="G1172" s="7"/>
      <c r="H1172" s="7"/>
      <c r="I1172" s="7"/>
      <c r="J1172" s="7"/>
      <c r="K1172" s="7"/>
      <c r="L1172" s="27"/>
      <c r="N1172" s="8"/>
      <c r="O1172" s="7"/>
      <c r="P1172" s="7"/>
      <c r="Q1172" s="7"/>
      <c r="R1172" s="7"/>
    </row>
    <row r="1173" spans="3:18">
      <c r="C1173" s="7"/>
      <c r="D1173" s="7"/>
      <c r="E1173" s="7"/>
      <c r="F1173" s="7"/>
      <c r="G1173" s="7"/>
      <c r="H1173" s="7"/>
      <c r="I1173" s="7"/>
      <c r="J1173" s="7"/>
      <c r="K1173" s="7"/>
      <c r="L1173" s="27"/>
      <c r="N1173" s="8"/>
      <c r="O1173" s="7"/>
      <c r="P1173" s="7"/>
      <c r="Q1173" s="7"/>
      <c r="R1173" s="7"/>
    </row>
    <row r="1174" spans="3:18">
      <c r="C1174" s="7"/>
      <c r="D1174" s="7"/>
      <c r="E1174" s="7"/>
      <c r="F1174" s="7"/>
      <c r="G1174" s="7"/>
      <c r="H1174" s="7"/>
      <c r="I1174" s="7"/>
      <c r="J1174" s="7"/>
      <c r="K1174" s="7"/>
      <c r="L1174" s="27"/>
      <c r="N1174" s="8"/>
      <c r="O1174" s="7"/>
      <c r="P1174" s="7"/>
      <c r="Q1174" s="7"/>
      <c r="R1174" s="7"/>
    </row>
    <row r="1175" spans="3:18">
      <c r="C1175" s="7"/>
      <c r="D1175" s="7"/>
      <c r="E1175" s="7"/>
      <c r="F1175" s="7"/>
      <c r="G1175" s="7"/>
      <c r="H1175" s="7"/>
      <c r="I1175" s="7"/>
      <c r="J1175" s="7"/>
      <c r="K1175" s="7"/>
      <c r="L1175" s="27"/>
      <c r="N1175" s="8"/>
      <c r="O1175" s="7"/>
      <c r="P1175" s="7"/>
      <c r="Q1175" s="7"/>
      <c r="R1175" s="7"/>
    </row>
    <row r="1176" spans="3:18">
      <c r="C1176" s="7"/>
      <c r="D1176" s="7"/>
      <c r="E1176" s="7"/>
      <c r="F1176" s="7"/>
      <c r="G1176" s="7"/>
      <c r="H1176" s="7"/>
      <c r="I1176" s="7"/>
      <c r="J1176" s="7"/>
      <c r="K1176" s="7"/>
      <c r="L1176" s="27"/>
      <c r="N1176" s="8"/>
      <c r="O1176" s="7"/>
      <c r="P1176" s="7"/>
      <c r="Q1176" s="7"/>
      <c r="R1176" s="7"/>
    </row>
    <row r="1177" spans="3:18">
      <c r="C1177" s="7"/>
      <c r="D1177" s="7"/>
      <c r="E1177" s="7"/>
      <c r="F1177" s="7"/>
      <c r="G1177" s="7"/>
      <c r="H1177" s="7"/>
      <c r="I1177" s="7"/>
      <c r="J1177" s="7"/>
      <c r="K1177" s="7"/>
      <c r="L1177" s="27"/>
      <c r="N1177" s="8"/>
      <c r="O1177" s="7"/>
      <c r="P1177" s="7"/>
      <c r="Q1177" s="7"/>
      <c r="R1177" s="7"/>
    </row>
    <row r="1178" spans="3:18">
      <c r="C1178" s="7"/>
      <c r="D1178" s="7"/>
      <c r="E1178" s="7"/>
      <c r="F1178" s="7"/>
      <c r="G1178" s="7"/>
      <c r="H1178" s="7"/>
      <c r="I1178" s="7"/>
      <c r="J1178" s="7"/>
      <c r="K1178" s="7"/>
      <c r="L1178" s="27"/>
      <c r="N1178" s="8"/>
      <c r="O1178" s="7"/>
      <c r="P1178" s="7"/>
      <c r="Q1178" s="7"/>
      <c r="R1178" s="7"/>
    </row>
    <row r="1179" spans="3:18">
      <c r="C1179" s="7"/>
      <c r="D1179" s="7"/>
      <c r="E1179" s="7"/>
      <c r="F1179" s="7"/>
      <c r="G1179" s="7"/>
      <c r="H1179" s="7"/>
      <c r="I1179" s="7"/>
      <c r="J1179" s="7"/>
      <c r="K1179" s="7"/>
      <c r="L1179" s="27"/>
      <c r="N1179" s="8"/>
      <c r="O1179" s="7"/>
      <c r="P1179" s="7"/>
      <c r="Q1179" s="7"/>
      <c r="R1179" s="7"/>
    </row>
    <row r="1180" spans="3:18">
      <c r="C1180" s="7"/>
      <c r="D1180" s="7"/>
      <c r="E1180" s="7"/>
      <c r="F1180" s="7"/>
      <c r="G1180" s="7"/>
      <c r="H1180" s="7"/>
      <c r="I1180" s="7"/>
      <c r="J1180" s="7"/>
      <c r="K1180" s="7"/>
      <c r="L1180" s="27"/>
      <c r="N1180" s="8"/>
      <c r="O1180" s="7"/>
      <c r="P1180" s="7"/>
      <c r="Q1180" s="7"/>
      <c r="R1180" s="7"/>
    </row>
    <row r="1181" spans="3:18">
      <c r="C1181" s="7"/>
      <c r="D1181" s="7"/>
      <c r="E1181" s="7"/>
      <c r="F1181" s="7"/>
      <c r="G1181" s="7"/>
      <c r="H1181" s="7"/>
      <c r="I1181" s="7"/>
      <c r="J1181" s="7"/>
      <c r="K1181" s="7"/>
      <c r="L1181" s="27"/>
      <c r="N1181" s="8"/>
      <c r="O1181" s="7"/>
      <c r="P1181" s="7"/>
      <c r="Q1181" s="7"/>
      <c r="R1181" s="7"/>
    </row>
    <row r="1182" spans="3:18">
      <c r="C1182" s="7"/>
      <c r="D1182" s="7"/>
      <c r="E1182" s="7"/>
      <c r="F1182" s="7"/>
      <c r="G1182" s="7"/>
      <c r="H1182" s="7"/>
      <c r="I1182" s="7"/>
      <c r="J1182" s="7"/>
      <c r="K1182" s="7"/>
      <c r="L1182" s="27"/>
      <c r="N1182" s="8"/>
      <c r="O1182" s="7"/>
      <c r="P1182" s="7"/>
      <c r="Q1182" s="7"/>
      <c r="R1182" s="7"/>
    </row>
    <row r="1183" spans="3:18">
      <c r="C1183" s="7"/>
      <c r="D1183" s="7"/>
      <c r="E1183" s="7"/>
      <c r="F1183" s="7"/>
      <c r="G1183" s="7"/>
      <c r="H1183" s="7"/>
      <c r="I1183" s="7"/>
      <c r="J1183" s="7"/>
      <c r="K1183" s="7"/>
      <c r="L1183" s="27"/>
      <c r="N1183" s="8"/>
      <c r="O1183" s="7"/>
      <c r="P1183" s="7"/>
      <c r="Q1183" s="7"/>
      <c r="R1183" s="7"/>
    </row>
    <row r="1184" spans="3:18">
      <c r="C1184" s="7"/>
      <c r="D1184" s="7"/>
      <c r="E1184" s="7"/>
      <c r="F1184" s="7"/>
      <c r="G1184" s="7"/>
      <c r="H1184" s="7"/>
      <c r="I1184" s="7"/>
      <c r="J1184" s="7"/>
      <c r="K1184" s="7"/>
      <c r="L1184" s="27"/>
      <c r="N1184" s="8"/>
      <c r="O1184" s="7"/>
      <c r="P1184" s="7"/>
      <c r="Q1184" s="7"/>
      <c r="R1184" s="7"/>
    </row>
    <row r="1185" spans="3:18">
      <c r="C1185" s="7"/>
      <c r="D1185" s="7"/>
      <c r="E1185" s="7"/>
      <c r="F1185" s="7"/>
      <c r="G1185" s="7"/>
      <c r="H1185" s="7"/>
      <c r="I1185" s="7"/>
      <c r="J1185" s="7"/>
      <c r="K1185" s="7"/>
      <c r="L1185" s="27"/>
      <c r="N1185" s="8"/>
      <c r="O1185" s="7"/>
      <c r="P1185" s="7"/>
      <c r="Q1185" s="7"/>
      <c r="R1185" s="7"/>
    </row>
    <row r="1186" spans="3:18">
      <c r="C1186" s="7"/>
      <c r="D1186" s="7"/>
      <c r="E1186" s="7"/>
      <c r="F1186" s="7"/>
      <c r="G1186" s="7"/>
      <c r="H1186" s="7"/>
      <c r="I1186" s="7"/>
      <c r="J1186" s="7"/>
      <c r="K1186" s="7"/>
      <c r="L1186" s="27"/>
      <c r="N1186" s="8"/>
      <c r="O1186" s="7"/>
      <c r="P1186" s="7"/>
      <c r="Q1186" s="7"/>
      <c r="R1186" s="7"/>
    </row>
    <row r="1187" spans="3:18">
      <c r="C1187" s="7"/>
      <c r="D1187" s="7"/>
      <c r="E1187" s="7"/>
      <c r="F1187" s="7"/>
      <c r="G1187" s="7"/>
      <c r="H1187" s="7"/>
      <c r="I1187" s="7"/>
      <c r="J1187" s="7"/>
      <c r="K1187" s="7"/>
      <c r="L1187" s="27"/>
      <c r="N1187" s="8"/>
      <c r="O1187" s="7"/>
      <c r="P1187" s="7"/>
      <c r="Q1187" s="7"/>
      <c r="R1187" s="7"/>
    </row>
    <row r="1188" spans="3:18">
      <c r="C1188" s="7"/>
      <c r="D1188" s="7"/>
      <c r="E1188" s="7"/>
      <c r="F1188" s="7"/>
      <c r="G1188" s="7"/>
      <c r="H1188" s="7"/>
      <c r="I1188" s="7"/>
      <c r="J1188" s="7"/>
      <c r="K1188" s="7"/>
      <c r="L1188" s="27"/>
      <c r="N1188" s="8"/>
      <c r="O1188" s="7"/>
      <c r="P1188" s="7"/>
      <c r="Q1188" s="7"/>
      <c r="R1188" s="7"/>
    </row>
    <row r="1189" spans="3:18">
      <c r="C1189" s="7"/>
      <c r="D1189" s="7"/>
      <c r="E1189" s="7"/>
      <c r="F1189" s="7"/>
      <c r="G1189" s="7"/>
      <c r="H1189" s="7"/>
      <c r="I1189" s="7"/>
      <c r="J1189" s="7"/>
      <c r="K1189" s="7"/>
      <c r="L1189" s="27"/>
      <c r="N1189" s="8"/>
      <c r="O1189" s="7"/>
      <c r="P1189" s="7"/>
      <c r="Q1189" s="7"/>
      <c r="R1189" s="7"/>
    </row>
    <row r="1190" spans="3:18">
      <c r="C1190" s="7"/>
      <c r="D1190" s="7"/>
      <c r="E1190" s="7"/>
      <c r="F1190" s="7"/>
      <c r="G1190" s="7"/>
      <c r="H1190" s="7"/>
      <c r="I1190" s="7"/>
      <c r="J1190" s="7"/>
      <c r="K1190" s="7"/>
      <c r="L1190" s="27"/>
      <c r="N1190" s="8"/>
      <c r="O1190" s="7"/>
      <c r="P1190" s="7"/>
      <c r="Q1190" s="7"/>
      <c r="R1190" s="7"/>
    </row>
    <row r="1191" spans="3:18">
      <c r="C1191" s="7"/>
      <c r="D1191" s="7"/>
      <c r="E1191" s="7"/>
      <c r="F1191" s="7"/>
      <c r="G1191" s="7"/>
      <c r="H1191" s="7"/>
      <c r="I1191" s="7"/>
      <c r="J1191" s="7"/>
      <c r="K1191" s="7"/>
      <c r="L1191" s="27"/>
      <c r="N1191" s="8"/>
      <c r="O1191" s="7"/>
      <c r="P1191" s="7"/>
      <c r="Q1191" s="7"/>
      <c r="R1191" s="7"/>
    </row>
    <row r="1192" spans="3:18">
      <c r="C1192" s="7"/>
      <c r="D1192" s="7"/>
      <c r="E1192" s="7"/>
      <c r="F1192" s="7"/>
      <c r="G1192" s="7"/>
      <c r="H1192" s="7"/>
      <c r="I1192" s="7"/>
      <c r="J1192" s="7"/>
      <c r="K1192" s="7"/>
      <c r="L1192" s="27"/>
      <c r="N1192" s="8"/>
      <c r="O1192" s="7"/>
      <c r="P1192" s="7"/>
      <c r="Q1192" s="7"/>
      <c r="R1192" s="7"/>
    </row>
    <row r="1193" spans="3:18">
      <c r="C1193" s="7"/>
      <c r="D1193" s="7"/>
      <c r="E1193" s="7"/>
      <c r="F1193" s="7"/>
      <c r="G1193" s="7"/>
      <c r="H1193" s="7"/>
      <c r="I1193" s="7"/>
      <c r="J1193" s="7"/>
      <c r="K1193" s="7"/>
      <c r="L1193" s="27"/>
      <c r="N1193" s="8"/>
      <c r="O1193" s="7"/>
      <c r="P1193" s="7"/>
      <c r="Q1193" s="7"/>
      <c r="R1193" s="7"/>
    </row>
    <row r="1194" spans="3:18">
      <c r="C1194" s="7"/>
      <c r="D1194" s="7"/>
      <c r="E1194" s="7"/>
      <c r="F1194" s="7"/>
      <c r="G1194" s="7"/>
      <c r="H1194" s="7"/>
      <c r="I1194" s="7"/>
      <c r="J1194" s="7"/>
      <c r="K1194" s="7"/>
      <c r="L1194" s="27"/>
      <c r="N1194" s="8"/>
      <c r="O1194" s="7"/>
      <c r="P1194" s="7"/>
      <c r="Q1194" s="7"/>
      <c r="R1194" s="7"/>
    </row>
    <row r="1195" spans="3:18">
      <c r="C1195" s="7"/>
      <c r="D1195" s="7"/>
      <c r="E1195" s="7"/>
      <c r="F1195" s="7"/>
      <c r="G1195" s="7"/>
      <c r="H1195" s="7"/>
      <c r="I1195" s="7"/>
      <c r="J1195" s="7"/>
      <c r="K1195" s="7"/>
      <c r="L1195" s="27"/>
      <c r="N1195" s="8"/>
      <c r="O1195" s="7"/>
      <c r="P1195" s="7"/>
      <c r="Q1195" s="7"/>
      <c r="R1195" s="7"/>
    </row>
    <row r="1196" spans="3:18">
      <c r="C1196" s="7"/>
      <c r="D1196" s="7"/>
      <c r="E1196" s="7"/>
      <c r="F1196" s="7"/>
      <c r="G1196" s="7"/>
      <c r="H1196" s="7"/>
      <c r="I1196" s="7"/>
      <c r="J1196" s="7"/>
      <c r="K1196" s="7"/>
      <c r="L1196" s="27"/>
      <c r="N1196" s="8"/>
      <c r="O1196" s="7"/>
      <c r="P1196" s="7"/>
      <c r="Q1196" s="7"/>
      <c r="R1196" s="7"/>
    </row>
    <row r="1197" spans="3:18">
      <c r="C1197" s="7"/>
      <c r="D1197" s="7"/>
      <c r="E1197" s="7"/>
      <c r="F1197" s="7"/>
      <c r="G1197" s="7"/>
      <c r="H1197" s="7"/>
      <c r="I1197" s="7"/>
      <c r="J1197" s="7"/>
      <c r="K1197" s="7"/>
      <c r="L1197" s="27"/>
      <c r="N1197" s="8"/>
      <c r="O1197" s="7"/>
      <c r="P1197" s="7"/>
      <c r="Q1197" s="7"/>
      <c r="R1197" s="7"/>
    </row>
    <row r="1198" spans="3:18">
      <c r="C1198" s="7"/>
      <c r="D1198" s="7"/>
      <c r="E1198" s="7"/>
      <c r="F1198" s="7"/>
      <c r="G1198" s="7"/>
      <c r="H1198" s="7"/>
      <c r="I1198" s="7"/>
      <c r="J1198" s="7"/>
      <c r="K1198" s="7"/>
      <c r="L1198" s="27"/>
      <c r="N1198" s="8"/>
      <c r="O1198" s="7"/>
      <c r="P1198" s="7"/>
      <c r="Q1198" s="7"/>
      <c r="R1198" s="7"/>
    </row>
    <row r="1199" spans="3:18">
      <c r="C1199" s="7"/>
      <c r="D1199" s="7"/>
      <c r="E1199" s="7"/>
      <c r="F1199" s="7"/>
      <c r="G1199" s="7"/>
      <c r="H1199" s="7"/>
      <c r="I1199" s="7"/>
      <c r="J1199" s="7"/>
      <c r="K1199" s="7"/>
      <c r="L1199" s="27"/>
      <c r="N1199" s="8"/>
      <c r="O1199" s="7"/>
      <c r="P1199" s="7"/>
      <c r="Q1199" s="7"/>
      <c r="R1199" s="7"/>
    </row>
    <row r="1200" spans="3:18">
      <c r="C1200" s="7"/>
      <c r="D1200" s="7"/>
      <c r="E1200" s="7"/>
      <c r="F1200" s="7"/>
      <c r="G1200" s="7"/>
      <c r="H1200" s="7"/>
      <c r="I1200" s="7"/>
      <c r="J1200" s="7"/>
      <c r="K1200" s="7"/>
      <c r="L1200" s="27"/>
      <c r="N1200" s="8"/>
      <c r="O1200" s="7"/>
      <c r="P1200" s="7"/>
      <c r="Q1200" s="7"/>
      <c r="R1200" s="7"/>
    </row>
    <row r="1201" spans="3:18">
      <c r="C1201" s="7"/>
      <c r="D1201" s="7"/>
      <c r="E1201" s="7"/>
      <c r="F1201" s="7"/>
      <c r="G1201" s="7"/>
      <c r="H1201" s="7"/>
      <c r="I1201" s="7"/>
      <c r="J1201" s="7"/>
      <c r="K1201" s="7"/>
      <c r="L1201" s="27"/>
      <c r="N1201" s="8"/>
      <c r="O1201" s="7"/>
      <c r="P1201" s="7"/>
      <c r="Q1201" s="7"/>
      <c r="R1201" s="7"/>
    </row>
    <row r="1202" spans="3:18">
      <c r="C1202" s="7"/>
      <c r="D1202" s="7"/>
      <c r="E1202" s="7"/>
      <c r="F1202" s="7"/>
      <c r="G1202" s="7"/>
      <c r="H1202" s="7"/>
      <c r="I1202" s="7"/>
      <c r="J1202" s="7"/>
      <c r="K1202" s="7"/>
      <c r="L1202" s="27"/>
      <c r="N1202" s="8"/>
      <c r="O1202" s="7"/>
      <c r="P1202" s="7"/>
      <c r="Q1202" s="7"/>
      <c r="R1202" s="7"/>
    </row>
    <row r="1203" spans="3:18">
      <c r="C1203" s="7"/>
      <c r="D1203" s="7"/>
      <c r="E1203" s="7"/>
      <c r="F1203" s="7"/>
      <c r="G1203" s="7"/>
      <c r="H1203" s="7"/>
      <c r="I1203" s="7"/>
      <c r="J1203" s="7"/>
      <c r="K1203" s="7"/>
      <c r="L1203" s="27"/>
      <c r="N1203" s="8"/>
      <c r="O1203" s="7"/>
      <c r="P1203" s="7"/>
      <c r="Q1203" s="7"/>
      <c r="R1203" s="7"/>
    </row>
    <row r="1204" spans="3:18">
      <c r="C1204" s="7"/>
      <c r="D1204" s="7"/>
      <c r="E1204" s="7"/>
      <c r="F1204" s="7"/>
      <c r="G1204" s="7"/>
      <c r="H1204" s="7"/>
      <c r="I1204" s="7"/>
      <c r="J1204" s="7"/>
      <c r="K1204" s="7"/>
      <c r="L1204" s="27"/>
      <c r="N1204" s="8"/>
      <c r="O1204" s="7"/>
      <c r="P1204" s="7"/>
      <c r="Q1204" s="7"/>
      <c r="R1204" s="7"/>
    </row>
    <row r="1205" spans="3:18">
      <c r="C1205" s="7"/>
      <c r="D1205" s="7"/>
      <c r="E1205" s="7"/>
      <c r="F1205" s="7"/>
      <c r="G1205" s="7"/>
      <c r="H1205" s="7"/>
      <c r="I1205" s="7"/>
      <c r="J1205" s="7"/>
      <c r="K1205" s="7"/>
      <c r="L1205" s="27"/>
      <c r="N1205" s="8"/>
      <c r="O1205" s="7"/>
      <c r="P1205" s="7"/>
      <c r="Q1205" s="7"/>
      <c r="R1205" s="7"/>
    </row>
    <row r="1206" spans="3:18">
      <c r="C1206" s="7"/>
      <c r="D1206" s="7"/>
      <c r="E1206" s="7"/>
      <c r="F1206" s="7"/>
      <c r="G1206" s="7"/>
      <c r="H1206" s="7"/>
      <c r="I1206" s="7"/>
      <c r="J1206" s="7"/>
      <c r="K1206" s="7"/>
      <c r="L1206" s="27"/>
      <c r="N1206" s="8"/>
      <c r="O1206" s="7"/>
      <c r="P1206" s="7"/>
      <c r="Q1206" s="7"/>
      <c r="R1206" s="7"/>
    </row>
    <row r="1207" spans="3:18">
      <c r="C1207" s="7"/>
      <c r="D1207" s="7"/>
      <c r="E1207" s="7"/>
      <c r="F1207" s="7"/>
      <c r="G1207" s="7"/>
      <c r="H1207" s="7"/>
      <c r="I1207" s="7"/>
      <c r="J1207" s="7"/>
      <c r="K1207" s="7"/>
      <c r="L1207" s="27"/>
      <c r="N1207" s="8"/>
      <c r="O1207" s="7"/>
      <c r="P1207" s="7"/>
      <c r="Q1207" s="7"/>
      <c r="R1207" s="7"/>
    </row>
    <row r="1208" spans="3:18">
      <c r="C1208" s="7"/>
      <c r="D1208" s="7"/>
      <c r="E1208" s="7"/>
      <c r="F1208" s="7"/>
      <c r="G1208" s="7"/>
      <c r="H1208" s="7"/>
      <c r="I1208" s="7"/>
      <c r="J1208" s="7"/>
      <c r="K1208" s="7"/>
      <c r="L1208" s="27"/>
      <c r="N1208" s="8"/>
      <c r="O1208" s="7"/>
      <c r="P1208" s="7"/>
      <c r="Q1208" s="7"/>
      <c r="R1208" s="7"/>
    </row>
    <row r="1209" spans="3:18">
      <c r="C1209" s="7"/>
      <c r="D1209" s="7"/>
      <c r="E1209" s="7"/>
      <c r="F1209" s="7"/>
      <c r="G1209" s="7"/>
      <c r="H1209" s="7"/>
      <c r="I1209" s="7"/>
      <c r="J1209" s="7"/>
      <c r="K1209" s="7"/>
      <c r="L1209" s="27"/>
      <c r="N1209" s="8"/>
      <c r="O1209" s="7"/>
      <c r="P1209" s="7"/>
      <c r="Q1209" s="7"/>
      <c r="R1209" s="7"/>
    </row>
    <row r="1210" spans="3:18">
      <c r="C1210" s="7"/>
      <c r="D1210" s="7"/>
      <c r="E1210" s="7"/>
      <c r="F1210" s="7"/>
      <c r="G1210" s="7"/>
      <c r="H1210" s="7"/>
      <c r="I1210" s="7"/>
      <c r="J1210" s="7"/>
      <c r="K1210" s="7"/>
      <c r="L1210" s="27"/>
      <c r="N1210" s="8"/>
      <c r="O1210" s="7"/>
      <c r="P1210" s="7"/>
      <c r="Q1210" s="7"/>
      <c r="R1210" s="7"/>
    </row>
    <row r="1211" spans="3:18">
      <c r="C1211" s="7"/>
      <c r="D1211" s="7"/>
      <c r="E1211" s="7"/>
      <c r="F1211" s="7"/>
      <c r="G1211" s="7"/>
      <c r="H1211" s="7"/>
      <c r="I1211" s="7"/>
      <c r="J1211" s="7"/>
      <c r="K1211" s="7"/>
      <c r="L1211" s="27"/>
      <c r="N1211" s="8"/>
      <c r="O1211" s="7"/>
      <c r="P1211" s="7"/>
      <c r="Q1211" s="7"/>
      <c r="R1211" s="7"/>
    </row>
    <row r="1212" spans="3:18">
      <c r="C1212" s="7"/>
      <c r="D1212" s="7"/>
      <c r="E1212" s="7"/>
      <c r="F1212" s="7"/>
      <c r="G1212" s="7"/>
      <c r="H1212" s="7"/>
      <c r="I1212" s="7"/>
      <c r="J1212" s="7"/>
      <c r="K1212" s="7"/>
      <c r="L1212" s="27"/>
      <c r="N1212" s="8"/>
      <c r="O1212" s="7"/>
      <c r="P1212" s="7"/>
      <c r="Q1212" s="7"/>
      <c r="R1212" s="7"/>
    </row>
    <row r="1213" spans="3:18">
      <c r="C1213" s="7"/>
      <c r="D1213" s="7"/>
      <c r="E1213" s="7"/>
      <c r="F1213" s="7"/>
      <c r="G1213" s="7"/>
      <c r="H1213" s="7"/>
      <c r="I1213" s="7"/>
      <c r="J1213" s="7"/>
      <c r="K1213" s="7"/>
      <c r="L1213" s="27"/>
      <c r="N1213" s="8"/>
      <c r="O1213" s="7"/>
      <c r="P1213" s="7"/>
      <c r="Q1213" s="7"/>
      <c r="R1213" s="7"/>
    </row>
    <row r="1214" spans="3:18">
      <c r="C1214" s="7"/>
      <c r="D1214" s="7"/>
      <c r="E1214" s="7"/>
      <c r="F1214" s="7"/>
      <c r="G1214" s="7"/>
      <c r="H1214" s="7"/>
      <c r="I1214" s="7"/>
      <c r="J1214" s="7"/>
      <c r="K1214" s="7"/>
      <c r="L1214" s="27"/>
      <c r="N1214" s="8"/>
      <c r="O1214" s="7"/>
      <c r="P1214" s="7"/>
      <c r="Q1214" s="7"/>
      <c r="R1214" s="7"/>
    </row>
    <row r="1215" spans="3:18">
      <c r="C1215" s="7"/>
      <c r="D1215" s="7"/>
      <c r="E1215" s="7"/>
      <c r="F1215" s="7"/>
      <c r="G1215" s="7"/>
      <c r="H1215" s="7"/>
      <c r="I1215" s="7"/>
      <c r="J1215" s="7"/>
      <c r="K1215" s="7"/>
      <c r="L1215" s="27"/>
      <c r="N1215" s="8"/>
      <c r="O1215" s="7"/>
      <c r="P1215" s="7"/>
      <c r="Q1215" s="7"/>
      <c r="R1215" s="7"/>
    </row>
    <row r="1216" spans="3:18">
      <c r="C1216" s="7"/>
      <c r="D1216" s="7"/>
      <c r="E1216" s="7"/>
      <c r="F1216" s="7"/>
      <c r="G1216" s="7"/>
      <c r="H1216" s="7"/>
      <c r="I1216" s="7"/>
      <c r="J1216" s="7"/>
      <c r="K1216" s="7"/>
      <c r="L1216" s="27"/>
      <c r="N1216" s="8"/>
      <c r="O1216" s="7"/>
      <c r="P1216" s="7"/>
      <c r="Q1216" s="7"/>
      <c r="R1216" s="7"/>
    </row>
    <row r="1217" spans="3:18">
      <c r="C1217" s="7"/>
      <c r="D1217" s="7"/>
      <c r="E1217" s="7"/>
      <c r="F1217" s="7"/>
      <c r="G1217" s="7"/>
      <c r="H1217" s="7"/>
      <c r="I1217" s="7"/>
      <c r="J1217" s="7"/>
      <c r="K1217" s="7"/>
      <c r="L1217" s="27"/>
      <c r="N1217" s="8"/>
      <c r="O1217" s="7"/>
      <c r="P1217" s="7"/>
      <c r="Q1217" s="7"/>
      <c r="R1217" s="7"/>
    </row>
    <row r="1218" spans="3:18">
      <c r="C1218" s="7"/>
      <c r="D1218" s="7"/>
      <c r="E1218" s="7"/>
      <c r="F1218" s="7"/>
      <c r="G1218" s="7"/>
      <c r="H1218" s="7"/>
      <c r="I1218" s="7"/>
      <c r="J1218" s="7"/>
      <c r="K1218" s="7"/>
      <c r="L1218" s="27"/>
      <c r="N1218" s="8"/>
      <c r="O1218" s="7"/>
      <c r="P1218" s="7"/>
      <c r="Q1218" s="7"/>
      <c r="R1218" s="7"/>
    </row>
    <row r="1219" spans="3:18">
      <c r="C1219" s="7"/>
      <c r="D1219" s="7"/>
      <c r="E1219" s="7"/>
      <c r="F1219" s="7"/>
      <c r="G1219" s="7"/>
      <c r="H1219" s="7"/>
      <c r="I1219" s="7"/>
      <c r="J1219" s="7"/>
      <c r="K1219" s="7"/>
      <c r="L1219" s="27"/>
      <c r="N1219" s="8"/>
      <c r="O1219" s="7"/>
      <c r="P1219" s="7"/>
      <c r="Q1219" s="7"/>
      <c r="R1219" s="7"/>
    </row>
    <row r="1220" spans="3:18">
      <c r="C1220" s="7"/>
      <c r="D1220" s="7"/>
      <c r="E1220" s="7"/>
      <c r="F1220" s="7"/>
      <c r="G1220" s="7"/>
      <c r="H1220" s="7"/>
      <c r="I1220" s="7"/>
      <c r="J1220" s="7"/>
      <c r="K1220" s="7"/>
      <c r="L1220" s="27"/>
      <c r="N1220" s="8"/>
      <c r="O1220" s="7"/>
      <c r="P1220" s="7"/>
      <c r="Q1220" s="7"/>
      <c r="R1220" s="7"/>
    </row>
    <row r="1221" spans="3:18">
      <c r="C1221" s="7"/>
      <c r="D1221" s="7"/>
      <c r="E1221" s="7"/>
      <c r="F1221" s="7"/>
      <c r="G1221" s="7"/>
      <c r="H1221" s="7"/>
      <c r="I1221" s="7"/>
      <c r="J1221" s="7"/>
      <c r="K1221" s="7"/>
      <c r="L1221" s="27"/>
      <c r="N1221" s="8"/>
      <c r="O1221" s="7"/>
      <c r="P1221" s="7"/>
      <c r="Q1221" s="7"/>
      <c r="R1221" s="7"/>
    </row>
    <row r="1222" spans="3:18">
      <c r="C1222" s="7"/>
      <c r="D1222" s="7"/>
      <c r="E1222" s="7"/>
      <c r="F1222" s="7"/>
      <c r="G1222" s="7"/>
      <c r="H1222" s="7"/>
      <c r="I1222" s="7"/>
      <c r="J1222" s="7"/>
      <c r="K1222" s="7"/>
      <c r="L1222" s="27"/>
      <c r="N1222" s="8"/>
      <c r="O1222" s="7"/>
      <c r="P1222" s="7"/>
      <c r="Q1222" s="7"/>
      <c r="R1222" s="7"/>
    </row>
    <row r="1223" spans="3:18">
      <c r="C1223" s="7"/>
      <c r="D1223" s="7"/>
      <c r="E1223" s="7"/>
      <c r="F1223" s="7"/>
      <c r="G1223" s="7"/>
      <c r="H1223" s="7"/>
      <c r="I1223" s="7"/>
      <c r="J1223" s="7"/>
      <c r="K1223" s="7"/>
      <c r="L1223" s="27"/>
      <c r="N1223" s="8"/>
      <c r="O1223" s="7"/>
      <c r="P1223" s="7"/>
      <c r="Q1223" s="7"/>
      <c r="R1223" s="7"/>
    </row>
    <row r="1224" spans="3:18">
      <c r="C1224" s="7"/>
      <c r="D1224" s="7"/>
      <c r="E1224" s="7"/>
      <c r="F1224" s="7"/>
      <c r="G1224" s="7"/>
      <c r="H1224" s="7"/>
      <c r="I1224" s="7"/>
      <c r="J1224" s="7"/>
      <c r="K1224" s="7"/>
      <c r="L1224" s="27"/>
      <c r="N1224" s="8"/>
      <c r="O1224" s="7"/>
      <c r="P1224" s="7"/>
      <c r="Q1224" s="7"/>
      <c r="R1224" s="7"/>
    </row>
    <row r="1225" spans="3:18">
      <c r="C1225" s="7"/>
      <c r="D1225" s="7"/>
      <c r="E1225" s="7"/>
      <c r="F1225" s="7"/>
      <c r="G1225" s="7"/>
      <c r="H1225" s="7"/>
      <c r="I1225" s="7"/>
      <c r="J1225" s="7"/>
      <c r="K1225" s="7"/>
      <c r="L1225" s="27"/>
      <c r="N1225" s="8"/>
      <c r="O1225" s="7"/>
      <c r="P1225" s="7"/>
      <c r="Q1225" s="7"/>
      <c r="R1225" s="7"/>
    </row>
    <row r="1226" spans="3:18">
      <c r="C1226" s="7"/>
      <c r="D1226" s="7"/>
      <c r="E1226" s="7"/>
      <c r="F1226" s="7"/>
      <c r="G1226" s="7"/>
      <c r="H1226" s="7"/>
      <c r="I1226" s="7"/>
      <c r="J1226" s="7"/>
      <c r="K1226" s="7"/>
      <c r="L1226" s="27"/>
      <c r="N1226" s="8"/>
      <c r="O1226" s="7"/>
      <c r="P1226" s="7"/>
      <c r="Q1226" s="7"/>
      <c r="R1226" s="7"/>
    </row>
    <row r="1227" spans="3:18">
      <c r="C1227" s="7"/>
      <c r="D1227" s="7"/>
      <c r="E1227" s="7"/>
      <c r="F1227" s="7"/>
      <c r="G1227" s="7"/>
      <c r="H1227" s="7"/>
      <c r="I1227" s="7"/>
      <c r="J1227" s="7"/>
      <c r="K1227" s="7"/>
      <c r="L1227" s="27"/>
      <c r="N1227" s="8"/>
      <c r="O1227" s="7"/>
      <c r="P1227" s="7"/>
      <c r="Q1227" s="7"/>
      <c r="R1227" s="7"/>
    </row>
    <row r="1228" spans="3:18">
      <c r="C1228" s="7"/>
      <c r="D1228" s="7"/>
      <c r="E1228" s="7"/>
      <c r="F1228" s="7"/>
      <c r="G1228" s="7"/>
      <c r="H1228" s="7"/>
      <c r="I1228" s="7"/>
      <c r="J1228" s="7"/>
      <c r="K1228" s="7"/>
      <c r="L1228" s="27"/>
      <c r="N1228" s="8"/>
      <c r="O1228" s="7"/>
      <c r="P1228" s="7"/>
      <c r="Q1228" s="7"/>
      <c r="R1228" s="7"/>
    </row>
    <row r="1229" spans="3:18">
      <c r="C1229" s="7"/>
      <c r="D1229" s="7"/>
      <c r="E1229" s="7"/>
      <c r="F1229" s="7"/>
      <c r="G1229" s="7"/>
      <c r="H1229" s="7"/>
      <c r="I1229" s="7"/>
      <c r="J1229" s="7"/>
      <c r="K1229" s="7"/>
      <c r="L1229" s="27"/>
      <c r="N1229" s="8"/>
      <c r="O1229" s="7"/>
      <c r="P1229" s="7"/>
      <c r="Q1229" s="7"/>
      <c r="R1229" s="7"/>
    </row>
    <row r="1230" spans="3:18">
      <c r="C1230" s="7"/>
      <c r="D1230" s="7"/>
      <c r="E1230" s="7"/>
      <c r="F1230" s="7"/>
      <c r="G1230" s="7"/>
      <c r="H1230" s="7"/>
      <c r="I1230" s="7"/>
      <c r="J1230" s="7"/>
      <c r="K1230" s="7"/>
      <c r="L1230" s="27"/>
      <c r="N1230" s="8"/>
      <c r="O1230" s="7"/>
      <c r="P1230" s="7"/>
      <c r="Q1230" s="7"/>
      <c r="R1230" s="7"/>
    </row>
    <row r="1231" spans="3:18">
      <c r="C1231" s="7"/>
      <c r="D1231" s="7"/>
      <c r="E1231" s="7"/>
      <c r="F1231" s="7"/>
      <c r="G1231" s="7"/>
      <c r="H1231" s="7"/>
      <c r="I1231" s="7"/>
      <c r="J1231" s="7"/>
      <c r="K1231" s="7"/>
      <c r="L1231" s="27"/>
      <c r="N1231" s="8"/>
      <c r="O1231" s="7"/>
      <c r="P1231" s="7"/>
      <c r="Q1231" s="7"/>
      <c r="R1231" s="7"/>
    </row>
    <row r="1232" spans="3:18">
      <c r="C1232" s="7"/>
      <c r="D1232" s="7"/>
      <c r="E1232" s="7"/>
      <c r="F1232" s="7"/>
      <c r="G1232" s="7"/>
      <c r="H1232" s="7"/>
      <c r="I1232" s="7"/>
      <c r="J1232" s="7"/>
      <c r="K1232" s="7"/>
      <c r="L1232" s="27"/>
      <c r="N1232" s="8"/>
      <c r="O1232" s="7"/>
      <c r="P1232" s="7"/>
      <c r="Q1232" s="7"/>
      <c r="R1232" s="7"/>
    </row>
    <row r="1233" spans="3:18">
      <c r="C1233" s="7"/>
      <c r="D1233" s="7"/>
      <c r="E1233" s="7"/>
      <c r="F1233" s="7"/>
      <c r="G1233" s="7"/>
      <c r="H1233" s="7"/>
      <c r="I1233" s="7"/>
      <c r="J1233" s="7"/>
      <c r="K1233" s="7"/>
      <c r="L1233" s="27"/>
      <c r="N1233" s="8"/>
      <c r="O1233" s="7"/>
      <c r="P1233" s="7"/>
      <c r="Q1233" s="7"/>
      <c r="R1233" s="7"/>
    </row>
    <row r="1234" spans="3:18">
      <c r="C1234" s="7"/>
      <c r="D1234" s="7"/>
      <c r="E1234" s="7"/>
      <c r="F1234" s="7"/>
      <c r="G1234" s="7"/>
      <c r="H1234" s="7"/>
      <c r="I1234" s="7"/>
      <c r="J1234" s="7"/>
      <c r="K1234" s="7"/>
      <c r="L1234" s="27"/>
      <c r="N1234" s="8"/>
      <c r="O1234" s="7"/>
      <c r="P1234" s="7"/>
      <c r="Q1234" s="7"/>
      <c r="R1234" s="7"/>
    </row>
    <row r="1235" spans="3:18">
      <c r="C1235" s="7"/>
      <c r="D1235" s="7"/>
      <c r="E1235" s="7"/>
      <c r="F1235" s="7"/>
      <c r="G1235" s="7"/>
      <c r="H1235" s="7"/>
      <c r="I1235" s="7"/>
      <c r="J1235" s="7"/>
      <c r="K1235" s="7"/>
      <c r="L1235" s="27"/>
      <c r="N1235" s="8"/>
      <c r="O1235" s="7"/>
      <c r="P1235" s="7"/>
      <c r="Q1235" s="7"/>
      <c r="R1235" s="7"/>
    </row>
    <row r="1236" spans="3:18">
      <c r="C1236" s="7"/>
      <c r="D1236" s="7"/>
      <c r="E1236" s="7"/>
      <c r="F1236" s="7"/>
      <c r="G1236" s="7"/>
      <c r="H1236" s="7"/>
      <c r="I1236" s="7"/>
      <c r="J1236" s="7"/>
      <c r="K1236" s="7"/>
      <c r="L1236" s="27"/>
      <c r="N1236" s="8"/>
      <c r="O1236" s="7"/>
      <c r="P1236" s="7"/>
      <c r="Q1236" s="7"/>
      <c r="R1236" s="7"/>
    </row>
    <row r="1237" spans="3:18">
      <c r="C1237" s="7"/>
      <c r="D1237" s="7"/>
      <c r="E1237" s="7"/>
      <c r="F1237" s="7"/>
      <c r="G1237" s="7"/>
      <c r="H1237" s="7"/>
      <c r="I1237" s="7"/>
      <c r="J1237" s="7"/>
      <c r="K1237" s="7"/>
      <c r="L1237" s="27"/>
      <c r="N1237" s="8"/>
      <c r="O1237" s="7"/>
      <c r="P1237" s="7"/>
      <c r="Q1237" s="7"/>
      <c r="R1237" s="7"/>
    </row>
    <row r="1238" spans="3:18">
      <c r="C1238" s="7"/>
      <c r="D1238" s="7"/>
      <c r="E1238" s="7"/>
      <c r="F1238" s="7"/>
      <c r="G1238" s="7"/>
      <c r="H1238" s="7"/>
      <c r="I1238" s="7"/>
      <c r="J1238" s="7"/>
      <c r="K1238" s="7"/>
      <c r="L1238" s="27"/>
      <c r="N1238" s="8"/>
      <c r="O1238" s="7"/>
      <c r="P1238" s="7"/>
      <c r="Q1238" s="7"/>
      <c r="R1238" s="7"/>
    </row>
    <row r="1239" spans="3:18">
      <c r="C1239" s="7"/>
      <c r="D1239" s="7"/>
      <c r="E1239" s="7"/>
      <c r="F1239" s="7"/>
      <c r="G1239" s="7"/>
      <c r="H1239" s="7"/>
      <c r="I1239" s="7"/>
      <c r="J1239" s="7"/>
      <c r="K1239" s="7"/>
      <c r="L1239" s="27"/>
      <c r="N1239" s="8"/>
      <c r="O1239" s="7"/>
      <c r="P1239" s="7"/>
      <c r="Q1239" s="7"/>
      <c r="R1239" s="7"/>
    </row>
    <row r="1240" spans="3:18">
      <c r="C1240" s="7"/>
      <c r="D1240" s="7"/>
      <c r="E1240" s="7"/>
      <c r="F1240" s="7"/>
      <c r="G1240" s="7"/>
      <c r="H1240" s="7"/>
      <c r="I1240" s="7"/>
      <c r="J1240" s="7"/>
      <c r="K1240" s="7"/>
      <c r="L1240" s="27"/>
      <c r="N1240" s="8"/>
      <c r="O1240" s="7"/>
      <c r="P1240" s="7"/>
      <c r="Q1240" s="7"/>
      <c r="R1240" s="7"/>
    </row>
    <row r="1241" spans="3:18">
      <c r="C1241" s="7"/>
      <c r="D1241" s="7"/>
      <c r="E1241" s="7"/>
      <c r="F1241" s="7"/>
      <c r="G1241" s="7"/>
      <c r="H1241" s="7"/>
      <c r="I1241" s="7"/>
      <c r="J1241" s="7"/>
      <c r="K1241" s="7"/>
      <c r="L1241" s="27"/>
      <c r="N1241" s="8"/>
      <c r="O1241" s="7"/>
      <c r="P1241" s="7"/>
      <c r="Q1241" s="7"/>
      <c r="R1241" s="7"/>
    </row>
    <row r="1242" spans="3:18">
      <c r="C1242" s="7"/>
      <c r="D1242" s="7"/>
      <c r="E1242" s="7"/>
      <c r="F1242" s="7"/>
      <c r="G1242" s="7"/>
      <c r="H1242" s="7"/>
      <c r="I1242" s="7"/>
      <c r="J1242" s="7"/>
      <c r="K1242" s="7"/>
      <c r="L1242" s="27"/>
      <c r="N1242" s="8"/>
      <c r="O1242" s="7"/>
      <c r="P1242" s="7"/>
      <c r="Q1242" s="7"/>
      <c r="R1242" s="7"/>
    </row>
    <row r="1243" spans="3:18">
      <c r="C1243" s="7"/>
      <c r="D1243" s="7"/>
      <c r="E1243" s="7"/>
      <c r="F1243" s="7"/>
      <c r="G1243" s="7"/>
      <c r="H1243" s="7"/>
      <c r="I1243" s="7"/>
      <c r="J1243" s="7"/>
      <c r="K1243" s="7"/>
      <c r="L1243" s="27"/>
      <c r="N1243" s="8"/>
      <c r="O1243" s="7"/>
      <c r="P1243" s="7"/>
      <c r="Q1243" s="7"/>
      <c r="R1243" s="7"/>
    </row>
    <row r="1244" spans="3:18">
      <c r="C1244" s="7"/>
      <c r="D1244" s="7"/>
      <c r="E1244" s="7"/>
      <c r="F1244" s="7"/>
      <c r="G1244" s="7"/>
      <c r="H1244" s="7"/>
      <c r="I1244" s="7"/>
      <c r="J1244" s="7"/>
      <c r="K1244" s="7"/>
      <c r="L1244" s="27"/>
      <c r="N1244" s="8"/>
      <c r="O1244" s="7"/>
      <c r="P1244" s="7"/>
      <c r="Q1244" s="7"/>
      <c r="R1244" s="7"/>
    </row>
    <row r="1245" spans="3:18">
      <c r="C1245" s="7"/>
      <c r="D1245" s="7"/>
      <c r="E1245" s="7"/>
      <c r="F1245" s="7"/>
      <c r="G1245" s="7"/>
      <c r="H1245" s="7"/>
      <c r="I1245" s="7"/>
      <c r="J1245" s="7"/>
      <c r="K1245" s="7"/>
      <c r="L1245" s="27"/>
      <c r="N1245" s="8"/>
      <c r="O1245" s="7"/>
      <c r="P1245" s="7"/>
      <c r="Q1245" s="7"/>
      <c r="R1245" s="7"/>
    </row>
    <row r="1246" spans="3:18">
      <c r="C1246" s="7"/>
      <c r="D1246" s="7"/>
      <c r="E1246" s="7"/>
      <c r="F1246" s="7"/>
      <c r="G1246" s="7"/>
      <c r="H1246" s="7"/>
      <c r="I1246" s="7"/>
      <c r="J1246" s="7"/>
      <c r="K1246" s="7"/>
      <c r="L1246" s="27"/>
      <c r="N1246" s="8"/>
      <c r="O1246" s="7"/>
      <c r="P1246" s="7"/>
      <c r="Q1246" s="7"/>
      <c r="R1246" s="7"/>
    </row>
    <row r="1247" spans="3:18">
      <c r="C1247" s="7"/>
      <c r="D1247" s="7"/>
      <c r="E1247" s="7"/>
      <c r="F1247" s="7"/>
      <c r="G1247" s="7"/>
      <c r="H1247" s="7"/>
      <c r="I1247" s="7"/>
      <c r="J1247" s="7"/>
      <c r="K1247" s="7"/>
      <c r="L1247" s="27"/>
      <c r="N1247" s="8"/>
      <c r="O1247" s="7"/>
      <c r="P1247" s="7"/>
      <c r="Q1247" s="7"/>
      <c r="R1247" s="7"/>
    </row>
    <row r="1248" spans="3:18">
      <c r="C1248" s="7"/>
      <c r="D1248" s="7"/>
      <c r="E1248" s="7"/>
      <c r="F1248" s="7"/>
      <c r="G1248" s="7"/>
      <c r="H1248" s="7"/>
      <c r="I1248" s="7"/>
      <c r="J1248" s="7"/>
      <c r="K1248" s="7"/>
      <c r="L1248" s="27"/>
      <c r="N1248" s="8"/>
      <c r="O1248" s="7"/>
      <c r="P1248" s="7"/>
      <c r="Q1248" s="7"/>
      <c r="R1248" s="7"/>
    </row>
    <row r="1249" spans="3:18">
      <c r="C1249" s="7"/>
      <c r="D1249" s="7"/>
      <c r="E1249" s="7"/>
      <c r="F1249" s="7"/>
      <c r="G1249" s="7"/>
      <c r="H1249" s="7"/>
      <c r="I1249" s="7"/>
      <c r="J1249" s="7"/>
      <c r="K1249" s="7"/>
      <c r="L1249" s="27"/>
      <c r="N1249" s="8"/>
      <c r="O1249" s="7"/>
      <c r="P1249" s="7"/>
      <c r="Q1249" s="7"/>
      <c r="R1249" s="7"/>
    </row>
    <row r="1250" spans="3:18">
      <c r="C1250" s="7"/>
      <c r="D1250" s="7"/>
      <c r="E1250" s="7"/>
      <c r="F1250" s="7"/>
      <c r="G1250" s="7"/>
      <c r="H1250" s="7"/>
      <c r="I1250" s="7"/>
      <c r="J1250" s="7"/>
      <c r="K1250" s="7"/>
      <c r="L1250" s="27"/>
      <c r="N1250" s="8"/>
      <c r="O1250" s="7"/>
      <c r="P1250" s="7"/>
      <c r="Q1250" s="7"/>
      <c r="R1250" s="7"/>
    </row>
    <row r="1251" spans="3:18">
      <c r="C1251" s="7"/>
      <c r="D1251" s="7"/>
      <c r="E1251" s="7"/>
      <c r="F1251" s="7"/>
      <c r="G1251" s="7"/>
      <c r="H1251" s="7"/>
      <c r="I1251" s="7"/>
      <c r="J1251" s="7"/>
      <c r="K1251" s="7"/>
      <c r="L1251" s="27"/>
      <c r="N1251" s="8"/>
      <c r="O1251" s="7"/>
      <c r="P1251" s="7"/>
      <c r="Q1251" s="7"/>
      <c r="R1251" s="7"/>
    </row>
    <row r="1252" spans="3:18">
      <c r="C1252" s="7"/>
      <c r="D1252" s="7"/>
      <c r="E1252" s="7"/>
      <c r="F1252" s="7"/>
      <c r="G1252" s="7"/>
      <c r="H1252" s="7"/>
      <c r="I1252" s="7"/>
      <c r="J1252" s="7"/>
      <c r="K1252" s="7"/>
      <c r="L1252" s="27"/>
      <c r="N1252" s="8"/>
      <c r="O1252" s="7"/>
      <c r="P1252" s="7"/>
      <c r="Q1252" s="7"/>
      <c r="R1252" s="7"/>
    </row>
    <row r="1253" spans="3:18">
      <c r="C1253" s="7"/>
      <c r="D1253" s="7"/>
      <c r="E1253" s="7"/>
      <c r="F1253" s="7"/>
      <c r="G1253" s="7"/>
      <c r="H1253" s="7"/>
      <c r="I1253" s="7"/>
      <c r="J1253" s="7"/>
      <c r="K1253" s="7"/>
      <c r="L1253" s="27"/>
      <c r="N1253" s="8"/>
      <c r="O1253" s="7"/>
      <c r="P1253" s="7"/>
      <c r="Q1253" s="7"/>
      <c r="R1253" s="7"/>
    </row>
    <row r="1254" spans="3:18">
      <c r="C1254" s="7"/>
      <c r="D1254" s="7"/>
      <c r="E1254" s="7"/>
      <c r="F1254" s="7"/>
      <c r="G1254" s="7"/>
      <c r="H1254" s="7"/>
      <c r="I1254" s="7"/>
      <c r="J1254" s="7"/>
      <c r="K1254" s="7"/>
      <c r="L1254" s="27"/>
      <c r="N1254" s="8"/>
      <c r="O1254" s="7"/>
      <c r="P1254" s="7"/>
      <c r="Q1254" s="7"/>
      <c r="R1254" s="7"/>
    </row>
    <row r="1255" spans="3:18">
      <c r="C1255" s="7"/>
      <c r="D1255" s="7"/>
      <c r="E1255" s="7"/>
      <c r="F1255" s="7"/>
      <c r="G1255" s="7"/>
      <c r="H1255" s="7"/>
      <c r="I1255" s="7"/>
      <c r="J1255" s="7"/>
      <c r="K1255" s="7"/>
      <c r="L1255" s="27"/>
      <c r="N1255" s="8"/>
      <c r="O1255" s="7"/>
      <c r="P1255" s="7"/>
      <c r="Q1255" s="7"/>
      <c r="R1255" s="7"/>
    </row>
    <row r="1256" spans="3:18">
      <c r="C1256" s="7"/>
      <c r="D1256" s="7"/>
      <c r="E1256" s="7"/>
      <c r="F1256" s="7"/>
      <c r="G1256" s="7"/>
      <c r="H1256" s="7"/>
      <c r="I1256" s="7"/>
      <c r="J1256" s="7"/>
      <c r="K1256" s="7"/>
      <c r="L1256" s="27"/>
      <c r="N1256" s="8"/>
      <c r="O1256" s="7"/>
      <c r="P1256" s="7"/>
      <c r="Q1256" s="7"/>
      <c r="R1256" s="7"/>
    </row>
    <row r="1257" spans="3:18">
      <c r="C1257" s="7"/>
      <c r="D1257" s="7"/>
      <c r="E1257" s="7"/>
      <c r="F1257" s="7"/>
      <c r="G1257" s="7"/>
      <c r="H1257" s="7"/>
      <c r="I1257" s="7"/>
      <c r="J1257" s="7"/>
      <c r="K1257" s="7"/>
      <c r="L1257" s="27"/>
      <c r="N1257" s="8"/>
      <c r="O1257" s="7"/>
      <c r="P1257" s="7"/>
      <c r="Q1257" s="7"/>
      <c r="R1257" s="7"/>
    </row>
    <row r="1258" spans="3:18">
      <c r="C1258" s="7"/>
      <c r="D1258" s="7"/>
      <c r="E1258" s="7"/>
      <c r="F1258" s="7"/>
      <c r="G1258" s="7"/>
      <c r="H1258" s="7"/>
      <c r="I1258" s="7"/>
      <c r="J1258" s="7"/>
      <c r="K1258" s="7"/>
      <c r="L1258" s="27"/>
      <c r="N1258" s="8"/>
      <c r="O1258" s="7"/>
      <c r="P1258" s="7"/>
      <c r="Q1258" s="7"/>
      <c r="R1258" s="7"/>
    </row>
    <row r="1259" spans="3:18">
      <c r="C1259" s="7"/>
      <c r="D1259" s="7"/>
      <c r="E1259" s="7"/>
      <c r="F1259" s="7"/>
      <c r="G1259" s="7"/>
      <c r="H1259" s="7"/>
      <c r="I1259" s="7"/>
      <c r="J1259" s="7"/>
      <c r="K1259" s="7"/>
      <c r="L1259" s="27"/>
      <c r="N1259" s="8"/>
      <c r="O1259" s="7"/>
      <c r="P1259" s="7"/>
      <c r="Q1259" s="7"/>
      <c r="R1259" s="7"/>
    </row>
    <row r="1260" spans="3:18">
      <c r="C1260" s="7"/>
      <c r="D1260" s="7"/>
      <c r="E1260" s="7"/>
      <c r="F1260" s="7"/>
      <c r="G1260" s="7"/>
      <c r="H1260" s="7"/>
      <c r="I1260" s="7"/>
      <c r="J1260" s="7"/>
      <c r="K1260" s="7"/>
      <c r="L1260" s="27"/>
      <c r="N1260" s="8"/>
      <c r="O1260" s="7"/>
      <c r="P1260" s="7"/>
      <c r="Q1260" s="7"/>
      <c r="R1260" s="7"/>
    </row>
    <row r="1261" spans="3:18">
      <c r="C1261" s="7"/>
      <c r="D1261" s="7"/>
      <c r="E1261" s="7"/>
      <c r="F1261" s="7"/>
      <c r="G1261" s="7"/>
      <c r="H1261" s="7"/>
      <c r="I1261" s="7"/>
      <c r="J1261" s="7"/>
      <c r="K1261" s="7"/>
      <c r="L1261" s="27"/>
      <c r="N1261" s="8"/>
      <c r="O1261" s="7"/>
      <c r="P1261" s="7"/>
      <c r="Q1261" s="7"/>
      <c r="R1261" s="7"/>
    </row>
    <row r="1262" spans="3:18">
      <c r="C1262" s="7"/>
      <c r="D1262" s="7"/>
      <c r="E1262" s="7"/>
      <c r="F1262" s="7"/>
      <c r="G1262" s="7"/>
      <c r="H1262" s="7"/>
      <c r="I1262" s="7"/>
      <c r="J1262" s="7"/>
      <c r="K1262" s="7"/>
      <c r="L1262" s="27"/>
      <c r="N1262" s="8"/>
      <c r="O1262" s="7"/>
      <c r="P1262" s="7"/>
      <c r="Q1262" s="7"/>
      <c r="R1262" s="7"/>
    </row>
    <row r="1263" spans="3:18">
      <c r="C1263" s="7"/>
      <c r="D1263" s="7"/>
      <c r="E1263" s="7"/>
      <c r="F1263" s="7"/>
      <c r="G1263" s="7"/>
      <c r="H1263" s="7"/>
      <c r="I1263" s="7"/>
      <c r="J1263" s="7"/>
      <c r="K1263" s="7"/>
      <c r="L1263" s="27"/>
      <c r="N1263" s="8"/>
      <c r="O1263" s="7"/>
      <c r="P1263" s="7"/>
      <c r="Q1263" s="7"/>
      <c r="R1263" s="7"/>
    </row>
    <row r="1264" spans="3:18">
      <c r="C1264" s="7"/>
      <c r="D1264" s="7"/>
      <c r="E1264" s="7"/>
      <c r="F1264" s="7"/>
      <c r="G1264" s="7"/>
      <c r="H1264" s="7"/>
      <c r="I1264" s="7"/>
      <c r="J1264" s="7"/>
      <c r="K1264" s="7"/>
      <c r="L1264" s="27"/>
      <c r="N1264" s="8"/>
      <c r="O1264" s="7"/>
      <c r="P1264" s="7"/>
      <c r="Q1264" s="7"/>
      <c r="R1264" s="7"/>
    </row>
    <row r="1265" spans="3:18">
      <c r="C1265" s="7"/>
      <c r="D1265" s="7"/>
      <c r="E1265" s="7"/>
      <c r="F1265" s="7"/>
      <c r="G1265" s="7"/>
      <c r="H1265" s="7"/>
      <c r="I1265" s="7"/>
      <c r="J1265" s="7"/>
      <c r="K1265" s="7"/>
      <c r="L1265" s="27"/>
      <c r="N1265" s="8"/>
      <c r="O1265" s="7"/>
      <c r="P1265" s="7"/>
      <c r="Q1265" s="7"/>
      <c r="R1265" s="7"/>
    </row>
    <row r="1266" spans="3:18">
      <c r="C1266" s="7"/>
      <c r="D1266" s="7"/>
      <c r="E1266" s="7"/>
      <c r="F1266" s="7"/>
      <c r="G1266" s="7"/>
      <c r="H1266" s="7"/>
      <c r="I1266" s="7"/>
      <c r="J1266" s="7"/>
      <c r="K1266" s="7"/>
      <c r="L1266" s="27"/>
      <c r="N1266" s="8"/>
      <c r="O1266" s="7"/>
      <c r="P1266" s="7"/>
      <c r="Q1266" s="7"/>
      <c r="R1266" s="7"/>
    </row>
    <row r="1267" spans="3:18">
      <c r="C1267" s="7"/>
      <c r="D1267" s="7"/>
      <c r="E1267" s="7"/>
      <c r="F1267" s="7"/>
      <c r="G1267" s="7"/>
      <c r="H1267" s="7"/>
      <c r="I1267" s="7"/>
      <c r="J1267" s="7"/>
      <c r="K1267" s="7"/>
      <c r="L1267" s="27"/>
      <c r="N1267" s="8"/>
      <c r="O1267" s="7"/>
      <c r="P1267" s="7"/>
      <c r="Q1267" s="7"/>
      <c r="R1267" s="7"/>
    </row>
    <row r="1268" spans="3:18">
      <c r="C1268" s="7"/>
      <c r="D1268" s="7"/>
      <c r="E1268" s="7"/>
      <c r="F1268" s="7"/>
      <c r="G1268" s="7"/>
      <c r="H1268" s="7"/>
      <c r="I1268" s="7"/>
      <c r="J1268" s="7"/>
      <c r="K1268" s="7"/>
      <c r="L1268" s="27"/>
      <c r="N1268" s="8"/>
      <c r="O1268" s="7"/>
      <c r="P1268" s="7"/>
      <c r="Q1268" s="7"/>
      <c r="R1268" s="7"/>
    </row>
    <row r="1269" spans="3:18">
      <c r="C1269" s="7"/>
      <c r="D1269" s="7"/>
      <c r="E1269" s="7"/>
      <c r="F1269" s="7"/>
      <c r="G1269" s="7"/>
      <c r="H1269" s="7"/>
      <c r="I1269" s="7"/>
      <c r="J1269" s="7"/>
      <c r="K1269" s="7"/>
      <c r="L1269" s="27"/>
      <c r="N1269" s="8"/>
      <c r="O1269" s="7"/>
      <c r="P1269" s="7"/>
      <c r="Q1269" s="7"/>
      <c r="R1269" s="7"/>
    </row>
    <row r="1270" spans="3:18">
      <c r="C1270" s="7"/>
      <c r="D1270" s="7"/>
      <c r="E1270" s="7"/>
      <c r="F1270" s="7"/>
      <c r="G1270" s="7"/>
      <c r="H1270" s="7"/>
      <c r="I1270" s="7"/>
      <c r="J1270" s="7"/>
      <c r="K1270" s="7"/>
      <c r="L1270" s="27"/>
      <c r="N1270" s="8"/>
      <c r="O1270" s="7"/>
      <c r="P1270" s="7"/>
      <c r="Q1270" s="7"/>
      <c r="R1270" s="7"/>
    </row>
    <row r="1271" spans="3:18">
      <c r="C1271" s="7"/>
      <c r="D1271" s="7"/>
      <c r="E1271" s="7"/>
      <c r="F1271" s="7"/>
      <c r="G1271" s="7"/>
      <c r="H1271" s="7"/>
      <c r="I1271" s="7"/>
      <c r="J1271" s="7"/>
      <c r="K1271" s="7"/>
      <c r="L1271" s="27"/>
      <c r="N1271" s="8"/>
      <c r="O1271" s="7"/>
      <c r="P1271" s="7"/>
      <c r="Q1271" s="7"/>
      <c r="R1271" s="7"/>
    </row>
    <row r="1272" spans="3:18">
      <c r="C1272" s="7"/>
      <c r="D1272" s="7"/>
      <c r="E1272" s="7"/>
      <c r="F1272" s="7"/>
      <c r="G1272" s="7"/>
      <c r="H1272" s="7"/>
      <c r="I1272" s="7"/>
      <c r="J1272" s="7"/>
      <c r="K1272" s="7"/>
      <c r="L1272" s="27"/>
      <c r="N1272" s="8"/>
      <c r="O1272" s="7"/>
      <c r="P1272" s="7"/>
      <c r="Q1272" s="7"/>
      <c r="R1272" s="7"/>
    </row>
    <row r="1273" spans="3:18">
      <c r="C1273" s="7"/>
      <c r="D1273" s="7"/>
      <c r="E1273" s="7"/>
      <c r="F1273" s="7"/>
      <c r="G1273" s="7"/>
      <c r="H1273" s="7"/>
      <c r="I1273" s="7"/>
      <c r="J1273" s="7"/>
      <c r="K1273" s="7"/>
      <c r="L1273" s="27"/>
      <c r="N1273" s="8"/>
      <c r="O1273" s="7"/>
      <c r="P1273" s="7"/>
      <c r="Q1273" s="7"/>
      <c r="R1273" s="7"/>
    </row>
    <row r="1274" spans="3:18">
      <c r="C1274" s="7"/>
      <c r="D1274" s="7"/>
      <c r="E1274" s="7"/>
      <c r="F1274" s="7"/>
      <c r="G1274" s="7"/>
      <c r="H1274" s="7"/>
      <c r="I1274" s="7"/>
      <c r="J1274" s="7"/>
      <c r="K1274" s="7"/>
      <c r="L1274" s="27"/>
      <c r="N1274" s="8"/>
      <c r="O1274" s="7"/>
      <c r="P1274" s="7"/>
      <c r="Q1274" s="7"/>
      <c r="R1274" s="7"/>
    </row>
    <row r="1275" spans="3:18">
      <c r="C1275" s="7"/>
      <c r="D1275" s="7"/>
      <c r="E1275" s="7"/>
      <c r="F1275" s="7"/>
      <c r="G1275" s="7"/>
      <c r="H1275" s="7"/>
      <c r="I1275" s="7"/>
      <c r="J1275" s="7"/>
      <c r="K1275" s="7"/>
      <c r="L1275" s="27"/>
      <c r="N1275" s="8"/>
      <c r="O1275" s="7"/>
      <c r="P1275" s="7"/>
      <c r="Q1275" s="7"/>
      <c r="R1275" s="7"/>
    </row>
    <row r="1276" spans="3:18">
      <c r="C1276" s="7"/>
      <c r="D1276" s="7"/>
      <c r="E1276" s="7"/>
      <c r="F1276" s="7"/>
      <c r="G1276" s="7"/>
      <c r="H1276" s="7"/>
      <c r="I1276" s="7"/>
      <c r="J1276" s="7"/>
      <c r="K1276" s="7"/>
      <c r="L1276" s="27"/>
      <c r="N1276" s="8"/>
      <c r="O1276" s="7"/>
      <c r="P1276" s="7"/>
      <c r="Q1276" s="7"/>
      <c r="R1276" s="7"/>
    </row>
    <row r="1277" spans="3:18">
      <c r="C1277" s="7"/>
      <c r="D1277" s="7"/>
      <c r="E1277" s="7"/>
      <c r="F1277" s="7"/>
      <c r="G1277" s="7"/>
      <c r="H1277" s="7"/>
      <c r="I1277" s="7"/>
      <c r="J1277" s="7"/>
      <c r="K1277" s="7"/>
      <c r="L1277" s="27"/>
      <c r="N1277" s="8"/>
      <c r="O1277" s="7"/>
      <c r="P1277" s="7"/>
      <c r="Q1277" s="7"/>
      <c r="R1277" s="7"/>
    </row>
    <row r="1278" spans="3:18">
      <c r="C1278" s="7"/>
      <c r="D1278" s="7"/>
      <c r="E1278" s="7"/>
      <c r="F1278" s="7"/>
      <c r="G1278" s="7"/>
      <c r="H1278" s="7"/>
      <c r="I1278" s="7"/>
      <c r="J1278" s="7"/>
      <c r="K1278" s="7"/>
      <c r="L1278" s="27"/>
      <c r="N1278" s="8"/>
      <c r="O1278" s="7"/>
      <c r="P1278" s="7"/>
      <c r="Q1278" s="7"/>
      <c r="R1278" s="7"/>
    </row>
    <row r="1279" spans="3:18">
      <c r="C1279" s="7"/>
      <c r="D1279" s="7"/>
      <c r="E1279" s="7"/>
      <c r="F1279" s="7"/>
      <c r="G1279" s="7"/>
      <c r="H1279" s="7"/>
      <c r="I1279" s="7"/>
      <c r="J1279" s="7"/>
      <c r="K1279" s="7"/>
      <c r="L1279" s="27"/>
      <c r="N1279" s="8"/>
      <c r="O1279" s="7"/>
      <c r="P1279" s="7"/>
      <c r="Q1279" s="7"/>
      <c r="R1279" s="7"/>
    </row>
    <row r="1280" spans="3:18">
      <c r="C1280" s="7"/>
      <c r="D1280" s="7"/>
      <c r="E1280" s="7"/>
      <c r="F1280" s="7"/>
      <c r="G1280" s="7"/>
      <c r="H1280" s="7"/>
      <c r="I1280" s="7"/>
      <c r="J1280" s="7"/>
      <c r="K1280" s="7"/>
      <c r="L1280" s="27"/>
      <c r="N1280" s="8"/>
      <c r="O1280" s="7"/>
      <c r="P1280" s="7"/>
      <c r="Q1280" s="7"/>
      <c r="R1280" s="7"/>
    </row>
    <row r="1281" spans="3:18">
      <c r="C1281" s="7"/>
      <c r="D1281" s="7"/>
      <c r="E1281" s="7"/>
      <c r="F1281" s="7"/>
      <c r="G1281" s="7"/>
      <c r="H1281" s="7"/>
      <c r="I1281" s="7"/>
      <c r="J1281" s="7"/>
      <c r="K1281" s="7"/>
      <c r="L1281" s="27"/>
      <c r="N1281" s="8"/>
      <c r="O1281" s="7"/>
      <c r="P1281" s="7"/>
      <c r="Q1281" s="7"/>
      <c r="R1281" s="7"/>
    </row>
    <row r="1282" spans="3:18">
      <c r="C1282" s="7"/>
      <c r="D1282" s="7"/>
      <c r="E1282" s="7"/>
      <c r="F1282" s="7"/>
      <c r="G1282" s="7"/>
      <c r="H1282" s="7"/>
      <c r="I1282" s="7"/>
      <c r="J1282" s="7"/>
      <c r="K1282" s="7"/>
      <c r="L1282" s="27"/>
      <c r="N1282" s="8"/>
      <c r="O1282" s="7"/>
      <c r="P1282" s="7"/>
      <c r="Q1282" s="7"/>
      <c r="R1282" s="7"/>
    </row>
    <row r="1283" spans="3:18">
      <c r="C1283" s="7"/>
      <c r="D1283" s="7"/>
      <c r="E1283" s="7"/>
      <c r="F1283" s="7"/>
      <c r="G1283" s="7"/>
      <c r="H1283" s="7"/>
      <c r="I1283" s="7"/>
      <c r="J1283" s="7"/>
      <c r="K1283" s="7"/>
      <c r="L1283" s="27"/>
      <c r="N1283" s="8"/>
      <c r="O1283" s="7"/>
      <c r="P1283" s="7"/>
      <c r="Q1283" s="7"/>
      <c r="R1283" s="7"/>
    </row>
    <row r="1284" spans="3:18">
      <c r="C1284" s="7"/>
      <c r="D1284" s="7"/>
      <c r="E1284" s="7"/>
      <c r="F1284" s="7"/>
      <c r="G1284" s="7"/>
      <c r="H1284" s="7"/>
      <c r="I1284" s="7"/>
      <c r="J1284" s="7"/>
      <c r="K1284" s="7"/>
      <c r="L1284" s="27"/>
      <c r="N1284" s="8"/>
      <c r="O1284" s="7"/>
      <c r="P1284" s="7"/>
      <c r="Q1284" s="7"/>
      <c r="R1284" s="7"/>
    </row>
    <row r="1285" spans="3:18">
      <c r="C1285" s="7"/>
      <c r="D1285" s="7"/>
      <c r="E1285" s="7"/>
      <c r="F1285" s="7"/>
      <c r="G1285" s="7"/>
      <c r="H1285" s="7"/>
      <c r="I1285" s="7"/>
      <c r="J1285" s="7"/>
      <c r="K1285" s="7"/>
      <c r="L1285" s="27"/>
      <c r="N1285" s="8"/>
      <c r="O1285" s="7"/>
      <c r="P1285" s="7"/>
      <c r="Q1285" s="7"/>
      <c r="R1285" s="7"/>
    </row>
    <row r="1286" spans="3:18">
      <c r="C1286" s="7"/>
      <c r="D1286" s="7"/>
      <c r="E1286" s="7"/>
      <c r="F1286" s="7"/>
      <c r="G1286" s="7"/>
      <c r="H1286" s="7"/>
      <c r="I1286" s="7"/>
      <c r="J1286" s="7"/>
      <c r="K1286" s="7"/>
      <c r="L1286" s="27"/>
      <c r="N1286" s="8"/>
      <c r="O1286" s="7"/>
      <c r="P1286" s="7"/>
      <c r="Q1286" s="7"/>
      <c r="R1286" s="7"/>
    </row>
    <row r="1287" spans="3:18">
      <c r="C1287" s="7"/>
      <c r="D1287" s="7"/>
      <c r="E1287" s="7"/>
      <c r="F1287" s="7"/>
      <c r="G1287" s="7"/>
      <c r="H1287" s="7"/>
      <c r="I1287" s="7"/>
      <c r="J1287" s="7"/>
      <c r="K1287" s="7"/>
      <c r="L1287" s="27"/>
      <c r="N1287" s="8"/>
      <c r="O1287" s="7"/>
      <c r="P1287" s="7"/>
      <c r="Q1287" s="7"/>
      <c r="R1287" s="7"/>
    </row>
    <row r="1288" spans="3:18">
      <c r="C1288" s="7"/>
      <c r="D1288" s="7"/>
      <c r="E1288" s="7"/>
      <c r="F1288" s="7"/>
      <c r="G1288" s="7"/>
      <c r="H1288" s="7"/>
      <c r="I1288" s="7"/>
      <c r="J1288" s="7"/>
      <c r="K1288" s="7"/>
      <c r="L1288" s="27"/>
      <c r="N1288" s="8"/>
      <c r="O1288" s="7"/>
      <c r="P1288" s="7"/>
      <c r="Q1288" s="7"/>
      <c r="R1288" s="7"/>
    </row>
    <row r="1289" spans="3:18">
      <c r="C1289" s="7"/>
      <c r="D1289" s="7"/>
      <c r="E1289" s="7"/>
      <c r="F1289" s="7"/>
      <c r="G1289" s="7"/>
      <c r="H1289" s="7"/>
      <c r="I1289" s="7"/>
      <c r="J1289" s="7"/>
      <c r="K1289" s="7"/>
      <c r="L1289" s="27"/>
      <c r="N1289" s="8"/>
      <c r="O1289" s="7"/>
      <c r="P1289" s="7"/>
      <c r="Q1289" s="7"/>
      <c r="R1289" s="7"/>
    </row>
    <row r="1290" spans="3:18">
      <c r="C1290" s="7"/>
      <c r="D1290" s="7"/>
      <c r="E1290" s="7"/>
      <c r="F1290" s="7"/>
      <c r="G1290" s="7"/>
      <c r="H1290" s="7"/>
      <c r="I1290" s="7"/>
      <c r="J1290" s="7"/>
      <c r="K1290" s="7"/>
      <c r="L1290" s="27"/>
      <c r="N1290" s="8"/>
      <c r="O1290" s="7"/>
      <c r="P1290" s="7"/>
      <c r="Q1290" s="7"/>
      <c r="R1290" s="7"/>
    </row>
    <row r="1291" spans="3:18">
      <c r="C1291" s="7"/>
      <c r="D1291" s="7"/>
      <c r="E1291" s="7"/>
      <c r="F1291" s="7"/>
      <c r="G1291" s="7"/>
      <c r="H1291" s="7"/>
      <c r="I1291" s="7"/>
      <c r="J1291" s="7"/>
      <c r="K1291" s="7"/>
      <c r="L1291" s="27"/>
      <c r="N1291" s="8"/>
      <c r="O1291" s="7"/>
      <c r="P1291" s="7"/>
      <c r="Q1291" s="7"/>
      <c r="R1291" s="7"/>
    </row>
    <row r="1292" spans="3:18">
      <c r="C1292" s="7"/>
      <c r="D1292" s="7"/>
      <c r="E1292" s="7"/>
      <c r="F1292" s="7"/>
      <c r="G1292" s="7"/>
      <c r="H1292" s="7"/>
      <c r="I1292" s="7"/>
      <c r="J1292" s="7"/>
      <c r="K1292" s="7"/>
      <c r="L1292" s="27"/>
      <c r="N1292" s="8"/>
      <c r="O1292" s="7"/>
      <c r="P1292" s="7"/>
      <c r="Q1292" s="7"/>
      <c r="R1292" s="7"/>
    </row>
    <row r="1293" spans="3:18">
      <c r="C1293" s="7"/>
      <c r="D1293" s="7"/>
      <c r="E1293" s="7"/>
      <c r="F1293" s="7"/>
      <c r="G1293" s="7"/>
      <c r="H1293" s="7"/>
      <c r="I1293" s="7"/>
      <c r="J1293" s="7"/>
      <c r="K1293" s="7"/>
      <c r="L1293" s="27"/>
      <c r="N1293" s="8"/>
      <c r="O1293" s="7"/>
      <c r="P1293" s="7"/>
      <c r="Q1293" s="7"/>
      <c r="R1293" s="7"/>
    </row>
    <row r="1294" spans="3:18">
      <c r="C1294" s="7"/>
      <c r="D1294" s="7"/>
      <c r="E1294" s="7"/>
      <c r="F1294" s="7"/>
      <c r="G1294" s="7"/>
      <c r="H1294" s="7"/>
      <c r="I1294" s="7"/>
      <c r="J1294" s="7"/>
      <c r="K1294" s="7"/>
      <c r="L1294" s="27"/>
      <c r="N1294" s="8"/>
      <c r="O1294" s="7"/>
      <c r="P1294" s="7"/>
      <c r="Q1294" s="7"/>
      <c r="R1294" s="7"/>
    </row>
    <row r="1295" spans="3:18">
      <c r="C1295" s="7"/>
      <c r="D1295" s="7"/>
      <c r="E1295" s="7"/>
      <c r="F1295" s="7"/>
      <c r="G1295" s="7"/>
      <c r="H1295" s="7"/>
      <c r="I1295" s="7"/>
      <c r="J1295" s="7"/>
      <c r="K1295" s="7"/>
      <c r="L1295" s="27"/>
      <c r="N1295" s="8"/>
      <c r="O1295" s="7"/>
      <c r="P1295" s="7"/>
      <c r="Q1295" s="7"/>
      <c r="R1295" s="7"/>
    </row>
    <row r="1296" spans="3:18">
      <c r="C1296" s="7"/>
      <c r="D1296" s="7"/>
      <c r="E1296" s="7"/>
      <c r="F1296" s="7"/>
      <c r="G1296" s="7"/>
      <c r="H1296" s="7"/>
      <c r="I1296" s="7"/>
      <c r="J1296" s="7"/>
      <c r="K1296" s="7"/>
      <c r="L1296" s="27"/>
      <c r="N1296" s="8"/>
      <c r="O1296" s="7"/>
      <c r="P1296" s="7"/>
      <c r="Q1296" s="7"/>
      <c r="R1296" s="7"/>
    </row>
    <row r="1297" spans="3:18">
      <c r="C1297" s="7"/>
      <c r="D1297" s="7"/>
      <c r="E1297" s="7"/>
      <c r="F1297" s="7"/>
      <c r="G1297" s="7"/>
      <c r="H1297" s="7"/>
      <c r="I1297" s="7"/>
      <c r="J1297" s="7"/>
      <c r="K1297" s="7"/>
      <c r="L1297" s="27"/>
      <c r="N1297" s="8"/>
      <c r="O1297" s="7"/>
      <c r="P1297" s="7"/>
      <c r="Q1297" s="7"/>
      <c r="R1297" s="7"/>
    </row>
    <row r="1298" spans="3:18">
      <c r="C1298" s="7"/>
      <c r="D1298" s="7"/>
      <c r="E1298" s="7"/>
      <c r="F1298" s="7"/>
      <c r="G1298" s="7"/>
      <c r="H1298" s="7"/>
      <c r="I1298" s="7"/>
      <c r="J1298" s="7"/>
      <c r="K1298" s="7"/>
      <c r="L1298" s="27"/>
      <c r="N1298" s="8"/>
      <c r="O1298" s="7"/>
      <c r="P1298" s="7"/>
      <c r="Q1298" s="7"/>
      <c r="R1298" s="7"/>
    </row>
    <row r="1299" spans="3:18">
      <c r="C1299" s="7"/>
      <c r="D1299" s="7"/>
      <c r="E1299" s="7"/>
      <c r="F1299" s="7"/>
      <c r="G1299" s="7"/>
      <c r="H1299" s="7"/>
      <c r="I1299" s="7"/>
      <c r="J1299" s="7"/>
      <c r="K1299" s="7"/>
      <c r="L1299" s="27"/>
      <c r="N1299" s="8"/>
      <c r="O1299" s="7"/>
      <c r="P1299" s="7"/>
      <c r="Q1299" s="7"/>
      <c r="R1299" s="7"/>
    </row>
    <row r="1300" spans="3:18">
      <c r="C1300" s="7"/>
      <c r="D1300" s="7"/>
      <c r="E1300" s="7"/>
      <c r="F1300" s="7"/>
      <c r="G1300" s="7"/>
      <c r="H1300" s="7"/>
      <c r="I1300" s="7"/>
      <c r="J1300" s="7"/>
      <c r="K1300" s="7"/>
      <c r="L1300" s="27"/>
      <c r="N1300" s="8"/>
      <c r="O1300" s="7"/>
      <c r="P1300" s="7"/>
      <c r="Q1300" s="7"/>
      <c r="R1300" s="7"/>
    </row>
    <row r="1301" spans="3:18">
      <c r="C1301" s="7"/>
      <c r="D1301" s="7"/>
      <c r="E1301" s="7"/>
      <c r="F1301" s="7"/>
      <c r="G1301" s="7"/>
      <c r="H1301" s="7"/>
      <c r="I1301" s="7"/>
      <c r="J1301" s="7"/>
      <c r="K1301" s="7"/>
      <c r="L1301" s="27"/>
      <c r="N1301" s="8"/>
      <c r="O1301" s="7"/>
      <c r="P1301" s="7"/>
      <c r="Q1301" s="7"/>
      <c r="R1301" s="7"/>
    </row>
    <row r="1302" spans="3:18">
      <c r="C1302" s="7"/>
      <c r="D1302" s="7"/>
      <c r="E1302" s="7"/>
      <c r="F1302" s="7"/>
      <c r="G1302" s="7"/>
      <c r="H1302" s="7"/>
      <c r="I1302" s="7"/>
      <c r="J1302" s="7"/>
      <c r="K1302" s="7"/>
      <c r="L1302" s="27"/>
      <c r="N1302" s="8"/>
      <c r="O1302" s="7"/>
      <c r="P1302" s="7"/>
      <c r="Q1302" s="7"/>
      <c r="R1302" s="7"/>
    </row>
    <row r="1303" spans="3:18">
      <c r="C1303" s="7"/>
      <c r="D1303" s="7"/>
      <c r="E1303" s="7"/>
      <c r="F1303" s="7"/>
      <c r="G1303" s="7"/>
      <c r="H1303" s="7"/>
      <c r="I1303" s="7"/>
      <c r="J1303" s="7"/>
      <c r="K1303" s="7"/>
      <c r="L1303" s="27"/>
      <c r="N1303" s="8"/>
      <c r="O1303" s="7"/>
      <c r="P1303" s="7"/>
      <c r="Q1303" s="7"/>
      <c r="R1303" s="7"/>
    </row>
    <row r="1304" spans="3:18">
      <c r="C1304" s="7"/>
      <c r="D1304" s="7"/>
      <c r="E1304" s="7"/>
      <c r="F1304" s="7"/>
      <c r="G1304" s="7"/>
      <c r="H1304" s="7"/>
      <c r="I1304" s="7"/>
      <c r="J1304" s="7"/>
      <c r="K1304" s="7"/>
      <c r="L1304" s="27"/>
      <c r="N1304" s="8"/>
      <c r="O1304" s="7"/>
      <c r="P1304" s="7"/>
      <c r="Q1304" s="7"/>
      <c r="R1304" s="7"/>
    </row>
    <row r="1305" spans="3:18">
      <c r="C1305" s="7"/>
      <c r="D1305" s="7"/>
      <c r="E1305" s="7"/>
      <c r="F1305" s="7"/>
      <c r="G1305" s="7"/>
      <c r="H1305" s="7"/>
      <c r="I1305" s="7"/>
      <c r="J1305" s="7"/>
      <c r="K1305" s="7"/>
      <c r="L1305" s="27"/>
      <c r="N1305" s="8"/>
      <c r="O1305" s="7"/>
      <c r="P1305" s="7"/>
      <c r="Q1305" s="7"/>
      <c r="R1305" s="7"/>
    </row>
    <row r="1306" spans="3:18">
      <c r="C1306" s="7"/>
      <c r="D1306" s="7"/>
      <c r="E1306" s="7"/>
      <c r="F1306" s="7"/>
      <c r="G1306" s="7"/>
      <c r="H1306" s="7"/>
      <c r="I1306" s="7"/>
      <c r="J1306" s="7"/>
      <c r="K1306" s="7"/>
      <c r="L1306" s="27"/>
      <c r="N1306" s="8"/>
      <c r="O1306" s="7"/>
      <c r="P1306" s="7"/>
      <c r="Q1306" s="7"/>
      <c r="R1306" s="7"/>
    </row>
    <row r="1307" spans="3:18">
      <c r="C1307" s="7"/>
      <c r="D1307" s="7"/>
      <c r="E1307" s="7"/>
      <c r="F1307" s="7"/>
      <c r="G1307" s="7"/>
      <c r="H1307" s="7"/>
      <c r="I1307" s="7"/>
      <c r="J1307" s="7"/>
      <c r="K1307" s="7"/>
      <c r="L1307" s="27"/>
      <c r="N1307" s="8"/>
      <c r="O1307" s="7"/>
      <c r="P1307" s="7"/>
      <c r="Q1307" s="7"/>
      <c r="R1307" s="7"/>
    </row>
    <row r="1308" spans="3:18">
      <c r="C1308" s="7"/>
      <c r="D1308" s="7"/>
      <c r="E1308" s="7"/>
      <c r="F1308" s="7"/>
      <c r="G1308" s="7"/>
      <c r="H1308" s="7"/>
      <c r="I1308" s="7"/>
      <c r="J1308" s="7"/>
      <c r="K1308" s="7"/>
      <c r="L1308" s="27"/>
      <c r="N1308" s="8"/>
      <c r="O1308" s="7"/>
      <c r="P1308" s="7"/>
      <c r="Q1308" s="7"/>
      <c r="R1308" s="7"/>
    </row>
    <row r="1309" spans="3:18">
      <c r="C1309" s="7"/>
      <c r="D1309" s="7"/>
      <c r="E1309" s="7"/>
      <c r="F1309" s="7"/>
      <c r="G1309" s="7"/>
      <c r="H1309" s="7"/>
      <c r="I1309" s="7"/>
      <c r="J1309" s="7"/>
      <c r="K1309" s="7"/>
      <c r="L1309" s="27"/>
      <c r="N1309" s="8"/>
      <c r="O1309" s="7"/>
      <c r="P1309" s="7"/>
      <c r="Q1309" s="7"/>
      <c r="R1309" s="7"/>
    </row>
    <row r="1310" spans="3:18">
      <c r="C1310" s="7"/>
      <c r="D1310" s="7"/>
      <c r="E1310" s="7"/>
      <c r="F1310" s="7"/>
      <c r="G1310" s="7"/>
      <c r="H1310" s="7"/>
      <c r="I1310" s="7"/>
      <c r="J1310" s="7"/>
      <c r="K1310" s="7"/>
      <c r="L1310" s="27"/>
      <c r="N1310" s="8"/>
      <c r="O1310" s="7"/>
      <c r="P1310" s="7"/>
      <c r="Q1310" s="7"/>
      <c r="R1310" s="7"/>
    </row>
    <row r="1311" spans="3:18">
      <c r="C1311" s="7"/>
      <c r="D1311" s="7"/>
      <c r="E1311" s="7"/>
      <c r="F1311" s="7"/>
      <c r="G1311" s="7"/>
      <c r="H1311" s="7"/>
      <c r="I1311" s="7"/>
      <c r="J1311" s="7"/>
      <c r="K1311" s="7"/>
      <c r="L1311" s="27"/>
      <c r="N1311" s="8"/>
      <c r="O1311" s="7"/>
      <c r="P1311" s="7"/>
      <c r="Q1311" s="7"/>
      <c r="R1311" s="7"/>
    </row>
    <row r="1312" spans="3:18">
      <c r="C1312" s="7"/>
      <c r="D1312" s="7"/>
      <c r="E1312" s="7"/>
      <c r="F1312" s="7"/>
      <c r="G1312" s="7"/>
      <c r="H1312" s="7"/>
      <c r="I1312" s="7"/>
      <c r="J1312" s="7"/>
      <c r="K1312" s="7"/>
      <c r="L1312" s="27"/>
      <c r="N1312" s="8"/>
      <c r="O1312" s="7"/>
      <c r="P1312" s="7"/>
      <c r="Q1312" s="7"/>
      <c r="R1312" s="7"/>
    </row>
    <row r="1313" spans="3:18">
      <c r="C1313" s="7"/>
      <c r="D1313" s="7"/>
      <c r="E1313" s="7"/>
      <c r="F1313" s="7"/>
      <c r="G1313" s="7"/>
      <c r="H1313" s="7"/>
      <c r="I1313" s="7"/>
      <c r="J1313" s="7"/>
      <c r="K1313" s="7"/>
      <c r="L1313" s="27"/>
      <c r="N1313" s="8"/>
      <c r="O1313" s="7"/>
      <c r="P1313" s="7"/>
      <c r="Q1313" s="7"/>
      <c r="R1313" s="7"/>
    </row>
    <row r="1314" spans="3:18">
      <c r="C1314" s="7"/>
      <c r="D1314" s="7"/>
      <c r="E1314" s="7"/>
      <c r="F1314" s="7"/>
      <c r="G1314" s="7"/>
      <c r="H1314" s="7"/>
      <c r="I1314" s="7"/>
      <c r="J1314" s="7"/>
      <c r="K1314" s="7"/>
      <c r="L1314" s="27"/>
      <c r="N1314" s="8"/>
      <c r="O1314" s="7"/>
      <c r="P1314" s="7"/>
      <c r="Q1314" s="7"/>
      <c r="R1314" s="7"/>
    </row>
    <row r="1315" spans="3:18">
      <c r="C1315" s="7"/>
      <c r="D1315" s="7"/>
      <c r="E1315" s="7"/>
      <c r="F1315" s="7"/>
      <c r="G1315" s="7"/>
      <c r="H1315" s="7"/>
      <c r="I1315" s="7"/>
      <c r="J1315" s="7"/>
      <c r="K1315" s="7"/>
      <c r="L1315" s="27"/>
      <c r="N1315" s="8"/>
      <c r="O1315" s="7"/>
      <c r="P1315" s="7"/>
      <c r="Q1315" s="7"/>
      <c r="R1315" s="7"/>
    </row>
    <row r="1316" spans="3:18">
      <c r="C1316" s="7"/>
      <c r="D1316" s="7"/>
      <c r="E1316" s="7"/>
      <c r="F1316" s="7"/>
      <c r="G1316" s="7"/>
      <c r="H1316" s="7"/>
      <c r="I1316" s="7"/>
      <c r="J1316" s="7"/>
      <c r="K1316" s="7"/>
      <c r="L1316" s="27"/>
      <c r="N1316" s="8"/>
      <c r="O1316" s="7"/>
      <c r="P1316" s="7"/>
      <c r="Q1316" s="7"/>
      <c r="R1316" s="7"/>
    </row>
    <row r="1317" spans="3:18">
      <c r="C1317" s="7"/>
      <c r="D1317" s="7"/>
      <c r="E1317" s="7"/>
      <c r="F1317" s="7"/>
      <c r="G1317" s="7"/>
      <c r="H1317" s="7"/>
      <c r="I1317" s="7"/>
      <c r="J1317" s="7"/>
      <c r="K1317" s="7"/>
      <c r="L1317" s="27"/>
      <c r="N1317" s="8"/>
      <c r="O1317" s="7"/>
      <c r="P1317" s="7"/>
      <c r="Q1317" s="7"/>
      <c r="R1317" s="7"/>
    </row>
    <row r="1318" spans="3:18">
      <c r="C1318" s="7"/>
      <c r="D1318" s="7"/>
      <c r="E1318" s="7"/>
      <c r="F1318" s="7"/>
      <c r="G1318" s="7"/>
      <c r="H1318" s="7"/>
      <c r="I1318" s="7"/>
      <c r="J1318" s="7"/>
      <c r="K1318" s="7"/>
      <c r="L1318" s="27"/>
      <c r="N1318" s="8"/>
      <c r="O1318" s="7"/>
      <c r="P1318" s="7"/>
      <c r="Q1318" s="7"/>
      <c r="R1318" s="7"/>
    </row>
    <row r="1319" spans="3:18">
      <c r="C1319" s="7"/>
      <c r="D1319" s="7"/>
      <c r="E1319" s="7"/>
      <c r="F1319" s="7"/>
      <c r="G1319" s="7"/>
      <c r="H1319" s="7"/>
      <c r="I1319" s="7"/>
      <c r="J1319" s="7"/>
      <c r="K1319" s="7"/>
      <c r="L1319" s="27"/>
      <c r="N1319" s="8"/>
      <c r="O1319" s="7"/>
      <c r="P1319" s="7"/>
      <c r="Q1319" s="7"/>
      <c r="R1319" s="7"/>
    </row>
    <row r="1320" spans="3:18">
      <c r="C1320" s="7"/>
      <c r="D1320" s="7"/>
      <c r="E1320" s="7"/>
      <c r="F1320" s="7"/>
      <c r="G1320" s="7"/>
      <c r="H1320" s="7"/>
      <c r="I1320" s="7"/>
      <c r="J1320" s="7"/>
      <c r="K1320" s="7"/>
      <c r="L1320" s="27"/>
      <c r="N1320" s="8"/>
      <c r="O1320" s="7"/>
      <c r="P1320" s="7"/>
      <c r="Q1320" s="7"/>
      <c r="R1320" s="7"/>
    </row>
    <row r="1321" spans="3:18">
      <c r="C1321" s="7"/>
      <c r="D1321" s="7"/>
      <c r="E1321" s="7"/>
      <c r="F1321" s="7"/>
      <c r="G1321" s="7"/>
      <c r="H1321" s="7"/>
      <c r="I1321" s="7"/>
      <c r="J1321" s="7"/>
      <c r="K1321" s="7"/>
      <c r="L1321" s="27"/>
      <c r="N1321" s="8"/>
      <c r="O1321" s="7"/>
      <c r="P1321" s="7"/>
      <c r="Q1321" s="7"/>
      <c r="R1321" s="7"/>
    </row>
    <row r="1322" spans="3:18">
      <c r="C1322" s="7"/>
      <c r="D1322" s="7"/>
      <c r="E1322" s="7"/>
      <c r="F1322" s="7"/>
      <c r="G1322" s="7"/>
      <c r="H1322" s="7"/>
      <c r="I1322" s="7"/>
      <c r="J1322" s="7"/>
      <c r="K1322" s="7"/>
      <c r="L1322" s="27"/>
      <c r="N1322" s="8"/>
      <c r="O1322" s="7"/>
      <c r="P1322" s="7"/>
      <c r="Q1322" s="7"/>
      <c r="R1322" s="7"/>
    </row>
    <row r="1323" spans="3:18">
      <c r="C1323" s="7"/>
      <c r="D1323" s="7"/>
      <c r="E1323" s="7"/>
      <c r="F1323" s="7"/>
      <c r="G1323" s="7"/>
      <c r="H1323" s="7"/>
      <c r="I1323" s="7"/>
      <c r="J1323" s="7"/>
      <c r="K1323" s="7"/>
      <c r="L1323" s="27"/>
      <c r="N1323" s="8"/>
      <c r="O1323" s="7"/>
      <c r="P1323" s="7"/>
      <c r="Q1323" s="7"/>
      <c r="R1323" s="7"/>
    </row>
    <row r="1324" spans="3:18">
      <c r="C1324" s="7"/>
      <c r="D1324" s="7"/>
      <c r="E1324" s="7"/>
      <c r="F1324" s="7"/>
      <c r="G1324" s="7"/>
      <c r="H1324" s="7"/>
      <c r="I1324" s="7"/>
      <c r="J1324" s="7"/>
      <c r="K1324" s="7"/>
      <c r="L1324" s="27"/>
      <c r="N1324" s="8"/>
      <c r="O1324" s="7"/>
      <c r="P1324" s="7"/>
      <c r="Q1324" s="7"/>
      <c r="R1324" s="7"/>
    </row>
    <row r="1325" spans="3:18">
      <c r="C1325" s="7"/>
      <c r="D1325" s="7"/>
      <c r="E1325" s="7"/>
      <c r="F1325" s="7"/>
      <c r="G1325" s="7"/>
      <c r="H1325" s="7"/>
      <c r="I1325" s="7"/>
      <c r="J1325" s="7"/>
      <c r="K1325" s="7"/>
      <c r="L1325" s="27"/>
      <c r="N1325" s="8"/>
      <c r="O1325" s="7"/>
      <c r="P1325" s="7"/>
      <c r="Q1325" s="7"/>
      <c r="R1325" s="7"/>
    </row>
    <row r="1326" spans="3:18">
      <c r="C1326" s="7"/>
      <c r="D1326" s="7"/>
      <c r="E1326" s="7"/>
      <c r="F1326" s="7"/>
      <c r="G1326" s="7"/>
      <c r="H1326" s="7"/>
      <c r="I1326" s="7"/>
      <c r="J1326" s="7"/>
      <c r="K1326" s="7"/>
      <c r="L1326" s="27"/>
      <c r="N1326" s="8"/>
      <c r="O1326" s="7"/>
      <c r="P1326" s="7"/>
      <c r="Q1326" s="7"/>
      <c r="R1326" s="7"/>
    </row>
    <row r="1327" spans="3:18">
      <c r="C1327" s="7"/>
      <c r="D1327" s="7"/>
      <c r="E1327" s="7"/>
      <c r="F1327" s="7"/>
      <c r="G1327" s="7"/>
      <c r="H1327" s="7"/>
      <c r="I1327" s="7"/>
      <c r="J1327" s="7"/>
      <c r="K1327" s="7"/>
      <c r="L1327" s="27"/>
      <c r="N1327" s="8"/>
      <c r="O1327" s="7"/>
      <c r="P1327" s="7"/>
      <c r="Q1327" s="7"/>
      <c r="R1327" s="7"/>
    </row>
    <row r="1328" spans="3:18">
      <c r="C1328" s="7"/>
      <c r="D1328" s="7"/>
      <c r="E1328" s="7"/>
      <c r="F1328" s="7"/>
      <c r="G1328" s="7"/>
      <c r="H1328" s="7"/>
      <c r="I1328" s="7"/>
      <c r="J1328" s="7"/>
      <c r="K1328" s="7"/>
      <c r="L1328" s="27"/>
      <c r="N1328" s="8"/>
      <c r="O1328" s="7"/>
      <c r="P1328" s="7"/>
      <c r="Q1328" s="7"/>
      <c r="R1328" s="7"/>
    </row>
    <row r="1329" spans="3:18">
      <c r="C1329" s="7"/>
      <c r="D1329" s="7"/>
      <c r="E1329" s="7"/>
      <c r="F1329" s="7"/>
      <c r="G1329" s="7"/>
      <c r="H1329" s="7"/>
      <c r="I1329" s="7"/>
      <c r="J1329" s="7"/>
      <c r="K1329" s="7"/>
      <c r="L1329" s="27"/>
      <c r="N1329" s="8"/>
      <c r="O1329" s="7"/>
      <c r="P1329" s="7"/>
      <c r="Q1329" s="7"/>
      <c r="R1329" s="7"/>
    </row>
    <row r="1330" spans="3:18">
      <c r="C1330" s="7"/>
      <c r="D1330" s="7"/>
      <c r="E1330" s="7"/>
      <c r="F1330" s="7"/>
      <c r="G1330" s="7"/>
      <c r="H1330" s="7"/>
      <c r="I1330" s="7"/>
      <c r="J1330" s="7"/>
      <c r="K1330" s="7"/>
      <c r="L1330" s="27"/>
      <c r="N1330" s="8"/>
      <c r="O1330" s="7"/>
      <c r="P1330" s="7"/>
      <c r="Q1330" s="7"/>
      <c r="R1330" s="7"/>
    </row>
    <row r="1331" spans="3:18">
      <c r="C1331" s="7"/>
      <c r="D1331" s="7"/>
      <c r="E1331" s="7"/>
      <c r="F1331" s="7"/>
      <c r="G1331" s="7"/>
      <c r="H1331" s="7"/>
      <c r="I1331" s="7"/>
      <c r="J1331" s="7"/>
      <c r="K1331" s="7"/>
      <c r="L1331" s="27"/>
      <c r="N1331" s="8"/>
      <c r="O1331" s="7"/>
      <c r="P1331" s="7"/>
      <c r="Q1331" s="7"/>
      <c r="R1331" s="7"/>
    </row>
    <row r="1332" spans="3:18">
      <c r="C1332" s="7"/>
      <c r="D1332" s="7"/>
      <c r="E1332" s="7"/>
      <c r="F1332" s="7"/>
      <c r="G1332" s="7"/>
      <c r="H1332" s="7"/>
      <c r="I1332" s="7"/>
      <c r="J1332" s="7"/>
      <c r="K1332" s="7"/>
      <c r="L1332" s="27"/>
      <c r="N1332" s="8"/>
      <c r="O1332" s="7"/>
      <c r="P1332" s="7"/>
      <c r="Q1332" s="7"/>
      <c r="R1332" s="7"/>
    </row>
    <row r="1333" spans="3:18">
      <c r="C1333" s="7"/>
      <c r="D1333" s="7"/>
      <c r="E1333" s="7"/>
      <c r="F1333" s="7"/>
      <c r="G1333" s="7"/>
      <c r="H1333" s="7"/>
      <c r="I1333" s="7"/>
      <c r="J1333" s="7"/>
      <c r="K1333" s="7"/>
      <c r="L1333" s="27"/>
      <c r="N1333" s="8"/>
      <c r="O1333" s="7"/>
      <c r="P1333" s="7"/>
      <c r="Q1333" s="7"/>
      <c r="R1333" s="7"/>
    </row>
    <row r="1334" spans="3:18">
      <c r="C1334" s="7"/>
      <c r="D1334" s="7"/>
      <c r="E1334" s="7"/>
      <c r="F1334" s="7"/>
      <c r="G1334" s="7"/>
      <c r="H1334" s="7"/>
      <c r="I1334" s="7"/>
      <c r="J1334" s="7"/>
      <c r="K1334" s="7"/>
      <c r="L1334" s="27"/>
      <c r="N1334" s="8"/>
      <c r="O1334" s="7"/>
      <c r="P1334" s="7"/>
      <c r="Q1334" s="7"/>
      <c r="R1334" s="7"/>
    </row>
    <row r="1335" spans="3:18">
      <c r="C1335" s="7"/>
      <c r="D1335" s="7"/>
      <c r="E1335" s="7"/>
      <c r="F1335" s="7"/>
      <c r="G1335" s="7"/>
      <c r="H1335" s="7"/>
      <c r="I1335" s="7"/>
      <c r="J1335" s="7"/>
      <c r="K1335" s="7"/>
      <c r="L1335" s="27"/>
      <c r="N1335" s="8"/>
      <c r="O1335" s="7"/>
      <c r="P1335" s="7"/>
      <c r="Q1335" s="7"/>
      <c r="R1335" s="7"/>
    </row>
    <row r="1336" spans="3:18">
      <c r="C1336" s="7"/>
      <c r="D1336" s="7"/>
      <c r="E1336" s="7"/>
      <c r="F1336" s="7"/>
      <c r="G1336" s="7"/>
      <c r="H1336" s="7"/>
      <c r="I1336" s="7"/>
      <c r="J1336" s="7"/>
      <c r="K1336" s="7"/>
      <c r="L1336" s="27"/>
      <c r="N1336" s="8"/>
      <c r="O1336" s="7"/>
      <c r="P1336" s="7"/>
      <c r="Q1336" s="7"/>
      <c r="R1336" s="7"/>
    </row>
    <row r="1337" spans="3:18">
      <c r="C1337" s="7"/>
      <c r="D1337" s="7"/>
      <c r="E1337" s="7"/>
      <c r="F1337" s="7"/>
      <c r="G1337" s="7"/>
      <c r="H1337" s="7"/>
      <c r="I1337" s="7"/>
      <c r="J1337" s="7"/>
      <c r="K1337" s="7"/>
      <c r="L1337" s="27"/>
      <c r="N1337" s="8"/>
      <c r="O1337" s="7"/>
      <c r="P1337" s="7"/>
      <c r="Q1337" s="7"/>
      <c r="R1337" s="7"/>
    </row>
    <row r="1338" spans="3:18">
      <c r="C1338" s="7"/>
      <c r="D1338" s="7"/>
      <c r="E1338" s="7"/>
      <c r="F1338" s="7"/>
      <c r="G1338" s="7"/>
      <c r="H1338" s="7"/>
      <c r="I1338" s="7"/>
      <c r="J1338" s="7"/>
      <c r="K1338" s="7"/>
      <c r="L1338" s="27"/>
      <c r="N1338" s="8"/>
      <c r="O1338" s="7"/>
      <c r="P1338" s="7"/>
      <c r="Q1338" s="7"/>
      <c r="R1338" s="7"/>
    </row>
    <row r="1339" spans="3:18">
      <c r="C1339" s="7"/>
      <c r="D1339" s="7"/>
      <c r="E1339" s="7"/>
      <c r="F1339" s="7"/>
      <c r="G1339" s="7"/>
      <c r="H1339" s="7"/>
      <c r="I1339" s="7"/>
      <c r="J1339" s="7"/>
      <c r="K1339" s="7"/>
      <c r="L1339" s="27"/>
      <c r="N1339" s="8"/>
      <c r="O1339" s="7"/>
      <c r="P1339" s="7"/>
      <c r="Q1339" s="7"/>
      <c r="R1339" s="7"/>
    </row>
    <row r="1340" spans="3:18">
      <c r="C1340" s="7"/>
      <c r="D1340" s="7"/>
      <c r="E1340" s="7"/>
      <c r="F1340" s="7"/>
      <c r="G1340" s="7"/>
      <c r="H1340" s="7"/>
      <c r="I1340" s="7"/>
      <c r="J1340" s="7"/>
      <c r="K1340" s="7"/>
      <c r="L1340" s="27"/>
      <c r="N1340" s="8"/>
      <c r="O1340" s="7"/>
      <c r="P1340" s="7"/>
      <c r="Q1340" s="7"/>
      <c r="R1340" s="7"/>
    </row>
    <row r="1341" spans="3:18">
      <c r="C1341" s="7"/>
      <c r="D1341" s="7"/>
      <c r="E1341" s="7"/>
      <c r="F1341" s="7"/>
      <c r="G1341" s="7"/>
      <c r="H1341" s="7"/>
      <c r="I1341" s="7"/>
      <c r="J1341" s="7"/>
      <c r="K1341" s="7"/>
      <c r="L1341" s="27"/>
      <c r="N1341" s="8"/>
      <c r="O1341" s="7"/>
      <c r="P1341" s="7"/>
      <c r="Q1341" s="7"/>
      <c r="R1341" s="7"/>
    </row>
    <row r="1342" spans="3:18">
      <c r="C1342" s="7"/>
      <c r="D1342" s="7"/>
      <c r="E1342" s="7"/>
      <c r="F1342" s="7"/>
      <c r="G1342" s="7"/>
      <c r="H1342" s="7"/>
      <c r="I1342" s="7"/>
      <c r="J1342" s="7"/>
      <c r="K1342" s="7"/>
      <c r="L1342" s="27"/>
      <c r="N1342" s="8"/>
      <c r="O1342" s="7"/>
      <c r="P1342" s="7"/>
      <c r="Q1342" s="7"/>
      <c r="R1342" s="7"/>
    </row>
    <row r="1343" spans="3:18">
      <c r="C1343" s="7"/>
      <c r="D1343" s="7"/>
      <c r="E1343" s="7"/>
      <c r="F1343" s="7"/>
      <c r="G1343" s="7"/>
      <c r="H1343" s="7"/>
      <c r="I1343" s="7"/>
      <c r="J1343" s="7"/>
      <c r="K1343" s="7"/>
      <c r="L1343" s="27"/>
      <c r="N1343" s="8"/>
      <c r="O1343" s="7"/>
      <c r="P1343" s="7"/>
      <c r="Q1343" s="7"/>
      <c r="R1343" s="7"/>
    </row>
    <row r="1344" spans="3:18">
      <c r="C1344" s="7"/>
      <c r="D1344" s="7"/>
      <c r="E1344" s="7"/>
      <c r="F1344" s="7"/>
      <c r="G1344" s="7"/>
      <c r="H1344" s="7"/>
      <c r="I1344" s="7"/>
      <c r="J1344" s="7"/>
      <c r="K1344" s="7"/>
      <c r="L1344" s="27"/>
      <c r="N1344" s="8"/>
      <c r="O1344" s="7"/>
      <c r="P1344" s="7"/>
      <c r="Q1344" s="7"/>
      <c r="R1344" s="7"/>
    </row>
    <row r="1345" spans="3:18">
      <c r="C1345" s="7"/>
      <c r="D1345" s="7"/>
      <c r="E1345" s="7"/>
      <c r="F1345" s="7"/>
      <c r="G1345" s="7"/>
      <c r="H1345" s="7"/>
      <c r="I1345" s="7"/>
      <c r="J1345" s="7"/>
      <c r="K1345" s="7"/>
      <c r="L1345" s="27"/>
      <c r="N1345" s="8"/>
      <c r="O1345" s="7"/>
      <c r="P1345" s="7"/>
      <c r="Q1345" s="7"/>
      <c r="R1345" s="7"/>
    </row>
    <row r="1346" spans="3:18">
      <c r="C1346" s="7"/>
      <c r="D1346" s="7"/>
      <c r="E1346" s="7"/>
      <c r="F1346" s="7"/>
      <c r="G1346" s="7"/>
      <c r="H1346" s="7"/>
      <c r="I1346" s="7"/>
      <c r="J1346" s="7"/>
      <c r="K1346" s="7"/>
      <c r="L1346" s="27"/>
      <c r="N1346" s="8"/>
      <c r="O1346" s="7"/>
      <c r="P1346" s="7"/>
      <c r="Q1346" s="7"/>
      <c r="R1346" s="7"/>
    </row>
    <row r="1347" spans="3:18">
      <c r="C1347" s="7"/>
      <c r="D1347" s="7"/>
      <c r="E1347" s="7"/>
      <c r="F1347" s="7"/>
      <c r="G1347" s="7"/>
      <c r="H1347" s="7"/>
      <c r="I1347" s="7"/>
      <c r="J1347" s="7"/>
      <c r="K1347" s="7"/>
      <c r="L1347" s="27"/>
      <c r="N1347" s="8"/>
      <c r="O1347" s="7"/>
      <c r="P1347" s="7"/>
      <c r="Q1347" s="7"/>
      <c r="R1347" s="7"/>
    </row>
    <row r="1348" spans="3:18">
      <c r="C1348" s="7"/>
      <c r="D1348" s="7"/>
      <c r="E1348" s="7"/>
      <c r="F1348" s="7"/>
      <c r="G1348" s="7"/>
      <c r="H1348" s="7"/>
      <c r="I1348" s="7"/>
      <c r="J1348" s="7"/>
      <c r="K1348" s="7"/>
      <c r="L1348" s="27"/>
      <c r="N1348" s="8"/>
      <c r="O1348" s="7"/>
      <c r="P1348" s="7"/>
      <c r="Q1348" s="7"/>
      <c r="R1348" s="7"/>
    </row>
    <row r="1349" spans="3:18">
      <c r="C1349" s="7"/>
      <c r="D1349" s="7"/>
      <c r="E1349" s="7"/>
      <c r="F1349" s="7"/>
      <c r="G1349" s="7"/>
      <c r="H1349" s="7"/>
      <c r="I1349" s="7"/>
      <c r="J1349" s="7"/>
      <c r="K1349" s="7"/>
      <c r="L1349" s="27"/>
      <c r="N1349" s="8"/>
      <c r="O1349" s="7"/>
      <c r="P1349" s="7"/>
      <c r="Q1349" s="7"/>
      <c r="R1349" s="7"/>
    </row>
    <row r="1350" spans="3:18">
      <c r="C1350" s="7"/>
      <c r="D1350" s="7"/>
      <c r="E1350" s="7"/>
      <c r="F1350" s="7"/>
      <c r="G1350" s="7"/>
      <c r="H1350" s="7"/>
      <c r="I1350" s="7"/>
      <c r="J1350" s="7"/>
      <c r="K1350" s="7"/>
      <c r="L1350" s="27"/>
      <c r="N1350" s="8"/>
      <c r="O1350" s="7"/>
      <c r="P1350" s="7"/>
      <c r="Q1350" s="7"/>
      <c r="R1350" s="7"/>
    </row>
    <row r="1351" spans="3:18">
      <c r="C1351" s="7"/>
      <c r="D1351" s="7"/>
      <c r="E1351" s="7"/>
      <c r="F1351" s="7"/>
      <c r="G1351" s="7"/>
      <c r="H1351" s="7"/>
      <c r="I1351" s="7"/>
      <c r="J1351" s="7"/>
      <c r="K1351" s="7"/>
      <c r="L1351" s="27"/>
      <c r="N1351" s="8"/>
      <c r="O1351" s="7"/>
      <c r="P1351" s="7"/>
      <c r="Q1351" s="7"/>
      <c r="R1351" s="7"/>
    </row>
    <row r="1352" spans="3:18">
      <c r="C1352" s="7"/>
      <c r="D1352" s="7"/>
      <c r="E1352" s="7"/>
      <c r="F1352" s="7"/>
      <c r="G1352" s="7"/>
      <c r="H1352" s="7"/>
      <c r="I1352" s="7"/>
      <c r="J1352" s="7"/>
      <c r="K1352" s="7"/>
      <c r="L1352" s="27"/>
      <c r="N1352" s="8"/>
      <c r="O1352" s="7"/>
      <c r="P1352" s="7"/>
      <c r="Q1352" s="7"/>
      <c r="R1352" s="7"/>
    </row>
    <row r="1353" spans="3:18">
      <c r="C1353" s="7"/>
      <c r="D1353" s="7"/>
      <c r="E1353" s="7"/>
      <c r="F1353" s="7"/>
      <c r="G1353" s="7"/>
      <c r="H1353" s="7"/>
      <c r="I1353" s="7"/>
      <c r="J1353" s="7"/>
      <c r="K1353" s="7"/>
      <c r="L1353" s="27"/>
      <c r="N1353" s="8"/>
      <c r="O1353" s="7"/>
      <c r="P1353" s="7"/>
      <c r="Q1353" s="7"/>
      <c r="R1353" s="7"/>
    </row>
    <row r="1354" spans="3:18">
      <c r="C1354" s="7"/>
      <c r="D1354" s="7"/>
      <c r="E1354" s="7"/>
      <c r="F1354" s="7"/>
      <c r="G1354" s="7"/>
      <c r="H1354" s="7"/>
      <c r="I1354" s="7"/>
      <c r="J1354" s="7"/>
      <c r="K1354" s="7"/>
      <c r="L1354" s="27"/>
      <c r="N1354" s="8"/>
      <c r="O1354" s="7"/>
      <c r="P1354" s="7"/>
      <c r="Q1354" s="7"/>
      <c r="R1354" s="7"/>
    </row>
    <row r="1355" spans="3:18">
      <c r="C1355" s="7"/>
      <c r="D1355" s="7"/>
      <c r="E1355" s="7"/>
      <c r="F1355" s="7"/>
      <c r="G1355" s="7"/>
      <c r="H1355" s="7"/>
      <c r="I1355" s="7"/>
      <c r="J1355" s="7"/>
      <c r="K1355" s="7"/>
      <c r="L1355" s="27"/>
      <c r="N1355" s="8"/>
      <c r="O1355" s="7"/>
      <c r="P1355" s="7"/>
      <c r="Q1355" s="7"/>
      <c r="R1355" s="7"/>
    </row>
    <row r="1356" spans="3:18">
      <c r="C1356" s="7"/>
      <c r="D1356" s="7"/>
      <c r="E1356" s="7"/>
      <c r="F1356" s="7"/>
      <c r="G1356" s="7"/>
      <c r="H1356" s="7"/>
      <c r="I1356" s="7"/>
      <c r="J1356" s="7"/>
      <c r="K1356" s="7"/>
      <c r="L1356" s="27"/>
      <c r="N1356" s="8"/>
      <c r="O1356" s="7"/>
      <c r="P1356" s="7"/>
      <c r="Q1356" s="7"/>
      <c r="R1356" s="7"/>
    </row>
    <row r="1357" spans="3:18">
      <c r="C1357" s="7"/>
      <c r="D1357" s="7"/>
      <c r="E1357" s="7"/>
      <c r="F1357" s="7"/>
      <c r="G1357" s="7"/>
      <c r="H1357" s="7"/>
      <c r="I1357" s="7"/>
      <c r="J1357" s="7"/>
      <c r="K1357" s="7"/>
      <c r="L1357" s="27"/>
      <c r="N1357" s="8"/>
      <c r="O1357" s="7"/>
      <c r="P1357" s="7"/>
      <c r="Q1357" s="7"/>
      <c r="R1357" s="7"/>
    </row>
    <row r="1358" spans="3:18">
      <c r="C1358" s="7"/>
      <c r="D1358" s="7"/>
      <c r="E1358" s="7"/>
      <c r="F1358" s="7"/>
      <c r="G1358" s="7"/>
      <c r="H1358" s="7"/>
      <c r="I1358" s="7"/>
      <c r="J1358" s="7"/>
      <c r="K1358" s="7"/>
      <c r="L1358" s="27"/>
      <c r="N1358" s="8"/>
      <c r="O1358" s="7"/>
      <c r="P1358" s="7"/>
      <c r="Q1358" s="7"/>
      <c r="R1358" s="7"/>
    </row>
    <row r="1359" spans="3:18">
      <c r="C1359" s="7"/>
      <c r="D1359" s="7"/>
      <c r="E1359" s="7"/>
      <c r="F1359" s="7"/>
      <c r="G1359" s="7"/>
      <c r="H1359" s="7"/>
      <c r="I1359" s="7"/>
      <c r="J1359" s="7"/>
      <c r="K1359" s="7"/>
      <c r="L1359" s="27"/>
      <c r="N1359" s="8"/>
      <c r="O1359" s="7"/>
      <c r="P1359" s="7"/>
      <c r="Q1359" s="7"/>
      <c r="R1359" s="7"/>
    </row>
    <row r="1360" spans="3:18">
      <c r="C1360" s="7"/>
      <c r="D1360" s="7"/>
      <c r="E1360" s="7"/>
      <c r="F1360" s="7"/>
      <c r="G1360" s="7"/>
      <c r="H1360" s="7"/>
      <c r="I1360" s="7"/>
      <c r="J1360" s="7"/>
      <c r="K1360" s="7"/>
      <c r="L1360" s="27"/>
      <c r="N1360" s="8"/>
      <c r="O1360" s="7"/>
      <c r="P1360" s="7"/>
      <c r="Q1360" s="7"/>
      <c r="R1360" s="7"/>
    </row>
    <row r="1361" spans="3:18">
      <c r="C1361" s="7"/>
      <c r="D1361" s="7"/>
      <c r="E1361" s="7"/>
      <c r="F1361" s="7"/>
      <c r="G1361" s="7"/>
      <c r="H1361" s="7"/>
      <c r="I1361" s="7"/>
      <c r="J1361" s="7"/>
      <c r="K1361" s="7"/>
      <c r="L1361" s="27"/>
      <c r="N1361" s="8"/>
      <c r="O1361" s="7"/>
      <c r="P1361" s="7"/>
      <c r="Q1361" s="7"/>
      <c r="R1361" s="7"/>
    </row>
    <row r="1362" spans="3:18">
      <c r="C1362" s="7"/>
      <c r="D1362" s="7"/>
      <c r="E1362" s="7"/>
      <c r="F1362" s="7"/>
      <c r="G1362" s="7"/>
      <c r="H1362" s="7"/>
      <c r="I1362" s="7"/>
      <c r="J1362" s="7"/>
      <c r="K1362" s="7"/>
      <c r="L1362" s="27"/>
      <c r="N1362" s="8"/>
      <c r="O1362" s="7"/>
      <c r="P1362" s="7"/>
      <c r="Q1362" s="7"/>
      <c r="R1362" s="7"/>
    </row>
    <row r="1363" spans="3:18">
      <c r="C1363" s="7"/>
      <c r="D1363" s="7"/>
      <c r="E1363" s="7"/>
      <c r="F1363" s="7"/>
      <c r="G1363" s="7"/>
      <c r="H1363" s="7"/>
      <c r="I1363" s="7"/>
      <c r="J1363" s="7"/>
      <c r="K1363" s="7"/>
      <c r="L1363" s="27"/>
      <c r="N1363" s="8"/>
      <c r="O1363" s="7"/>
      <c r="P1363" s="7"/>
      <c r="Q1363" s="7"/>
      <c r="R1363" s="7"/>
    </row>
    <row r="1364" spans="3:18">
      <c r="C1364" s="7"/>
      <c r="D1364" s="7"/>
      <c r="E1364" s="7"/>
      <c r="F1364" s="7"/>
      <c r="G1364" s="7"/>
      <c r="H1364" s="7"/>
      <c r="I1364" s="7"/>
      <c r="J1364" s="7"/>
      <c r="K1364" s="7"/>
      <c r="L1364" s="27"/>
      <c r="N1364" s="8"/>
      <c r="O1364" s="7"/>
      <c r="P1364" s="7"/>
      <c r="Q1364" s="7"/>
      <c r="R1364" s="7"/>
    </row>
    <row r="1365" spans="3:18">
      <c r="C1365" s="7"/>
      <c r="D1365" s="7"/>
      <c r="E1365" s="7"/>
      <c r="F1365" s="7"/>
      <c r="G1365" s="7"/>
      <c r="H1365" s="7"/>
      <c r="I1365" s="7"/>
      <c r="J1365" s="7"/>
      <c r="K1365" s="7"/>
      <c r="L1365" s="27"/>
      <c r="N1365" s="8"/>
      <c r="O1365" s="7"/>
      <c r="P1365" s="7"/>
      <c r="Q1365" s="7"/>
      <c r="R1365" s="7"/>
    </row>
    <row r="1366" spans="3:18">
      <c r="C1366" s="7"/>
      <c r="D1366" s="7"/>
      <c r="E1366" s="7"/>
      <c r="F1366" s="7"/>
      <c r="G1366" s="7"/>
      <c r="H1366" s="7"/>
      <c r="I1366" s="7"/>
      <c r="J1366" s="7"/>
      <c r="K1366" s="7"/>
      <c r="L1366" s="27"/>
      <c r="N1366" s="8"/>
      <c r="O1366" s="7"/>
      <c r="P1366" s="7"/>
      <c r="Q1366" s="7"/>
      <c r="R1366" s="7"/>
    </row>
    <row r="1367" spans="3:18">
      <c r="C1367" s="7"/>
      <c r="D1367" s="7"/>
      <c r="E1367" s="7"/>
      <c r="F1367" s="7"/>
      <c r="G1367" s="7"/>
      <c r="H1367" s="7"/>
      <c r="I1367" s="7"/>
      <c r="J1367" s="7"/>
      <c r="K1367" s="7"/>
      <c r="L1367" s="27"/>
      <c r="N1367" s="8"/>
      <c r="O1367" s="7"/>
      <c r="P1367" s="7"/>
      <c r="Q1367" s="7"/>
      <c r="R1367" s="7"/>
    </row>
    <row r="1368" spans="3:18">
      <c r="C1368" s="7"/>
      <c r="D1368" s="7"/>
      <c r="E1368" s="7"/>
      <c r="F1368" s="7"/>
      <c r="G1368" s="7"/>
      <c r="H1368" s="7"/>
      <c r="I1368" s="7"/>
      <c r="J1368" s="7"/>
      <c r="K1368" s="7"/>
      <c r="L1368" s="27"/>
      <c r="N1368" s="8"/>
      <c r="O1368" s="7"/>
      <c r="P1368" s="7"/>
      <c r="Q1368" s="7"/>
      <c r="R1368" s="7"/>
    </row>
    <row r="1369" spans="3:18">
      <c r="C1369" s="7"/>
      <c r="D1369" s="7"/>
      <c r="E1369" s="7"/>
      <c r="F1369" s="7"/>
      <c r="G1369" s="7"/>
      <c r="H1369" s="7"/>
      <c r="I1369" s="7"/>
      <c r="J1369" s="7"/>
      <c r="K1369" s="7"/>
      <c r="L1369" s="27"/>
      <c r="N1369" s="8"/>
      <c r="O1369" s="7"/>
      <c r="P1369" s="7"/>
      <c r="Q1369" s="7"/>
      <c r="R1369" s="7"/>
    </row>
    <row r="1370" spans="3:18">
      <c r="C1370" s="7"/>
      <c r="D1370" s="7"/>
      <c r="E1370" s="7"/>
      <c r="F1370" s="7"/>
      <c r="G1370" s="7"/>
      <c r="H1370" s="7"/>
      <c r="I1370" s="7"/>
      <c r="J1370" s="7"/>
      <c r="K1370" s="7"/>
      <c r="L1370" s="27"/>
      <c r="N1370" s="8"/>
      <c r="O1370" s="7"/>
      <c r="P1370" s="7"/>
      <c r="Q1370" s="7"/>
      <c r="R1370" s="7"/>
    </row>
    <row r="1371" spans="3:18">
      <c r="C1371" s="7"/>
      <c r="D1371" s="7"/>
      <c r="E1371" s="7"/>
      <c r="F1371" s="7"/>
      <c r="G1371" s="7"/>
      <c r="H1371" s="7"/>
      <c r="I1371" s="7"/>
      <c r="J1371" s="7"/>
      <c r="K1371" s="7"/>
      <c r="L1371" s="27"/>
      <c r="N1371" s="8"/>
      <c r="O1371" s="7"/>
      <c r="P1371" s="7"/>
      <c r="Q1371" s="7"/>
      <c r="R1371" s="7"/>
    </row>
    <row r="1372" spans="3:18">
      <c r="C1372" s="7"/>
      <c r="D1372" s="7"/>
      <c r="E1372" s="7"/>
      <c r="F1372" s="7"/>
      <c r="G1372" s="7"/>
      <c r="H1372" s="7"/>
      <c r="I1372" s="7"/>
      <c r="J1372" s="7"/>
      <c r="K1372" s="7"/>
      <c r="L1372" s="27"/>
      <c r="N1372" s="8"/>
      <c r="O1372" s="7"/>
      <c r="P1372" s="7"/>
      <c r="Q1372" s="7"/>
      <c r="R1372" s="7"/>
    </row>
    <row r="1373" spans="3:18">
      <c r="C1373" s="7"/>
      <c r="D1373" s="7"/>
      <c r="E1373" s="7"/>
      <c r="F1373" s="7"/>
      <c r="G1373" s="7"/>
      <c r="H1373" s="7"/>
      <c r="I1373" s="7"/>
      <c r="J1373" s="7"/>
      <c r="K1373" s="7"/>
      <c r="L1373" s="27"/>
      <c r="N1373" s="8"/>
      <c r="O1373" s="7"/>
      <c r="P1373" s="7"/>
      <c r="Q1373" s="7"/>
      <c r="R1373" s="7"/>
    </row>
    <row r="1374" spans="3:18">
      <c r="C1374" s="7"/>
      <c r="D1374" s="7"/>
      <c r="E1374" s="7"/>
      <c r="F1374" s="7"/>
      <c r="G1374" s="7"/>
      <c r="H1374" s="7"/>
      <c r="I1374" s="7"/>
      <c r="J1374" s="7"/>
      <c r="K1374" s="7"/>
      <c r="L1374" s="27"/>
      <c r="N1374" s="8"/>
      <c r="O1374" s="7"/>
      <c r="P1374" s="7"/>
      <c r="Q1374" s="7"/>
      <c r="R1374" s="7"/>
    </row>
    <row r="1375" spans="3:18">
      <c r="C1375" s="7"/>
      <c r="D1375" s="7"/>
      <c r="E1375" s="7"/>
      <c r="F1375" s="7"/>
      <c r="G1375" s="7"/>
      <c r="H1375" s="7"/>
      <c r="I1375" s="7"/>
      <c r="J1375" s="7"/>
      <c r="K1375" s="7"/>
      <c r="L1375" s="27"/>
      <c r="N1375" s="8"/>
      <c r="O1375" s="7"/>
      <c r="P1375" s="7"/>
      <c r="Q1375" s="7"/>
      <c r="R1375" s="7"/>
    </row>
    <row r="1376" spans="3:18">
      <c r="C1376" s="7"/>
      <c r="D1376" s="7"/>
      <c r="E1376" s="7"/>
      <c r="F1376" s="7"/>
      <c r="G1376" s="7"/>
      <c r="H1376" s="7"/>
      <c r="I1376" s="7"/>
      <c r="J1376" s="7"/>
      <c r="K1376" s="7"/>
      <c r="L1376" s="27"/>
      <c r="N1376" s="8"/>
      <c r="O1376" s="7"/>
      <c r="P1376" s="7"/>
      <c r="Q1376" s="7"/>
      <c r="R1376" s="7"/>
    </row>
    <row r="1377" spans="3:18">
      <c r="C1377" s="7"/>
      <c r="D1377" s="7"/>
      <c r="E1377" s="7"/>
      <c r="F1377" s="7"/>
      <c r="G1377" s="7"/>
      <c r="H1377" s="7"/>
      <c r="I1377" s="7"/>
      <c r="J1377" s="7"/>
      <c r="K1377" s="7"/>
      <c r="L1377" s="27"/>
      <c r="N1377" s="8"/>
      <c r="O1377" s="7"/>
      <c r="P1377" s="7"/>
      <c r="Q1377" s="7"/>
      <c r="R1377" s="7"/>
    </row>
    <row r="1378" spans="3:18">
      <c r="C1378" s="7"/>
      <c r="D1378" s="7"/>
      <c r="E1378" s="7"/>
      <c r="F1378" s="7"/>
      <c r="G1378" s="7"/>
      <c r="H1378" s="7"/>
      <c r="I1378" s="7"/>
      <c r="J1378" s="7"/>
      <c r="K1378" s="7"/>
      <c r="L1378" s="27"/>
      <c r="N1378" s="8"/>
      <c r="O1378" s="7"/>
      <c r="P1378" s="7"/>
      <c r="Q1378" s="7"/>
      <c r="R1378" s="7"/>
    </row>
    <row r="1379" spans="3:18">
      <c r="C1379" s="7"/>
      <c r="D1379" s="7"/>
      <c r="E1379" s="7"/>
      <c r="F1379" s="7"/>
      <c r="G1379" s="7"/>
      <c r="H1379" s="7"/>
      <c r="I1379" s="7"/>
      <c r="J1379" s="7"/>
      <c r="K1379" s="7"/>
      <c r="L1379" s="27"/>
      <c r="N1379" s="8"/>
      <c r="O1379" s="7"/>
      <c r="P1379" s="7"/>
      <c r="Q1379" s="7"/>
      <c r="R1379" s="7"/>
    </row>
    <row r="1380" spans="3:18">
      <c r="C1380" s="7"/>
      <c r="D1380" s="7"/>
      <c r="E1380" s="7"/>
      <c r="F1380" s="7"/>
      <c r="G1380" s="7"/>
      <c r="H1380" s="7"/>
      <c r="I1380" s="7"/>
      <c r="J1380" s="7"/>
      <c r="K1380" s="7"/>
      <c r="L1380" s="27"/>
      <c r="N1380" s="8"/>
      <c r="O1380" s="7"/>
      <c r="P1380" s="7"/>
      <c r="Q1380" s="7"/>
      <c r="R1380" s="7"/>
    </row>
    <row r="1381" spans="3:18">
      <c r="C1381" s="7"/>
      <c r="D1381" s="7"/>
      <c r="E1381" s="7"/>
      <c r="F1381" s="7"/>
      <c r="G1381" s="7"/>
      <c r="H1381" s="7"/>
      <c r="I1381" s="7"/>
      <c r="J1381" s="7"/>
      <c r="K1381" s="7"/>
      <c r="L1381" s="27"/>
      <c r="N1381" s="8"/>
      <c r="O1381" s="7"/>
      <c r="P1381" s="7"/>
      <c r="Q1381" s="7"/>
      <c r="R1381" s="7"/>
    </row>
    <row r="1382" spans="3:18">
      <c r="C1382" s="7"/>
      <c r="D1382" s="7"/>
      <c r="E1382" s="7"/>
      <c r="F1382" s="7"/>
      <c r="G1382" s="7"/>
      <c r="H1382" s="7"/>
      <c r="I1382" s="7"/>
      <c r="J1382" s="7"/>
      <c r="K1382" s="7"/>
      <c r="L1382" s="27"/>
      <c r="N1382" s="8"/>
      <c r="O1382" s="7"/>
      <c r="P1382" s="7"/>
      <c r="Q1382" s="7"/>
      <c r="R1382" s="7"/>
    </row>
    <row r="1383" spans="3:18">
      <c r="C1383" s="7"/>
      <c r="D1383" s="7"/>
      <c r="E1383" s="7"/>
      <c r="F1383" s="7"/>
      <c r="G1383" s="7"/>
      <c r="H1383" s="7"/>
      <c r="I1383" s="7"/>
      <c r="J1383" s="7"/>
      <c r="K1383" s="7"/>
      <c r="L1383" s="27"/>
      <c r="N1383" s="8"/>
      <c r="O1383" s="7"/>
      <c r="P1383" s="7"/>
      <c r="Q1383" s="7"/>
      <c r="R1383" s="7"/>
    </row>
    <row r="1384" spans="3:18">
      <c r="C1384" s="7"/>
      <c r="D1384" s="7"/>
      <c r="E1384" s="7"/>
      <c r="F1384" s="7"/>
      <c r="G1384" s="7"/>
      <c r="H1384" s="7"/>
      <c r="I1384" s="7"/>
      <c r="J1384" s="7"/>
      <c r="K1384" s="7"/>
      <c r="L1384" s="27"/>
      <c r="N1384" s="8"/>
      <c r="O1384" s="7"/>
      <c r="P1384" s="7"/>
      <c r="Q1384" s="7"/>
      <c r="R1384" s="7"/>
    </row>
    <row r="1385" spans="3:18">
      <c r="C1385" s="7"/>
      <c r="D1385" s="7"/>
      <c r="E1385" s="7"/>
      <c r="F1385" s="7"/>
      <c r="G1385" s="7"/>
      <c r="H1385" s="7"/>
      <c r="I1385" s="7"/>
      <c r="J1385" s="7"/>
      <c r="K1385" s="7"/>
      <c r="L1385" s="27"/>
      <c r="N1385" s="8"/>
      <c r="O1385" s="7"/>
      <c r="P1385" s="7"/>
      <c r="Q1385" s="7"/>
      <c r="R1385" s="7"/>
    </row>
    <row r="1386" spans="3:18">
      <c r="C1386" s="7"/>
      <c r="D1386" s="7"/>
      <c r="E1386" s="7"/>
      <c r="F1386" s="7"/>
      <c r="G1386" s="7"/>
      <c r="H1386" s="7"/>
      <c r="I1386" s="7"/>
      <c r="J1386" s="7"/>
      <c r="K1386" s="7"/>
      <c r="L1386" s="27"/>
      <c r="N1386" s="8"/>
      <c r="O1386" s="7"/>
      <c r="P1386" s="7"/>
      <c r="Q1386" s="7"/>
      <c r="R1386" s="7"/>
    </row>
    <row r="1387" spans="3:18">
      <c r="C1387" s="7"/>
      <c r="D1387" s="7"/>
      <c r="E1387" s="7"/>
      <c r="F1387" s="7"/>
      <c r="G1387" s="7"/>
      <c r="H1387" s="7"/>
      <c r="I1387" s="7"/>
      <c r="J1387" s="7"/>
      <c r="K1387" s="7"/>
      <c r="L1387" s="27"/>
      <c r="N1387" s="8"/>
      <c r="O1387" s="7"/>
      <c r="P1387" s="7"/>
      <c r="Q1387" s="7"/>
      <c r="R1387" s="7"/>
    </row>
    <row r="1388" spans="3:18">
      <c r="C1388" s="7"/>
      <c r="D1388" s="7"/>
      <c r="E1388" s="7"/>
      <c r="F1388" s="7"/>
      <c r="G1388" s="7"/>
      <c r="H1388" s="7"/>
      <c r="I1388" s="7"/>
      <c r="J1388" s="7"/>
      <c r="K1388" s="7"/>
      <c r="L1388" s="27"/>
      <c r="N1388" s="8"/>
      <c r="O1388" s="7"/>
      <c r="P1388" s="7"/>
      <c r="Q1388" s="7"/>
      <c r="R1388" s="7"/>
    </row>
    <row r="1389" spans="3:18">
      <c r="C1389" s="7"/>
      <c r="D1389" s="7"/>
      <c r="E1389" s="7"/>
      <c r="F1389" s="7"/>
      <c r="G1389" s="7"/>
      <c r="H1389" s="7"/>
      <c r="I1389" s="7"/>
      <c r="J1389" s="7"/>
      <c r="K1389" s="7"/>
      <c r="L1389" s="27"/>
      <c r="N1389" s="8"/>
      <c r="O1389" s="7"/>
      <c r="P1389" s="7"/>
      <c r="Q1389" s="7"/>
      <c r="R1389" s="7"/>
    </row>
    <row r="1390" spans="3:18">
      <c r="C1390" s="7"/>
      <c r="D1390" s="7"/>
      <c r="E1390" s="7"/>
      <c r="F1390" s="7"/>
      <c r="G1390" s="7"/>
      <c r="H1390" s="7"/>
      <c r="I1390" s="7"/>
      <c r="J1390" s="7"/>
      <c r="K1390" s="7"/>
      <c r="L1390" s="27"/>
      <c r="N1390" s="8"/>
      <c r="O1390" s="7"/>
      <c r="P1390" s="7"/>
      <c r="Q1390" s="7"/>
      <c r="R1390" s="7"/>
    </row>
    <row r="1391" spans="3:18">
      <c r="C1391" s="7"/>
      <c r="D1391" s="7"/>
      <c r="E1391" s="7"/>
      <c r="F1391" s="7"/>
      <c r="G1391" s="7"/>
      <c r="H1391" s="7"/>
      <c r="I1391" s="7"/>
      <c r="J1391" s="7"/>
      <c r="K1391" s="7"/>
      <c r="L1391" s="27"/>
      <c r="N1391" s="8"/>
      <c r="O1391" s="7"/>
      <c r="P1391" s="7"/>
      <c r="Q1391" s="7"/>
      <c r="R1391" s="7"/>
    </row>
    <row r="1392" spans="3:18">
      <c r="C1392" s="7"/>
      <c r="D1392" s="7"/>
      <c r="E1392" s="7"/>
      <c r="F1392" s="7"/>
      <c r="G1392" s="7"/>
      <c r="H1392" s="7"/>
      <c r="I1392" s="7"/>
      <c r="J1392" s="7"/>
      <c r="K1392" s="7"/>
      <c r="L1392" s="27"/>
      <c r="N1392" s="8"/>
      <c r="O1392" s="7"/>
      <c r="P1392" s="7"/>
      <c r="Q1392" s="7"/>
      <c r="R1392" s="7"/>
    </row>
    <row r="1393" spans="3:18">
      <c r="C1393" s="7"/>
      <c r="D1393" s="7"/>
      <c r="E1393" s="7"/>
      <c r="F1393" s="7"/>
      <c r="G1393" s="7"/>
      <c r="H1393" s="7"/>
      <c r="I1393" s="7"/>
      <c r="J1393" s="7"/>
      <c r="K1393" s="7"/>
      <c r="L1393" s="27"/>
      <c r="N1393" s="8"/>
      <c r="O1393" s="7"/>
      <c r="P1393" s="7"/>
      <c r="Q1393" s="7"/>
      <c r="R1393" s="7"/>
    </row>
    <row r="1394" spans="3:18">
      <c r="C1394" s="7"/>
      <c r="D1394" s="7"/>
      <c r="E1394" s="7"/>
      <c r="F1394" s="7"/>
      <c r="G1394" s="7"/>
      <c r="H1394" s="7"/>
      <c r="I1394" s="7"/>
      <c r="J1394" s="7"/>
      <c r="K1394" s="7"/>
      <c r="L1394" s="27"/>
      <c r="N1394" s="8"/>
      <c r="O1394" s="7"/>
      <c r="P1394" s="7"/>
      <c r="Q1394" s="7"/>
      <c r="R1394" s="7"/>
    </row>
    <row r="1395" spans="3:18">
      <c r="C1395" s="7"/>
      <c r="D1395" s="7"/>
      <c r="E1395" s="7"/>
      <c r="F1395" s="7"/>
      <c r="G1395" s="7"/>
      <c r="H1395" s="7"/>
      <c r="I1395" s="7"/>
      <c r="J1395" s="7"/>
      <c r="K1395" s="7"/>
      <c r="L1395" s="27"/>
      <c r="N1395" s="8"/>
      <c r="O1395" s="7"/>
      <c r="P1395" s="7"/>
      <c r="Q1395" s="7"/>
      <c r="R1395" s="7"/>
    </row>
    <row r="1396" spans="3:18">
      <c r="C1396" s="7"/>
      <c r="D1396" s="7"/>
      <c r="E1396" s="7"/>
      <c r="F1396" s="7"/>
      <c r="G1396" s="7"/>
      <c r="H1396" s="7"/>
      <c r="I1396" s="7"/>
      <c r="J1396" s="7"/>
      <c r="K1396" s="7"/>
      <c r="L1396" s="27"/>
      <c r="N1396" s="8"/>
      <c r="O1396" s="7"/>
      <c r="P1396" s="7"/>
      <c r="Q1396" s="7"/>
      <c r="R1396" s="7"/>
    </row>
    <row r="1397" spans="3:18">
      <c r="C1397" s="7"/>
      <c r="D1397" s="7"/>
      <c r="E1397" s="7"/>
      <c r="F1397" s="7"/>
      <c r="G1397" s="7"/>
      <c r="H1397" s="7"/>
      <c r="I1397" s="7"/>
      <c r="J1397" s="7"/>
      <c r="K1397" s="7"/>
      <c r="L1397" s="27"/>
      <c r="N1397" s="8"/>
      <c r="O1397" s="7"/>
      <c r="P1397" s="7"/>
      <c r="Q1397" s="7"/>
      <c r="R1397" s="7"/>
    </row>
    <row r="1398" spans="3:18">
      <c r="C1398" s="7"/>
      <c r="D1398" s="7"/>
      <c r="E1398" s="7"/>
      <c r="F1398" s="7"/>
      <c r="G1398" s="7"/>
      <c r="H1398" s="7"/>
      <c r="I1398" s="7"/>
      <c r="J1398" s="7"/>
      <c r="K1398" s="7"/>
      <c r="L1398" s="27"/>
      <c r="N1398" s="8"/>
      <c r="O1398" s="7"/>
      <c r="P1398" s="7"/>
      <c r="Q1398" s="7"/>
      <c r="R1398" s="7"/>
    </row>
    <row r="1399" spans="3:18">
      <c r="C1399" s="7"/>
      <c r="D1399" s="7"/>
      <c r="E1399" s="7"/>
      <c r="F1399" s="7"/>
      <c r="G1399" s="7"/>
      <c r="H1399" s="7"/>
      <c r="I1399" s="7"/>
      <c r="J1399" s="7"/>
      <c r="K1399" s="7"/>
      <c r="L1399" s="27"/>
      <c r="N1399" s="8"/>
      <c r="O1399" s="7"/>
      <c r="P1399" s="7"/>
      <c r="Q1399" s="7"/>
      <c r="R1399" s="7"/>
    </row>
    <row r="1400" spans="3:18">
      <c r="C1400" s="7"/>
      <c r="D1400" s="7"/>
      <c r="E1400" s="7"/>
      <c r="F1400" s="7"/>
      <c r="G1400" s="7"/>
      <c r="H1400" s="7"/>
      <c r="I1400" s="7"/>
      <c r="J1400" s="7"/>
      <c r="K1400" s="7"/>
      <c r="L1400" s="27"/>
      <c r="N1400" s="8"/>
      <c r="O1400" s="7"/>
      <c r="P1400" s="7"/>
      <c r="Q1400" s="7"/>
      <c r="R1400" s="7"/>
    </row>
    <row r="1401" spans="3:18">
      <c r="C1401" s="7"/>
      <c r="D1401" s="7"/>
      <c r="E1401" s="7"/>
      <c r="F1401" s="7"/>
      <c r="G1401" s="7"/>
      <c r="H1401" s="7"/>
      <c r="I1401" s="7"/>
      <c r="J1401" s="7"/>
      <c r="K1401" s="7"/>
      <c r="L1401" s="27"/>
      <c r="N1401" s="8"/>
      <c r="O1401" s="7"/>
      <c r="P1401" s="7"/>
      <c r="Q1401" s="7"/>
      <c r="R1401" s="7"/>
    </row>
    <row r="1402" spans="3:18">
      <c r="C1402" s="7"/>
      <c r="D1402" s="7"/>
      <c r="E1402" s="7"/>
      <c r="F1402" s="7"/>
      <c r="G1402" s="7"/>
      <c r="H1402" s="7"/>
      <c r="I1402" s="7"/>
      <c r="J1402" s="7"/>
      <c r="K1402" s="7"/>
      <c r="L1402" s="27"/>
      <c r="N1402" s="8"/>
      <c r="O1402" s="7"/>
      <c r="P1402" s="7"/>
      <c r="Q1402" s="7"/>
      <c r="R1402" s="7"/>
    </row>
    <row r="1403" spans="3:18">
      <c r="C1403" s="7"/>
      <c r="D1403" s="7"/>
      <c r="E1403" s="7"/>
      <c r="F1403" s="7"/>
      <c r="G1403" s="7"/>
      <c r="H1403" s="7"/>
      <c r="I1403" s="7"/>
      <c r="J1403" s="7"/>
      <c r="K1403" s="7"/>
      <c r="L1403" s="27"/>
      <c r="N1403" s="8"/>
      <c r="O1403" s="7"/>
      <c r="P1403" s="7"/>
      <c r="Q1403" s="7"/>
      <c r="R1403" s="7"/>
    </row>
    <row r="1404" spans="3:18">
      <c r="C1404" s="7"/>
      <c r="D1404" s="7"/>
      <c r="E1404" s="7"/>
      <c r="F1404" s="7"/>
      <c r="G1404" s="7"/>
      <c r="H1404" s="7"/>
      <c r="I1404" s="7"/>
      <c r="J1404" s="7"/>
      <c r="K1404" s="7"/>
      <c r="L1404" s="27"/>
      <c r="N1404" s="8"/>
      <c r="O1404" s="7"/>
      <c r="P1404" s="7"/>
      <c r="Q1404" s="7"/>
      <c r="R1404" s="7"/>
    </row>
    <row r="1405" spans="3:18">
      <c r="C1405" s="7"/>
      <c r="D1405" s="7"/>
      <c r="E1405" s="7"/>
      <c r="F1405" s="7"/>
      <c r="G1405" s="7"/>
      <c r="H1405" s="7"/>
      <c r="I1405" s="7"/>
      <c r="J1405" s="7"/>
      <c r="K1405" s="7"/>
      <c r="L1405" s="27"/>
      <c r="N1405" s="8"/>
      <c r="O1405" s="7"/>
      <c r="P1405" s="7"/>
      <c r="Q1405" s="7"/>
      <c r="R1405" s="7"/>
    </row>
    <row r="1406" spans="3:18">
      <c r="C1406" s="7"/>
      <c r="D1406" s="7"/>
      <c r="E1406" s="7"/>
      <c r="F1406" s="7"/>
      <c r="G1406" s="7"/>
      <c r="H1406" s="7"/>
      <c r="I1406" s="7"/>
      <c r="J1406" s="7"/>
      <c r="K1406" s="7"/>
      <c r="L1406" s="27"/>
      <c r="N1406" s="8"/>
      <c r="O1406" s="7"/>
      <c r="P1406" s="7"/>
      <c r="Q1406" s="7"/>
      <c r="R1406" s="7"/>
    </row>
    <row r="1407" spans="3:18">
      <c r="C1407" s="7"/>
      <c r="D1407" s="7"/>
      <c r="E1407" s="7"/>
      <c r="F1407" s="7"/>
      <c r="G1407" s="7"/>
      <c r="H1407" s="7"/>
      <c r="I1407" s="7"/>
      <c r="J1407" s="7"/>
      <c r="K1407" s="7"/>
      <c r="L1407" s="27"/>
      <c r="N1407" s="8"/>
      <c r="O1407" s="7"/>
      <c r="P1407" s="7"/>
      <c r="Q1407" s="7"/>
      <c r="R1407" s="7"/>
    </row>
    <row r="1408" spans="3:18">
      <c r="C1408" s="7"/>
      <c r="D1408" s="7"/>
      <c r="E1408" s="7"/>
      <c r="F1408" s="7"/>
      <c r="G1408" s="7"/>
      <c r="H1408" s="7"/>
      <c r="I1408" s="7"/>
      <c r="J1408" s="7"/>
      <c r="K1408" s="7"/>
      <c r="L1408" s="27"/>
      <c r="N1408" s="8"/>
      <c r="O1408" s="7"/>
      <c r="P1408" s="7"/>
      <c r="Q1408" s="7"/>
      <c r="R1408" s="7"/>
    </row>
    <row r="1409" spans="3:18">
      <c r="C1409" s="7"/>
      <c r="D1409" s="7"/>
      <c r="E1409" s="7"/>
      <c r="F1409" s="7"/>
      <c r="G1409" s="7"/>
      <c r="H1409" s="7"/>
      <c r="I1409" s="7"/>
      <c r="J1409" s="7"/>
      <c r="K1409" s="7"/>
      <c r="L1409" s="27"/>
      <c r="N1409" s="8"/>
      <c r="O1409" s="7"/>
      <c r="P1409" s="7"/>
      <c r="Q1409" s="7"/>
      <c r="R1409" s="7"/>
    </row>
    <row r="1410" spans="3:18">
      <c r="C1410" s="7"/>
      <c r="D1410" s="7"/>
      <c r="E1410" s="7"/>
      <c r="F1410" s="7"/>
      <c r="G1410" s="7"/>
      <c r="H1410" s="7"/>
      <c r="I1410" s="7"/>
      <c r="J1410" s="7"/>
      <c r="K1410" s="7"/>
      <c r="L1410" s="27"/>
      <c r="N1410" s="8"/>
      <c r="O1410" s="7"/>
      <c r="P1410" s="7"/>
      <c r="Q1410" s="7"/>
      <c r="R1410" s="7"/>
    </row>
    <row r="1411" spans="3:18">
      <c r="C1411" s="7"/>
      <c r="D1411" s="7"/>
      <c r="E1411" s="7"/>
      <c r="F1411" s="7"/>
      <c r="G1411" s="7"/>
      <c r="H1411" s="7"/>
      <c r="I1411" s="7"/>
      <c r="J1411" s="7"/>
      <c r="K1411" s="7"/>
      <c r="L1411" s="27"/>
      <c r="N1411" s="8"/>
      <c r="O1411" s="7"/>
      <c r="P1411" s="7"/>
      <c r="Q1411" s="7"/>
      <c r="R1411" s="7"/>
    </row>
    <row r="1412" spans="3:18">
      <c r="C1412" s="7"/>
      <c r="D1412" s="7"/>
      <c r="E1412" s="7"/>
      <c r="F1412" s="7"/>
      <c r="G1412" s="7"/>
      <c r="H1412" s="7"/>
      <c r="I1412" s="7"/>
      <c r="J1412" s="7"/>
      <c r="K1412" s="7"/>
      <c r="L1412" s="27"/>
      <c r="N1412" s="8"/>
      <c r="O1412" s="7"/>
      <c r="P1412" s="7"/>
      <c r="Q1412" s="7"/>
      <c r="R1412" s="7"/>
    </row>
    <row r="1413" spans="3:18">
      <c r="C1413" s="7"/>
      <c r="D1413" s="7"/>
      <c r="E1413" s="7"/>
      <c r="F1413" s="7"/>
      <c r="G1413" s="7"/>
      <c r="H1413" s="7"/>
      <c r="I1413" s="7"/>
      <c r="J1413" s="7"/>
      <c r="K1413" s="7"/>
      <c r="L1413" s="27"/>
      <c r="N1413" s="8"/>
      <c r="O1413" s="7"/>
      <c r="P1413" s="7"/>
      <c r="Q1413" s="7"/>
      <c r="R1413" s="7"/>
    </row>
    <row r="1414" spans="3:18">
      <c r="C1414" s="7"/>
      <c r="D1414" s="7"/>
      <c r="E1414" s="7"/>
      <c r="F1414" s="7"/>
      <c r="G1414" s="7"/>
      <c r="H1414" s="7"/>
      <c r="I1414" s="7"/>
      <c r="J1414" s="7"/>
      <c r="K1414" s="7"/>
      <c r="L1414" s="27"/>
      <c r="N1414" s="8"/>
      <c r="O1414" s="7"/>
      <c r="P1414" s="7"/>
      <c r="Q1414" s="7"/>
      <c r="R1414" s="7"/>
    </row>
    <row r="1415" spans="3:18">
      <c r="C1415" s="7"/>
      <c r="D1415" s="7"/>
      <c r="E1415" s="7"/>
      <c r="F1415" s="7"/>
      <c r="G1415" s="7"/>
      <c r="H1415" s="7"/>
      <c r="I1415" s="7"/>
      <c r="J1415" s="7"/>
      <c r="K1415" s="7"/>
      <c r="L1415" s="27"/>
      <c r="N1415" s="8"/>
      <c r="O1415" s="7"/>
      <c r="P1415" s="7"/>
      <c r="Q1415" s="7"/>
      <c r="R1415" s="7"/>
    </row>
    <row r="1416" spans="3:18">
      <c r="C1416" s="7"/>
      <c r="D1416" s="7"/>
      <c r="E1416" s="7"/>
      <c r="F1416" s="7"/>
      <c r="G1416" s="7"/>
      <c r="H1416" s="7"/>
      <c r="I1416" s="7"/>
      <c r="J1416" s="7"/>
      <c r="K1416" s="7"/>
      <c r="L1416" s="27"/>
      <c r="N1416" s="8"/>
      <c r="O1416" s="7"/>
      <c r="P1416" s="7"/>
      <c r="Q1416" s="7"/>
      <c r="R1416" s="7"/>
    </row>
    <row r="1417" spans="3:18">
      <c r="C1417" s="7"/>
      <c r="D1417" s="7"/>
      <c r="E1417" s="7"/>
      <c r="F1417" s="7"/>
      <c r="G1417" s="7"/>
      <c r="H1417" s="7"/>
      <c r="I1417" s="7"/>
      <c r="J1417" s="7"/>
      <c r="K1417" s="7"/>
      <c r="L1417" s="27"/>
      <c r="N1417" s="8"/>
      <c r="O1417" s="7"/>
      <c r="P1417" s="7"/>
      <c r="Q1417" s="7"/>
      <c r="R1417" s="7"/>
    </row>
    <row r="1418" spans="3:18">
      <c r="C1418" s="7"/>
      <c r="D1418" s="7"/>
      <c r="E1418" s="7"/>
      <c r="F1418" s="7"/>
      <c r="G1418" s="7"/>
      <c r="H1418" s="7"/>
      <c r="I1418" s="7"/>
      <c r="J1418" s="7"/>
      <c r="K1418" s="7"/>
      <c r="L1418" s="27"/>
      <c r="N1418" s="8"/>
      <c r="O1418" s="7"/>
      <c r="P1418" s="7"/>
      <c r="Q1418" s="7"/>
      <c r="R1418" s="7"/>
    </row>
    <row r="1419" spans="3:18">
      <c r="C1419" s="7"/>
      <c r="D1419" s="7"/>
      <c r="E1419" s="7"/>
      <c r="F1419" s="7"/>
      <c r="G1419" s="7"/>
      <c r="H1419" s="7"/>
      <c r="I1419" s="7"/>
      <c r="J1419" s="7"/>
      <c r="K1419" s="7"/>
      <c r="L1419" s="27"/>
      <c r="N1419" s="8"/>
      <c r="O1419" s="7"/>
      <c r="P1419" s="7"/>
      <c r="Q1419" s="7"/>
      <c r="R1419" s="7"/>
    </row>
    <row r="1420" spans="3:18">
      <c r="C1420" s="7"/>
      <c r="D1420" s="7"/>
      <c r="E1420" s="7"/>
      <c r="F1420" s="7"/>
      <c r="G1420" s="7"/>
      <c r="H1420" s="7"/>
      <c r="I1420" s="7"/>
      <c r="J1420" s="7"/>
      <c r="K1420" s="7"/>
      <c r="L1420" s="27"/>
      <c r="N1420" s="8"/>
      <c r="O1420" s="7"/>
      <c r="P1420" s="7"/>
      <c r="Q1420" s="7"/>
      <c r="R1420" s="7"/>
    </row>
    <row r="1421" spans="3:18">
      <c r="C1421" s="7"/>
      <c r="D1421" s="7"/>
      <c r="E1421" s="7"/>
      <c r="F1421" s="7"/>
      <c r="G1421" s="7"/>
      <c r="H1421" s="7"/>
      <c r="I1421" s="7"/>
      <c r="J1421" s="7"/>
      <c r="K1421" s="7"/>
      <c r="L1421" s="27"/>
      <c r="N1421" s="8"/>
      <c r="O1421" s="7"/>
      <c r="P1421" s="7"/>
      <c r="Q1421" s="7"/>
      <c r="R1421" s="7"/>
    </row>
    <row r="1422" spans="3:18">
      <c r="C1422" s="7"/>
      <c r="D1422" s="7"/>
      <c r="E1422" s="7"/>
      <c r="F1422" s="7"/>
      <c r="G1422" s="7"/>
      <c r="H1422" s="7"/>
      <c r="I1422" s="7"/>
      <c r="J1422" s="7"/>
      <c r="K1422" s="7"/>
      <c r="L1422" s="27"/>
      <c r="N1422" s="8"/>
      <c r="O1422" s="7"/>
      <c r="P1422" s="7"/>
      <c r="Q1422" s="7"/>
      <c r="R1422" s="7"/>
    </row>
    <row r="1423" spans="3:18">
      <c r="C1423" s="7"/>
      <c r="D1423" s="7"/>
      <c r="E1423" s="7"/>
      <c r="F1423" s="7"/>
      <c r="G1423" s="7"/>
      <c r="H1423" s="7"/>
      <c r="I1423" s="7"/>
      <c r="J1423" s="7"/>
      <c r="K1423" s="7"/>
      <c r="L1423" s="27"/>
      <c r="N1423" s="8"/>
      <c r="O1423" s="7"/>
      <c r="P1423" s="7"/>
      <c r="Q1423" s="7"/>
      <c r="R1423" s="7"/>
    </row>
    <row r="1424" spans="3:18">
      <c r="C1424" s="7"/>
      <c r="D1424" s="7"/>
      <c r="E1424" s="7"/>
      <c r="F1424" s="7"/>
      <c r="G1424" s="7"/>
      <c r="H1424" s="7"/>
      <c r="I1424" s="7"/>
      <c r="J1424" s="7"/>
      <c r="K1424" s="7"/>
      <c r="L1424" s="27"/>
      <c r="N1424" s="8"/>
      <c r="O1424" s="7"/>
      <c r="P1424" s="7"/>
      <c r="Q1424" s="7"/>
      <c r="R1424" s="7"/>
    </row>
    <row r="1425" spans="3:18">
      <c r="C1425" s="7"/>
      <c r="D1425" s="7"/>
      <c r="E1425" s="7"/>
      <c r="F1425" s="7"/>
      <c r="G1425" s="7"/>
      <c r="H1425" s="7"/>
      <c r="I1425" s="7"/>
      <c r="J1425" s="7"/>
      <c r="K1425" s="7"/>
      <c r="L1425" s="27"/>
      <c r="N1425" s="8"/>
      <c r="O1425" s="7"/>
      <c r="P1425" s="7"/>
      <c r="Q1425" s="7"/>
      <c r="R1425" s="7"/>
    </row>
    <row r="1426" spans="3:18">
      <c r="C1426" s="7"/>
      <c r="D1426" s="7"/>
      <c r="E1426" s="7"/>
      <c r="F1426" s="7"/>
      <c r="G1426" s="7"/>
      <c r="H1426" s="7"/>
      <c r="I1426" s="7"/>
      <c r="J1426" s="7"/>
      <c r="K1426" s="7"/>
      <c r="L1426" s="27"/>
      <c r="N1426" s="8"/>
      <c r="O1426" s="7"/>
      <c r="P1426" s="7"/>
      <c r="Q1426" s="7"/>
      <c r="R1426" s="7"/>
    </row>
    <row r="1427" spans="3:18">
      <c r="C1427" s="7"/>
      <c r="D1427" s="7"/>
      <c r="E1427" s="7"/>
      <c r="F1427" s="7"/>
      <c r="G1427" s="7"/>
      <c r="H1427" s="7"/>
      <c r="I1427" s="7"/>
      <c r="J1427" s="7"/>
      <c r="K1427" s="7"/>
      <c r="L1427" s="27"/>
      <c r="N1427" s="8"/>
      <c r="O1427" s="7"/>
      <c r="P1427" s="7"/>
      <c r="Q1427" s="7"/>
      <c r="R1427" s="7"/>
    </row>
    <row r="1428" spans="3:18">
      <c r="C1428" s="7"/>
      <c r="D1428" s="7"/>
      <c r="E1428" s="7"/>
      <c r="F1428" s="7"/>
      <c r="G1428" s="7"/>
      <c r="H1428" s="7"/>
      <c r="I1428" s="7"/>
      <c r="J1428" s="7"/>
      <c r="K1428" s="7"/>
      <c r="L1428" s="27"/>
      <c r="N1428" s="8"/>
      <c r="O1428" s="7"/>
      <c r="P1428" s="7"/>
      <c r="Q1428" s="7"/>
      <c r="R1428" s="7"/>
    </row>
    <row r="1429" spans="3:18">
      <c r="C1429" s="7"/>
      <c r="D1429" s="7"/>
      <c r="E1429" s="7"/>
      <c r="F1429" s="7"/>
      <c r="G1429" s="7"/>
      <c r="H1429" s="7"/>
      <c r="I1429" s="7"/>
      <c r="J1429" s="7"/>
      <c r="K1429" s="7"/>
      <c r="L1429" s="27"/>
      <c r="N1429" s="8"/>
      <c r="O1429" s="7"/>
      <c r="P1429" s="7"/>
      <c r="Q1429" s="7"/>
      <c r="R1429" s="7"/>
    </row>
    <row r="1430" spans="3:18">
      <c r="C1430" s="7"/>
      <c r="D1430" s="7"/>
      <c r="E1430" s="7"/>
      <c r="F1430" s="7"/>
      <c r="G1430" s="7"/>
      <c r="H1430" s="7"/>
      <c r="I1430" s="7"/>
      <c r="J1430" s="7"/>
      <c r="K1430" s="7"/>
      <c r="L1430" s="27"/>
      <c r="N1430" s="8"/>
      <c r="O1430" s="7"/>
      <c r="P1430" s="7"/>
      <c r="Q1430" s="7"/>
      <c r="R1430" s="7"/>
    </row>
    <row r="1431" spans="3:18">
      <c r="C1431" s="7"/>
      <c r="D1431" s="7"/>
      <c r="E1431" s="7"/>
      <c r="F1431" s="7"/>
      <c r="G1431" s="7"/>
      <c r="H1431" s="7"/>
      <c r="I1431" s="7"/>
      <c r="J1431" s="7"/>
      <c r="K1431" s="7"/>
      <c r="L1431" s="27"/>
      <c r="N1431" s="8"/>
      <c r="O1431" s="7"/>
      <c r="P1431" s="7"/>
      <c r="Q1431" s="7"/>
      <c r="R1431" s="7"/>
    </row>
    <row r="1432" spans="3:18">
      <c r="C1432" s="7"/>
      <c r="D1432" s="7"/>
      <c r="E1432" s="7"/>
      <c r="F1432" s="7"/>
      <c r="G1432" s="7"/>
      <c r="H1432" s="7"/>
      <c r="I1432" s="7"/>
      <c r="J1432" s="7"/>
      <c r="K1432" s="7"/>
      <c r="L1432" s="27"/>
      <c r="N1432" s="8"/>
      <c r="O1432" s="7"/>
      <c r="P1432" s="7"/>
      <c r="Q1432" s="7"/>
      <c r="R1432" s="7"/>
    </row>
    <row r="1433" spans="3:18">
      <c r="C1433" s="7"/>
      <c r="D1433" s="7"/>
      <c r="E1433" s="7"/>
      <c r="F1433" s="7"/>
      <c r="G1433" s="7"/>
      <c r="H1433" s="7"/>
      <c r="I1433" s="7"/>
      <c r="J1433" s="7"/>
      <c r="K1433" s="7"/>
      <c r="L1433" s="27"/>
      <c r="N1433" s="8"/>
      <c r="O1433" s="7"/>
      <c r="P1433" s="7"/>
      <c r="Q1433" s="7"/>
      <c r="R1433" s="7"/>
    </row>
    <row r="1434" spans="3:18">
      <c r="C1434" s="7"/>
      <c r="D1434" s="7"/>
      <c r="E1434" s="7"/>
      <c r="F1434" s="7"/>
      <c r="G1434" s="7"/>
      <c r="H1434" s="7"/>
      <c r="I1434" s="7"/>
      <c r="J1434" s="7"/>
      <c r="K1434" s="7"/>
      <c r="L1434" s="27"/>
      <c r="N1434" s="8"/>
      <c r="O1434" s="7"/>
      <c r="P1434" s="7"/>
      <c r="Q1434" s="7"/>
      <c r="R1434" s="7"/>
    </row>
    <row r="1435" spans="3:18">
      <c r="C1435" s="7"/>
      <c r="D1435" s="7"/>
      <c r="E1435" s="7"/>
      <c r="F1435" s="7"/>
      <c r="G1435" s="7"/>
      <c r="H1435" s="7"/>
      <c r="I1435" s="7"/>
      <c r="J1435" s="7"/>
      <c r="K1435" s="7"/>
      <c r="L1435" s="27"/>
      <c r="N1435" s="8"/>
      <c r="O1435" s="7"/>
      <c r="P1435" s="7"/>
      <c r="Q1435" s="7"/>
      <c r="R1435" s="7"/>
    </row>
    <row r="1436" spans="3:18">
      <c r="C1436" s="7"/>
      <c r="D1436" s="7"/>
      <c r="E1436" s="7"/>
      <c r="F1436" s="7"/>
      <c r="G1436" s="7"/>
      <c r="H1436" s="7"/>
      <c r="I1436" s="7"/>
      <c r="J1436" s="7"/>
      <c r="K1436" s="7"/>
      <c r="L1436" s="27"/>
      <c r="N1436" s="8"/>
      <c r="O1436" s="7"/>
      <c r="P1436" s="7"/>
      <c r="Q1436" s="7"/>
      <c r="R1436" s="7"/>
    </row>
    <row r="1437" spans="3:18">
      <c r="C1437" s="7"/>
      <c r="D1437" s="7"/>
      <c r="E1437" s="7"/>
      <c r="F1437" s="7"/>
      <c r="G1437" s="7"/>
      <c r="H1437" s="7"/>
      <c r="I1437" s="7"/>
      <c r="J1437" s="7"/>
      <c r="K1437" s="7"/>
      <c r="L1437" s="27"/>
      <c r="N1437" s="8"/>
      <c r="O1437" s="7"/>
      <c r="P1437" s="7"/>
      <c r="Q1437" s="7"/>
      <c r="R1437" s="7"/>
    </row>
    <row r="1438" spans="3:18">
      <c r="C1438" s="7"/>
      <c r="D1438" s="7"/>
      <c r="E1438" s="7"/>
      <c r="F1438" s="7"/>
      <c r="G1438" s="7"/>
      <c r="H1438" s="7"/>
      <c r="I1438" s="7"/>
      <c r="J1438" s="7"/>
      <c r="K1438" s="7"/>
      <c r="L1438" s="27"/>
      <c r="N1438" s="8"/>
      <c r="O1438" s="7"/>
      <c r="P1438" s="7"/>
      <c r="Q1438" s="7"/>
      <c r="R1438" s="7"/>
    </row>
    <row r="1439" spans="3:18">
      <c r="C1439" s="7"/>
      <c r="D1439" s="7"/>
      <c r="E1439" s="7"/>
      <c r="F1439" s="7"/>
      <c r="G1439" s="7"/>
      <c r="H1439" s="7"/>
      <c r="I1439" s="7"/>
      <c r="J1439" s="7"/>
      <c r="K1439" s="7"/>
      <c r="L1439" s="27"/>
      <c r="N1439" s="8"/>
      <c r="O1439" s="7"/>
      <c r="P1439" s="7"/>
      <c r="Q1439" s="7"/>
      <c r="R1439" s="7"/>
    </row>
    <row r="1440" spans="3:18">
      <c r="C1440" s="7"/>
      <c r="D1440" s="7"/>
      <c r="E1440" s="7"/>
      <c r="F1440" s="7"/>
      <c r="G1440" s="7"/>
      <c r="H1440" s="7"/>
      <c r="I1440" s="7"/>
      <c r="J1440" s="7"/>
      <c r="K1440" s="7"/>
      <c r="L1440" s="27"/>
      <c r="N1440" s="8"/>
      <c r="O1440" s="7"/>
      <c r="P1440" s="7"/>
      <c r="Q1440" s="7"/>
      <c r="R1440" s="7"/>
    </row>
    <row r="1441" spans="3:18">
      <c r="C1441" s="7"/>
      <c r="D1441" s="7"/>
      <c r="E1441" s="7"/>
      <c r="F1441" s="7"/>
      <c r="G1441" s="7"/>
      <c r="H1441" s="7"/>
      <c r="I1441" s="7"/>
      <c r="J1441" s="7"/>
      <c r="K1441" s="7"/>
      <c r="L1441" s="27"/>
      <c r="N1441" s="8"/>
      <c r="O1441" s="7"/>
      <c r="P1441" s="7"/>
      <c r="Q1441" s="7"/>
      <c r="R1441" s="7"/>
    </row>
    <row r="1442" spans="3:18">
      <c r="C1442" s="7"/>
      <c r="D1442" s="7"/>
      <c r="E1442" s="7"/>
      <c r="F1442" s="7"/>
      <c r="G1442" s="7"/>
      <c r="H1442" s="7"/>
      <c r="I1442" s="7"/>
      <c r="J1442" s="7"/>
      <c r="K1442" s="7"/>
      <c r="L1442" s="27"/>
      <c r="N1442" s="8"/>
      <c r="O1442" s="7"/>
      <c r="P1442" s="7"/>
      <c r="Q1442" s="7"/>
      <c r="R1442" s="7"/>
    </row>
    <row r="1443" spans="3:18">
      <c r="C1443" s="7"/>
      <c r="D1443" s="7"/>
      <c r="E1443" s="7"/>
      <c r="F1443" s="7"/>
      <c r="G1443" s="7"/>
      <c r="H1443" s="7"/>
      <c r="I1443" s="7"/>
      <c r="J1443" s="7"/>
      <c r="K1443" s="7"/>
      <c r="L1443" s="27"/>
      <c r="N1443" s="8"/>
      <c r="O1443" s="7"/>
      <c r="P1443" s="7"/>
      <c r="Q1443" s="7"/>
      <c r="R1443" s="7"/>
    </row>
    <row r="1444" spans="3:18">
      <c r="C1444" s="7"/>
      <c r="D1444" s="7"/>
      <c r="E1444" s="7"/>
      <c r="F1444" s="7"/>
      <c r="G1444" s="7"/>
      <c r="H1444" s="7"/>
      <c r="I1444" s="7"/>
      <c r="J1444" s="7"/>
      <c r="K1444" s="7"/>
      <c r="L1444" s="27"/>
      <c r="N1444" s="8"/>
      <c r="O1444" s="7"/>
      <c r="P1444" s="7"/>
      <c r="Q1444" s="7"/>
      <c r="R1444" s="7"/>
    </row>
    <row r="1445" spans="3:18">
      <c r="C1445" s="7"/>
      <c r="D1445" s="7"/>
      <c r="E1445" s="7"/>
      <c r="F1445" s="7"/>
      <c r="G1445" s="7"/>
      <c r="H1445" s="7"/>
      <c r="I1445" s="7"/>
      <c r="J1445" s="7"/>
      <c r="K1445" s="7"/>
      <c r="L1445" s="27"/>
      <c r="N1445" s="8"/>
      <c r="O1445" s="7"/>
      <c r="P1445" s="7"/>
      <c r="Q1445" s="7"/>
      <c r="R1445" s="7"/>
    </row>
    <row r="1446" spans="3:18">
      <c r="C1446" s="7"/>
      <c r="D1446" s="7"/>
      <c r="E1446" s="7"/>
      <c r="F1446" s="7"/>
      <c r="G1446" s="7"/>
      <c r="H1446" s="7"/>
      <c r="I1446" s="7"/>
      <c r="J1446" s="7"/>
      <c r="K1446" s="7"/>
      <c r="L1446" s="27"/>
      <c r="N1446" s="8"/>
      <c r="O1446" s="7"/>
      <c r="P1446" s="7"/>
      <c r="Q1446" s="7"/>
      <c r="R1446" s="7"/>
    </row>
    <row r="1447" spans="3:18">
      <c r="C1447" s="7"/>
      <c r="D1447" s="7"/>
      <c r="E1447" s="7"/>
      <c r="F1447" s="7"/>
      <c r="G1447" s="7"/>
      <c r="H1447" s="7"/>
      <c r="I1447" s="7"/>
      <c r="J1447" s="7"/>
      <c r="K1447" s="7"/>
      <c r="L1447" s="27"/>
      <c r="N1447" s="8"/>
      <c r="O1447" s="7"/>
      <c r="P1447" s="7"/>
      <c r="Q1447" s="7"/>
      <c r="R1447" s="7"/>
    </row>
    <row r="1448" spans="3:18">
      <c r="C1448" s="7"/>
      <c r="D1448" s="7"/>
      <c r="E1448" s="7"/>
      <c r="F1448" s="7"/>
      <c r="G1448" s="7"/>
      <c r="H1448" s="7"/>
      <c r="I1448" s="7"/>
      <c r="J1448" s="7"/>
      <c r="K1448" s="7"/>
      <c r="L1448" s="27"/>
      <c r="N1448" s="8"/>
      <c r="O1448" s="7"/>
      <c r="P1448" s="7"/>
      <c r="Q1448" s="7"/>
      <c r="R1448" s="7"/>
    </row>
    <row r="1449" spans="3:18">
      <c r="C1449" s="7"/>
      <c r="D1449" s="7"/>
      <c r="E1449" s="7"/>
      <c r="F1449" s="7"/>
      <c r="G1449" s="7"/>
      <c r="H1449" s="7"/>
      <c r="I1449" s="7"/>
      <c r="J1449" s="7"/>
      <c r="K1449" s="7"/>
      <c r="L1449" s="27"/>
      <c r="N1449" s="8"/>
      <c r="O1449" s="7"/>
      <c r="P1449" s="7"/>
      <c r="Q1449" s="7"/>
      <c r="R1449" s="7"/>
    </row>
    <row r="1450" spans="3:18">
      <c r="C1450" s="7"/>
      <c r="D1450" s="7"/>
      <c r="E1450" s="7"/>
      <c r="F1450" s="7"/>
      <c r="G1450" s="7"/>
      <c r="H1450" s="7"/>
      <c r="I1450" s="7"/>
      <c r="J1450" s="7"/>
      <c r="K1450" s="7"/>
      <c r="L1450" s="27"/>
      <c r="N1450" s="8"/>
      <c r="O1450" s="7"/>
      <c r="P1450" s="7"/>
      <c r="Q1450" s="7"/>
      <c r="R1450" s="7"/>
    </row>
    <row r="1451" spans="3:18">
      <c r="C1451" s="7"/>
      <c r="D1451" s="7"/>
      <c r="E1451" s="7"/>
      <c r="F1451" s="7"/>
      <c r="G1451" s="7"/>
      <c r="H1451" s="7"/>
      <c r="I1451" s="7"/>
      <c r="J1451" s="7"/>
      <c r="K1451" s="7"/>
      <c r="L1451" s="27"/>
      <c r="N1451" s="8"/>
      <c r="O1451" s="7"/>
      <c r="P1451" s="7"/>
      <c r="Q1451" s="7"/>
      <c r="R1451" s="7"/>
    </row>
    <row r="1452" spans="3:18">
      <c r="C1452" s="7"/>
      <c r="D1452" s="7"/>
      <c r="E1452" s="7"/>
      <c r="F1452" s="7"/>
      <c r="G1452" s="7"/>
      <c r="H1452" s="7"/>
      <c r="I1452" s="7"/>
      <c r="J1452" s="7"/>
      <c r="K1452" s="7"/>
      <c r="L1452" s="27"/>
      <c r="N1452" s="8"/>
      <c r="O1452" s="7"/>
      <c r="P1452" s="7"/>
      <c r="Q1452" s="7"/>
      <c r="R1452" s="7"/>
    </row>
    <row r="1453" spans="3:18">
      <c r="C1453" s="7"/>
      <c r="D1453" s="7"/>
      <c r="E1453" s="7"/>
      <c r="F1453" s="7"/>
      <c r="G1453" s="7"/>
      <c r="H1453" s="7"/>
      <c r="I1453" s="7"/>
      <c r="J1453" s="7"/>
      <c r="K1453" s="7"/>
      <c r="L1453" s="27"/>
      <c r="N1453" s="8"/>
      <c r="O1453" s="7"/>
      <c r="P1453" s="7"/>
      <c r="Q1453" s="7"/>
      <c r="R1453" s="7"/>
    </row>
    <row r="1454" spans="3:18">
      <c r="C1454" s="7"/>
      <c r="D1454" s="7"/>
      <c r="E1454" s="7"/>
      <c r="F1454" s="7"/>
      <c r="G1454" s="7"/>
      <c r="H1454" s="7"/>
      <c r="I1454" s="7"/>
      <c r="J1454" s="7"/>
      <c r="K1454" s="7"/>
      <c r="L1454" s="27"/>
      <c r="N1454" s="8"/>
      <c r="O1454" s="7"/>
      <c r="P1454" s="7"/>
      <c r="Q1454" s="7"/>
      <c r="R1454" s="7"/>
    </row>
    <row r="1455" spans="3:18">
      <c r="C1455" s="7"/>
      <c r="D1455" s="7"/>
      <c r="E1455" s="7"/>
      <c r="F1455" s="7"/>
      <c r="G1455" s="7"/>
      <c r="H1455" s="7"/>
      <c r="I1455" s="7"/>
      <c r="J1455" s="7"/>
      <c r="K1455" s="7"/>
      <c r="L1455" s="27"/>
      <c r="N1455" s="8"/>
      <c r="O1455" s="7"/>
      <c r="P1455" s="7"/>
      <c r="Q1455" s="7"/>
      <c r="R1455" s="7"/>
    </row>
    <row r="1456" spans="3:18">
      <c r="C1456" s="7"/>
      <c r="D1456" s="7"/>
      <c r="E1456" s="7"/>
      <c r="F1456" s="7"/>
      <c r="G1456" s="7"/>
      <c r="H1456" s="7"/>
      <c r="I1456" s="7"/>
      <c r="J1456" s="7"/>
      <c r="K1456" s="7"/>
      <c r="L1456" s="27"/>
      <c r="N1456" s="8"/>
      <c r="O1456" s="7"/>
      <c r="P1456" s="7"/>
      <c r="Q1456" s="7"/>
      <c r="R1456" s="7"/>
    </row>
    <row r="1457" spans="3:18">
      <c r="C1457" s="7"/>
      <c r="D1457" s="7"/>
      <c r="E1457" s="7"/>
      <c r="F1457" s="7"/>
      <c r="G1457" s="7"/>
      <c r="H1457" s="7"/>
      <c r="I1457" s="7"/>
      <c r="J1457" s="7"/>
      <c r="K1457" s="7"/>
      <c r="L1457" s="27"/>
      <c r="N1457" s="8"/>
      <c r="O1457" s="7"/>
      <c r="P1457" s="7"/>
      <c r="Q1457" s="7"/>
      <c r="R1457" s="7"/>
    </row>
    <row r="1458" spans="3:18">
      <c r="C1458" s="7"/>
      <c r="D1458" s="7"/>
      <c r="E1458" s="7"/>
      <c r="F1458" s="7"/>
      <c r="G1458" s="7"/>
      <c r="H1458" s="7"/>
      <c r="I1458" s="7"/>
      <c r="J1458" s="7"/>
      <c r="K1458" s="7"/>
      <c r="L1458" s="27"/>
      <c r="N1458" s="8"/>
      <c r="O1458" s="7"/>
      <c r="P1458" s="7"/>
      <c r="Q1458" s="7"/>
      <c r="R1458" s="7"/>
    </row>
    <row r="1459" spans="3:18">
      <c r="C1459" s="7"/>
      <c r="D1459" s="7"/>
      <c r="E1459" s="7"/>
      <c r="F1459" s="7"/>
      <c r="G1459" s="7"/>
      <c r="H1459" s="7"/>
      <c r="I1459" s="7"/>
      <c r="J1459" s="7"/>
      <c r="K1459" s="7"/>
      <c r="L1459" s="27"/>
      <c r="N1459" s="8"/>
      <c r="O1459" s="7"/>
      <c r="P1459" s="7"/>
      <c r="Q1459" s="7"/>
      <c r="R1459" s="7"/>
    </row>
    <row r="1460" spans="3:18">
      <c r="C1460" s="7"/>
      <c r="D1460" s="7"/>
      <c r="E1460" s="7"/>
      <c r="F1460" s="7"/>
      <c r="G1460" s="7"/>
      <c r="H1460" s="7"/>
      <c r="I1460" s="7"/>
      <c r="J1460" s="7"/>
      <c r="K1460" s="7"/>
      <c r="L1460" s="27"/>
      <c r="N1460" s="8"/>
      <c r="O1460" s="7"/>
      <c r="P1460" s="7"/>
      <c r="Q1460" s="7"/>
      <c r="R1460" s="7"/>
    </row>
    <row r="1461" spans="3:18">
      <c r="C1461" s="7"/>
      <c r="D1461" s="7"/>
      <c r="E1461" s="7"/>
      <c r="F1461" s="7"/>
      <c r="G1461" s="7"/>
      <c r="H1461" s="7"/>
      <c r="I1461" s="7"/>
      <c r="J1461" s="7"/>
      <c r="K1461" s="7"/>
      <c r="L1461" s="27"/>
      <c r="N1461" s="8"/>
      <c r="O1461" s="7"/>
      <c r="P1461" s="7"/>
      <c r="Q1461" s="7"/>
      <c r="R1461" s="7"/>
    </row>
    <row r="1462" spans="3:18">
      <c r="C1462" s="7"/>
      <c r="D1462" s="7"/>
      <c r="E1462" s="7"/>
      <c r="F1462" s="7"/>
      <c r="G1462" s="7"/>
      <c r="H1462" s="7"/>
      <c r="I1462" s="7"/>
      <c r="J1462" s="7"/>
      <c r="K1462" s="7"/>
      <c r="L1462" s="27"/>
      <c r="N1462" s="8"/>
      <c r="O1462" s="7"/>
      <c r="P1462" s="7"/>
      <c r="Q1462" s="7"/>
      <c r="R1462" s="7"/>
    </row>
    <row r="1463" spans="3:18">
      <c r="C1463" s="7"/>
      <c r="D1463" s="7"/>
      <c r="E1463" s="7"/>
      <c r="F1463" s="7"/>
      <c r="G1463" s="7"/>
      <c r="H1463" s="7"/>
      <c r="I1463" s="7"/>
      <c r="J1463" s="7"/>
      <c r="K1463" s="7"/>
      <c r="L1463" s="27"/>
      <c r="N1463" s="8"/>
      <c r="O1463" s="7"/>
      <c r="P1463" s="7"/>
      <c r="Q1463" s="7"/>
      <c r="R1463" s="7"/>
    </row>
    <row r="1464" spans="3:18">
      <c r="C1464" s="7"/>
      <c r="D1464" s="7"/>
      <c r="E1464" s="7"/>
      <c r="F1464" s="7"/>
      <c r="G1464" s="7"/>
      <c r="H1464" s="7"/>
      <c r="I1464" s="7"/>
      <c r="J1464" s="7"/>
      <c r="K1464" s="7"/>
      <c r="L1464" s="27"/>
      <c r="N1464" s="8"/>
      <c r="O1464" s="7"/>
      <c r="P1464" s="7"/>
      <c r="Q1464" s="7"/>
      <c r="R1464" s="7"/>
    </row>
    <row r="1465" spans="3:18">
      <c r="C1465" s="7"/>
      <c r="D1465" s="7"/>
      <c r="E1465" s="7"/>
      <c r="F1465" s="7"/>
      <c r="G1465" s="7"/>
      <c r="H1465" s="7"/>
      <c r="I1465" s="7"/>
      <c r="J1465" s="7"/>
      <c r="K1465" s="7"/>
      <c r="L1465" s="27"/>
      <c r="N1465" s="8"/>
      <c r="O1465" s="7"/>
      <c r="P1465" s="7"/>
      <c r="Q1465" s="7"/>
      <c r="R1465" s="7"/>
    </row>
    <row r="1466" spans="3:18">
      <c r="C1466" s="7"/>
      <c r="D1466" s="7"/>
      <c r="E1466" s="7"/>
      <c r="F1466" s="7"/>
      <c r="G1466" s="7"/>
      <c r="H1466" s="7"/>
      <c r="I1466" s="7"/>
      <c r="J1466" s="7"/>
      <c r="K1466" s="7"/>
      <c r="L1466" s="27"/>
      <c r="N1466" s="8"/>
      <c r="O1466" s="7"/>
      <c r="P1466" s="7"/>
      <c r="Q1466" s="7"/>
      <c r="R1466" s="7"/>
    </row>
    <row r="1467" spans="3:18">
      <c r="C1467" s="7"/>
      <c r="D1467" s="7"/>
      <c r="E1467" s="7"/>
      <c r="F1467" s="7"/>
      <c r="G1467" s="7"/>
      <c r="H1467" s="7"/>
      <c r="I1467" s="7"/>
      <c r="J1467" s="7"/>
      <c r="K1467" s="7"/>
      <c r="L1467" s="27"/>
      <c r="N1467" s="8"/>
      <c r="O1467" s="7"/>
      <c r="P1467" s="7"/>
      <c r="Q1467" s="7"/>
      <c r="R1467" s="7"/>
    </row>
    <row r="1468" spans="3:18">
      <c r="C1468" s="7"/>
      <c r="D1468" s="7"/>
      <c r="E1468" s="7"/>
      <c r="F1468" s="7"/>
      <c r="G1468" s="7"/>
      <c r="H1468" s="7"/>
      <c r="I1468" s="7"/>
      <c r="J1468" s="7"/>
      <c r="K1468" s="7"/>
      <c r="L1468" s="27"/>
      <c r="N1468" s="8"/>
      <c r="O1468" s="7"/>
      <c r="P1468" s="7"/>
      <c r="Q1468" s="7"/>
      <c r="R1468" s="7"/>
    </row>
    <row r="1469" spans="3:18">
      <c r="C1469" s="7"/>
      <c r="D1469" s="7"/>
      <c r="E1469" s="7"/>
      <c r="F1469" s="7"/>
      <c r="G1469" s="7"/>
      <c r="H1469" s="7"/>
      <c r="I1469" s="7"/>
      <c r="J1469" s="7"/>
      <c r="K1469" s="7"/>
      <c r="L1469" s="27"/>
      <c r="N1469" s="8"/>
      <c r="O1469" s="7"/>
      <c r="P1469" s="7"/>
      <c r="Q1469" s="7"/>
      <c r="R1469" s="7"/>
    </row>
    <row r="1470" spans="3:18">
      <c r="C1470" s="7"/>
      <c r="D1470" s="7"/>
      <c r="E1470" s="7"/>
      <c r="F1470" s="7"/>
      <c r="G1470" s="7"/>
      <c r="H1470" s="7"/>
      <c r="I1470" s="7"/>
      <c r="J1470" s="7"/>
      <c r="K1470" s="7"/>
      <c r="L1470" s="27"/>
      <c r="N1470" s="8"/>
      <c r="O1470" s="7"/>
      <c r="P1470" s="7"/>
      <c r="Q1470" s="7"/>
      <c r="R1470" s="7"/>
    </row>
    <row r="1471" spans="3:18">
      <c r="C1471" s="7"/>
      <c r="D1471" s="7"/>
      <c r="E1471" s="7"/>
      <c r="F1471" s="7"/>
      <c r="G1471" s="7"/>
      <c r="H1471" s="7"/>
      <c r="I1471" s="7"/>
      <c r="J1471" s="7"/>
      <c r="K1471" s="7"/>
      <c r="L1471" s="27"/>
      <c r="N1471" s="8"/>
      <c r="O1471" s="7"/>
      <c r="P1471" s="7"/>
      <c r="Q1471" s="7"/>
      <c r="R1471" s="7"/>
    </row>
    <row r="1472" spans="3:18">
      <c r="C1472" s="7"/>
      <c r="D1472" s="7"/>
      <c r="E1472" s="7"/>
      <c r="F1472" s="7"/>
      <c r="G1472" s="7"/>
      <c r="H1472" s="7"/>
      <c r="I1472" s="7"/>
      <c r="J1472" s="7"/>
      <c r="K1472" s="7"/>
      <c r="L1472" s="27"/>
      <c r="N1472" s="8"/>
      <c r="O1472" s="7"/>
      <c r="P1472" s="7"/>
      <c r="Q1472" s="7"/>
      <c r="R1472" s="7"/>
    </row>
    <row r="1473" spans="3:18">
      <c r="C1473" s="7"/>
      <c r="D1473" s="7"/>
      <c r="E1473" s="7"/>
      <c r="F1473" s="7"/>
      <c r="G1473" s="7"/>
      <c r="H1473" s="7"/>
      <c r="I1473" s="7"/>
      <c r="J1473" s="7"/>
      <c r="K1473" s="7"/>
      <c r="L1473" s="27"/>
      <c r="N1473" s="8"/>
      <c r="O1473" s="7"/>
      <c r="P1473" s="7"/>
      <c r="Q1473" s="7"/>
      <c r="R1473" s="7"/>
    </row>
    <row r="1474" spans="3:18">
      <c r="C1474" s="7"/>
      <c r="D1474" s="7"/>
      <c r="E1474" s="7"/>
      <c r="F1474" s="7"/>
      <c r="G1474" s="7"/>
      <c r="H1474" s="7"/>
      <c r="I1474" s="7"/>
      <c r="J1474" s="7"/>
      <c r="K1474" s="7"/>
      <c r="L1474" s="27"/>
      <c r="N1474" s="8"/>
      <c r="O1474" s="7"/>
      <c r="P1474" s="7"/>
      <c r="Q1474" s="7"/>
      <c r="R1474" s="7"/>
    </row>
    <row r="1475" spans="3:18">
      <c r="C1475" s="7"/>
      <c r="D1475" s="7"/>
      <c r="E1475" s="7"/>
      <c r="F1475" s="7"/>
      <c r="G1475" s="7"/>
      <c r="H1475" s="7"/>
      <c r="I1475" s="7"/>
      <c r="J1475" s="7"/>
      <c r="K1475" s="7"/>
      <c r="L1475" s="27"/>
      <c r="N1475" s="8"/>
      <c r="O1475" s="7"/>
      <c r="P1475" s="7"/>
      <c r="Q1475" s="7"/>
      <c r="R1475" s="7"/>
    </row>
    <row r="1476" spans="3:18">
      <c r="C1476" s="7"/>
      <c r="D1476" s="7"/>
      <c r="E1476" s="7"/>
      <c r="F1476" s="7"/>
      <c r="G1476" s="7"/>
      <c r="H1476" s="7"/>
      <c r="I1476" s="7"/>
      <c r="J1476" s="7"/>
      <c r="K1476" s="7"/>
      <c r="L1476" s="27"/>
      <c r="N1476" s="8"/>
      <c r="O1476" s="7"/>
      <c r="P1476" s="7"/>
      <c r="Q1476" s="7"/>
      <c r="R1476" s="7"/>
    </row>
    <row r="1477" spans="3:18">
      <c r="C1477" s="7"/>
      <c r="D1477" s="7"/>
      <c r="E1477" s="7"/>
      <c r="F1477" s="7"/>
      <c r="G1477" s="7"/>
      <c r="H1477" s="7"/>
      <c r="I1477" s="7"/>
      <c r="J1477" s="7"/>
      <c r="K1477" s="7"/>
      <c r="L1477" s="27"/>
      <c r="N1477" s="8"/>
      <c r="O1477" s="7"/>
      <c r="P1477" s="7"/>
      <c r="Q1477" s="7"/>
      <c r="R1477" s="7"/>
    </row>
    <row r="1478" spans="3:18">
      <c r="C1478" s="7"/>
      <c r="D1478" s="7"/>
      <c r="E1478" s="7"/>
      <c r="F1478" s="7"/>
      <c r="G1478" s="7"/>
      <c r="H1478" s="7"/>
      <c r="I1478" s="7"/>
      <c r="J1478" s="7"/>
      <c r="K1478" s="7"/>
      <c r="L1478" s="27"/>
      <c r="N1478" s="8"/>
      <c r="O1478" s="7"/>
      <c r="P1478" s="7"/>
      <c r="Q1478" s="7"/>
      <c r="R1478" s="7"/>
    </row>
    <row r="1479" spans="3:18">
      <c r="C1479" s="7"/>
      <c r="D1479" s="7"/>
      <c r="E1479" s="7"/>
      <c r="F1479" s="7"/>
      <c r="G1479" s="7"/>
      <c r="H1479" s="7"/>
      <c r="I1479" s="7"/>
      <c r="J1479" s="7"/>
      <c r="K1479" s="7"/>
      <c r="L1479" s="27"/>
      <c r="N1479" s="8"/>
      <c r="O1479" s="7"/>
      <c r="P1479" s="7"/>
      <c r="Q1479" s="7"/>
      <c r="R1479" s="7"/>
    </row>
    <row r="1480" spans="3:18">
      <c r="C1480" s="7"/>
      <c r="D1480" s="7"/>
      <c r="E1480" s="7"/>
      <c r="F1480" s="7"/>
      <c r="G1480" s="7"/>
      <c r="H1480" s="7"/>
      <c r="I1480" s="7"/>
      <c r="J1480" s="7"/>
      <c r="K1480" s="7"/>
      <c r="L1480" s="27"/>
      <c r="N1480" s="8"/>
      <c r="O1480" s="7"/>
      <c r="P1480" s="7"/>
      <c r="Q1480" s="7"/>
      <c r="R1480" s="7"/>
    </row>
    <row r="1481" spans="3:18">
      <c r="C1481" s="7"/>
      <c r="D1481" s="7"/>
      <c r="E1481" s="7"/>
      <c r="F1481" s="7"/>
      <c r="G1481" s="7"/>
      <c r="H1481" s="7"/>
      <c r="I1481" s="7"/>
      <c r="J1481" s="7"/>
      <c r="K1481" s="7"/>
      <c r="L1481" s="27"/>
      <c r="N1481" s="8"/>
      <c r="O1481" s="7"/>
      <c r="P1481" s="7"/>
      <c r="Q1481" s="7"/>
      <c r="R1481" s="7"/>
    </row>
    <row r="1482" spans="3:18">
      <c r="C1482" s="7"/>
      <c r="D1482" s="7"/>
      <c r="E1482" s="7"/>
      <c r="F1482" s="7"/>
      <c r="G1482" s="7"/>
      <c r="H1482" s="7"/>
      <c r="I1482" s="7"/>
      <c r="J1482" s="7"/>
      <c r="K1482" s="7"/>
      <c r="L1482" s="27"/>
      <c r="N1482" s="8"/>
      <c r="O1482" s="7"/>
      <c r="P1482" s="7"/>
      <c r="Q1482" s="7"/>
      <c r="R1482" s="7"/>
    </row>
    <row r="1483" spans="3:18">
      <c r="C1483" s="7"/>
      <c r="D1483" s="7"/>
      <c r="E1483" s="7"/>
      <c r="F1483" s="7"/>
      <c r="G1483" s="7"/>
      <c r="H1483" s="7"/>
      <c r="I1483" s="7"/>
      <c r="J1483" s="7"/>
      <c r="K1483" s="7"/>
      <c r="L1483" s="27"/>
      <c r="N1483" s="8"/>
      <c r="O1483" s="7"/>
      <c r="P1483" s="7"/>
      <c r="Q1483" s="7"/>
      <c r="R1483" s="7"/>
    </row>
    <row r="1484" spans="3:18">
      <c r="C1484" s="7"/>
      <c r="D1484" s="7"/>
      <c r="E1484" s="7"/>
      <c r="F1484" s="7"/>
      <c r="G1484" s="7"/>
      <c r="H1484" s="7"/>
      <c r="I1484" s="7"/>
      <c r="J1484" s="7"/>
      <c r="K1484" s="7"/>
      <c r="L1484" s="27"/>
      <c r="N1484" s="8"/>
      <c r="O1484" s="7"/>
      <c r="P1484" s="7"/>
      <c r="Q1484" s="7"/>
      <c r="R1484" s="7"/>
    </row>
    <row r="1485" spans="3:18">
      <c r="C1485" s="7"/>
      <c r="D1485" s="7"/>
      <c r="E1485" s="7"/>
      <c r="F1485" s="7"/>
      <c r="G1485" s="7"/>
      <c r="H1485" s="7"/>
      <c r="I1485" s="7"/>
      <c r="J1485" s="7"/>
      <c r="K1485" s="7"/>
      <c r="L1485" s="27"/>
      <c r="N1485" s="8"/>
      <c r="O1485" s="7"/>
      <c r="P1485" s="7"/>
      <c r="Q1485" s="7"/>
      <c r="R1485" s="7"/>
    </row>
    <row r="1486" spans="3:18">
      <c r="C1486" s="7"/>
      <c r="D1486" s="7"/>
      <c r="E1486" s="7"/>
      <c r="F1486" s="7"/>
      <c r="G1486" s="7"/>
      <c r="H1486" s="7"/>
      <c r="I1486" s="7"/>
      <c r="J1486" s="7"/>
      <c r="K1486" s="7"/>
      <c r="L1486" s="27"/>
      <c r="N1486" s="8"/>
      <c r="O1486" s="7"/>
      <c r="P1486" s="7"/>
      <c r="Q1486" s="7"/>
      <c r="R1486" s="7"/>
    </row>
    <row r="1487" spans="3:18">
      <c r="C1487" s="7"/>
      <c r="D1487" s="7"/>
      <c r="E1487" s="7"/>
      <c r="F1487" s="7"/>
      <c r="G1487" s="7"/>
      <c r="H1487" s="7"/>
      <c r="I1487" s="7"/>
      <c r="J1487" s="7"/>
      <c r="K1487" s="7"/>
      <c r="L1487" s="27"/>
      <c r="N1487" s="8"/>
      <c r="O1487" s="7"/>
      <c r="P1487" s="7"/>
      <c r="Q1487" s="7"/>
      <c r="R1487" s="7"/>
    </row>
    <row r="1488" spans="3:18">
      <c r="C1488" s="7"/>
      <c r="D1488" s="7"/>
      <c r="E1488" s="7"/>
      <c r="F1488" s="7"/>
      <c r="G1488" s="7"/>
      <c r="H1488" s="7"/>
      <c r="I1488" s="7"/>
      <c r="J1488" s="7"/>
      <c r="K1488" s="7"/>
      <c r="L1488" s="27"/>
      <c r="N1488" s="8"/>
      <c r="O1488" s="7"/>
      <c r="P1488" s="7"/>
      <c r="Q1488" s="7"/>
      <c r="R1488" s="7"/>
    </row>
    <row r="1489" spans="3:18">
      <c r="C1489" s="7"/>
      <c r="D1489" s="7"/>
      <c r="E1489" s="7"/>
      <c r="F1489" s="7"/>
      <c r="G1489" s="7"/>
      <c r="H1489" s="7"/>
      <c r="I1489" s="7"/>
      <c r="J1489" s="7"/>
      <c r="K1489" s="7"/>
      <c r="L1489" s="27"/>
      <c r="N1489" s="8"/>
      <c r="O1489" s="7"/>
      <c r="P1489" s="7"/>
      <c r="Q1489" s="7"/>
      <c r="R1489" s="7"/>
    </row>
    <row r="1490" spans="3:18">
      <c r="C1490" s="7"/>
      <c r="D1490" s="7"/>
      <c r="E1490" s="7"/>
      <c r="F1490" s="7"/>
      <c r="G1490" s="7"/>
      <c r="H1490" s="7"/>
      <c r="I1490" s="7"/>
      <c r="J1490" s="7"/>
      <c r="K1490" s="7"/>
      <c r="L1490" s="27"/>
      <c r="N1490" s="8"/>
      <c r="O1490" s="7"/>
      <c r="P1490" s="7"/>
      <c r="Q1490" s="7"/>
      <c r="R1490" s="7"/>
    </row>
    <row r="1491" spans="3:18">
      <c r="C1491" s="7"/>
      <c r="D1491" s="7"/>
      <c r="E1491" s="7"/>
      <c r="F1491" s="7"/>
      <c r="G1491" s="7"/>
      <c r="H1491" s="7"/>
      <c r="I1491" s="7"/>
      <c r="J1491" s="7"/>
      <c r="K1491" s="7"/>
      <c r="L1491" s="27"/>
      <c r="N1491" s="8"/>
      <c r="O1491" s="7"/>
      <c r="P1491" s="7"/>
      <c r="Q1491" s="7"/>
      <c r="R1491" s="7"/>
    </row>
    <row r="1492" spans="3:18">
      <c r="C1492" s="7"/>
      <c r="D1492" s="7"/>
      <c r="E1492" s="7"/>
      <c r="F1492" s="7"/>
      <c r="G1492" s="7"/>
      <c r="H1492" s="7"/>
      <c r="I1492" s="7"/>
      <c r="J1492" s="7"/>
      <c r="K1492" s="7"/>
      <c r="L1492" s="27"/>
      <c r="N1492" s="8"/>
      <c r="O1492" s="7"/>
      <c r="P1492" s="7"/>
      <c r="Q1492" s="7"/>
      <c r="R1492" s="7"/>
    </row>
    <row r="1493" spans="3:18">
      <c r="C1493" s="7"/>
      <c r="D1493" s="7"/>
      <c r="E1493" s="7"/>
      <c r="F1493" s="7"/>
      <c r="G1493" s="7"/>
      <c r="H1493" s="7"/>
      <c r="I1493" s="7"/>
      <c r="J1493" s="7"/>
      <c r="K1493" s="7"/>
      <c r="L1493" s="27"/>
      <c r="N1493" s="8"/>
      <c r="O1493" s="7"/>
      <c r="P1493" s="7"/>
      <c r="Q1493" s="7"/>
      <c r="R1493" s="7"/>
    </row>
    <row r="1494" spans="3:18">
      <c r="C1494" s="7"/>
      <c r="D1494" s="7"/>
      <c r="E1494" s="7"/>
      <c r="F1494" s="7"/>
      <c r="G1494" s="7"/>
      <c r="H1494" s="7"/>
      <c r="I1494" s="7"/>
      <c r="J1494" s="7"/>
      <c r="K1494" s="7"/>
      <c r="L1494" s="27"/>
      <c r="N1494" s="8"/>
      <c r="O1494" s="7"/>
      <c r="P1494" s="7"/>
      <c r="Q1494" s="7"/>
      <c r="R1494" s="7"/>
    </row>
    <row r="1495" spans="3:18">
      <c r="C1495" s="7"/>
      <c r="D1495" s="7"/>
      <c r="E1495" s="7"/>
      <c r="F1495" s="7"/>
      <c r="G1495" s="7"/>
      <c r="H1495" s="7"/>
      <c r="I1495" s="7"/>
      <c r="J1495" s="7"/>
      <c r="K1495" s="7"/>
      <c r="L1495" s="27"/>
      <c r="N1495" s="8"/>
      <c r="O1495" s="7"/>
      <c r="P1495" s="7"/>
      <c r="Q1495" s="7"/>
      <c r="R1495" s="7"/>
    </row>
    <row r="1496" spans="3:18">
      <c r="C1496" s="7"/>
      <c r="D1496" s="7"/>
      <c r="E1496" s="7"/>
      <c r="F1496" s="7"/>
      <c r="G1496" s="7"/>
      <c r="H1496" s="7"/>
      <c r="I1496" s="7"/>
      <c r="J1496" s="7"/>
      <c r="K1496" s="7"/>
      <c r="L1496" s="27"/>
      <c r="N1496" s="8"/>
      <c r="O1496" s="7"/>
      <c r="P1496" s="7"/>
      <c r="Q1496" s="7"/>
      <c r="R1496" s="7"/>
    </row>
    <row r="1497" spans="3:18">
      <c r="C1497" s="7"/>
      <c r="D1497" s="7"/>
      <c r="E1497" s="7"/>
      <c r="F1497" s="7"/>
      <c r="G1497" s="7"/>
      <c r="H1497" s="7"/>
      <c r="I1497" s="7"/>
      <c r="J1497" s="7"/>
      <c r="K1497" s="7"/>
      <c r="L1497" s="27"/>
      <c r="N1497" s="8"/>
      <c r="O1497" s="7"/>
      <c r="P1497" s="7"/>
      <c r="Q1497" s="7"/>
      <c r="R1497" s="7"/>
    </row>
    <row r="1498" spans="3:18">
      <c r="C1498" s="7"/>
      <c r="D1498" s="7"/>
      <c r="E1498" s="7"/>
      <c r="F1498" s="7"/>
      <c r="G1498" s="7"/>
      <c r="H1498" s="7"/>
      <c r="I1498" s="7"/>
      <c r="J1498" s="7"/>
      <c r="K1498" s="7"/>
      <c r="L1498" s="27"/>
      <c r="N1498" s="8"/>
      <c r="O1498" s="7"/>
      <c r="P1498" s="7"/>
      <c r="Q1498" s="7"/>
      <c r="R1498" s="7"/>
    </row>
    <row r="1499" spans="3:18">
      <c r="C1499" s="7"/>
      <c r="D1499" s="7"/>
      <c r="E1499" s="7"/>
      <c r="F1499" s="7"/>
      <c r="G1499" s="7"/>
      <c r="H1499" s="7"/>
      <c r="I1499" s="7"/>
      <c r="J1499" s="7"/>
      <c r="K1499" s="7"/>
      <c r="L1499" s="27"/>
      <c r="N1499" s="8"/>
      <c r="O1499" s="7"/>
      <c r="P1499" s="7"/>
      <c r="Q1499" s="7"/>
      <c r="R1499" s="7"/>
    </row>
    <row r="1500" spans="3:18">
      <c r="C1500" s="7"/>
      <c r="D1500" s="7"/>
      <c r="E1500" s="7"/>
      <c r="F1500" s="7"/>
      <c r="G1500" s="7"/>
      <c r="H1500" s="7"/>
      <c r="I1500" s="7"/>
      <c r="J1500" s="7"/>
      <c r="K1500" s="7"/>
      <c r="L1500" s="27"/>
      <c r="N1500" s="8"/>
      <c r="O1500" s="7"/>
      <c r="P1500" s="7"/>
      <c r="Q1500" s="7"/>
      <c r="R1500" s="7"/>
    </row>
    <row r="1501" spans="3:18">
      <c r="C1501" s="7"/>
      <c r="D1501" s="7"/>
      <c r="E1501" s="7"/>
      <c r="F1501" s="7"/>
      <c r="G1501" s="7"/>
      <c r="H1501" s="7"/>
      <c r="I1501" s="7"/>
      <c r="J1501" s="7"/>
      <c r="K1501" s="7"/>
      <c r="L1501" s="27"/>
      <c r="N1501" s="8"/>
      <c r="O1501" s="7"/>
      <c r="P1501" s="7"/>
      <c r="Q1501" s="7"/>
      <c r="R1501" s="7"/>
    </row>
    <row r="1502" spans="3:18">
      <c r="C1502" s="7"/>
      <c r="D1502" s="7"/>
      <c r="E1502" s="7"/>
      <c r="F1502" s="7"/>
      <c r="G1502" s="7"/>
      <c r="H1502" s="7"/>
      <c r="I1502" s="7"/>
      <c r="J1502" s="7"/>
      <c r="K1502" s="7"/>
      <c r="L1502" s="27"/>
      <c r="N1502" s="8"/>
      <c r="O1502" s="7"/>
      <c r="P1502" s="7"/>
      <c r="Q1502" s="7"/>
      <c r="R1502" s="7"/>
    </row>
    <row r="1503" spans="3:18">
      <c r="C1503" s="7"/>
      <c r="D1503" s="7"/>
      <c r="E1503" s="7"/>
      <c r="F1503" s="7"/>
      <c r="G1503" s="7"/>
      <c r="H1503" s="7"/>
      <c r="I1503" s="7"/>
      <c r="J1503" s="7"/>
      <c r="K1503" s="7"/>
      <c r="L1503" s="27"/>
      <c r="N1503" s="8"/>
      <c r="O1503" s="7"/>
      <c r="P1503" s="7"/>
      <c r="Q1503" s="7"/>
      <c r="R1503" s="7"/>
    </row>
    <row r="1504" spans="3:18">
      <c r="C1504" s="7"/>
      <c r="D1504" s="7"/>
      <c r="E1504" s="7"/>
      <c r="F1504" s="7"/>
      <c r="G1504" s="7"/>
      <c r="H1504" s="7"/>
      <c r="I1504" s="7"/>
      <c r="J1504" s="7"/>
      <c r="K1504" s="7"/>
      <c r="L1504" s="27"/>
      <c r="N1504" s="8"/>
      <c r="O1504" s="7"/>
      <c r="P1504" s="7"/>
      <c r="Q1504" s="7"/>
      <c r="R1504" s="7"/>
    </row>
    <row r="1505" spans="3:18">
      <c r="C1505" s="7"/>
      <c r="D1505" s="7"/>
      <c r="E1505" s="7"/>
      <c r="F1505" s="7"/>
      <c r="G1505" s="7"/>
      <c r="H1505" s="7"/>
      <c r="I1505" s="7"/>
      <c r="J1505" s="7"/>
      <c r="K1505" s="7"/>
      <c r="L1505" s="27"/>
      <c r="N1505" s="8"/>
      <c r="O1505" s="7"/>
      <c r="P1505" s="7"/>
      <c r="Q1505" s="7"/>
      <c r="R1505" s="7"/>
    </row>
    <row r="1506" spans="3:18">
      <c r="C1506" s="7"/>
      <c r="D1506" s="7"/>
      <c r="E1506" s="7"/>
      <c r="F1506" s="7"/>
      <c r="G1506" s="7"/>
      <c r="H1506" s="7"/>
      <c r="I1506" s="7"/>
      <c r="J1506" s="7"/>
      <c r="K1506" s="7"/>
      <c r="L1506" s="27"/>
      <c r="N1506" s="8"/>
      <c r="O1506" s="7"/>
      <c r="P1506" s="7"/>
      <c r="Q1506" s="7"/>
      <c r="R1506" s="7"/>
    </row>
    <row r="1507" spans="3:18">
      <c r="C1507" s="7"/>
      <c r="D1507" s="7"/>
      <c r="E1507" s="7"/>
      <c r="F1507" s="7"/>
      <c r="G1507" s="7"/>
      <c r="H1507" s="7"/>
      <c r="I1507" s="7"/>
      <c r="J1507" s="7"/>
      <c r="K1507" s="7"/>
      <c r="L1507" s="27"/>
      <c r="N1507" s="8"/>
      <c r="O1507" s="7"/>
      <c r="P1507" s="7"/>
      <c r="Q1507" s="7"/>
      <c r="R1507" s="7"/>
    </row>
    <row r="1508" spans="3:18">
      <c r="C1508" s="7"/>
      <c r="D1508" s="7"/>
      <c r="E1508" s="7"/>
      <c r="F1508" s="7"/>
      <c r="G1508" s="7"/>
      <c r="H1508" s="7"/>
      <c r="I1508" s="7"/>
      <c r="J1508" s="7"/>
      <c r="K1508" s="7"/>
      <c r="L1508" s="27"/>
      <c r="N1508" s="8"/>
      <c r="O1508" s="7"/>
      <c r="P1508" s="7"/>
      <c r="Q1508" s="7"/>
      <c r="R1508" s="7"/>
    </row>
    <row r="1509" spans="3:18">
      <c r="C1509" s="7"/>
      <c r="D1509" s="7"/>
      <c r="E1509" s="7"/>
      <c r="F1509" s="7"/>
      <c r="G1509" s="7"/>
      <c r="H1509" s="7"/>
      <c r="I1509" s="7"/>
      <c r="J1509" s="7"/>
      <c r="K1509" s="7"/>
      <c r="L1509" s="27"/>
      <c r="N1509" s="8"/>
      <c r="O1509" s="7"/>
      <c r="P1509" s="7"/>
      <c r="Q1509" s="7"/>
      <c r="R1509" s="7"/>
    </row>
    <row r="1510" spans="3:18">
      <c r="C1510" s="7"/>
      <c r="D1510" s="7"/>
      <c r="E1510" s="7"/>
      <c r="F1510" s="7"/>
      <c r="G1510" s="7"/>
      <c r="H1510" s="7"/>
      <c r="I1510" s="7"/>
      <c r="J1510" s="7"/>
      <c r="K1510" s="7"/>
      <c r="L1510" s="27"/>
      <c r="N1510" s="8"/>
      <c r="O1510" s="7"/>
      <c r="P1510" s="7"/>
      <c r="Q1510" s="7"/>
      <c r="R1510" s="7"/>
    </row>
    <row r="1511" spans="3:18">
      <c r="C1511" s="7"/>
      <c r="D1511" s="7"/>
      <c r="E1511" s="7"/>
      <c r="F1511" s="7"/>
      <c r="G1511" s="7"/>
      <c r="H1511" s="7"/>
      <c r="I1511" s="7"/>
      <c r="J1511" s="7"/>
      <c r="K1511" s="7"/>
      <c r="L1511" s="27"/>
      <c r="N1511" s="8"/>
      <c r="O1511" s="7"/>
      <c r="P1511" s="7"/>
      <c r="Q1511" s="7"/>
      <c r="R1511" s="7"/>
    </row>
    <row r="1512" spans="3:18">
      <c r="C1512" s="7"/>
      <c r="D1512" s="7"/>
      <c r="E1512" s="7"/>
      <c r="F1512" s="7"/>
      <c r="G1512" s="7"/>
      <c r="H1512" s="7"/>
      <c r="I1512" s="7"/>
      <c r="J1512" s="7"/>
      <c r="K1512" s="7"/>
      <c r="L1512" s="27"/>
      <c r="N1512" s="8"/>
      <c r="O1512" s="7"/>
      <c r="P1512" s="7"/>
      <c r="Q1512" s="7"/>
      <c r="R1512" s="7"/>
    </row>
    <row r="1513" spans="3:18">
      <c r="C1513" s="7"/>
      <c r="D1513" s="7"/>
      <c r="E1513" s="7"/>
      <c r="F1513" s="7"/>
      <c r="G1513" s="7"/>
      <c r="H1513" s="7"/>
      <c r="I1513" s="7"/>
      <c r="J1513" s="7"/>
      <c r="K1513" s="7"/>
      <c r="L1513" s="27"/>
      <c r="N1513" s="8"/>
      <c r="O1513" s="7"/>
      <c r="P1513" s="7"/>
      <c r="Q1513" s="7"/>
      <c r="R1513" s="7"/>
    </row>
    <row r="1514" spans="3:18">
      <c r="C1514" s="7"/>
      <c r="D1514" s="7"/>
      <c r="E1514" s="7"/>
      <c r="F1514" s="7"/>
      <c r="G1514" s="7"/>
      <c r="H1514" s="7"/>
      <c r="I1514" s="7"/>
      <c r="J1514" s="7"/>
      <c r="K1514" s="7"/>
      <c r="L1514" s="27"/>
      <c r="N1514" s="8"/>
      <c r="O1514" s="7"/>
      <c r="P1514" s="7"/>
      <c r="Q1514" s="7"/>
      <c r="R1514" s="7"/>
    </row>
    <row r="1515" spans="3:18">
      <c r="C1515" s="7"/>
      <c r="D1515" s="7"/>
      <c r="E1515" s="7"/>
      <c r="F1515" s="7"/>
      <c r="G1515" s="7"/>
      <c r="H1515" s="7"/>
      <c r="I1515" s="7"/>
      <c r="J1515" s="7"/>
      <c r="K1515" s="7"/>
      <c r="L1515" s="27"/>
      <c r="N1515" s="8"/>
      <c r="O1515" s="7"/>
      <c r="P1515" s="7"/>
      <c r="Q1515" s="7"/>
      <c r="R1515" s="7"/>
    </row>
    <row r="1516" spans="3:18">
      <c r="C1516" s="7"/>
      <c r="D1516" s="7"/>
      <c r="E1516" s="7"/>
      <c r="F1516" s="7"/>
      <c r="G1516" s="7"/>
      <c r="H1516" s="7"/>
      <c r="I1516" s="7"/>
      <c r="J1516" s="7"/>
      <c r="K1516" s="7"/>
      <c r="L1516" s="27"/>
      <c r="N1516" s="8"/>
      <c r="O1516" s="7"/>
      <c r="P1516" s="7"/>
      <c r="Q1516" s="7"/>
      <c r="R1516" s="7"/>
    </row>
    <row r="1517" spans="3:18">
      <c r="C1517" s="7"/>
      <c r="D1517" s="7"/>
      <c r="E1517" s="7"/>
      <c r="F1517" s="7"/>
      <c r="G1517" s="7"/>
      <c r="H1517" s="7"/>
      <c r="I1517" s="7"/>
      <c r="J1517" s="7"/>
      <c r="K1517" s="7"/>
      <c r="L1517" s="27"/>
      <c r="N1517" s="8"/>
      <c r="O1517" s="7"/>
      <c r="P1517" s="7"/>
      <c r="Q1517" s="7"/>
      <c r="R1517" s="7"/>
    </row>
    <row r="1518" spans="3:18">
      <c r="C1518" s="7"/>
      <c r="D1518" s="7"/>
      <c r="E1518" s="7"/>
      <c r="F1518" s="7"/>
      <c r="G1518" s="7"/>
      <c r="H1518" s="7"/>
      <c r="I1518" s="7"/>
      <c r="J1518" s="7"/>
      <c r="K1518" s="7"/>
      <c r="L1518" s="27"/>
      <c r="N1518" s="8"/>
      <c r="O1518" s="7"/>
      <c r="P1518" s="7"/>
      <c r="Q1518" s="7"/>
      <c r="R1518" s="7"/>
    </row>
    <row r="1519" spans="3:18">
      <c r="C1519" s="7"/>
      <c r="D1519" s="7"/>
      <c r="E1519" s="7"/>
      <c r="F1519" s="7"/>
      <c r="G1519" s="7"/>
      <c r="H1519" s="7"/>
      <c r="I1519" s="7"/>
      <c r="J1519" s="7"/>
      <c r="K1519" s="7"/>
      <c r="L1519" s="27"/>
      <c r="N1519" s="8"/>
      <c r="O1519" s="7"/>
      <c r="P1519" s="7"/>
      <c r="Q1519" s="7"/>
      <c r="R1519" s="7"/>
    </row>
    <row r="1520" spans="3:18">
      <c r="C1520" s="7"/>
      <c r="D1520" s="7"/>
      <c r="E1520" s="7"/>
      <c r="F1520" s="7"/>
      <c r="G1520" s="7"/>
      <c r="H1520" s="7"/>
      <c r="I1520" s="7"/>
      <c r="J1520" s="7"/>
      <c r="K1520" s="7"/>
      <c r="L1520" s="27"/>
      <c r="N1520" s="8"/>
      <c r="O1520" s="7"/>
      <c r="P1520" s="7"/>
      <c r="Q1520" s="7"/>
      <c r="R1520" s="7"/>
    </row>
    <row r="1521" spans="3:18">
      <c r="C1521" s="7"/>
      <c r="D1521" s="7"/>
      <c r="E1521" s="7"/>
      <c r="F1521" s="7"/>
      <c r="G1521" s="7"/>
      <c r="H1521" s="7"/>
      <c r="I1521" s="7"/>
      <c r="J1521" s="7"/>
      <c r="K1521" s="7"/>
      <c r="L1521" s="27"/>
      <c r="N1521" s="8"/>
      <c r="O1521" s="7"/>
      <c r="P1521" s="7"/>
      <c r="Q1521" s="7"/>
      <c r="R1521" s="7"/>
    </row>
    <row r="1522" spans="3:18">
      <c r="C1522" s="7"/>
      <c r="D1522" s="7"/>
      <c r="E1522" s="7"/>
      <c r="F1522" s="7"/>
      <c r="G1522" s="7"/>
      <c r="H1522" s="7"/>
      <c r="I1522" s="7"/>
      <c r="J1522" s="7"/>
      <c r="K1522" s="7"/>
      <c r="L1522" s="27"/>
      <c r="N1522" s="8"/>
      <c r="O1522" s="7"/>
      <c r="P1522" s="7"/>
      <c r="Q1522" s="7"/>
      <c r="R1522" s="7"/>
    </row>
    <row r="1523" spans="3:18">
      <c r="C1523" s="7"/>
      <c r="D1523" s="7"/>
      <c r="E1523" s="7"/>
      <c r="F1523" s="7"/>
      <c r="G1523" s="7"/>
      <c r="H1523" s="7"/>
      <c r="I1523" s="7"/>
      <c r="J1523" s="7"/>
      <c r="K1523" s="7"/>
      <c r="L1523" s="27"/>
      <c r="N1523" s="8"/>
      <c r="O1523" s="7"/>
      <c r="P1523" s="7"/>
      <c r="Q1523" s="7"/>
      <c r="R1523" s="7"/>
    </row>
    <row r="1524" spans="3:18">
      <c r="C1524" s="7"/>
      <c r="D1524" s="7"/>
      <c r="E1524" s="7"/>
      <c r="F1524" s="7"/>
      <c r="G1524" s="7"/>
      <c r="H1524" s="7"/>
      <c r="I1524" s="7"/>
      <c r="J1524" s="7"/>
      <c r="K1524" s="7"/>
      <c r="L1524" s="27"/>
      <c r="N1524" s="8"/>
      <c r="O1524" s="7"/>
      <c r="P1524" s="7"/>
      <c r="Q1524" s="7"/>
      <c r="R1524" s="7"/>
    </row>
    <row r="1525" spans="3:18">
      <c r="C1525" s="7"/>
      <c r="D1525" s="7"/>
      <c r="E1525" s="7"/>
      <c r="F1525" s="7"/>
      <c r="G1525" s="7"/>
      <c r="H1525" s="7"/>
      <c r="I1525" s="7"/>
      <c r="J1525" s="7"/>
      <c r="K1525" s="7"/>
      <c r="L1525" s="27"/>
      <c r="N1525" s="8"/>
      <c r="O1525" s="7"/>
      <c r="P1525" s="7"/>
      <c r="Q1525" s="7"/>
      <c r="R1525" s="7"/>
    </row>
    <row r="1526" spans="3:18">
      <c r="C1526" s="7"/>
      <c r="D1526" s="7"/>
      <c r="E1526" s="7"/>
      <c r="F1526" s="7"/>
      <c r="G1526" s="7"/>
      <c r="H1526" s="7"/>
      <c r="I1526" s="7"/>
      <c r="J1526" s="7"/>
      <c r="K1526" s="7"/>
      <c r="L1526" s="27"/>
      <c r="N1526" s="8"/>
      <c r="O1526" s="7"/>
      <c r="P1526" s="7"/>
      <c r="Q1526" s="7"/>
      <c r="R1526" s="7"/>
    </row>
    <row r="1527" spans="3:18">
      <c r="C1527" s="7"/>
      <c r="D1527" s="7"/>
      <c r="E1527" s="7"/>
      <c r="F1527" s="7"/>
      <c r="G1527" s="7"/>
      <c r="H1527" s="7"/>
      <c r="I1527" s="7"/>
      <c r="J1527" s="7"/>
      <c r="K1527" s="7"/>
      <c r="L1527" s="27"/>
      <c r="N1527" s="8"/>
      <c r="O1527" s="7"/>
      <c r="P1527" s="7"/>
      <c r="Q1527" s="7"/>
      <c r="R1527" s="7"/>
    </row>
    <row r="1528" spans="3:18">
      <c r="C1528" s="7"/>
      <c r="D1528" s="7"/>
      <c r="E1528" s="7"/>
      <c r="F1528" s="7"/>
      <c r="G1528" s="7"/>
      <c r="H1528" s="7"/>
      <c r="I1528" s="7"/>
      <c r="J1528" s="7"/>
      <c r="K1528" s="7"/>
      <c r="L1528" s="27"/>
      <c r="N1528" s="8"/>
      <c r="O1528" s="7"/>
      <c r="P1528" s="7"/>
      <c r="Q1528" s="7"/>
      <c r="R1528" s="7"/>
    </row>
    <row r="1529" spans="3:18">
      <c r="C1529" s="7"/>
      <c r="D1529" s="7"/>
      <c r="E1529" s="7"/>
      <c r="F1529" s="7"/>
      <c r="G1529" s="7"/>
      <c r="H1529" s="7"/>
      <c r="I1529" s="7"/>
      <c r="J1529" s="7"/>
      <c r="K1529" s="7"/>
      <c r="L1529" s="27"/>
      <c r="N1529" s="8"/>
      <c r="O1529" s="7"/>
      <c r="P1529" s="7"/>
      <c r="Q1529" s="7"/>
      <c r="R1529" s="7"/>
    </row>
    <row r="1530" spans="3:18">
      <c r="C1530" s="7"/>
      <c r="D1530" s="7"/>
      <c r="E1530" s="7"/>
      <c r="F1530" s="7"/>
      <c r="G1530" s="7"/>
      <c r="H1530" s="7"/>
      <c r="I1530" s="7"/>
      <c r="J1530" s="7"/>
      <c r="K1530" s="7"/>
      <c r="L1530" s="27"/>
      <c r="N1530" s="8"/>
      <c r="O1530" s="7"/>
      <c r="P1530" s="7"/>
      <c r="Q1530" s="7"/>
      <c r="R1530" s="7"/>
    </row>
    <row r="1531" spans="3:18">
      <c r="C1531" s="7"/>
      <c r="D1531" s="7"/>
      <c r="E1531" s="7"/>
      <c r="F1531" s="7"/>
      <c r="G1531" s="7"/>
      <c r="H1531" s="7"/>
      <c r="I1531" s="7"/>
      <c r="J1531" s="7"/>
      <c r="K1531" s="7"/>
      <c r="L1531" s="27"/>
      <c r="N1531" s="8"/>
      <c r="O1531" s="7"/>
      <c r="P1531" s="7"/>
      <c r="Q1531" s="7"/>
      <c r="R1531" s="7"/>
    </row>
    <row r="1532" spans="3:18">
      <c r="C1532" s="7"/>
      <c r="D1532" s="7"/>
      <c r="E1532" s="7"/>
      <c r="F1532" s="7"/>
      <c r="G1532" s="7"/>
      <c r="H1532" s="7"/>
      <c r="I1532" s="7"/>
      <c r="J1532" s="7"/>
      <c r="K1532" s="7"/>
      <c r="L1532" s="27"/>
      <c r="N1532" s="8"/>
      <c r="O1532" s="7"/>
      <c r="P1532" s="7"/>
      <c r="Q1532" s="7"/>
      <c r="R1532" s="7"/>
    </row>
    <row r="1533" spans="3:18">
      <c r="C1533" s="7"/>
      <c r="D1533" s="7"/>
      <c r="E1533" s="7"/>
      <c r="F1533" s="7"/>
      <c r="G1533" s="7"/>
      <c r="H1533" s="7"/>
      <c r="I1533" s="7"/>
      <c r="J1533" s="7"/>
      <c r="K1533" s="7"/>
      <c r="L1533" s="27"/>
      <c r="N1533" s="8"/>
      <c r="O1533" s="7"/>
      <c r="P1533" s="7"/>
      <c r="Q1533" s="7"/>
      <c r="R1533" s="7"/>
    </row>
    <row r="1534" spans="3:18">
      <c r="C1534" s="7"/>
      <c r="D1534" s="7"/>
      <c r="E1534" s="7"/>
      <c r="F1534" s="7"/>
      <c r="G1534" s="7"/>
      <c r="H1534" s="7"/>
      <c r="I1534" s="7"/>
      <c r="J1534" s="7"/>
      <c r="K1534" s="7"/>
      <c r="L1534" s="27"/>
      <c r="N1534" s="8"/>
      <c r="O1534" s="7"/>
      <c r="P1534" s="7"/>
      <c r="Q1534" s="7"/>
      <c r="R1534" s="7"/>
    </row>
    <row r="1535" spans="3:18">
      <c r="C1535" s="7"/>
      <c r="D1535" s="7"/>
      <c r="E1535" s="7"/>
      <c r="F1535" s="7"/>
      <c r="G1535" s="7"/>
      <c r="H1535" s="7"/>
      <c r="I1535" s="7"/>
      <c r="J1535" s="7"/>
      <c r="K1535" s="7"/>
      <c r="L1535" s="27"/>
      <c r="N1535" s="8"/>
      <c r="O1535" s="7"/>
      <c r="P1535" s="7"/>
      <c r="Q1535" s="7"/>
      <c r="R1535" s="7"/>
    </row>
    <row r="1536" spans="3:18">
      <c r="C1536" s="7"/>
      <c r="D1536" s="7"/>
      <c r="E1536" s="7"/>
      <c r="F1536" s="7"/>
      <c r="G1536" s="7"/>
      <c r="H1536" s="7"/>
      <c r="I1536" s="7"/>
      <c r="J1536" s="7"/>
      <c r="K1536" s="7"/>
      <c r="L1536" s="27"/>
      <c r="N1536" s="8"/>
      <c r="O1536" s="7"/>
      <c r="P1536" s="7"/>
      <c r="Q1536" s="7"/>
      <c r="R1536" s="7"/>
    </row>
    <row r="1537" spans="3:18">
      <c r="C1537" s="7"/>
      <c r="D1537" s="7"/>
      <c r="E1537" s="7"/>
      <c r="F1537" s="7"/>
      <c r="G1537" s="7"/>
      <c r="H1537" s="7"/>
      <c r="I1537" s="7"/>
      <c r="J1537" s="7"/>
      <c r="K1537" s="7"/>
      <c r="L1537" s="27"/>
      <c r="N1537" s="8"/>
      <c r="O1537" s="7"/>
      <c r="P1537" s="7"/>
      <c r="Q1537" s="7"/>
      <c r="R1537" s="7"/>
    </row>
    <row r="1538" spans="3:18">
      <c r="C1538" s="7"/>
      <c r="D1538" s="7"/>
      <c r="E1538" s="7"/>
      <c r="F1538" s="7"/>
      <c r="G1538" s="7"/>
      <c r="H1538" s="7"/>
      <c r="I1538" s="7"/>
      <c r="J1538" s="7"/>
      <c r="K1538" s="7"/>
      <c r="L1538" s="27"/>
      <c r="N1538" s="8"/>
      <c r="O1538" s="7"/>
      <c r="P1538" s="7"/>
      <c r="Q1538" s="7"/>
      <c r="R1538" s="7"/>
    </row>
    <row r="1539" spans="3:18">
      <c r="C1539" s="7"/>
      <c r="D1539" s="7"/>
      <c r="E1539" s="7"/>
      <c r="F1539" s="7"/>
      <c r="G1539" s="7"/>
      <c r="H1539" s="7"/>
      <c r="I1539" s="7"/>
      <c r="J1539" s="7"/>
      <c r="K1539" s="7"/>
      <c r="L1539" s="27"/>
      <c r="N1539" s="8"/>
      <c r="O1539" s="7"/>
      <c r="P1539" s="7"/>
      <c r="Q1539" s="7"/>
      <c r="R1539" s="7"/>
    </row>
    <row r="1540" spans="3:18">
      <c r="C1540" s="7"/>
      <c r="D1540" s="7"/>
      <c r="E1540" s="7"/>
      <c r="F1540" s="7"/>
      <c r="G1540" s="7"/>
      <c r="H1540" s="7"/>
      <c r="I1540" s="7"/>
      <c r="J1540" s="7"/>
      <c r="K1540" s="7"/>
      <c r="L1540" s="27"/>
      <c r="N1540" s="8"/>
      <c r="O1540" s="7"/>
      <c r="P1540" s="7"/>
      <c r="Q1540" s="7"/>
      <c r="R1540" s="7"/>
    </row>
    <row r="1541" spans="3:18">
      <c r="C1541" s="7"/>
      <c r="D1541" s="7"/>
      <c r="E1541" s="7"/>
      <c r="F1541" s="7"/>
      <c r="G1541" s="7"/>
      <c r="H1541" s="7"/>
      <c r="I1541" s="7"/>
      <c r="J1541" s="7"/>
      <c r="K1541" s="7"/>
      <c r="L1541" s="27"/>
      <c r="N1541" s="8"/>
      <c r="O1541" s="7"/>
      <c r="P1541" s="7"/>
      <c r="Q1541" s="7"/>
      <c r="R1541" s="7"/>
    </row>
    <row r="1542" spans="3:18">
      <c r="C1542" s="7"/>
      <c r="D1542" s="7"/>
      <c r="E1542" s="7"/>
      <c r="F1542" s="7"/>
      <c r="G1542" s="7"/>
      <c r="H1542" s="7"/>
      <c r="I1542" s="7"/>
      <c r="J1542" s="7"/>
      <c r="K1542" s="7"/>
      <c r="L1542" s="27"/>
      <c r="N1542" s="8"/>
      <c r="O1542" s="7"/>
      <c r="P1542" s="7"/>
      <c r="Q1542" s="7"/>
      <c r="R1542" s="7"/>
    </row>
    <row r="1543" spans="3:18">
      <c r="C1543" s="7"/>
      <c r="D1543" s="7"/>
      <c r="E1543" s="7"/>
      <c r="F1543" s="7"/>
      <c r="G1543" s="7"/>
      <c r="H1543" s="7"/>
      <c r="I1543" s="7"/>
      <c r="J1543" s="7"/>
      <c r="K1543" s="7"/>
      <c r="L1543" s="27"/>
      <c r="N1543" s="8"/>
      <c r="O1543" s="7"/>
      <c r="P1543" s="7"/>
      <c r="Q1543" s="7"/>
      <c r="R1543" s="7"/>
    </row>
    <row r="1544" spans="3:18">
      <c r="C1544" s="7"/>
      <c r="D1544" s="7"/>
      <c r="E1544" s="7"/>
      <c r="F1544" s="7"/>
      <c r="G1544" s="7"/>
      <c r="H1544" s="7"/>
      <c r="I1544" s="7"/>
      <c r="J1544" s="7"/>
      <c r="K1544" s="7"/>
      <c r="L1544" s="27"/>
      <c r="N1544" s="8"/>
      <c r="O1544" s="7"/>
      <c r="P1544" s="7"/>
      <c r="Q1544" s="7"/>
      <c r="R1544" s="7"/>
    </row>
    <row r="1545" spans="3:18">
      <c r="C1545" s="7"/>
      <c r="D1545" s="7"/>
      <c r="E1545" s="7"/>
      <c r="F1545" s="7"/>
      <c r="G1545" s="7"/>
      <c r="H1545" s="7"/>
      <c r="I1545" s="7"/>
      <c r="J1545" s="7"/>
      <c r="K1545" s="7"/>
      <c r="L1545" s="27"/>
      <c r="N1545" s="8"/>
      <c r="O1545" s="7"/>
      <c r="P1545" s="7"/>
      <c r="Q1545" s="7"/>
      <c r="R1545" s="7"/>
    </row>
    <row r="1546" spans="3:18">
      <c r="C1546" s="7"/>
      <c r="D1546" s="7"/>
      <c r="E1546" s="7"/>
      <c r="F1546" s="7"/>
      <c r="G1546" s="7"/>
      <c r="H1546" s="7"/>
      <c r="I1546" s="7"/>
      <c r="J1546" s="7"/>
      <c r="K1546" s="7"/>
      <c r="L1546" s="27"/>
      <c r="N1546" s="8"/>
      <c r="O1546" s="7"/>
      <c r="P1546" s="7"/>
      <c r="Q1546" s="7"/>
      <c r="R1546" s="7"/>
    </row>
    <row r="1547" spans="3:18">
      <c r="C1547" s="7"/>
      <c r="D1547" s="7"/>
      <c r="E1547" s="7"/>
      <c r="F1547" s="7"/>
      <c r="G1547" s="7"/>
      <c r="H1547" s="7"/>
      <c r="I1547" s="7"/>
      <c r="J1547" s="7"/>
      <c r="K1547" s="7"/>
      <c r="L1547" s="27"/>
      <c r="N1547" s="8"/>
      <c r="O1547" s="7"/>
      <c r="P1547" s="7"/>
      <c r="Q1547" s="7"/>
      <c r="R1547" s="7"/>
    </row>
    <row r="1548" spans="3:18">
      <c r="C1548" s="7"/>
      <c r="D1548" s="7"/>
      <c r="E1548" s="7"/>
      <c r="F1548" s="7"/>
      <c r="G1548" s="7"/>
      <c r="H1548" s="7"/>
      <c r="I1548" s="7"/>
      <c r="J1548" s="7"/>
      <c r="K1548" s="7"/>
      <c r="L1548" s="27"/>
      <c r="N1548" s="8"/>
      <c r="O1548" s="7"/>
      <c r="P1548" s="7"/>
      <c r="Q1548" s="7"/>
      <c r="R1548" s="7"/>
    </row>
    <row r="1549" spans="3:18">
      <c r="C1549" s="7"/>
      <c r="D1549" s="7"/>
      <c r="E1549" s="7"/>
      <c r="F1549" s="7"/>
      <c r="G1549" s="7"/>
      <c r="H1549" s="7"/>
      <c r="I1549" s="7"/>
      <c r="J1549" s="7"/>
      <c r="K1549" s="7"/>
      <c r="L1549" s="27"/>
      <c r="N1549" s="8"/>
      <c r="O1549" s="7"/>
      <c r="P1549" s="7"/>
      <c r="Q1549" s="7"/>
      <c r="R1549" s="7"/>
    </row>
    <row r="1550" spans="3:18">
      <c r="C1550" s="7"/>
      <c r="D1550" s="7"/>
      <c r="E1550" s="7"/>
      <c r="F1550" s="7"/>
      <c r="G1550" s="7"/>
      <c r="H1550" s="7"/>
      <c r="I1550" s="7"/>
      <c r="J1550" s="7"/>
      <c r="K1550" s="7"/>
      <c r="L1550" s="27"/>
      <c r="N1550" s="8"/>
      <c r="O1550" s="7"/>
      <c r="P1550" s="7"/>
      <c r="Q1550" s="7"/>
      <c r="R1550" s="7"/>
    </row>
    <row r="1551" spans="3:18">
      <c r="C1551" s="7"/>
      <c r="D1551" s="7"/>
      <c r="E1551" s="7"/>
      <c r="F1551" s="7"/>
      <c r="G1551" s="7"/>
      <c r="H1551" s="7"/>
      <c r="I1551" s="7"/>
      <c r="J1551" s="7"/>
      <c r="K1551" s="7"/>
      <c r="L1551" s="27"/>
      <c r="N1551" s="8"/>
      <c r="O1551" s="7"/>
      <c r="P1551" s="7"/>
      <c r="Q1551" s="7"/>
      <c r="R1551" s="7"/>
    </row>
    <row r="1552" spans="3:18">
      <c r="C1552" s="7"/>
      <c r="D1552" s="7"/>
      <c r="E1552" s="7"/>
      <c r="F1552" s="7"/>
      <c r="G1552" s="7"/>
      <c r="H1552" s="7"/>
      <c r="I1552" s="7"/>
      <c r="J1552" s="7"/>
      <c r="K1552" s="7"/>
      <c r="L1552" s="27"/>
      <c r="N1552" s="8"/>
      <c r="O1552" s="7"/>
      <c r="P1552" s="7"/>
      <c r="Q1552" s="7"/>
      <c r="R1552" s="7"/>
    </row>
    <row r="1553" spans="3:18">
      <c r="C1553" s="7"/>
      <c r="D1553" s="7"/>
      <c r="E1553" s="7"/>
      <c r="F1553" s="7"/>
      <c r="G1553" s="7"/>
      <c r="H1553" s="7"/>
      <c r="I1553" s="7"/>
      <c r="J1553" s="7"/>
      <c r="K1553" s="7"/>
      <c r="L1553" s="27"/>
      <c r="N1553" s="8"/>
      <c r="O1553" s="7"/>
      <c r="P1553" s="7"/>
      <c r="Q1553" s="7"/>
      <c r="R1553" s="7"/>
    </row>
    <row r="1554" spans="3:18">
      <c r="C1554" s="7"/>
      <c r="D1554" s="7"/>
      <c r="E1554" s="7"/>
      <c r="F1554" s="7"/>
      <c r="G1554" s="7"/>
      <c r="H1554" s="7"/>
      <c r="I1554" s="7"/>
      <c r="J1554" s="7"/>
      <c r="K1554" s="7"/>
      <c r="L1554" s="27"/>
      <c r="N1554" s="8"/>
      <c r="O1554" s="7"/>
      <c r="P1554" s="7"/>
      <c r="Q1554" s="7"/>
      <c r="R1554" s="7"/>
    </row>
    <row r="1555" spans="3:18">
      <c r="C1555" s="7"/>
      <c r="D1555" s="7"/>
      <c r="E1555" s="7"/>
      <c r="F1555" s="7"/>
      <c r="G1555" s="7"/>
      <c r="H1555" s="7"/>
      <c r="I1555" s="7"/>
      <c r="J1555" s="7"/>
      <c r="K1555" s="7"/>
      <c r="L1555" s="27"/>
      <c r="N1555" s="8"/>
      <c r="O1555" s="7"/>
      <c r="P1555" s="7"/>
      <c r="Q1555" s="7"/>
      <c r="R1555" s="7"/>
    </row>
    <row r="1556" spans="3:18">
      <c r="C1556" s="7"/>
      <c r="D1556" s="7"/>
      <c r="E1556" s="7"/>
      <c r="F1556" s="7"/>
      <c r="G1556" s="7"/>
      <c r="H1556" s="7"/>
      <c r="I1556" s="7"/>
      <c r="J1556" s="7"/>
      <c r="K1556" s="7"/>
      <c r="L1556" s="27"/>
      <c r="N1556" s="8"/>
      <c r="O1556" s="7"/>
      <c r="P1556" s="7"/>
      <c r="Q1556" s="7"/>
      <c r="R1556" s="7"/>
    </row>
    <row r="1557" spans="3:18">
      <c r="C1557" s="7"/>
      <c r="D1557" s="7"/>
      <c r="E1557" s="7"/>
      <c r="F1557" s="7"/>
      <c r="G1557" s="7"/>
      <c r="H1557" s="7"/>
      <c r="I1557" s="7"/>
      <c r="J1557" s="7"/>
      <c r="K1557" s="7"/>
      <c r="L1557" s="27"/>
      <c r="N1557" s="8"/>
      <c r="O1557" s="7"/>
      <c r="P1557" s="7"/>
      <c r="Q1557" s="7"/>
      <c r="R1557" s="7"/>
    </row>
    <row r="1558" spans="3:18">
      <c r="C1558" s="7"/>
      <c r="D1558" s="7"/>
      <c r="E1558" s="7"/>
      <c r="F1558" s="7"/>
      <c r="G1558" s="7"/>
      <c r="H1558" s="7"/>
      <c r="I1558" s="7"/>
      <c r="J1558" s="7"/>
      <c r="K1558" s="7"/>
      <c r="L1558" s="27"/>
      <c r="N1558" s="8"/>
      <c r="O1558" s="7"/>
      <c r="P1558" s="7"/>
      <c r="Q1558" s="7"/>
      <c r="R1558" s="7"/>
    </row>
    <row r="1559" spans="3:18">
      <c r="C1559" s="7"/>
      <c r="D1559" s="7"/>
      <c r="E1559" s="7"/>
      <c r="F1559" s="7"/>
      <c r="G1559" s="7"/>
      <c r="H1559" s="7"/>
      <c r="I1559" s="7"/>
      <c r="J1559" s="7"/>
      <c r="K1559" s="7"/>
      <c r="L1559" s="27"/>
      <c r="N1559" s="8"/>
      <c r="O1559" s="7"/>
      <c r="P1559" s="7"/>
      <c r="Q1559" s="7"/>
      <c r="R1559" s="7"/>
    </row>
    <row r="1560" spans="3:18">
      <c r="C1560" s="7"/>
      <c r="D1560" s="7"/>
      <c r="E1560" s="7"/>
      <c r="F1560" s="7"/>
      <c r="G1560" s="7"/>
      <c r="H1560" s="7"/>
      <c r="I1560" s="7"/>
      <c r="J1560" s="7"/>
      <c r="K1560" s="7"/>
      <c r="L1560" s="27"/>
      <c r="N1560" s="8"/>
      <c r="O1560" s="7"/>
      <c r="P1560" s="7"/>
      <c r="Q1560" s="7"/>
      <c r="R1560" s="7"/>
    </row>
    <row r="1561" spans="3:18">
      <c r="C1561" s="7"/>
      <c r="D1561" s="7"/>
      <c r="E1561" s="7"/>
      <c r="F1561" s="7"/>
      <c r="G1561" s="7"/>
      <c r="H1561" s="7"/>
      <c r="I1561" s="7"/>
      <c r="J1561" s="7"/>
      <c r="K1561" s="7"/>
      <c r="L1561" s="27"/>
      <c r="N1561" s="8"/>
      <c r="O1561" s="7"/>
      <c r="P1561" s="7"/>
      <c r="Q1561" s="7"/>
      <c r="R1561" s="7"/>
    </row>
    <row r="1562" spans="3:18">
      <c r="C1562" s="7"/>
      <c r="D1562" s="7"/>
      <c r="E1562" s="7"/>
      <c r="F1562" s="7"/>
      <c r="G1562" s="7"/>
      <c r="H1562" s="7"/>
      <c r="I1562" s="7"/>
      <c r="J1562" s="7"/>
      <c r="K1562" s="7"/>
      <c r="L1562" s="27"/>
      <c r="N1562" s="8"/>
      <c r="O1562" s="7"/>
      <c r="P1562" s="7"/>
      <c r="Q1562" s="7"/>
      <c r="R1562" s="7"/>
    </row>
    <row r="1563" spans="3:18">
      <c r="C1563" s="7"/>
      <c r="D1563" s="7"/>
      <c r="E1563" s="7"/>
      <c r="F1563" s="7"/>
      <c r="G1563" s="7"/>
      <c r="H1563" s="7"/>
      <c r="I1563" s="7"/>
      <c r="J1563" s="7"/>
      <c r="K1563" s="7"/>
      <c r="L1563" s="27"/>
      <c r="N1563" s="8"/>
      <c r="O1563" s="7"/>
      <c r="P1563" s="7"/>
      <c r="Q1563" s="7"/>
      <c r="R1563" s="7"/>
    </row>
    <row r="1564" spans="3:18">
      <c r="C1564" s="7"/>
      <c r="D1564" s="7"/>
      <c r="E1564" s="7"/>
      <c r="F1564" s="7"/>
      <c r="G1564" s="7"/>
      <c r="H1564" s="7"/>
      <c r="I1564" s="7"/>
      <c r="J1564" s="7"/>
      <c r="K1564" s="7"/>
      <c r="L1564" s="27"/>
      <c r="N1564" s="8"/>
      <c r="O1564" s="7"/>
      <c r="P1564" s="7"/>
      <c r="Q1564" s="7"/>
      <c r="R1564" s="7"/>
    </row>
    <row r="1565" spans="3:18">
      <c r="C1565" s="7"/>
      <c r="D1565" s="7"/>
      <c r="E1565" s="7"/>
      <c r="F1565" s="7"/>
      <c r="G1565" s="7"/>
      <c r="H1565" s="7"/>
      <c r="I1565" s="7"/>
      <c r="J1565" s="7"/>
      <c r="K1565" s="7"/>
      <c r="L1565" s="27"/>
      <c r="N1565" s="8"/>
      <c r="O1565" s="7"/>
      <c r="P1565" s="7"/>
      <c r="Q1565" s="7"/>
      <c r="R1565" s="7"/>
    </row>
    <row r="1566" spans="3:18">
      <c r="C1566" s="7"/>
      <c r="D1566" s="7"/>
      <c r="E1566" s="7"/>
      <c r="F1566" s="7"/>
      <c r="G1566" s="7"/>
      <c r="H1566" s="7"/>
      <c r="I1566" s="7"/>
      <c r="J1566" s="7"/>
      <c r="K1566" s="7"/>
      <c r="L1566" s="27"/>
      <c r="N1566" s="8"/>
      <c r="O1566" s="7"/>
      <c r="P1566" s="7"/>
      <c r="Q1566" s="7"/>
      <c r="R1566" s="7"/>
    </row>
    <row r="1567" spans="3:18">
      <c r="C1567" s="7"/>
      <c r="D1567" s="7"/>
      <c r="E1567" s="7"/>
      <c r="F1567" s="7"/>
      <c r="G1567" s="7"/>
      <c r="H1567" s="7"/>
      <c r="I1567" s="7"/>
      <c r="J1567" s="7"/>
      <c r="K1567" s="7"/>
      <c r="L1567" s="27"/>
      <c r="N1567" s="8"/>
      <c r="O1567" s="7"/>
      <c r="P1567" s="7"/>
      <c r="Q1567" s="7"/>
      <c r="R1567" s="7"/>
    </row>
    <row r="1568" spans="3:18">
      <c r="C1568" s="7"/>
      <c r="D1568" s="7"/>
      <c r="E1568" s="7"/>
      <c r="F1568" s="7"/>
      <c r="G1568" s="7"/>
      <c r="H1568" s="7"/>
      <c r="I1568" s="7"/>
      <c r="J1568" s="7"/>
      <c r="K1568" s="7"/>
      <c r="L1568" s="27"/>
      <c r="N1568" s="8"/>
      <c r="O1568" s="7"/>
      <c r="P1568" s="7"/>
      <c r="Q1568" s="7"/>
      <c r="R1568" s="7"/>
    </row>
    <row r="1569" spans="3:18">
      <c r="C1569" s="7"/>
      <c r="D1569" s="7"/>
      <c r="E1569" s="7"/>
      <c r="F1569" s="7"/>
      <c r="G1569" s="7"/>
      <c r="H1569" s="7"/>
      <c r="I1569" s="7"/>
      <c r="J1569" s="7"/>
      <c r="K1569" s="7"/>
      <c r="L1569" s="27"/>
      <c r="N1569" s="8"/>
      <c r="O1569" s="7"/>
      <c r="P1569" s="7"/>
      <c r="Q1569" s="7"/>
      <c r="R1569" s="7"/>
    </row>
    <row r="1570" spans="3:18">
      <c r="C1570" s="7"/>
      <c r="D1570" s="7"/>
      <c r="E1570" s="7"/>
      <c r="F1570" s="7"/>
      <c r="G1570" s="7"/>
      <c r="H1570" s="7"/>
      <c r="I1570" s="7"/>
      <c r="J1570" s="7"/>
      <c r="K1570" s="7"/>
      <c r="L1570" s="27"/>
      <c r="N1570" s="8"/>
      <c r="O1570" s="7"/>
      <c r="P1570" s="7"/>
      <c r="Q1570" s="7"/>
      <c r="R1570" s="7"/>
    </row>
    <row r="1571" spans="3:18">
      <c r="C1571" s="7"/>
      <c r="D1571" s="7"/>
      <c r="E1571" s="7"/>
      <c r="F1571" s="7"/>
      <c r="G1571" s="7"/>
      <c r="H1571" s="7"/>
      <c r="I1571" s="7"/>
      <c r="J1571" s="7"/>
      <c r="K1571" s="7"/>
      <c r="L1571" s="27"/>
      <c r="N1571" s="8"/>
      <c r="O1571" s="7"/>
      <c r="P1571" s="7"/>
      <c r="Q1571" s="7"/>
      <c r="R1571" s="7"/>
    </row>
    <row r="1572" spans="3:18">
      <c r="C1572" s="7"/>
      <c r="D1572" s="7"/>
      <c r="E1572" s="7"/>
      <c r="F1572" s="7"/>
      <c r="G1572" s="7"/>
      <c r="H1572" s="7"/>
      <c r="I1572" s="7"/>
      <c r="J1572" s="7"/>
      <c r="K1572" s="7"/>
      <c r="L1572" s="27"/>
      <c r="N1572" s="8"/>
      <c r="O1572" s="7"/>
      <c r="P1572" s="7"/>
      <c r="Q1572" s="7"/>
      <c r="R1572" s="7"/>
    </row>
    <row r="1573" spans="3:18">
      <c r="C1573" s="7"/>
      <c r="D1573" s="7"/>
      <c r="E1573" s="7"/>
      <c r="F1573" s="7"/>
      <c r="G1573" s="7"/>
      <c r="H1573" s="7"/>
      <c r="I1573" s="7"/>
      <c r="J1573" s="7"/>
      <c r="K1573" s="7"/>
      <c r="L1573" s="27"/>
      <c r="N1573" s="8"/>
      <c r="O1573" s="7"/>
      <c r="P1573" s="7"/>
      <c r="Q1573" s="7"/>
      <c r="R1573" s="7"/>
    </row>
    <row r="1574" spans="3:18">
      <c r="C1574" s="7"/>
      <c r="D1574" s="7"/>
      <c r="E1574" s="7"/>
      <c r="F1574" s="7"/>
      <c r="G1574" s="7"/>
      <c r="H1574" s="7"/>
      <c r="I1574" s="7"/>
      <c r="J1574" s="7"/>
      <c r="K1574" s="7"/>
      <c r="L1574" s="27"/>
      <c r="N1574" s="8"/>
      <c r="O1574" s="7"/>
      <c r="P1574" s="7"/>
      <c r="Q1574" s="7"/>
      <c r="R1574" s="7"/>
    </row>
    <row r="1575" spans="3:18">
      <c r="C1575" s="7"/>
      <c r="D1575" s="7"/>
      <c r="E1575" s="7"/>
      <c r="F1575" s="7"/>
      <c r="G1575" s="7"/>
      <c r="H1575" s="7"/>
      <c r="I1575" s="7"/>
      <c r="J1575" s="7"/>
      <c r="K1575" s="7"/>
      <c r="L1575" s="27"/>
      <c r="N1575" s="8"/>
      <c r="O1575" s="7"/>
      <c r="P1575" s="7"/>
      <c r="Q1575" s="7"/>
      <c r="R1575" s="7"/>
    </row>
    <row r="1576" spans="3:18">
      <c r="C1576" s="7"/>
      <c r="D1576" s="7"/>
      <c r="E1576" s="7"/>
      <c r="F1576" s="7"/>
      <c r="G1576" s="7"/>
      <c r="H1576" s="7"/>
      <c r="I1576" s="7"/>
      <c r="J1576" s="7"/>
      <c r="K1576" s="7"/>
      <c r="L1576" s="27"/>
      <c r="N1576" s="8"/>
      <c r="O1576" s="7"/>
      <c r="P1576" s="7"/>
      <c r="Q1576" s="7"/>
      <c r="R1576" s="7"/>
    </row>
    <row r="1577" spans="3:18">
      <c r="C1577" s="7"/>
      <c r="D1577" s="7"/>
      <c r="E1577" s="7"/>
      <c r="F1577" s="7"/>
      <c r="G1577" s="7"/>
      <c r="H1577" s="7"/>
      <c r="I1577" s="7"/>
      <c r="J1577" s="7"/>
      <c r="K1577" s="7"/>
      <c r="L1577" s="27"/>
      <c r="N1577" s="8"/>
      <c r="O1577" s="7"/>
      <c r="P1577" s="7"/>
      <c r="Q1577" s="7"/>
      <c r="R1577" s="7"/>
    </row>
    <row r="1578" spans="3:18">
      <c r="C1578" s="7"/>
      <c r="D1578" s="7"/>
      <c r="E1578" s="7"/>
      <c r="F1578" s="7"/>
      <c r="G1578" s="7"/>
      <c r="H1578" s="7"/>
      <c r="I1578" s="7"/>
      <c r="J1578" s="7"/>
      <c r="K1578" s="7"/>
      <c r="L1578" s="27"/>
      <c r="N1578" s="8"/>
      <c r="O1578" s="7"/>
      <c r="P1578" s="7"/>
      <c r="Q1578" s="7"/>
      <c r="R1578" s="7"/>
    </row>
    <row r="1579" spans="3:18">
      <c r="C1579" s="7"/>
      <c r="D1579" s="7"/>
      <c r="E1579" s="7"/>
      <c r="F1579" s="7"/>
      <c r="G1579" s="7"/>
      <c r="H1579" s="7"/>
      <c r="I1579" s="7"/>
      <c r="J1579" s="7"/>
      <c r="K1579" s="7"/>
      <c r="L1579" s="27"/>
      <c r="N1579" s="8"/>
      <c r="O1579" s="7"/>
      <c r="P1579" s="7"/>
      <c r="Q1579" s="7"/>
      <c r="R1579" s="7"/>
    </row>
    <row r="1580" spans="3:18">
      <c r="C1580" s="7"/>
      <c r="D1580" s="7"/>
      <c r="E1580" s="7"/>
      <c r="F1580" s="7"/>
      <c r="G1580" s="7"/>
      <c r="H1580" s="7"/>
      <c r="I1580" s="7"/>
      <c r="J1580" s="7"/>
      <c r="K1580" s="7"/>
      <c r="L1580" s="27"/>
      <c r="N1580" s="8"/>
      <c r="O1580" s="7"/>
      <c r="P1580" s="7"/>
      <c r="Q1580" s="7"/>
      <c r="R1580" s="7"/>
    </row>
    <row r="1581" spans="3:18">
      <c r="C1581" s="7"/>
      <c r="D1581" s="7"/>
      <c r="E1581" s="7"/>
      <c r="F1581" s="7"/>
      <c r="G1581" s="7"/>
      <c r="H1581" s="7"/>
      <c r="I1581" s="7"/>
      <c r="J1581" s="7"/>
      <c r="K1581" s="7"/>
      <c r="L1581" s="27"/>
      <c r="N1581" s="8"/>
      <c r="O1581" s="7"/>
      <c r="P1581" s="7"/>
      <c r="Q1581" s="7"/>
      <c r="R1581" s="7"/>
    </row>
    <row r="1582" spans="3:18">
      <c r="C1582" s="7"/>
      <c r="D1582" s="7"/>
      <c r="E1582" s="7"/>
      <c r="F1582" s="7"/>
      <c r="G1582" s="7"/>
      <c r="H1582" s="7"/>
      <c r="I1582" s="7"/>
      <c r="J1582" s="7"/>
      <c r="K1582" s="7"/>
      <c r="L1582" s="27"/>
      <c r="N1582" s="8"/>
      <c r="O1582" s="7"/>
      <c r="P1582" s="7"/>
      <c r="Q1582" s="7"/>
      <c r="R1582" s="7"/>
    </row>
    <row r="1583" spans="3:18">
      <c r="C1583" s="7"/>
      <c r="D1583" s="7"/>
      <c r="E1583" s="7"/>
      <c r="F1583" s="7"/>
      <c r="G1583" s="7"/>
      <c r="H1583" s="7"/>
      <c r="I1583" s="7"/>
      <c r="J1583" s="7"/>
      <c r="K1583" s="7"/>
      <c r="L1583" s="27"/>
      <c r="N1583" s="8"/>
      <c r="O1583" s="7"/>
      <c r="P1583" s="7"/>
      <c r="Q1583" s="7"/>
      <c r="R1583" s="7"/>
    </row>
    <row r="1584" spans="3:18">
      <c r="C1584" s="7"/>
      <c r="D1584" s="7"/>
      <c r="E1584" s="7"/>
      <c r="F1584" s="7"/>
      <c r="G1584" s="7"/>
      <c r="H1584" s="7"/>
      <c r="I1584" s="7"/>
      <c r="J1584" s="7"/>
      <c r="K1584" s="7"/>
      <c r="L1584" s="27"/>
      <c r="N1584" s="8"/>
      <c r="O1584" s="7"/>
      <c r="P1584" s="7"/>
      <c r="Q1584" s="7"/>
      <c r="R1584" s="7"/>
    </row>
    <row r="1585" spans="3:18">
      <c r="C1585" s="7"/>
      <c r="D1585" s="7"/>
      <c r="E1585" s="7"/>
      <c r="F1585" s="7"/>
      <c r="G1585" s="7"/>
      <c r="H1585" s="7"/>
      <c r="I1585" s="7"/>
      <c r="J1585" s="7"/>
      <c r="K1585" s="7"/>
      <c r="L1585" s="27"/>
      <c r="N1585" s="8"/>
      <c r="O1585" s="7"/>
      <c r="P1585" s="7"/>
      <c r="Q1585" s="7"/>
      <c r="R1585" s="7"/>
    </row>
    <row r="1586" spans="3:18">
      <c r="C1586" s="7"/>
      <c r="D1586" s="7"/>
      <c r="E1586" s="7"/>
      <c r="F1586" s="7"/>
      <c r="G1586" s="7"/>
      <c r="H1586" s="7"/>
      <c r="I1586" s="7"/>
      <c r="J1586" s="7"/>
      <c r="K1586" s="7"/>
      <c r="L1586" s="27"/>
      <c r="N1586" s="8"/>
      <c r="O1586" s="7"/>
      <c r="P1586" s="7"/>
      <c r="Q1586" s="7"/>
      <c r="R1586" s="7"/>
    </row>
    <row r="1587" spans="3:18">
      <c r="C1587" s="7"/>
      <c r="D1587" s="7"/>
      <c r="E1587" s="7"/>
      <c r="F1587" s="7"/>
      <c r="G1587" s="7"/>
      <c r="H1587" s="7"/>
      <c r="I1587" s="7"/>
      <c r="J1587" s="7"/>
      <c r="K1587" s="7"/>
      <c r="L1587" s="27"/>
      <c r="N1587" s="8"/>
      <c r="O1587" s="7"/>
      <c r="P1587" s="7"/>
      <c r="Q1587" s="7"/>
      <c r="R1587" s="7"/>
    </row>
    <row r="1588" spans="3:18">
      <c r="C1588" s="7"/>
      <c r="D1588" s="7"/>
      <c r="E1588" s="7"/>
      <c r="F1588" s="7"/>
      <c r="G1588" s="7"/>
      <c r="H1588" s="7"/>
      <c r="I1588" s="7"/>
      <c r="J1588" s="7"/>
      <c r="K1588" s="7"/>
      <c r="L1588" s="27"/>
      <c r="N1588" s="8"/>
      <c r="O1588" s="7"/>
      <c r="P1588" s="7"/>
      <c r="Q1588" s="7"/>
      <c r="R1588" s="7"/>
    </row>
    <row r="1589" spans="3:18">
      <c r="C1589" s="7"/>
      <c r="D1589" s="7"/>
      <c r="E1589" s="7"/>
      <c r="F1589" s="7"/>
      <c r="G1589" s="7"/>
      <c r="H1589" s="7"/>
      <c r="I1589" s="7"/>
      <c r="J1589" s="7"/>
      <c r="K1589" s="7"/>
      <c r="L1589" s="27"/>
      <c r="N1589" s="8"/>
      <c r="O1589" s="7"/>
      <c r="P1589" s="7"/>
      <c r="Q1589" s="7"/>
      <c r="R1589" s="7"/>
    </row>
    <row r="1590" spans="3:18">
      <c r="C1590" s="7"/>
      <c r="D1590" s="7"/>
      <c r="E1590" s="7"/>
      <c r="F1590" s="7"/>
      <c r="G1590" s="7"/>
      <c r="H1590" s="7"/>
      <c r="I1590" s="7"/>
      <c r="J1590" s="7"/>
      <c r="K1590" s="7"/>
      <c r="L1590" s="27"/>
      <c r="N1590" s="8"/>
      <c r="O1590" s="7"/>
      <c r="P1590" s="7"/>
      <c r="Q1590" s="7"/>
      <c r="R1590" s="7"/>
    </row>
    <row r="1591" spans="3:18">
      <c r="C1591" s="7"/>
      <c r="D1591" s="7"/>
      <c r="E1591" s="7"/>
      <c r="F1591" s="7"/>
      <c r="G1591" s="7"/>
      <c r="H1591" s="7"/>
      <c r="I1591" s="7"/>
      <c r="J1591" s="7"/>
      <c r="K1591" s="7"/>
      <c r="L1591" s="27"/>
      <c r="N1591" s="8"/>
      <c r="O1591" s="7"/>
      <c r="P1591" s="7"/>
      <c r="Q1591" s="7"/>
      <c r="R1591" s="7"/>
    </row>
    <row r="1592" spans="3:18">
      <c r="C1592" s="7"/>
      <c r="D1592" s="7"/>
      <c r="E1592" s="7"/>
      <c r="F1592" s="7"/>
      <c r="G1592" s="7"/>
      <c r="H1592" s="7"/>
      <c r="I1592" s="7"/>
      <c r="J1592" s="7"/>
      <c r="K1592" s="7"/>
      <c r="L1592" s="27"/>
      <c r="N1592" s="8"/>
      <c r="O1592" s="7"/>
      <c r="P1592" s="7"/>
      <c r="Q1592" s="7"/>
      <c r="R1592" s="7"/>
    </row>
    <row r="1593" spans="3:18">
      <c r="C1593" s="7"/>
      <c r="D1593" s="7"/>
      <c r="E1593" s="7"/>
      <c r="F1593" s="7"/>
      <c r="G1593" s="7"/>
      <c r="H1593" s="7"/>
      <c r="I1593" s="7"/>
      <c r="J1593" s="7"/>
      <c r="K1593" s="7"/>
      <c r="L1593" s="27"/>
      <c r="N1593" s="8"/>
      <c r="O1593" s="7"/>
      <c r="P1593" s="7"/>
      <c r="Q1593" s="7"/>
      <c r="R1593" s="7"/>
    </row>
    <row r="1594" spans="3:18">
      <c r="C1594" s="7"/>
      <c r="D1594" s="7"/>
      <c r="E1594" s="7"/>
      <c r="F1594" s="7"/>
      <c r="G1594" s="7"/>
      <c r="H1594" s="7"/>
      <c r="I1594" s="7"/>
      <c r="J1594" s="7"/>
      <c r="K1594" s="7"/>
      <c r="L1594" s="27"/>
      <c r="N1594" s="8"/>
      <c r="O1594" s="7"/>
      <c r="P1594" s="7"/>
      <c r="Q1594" s="7"/>
      <c r="R1594" s="7"/>
    </row>
    <row r="1595" spans="3:18">
      <c r="C1595" s="7"/>
      <c r="D1595" s="7"/>
      <c r="E1595" s="7"/>
      <c r="F1595" s="7"/>
      <c r="G1595" s="7"/>
      <c r="H1595" s="7"/>
      <c r="I1595" s="7"/>
      <c r="J1595" s="7"/>
      <c r="K1595" s="7"/>
      <c r="L1595" s="27"/>
      <c r="N1595" s="8"/>
      <c r="O1595" s="7"/>
      <c r="P1595" s="7"/>
      <c r="Q1595" s="7"/>
      <c r="R1595" s="7"/>
    </row>
    <row r="1596" spans="3:18">
      <c r="C1596" s="7"/>
      <c r="D1596" s="7"/>
      <c r="E1596" s="7"/>
      <c r="F1596" s="7"/>
      <c r="G1596" s="7"/>
      <c r="H1596" s="7"/>
      <c r="I1596" s="7"/>
      <c r="J1596" s="7"/>
      <c r="K1596" s="7"/>
      <c r="L1596" s="27"/>
      <c r="N1596" s="8"/>
      <c r="O1596" s="7"/>
      <c r="P1596" s="7"/>
      <c r="Q1596" s="7"/>
      <c r="R1596" s="7"/>
    </row>
    <row r="1597" spans="3:18">
      <c r="C1597" s="7"/>
      <c r="D1597" s="7"/>
      <c r="E1597" s="7"/>
      <c r="F1597" s="7"/>
      <c r="G1597" s="7"/>
      <c r="H1597" s="7"/>
      <c r="I1597" s="7"/>
      <c r="J1597" s="7"/>
      <c r="K1597" s="7"/>
      <c r="L1597" s="27"/>
      <c r="N1597" s="8"/>
      <c r="O1597" s="7"/>
      <c r="P1597" s="7"/>
      <c r="Q1597" s="7"/>
      <c r="R1597" s="7"/>
    </row>
    <row r="1598" spans="3:18">
      <c r="C1598" s="7"/>
      <c r="D1598" s="7"/>
      <c r="E1598" s="7"/>
      <c r="F1598" s="7"/>
      <c r="G1598" s="7"/>
      <c r="H1598" s="7"/>
      <c r="I1598" s="7"/>
      <c r="J1598" s="7"/>
      <c r="K1598" s="7"/>
      <c r="L1598" s="27"/>
      <c r="N1598" s="8"/>
      <c r="O1598" s="7"/>
      <c r="P1598" s="7"/>
      <c r="Q1598" s="7"/>
      <c r="R1598" s="7"/>
    </row>
    <row r="1599" spans="3:18">
      <c r="C1599" s="7"/>
      <c r="D1599" s="7"/>
      <c r="E1599" s="7"/>
      <c r="F1599" s="7"/>
      <c r="G1599" s="7"/>
      <c r="H1599" s="7"/>
      <c r="I1599" s="7"/>
      <c r="J1599" s="7"/>
      <c r="K1599" s="7"/>
      <c r="L1599" s="27"/>
      <c r="N1599" s="8"/>
      <c r="O1599" s="7"/>
      <c r="P1599" s="7"/>
      <c r="Q1599" s="7"/>
      <c r="R1599" s="7"/>
    </row>
    <row r="1600" spans="3:18">
      <c r="C1600" s="7"/>
      <c r="D1600" s="7"/>
      <c r="E1600" s="7"/>
      <c r="F1600" s="7"/>
      <c r="G1600" s="7"/>
      <c r="H1600" s="7"/>
      <c r="I1600" s="7"/>
      <c r="J1600" s="7"/>
      <c r="K1600" s="7"/>
      <c r="L1600" s="27"/>
      <c r="N1600" s="8"/>
      <c r="O1600" s="7"/>
      <c r="P1600" s="7"/>
      <c r="Q1600" s="7"/>
      <c r="R1600" s="7"/>
    </row>
    <row r="1601" spans="3:18">
      <c r="C1601" s="7"/>
      <c r="D1601" s="7"/>
      <c r="E1601" s="7"/>
      <c r="F1601" s="7"/>
      <c r="G1601" s="7"/>
      <c r="H1601" s="7"/>
      <c r="I1601" s="7"/>
      <c r="J1601" s="7"/>
      <c r="K1601" s="7"/>
      <c r="L1601" s="27"/>
      <c r="N1601" s="8"/>
      <c r="O1601" s="7"/>
      <c r="P1601" s="7"/>
      <c r="Q1601" s="7"/>
      <c r="R1601" s="7"/>
    </row>
    <row r="1602" spans="3:18">
      <c r="C1602" s="7"/>
      <c r="D1602" s="7"/>
      <c r="E1602" s="7"/>
      <c r="F1602" s="7"/>
      <c r="G1602" s="7"/>
      <c r="H1602" s="7"/>
      <c r="I1602" s="7"/>
      <c r="J1602" s="7"/>
      <c r="K1602" s="7"/>
      <c r="L1602" s="27"/>
      <c r="N1602" s="8"/>
      <c r="O1602" s="7"/>
      <c r="P1602" s="7"/>
      <c r="Q1602" s="7"/>
      <c r="R1602" s="7"/>
    </row>
    <row r="1603" spans="3:18">
      <c r="C1603" s="7"/>
      <c r="D1603" s="7"/>
      <c r="E1603" s="7"/>
      <c r="F1603" s="7"/>
      <c r="G1603" s="7"/>
      <c r="H1603" s="7"/>
      <c r="I1603" s="7"/>
      <c r="J1603" s="7"/>
      <c r="K1603" s="7"/>
      <c r="L1603" s="27"/>
      <c r="N1603" s="8"/>
      <c r="O1603" s="7"/>
      <c r="P1603" s="7"/>
      <c r="Q1603" s="7"/>
      <c r="R1603" s="7"/>
    </row>
    <row r="1604" spans="3:18">
      <c r="C1604" s="7"/>
      <c r="D1604" s="7"/>
      <c r="E1604" s="7"/>
      <c r="F1604" s="7"/>
      <c r="G1604" s="7"/>
      <c r="H1604" s="7"/>
      <c r="I1604" s="7"/>
      <c r="J1604" s="7"/>
      <c r="K1604" s="7"/>
      <c r="L1604" s="27"/>
      <c r="N1604" s="8"/>
      <c r="O1604" s="7"/>
      <c r="P1604" s="7"/>
      <c r="Q1604" s="7"/>
      <c r="R1604" s="7"/>
    </row>
    <row r="1605" spans="3:18">
      <c r="C1605" s="7"/>
      <c r="D1605" s="7"/>
      <c r="E1605" s="7"/>
      <c r="F1605" s="7"/>
      <c r="G1605" s="7"/>
      <c r="H1605" s="7"/>
      <c r="I1605" s="7"/>
      <c r="J1605" s="7"/>
      <c r="K1605" s="7"/>
      <c r="L1605" s="27"/>
      <c r="N1605" s="8"/>
      <c r="O1605" s="7"/>
      <c r="P1605" s="7"/>
      <c r="Q1605" s="7"/>
      <c r="R1605" s="7"/>
    </row>
    <row r="1606" spans="3:18">
      <c r="C1606" s="7"/>
      <c r="D1606" s="7"/>
      <c r="E1606" s="7"/>
      <c r="F1606" s="7"/>
      <c r="G1606" s="7"/>
      <c r="H1606" s="7"/>
      <c r="I1606" s="7"/>
      <c r="J1606" s="7"/>
      <c r="K1606" s="7"/>
      <c r="L1606" s="27"/>
      <c r="N1606" s="8"/>
      <c r="O1606" s="7"/>
      <c r="P1606" s="7"/>
      <c r="Q1606" s="7"/>
      <c r="R1606" s="7"/>
    </row>
    <row r="1607" spans="3:18">
      <c r="C1607" s="7"/>
      <c r="D1607" s="7"/>
      <c r="E1607" s="7"/>
      <c r="F1607" s="7"/>
      <c r="G1607" s="7"/>
      <c r="H1607" s="7"/>
      <c r="I1607" s="7"/>
      <c r="J1607" s="7"/>
      <c r="K1607" s="7"/>
      <c r="L1607" s="27"/>
      <c r="N1607" s="8"/>
      <c r="O1607" s="7"/>
      <c r="P1607" s="7"/>
      <c r="Q1607" s="7"/>
      <c r="R1607" s="7"/>
    </row>
    <row r="1608" spans="3:18">
      <c r="C1608" s="7"/>
      <c r="D1608" s="7"/>
      <c r="E1608" s="7"/>
      <c r="F1608" s="7"/>
      <c r="G1608" s="7"/>
      <c r="H1608" s="7"/>
      <c r="I1608" s="7"/>
      <c r="J1608" s="7"/>
      <c r="K1608" s="7"/>
      <c r="L1608" s="27"/>
      <c r="N1608" s="8"/>
      <c r="O1608" s="7"/>
      <c r="P1608" s="7"/>
      <c r="Q1608" s="7"/>
      <c r="R1608" s="7"/>
    </row>
    <row r="1609" spans="3:18">
      <c r="C1609" s="7"/>
      <c r="D1609" s="7"/>
      <c r="E1609" s="7"/>
      <c r="F1609" s="7"/>
      <c r="G1609" s="7"/>
      <c r="H1609" s="7"/>
      <c r="I1609" s="7"/>
      <c r="J1609" s="7"/>
      <c r="K1609" s="7"/>
      <c r="L1609" s="27"/>
      <c r="N1609" s="8"/>
      <c r="O1609" s="7"/>
      <c r="P1609" s="7"/>
      <c r="Q1609" s="7"/>
      <c r="R1609" s="7"/>
    </row>
    <row r="1610" spans="3:18">
      <c r="C1610" s="7"/>
      <c r="D1610" s="7"/>
      <c r="E1610" s="7"/>
      <c r="F1610" s="7"/>
      <c r="G1610" s="7"/>
      <c r="H1610" s="7"/>
      <c r="I1610" s="7"/>
      <c r="J1610" s="7"/>
      <c r="K1610" s="7"/>
      <c r="L1610" s="27"/>
      <c r="N1610" s="8"/>
      <c r="O1610" s="7"/>
      <c r="P1610" s="7"/>
      <c r="Q1610" s="7"/>
      <c r="R1610" s="7"/>
    </row>
    <row r="1611" spans="3:18">
      <c r="C1611" s="7"/>
      <c r="D1611" s="7"/>
      <c r="E1611" s="7"/>
      <c r="F1611" s="7"/>
      <c r="G1611" s="7"/>
      <c r="H1611" s="7"/>
      <c r="I1611" s="7"/>
      <c r="J1611" s="7"/>
      <c r="K1611" s="7"/>
      <c r="L1611" s="27"/>
      <c r="N1611" s="8"/>
      <c r="O1611" s="7"/>
      <c r="P1611" s="7"/>
      <c r="Q1611" s="7"/>
      <c r="R1611" s="7"/>
    </row>
    <row r="1612" spans="3:18">
      <c r="C1612" s="7"/>
      <c r="D1612" s="7"/>
      <c r="E1612" s="7"/>
      <c r="F1612" s="7"/>
      <c r="G1612" s="7"/>
      <c r="H1612" s="7"/>
      <c r="I1612" s="7"/>
      <c r="J1612" s="7"/>
      <c r="K1612" s="7"/>
      <c r="L1612" s="27"/>
      <c r="N1612" s="8"/>
      <c r="O1612" s="7"/>
      <c r="P1612" s="7"/>
      <c r="Q1612" s="7"/>
      <c r="R1612" s="7"/>
    </row>
    <row r="1613" spans="3:18">
      <c r="C1613" s="7"/>
      <c r="D1613" s="7"/>
      <c r="E1613" s="7"/>
      <c r="F1613" s="7"/>
      <c r="G1613" s="7"/>
      <c r="H1613" s="7"/>
      <c r="I1613" s="7"/>
      <c r="J1613" s="7"/>
      <c r="K1613" s="7"/>
      <c r="L1613" s="27"/>
      <c r="N1613" s="8"/>
      <c r="O1613" s="7"/>
      <c r="P1613" s="7"/>
      <c r="Q1613" s="7"/>
      <c r="R1613" s="7"/>
    </row>
    <row r="1614" spans="3:18">
      <c r="C1614" s="7"/>
      <c r="D1614" s="7"/>
      <c r="E1614" s="7"/>
      <c r="F1614" s="7"/>
      <c r="G1614" s="7"/>
      <c r="H1614" s="7"/>
      <c r="I1614" s="7"/>
      <c r="J1614" s="7"/>
      <c r="K1614" s="7"/>
      <c r="L1614" s="27"/>
      <c r="N1614" s="8"/>
      <c r="O1614" s="7"/>
      <c r="P1614" s="7"/>
      <c r="Q1614" s="7"/>
      <c r="R1614" s="7"/>
    </row>
    <row r="1615" spans="3:18">
      <c r="C1615" s="7"/>
      <c r="D1615" s="7"/>
      <c r="E1615" s="7"/>
      <c r="F1615" s="7"/>
      <c r="G1615" s="7"/>
      <c r="H1615" s="7"/>
      <c r="I1615" s="7"/>
      <c r="J1615" s="7"/>
      <c r="K1615" s="7"/>
      <c r="L1615" s="27"/>
      <c r="N1615" s="8"/>
      <c r="O1615" s="7"/>
      <c r="P1615" s="7"/>
      <c r="Q1615" s="7"/>
      <c r="R1615" s="7"/>
    </row>
    <row r="1616" spans="3:18">
      <c r="C1616" s="7"/>
      <c r="D1616" s="7"/>
      <c r="E1616" s="7"/>
      <c r="F1616" s="7"/>
      <c r="G1616" s="7"/>
      <c r="H1616" s="7"/>
      <c r="I1616" s="7"/>
      <c r="J1616" s="7"/>
      <c r="K1616" s="7"/>
      <c r="L1616" s="27"/>
      <c r="N1616" s="8"/>
      <c r="O1616" s="7"/>
      <c r="P1616" s="7"/>
      <c r="Q1616" s="7"/>
      <c r="R1616" s="7"/>
    </row>
    <row r="1617" spans="3:18">
      <c r="C1617" s="7"/>
      <c r="D1617" s="7"/>
      <c r="E1617" s="7"/>
      <c r="F1617" s="7"/>
      <c r="G1617" s="7"/>
      <c r="H1617" s="7"/>
      <c r="I1617" s="7"/>
      <c r="J1617" s="7"/>
      <c r="K1617" s="7"/>
      <c r="L1617" s="27"/>
      <c r="N1617" s="8"/>
      <c r="O1617" s="7"/>
      <c r="P1617" s="7"/>
      <c r="Q1617" s="7"/>
      <c r="R1617" s="7"/>
    </row>
    <row r="1618" spans="3:18">
      <c r="C1618" s="7"/>
      <c r="D1618" s="7"/>
      <c r="E1618" s="7"/>
      <c r="F1618" s="7"/>
      <c r="G1618" s="7"/>
      <c r="H1618" s="7"/>
      <c r="I1618" s="7"/>
      <c r="J1618" s="7"/>
      <c r="K1618" s="7"/>
      <c r="L1618" s="27"/>
      <c r="N1618" s="8"/>
      <c r="O1618" s="7"/>
      <c r="P1618" s="7"/>
      <c r="Q1618" s="7"/>
      <c r="R1618" s="7"/>
    </row>
    <row r="1619" spans="3:18">
      <c r="C1619" s="7"/>
      <c r="D1619" s="7"/>
      <c r="E1619" s="7"/>
      <c r="F1619" s="7"/>
      <c r="G1619" s="7"/>
      <c r="H1619" s="7"/>
      <c r="I1619" s="7"/>
      <c r="J1619" s="7"/>
      <c r="K1619" s="7"/>
      <c r="L1619" s="27"/>
      <c r="N1619" s="8"/>
      <c r="O1619" s="7"/>
      <c r="P1619" s="7"/>
      <c r="Q1619" s="7"/>
      <c r="R1619" s="7"/>
    </row>
    <row r="1620" spans="3:18">
      <c r="C1620" s="7"/>
      <c r="D1620" s="7"/>
      <c r="E1620" s="7"/>
      <c r="F1620" s="7"/>
      <c r="G1620" s="7"/>
      <c r="H1620" s="7"/>
      <c r="I1620" s="7"/>
      <c r="J1620" s="7"/>
      <c r="K1620" s="7"/>
      <c r="L1620" s="27"/>
      <c r="N1620" s="8"/>
      <c r="O1620" s="7"/>
      <c r="P1620" s="7"/>
      <c r="Q1620" s="7"/>
      <c r="R1620" s="7"/>
    </row>
    <row r="1621" spans="3:18">
      <c r="C1621" s="7"/>
      <c r="D1621" s="7"/>
      <c r="E1621" s="7"/>
      <c r="F1621" s="7"/>
      <c r="G1621" s="7"/>
      <c r="H1621" s="7"/>
      <c r="I1621" s="7"/>
      <c r="J1621" s="7"/>
      <c r="K1621" s="7"/>
      <c r="L1621" s="27"/>
      <c r="N1621" s="8"/>
      <c r="O1621" s="7"/>
      <c r="P1621" s="7"/>
      <c r="Q1621" s="7"/>
      <c r="R1621" s="7"/>
    </row>
    <row r="1622" spans="3:18">
      <c r="C1622" s="7"/>
      <c r="D1622" s="7"/>
      <c r="E1622" s="7"/>
      <c r="F1622" s="7"/>
      <c r="G1622" s="7"/>
      <c r="H1622" s="7"/>
      <c r="I1622" s="7"/>
      <c r="J1622" s="7"/>
      <c r="K1622" s="7"/>
      <c r="L1622" s="27"/>
      <c r="N1622" s="8"/>
      <c r="O1622" s="7"/>
      <c r="P1622" s="7"/>
      <c r="Q1622" s="7"/>
      <c r="R1622" s="7"/>
    </row>
    <row r="1623" spans="3:18">
      <c r="C1623" s="7"/>
      <c r="D1623" s="7"/>
      <c r="E1623" s="7"/>
      <c r="F1623" s="7"/>
      <c r="G1623" s="7"/>
      <c r="H1623" s="7"/>
      <c r="I1623" s="7"/>
      <c r="J1623" s="7"/>
      <c r="K1623" s="7"/>
      <c r="L1623" s="27"/>
      <c r="N1623" s="8"/>
      <c r="O1623" s="7"/>
      <c r="P1623" s="7"/>
      <c r="Q1623" s="7"/>
      <c r="R1623" s="7"/>
    </row>
    <row r="1624" spans="3:18">
      <c r="C1624" s="7"/>
      <c r="D1624" s="7"/>
      <c r="E1624" s="7"/>
      <c r="F1624" s="7"/>
      <c r="G1624" s="7"/>
      <c r="H1624" s="7"/>
      <c r="I1624" s="7"/>
      <c r="J1624" s="7"/>
      <c r="K1624" s="7"/>
      <c r="L1624" s="27"/>
      <c r="N1624" s="8"/>
      <c r="O1624" s="7"/>
      <c r="P1624" s="7"/>
      <c r="Q1624" s="7"/>
      <c r="R1624" s="7"/>
    </row>
    <row r="1625" spans="3:18">
      <c r="C1625" s="7"/>
      <c r="D1625" s="7"/>
      <c r="E1625" s="7"/>
      <c r="F1625" s="7"/>
      <c r="G1625" s="7"/>
      <c r="H1625" s="7"/>
      <c r="I1625" s="7"/>
      <c r="J1625" s="7"/>
      <c r="K1625" s="7"/>
      <c r="L1625" s="27"/>
      <c r="N1625" s="8"/>
      <c r="O1625" s="7"/>
      <c r="P1625" s="7"/>
      <c r="Q1625" s="7"/>
      <c r="R1625" s="7"/>
    </row>
    <row r="1626" spans="3:18">
      <c r="C1626" s="7"/>
      <c r="D1626" s="7"/>
      <c r="E1626" s="7"/>
      <c r="F1626" s="7"/>
      <c r="G1626" s="7"/>
      <c r="H1626" s="7"/>
      <c r="I1626" s="7"/>
      <c r="J1626" s="7"/>
      <c r="K1626" s="7"/>
      <c r="L1626" s="27"/>
      <c r="N1626" s="8"/>
      <c r="O1626" s="7"/>
      <c r="P1626" s="7"/>
      <c r="Q1626" s="7"/>
      <c r="R1626" s="7"/>
    </row>
    <row r="1627" spans="3:18">
      <c r="C1627" s="7"/>
      <c r="D1627" s="7"/>
      <c r="E1627" s="7"/>
      <c r="F1627" s="7"/>
      <c r="G1627" s="7"/>
      <c r="H1627" s="7"/>
      <c r="I1627" s="7"/>
      <c r="J1627" s="7"/>
      <c r="K1627" s="7"/>
      <c r="L1627" s="27"/>
      <c r="N1627" s="8"/>
      <c r="O1627" s="7"/>
      <c r="P1627" s="7"/>
      <c r="Q1627" s="7"/>
      <c r="R1627" s="7"/>
    </row>
    <row r="1628" spans="3:18">
      <c r="C1628" s="7"/>
      <c r="D1628" s="7"/>
      <c r="E1628" s="7"/>
      <c r="F1628" s="7"/>
      <c r="G1628" s="7"/>
      <c r="H1628" s="7"/>
      <c r="I1628" s="7"/>
      <c r="J1628" s="7"/>
      <c r="K1628" s="7"/>
      <c r="L1628" s="27"/>
      <c r="N1628" s="8"/>
      <c r="O1628" s="7"/>
      <c r="P1628" s="7"/>
      <c r="Q1628" s="7"/>
      <c r="R1628" s="7"/>
    </row>
    <row r="1629" spans="3:18">
      <c r="C1629" s="7"/>
      <c r="D1629" s="7"/>
      <c r="E1629" s="7"/>
      <c r="F1629" s="7"/>
      <c r="G1629" s="7"/>
      <c r="H1629" s="7"/>
      <c r="I1629" s="7"/>
      <c r="J1629" s="7"/>
      <c r="K1629" s="7"/>
      <c r="L1629" s="27"/>
      <c r="N1629" s="8"/>
      <c r="O1629" s="7"/>
      <c r="P1629" s="7"/>
      <c r="Q1629" s="7"/>
      <c r="R1629" s="7"/>
    </row>
    <row r="1630" spans="3:18">
      <c r="C1630" s="7"/>
      <c r="D1630" s="7"/>
      <c r="E1630" s="7"/>
      <c r="F1630" s="7"/>
      <c r="G1630" s="7"/>
      <c r="H1630" s="7"/>
      <c r="I1630" s="7"/>
      <c r="J1630" s="7"/>
      <c r="K1630" s="7"/>
      <c r="L1630" s="27"/>
      <c r="N1630" s="8"/>
      <c r="O1630" s="7"/>
      <c r="P1630" s="7"/>
      <c r="Q1630" s="7"/>
      <c r="R1630" s="7"/>
    </row>
    <row r="1631" spans="3:18">
      <c r="C1631" s="7"/>
      <c r="D1631" s="7"/>
      <c r="E1631" s="7"/>
      <c r="F1631" s="7"/>
      <c r="G1631" s="7"/>
      <c r="H1631" s="7"/>
      <c r="I1631" s="7"/>
      <c r="J1631" s="7"/>
      <c r="K1631" s="7"/>
      <c r="L1631" s="27"/>
      <c r="N1631" s="8"/>
      <c r="O1631" s="7"/>
      <c r="P1631" s="7"/>
      <c r="Q1631" s="7"/>
      <c r="R1631" s="7"/>
    </row>
    <row r="1632" spans="3:18">
      <c r="C1632" s="7"/>
      <c r="D1632" s="7"/>
      <c r="E1632" s="7"/>
      <c r="F1632" s="7"/>
      <c r="G1632" s="7"/>
      <c r="H1632" s="7"/>
      <c r="I1632" s="7"/>
      <c r="J1632" s="7"/>
      <c r="K1632" s="7"/>
      <c r="L1632" s="27"/>
      <c r="N1632" s="8"/>
      <c r="O1632" s="7"/>
      <c r="P1632" s="7"/>
      <c r="Q1632" s="7"/>
      <c r="R1632" s="7"/>
    </row>
    <row r="1633" spans="3:18">
      <c r="C1633" s="7"/>
      <c r="D1633" s="7"/>
      <c r="E1633" s="7"/>
      <c r="F1633" s="7"/>
      <c r="G1633" s="7"/>
      <c r="H1633" s="7"/>
      <c r="I1633" s="7"/>
      <c r="J1633" s="7"/>
      <c r="K1633" s="7"/>
      <c r="L1633" s="27"/>
      <c r="N1633" s="8"/>
      <c r="O1633" s="7"/>
      <c r="P1633" s="7"/>
      <c r="Q1633" s="7"/>
      <c r="R1633" s="7"/>
    </row>
    <row r="1634" spans="3:18">
      <c r="C1634" s="7"/>
      <c r="D1634" s="7"/>
      <c r="E1634" s="7"/>
      <c r="F1634" s="7"/>
      <c r="G1634" s="7"/>
      <c r="H1634" s="7"/>
      <c r="I1634" s="7"/>
      <c r="J1634" s="7"/>
      <c r="K1634" s="7"/>
      <c r="L1634" s="27"/>
      <c r="N1634" s="8"/>
      <c r="O1634" s="7"/>
      <c r="P1634" s="7"/>
      <c r="Q1634" s="7"/>
      <c r="R1634" s="7"/>
    </row>
    <row r="1635" spans="3:18">
      <c r="C1635" s="7"/>
      <c r="D1635" s="7"/>
      <c r="E1635" s="7"/>
      <c r="F1635" s="7"/>
      <c r="G1635" s="7"/>
      <c r="H1635" s="7"/>
      <c r="I1635" s="7"/>
      <c r="J1635" s="7"/>
      <c r="K1635" s="7"/>
      <c r="L1635" s="27"/>
      <c r="N1635" s="8"/>
      <c r="O1635" s="7"/>
      <c r="P1635" s="7"/>
      <c r="Q1635" s="7"/>
      <c r="R1635" s="7"/>
    </row>
    <row r="1636" spans="3:18">
      <c r="C1636" s="7"/>
      <c r="D1636" s="7"/>
      <c r="E1636" s="7"/>
      <c r="F1636" s="7"/>
      <c r="G1636" s="7"/>
      <c r="H1636" s="7"/>
      <c r="I1636" s="7"/>
      <c r="J1636" s="7"/>
      <c r="K1636" s="7"/>
      <c r="L1636" s="27"/>
      <c r="N1636" s="8"/>
      <c r="O1636" s="7"/>
      <c r="P1636" s="7"/>
      <c r="Q1636" s="7"/>
      <c r="R1636" s="7"/>
    </row>
    <row r="1637" spans="3:18">
      <c r="C1637" s="7"/>
      <c r="D1637" s="7"/>
      <c r="E1637" s="7"/>
      <c r="F1637" s="7"/>
      <c r="G1637" s="7"/>
      <c r="H1637" s="7"/>
      <c r="I1637" s="7"/>
      <c r="J1637" s="7"/>
      <c r="K1637" s="7"/>
      <c r="L1637" s="27"/>
      <c r="N1637" s="8"/>
      <c r="O1637" s="7"/>
      <c r="P1637" s="7"/>
      <c r="Q1637" s="7"/>
      <c r="R1637" s="7"/>
    </row>
    <row r="1638" spans="3:18">
      <c r="C1638" s="7"/>
      <c r="D1638" s="7"/>
      <c r="E1638" s="7"/>
      <c r="F1638" s="7"/>
      <c r="G1638" s="7"/>
      <c r="H1638" s="7"/>
      <c r="I1638" s="7"/>
      <c r="J1638" s="7"/>
      <c r="K1638" s="7"/>
      <c r="L1638" s="27"/>
      <c r="N1638" s="8"/>
      <c r="O1638" s="7"/>
      <c r="P1638" s="7"/>
      <c r="Q1638" s="7"/>
      <c r="R1638" s="7"/>
    </row>
    <row r="1639" spans="3:18">
      <c r="C1639" s="7"/>
      <c r="D1639" s="7"/>
      <c r="E1639" s="7"/>
      <c r="F1639" s="7"/>
      <c r="G1639" s="7"/>
      <c r="H1639" s="7"/>
      <c r="I1639" s="7"/>
      <c r="J1639" s="7"/>
      <c r="K1639" s="7"/>
      <c r="L1639" s="27"/>
      <c r="N1639" s="8"/>
      <c r="O1639" s="7"/>
      <c r="P1639" s="7"/>
      <c r="Q1639" s="7"/>
      <c r="R1639" s="7"/>
    </row>
    <row r="1640" spans="3:18">
      <c r="C1640" s="7"/>
      <c r="D1640" s="7"/>
      <c r="E1640" s="7"/>
      <c r="F1640" s="7"/>
      <c r="G1640" s="7"/>
      <c r="H1640" s="7"/>
      <c r="I1640" s="7"/>
      <c r="J1640" s="7"/>
      <c r="K1640" s="7"/>
      <c r="L1640" s="27"/>
      <c r="N1640" s="8"/>
      <c r="O1640" s="7"/>
      <c r="P1640" s="7"/>
      <c r="Q1640" s="7"/>
      <c r="R1640" s="7"/>
    </row>
    <row r="1641" spans="3:18">
      <c r="C1641" s="7"/>
      <c r="D1641" s="7"/>
      <c r="E1641" s="7"/>
      <c r="F1641" s="7"/>
      <c r="G1641" s="7"/>
      <c r="H1641" s="7"/>
      <c r="I1641" s="7"/>
      <c r="J1641" s="7"/>
      <c r="K1641" s="7"/>
      <c r="L1641" s="27"/>
      <c r="N1641" s="8"/>
      <c r="O1641" s="7"/>
      <c r="P1641" s="7"/>
      <c r="Q1641" s="7"/>
      <c r="R1641" s="7"/>
    </row>
    <row r="1642" spans="3:18">
      <c r="C1642" s="7"/>
      <c r="D1642" s="7"/>
      <c r="E1642" s="7"/>
      <c r="F1642" s="7"/>
      <c r="G1642" s="7"/>
      <c r="H1642" s="7"/>
      <c r="I1642" s="7"/>
      <c r="J1642" s="7"/>
      <c r="K1642" s="7"/>
      <c r="L1642" s="27"/>
      <c r="N1642" s="8"/>
      <c r="O1642" s="7"/>
      <c r="P1642" s="7"/>
      <c r="Q1642" s="7"/>
      <c r="R1642" s="7"/>
    </row>
    <row r="1643" spans="3:18">
      <c r="C1643" s="7"/>
      <c r="D1643" s="7"/>
      <c r="E1643" s="7"/>
      <c r="F1643" s="7"/>
      <c r="G1643" s="7"/>
      <c r="H1643" s="7"/>
      <c r="I1643" s="7"/>
      <c r="J1643" s="7"/>
      <c r="K1643" s="7"/>
      <c r="L1643" s="27"/>
      <c r="N1643" s="8"/>
      <c r="O1643" s="7"/>
      <c r="P1643" s="7"/>
      <c r="Q1643" s="7"/>
      <c r="R1643" s="7"/>
    </row>
    <row r="1644" spans="3:18">
      <c r="C1644" s="7"/>
      <c r="D1644" s="7"/>
      <c r="E1644" s="7"/>
      <c r="F1644" s="7"/>
      <c r="G1644" s="7"/>
      <c r="H1644" s="7"/>
      <c r="I1644" s="7"/>
      <c r="J1644" s="7"/>
      <c r="K1644" s="7"/>
      <c r="L1644" s="27"/>
      <c r="N1644" s="8"/>
      <c r="O1644" s="7"/>
      <c r="P1644" s="7"/>
      <c r="Q1644" s="7"/>
      <c r="R1644" s="7"/>
    </row>
    <row r="1645" spans="3:18">
      <c r="C1645" s="7"/>
      <c r="D1645" s="7"/>
      <c r="E1645" s="7"/>
      <c r="F1645" s="7"/>
      <c r="G1645" s="7"/>
      <c r="H1645" s="7"/>
      <c r="I1645" s="7"/>
      <c r="J1645" s="7"/>
      <c r="K1645" s="7"/>
      <c r="L1645" s="27"/>
      <c r="N1645" s="8"/>
      <c r="O1645" s="7"/>
      <c r="P1645" s="7"/>
      <c r="Q1645" s="7"/>
      <c r="R1645" s="7"/>
    </row>
    <row r="1646" spans="3:18">
      <c r="C1646" s="7"/>
      <c r="D1646" s="7"/>
      <c r="E1646" s="7"/>
      <c r="F1646" s="7"/>
      <c r="G1646" s="7"/>
      <c r="H1646" s="7"/>
      <c r="I1646" s="7"/>
      <c r="J1646" s="7"/>
      <c r="K1646" s="7"/>
      <c r="L1646" s="27"/>
      <c r="N1646" s="8"/>
      <c r="O1646" s="7"/>
      <c r="P1646" s="7"/>
      <c r="Q1646" s="7"/>
      <c r="R1646" s="7"/>
    </row>
    <row r="1647" spans="3:18">
      <c r="C1647" s="7"/>
      <c r="D1647" s="7"/>
      <c r="E1647" s="7"/>
      <c r="F1647" s="7"/>
      <c r="G1647" s="7"/>
      <c r="H1647" s="7"/>
      <c r="I1647" s="7"/>
      <c r="J1647" s="7"/>
      <c r="K1647" s="7"/>
      <c r="L1647" s="27"/>
      <c r="N1647" s="8"/>
      <c r="O1647" s="7"/>
      <c r="P1647" s="7"/>
      <c r="Q1647" s="7"/>
      <c r="R1647" s="7"/>
    </row>
    <row r="1648" spans="3:18">
      <c r="C1648" s="7"/>
      <c r="D1648" s="7"/>
      <c r="E1648" s="7"/>
      <c r="F1648" s="7"/>
      <c r="G1648" s="7"/>
      <c r="H1648" s="7"/>
      <c r="I1648" s="7"/>
      <c r="J1648" s="7"/>
      <c r="K1648" s="7"/>
      <c r="L1648" s="27"/>
      <c r="N1648" s="8"/>
      <c r="O1648" s="7"/>
      <c r="P1648" s="7"/>
      <c r="Q1648" s="7"/>
      <c r="R1648" s="7"/>
    </row>
    <row r="1649" spans="3:18">
      <c r="C1649" s="7"/>
      <c r="D1649" s="7"/>
      <c r="E1649" s="7"/>
      <c r="F1649" s="7"/>
      <c r="G1649" s="7"/>
      <c r="H1649" s="7"/>
      <c r="I1649" s="7"/>
      <c r="J1649" s="7"/>
      <c r="K1649" s="7"/>
      <c r="L1649" s="27"/>
      <c r="N1649" s="8"/>
      <c r="O1649" s="7"/>
      <c r="P1649" s="7"/>
      <c r="Q1649" s="7"/>
      <c r="R1649" s="7"/>
    </row>
    <row r="1650" spans="3:18">
      <c r="C1650" s="7"/>
      <c r="D1650" s="7"/>
      <c r="E1650" s="7"/>
      <c r="F1650" s="7"/>
      <c r="G1650" s="7"/>
      <c r="H1650" s="7"/>
      <c r="I1650" s="7"/>
      <c r="J1650" s="7"/>
      <c r="K1650" s="7"/>
      <c r="L1650" s="27"/>
      <c r="N1650" s="8"/>
      <c r="O1650" s="7"/>
      <c r="P1650" s="7"/>
      <c r="Q1650" s="7"/>
      <c r="R1650" s="7"/>
    </row>
    <row r="1651" spans="3:18">
      <c r="C1651" s="7"/>
      <c r="D1651" s="7"/>
      <c r="E1651" s="7"/>
      <c r="F1651" s="7"/>
      <c r="G1651" s="7"/>
      <c r="H1651" s="7"/>
      <c r="I1651" s="7"/>
      <c r="J1651" s="7"/>
      <c r="K1651" s="7"/>
      <c r="L1651" s="27"/>
      <c r="N1651" s="8"/>
      <c r="O1651" s="7"/>
      <c r="P1651" s="7"/>
      <c r="Q1651" s="7"/>
      <c r="R1651" s="7"/>
    </row>
    <row r="1652" spans="3:18">
      <c r="C1652" s="7"/>
      <c r="D1652" s="7"/>
      <c r="E1652" s="7"/>
      <c r="F1652" s="7"/>
      <c r="G1652" s="7"/>
      <c r="H1652" s="7"/>
      <c r="I1652" s="7"/>
      <c r="J1652" s="7"/>
      <c r="K1652" s="7"/>
      <c r="L1652" s="27"/>
      <c r="N1652" s="8"/>
      <c r="O1652" s="7"/>
      <c r="P1652" s="7"/>
      <c r="Q1652" s="7"/>
      <c r="R1652" s="7"/>
    </row>
    <row r="1653" spans="3:18">
      <c r="C1653" s="7"/>
      <c r="D1653" s="7"/>
      <c r="E1653" s="7"/>
      <c r="F1653" s="7"/>
      <c r="G1653" s="7"/>
      <c r="H1653" s="7"/>
      <c r="I1653" s="7"/>
      <c r="J1653" s="7"/>
      <c r="K1653" s="7"/>
      <c r="L1653" s="27"/>
      <c r="N1653" s="8"/>
      <c r="O1653" s="7"/>
      <c r="P1653" s="7"/>
      <c r="Q1653" s="7"/>
      <c r="R1653" s="7"/>
    </row>
    <row r="1654" spans="3:18">
      <c r="C1654" s="7"/>
      <c r="D1654" s="7"/>
      <c r="E1654" s="7"/>
      <c r="F1654" s="7"/>
      <c r="G1654" s="7"/>
      <c r="H1654" s="7"/>
      <c r="I1654" s="7"/>
      <c r="J1654" s="7"/>
      <c r="K1654" s="7"/>
      <c r="L1654" s="27"/>
      <c r="N1654" s="8"/>
      <c r="O1654" s="7"/>
      <c r="P1654" s="7"/>
      <c r="Q1654" s="7"/>
      <c r="R1654" s="7"/>
    </row>
    <row r="1655" spans="3:18">
      <c r="C1655" s="7"/>
      <c r="D1655" s="7"/>
      <c r="E1655" s="7"/>
      <c r="F1655" s="7"/>
      <c r="G1655" s="7"/>
      <c r="H1655" s="7"/>
      <c r="I1655" s="7"/>
      <c r="J1655" s="7"/>
      <c r="K1655" s="7"/>
      <c r="L1655" s="27"/>
      <c r="N1655" s="8"/>
      <c r="O1655" s="7"/>
      <c r="P1655" s="7"/>
      <c r="Q1655" s="7"/>
      <c r="R1655" s="7"/>
    </row>
    <row r="1656" spans="3:18">
      <c r="C1656" s="7"/>
      <c r="D1656" s="7"/>
      <c r="E1656" s="7"/>
      <c r="F1656" s="7"/>
      <c r="G1656" s="7"/>
      <c r="H1656" s="7"/>
      <c r="I1656" s="7"/>
      <c r="J1656" s="7"/>
      <c r="K1656" s="7"/>
      <c r="L1656" s="27"/>
      <c r="N1656" s="8"/>
      <c r="O1656" s="7"/>
      <c r="P1656" s="7"/>
      <c r="Q1656" s="7"/>
      <c r="R1656" s="7"/>
    </row>
    <row r="1657" spans="3:18">
      <c r="C1657" s="7"/>
      <c r="D1657" s="7"/>
      <c r="E1657" s="7"/>
      <c r="F1657" s="7"/>
      <c r="G1657" s="7"/>
      <c r="H1657" s="7"/>
      <c r="I1657" s="7"/>
      <c r="J1657" s="7"/>
      <c r="K1657" s="7"/>
      <c r="L1657" s="27"/>
      <c r="N1657" s="8"/>
      <c r="O1657" s="7"/>
      <c r="P1657" s="7"/>
      <c r="Q1657" s="7"/>
      <c r="R1657" s="7"/>
    </row>
    <row r="1658" spans="3:18">
      <c r="C1658" s="7"/>
      <c r="D1658" s="7"/>
      <c r="E1658" s="7"/>
      <c r="F1658" s="7"/>
      <c r="G1658" s="7"/>
      <c r="H1658" s="7"/>
      <c r="I1658" s="7"/>
      <c r="J1658" s="7"/>
      <c r="K1658" s="7"/>
      <c r="L1658" s="27"/>
      <c r="N1658" s="8"/>
      <c r="O1658" s="7"/>
      <c r="P1658" s="7"/>
      <c r="Q1658" s="7"/>
      <c r="R1658" s="7"/>
    </row>
    <row r="1659" spans="3:18">
      <c r="C1659" s="7"/>
      <c r="D1659" s="7"/>
      <c r="E1659" s="7"/>
      <c r="F1659" s="7"/>
      <c r="G1659" s="7"/>
      <c r="H1659" s="7"/>
      <c r="I1659" s="7"/>
      <c r="J1659" s="7"/>
      <c r="K1659" s="7"/>
      <c r="L1659" s="27"/>
      <c r="N1659" s="8"/>
      <c r="O1659" s="7"/>
      <c r="P1659" s="7"/>
      <c r="Q1659" s="7"/>
      <c r="R1659" s="7"/>
    </row>
    <row r="1660" spans="3:18">
      <c r="C1660" s="7"/>
      <c r="D1660" s="7"/>
      <c r="E1660" s="7"/>
      <c r="F1660" s="7"/>
      <c r="G1660" s="7"/>
      <c r="H1660" s="7"/>
      <c r="I1660" s="7"/>
      <c r="J1660" s="7"/>
      <c r="K1660" s="7"/>
      <c r="L1660" s="27"/>
      <c r="N1660" s="8"/>
      <c r="O1660" s="7"/>
      <c r="P1660" s="7"/>
      <c r="Q1660" s="7"/>
      <c r="R1660" s="7"/>
    </row>
    <row r="1661" spans="3:18">
      <c r="C1661" s="7"/>
      <c r="D1661" s="7"/>
      <c r="E1661" s="7"/>
      <c r="F1661" s="7"/>
      <c r="G1661" s="7"/>
      <c r="H1661" s="7"/>
      <c r="I1661" s="7"/>
      <c r="J1661" s="7"/>
      <c r="K1661" s="7"/>
      <c r="L1661" s="27"/>
      <c r="N1661" s="8"/>
      <c r="O1661" s="7"/>
      <c r="P1661" s="7"/>
      <c r="Q1661" s="7"/>
      <c r="R1661" s="7"/>
    </row>
    <row r="1662" spans="3:18">
      <c r="C1662" s="7"/>
      <c r="D1662" s="7"/>
      <c r="E1662" s="7"/>
      <c r="F1662" s="7"/>
      <c r="G1662" s="7"/>
      <c r="H1662" s="7"/>
      <c r="I1662" s="7"/>
      <c r="J1662" s="7"/>
      <c r="K1662" s="7"/>
      <c r="L1662" s="27"/>
      <c r="N1662" s="8"/>
      <c r="O1662" s="7"/>
      <c r="P1662" s="7"/>
      <c r="Q1662" s="7"/>
      <c r="R1662" s="7"/>
    </row>
    <row r="1663" spans="3:18">
      <c r="C1663" s="7"/>
      <c r="D1663" s="7"/>
      <c r="E1663" s="7"/>
      <c r="F1663" s="7"/>
      <c r="G1663" s="7"/>
      <c r="H1663" s="7"/>
      <c r="I1663" s="7"/>
      <c r="J1663" s="7"/>
      <c r="K1663" s="7"/>
      <c r="L1663" s="27"/>
      <c r="N1663" s="8"/>
      <c r="O1663" s="7"/>
      <c r="P1663" s="7"/>
      <c r="Q1663" s="7"/>
      <c r="R1663" s="7"/>
    </row>
    <row r="1664" spans="3:18">
      <c r="C1664" s="7"/>
      <c r="D1664" s="7"/>
      <c r="E1664" s="7"/>
      <c r="F1664" s="7"/>
      <c r="G1664" s="7"/>
      <c r="H1664" s="7"/>
      <c r="I1664" s="7"/>
      <c r="J1664" s="7"/>
      <c r="K1664" s="7"/>
      <c r="L1664" s="27"/>
      <c r="N1664" s="8"/>
      <c r="O1664" s="7"/>
      <c r="P1664" s="7"/>
      <c r="Q1664" s="7"/>
      <c r="R1664" s="7"/>
    </row>
    <row r="1665" spans="3:18">
      <c r="C1665" s="7"/>
      <c r="D1665" s="7"/>
      <c r="E1665" s="7"/>
      <c r="F1665" s="7"/>
      <c r="G1665" s="7"/>
      <c r="H1665" s="7"/>
      <c r="I1665" s="7"/>
      <c r="J1665" s="7"/>
      <c r="K1665" s="7"/>
      <c r="L1665" s="27"/>
      <c r="N1665" s="8"/>
      <c r="O1665" s="7"/>
      <c r="P1665" s="7"/>
      <c r="Q1665" s="7"/>
      <c r="R1665" s="7"/>
    </row>
    <row r="1666" spans="3:18">
      <c r="C1666" s="7"/>
      <c r="D1666" s="7"/>
      <c r="E1666" s="7"/>
      <c r="F1666" s="7"/>
      <c r="G1666" s="7"/>
      <c r="H1666" s="7"/>
      <c r="I1666" s="7"/>
      <c r="J1666" s="7"/>
      <c r="K1666" s="7"/>
      <c r="L1666" s="27"/>
      <c r="N1666" s="8"/>
      <c r="O1666" s="7"/>
      <c r="P1666" s="7"/>
      <c r="Q1666" s="7"/>
      <c r="R1666" s="7"/>
    </row>
    <row r="1667" spans="3:18">
      <c r="C1667" s="7"/>
      <c r="D1667" s="7"/>
      <c r="E1667" s="7"/>
      <c r="F1667" s="7"/>
      <c r="G1667" s="7"/>
      <c r="H1667" s="7"/>
      <c r="I1667" s="7"/>
      <c r="J1667" s="7"/>
      <c r="K1667" s="7"/>
      <c r="L1667" s="27"/>
      <c r="N1667" s="8"/>
      <c r="O1667" s="7"/>
      <c r="P1667" s="7"/>
      <c r="Q1667" s="7"/>
      <c r="R1667" s="7"/>
    </row>
    <row r="1668" spans="3:18">
      <c r="C1668" s="7"/>
      <c r="D1668" s="7"/>
      <c r="E1668" s="7"/>
      <c r="F1668" s="7"/>
      <c r="G1668" s="7"/>
      <c r="H1668" s="7"/>
      <c r="I1668" s="7"/>
      <c r="J1668" s="7"/>
      <c r="K1668" s="7"/>
      <c r="L1668" s="27"/>
      <c r="N1668" s="8"/>
      <c r="O1668" s="7"/>
      <c r="P1668" s="7"/>
      <c r="Q1668" s="7"/>
      <c r="R1668" s="7"/>
    </row>
    <row r="1669" spans="3:18">
      <c r="C1669" s="7"/>
      <c r="D1669" s="7"/>
      <c r="E1669" s="7"/>
      <c r="F1669" s="7"/>
      <c r="G1669" s="7"/>
      <c r="H1669" s="7"/>
      <c r="I1669" s="7"/>
      <c r="J1669" s="7"/>
      <c r="K1669" s="7"/>
      <c r="L1669" s="27"/>
      <c r="N1669" s="8"/>
      <c r="O1669" s="7"/>
      <c r="P1669" s="7"/>
      <c r="Q1669" s="7"/>
      <c r="R1669" s="7"/>
    </row>
    <row r="1670" spans="3:18">
      <c r="C1670" s="7"/>
      <c r="D1670" s="7"/>
      <c r="E1670" s="7"/>
      <c r="F1670" s="7"/>
      <c r="G1670" s="7"/>
      <c r="H1670" s="7"/>
      <c r="I1670" s="7"/>
      <c r="J1670" s="7"/>
      <c r="K1670" s="7"/>
      <c r="L1670" s="27"/>
      <c r="N1670" s="8"/>
      <c r="O1670" s="7"/>
      <c r="P1670" s="7"/>
      <c r="Q1670" s="7"/>
      <c r="R1670" s="7"/>
    </row>
    <row r="1671" spans="3:18">
      <c r="C1671" s="7"/>
      <c r="D1671" s="7"/>
      <c r="E1671" s="7"/>
      <c r="F1671" s="7"/>
      <c r="G1671" s="7"/>
      <c r="H1671" s="7"/>
      <c r="I1671" s="7"/>
      <c r="J1671" s="7"/>
      <c r="K1671" s="7"/>
      <c r="L1671" s="27"/>
      <c r="N1671" s="8"/>
      <c r="O1671" s="7"/>
      <c r="P1671" s="7"/>
      <c r="Q1671" s="7"/>
      <c r="R1671" s="7"/>
    </row>
    <row r="1672" spans="3:18">
      <c r="C1672" s="7"/>
      <c r="D1672" s="7"/>
      <c r="E1672" s="7"/>
      <c r="F1672" s="7"/>
      <c r="G1672" s="7"/>
      <c r="H1672" s="7"/>
      <c r="I1672" s="7"/>
      <c r="J1672" s="7"/>
      <c r="K1672" s="7"/>
      <c r="L1672" s="27"/>
      <c r="N1672" s="8"/>
      <c r="O1672" s="7"/>
      <c r="P1672" s="7"/>
      <c r="Q1672" s="7"/>
      <c r="R1672" s="7"/>
    </row>
    <row r="1673" spans="3:18">
      <c r="C1673" s="7"/>
      <c r="D1673" s="7"/>
      <c r="E1673" s="7"/>
      <c r="F1673" s="7"/>
      <c r="G1673" s="7"/>
      <c r="H1673" s="7"/>
      <c r="I1673" s="7"/>
      <c r="J1673" s="7"/>
      <c r="K1673" s="7"/>
      <c r="L1673" s="27"/>
      <c r="N1673" s="8"/>
      <c r="O1673" s="7"/>
      <c r="P1673" s="7"/>
      <c r="Q1673" s="7"/>
      <c r="R1673" s="7"/>
    </row>
    <row r="1674" spans="3:18">
      <c r="C1674" s="7"/>
      <c r="D1674" s="7"/>
      <c r="E1674" s="7"/>
      <c r="F1674" s="7"/>
      <c r="G1674" s="7"/>
      <c r="H1674" s="7"/>
      <c r="I1674" s="7"/>
      <c r="J1674" s="7"/>
      <c r="K1674" s="7"/>
      <c r="L1674" s="27"/>
      <c r="N1674" s="8"/>
      <c r="O1674" s="7"/>
      <c r="P1674" s="7"/>
      <c r="Q1674" s="7"/>
      <c r="R1674" s="7"/>
    </row>
    <row r="1675" spans="3:18">
      <c r="C1675" s="7"/>
      <c r="D1675" s="7"/>
      <c r="E1675" s="7"/>
      <c r="F1675" s="7"/>
      <c r="G1675" s="7"/>
      <c r="H1675" s="7"/>
      <c r="I1675" s="7"/>
      <c r="J1675" s="7"/>
      <c r="K1675" s="7"/>
      <c r="L1675" s="27"/>
      <c r="N1675" s="8"/>
      <c r="O1675" s="7"/>
      <c r="P1675" s="7"/>
      <c r="Q1675" s="7"/>
      <c r="R1675" s="7"/>
    </row>
    <row r="1676" spans="3:18">
      <c r="C1676" s="7"/>
      <c r="D1676" s="7"/>
      <c r="E1676" s="7"/>
      <c r="F1676" s="7"/>
      <c r="G1676" s="7"/>
      <c r="H1676" s="7"/>
      <c r="I1676" s="7"/>
      <c r="J1676" s="7"/>
      <c r="K1676" s="7"/>
      <c r="L1676" s="27"/>
      <c r="N1676" s="8"/>
      <c r="O1676" s="7"/>
      <c r="P1676" s="7"/>
      <c r="Q1676" s="7"/>
      <c r="R1676" s="7"/>
    </row>
    <row r="1677" spans="3:18">
      <c r="C1677" s="7"/>
      <c r="D1677" s="7"/>
      <c r="E1677" s="7"/>
      <c r="F1677" s="7"/>
      <c r="G1677" s="7"/>
      <c r="H1677" s="7"/>
      <c r="I1677" s="7"/>
      <c r="J1677" s="7"/>
      <c r="K1677" s="7"/>
      <c r="L1677" s="27"/>
      <c r="N1677" s="8"/>
      <c r="O1677" s="7"/>
      <c r="P1677" s="7"/>
      <c r="Q1677" s="7"/>
      <c r="R1677" s="7"/>
    </row>
    <row r="1678" spans="3:18">
      <c r="C1678" s="7"/>
      <c r="D1678" s="7"/>
      <c r="E1678" s="7"/>
      <c r="F1678" s="7"/>
      <c r="G1678" s="7"/>
      <c r="H1678" s="7"/>
      <c r="I1678" s="7"/>
      <c r="J1678" s="7"/>
      <c r="K1678" s="7"/>
      <c r="L1678" s="27"/>
      <c r="N1678" s="8"/>
      <c r="O1678" s="7"/>
      <c r="P1678" s="7"/>
      <c r="Q1678" s="7"/>
      <c r="R1678" s="7"/>
    </row>
    <row r="1679" spans="3:18">
      <c r="C1679" s="7"/>
      <c r="D1679" s="7"/>
      <c r="E1679" s="7"/>
      <c r="F1679" s="7"/>
      <c r="G1679" s="7"/>
      <c r="H1679" s="7"/>
      <c r="I1679" s="7"/>
      <c r="J1679" s="7"/>
      <c r="K1679" s="7"/>
      <c r="L1679" s="27"/>
      <c r="N1679" s="8"/>
      <c r="O1679" s="7"/>
      <c r="P1679" s="7"/>
      <c r="Q1679" s="7"/>
      <c r="R1679" s="7"/>
    </row>
    <row r="1680" spans="3:18">
      <c r="C1680" s="7"/>
      <c r="D1680" s="7"/>
      <c r="E1680" s="7"/>
      <c r="F1680" s="7"/>
      <c r="G1680" s="7"/>
      <c r="H1680" s="7"/>
      <c r="I1680" s="7"/>
      <c r="J1680" s="7"/>
      <c r="K1680" s="7"/>
      <c r="L1680" s="27"/>
      <c r="N1680" s="8"/>
      <c r="O1680" s="7"/>
      <c r="P1680" s="7"/>
      <c r="Q1680" s="7"/>
      <c r="R1680" s="7"/>
    </row>
    <row r="1681" spans="3:18">
      <c r="C1681" s="7"/>
      <c r="D1681" s="7"/>
      <c r="E1681" s="7"/>
      <c r="F1681" s="7"/>
      <c r="G1681" s="7"/>
      <c r="H1681" s="7"/>
      <c r="I1681" s="7"/>
      <c r="J1681" s="7"/>
      <c r="K1681" s="7"/>
      <c r="L1681" s="27"/>
      <c r="N1681" s="8"/>
      <c r="O1681" s="7"/>
      <c r="P1681" s="7"/>
      <c r="Q1681" s="7"/>
      <c r="R1681" s="7"/>
    </row>
    <row r="1682" spans="3:18">
      <c r="C1682" s="7"/>
      <c r="D1682" s="7"/>
      <c r="E1682" s="7"/>
      <c r="F1682" s="7"/>
      <c r="G1682" s="7"/>
      <c r="H1682" s="7"/>
      <c r="I1682" s="7"/>
      <c r="J1682" s="7"/>
      <c r="K1682" s="7"/>
      <c r="L1682" s="27"/>
      <c r="N1682" s="8"/>
      <c r="O1682" s="7"/>
      <c r="P1682" s="7"/>
      <c r="Q1682" s="7"/>
      <c r="R1682" s="7"/>
    </row>
    <row r="1683" spans="3:18">
      <c r="C1683" s="7"/>
      <c r="D1683" s="7"/>
      <c r="E1683" s="7"/>
      <c r="F1683" s="7"/>
      <c r="G1683" s="7"/>
      <c r="H1683" s="7"/>
      <c r="I1683" s="7"/>
      <c r="J1683" s="7"/>
      <c r="K1683" s="7"/>
      <c r="L1683" s="27"/>
      <c r="N1683" s="8"/>
      <c r="O1683" s="7"/>
      <c r="P1683" s="7"/>
      <c r="Q1683" s="7"/>
      <c r="R1683" s="7"/>
    </row>
    <row r="1684" spans="3:18">
      <c r="C1684" s="7"/>
      <c r="D1684" s="7"/>
      <c r="E1684" s="7"/>
      <c r="F1684" s="7"/>
      <c r="G1684" s="7"/>
      <c r="H1684" s="7"/>
      <c r="I1684" s="7"/>
      <c r="J1684" s="7"/>
      <c r="K1684" s="7"/>
      <c r="L1684" s="27"/>
      <c r="N1684" s="8"/>
      <c r="O1684" s="7"/>
      <c r="P1684" s="7"/>
      <c r="Q1684" s="7"/>
      <c r="R1684" s="7"/>
    </row>
    <row r="1685" spans="3:18">
      <c r="C1685" s="7"/>
      <c r="D1685" s="7"/>
      <c r="E1685" s="7"/>
      <c r="F1685" s="7"/>
      <c r="G1685" s="7"/>
      <c r="H1685" s="7"/>
      <c r="I1685" s="7"/>
      <c r="J1685" s="7"/>
      <c r="K1685" s="7"/>
      <c r="L1685" s="27"/>
      <c r="N1685" s="8"/>
      <c r="O1685" s="7"/>
      <c r="P1685" s="7"/>
      <c r="Q1685" s="7"/>
      <c r="R1685" s="7"/>
    </row>
    <row r="1686" spans="3:18">
      <c r="C1686" s="7"/>
      <c r="D1686" s="7"/>
      <c r="E1686" s="7"/>
      <c r="F1686" s="7"/>
      <c r="G1686" s="7"/>
      <c r="H1686" s="7"/>
      <c r="I1686" s="7"/>
      <c r="J1686" s="7"/>
      <c r="K1686" s="7"/>
      <c r="L1686" s="27"/>
      <c r="N1686" s="8"/>
      <c r="O1686" s="7"/>
      <c r="P1686" s="7"/>
      <c r="Q1686" s="7"/>
      <c r="R1686" s="7"/>
    </row>
    <row r="1687" spans="3:18">
      <c r="C1687" s="7"/>
      <c r="D1687" s="7"/>
      <c r="E1687" s="7"/>
      <c r="F1687" s="7"/>
      <c r="G1687" s="7"/>
      <c r="H1687" s="7"/>
      <c r="I1687" s="7"/>
      <c r="J1687" s="7"/>
      <c r="K1687" s="7"/>
      <c r="L1687" s="27"/>
      <c r="N1687" s="8"/>
      <c r="O1687" s="7"/>
      <c r="P1687" s="7"/>
      <c r="Q1687" s="7"/>
      <c r="R1687" s="7"/>
    </row>
    <row r="1688" spans="3:18">
      <c r="C1688" s="7"/>
      <c r="D1688" s="7"/>
      <c r="E1688" s="7"/>
      <c r="F1688" s="7"/>
      <c r="G1688" s="7"/>
      <c r="H1688" s="7"/>
      <c r="I1688" s="7"/>
      <c r="J1688" s="7"/>
      <c r="K1688" s="7"/>
      <c r="L1688" s="27"/>
      <c r="N1688" s="8"/>
      <c r="O1688" s="7"/>
      <c r="P1688" s="7"/>
      <c r="Q1688" s="7"/>
      <c r="R1688" s="7"/>
    </row>
    <row r="1689" spans="3:18">
      <c r="C1689" s="7"/>
      <c r="D1689" s="7"/>
      <c r="E1689" s="7"/>
      <c r="F1689" s="7"/>
      <c r="G1689" s="7"/>
      <c r="H1689" s="7"/>
      <c r="I1689" s="7"/>
      <c r="J1689" s="7"/>
      <c r="K1689" s="7"/>
      <c r="L1689" s="27"/>
      <c r="N1689" s="8"/>
      <c r="O1689" s="7"/>
      <c r="P1689" s="7"/>
      <c r="Q1689" s="7"/>
      <c r="R1689" s="7"/>
    </row>
    <row r="1690" spans="3:18">
      <c r="C1690" s="7"/>
      <c r="D1690" s="7"/>
      <c r="E1690" s="7"/>
      <c r="F1690" s="7"/>
      <c r="G1690" s="7"/>
      <c r="H1690" s="7"/>
      <c r="I1690" s="7"/>
      <c r="J1690" s="7"/>
      <c r="K1690" s="7"/>
      <c r="L1690" s="27"/>
      <c r="N1690" s="8"/>
      <c r="O1690" s="7"/>
      <c r="P1690" s="7"/>
      <c r="Q1690" s="7"/>
      <c r="R1690" s="7"/>
    </row>
    <row r="1691" spans="3:18">
      <c r="C1691" s="7"/>
      <c r="D1691" s="7"/>
      <c r="E1691" s="7"/>
      <c r="F1691" s="7"/>
      <c r="G1691" s="7"/>
      <c r="H1691" s="7"/>
      <c r="I1691" s="7"/>
      <c r="J1691" s="7"/>
      <c r="K1691" s="7"/>
      <c r="L1691" s="27"/>
      <c r="N1691" s="8"/>
      <c r="O1691" s="7"/>
      <c r="P1691" s="7"/>
      <c r="Q1691" s="7"/>
      <c r="R1691" s="7"/>
    </row>
    <row r="1692" spans="3:18">
      <c r="C1692" s="7"/>
      <c r="D1692" s="7"/>
      <c r="E1692" s="7"/>
      <c r="F1692" s="7"/>
      <c r="G1692" s="7"/>
      <c r="H1692" s="7"/>
      <c r="I1692" s="7"/>
      <c r="J1692" s="7"/>
      <c r="K1692" s="7"/>
      <c r="L1692" s="27"/>
      <c r="N1692" s="8"/>
      <c r="O1692" s="7"/>
      <c r="P1692" s="7"/>
      <c r="Q1692" s="7"/>
      <c r="R1692" s="7"/>
    </row>
    <row r="1693" spans="3:18">
      <c r="C1693" s="7"/>
      <c r="D1693" s="7"/>
      <c r="E1693" s="7"/>
      <c r="F1693" s="7"/>
      <c r="G1693" s="7"/>
      <c r="H1693" s="7"/>
      <c r="I1693" s="7"/>
      <c r="J1693" s="7"/>
      <c r="K1693" s="7"/>
      <c r="L1693" s="27"/>
      <c r="N1693" s="8"/>
      <c r="O1693" s="7"/>
      <c r="P1693" s="7"/>
      <c r="Q1693" s="7"/>
      <c r="R1693" s="7"/>
    </row>
    <row r="1694" spans="3:18">
      <c r="C1694" s="7"/>
      <c r="D1694" s="7"/>
      <c r="E1694" s="7"/>
      <c r="F1694" s="7"/>
      <c r="G1694" s="7"/>
      <c r="H1694" s="7"/>
      <c r="I1694" s="7"/>
      <c r="J1694" s="7"/>
      <c r="K1694" s="7"/>
      <c r="L1694" s="27"/>
      <c r="N1694" s="8"/>
      <c r="O1694" s="7"/>
      <c r="P1694" s="7"/>
      <c r="Q1694" s="7"/>
      <c r="R1694" s="7"/>
    </row>
    <row r="1695" spans="3:18">
      <c r="C1695" s="7"/>
      <c r="D1695" s="7"/>
      <c r="E1695" s="7"/>
      <c r="F1695" s="7"/>
      <c r="G1695" s="7"/>
      <c r="H1695" s="7"/>
      <c r="I1695" s="7"/>
      <c r="J1695" s="7"/>
      <c r="K1695" s="7"/>
      <c r="L1695" s="27"/>
      <c r="N1695" s="8"/>
      <c r="O1695" s="7"/>
      <c r="P1695" s="7"/>
      <c r="Q1695" s="7"/>
      <c r="R1695" s="7"/>
    </row>
    <row r="1696" spans="3:18">
      <c r="C1696" s="7"/>
      <c r="D1696" s="7"/>
      <c r="E1696" s="7"/>
      <c r="F1696" s="7"/>
      <c r="G1696" s="7"/>
      <c r="H1696" s="7"/>
      <c r="I1696" s="7"/>
      <c r="J1696" s="7"/>
      <c r="K1696" s="7"/>
      <c r="L1696" s="27"/>
      <c r="N1696" s="8"/>
      <c r="O1696" s="7"/>
      <c r="P1696" s="7"/>
      <c r="Q1696" s="7"/>
      <c r="R1696" s="7"/>
    </row>
    <row r="1697" spans="3:18">
      <c r="C1697" s="7"/>
      <c r="D1697" s="7"/>
      <c r="E1697" s="7"/>
      <c r="F1697" s="7"/>
      <c r="G1697" s="7"/>
      <c r="H1697" s="7"/>
      <c r="I1697" s="7"/>
      <c r="J1697" s="7"/>
      <c r="K1697" s="7"/>
      <c r="L1697" s="27"/>
      <c r="N1697" s="8"/>
      <c r="O1697" s="7"/>
      <c r="P1697" s="7"/>
      <c r="Q1697" s="7"/>
      <c r="R1697" s="7"/>
    </row>
    <row r="1698" spans="3:18">
      <c r="C1698" s="7"/>
      <c r="D1698" s="7"/>
      <c r="E1698" s="7"/>
      <c r="F1698" s="7"/>
      <c r="G1698" s="7"/>
      <c r="H1698" s="7"/>
      <c r="I1698" s="7"/>
      <c r="J1698" s="7"/>
      <c r="K1698" s="7"/>
      <c r="L1698" s="27"/>
      <c r="N1698" s="8"/>
      <c r="O1698" s="7"/>
      <c r="P1698" s="7"/>
      <c r="Q1698" s="7"/>
      <c r="R1698" s="7"/>
    </row>
    <row r="1699" spans="3:18">
      <c r="C1699" s="7"/>
      <c r="D1699" s="7"/>
      <c r="E1699" s="7"/>
      <c r="F1699" s="7"/>
      <c r="G1699" s="7"/>
      <c r="H1699" s="7"/>
      <c r="I1699" s="7"/>
      <c r="J1699" s="7"/>
      <c r="K1699" s="7"/>
      <c r="L1699" s="27"/>
      <c r="N1699" s="8"/>
      <c r="O1699" s="7"/>
      <c r="P1699" s="7"/>
      <c r="Q1699" s="7"/>
      <c r="R1699" s="7"/>
    </row>
    <row r="1700" spans="3:18">
      <c r="C1700" s="7"/>
      <c r="D1700" s="7"/>
      <c r="E1700" s="7"/>
      <c r="F1700" s="7"/>
      <c r="G1700" s="7"/>
      <c r="H1700" s="7"/>
      <c r="I1700" s="7"/>
      <c r="J1700" s="7"/>
      <c r="K1700" s="7"/>
      <c r="L1700" s="27"/>
      <c r="N1700" s="8"/>
      <c r="O1700" s="7"/>
      <c r="P1700" s="7"/>
      <c r="Q1700" s="7"/>
      <c r="R1700" s="7"/>
    </row>
    <row r="1701" spans="3:18">
      <c r="C1701" s="7"/>
      <c r="D1701" s="7"/>
      <c r="E1701" s="7"/>
      <c r="F1701" s="7"/>
      <c r="G1701" s="7"/>
      <c r="H1701" s="7"/>
      <c r="I1701" s="7"/>
      <c r="J1701" s="7"/>
      <c r="K1701" s="7"/>
      <c r="L1701" s="27"/>
      <c r="N1701" s="8"/>
      <c r="O1701" s="7"/>
      <c r="P1701" s="7"/>
      <c r="Q1701" s="7"/>
      <c r="R1701" s="7"/>
    </row>
    <row r="1702" spans="3:18">
      <c r="C1702" s="7"/>
      <c r="D1702" s="7"/>
      <c r="E1702" s="7"/>
      <c r="F1702" s="7"/>
      <c r="G1702" s="7"/>
      <c r="H1702" s="7"/>
      <c r="I1702" s="7"/>
      <c r="J1702" s="7"/>
      <c r="K1702" s="7"/>
      <c r="L1702" s="27"/>
      <c r="N1702" s="8"/>
      <c r="O1702" s="7"/>
      <c r="P1702" s="7"/>
      <c r="Q1702" s="7"/>
      <c r="R1702" s="7"/>
    </row>
    <row r="1703" spans="3:18">
      <c r="C1703" s="7"/>
      <c r="D1703" s="7"/>
      <c r="E1703" s="7"/>
      <c r="F1703" s="7"/>
      <c r="G1703" s="7"/>
      <c r="H1703" s="7"/>
      <c r="I1703" s="7"/>
      <c r="J1703" s="7"/>
      <c r="K1703" s="7"/>
      <c r="L1703" s="27"/>
      <c r="N1703" s="8"/>
      <c r="O1703" s="7"/>
      <c r="P1703" s="7"/>
      <c r="Q1703" s="7"/>
      <c r="R1703" s="7"/>
    </row>
    <row r="1704" spans="3:18">
      <c r="C1704" s="7"/>
      <c r="D1704" s="7"/>
      <c r="E1704" s="7"/>
      <c r="F1704" s="7"/>
      <c r="G1704" s="7"/>
      <c r="H1704" s="7"/>
      <c r="I1704" s="7"/>
      <c r="J1704" s="7"/>
      <c r="K1704" s="7"/>
      <c r="L1704" s="27"/>
      <c r="N1704" s="8"/>
      <c r="O1704" s="7"/>
      <c r="P1704" s="7"/>
      <c r="Q1704" s="7"/>
      <c r="R1704" s="7"/>
    </row>
    <row r="1705" spans="3:18">
      <c r="C1705" s="7"/>
      <c r="D1705" s="7"/>
      <c r="E1705" s="7"/>
      <c r="F1705" s="7"/>
      <c r="G1705" s="7"/>
      <c r="H1705" s="7"/>
      <c r="I1705" s="7"/>
      <c r="J1705" s="7"/>
      <c r="K1705" s="7"/>
      <c r="L1705" s="27"/>
      <c r="N1705" s="8"/>
      <c r="O1705" s="7"/>
      <c r="P1705" s="7"/>
      <c r="Q1705" s="7"/>
      <c r="R1705" s="7"/>
    </row>
    <row r="1706" spans="3:18">
      <c r="C1706" s="7"/>
      <c r="D1706" s="7"/>
      <c r="E1706" s="7"/>
      <c r="F1706" s="7"/>
      <c r="G1706" s="7"/>
      <c r="H1706" s="7"/>
      <c r="I1706" s="7"/>
      <c r="J1706" s="7"/>
      <c r="K1706" s="7"/>
      <c r="L1706" s="27"/>
      <c r="N1706" s="8"/>
      <c r="O1706" s="7"/>
      <c r="P1706" s="7"/>
      <c r="Q1706" s="7"/>
      <c r="R1706" s="7"/>
    </row>
    <row r="1707" spans="3:18">
      <c r="C1707" s="7"/>
      <c r="D1707" s="7"/>
      <c r="E1707" s="7"/>
      <c r="F1707" s="7"/>
      <c r="G1707" s="7"/>
      <c r="H1707" s="7"/>
      <c r="I1707" s="7"/>
      <c r="J1707" s="7"/>
      <c r="K1707" s="7"/>
      <c r="L1707" s="27"/>
      <c r="N1707" s="8"/>
      <c r="O1707" s="7"/>
      <c r="P1707" s="7"/>
      <c r="Q1707" s="7"/>
      <c r="R1707" s="7"/>
    </row>
    <row r="1708" spans="3:18">
      <c r="C1708" s="7"/>
      <c r="D1708" s="7"/>
      <c r="E1708" s="7"/>
      <c r="F1708" s="7"/>
      <c r="G1708" s="7"/>
      <c r="H1708" s="7"/>
      <c r="I1708" s="7"/>
      <c r="J1708" s="7"/>
      <c r="K1708" s="7"/>
      <c r="L1708" s="27"/>
      <c r="N1708" s="8"/>
      <c r="O1708" s="7"/>
      <c r="P1708" s="7"/>
      <c r="Q1708" s="7"/>
      <c r="R1708" s="7"/>
    </row>
    <row r="1709" spans="3:18">
      <c r="C1709" s="7"/>
      <c r="D1709" s="7"/>
      <c r="E1709" s="7"/>
      <c r="F1709" s="7"/>
      <c r="G1709" s="7"/>
      <c r="H1709" s="7"/>
      <c r="I1709" s="7"/>
      <c r="J1709" s="7"/>
      <c r="K1709" s="7"/>
      <c r="L1709" s="27"/>
      <c r="N1709" s="8"/>
      <c r="O1709" s="7"/>
      <c r="P1709" s="7"/>
      <c r="Q1709" s="7"/>
      <c r="R1709" s="7"/>
    </row>
    <row r="1710" spans="3:18">
      <c r="C1710" s="7"/>
      <c r="D1710" s="7"/>
      <c r="E1710" s="7"/>
      <c r="F1710" s="7"/>
      <c r="G1710" s="7"/>
      <c r="H1710" s="7"/>
      <c r="I1710" s="7"/>
      <c r="J1710" s="7"/>
      <c r="K1710" s="7"/>
      <c r="L1710" s="27"/>
      <c r="N1710" s="8"/>
      <c r="O1710" s="7"/>
      <c r="P1710" s="7"/>
      <c r="Q1710" s="7"/>
      <c r="R1710" s="7"/>
    </row>
    <row r="1711" spans="3:18">
      <c r="C1711" s="7"/>
      <c r="D1711" s="7"/>
      <c r="E1711" s="7"/>
      <c r="F1711" s="7"/>
      <c r="G1711" s="7"/>
      <c r="H1711" s="7"/>
      <c r="I1711" s="7"/>
      <c r="J1711" s="7"/>
      <c r="K1711" s="7"/>
      <c r="L1711" s="27"/>
      <c r="N1711" s="8"/>
      <c r="O1711" s="7"/>
      <c r="P1711" s="7"/>
      <c r="Q1711" s="7"/>
      <c r="R1711" s="7"/>
    </row>
    <row r="1712" spans="3:18">
      <c r="C1712" s="7"/>
      <c r="D1712" s="7"/>
      <c r="E1712" s="7"/>
      <c r="F1712" s="7"/>
      <c r="G1712" s="7"/>
      <c r="H1712" s="7"/>
      <c r="I1712" s="7"/>
      <c r="J1712" s="7"/>
      <c r="K1712" s="7"/>
      <c r="L1712" s="27"/>
      <c r="N1712" s="8"/>
      <c r="O1712" s="7"/>
      <c r="P1712" s="7"/>
      <c r="Q1712" s="7"/>
      <c r="R1712" s="7"/>
    </row>
    <row r="1713" spans="3:18">
      <c r="C1713" s="7"/>
      <c r="D1713" s="7"/>
      <c r="E1713" s="7"/>
      <c r="F1713" s="7"/>
      <c r="G1713" s="7"/>
      <c r="H1713" s="7"/>
      <c r="I1713" s="7"/>
      <c r="J1713" s="7"/>
      <c r="K1713" s="7"/>
      <c r="L1713" s="27"/>
      <c r="N1713" s="8"/>
      <c r="O1713" s="7"/>
      <c r="P1713" s="7"/>
      <c r="Q1713" s="7"/>
      <c r="R1713" s="7"/>
    </row>
    <row r="1714" spans="3:18">
      <c r="C1714" s="7"/>
      <c r="D1714" s="7"/>
      <c r="E1714" s="7"/>
      <c r="F1714" s="7"/>
      <c r="G1714" s="7"/>
      <c r="H1714" s="7"/>
      <c r="I1714" s="7"/>
      <c r="J1714" s="7"/>
      <c r="K1714" s="7"/>
      <c r="L1714" s="27"/>
      <c r="N1714" s="8"/>
      <c r="O1714" s="7"/>
      <c r="P1714" s="7"/>
      <c r="Q1714" s="7"/>
      <c r="R1714" s="7"/>
    </row>
    <row r="1715" spans="3:18">
      <c r="C1715" s="7"/>
      <c r="D1715" s="7"/>
      <c r="E1715" s="7"/>
      <c r="F1715" s="7"/>
      <c r="G1715" s="7"/>
      <c r="H1715" s="7"/>
      <c r="I1715" s="7"/>
      <c r="J1715" s="7"/>
      <c r="K1715" s="7"/>
      <c r="L1715" s="27"/>
      <c r="N1715" s="8"/>
      <c r="O1715" s="7"/>
      <c r="P1715" s="7"/>
      <c r="Q1715" s="7"/>
      <c r="R1715" s="7"/>
    </row>
    <row r="1716" spans="3:18">
      <c r="C1716" s="7"/>
      <c r="D1716" s="7"/>
      <c r="E1716" s="7"/>
      <c r="F1716" s="7"/>
      <c r="G1716" s="7"/>
      <c r="H1716" s="7"/>
      <c r="I1716" s="7"/>
      <c r="J1716" s="7"/>
      <c r="K1716" s="7"/>
      <c r="L1716" s="27"/>
      <c r="N1716" s="8"/>
      <c r="O1716" s="7"/>
      <c r="P1716" s="7"/>
      <c r="Q1716" s="7"/>
      <c r="R1716" s="7"/>
    </row>
    <row r="1717" spans="3:18">
      <c r="C1717" s="7"/>
      <c r="D1717" s="7"/>
      <c r="E1717" s="7"/>
      <c r="F1717" s="7"/>
      <c r="G1717" s="7"/>
      <c r="H1717" s="7"/>
      <c r="I1717" s="7"/>
      <c r="J1717" s="7"/>
      <c r="K1717" s="7"/>
      <c r="L1717" s="27"/>
      <c r="N1717" s="8"/>
      <c r="O1717" s="7"/>
      <c r="P1717" s="7"/>
      <c r="Q1717" s="7"/>
      <c r="R1717" s="7"/>
    </row>
    <row r="1718" spans="3:18">
      <c r="C1718" s="7"/>
      <c r="D1718" s="7"/>
      <c r="E1718" s="7"/>
      <c r="F1718" s="7"/>
      <c r="G1718" s="7"/>
      <c r="H1718" s="7"/>
      <c r="I1718" s="7"/>
      <c r="J1718" s="7"/>
      <c r="K1718" s="7"/>
      <c r="L1718" s="27"/>
      <c r="N1718" s="8"/>
      <c r="O1718" s="7"/>
      <c r="P1718" s="7"/>
      <c r="Q1718" s="7"/>
      <c r="R1718" s="7"/>
    </row>
    <row r="1719" spans="3:18">
      <c r="C1719" s="7"/>
      <c r="D1719" s="7"/>
      <c r="E1719" s="7"/>
      <c r="F1719" s="7"/>
      <c r="G1719" s="7"/>
      <c r="H1719" s="7"/>
      <c r="I1719" s="7"/>
      <c r="J1719" s="7"/>
      <c r="K1719" s="7"/>
      <c r="L1719" s="27"/>
      <c r="N1719" s="8"/>
      <c r="O1719" s="7"/>
      <c r="P1719" s="7"/>
      <c r="Q1719" s="7"/>
      <c r="R1719" s="7"/>
    </row>
    <row r="1720" spans="3:18">
      <c r="C1720" s="7"/>
      <c r="D1720" s="7"/>
      <c r="E1720" s="7"/>
      <c r="F1720" s="7"/>
      <c r="G1720" s="7"/>
      <c r="H1720" s="7"/>
      <c r="I1720" s="7"/>
      <c r="J1720" s="7"/>
      <c r="K1720" s="7"/>
      <c r="L1720" s="27"/>
      <c r="N1720" s="8"/>
      <c r="O1720" s="7"/>
      <c r="P1720" s="7"/>
      <c r="Q1720" s="7"/>
      <c r="R1720" s="7"/>
    </row>
    <row r="1721" spans="3:18">
      <c r="C1721" s="7"/>
      <c r="D1721" s="7"/>
      <c r="E1721" s="7"/>
      <c r="F1721" s="7"/>
      <c r="G1721" s="7"/>
      <c r="H1721" s="7"/>
      <c r="I1721" s="7"/>
      <c r="J1721" s="7"/>
      <c r="K1721" s="7"/>
      <c r="L1721" s="27"/>
      <c r="N1721" s="8"/>
      <c r="O1721" s="7"/>
      <c r="P1721" s="7"/>
      <c r="Q1721" s="7"/>
      <c r="R1721" s="7"/>
    </row>
    <row r="1722" spans="3:18">
      <c r="C1722" s="7"/>
      <c r="D1722" s="7"/>
      <c r="E1722" s="7"/>
      <c r="F1722" s="7"/>
      <c r="G1722" s="7"/>
      <c r="H1722" s="7"/>
      <c r="I1722" s="7"/>
      <c r="J1722" s="7"/>
      <c r="K1722" s="7"/>
      <c r="L1722" s="27"/>
      <c r="N1722" s="8"/>
      <c r="O1722" s="7"/>
      <c r="P1722" s="7"/>
      <c r="Q1722" s="7"/>
      <c r="R1722" s="7"/>
    </row>
    <row r="1723" spans="3:18">
      <c r="C1723" s="7"/>
      <c r="D1723" s="7"/>
      <c r="E1723" s="7"/>
      <c r="F1723" s="7"/>
      <c r="G1723" s="7"/>
      <c r="H1723" s="7"/>
      <c r="I1723" s="7"/>
      <c r="J1723" s="7"/>
      <c r="K1723" s="7"/>
      <c r="L1723" s="27"/>
      <c r="N1723" s="8"/>
      <c r="O1723" s="7"/>
      <c r="P1723" s="7"/>
      <c r="Q1723" s="7"/>
      <c r="R1723" s="7"/>
    </row>
    <row r="1724" spans="3:18">
      <c r="C1724" s="7"/>
      <c r="D1724" s="7"/>
      <c r="E1724" s="7"/>
      <c r="F1724" s="7"/>
      <c r="G1724" s="7"/>
      <c r="H1724" s="7"/>
      <c r="I1724" s="7"/>
      <c r="J1724" s="7"/>
      <c r="K1724" s="7"/>
      <c r="L1724" s="27"/>
      <c r="N1724" s="8"/>
      <c r="O1724" s="7"/>
      <c r="P1724" s="7"/>
      <c r="Q1724" s="7"/>
      <c r="R1724" s="7"/>
    </row>
    <row r="1725" spans="3:18">
      <c r="C1725" s="7"/>
      <c r="D1725" s="7"/>
      <c r="E1725" s="7"/>
      <c r="F1725" s="7"/>
      <c r="G1725" s="7"/>
      <c r="H1725" s="7"/>
      <c r="I1725" s="7"/>
      <c r="J1725" s="7"/>
      <c r="K1725" s="7"/>
      <c r="L1725" s="27"/>
      <c r="N1725" s="8"/>
      <c r="O1725" s="7"/>
      <c r="P1725" s="7"/>
      <c r="Q1725" s="7"/>
      <c r="R1725" s="7"/>
    </row>
    <row r="1726" spans="3:18">
      <c r="C1726" s="7"/>
      <c r="D1726" s="7"/>
      <c r="E1726" s="7"/>
      <c r="F1726" s="7"/>
      <c r="G1726" s="7"/>
      <c r="H1726" s="7"/>
      <c r="I1726" s="7"/>
      <c r="J1726" s="7"/>
      <c r="K1726" s="7"/>
      <c r="L1726" s="27"/>
      <c r="N1726" s="8"/>
      <c r="O1726" s="7"/>
      <c r="P1726" s="7"/>
      <c r="Q1726" s="7"/>
      <c r="R1726" s="7"/>
    </row>
    <row r="1727" spans="3:18">
      <c r="C1727" s="7"/>
      <c r="D1727" s="7"/>
      <c r="E1727" s="7"/>
      <c r="F1727" s="7"/>
      <c r="G1727" s="7"/>
      <c r="H1727" s="7"/>
      <c r="I1727" s="7"/>
      <c r="J1727" s="7"/>
      <c r="K1727" s="7"/>
      <c r="L1727" s="27"/>
      <c r="N1727" s="8"/>
      <c r="O1727" s="7"/>
      <c r="P1727" s="7"/>
      <c r="Q1727" s="7"/>
      <c r="R1727" s="7"/>
    </row>
    <row r="1728" spans="3:18">
      <c r="C1728" s="7"/>
      <c r="D1728" s="7"/>
      <c r="E1728" s="7"/>
      <c r="F1728" s="7"/>
      <c r="G1728" s="7"/>
      <c r="H1728" s="7"/>
      <c r="I1728" s="7"/>
      <c r="J1728" s="7"/>
      <c r="K1728" s="7"/>
      <c r="L1728" s="27"/>
      <c r="N1728" s="8"/>
      <c r="O1728" s="7"/>
      <c r="P1728" s="7"/>
      <c r="Q1728" s="7"/>
      <c r="R1728" s="7"/>
    </row>
    <row r="1729" spans="3:18">
      <c r="C1729" s="7"/>
      <c r="D1729" s="7"/>
      <c r="E1729" s="7"/>
      <c r="F1729" s="7"/>
      <c r="G1729" s="7"/>
      <c r="H1729" s="7"/>
      <c r="I1729" s="7"/>
      <c r="J1729" s="7"/>
      <c r="K1729" s="7"/>
      <c r="L1729" s="27"/>
      <c r="N1729" s="8"/>
      <c r="O1729" s="7"/>
      <c r="P1729" s="7"/>
      <c r="Q1729" s="7"/>
      <c r="R1729" s="7"/>
    </row>
    <row r="1730" spans="3:18">
      <c r="C1730" s="7"/>
      <c r="D1730" s="7"/>
      <c r="E1730" s="7"/>
      <c r="F1730" s="7"/>
      <c r="G1730" s="7"/>
      <c r="H1730" s="7"/>
      <c r="I1730" s="7"/>
      <c r="J1730" s="7"/>
      <c r="K1730" s="7"/>
      <c r="L1730" s="27"/>
      <c r="N1730" s="8"/>
      <c r="O1730" s="7"/>
      <c r="P1730" s="7"/>
      <c r="Q1730" s="7"/>
      <c r="R1730" s="7"/>
    </row>
    <row r="1731" spans="3:18">
      <c r="C1731" s="7"/>
      <c r="D1731" s="7"/>
      <c r="E1731" s="7"/>
      <c r="F1731" s="7"/>
      <c r="G1731" s="7"/>
      <c r="H1731" s="7"/>
      <c r="I1731" s="7"/>
      <c r="J1731" s="7"/>
      <c r="K1731" s="7"/>
      <c r="L1731" s="27"/>
      <c r="N1731" s="8"/>
      <c r="O1731" s="7"/>
      <c r="P1731" s="7"/>
      <c r="Q1731" s="7"/>
      <c r="R1731" s="7"/>
    </row>
    <row r="1732" spans="3:18">
      <c r="C1732" s="7"/>
      <c r="D1732" s="7"/>
      <c r="E1732" s="7"/>
      <c r="F1732" s="7"/>
      <c r="G1732" s="7"/>
      <c r="H1732" s="7"/>
      <c r="I1732" s="7"/>
      <c r="J1732" s="7"/>
      <c r="K1732" s="7"/>
      <c r="L1732" s="27"/>
      <c r="N1732" s="8"/>
      <c r="O1732" s="7"/>
      <c r="P1732" s="7"/>
      <c r="Q1732" s="7"/>
      <c r="R1732" s="7"/>
    </row>
    <row r="1733" spans="3:18">
      <c r="C1733" s="7"/>
      <c r="D1733" s="7"/>
      <c r="E1733" s="7"/>
      <c r="F1733" s="7"/>
      <c r="G1733" s="7"/>
      <c r="H1733" s="7"/>
      <c r="I1733" s="7"/>
      <c r="J1733" s="7"/>
      <c r="K1733" s="7"/>
      <c r="L1733" s="27"/>
      <c r="N1733" s="8"/>
      <c r="O1733" s="7"/>
      <c r="P1733" s="7"/>
      <c r="Q1733" s="7"/>
      <c r="R1733" s="7"/>
    </row>
    <row r="1734" spans="3:18">
      <c r="C1734" s="7"/>
      <c r="D1734" s="7"/>
      <c r="E1734" s="7"/>
      <c r="F1734" s="7"/>
      <c r="G1734" s="7"/>
      <c r="H1734" s="7"/>
      <c r="I1734" s="7"/>
      <c r="J1734" s="7"/>
      <c r="K1734" s="7"/>
      <c r="L1734" s="27"/>
      <c r="N1734" s="8"/>
      <c r="O1734" s="7"/>
      <c r="P1734" s="7"/>
      <c r="Q1734" s="7"/>
      <c r="R1734" s="7"/>
    </row>
    <row r="1735" spans="3:18">
      <c r="C1735" s="7"/>
      <c r="D1735" s="7"/>
      <c r="E1735" s="7"/>
      <c r="F1735" s="7"/>
      <c r="G1735" s="7"/>
      <c r="H1735" s="7"/>
      <c r="I1735" s="7"/>
      <c r="J1735" s="7"/>
      <c r="K1735" s="7"/>
      <c r="L1735" s="27"/>
      <c r="N1735" s="8"/>
      <c r="O1735" s="7"/>
      <c r="P1735" s="7"/>
      <c r="Q1735" s="7"/>
      <c r="R1735" s="7"/>
    </row>
    <row r="1736" spans="3:18">
      <c r="C1736" s="7"/>
      <c r="D1736" s="7"/>
      <c r="E1736" s="7"/>
      <c r="F1736" s="7"/>
      <c r="G1736" s="7"/>
      <c r="H1736" s="7"/>
      <c r="I1736" s="7"/>
      <c r="J1736" s="7"/>
      <c r="K1736" s="7"/>
      <c r="L1736" s="27"/>
      <c r="N1736" s="8"/>
      <c r="O1736" s="7"/>
      <c r="P1736" s="7"/>
      <c r="Q1736" s="7"/>
      <c r="R1736" s="7"/>
    </row>
    <row r="1737" spans="3:18">
      <c r="C1737" s="7"/>
      <c r="D1737" s="7"/>
      <c r="E1737" s="7"/>
      <c r="F1737" s="7"/>
      <c r="G1737" s="7"/>
      <c r="H1737" s="7"/>
      <c r="I1737" s="7"/>
      <c r="J1737" s="7"/>
      <c r="K1737" s="7"/>
      <c r="L1737" s="27"/>
      <c r="N1737" s="8"/>
      <c r="O1737" s="7"/>
      <c r="P1737" s="7"/>
      <c r="Q1737" s="7"/>
      <c r="R1737" s="7"/>
    </row>
    <row r="1738" spans="3:18">
      <c r="C1738" s="7"/>
      <c r="D1738" s="7"/>
      <c r="E1738" s="7"/>
      <c r="F1738" s="7"/>
      <c r="G1738" s="7"/>
      <c r="H1738" s="7"/>
      <c r="I1738" s="7"/>
      <c r="J1738" s="7"/>
      <c r="K1738" s="7"/>
      <c r="L1738" s="27"/>
      <c r="N1738" s="8"/>
      <c r="O1738" s="7"/>
      <c r="P1738" s="7"/>
      <c r="Q1738" s="7"/>
      <c r="R1738" s="7"/>
    </row>
    <row r="1739" spans="3:18">
      <c r="C1739" s="7"/>
      <c r="D1739" s="7"/>
      <c r="E1739" s="7"/>
      <c r="F1739" s="7"/>
      <c r="G1739" s="7"/>
      <c r="H1739" s="7"/>
      <c r="I1739" s="7"/>
      <c r="J1739" s="7"/>
      <c r="K1739" s="7"/>
      <c r="L1739" s="27"/>
      <c r="N1739" s="8"/>
      <c r="O1739" s="7"/>
      <c r="P1739" s="7"/>
      <c r="Q1739" s="7"/>
      <c r="R1739" s="7"/>
    </row>
    <row r="1740" spans="3:18">
      <c r="C1740" s="7"/>
      <c r="D1740" s="7"/>
      <c r="E1740" s="7"/>
      <c r="F1740" s="7"/>
      <c r="G1740" s="7"/>
      <c r="H1740" s="7"/>
      <c r="I1740" s="7"/>
      <c r="J1740" s="7"/>
      <c r="K1740" s="7"/>
      <c r="L1740" s="27"/>
      <c r="N1740" s="8"/>
      <c r="O1740" s="7"/>
      <c r="P1740" s="7"/>
      <c r="Q1740" s="7"/>
      <c r="R1740" s="7"/>
    </row>
    <row r="1741" spans="3:18">
      <c r="C1741" s="7"/>
      <c r="D1741" s="7"/>
      <c r="E1741" s="7"/>
      <c r="F1741" s="7"/>
      <c r="G1741" s="7"/>
      <c r="H1741" s="7"/>
      <c r="I1741" s="7"/>
      <c r="J1741" s="7"/>
      <c r="K1741" s="7"/>
      <c r="L1741" s="27"/>
      <c r="N1741" s="8"/>
      <c r="O1741" s="7"/>
      <c r="P1741" s="7"/>
      <c r="Q1741" s="7"/>
      <c r="R1741" s="7"/>
    </row>
    <row r="1742" spans="3:18">
      <c r="C1742" s="7"/>
      <c r="D1742" s="7"/>
      <c r="E1742" s="7"/>
      <c r="F1742" s="7"/>
      <c r="G1742" s="7"/>
      <c r="H1742" s="7"/>
      <c r="I1742" s="7"/>
      <c r="J1742" s="7"/>
      <c r="K1742" s="7"/>
      <c r="L1742" s="27"/>
      <c r="N1742" s="8"/>
      <c r="O1742" s="7"/>
      <c r="P1742" s="7"/>
      <c r="Q1742" s="7"/>
      <c r="R1742" s="7"/>
    </row>
    <row r="1743" spans="3:18">
      <c r="C1743" s="7"/>
      <c r="D1743" s="7"/>
      <c r="E1743" s="7"/>
      <c r="F1743" s="7"/>
      <c r="G1743" s="7"/>
      <c r="H1743" s="7"/>
      <c r="I1743" s="7"/>
      <c r="J1743" s="7"/>
      <c r="K1743" s="7"/>
      <c r="L1743" s="27"/>
      <c r="N1743" s="8"/>
      <c r="O1743" s="7"/>
      <c r="P1743" s="7"/>
      <c r="Q1743" s="7"/>
      <c r="R1743" s="7"/>
    </row>
    <row r="1744" spans="3:18">
      <c r="C1744" s="7"/>
      <c r="D1744" s="7"/>
      <c r="E1744" s="7"/>
      <c r="F1744" s="7"/>
      <c r="G1744" s="7"/>
      <c r="H1744" s="7"/>
      <c r="I1744" s="7"/>
      <c r="J1744" s="7"/>
      <c r="K1744" s="7"/>
      <c r="L1744" s="27"/>
      <c r="N1744" s="8"/>
      <c r="O1744" s="7"/>
      <c r="P1744" s="7"/>
      <c r="Q1744" s="7"/>
      <c r="R1744" s="7"/>
    </row>
    <row r="1745" spans="3:18">
      <c r="C1745" s="7"/>
      <c r="D1745" s="7"/>
      <c r="E1745" s="7"/>
      <c r="F1745" s="7"/>
      <c r="G1745" s="7"/>
      <c r="H1745" s="7"/>
      <c r="I1745" s="7"/>
      <c r="J1745" s="7"/>
      <c r="K1745" s="7"/>
      <c r="L1745" s="27"/>
      <c r="N1745" s="8"/>
      <c r="O1745" s="7"/>
      <c r="P1745" s="7"/>
      <c r="Q1745" s="7"/>
      <c r="R1745" s="7"/>
    </row>
    <row r="1746" spans="3:18">
      <c r="C1746" s="7"/>
      <c r="D1746" s="7"/>
      <c r="E1746" s="7"/>
      <c r="F1746" s="7"/>
      <c r="G1746" s="7"/>
      <c r="H1746" s="7"/>
      <c r="I1746" s="7"/>
      <c r="J1746" s="7"/>
      <c r="K1746" s="7"/>
      <c r="L1746" s="27"/>
      <c r="N1746" s="8"/>
      <c r="O1746" s="7"/>
      <c r="P1746" s="7"/>
      <c r="Q1746" s="7"/>
      <c r="R1746" s="7"/>
    </row>
    <row r="1747" spans="3:18">
      <c r="C1747" s="7"/>
      <c r="D1747" s="7"/>
      <c r="E1747" s="7"/>
      <c r="F1747" s="7"/>
      <c r="G1747" s="7"/>
      <c r="H1747" s="7"/>
      <c r="I1747" s="7"/>
      <c r="J1747" s="7"/>
      <c r="K1747" s="7"/>
      <c r="L1747" s="27"/>
      <c r="N1747" s="8"/>
      <c r="O1747" s="7"/>
      <c r="P1747" s="7"/>
      <c r="Q1747" s="7"/>
      <c r="R1747" s="7"/>
    </row>
    <row r="1748" spans="3:18">
      <c r="C1748" s="7"/>
      <c r="D1748" s="7"/>
      <c r="E1748" s="7"/>
      <c r="F1748" s="7"/>
      <c r="G1748" s="7"/>
      <c r="H1748" s="7"/>
      <c r="I1748" s="7"/>
      <c r="J1748" s="7"/>
      <c r="K1748" s="7"/>
      <c r="L1748" s="27"/>
      <c r="N1748" s="8"/>
      <c r="O1748" s="7"/>
      <c r="P1748" s="7"/>
      <c r="Q1748" s="7"/>
      <c r="R1748" s="7"/>
    </row>
    <row r="1749" spans="3:18">
      <c r="C1749" s="7"/>
      <c r="D1749" s="7"/>
      <c r="E1749" s="7"/>
      <c r="F1749" s="7"/>
      <c r="G1749" s="7"/>
      <c r="H1749" s="7"/>
      <c r="I1749" s="7"/>
      <c r="J1749" s="7"/>
      <c r="K1749" s="7"/>
      <c r="L1749" s="27"/>
      <c r="N1749" s="8"/>
      <c r="O1749" s="7"/>
      <c r="P1749" s="7"/>
      <c r="Q1749" s="7"/>
      <c r="R1749" s="7"/>
    </row>
    <row r="1750" spans="3:18">
      <c r="C1750" s="7"/>
      <c r="D1750" s="7"/>
      <c r="E1750" s="7"/>
      <c r="F1750" s="7"/>
      <c r="G1750" s="7"/>
      <c r="H1750" s="7"/>
      <c r="I1750" s="7"/>
      <c r="J1750" s="7"/>
      <c r="K1750" s="7"/>
      <c r="L1750" s="27"/>
      <c r="N1750" s="8"/>
      <c r="O1750" s="7"/>
      <c r="P1750" s="7"/>
      <c r="Q1750" s="7"/>
      <c r="R1750" s="7"/>
    </row>
    <row r="1751" spans="3:18">
      <c r="C1751" s="7"/>
      <c r="D1751" s="7"/>
      <c r="E1751" s="7"/>
      <c r="F1751" s="7"/>
      <c r="G1751" s="7"/>
      <c r="H1751" s="7"/>
      <c r="I1751" s="7"/>
      <c r="J1751" s="7"/>
      <c r="K1751" s="7"/>
      <c r="L1751" s="27"/>
      <c r="N1751" s="8"/>
      <c r="O1751" s="7"/>
      <c r="P1751" s="7"/>
      <c r="Q1751" s="7"/>
      <c r="R1751" s="7"/>
    </row>
    <row r="1752" spans="3:18">
      <c r="C1752" s="7"/>
      <c r="D1752" s="7"/>
      <c r="E1752" s="7"/>
      <c r="F1752" s="7"/>
      <c r="G1752" s="7"/>
      <c r="H1752" s="7"/>
      <c r="I1752" s="7"/>
      <c r="J1752" s="7"/>
      <c r="K1752" s="7"/>
      <c r="L1752" s="27"/>
      <c r="N1752" s="8"/>
      <c r="O1752" s="7"/>
      <c r="P1752" s="7"/>
      <c r="Q1752" s="7"/>
      <c r="R1752" s="7"/>
    </row>
    <row r="1753" spans="3:18">
      <c r="C1753" s="7"/>
      <c r="D1753" s="7"/>
      <c r="E1753" s="7"/>
      <c r="F1753" s="7"/>
      <c r="G1753" s="7"/>
      <c r="H1753" s="7"/>
      <c r="I1753" s="7"/>
      <c r="J1753" s="7"/>
      <c r="K1753" s="7"/>
      <c r="L1753" s="27"/>
      <c r="N1753" s="8"/>
      <c r="O1753" s="7"/>
      <c r="P1753" s="7"/>
      <c r="Q1753" s="7"/>
      <c r="R1753" s="7"/>
    </row>
    <row r="1754" spans="3:18">
      <c r="C1754" s="7"/>
      <c r="D1754" s="7"/>
      <c r="E1754" s="7"/>
      <c r="F1754" s="7"/>
      <c r="G1754" s="7"/>
      <c r="H1754" s="7"/>
      <c r="I1754" s="7"/>
      <c r="J1754" s="7"/>
      <c r="K1754" s="7"/>
      <c r="L1754" s="27"/>
      <c r="N1754" s="8"/>
      <c r="O1754" s="7"/>
      <c r="P1754" s="7"/>
      <c r="Q1754" s="7"/>
      <c r="R1754" s="7"/>
    </row>
    <row r="1755" spans="3:18">
      <c r="C1755" s="7"/>
      <c r="D1755" s="7"/>
      <c r="E1755" s="7"/>
      <c r="F1755" s="7"/>
      <c r="G1755" s="7"/>
      <c r="H1755" s="7"/>
      <c r="I1755" s="7"/>
      <c r="J1755" s="7"/>
      <c r="K1755" s="7"/>
      <c r="L1755" s="27"/>
      <c r="N1755" s="8"/>
      <c r="O1755" s="7"/>
      <c r="P1755" s="7"/>
      <c r="Q1755" s="7"/>
      <c r="R1755" s="7"/>
    </row>
    <row r="1756" spans="3:18">
      <c r="C1756" s="7"/>
      <c r="D1756" s="7"/>
      <c r="E1756" s="7"/>
      <c r="F1756" s="7"/>
      <c r="G1756" s="7"/>
      <c r="H1756" s="7"/>
      <c r="I1756" s="7"/>
      <c r="J1756" s="7"/>
      <c r="K1756" s="7"/>
      <c r="L1756" s="27"/>
      <c r="N1756" s="8"/>
      <c r="O1756" s="7"/>
      <c r="P1756" s="7"/>
      <c r="Q1756" s="7"/>
      <c r="R1756" s="7"/>
    </row>
    <row r="1757" spans="3:18">
      <c r="C1757" s="7"/>
      <c r="D1757" s="7"/>
      <c r="E1757" s="7"/>
      <c r="F1757" s="7"/>
      <c r="G1757" s="7"/>
      <c r="H1757" s="7"/>
      <c r="I1757" s="7"/>
      <c r="J1757" s="7"/>
      <c r="K1757" s="7"/>
      <c r="L1757" s="27"/>
      <c r="N1757" s="8"/>
      <c r="O1757" s="7"/>
      <c r="P1757" s="7"/>
      <c r="Q1757" s="7"/>
      <c r="R1757" s="7"/>
    </row>
    <row r="1758" spans="3:18">
      <c r="C1758" s="7"/>
      <c r="D1758" s="7"/>
      <c r="E1758" s="7"/>
      <c r="F1758" s="7"/>
      <c r="G1758" s="7"/>
      <c r="H1758" s="7"/>
      <c r="I1758" s="7"/>
      <c r="J1758" s="7"/>
      <c r="K1758" s="7"/>
      <c r="L1758" s="27"/>
      <c r="N1758" s="8"/>
      <c r="O1758" s="7"/>
      <c r="P1758" s="7"/>
      <c r="Q1758" s="7"/>
      <c r="R1758" s="7"/>
    </row>
    <row r="1759" spans="3:18">
      <c r="C1759" s="7"/>
      <c r="D1759" s="7"/>
      <c r="E1759" s="7"/>
      <c r="F1759" s="7"/>
      <c r="G1759" s="7"/>
      <c r="H1759" s="7"/>
      <c r="I1759" s="7"/>
      <c r="J1759" s="7"/>
      <c r="K1759" s="7"/>
      <c r="L1759" s="27"/>
      <c r="N1759" s="8"/>
      <c r="O1759" s="7"/>
      <c r="P1759" s="7"/>
      <c r="Q1759" s="7"/>
      <c r="R1759" s="7"/>
    </row>
    <row r="1760" spans="3:18">
      <c r="C1760" s="7"/>
      <c r="D1760" s="7"/>
      <c r="E1760" s="7"/>
      <c r="F1760" s="7"/>
      <c r="G1760" s="7"/>
      <c r="H1760" s="7"/>
      <c r="I1760" s="7"/>
      <c r="J1760" s="7"/>
      <c r="K1760" s="7"/>
      <c r="L1760" s="27"/>
      <c r="N1760" s="8"/>
      <c r="O1760" s="7"/>
      <c r="P1760" s="7"/>
      <c r="Q1760" s="7"/>
      <c r="R1760" s="7"/>
    </row>
    <row r="1761" spans="3:18">
      <c r="C1761" s="7"/>
      <c r="D1761" s="7"/>
      <c r="E1761" s="7"/>
      <c r="F1761" s="7"/>
      <c r="G1761" s="7"/>
      <c r="H1761" s="7"/>
      <c r="I1761" s="7"/>
      <c r="J1761" s="7"/>
      <c r="K1761" s="7"/>
      <c r="L1761" s="27"/>
      <c r="N1761" s="8"/>
      <c r="O1761" s="7"/>
      <c r="P1761" s="7"/>
      <c r="Q1761" s="7"/>
      <c r="R1761" s="7"/>
    </row>
    <row r="1762" spans="3:18">
      <c r="C1762" s="7"/>
      <c r="D1762" s="7"/>
      <c r="E1762" s="7"/>
      <c r="F1762" s="7"/>
      <c r="G1762" s="7"/>
      <c r="H1762" s="7"/>
      <c r="I1762" s="7"/>
      <c r="J1762" s="7"/>
      <c r="K1762" s="7"/>
      <c r="L1762" s="27"/>
      <c r="N1762" s="8"/>
      <c r="O1762" s="7"/>
      <c r="P1762" s="7"/>
      <c r="Q1762" s="7"/>
      <c r="R1762" s="7"/>
    </row>
    <row r="1763" spans="3:18">
      <c r="C1763" s="7"/>
      <c r="D1763" s="7"/>
      <c r="E1763" s="7"/>
      <c r="F1763" s="7"/>
      <c r="G1763" s="7"/>
      <c r="H1763" s="7"/>
      <c r="I1763" s="7"/>
      <c r="J1763" s="7"/>
      <c r="K1763" s="7"/>
      <c r="L1763" s="27"/>
      <c r="N1763" s="8"/>
      <c r="O1763" s="7"/>
      <c r="P1763" s="7"/>
      <c r="Q1763" s="7"/>
      <c r="R1763" s="7"/>
    </row>
    <row r="1764" spans="3:18">
      <c r="C1764" s="7"/>
      <c r="D1764" s="7"/>
      <c r="E1764" s="7"/>
      <c r="F1764" s="7"/>
      <c r="G1764" s="7"/>
      <c r="H1764" s="7"/>
      <c r="I1764" s="7"/>
      <c r="J1764" s="7"/>
      <c r="K1764" s="7"/>
      <c r="L1764" s="27"/>
      <c r="N1764" s="8"/>
      <c r="O1764" s="7"/>
      <c r="P1764" s="7"/>
      <c r="Q1764" s="7"/>
      <c r="R1764" s="7"/>
    </row>
    <row r="1765" spans="3:18">
      <c r="C1765" s="7"/>
      <c r="D1765" s="7"/>
      <c r="E1765" s="7"/>
      <c r="F1765" s="7"/>
      <c r="G1765" s="7"/>
      <c r="H1765" s="7"/>
      <c r="I1765" s="7"/>
      <c r="J1765" s="7"/>
      <c r="K1765" s="7"/>
      <c r="L1765" s="27"/>
      <c r="N1765" s="8"/>
      <c r="O1765" s="7"/>
      <c r="P1765" s="7"/>
      <c r="Q1765" s="7"/>
      <c r="R1765" s="7"/>
    </row>
    <row r="1766" spans="3:18">
      <c r="C1766" s="7"/>
      <c r="D1766" s="7"/>
      <c r="E1766" s="7"/>
      <c r="F1766" s="7"/>
      <c r="G1766" s="7"/>
      <c r="H1766" s="7"/>
      <c r="I1766" s="7"/>
      <c r="J1766" s="7"/>
      <c r="K1766" s="7"/>
      <c r="L1766" s="27"/>
      <c r="N1766" s="8"/>
      <c r="O1766" s="7"/>
      <c r="P1766" s="7"/>
      <c r="Q1766" s="7"/>
      <c r="R1766" s="7"/>
    </row>
    <row r="1767" spans="3:18">
      <c r="C1767" s="7"/>
      <c r="D1767" s="7"/>
      <c r="E1767" s="7"/>
      <c r="F1767" s="7"/>
      <c r="G1767" s="7"/>
      <c r="H1767" s="7"/>
      <c r="I1767" s="7"/>
      <c r="J1767" s="7"/>
      <c r="K1767" s="7"/>
      <c r="L1767" s="27"/>
      <c r="N1767" s="8"/>
      <c r="O1767" s="7"/>
      <c r="P1767" s="7"/>
      <c r="Q1767" s="7"/>
      <c r="R1767" s="7"/>
    </row>
    <row r="1768" spans="3:18">
      <c r="C1768" s="7"/>
      <c r="D1768" s="7"/>
      <c r="E1768" s="7"/>
      <c r="F1768" s="7"/>
      <c r="G1768" s="7"/>
      <c r="H1768" s="7"/>
      <c r="I1768" s="7"/>
      <c r="J1768" s="7"/>
      <c r="K1768" s="7"/>
      <c r="L1768" s="27"/>
      <c r="N1768" s="8"/>
      <c r="O1768" s="7"/>
      <c r="P1768" s="7"/>
      <c r="Q1768" s="7"/>
      <c r="R1768" s="7"/>
    </row>
    <row r="1769" spans="3:18">
      <c r="C1769" s="7"/>
      <c r="D1769" s="7"/>
      <c r="E1769" s="7"/>
      <c r="F1769" s="7"/>
      <c r="G1769" s="7"/>
      <c r="H1769" s="7"/>
      <c r="I1769" s="7"/>
      <c r="J1769" s="7"/>
      <c r="K1769" s="7"/>
      <c r="L1769" s="27"/>
      <c r="N1769" s="8"/>
      <c r="O1769" s="7"/>
      <c r="P1769" s="7"/>
      <c r="Q1769" s="7"/>
      <c r="R1769" s="7"/>
    </row>
    <row r="1770" spans="3:18">
      <c r="C1770" s="7"/>
      <c r="D1770" s="7"/>
      <c r="E1770" s="7"/>
      <c r="F1770" s="7"/>
      <c r="G1770" s="7"/>
      <c r="H1770" s="7"/>
      <c r="I1770" s="7"/>
      <c r="J1770" s="7"/>
      <c r="K1770" s="7"/>
      <c r="L1770" s="27"/>
      <c r="N1770" s="8"/>
      <c r="O1770" s="7"/>
      <c r="P1770" s="7"/>
      <c r="Q1770" s="7"/>
      <c r="R1770" s="7"/>
    </row>
    <row r="1771" spans="3:18">
      <c r="C1771" s="7"/>
      <c r="D1771" s="7"/>
      <c r="E1771" s="7"/>
      <c r="F1771" s="7"/>
      <c r="G1771" s="7"/>
      <c r="H1771" s="7"/>
      <c r="I1771" s="7"/>
      <c r="J1771" s="7"/>
      <c r="K1771" s="7"/>
      <c r="L1771" s="27"/>
      <c r="N1771" s="8"/>
      <c r="O1771" s="7"/>
      <c r="P1771" s="7"/>
      <c r="Q1771" s="7"/>
      <c r="R1771" s="7"/>
    </row>
    <row r="1772" spans="3:18">
      <c r="C1772" s="7"/>
      <c r="D1772" s="7"/>
      <c r="E1772" s="7"/>
      <c r="F1772" s="7"/>
      <c r="G1772" s="7"/>
      <c r="H1772" s="7"/>
      <c r="I1772" s="7"/>
      <c r="J1772" s="7"/>
      <c r="K1772" s="7"/>
      <c r="L1772" s="27"/>
      <c r="N1772" s="8"/>
      <c r="O1772" s="7"/>
      <c r="P1772" s="7"/>
      <c r="Q1772" s="7"/>
      <c r="R1772" s="7"/>
    </row>
    <row r="1773" spans="3:18">
      <c r="C1773" s="7"/>
      <c r="D1773" s="7"/>
      <c r="E1773" s="7"/>
      <c r="F1773" s="7"/>
      <c r="G1773" s="7"/>
      <c r="H1773" s="7"/>
      <c r="I1773" s="7"/>
      <c r="J1773" s="7"/>
      <c r="K1773" s="7"/>
      <c r="L1773" s="27"/>
      <c r="N1773" s="8"/>
      <c r="O1773" s="7"/>
      <c r="P1773" s="7"/>
      <c r="Q1773" s="7"/>
      <c r="R1773" s="7"/>
    </row>
    <row r="1774" spans="3:18">
      <c r="C1774" s="7"/>
      <c r="D1774" s="7"/>
      <c r="E1774" s="7"/>
      <c r="F1774" s="7"/>
      <c r="G1774" s="7"/>
      <c r="H1774" s="7"/>
      <c r="I1774" s="7"/>
      <c r="J1774" s="7"/>
      <c r="K1774" s="7"/>
      <c r="L1774" s="27"/>
      <c r="N1774" s="8"/>
      <c r="O1774" s="7"/>
      <c r="P1774" s="7"/>
      <c r="Q1774" s="7"/>
      <c r="R1774" s="7"/>
    </row>
    <row r="1775" spans="3:18">
      <c r="C1775" s="7"/>
      <c r="D1775" s="7"/>
      <c r="E1775" s="7"/>
      <c r="F1775" s="7"/>
      <c r="G1775" s="7"/>
      <c r="H1775" s="7"/>
      <c r="I1775" s="7"/>
      <c r="J1775" s="7"/>
      <c r="K1775" s="7"/>
      <c r="L1775" s="27"/>
      <c r="N1775" s="8"/>
      <c r="O1775" s="7"/>
      <c r="P1775" s="7"/>
      <c r="Q1775" s="7"/>
      <c r="R1775" s="7"/>
    </row>
    <row r="1776" spans="3:18">
      <c r="C1776" s="7"/>
      <c r="D1776" s="7"/>
      <c r="E1776" s="7"/>
      <c r="F1776" s="7"/>
      <c r="G1776" s="7"/>
      <c r="H1776" s="7"/>
      <c r="I1776" s="7"/>
      <c r="J1776" s="7"/>
      <c r="K1776" s="7"/>
      <c r="L1776" s="27"/>
      <c r="N1776" s="8"/>
      <c r="O1776" s="7"/>
      <c r="P1776" s="7"/>
      <c r="Q1776" s="7"/>
      <c r="R1776" s="7"/>
    </row>
    <row r="1777" spans="3:18">
      <c r="C1777" s="7"/>
      <c r="D1777" s="7"/>
      <c r="E1777" s="7"/>
      <c r="F1777" s="7"/>
      <c r="G1777" s="7"/>
      <c r="H1777" s="7"/>
      <c r="I1777" s="7"/>
      <c r="J1777" s="7"/>
      <c r="K1777" s="7"/>
      <c r="L1777" s="27"/>
      <c r="N1777" s="8"/>
      <c r="O1777" s="7"/>
      <c r="P1777" s="7"/>
      <c r="Q1777" s="7"/>
      <c r="R1777" s="7"/>
    </row>
    <row r="1778" spans="3:18">
      <c r="C1778" s="7"/>
      <c r="D1778" s="7"/>
      <c r="E1778" s="7"/>
      <c r="F1778" s="7"/>
      <c r="G1778" s="7"/>
      <c r="H1778" s="7"/>
      <c r="I1778" s="7"/>
      <c r="J1778" s="7"/>
      <c r="K1778" s="7"/>
      <c r="L1778" s="27"/>
      <c r="N1778" s="8"/>
      <c r="O1778" s="7"/>
      <c r="P1778" s="7"/>
      <c r="Q1778" s="7"/>
      <c r="R1778" s="7"/>
    </row>
    <row r="1779" spans="3:18">
      <c r="C1779" s="7"/>
      <c r="D1779" s="7"/>
      <c r="E1779" s="7"/>
      <c r="F1779" s="7"/>
      <c r="G1779" s="7"/>
      <c r="H1779" s="7"/>
      <c r="I1779" s="7"/>
      <c r="J1779" s="7"/>
      <c r="K1779" s="7"/>
      <c r="L1779" s="27"/>
      <c r="N1779" s="8"/>
      <c r="O1779" s="7"/>
      <c r="P1779" s="7"/>
      <c r="Q1779" s="7"/>
      <c r="R1779" s="7"/>
    </row>
    <row r="1780" spans="3:18">
      <c r="C1780" s="7"/>
      <c r="D1780" s="7"/>
      <c r="E1780" s="7"/>
      <c r="F1780" s="7"/>
      <c r="G1780" s="7"/>
      <c r="H1780" s="7"/>
      <c r="I1780" s="7"/>
      <c r="J1780" s="7"/>
      <c r="K1780" s="7"/>
      <c r="L1780" s="27"/>
      <c r="N1780" s="8"/>
      <c r="O1780" s="7"/>
      <c r="P1780" s="7"/>
      <c r="Q1780" s="7"/>
      <c r="R1780" s="7"/>
    </row>
    <row r="1781" spans="3:18">
      <c r="C1781" s="7"/>
      <c r="D1781" s="7"/>
      <c r="E1781" s="7"/>
      <c r="F1781" s="7"/>
      <c r="G1781" s="7"/>
      <c r="H1781" s="7"/>
      <c r="I1781" s="7"/>
      <c r="J1781" s="7"/>
      <c r="K1781" s="7"/>
      <c r="L1781" s="27"/>
      <c r="N1781" s="8"/>
      <c r="O1781" s="7"/>
      <c r="P1781" s="7"/>
      <c r="Q1781" s="7"/>
      <c r="R1781" s="7"/>
    </row>
    <row r="1782" spans="3:18">
      <c r="C1782" s="7"/>
      <c r="D1782" s="7"/>
      <c r="E1782" s="7"/>
      <c r="F1782" s="7"/>
      <c r="G1782" s="7"/>
      <c r="H1782" s="7"/>
      <c r="I1782" s="7"/>
      <c r="J1782" s="7"/>
      <c r="K1782" s="7"/>
      <c r="L1782" s="27"/>
      <c r="N1782" s="8"/>
      <c r="O1782" s="7"/>
      <c r="P1782" s="7"/>
      <c r="Q1782" s="7"/>
      <c r="R1782" s="7"/>
    </row>
    <row r="1783" spans="3:18">
      <c r="C1783" s="7"/>
      <c r="D1783" s="7"/>
      <c r="E1783" s="7"/>
      <c r="F1783" s="7"/>
      <c r="G1783" s="7"/>
      <c r="H1783" s="7"/>
      <c r="I1783" s="7"/>
      <c r="J1783" s="7"/>
      <c r="K1783" s="7"/>
      <c r="L1783" s="27"/>
      <c r="N1783" s="8"/>
      <c r="O1783" s="7"/>
      <c r="P1783" s="7"/>
      <c r="Q1783" s="7"/>
      <c r="R1783" s="7"/>
    </row>
    <row r="1784" spans="3:18">
      <c r="C1784" s="7"/>
      <c r="D1784" s="7"/>
      <c r="E1784" s="7"/>
      <c r="F1784" s="7"/>
      <c r="G1784" s="7"/>
      <c r="H1784" s="7"/>
      <c r="I1784" s="7"/>
      <c r="J1784" s="7"/>
      <c r="K1784" s="7"/>
      <c r="L1784" s="27"/>
      <c r="N1784" s="8"/>
      <c r="O1784" s="7"/>
      <c r="P1784" s="7"/>
      <c r="Q1784" s="7"/>
      <c r="R1784" s="7"/>
    </row>
    <row r="1785" spans="3:18">
      <c r="C1785" s="7"/>
      <c r="D1785" s="7"/>
      <c r="E1785" s="7"/>
      <c r="F1785" s="7"/>
      <c r="G1785" s="7"/>
      <c r="H1785" s="7"/>
      <c r="I1785" s="7"/>
      <c r="J1785" s="7"/>
      <c r="K1785" s="7"/>
      <c r="L1785" s="27"/>
      <c r="N1785" s="8"/>
      <c r="O1785" s="7"/>
      <c r="P1785" s="7"/>
      <c r="Q1785" s="7"/>
      <c r="R1785" s="7"/>
    </row>
    <row r="1786" spans="3:18">
      <c r="C1786" s="7"/>
      <c r="D1786" s="7"/>
      <c r="E1786" s="7"/>
      <c r="F1786" s="7"/>
      <c r="G1786" s="7"/>
      <c r="H1786" s="7"/>
      <c r="I1786" s="7"/>
      <c r="J1786" s="7"/>
      <c r="K1786" s="7"/>
      <c r="L1786" s="27"/>
      <c r="N1786" s="8"/>
      <c r="O1786" s="7"/>
      <c r="P1786" s="7"/>
      <c r="Q1786" s="7"/>
      <c r="R1786" s="7"/>
    </row>
    <row r="1787" spans="3:18">
      <c r="C1787" s="7"/>
      <c r="D1787" s="7"/>
      <c r="E1787" s="7"/>
      <c r="F1787" s="7"/>
      <c r="G1787" s="7"/>
      <c r="H1787" s="7"/>
      <c r="I1787" s="7"/>
      <c r="J1787" s="7"/>
      <c r="K1787" s="7"/>
      <c r="L1787" s="27"/>
      <c r="N1787" s="8"/>
      <c r="O1787" s="7"/>
      <c r="P1787" s="7"/>
      <c r="Q1787" s="7"/>
      <c r="R1787" s="7"/>
    </row>
    <row r="1788" spans="3:18">
      <c r="C1788" s="7"/>
      <c r="D1788" s="7"/>
      <c r="E1788" s="7"/>
      <c r="F1788" s="7"/>
      <c r="G1788" s="7"/>
      <c r="H1788" s="7"/>
      <c r="I1788" s="7"/>
      <c r="J1788" s="7"/>
      <c r="K1788" s="7"/>
      <c r="L1788" s="27"/>
      <c r="N1788" s="8"/>
      <c r="O1788" s="7"/>
      <c r="P1788" s="7"/>
      <c r="Q1788" s="7"/>
      <c r="R1788" s="7"/>
    </row>
    <row r="1789" spans="3:18">
      <c r="C1789" s="7"/>
      <c r="D1789" s="7"/>
      <c r="E1789" s="7"/>
      <c r="F1789" s="7"/>
      <c r="G1789" s="7"/>
      <c r="H1789" s="7"/>
      <c r="I1789" s="7"/>
      <c r="J1789" s="7"/>
      <c r="K1789" s="7"/>
      <c r="L1789" s="27"/>
      <c r="N1789" s="8"/>
      <c r="O1789" s="7"/>
      <c r="P1789" s="7"/>
      <c r="Q1789" s="7"/>
      <c r="R1789" s="7"/>
    </row>
    <row r="1790" spans="3:18">
      <c r="C1790" s="7"/>
      <c r="D1790" s="7"/>
      <c r="E1790" s="7"/>
      <c r="F1790" s="7"/>
      <c r="G1790" s="7"/>
      <c r="H1790" s="7"/>
      <c r="I1790" s="7"/>
      <c r="J1790" s="7"/>
      <c r="K1790" s="7"/>
      <c r="L1790" s="27"/>
      <c r="N1790" s="8"/>
      <c r="O1790" s="7"/>
      <c r="P1790" s="7"/>
      <c r="Q1790" s="7"/>
      <c r="R1790" s="7"/>
    </row>
    <row r="1791" spans="3:18">
      <c r="C1791" s="7"/>
      <c r="D1791" s="7"/>
      <c r="E1791" s="7"/>
      <c r="F1791" s="7"/>
      <c r="G1791" s="7"/>
      <c r="H1791" s="7"/>
      <c r="I1791" s="7"/>
      <c r="J1791" s="7"/>
      <c r="K1791" s="7"/>
      <c r="L1791" s="27"/>
      <c r="N1791" s="8"/>
      <c r="O1791" s="7"/>
      <c r="P1791" s="7"/>
      <c r="Q1791" s="7"/>
      <c r="R1791" s="7"/>
    </row>
    <row r="1792" spans="3:18">
      <c r="C1792" s="7"/>
      <c r="D1792" s="7"/>
      <c r="E1792" s="7"/>
      <c r="F1792" s="7"/>
      <c r="G1792" s="7"/>
      <c r="H1792" s="7"/>
      <c r="I1792" s="7"/>
      <c r="J1792" s="7"/>
      <c r="K1792" s="7"/>
      <c r="L1792" s="27"/>
      <c r="N1792" s="8"/>
      <c r="O1792" s="7"/>
      <c r="P1792" s="7"/>
      <c r="Q1792" s="7"/>
      <c r="R1792" s="7"/>
    </row>
    <row r="1793" spans="3:18">
      <c r="C1793" s="7"/>
      <c r="D1793" s="7"/>
      <c r="E1793" s="7"/>
      <c r="F1793" s="7"/>
      <c r="G1793" s="7"/>
      <c r="H1793" s="7"/>
      <c r="I1793" s="7"/>
      <c r="J1793" s="7"/>
      <c r="K1793" s="7"/>
      <c r="L1793" s="27"/>
      <c r="N1793" s="8"/>
      <c r="O1793" s="7"/>
      <c r="P1793" s="7"/>
      <c r="Q1793" s="7"/>
      <c r="R1793" s="7"/>
    </row>
    <row r="1794" spans="3:18">
      <c r="C1794" s="7"/>
      <c r="D1794" s="7"/>
      <c r="E1794" s="7"/>
      <c r="F1794" s="7"/>
      <c r="G1794" s="7"/>
      <c r="H1794" s="7"/>
      <c r="I1794" s="7"/>
      <c r="J1794" s="7"/>
      <c r="K1794" s="7"/>
      <c r="L1794" s="27"/>
      <c r="N1794" s="8"/>
      <c r="O1794" s="7"/>
      <c r="P1794" s="7"/>
      <c r="Q1794" s="7"/>
      <c r="R1794" s="7"/>
    </row>
    <row r="1795" spans="3:18">
      <c r="C1795" s="7"/>
      <c r="D1795" s="7"/>
      <c r="E1795" s="7"/>
      <c r="F1795" s="7"/>
      <c r="G1795" s="7"/>
      <c r="H1795" s="7"/>
      <c r="I1795" s="7"/>
      <c r="J1795" s="7"/>
      <c r="K1795" s="7"/>
      <c r="L1795" s="27"/>
      <c r="N1795" s="8"/>
      <c r="O1795" s="7"/>
      <c r="P1795" s="7"/>
      <c r="Q1795" s="7"/>
      <c r="R1795" s="7"/>
    </row>
    <row r="1796" spans="3:18">
      <c r="C1796" s="7"/>
      <c r="D1796" s="7"/>
      <c r="E1796" s="7"/>
      <c r="F1796" s="7"/>
      <c r="G1796" s="7"/>
      <c r="H1796" s="7"/>
      <c r="I1796" s="7"/>
      <c r="J1796" s="7"/>
      <c r="K1796" s="7"/>
      <c r="L1796" s="27"/>
      <c r="N1796" s="8"/>
      <c r="O1796" s="7"/>
      <c r="P1796" s="7"/>
      <c r="Q1796" s="7"/>
      <c r="R1796" s="7"/>
    </row>
    <row r="1797" spans="3:18">
      <c r="C1797" s="7"/>
      <c r="D1797" s="7"/>
      <c r="E1797" s="7"/>
      <c r="F1797" s="7"/>
      <c r="G1797" s="7"/>
      <c r="H1797" s="7"/>
      <c r="I1797" s="7"/>
      <c r="J1797" s="7"/>
      <c r="K1797" s="7"/>
      <c r="L1797" s="27"/>
      <c r="N1797" s="8"/>
      <c r="O1797" s="7"/>
      <c r="P1797" s="7"/>
      <c r="Q1797" s="7"/>
      <c r="R1797" s="7"/>
    </row>
    <row r="1798" spans="3:18">
      <c r="C1798" s="7"/>
      <c r="D1798" s="7"/>
      <c r="E1798" s="7"/>
      <c r="F1798" s="7"/>
      <c r="G1798" s="7"/>
      <c r="H1798" s="7"/>
      <c r="I1798" s="7"/>
      <c r="J1798" s="7"/>
      <c r="K1798" s="7"/>
      <c r="L1798" s="27"/>
      <c r="N1798" s="8"/>
      <c r="O1798" s="7"/>
      <c r="P1798" s="7"/>
      <c r="Q1798" s="7"/>
      <c r="R1798" s="7"/>
    </row>
    <row r="1799" spans="3:18">
      <c r="C1799" s="7"/>
      <c r="D1799" s="7"/>
      <c r="E1799" s="7"/>
      <c r="F1799" s="7"/>
      <c r="G1799" s="7"/>
      <c r="H1799" s="7"/>
      <c r="I1799" s="7"/>
      <c r="J1799" s="7"/>
      <c r="K1799" s="7"/>
      <c r="L1799" s="27"/>
      <c r="N1799" s="8"/>
      <c r="O1799" s="7"/>
      <c r="P1799" s="7"/>
      <c r="Q1799" s="7"/>
      <c r="R1799" s="7"/>
    </row>
    <row r="1800" spans="3:18">
      <c r="C1800" s="7"/>
      <c r="D1800" s="7"/>
      <c r="E1800" s="7"/>
      <c r="F1800" s="7"/>
      <c r="G1800" s="7"/>
      <c r="H1800" s="7"/>
      <c r="I1800" s="7"/>
      <c r="J1800" s="7"/>
      <c r="K1800" s="7"/>
      <c r="L1800" s="27"/>
      <c r="N1800" s="8"/>
      <c r="O1800" s="7"/>
      <c r="P1800" s="7"/>
      <c r="Q1800" s="7"/>
      <c r="R1800" s="7"/>
    </row>
    <row r="1801" spans="3:18">
      <c r="C1801" s="7"/>
      <c r="D1801" s="7"/>
      <c r="E1801" s="7"/>
      <c r="F1801" s="7"/>
      <c r="G1801" s="7"/>
      <c r="H1801" s="7"/>
      <c r="I1801" s="7"/>
      <c r="J1801" s="7"/>
      <c r="K1801" s="7"/>
      <c r="L1801" s="27"/>
      <c r="N1801" s="8"/>
      <c r="O1801" s="7"/>
      <c r="P1801" s="7"/>
      <c r="Q1801" s="7"/>
      <c r="R1801" s="7"/>
    </row>
    <row r="1802" spans="3:18">
      <c r="C1802" s="7"/>
      <c r="D1802" s="7"/>
      <c r="E1802" s="7"/>
      <c r="F1802" s="7"/>
      <c r="G1802" s="7"/>
      <c r="H1802" s="7"/>
      <c r="I1802" s="7"/>
      <c r="J1802" s="7"/>
      <c r="K1802" s="7"/>
      <c r="L1802" s="27"/>
      <c r="N1802" s="8"/>
      <c r="O1802" s="7"/>
      <c r="P1802" s="7"/>
      <c r="Q1802" s="7"/>
      <c r="R1802" s="7"/>
    </row>
    <row r="1803" spans="3:18">
      <c r="C1803" s="7"/>
      <c r="D1803" s="7"/>
      <c r="E1803" s="7"/>
      <c r="F1803" s="7"/>
      <c r="G1803" s="7"/>
      <c r="H1803" s="7"/>
      <c r="I1803" s="7"/>
      <c r="J1803" s="7"/>
      <c r="K1803" s="7"/>
      <c r="L1803" s="27"/>
      <c r="N1803" s="8"/>
      <c r="O1803" s="7"/>
      <c r="P1803" s="7"/>
      <c r="Q1803" s="7"/>
      <c r="R1803" s="7"/>
    </row>
    <row r="1804" spans="3:18">
      <c r="C1804" s="7"/>
      <c r="D1804" s="7"/>
      <c r="E1804" s="7"/>
      <c r="F1804" s="7"/>
      <c r="G1804" s="7"/>
      <c r="H1804" s="7"/>
      <c r="I1804" s="7"/>
      <c r="J1804" s="7"/>
      <c r="K1804" s="7"/>
      <c r="L1804" s="27"/>
      <c r="N1804" s="8"/>
      <c r="O1804" s="7"/>
      <c r="P1804" s="7"/>
      <c r="Q1804" s="7"/>
      <c r="R1804" s="7"/>
    </row>
    <row r="1805" spans="3:18">
      <c r="C1805" s="7"/>
      <c r="D1805" s="7"/>
      <c r="E1805" s="7"/>
      <c r="F1805" s="7"/>
      <c r="G1805" s="7"/>
      <c r="H1805" s="7"/>
      <c r="I1805" s="7"/>
      <c r="J1805" s="7"/>
      <c r="K1805" s="7"/>
      <c r="L1805" s="27"/>
      <c r="N1805" s="8"/>
      <c r="O1805" s="7"/>
      <c r="P1805" s="7"/>
      <c r="Q1805" s="7"/>
      <c r="R1805" s="7"/>
    </row>
    <row r="1806" spans="3:18">
      <c r="C1806" s="7"/>
      <c r="D1806" s="7"/>
      <c r="E1806" s="7"/>
      <c r="F1806" s="7"/>
      <c r="G1806" s="7"/>
      <c r="H1806" s="7"/>
      <c r="I1806" s="7"/>
      <c r="J1806" s="7"/>
      <c r="K1806" s="7"/>
      <c r="L1806" s="27"/>
      <c r="N1806" s="8"/>
      <c r="O1806" s="7"/>
      <c r="P1806" s="7"/>
      <c r="Q1806" s="7"/>
      <c r="R1806" s="7"/>
    </row>
    <row r="1807" spans="3:18">
      <c r="C1807" s="7"/>
      <c r="D1807" s="7"/>
      <c r="E1807" s="7"/>
      <c r="F1807" s="7"/>
      <c r="G1807" s="7"/>
      <c r="H1807" s="7"/>
      <c r="I1807" s="7"/>
      <c r="J1807" s="7"/>
      <c r="K1807" s="7"/>
      <c r="L1807" s="27"/>
      <c r="N1807" s="8"/>
      <c r="O1807" s="7"/>
      <c r="P1807" s="7"/>
      <c r="Q1807" s="7"/>
      <c r="R1807" s="7"/>
    </row>
    <row r="1808" spans="3:18">
      <c r="C1808" s="7"/>
      <c r="D1808" s="7"/>
      <c r="E1808" s="7"/>
      <c r="F1808" s="7"/>
      <c r="G1808" s="7"/>
      <c r="H1808" s="7"/>
      <c r="I1808" s="7"/>
      <c r="J1808" s="7"/>
      <c r="K1808" s="7"/>
      <c r="L1808" s="27"/>
      <c r="N1808" s="8"/>
      <c r="O1808" s="7"/>
      <c r="P1808" s="7"/>
      <c r="Q1808" s="7"/>
      <c r="R1808" s="7"/>
    </row>
    <row r="1809" spans="3:18">
      <c r="C1809" s="7"/>
      <c r="D1809" s="7"/>
      <c r="E1809" s="7"/>
      <c r="F1809" s="7"/>
      <c r="G1809" s="7"/>
      <c r="H1809" s="7"/>
      <c r="I1809" s="7"/>
      <c r="J1809" s="7"/>
      <c r="K1809" s="7"/>
      <c r="L1809" s="27"/>
      <c r="N1809" s="8"/>
      <c r="O1809" s="7"/>
      <c r="P1809" s="7"/>
      <c r="Q1809" s="7"/>
      <c r="R1809" s="7"/>
    </row>
    <row r="1810" spans="3:18">
      <c r="C1810" s="7"/>
      <c r="D1810" s="7"/>
      <c r="E1810" s="7"/>
      <c r="F1810" s="7"/>
      <c r="G1810" s="7"/>
      <c r="H1810" s="7"/>
      <c r="I1810" s="7"/>
      <c r="J1810" s="7"/>
      <c r="K1810" s="7"/>
      <c r="L1810" s="27"/>
      <c r="N1810" s="8"/>
      <c r="O1810" s="7"/>
      <c r="P1810" s="7"/>
      <c r="Q1810" s="7"/>
      <c r="R1810" s="7"/>
    </row>
    <row r="1811" spans="3:18">
      <c r="C1811" s="7"/>
      <c r="D1811" s="7"/>
      <c r="E1811" s="7"/>
      <c r="F1811" s="7"/>
      <c r="G1811" s="7"/>
      <c r="H1811" s="7"/>
      <c r="I1811" s="7"/>
      <c r="J1811" s="7"/>
      <c r="K1811" s="7"/>
      <c r="L1811" s="27"/>
      <c r="N1811" s="8"/>
      <c r="O1811" s="7"/>
      <c r="P1811" s="7"/>
      <c r="Q1811" s="7"/>
      <c r="R1811" s="7"/>
    </row>
    <row r="1812" spans="3:18">
      <c r="C1812" s="7"/>
      <c r="D1812" s="7"/>
      <c r="E1812" s="7"/>
      <c r="F1812" s="7"/>
      <c r="G1812" s="7"/>
      <c r="H1812" s="7"/>
      <c r="I1812" s="7"/>
      <c r="J1812" s="7"/>
      <c r="K1812" s="7"/>
      <c r="L1812" s="27"/>
      <c r="N1812" s="8"/>
      <c r="O1812" s="7"/>
      <c r="P1812" s="7"/>
      <c r="Q1812" s="7"/>
      <c r="R1812" s="7"/>
    </row>
    <row r="1813" spans="3:18">
      <c r="C1813" s="7"/>
      <c r="D1813" s="7"/>
      <c r="E1813" s="7"/>
      <c r="F1813" s="7"/>
      <c r="G1813" s="7"/>
      <c r="H1813" s="7"/>
      <c r="I1813" s="7"/>
      <c r="J1813" s="7"/>
      <c r="K1813" s="7"/>
      <c r="L1813" s="27"/>
      <c r="N1813" s="8"/>
      <c r="O1813" s="7"/>
      <c r="P1813" s="7"/>
      <c r="Q1813" s="7"/>
      <c r="R1813" s="7"/>
    </row>
    <row r="1814" spans="3:18">
      <c r="C1814" s="7"/>
      <c r="D1814" s="7"/>
      <c r="E1814" s="7"/>
      <c r="F1814" s="7"/>
      <c r="G1814" s="7"/>
      <c r="H1814" s="7"/>
      <c r="I1814" s="7"/>
      <c r="J1814" s="7"/>
      <c r="K1814" s="7"/>
      <c r="L1814" s="27"/>
      <c r="N1814" s="8"/>
      <c r="O1814" s="7"/>
      <c r="P1814" s="7"/>
      <c r="Q1814" s="7"/>
      <c r="R1814" s="7"/>
    </row>
    <row r="1815" spans="3:18">
      <c r="C1815" s="7"/>
      <c r="D1815" s="7"/>
      <c r="E1815" s="7"/>
      <c r="F1815" s="7"/>
      <c r="G1815" s="7"/>
      <c r="H1815" s="7"/>
      <c r="I1815" s="7"/>
      <c r="J1815" s="7"/>
      <c r="K1815" s="7"/>
      <c r="L1815" s="27"/>
      <c r="N1815" s="8"/>
      <c r="O1815" s="7"/>
      <c r="P1815" s="7"/>
      <c r="Q1815" s="7"/>
      <c r="R1815" s="7"/>
    </row>
    <row r="1816" spans="3:18">
      <c r="C1816" s="7"/>
      <c r="D1816" s="7"/>
      <c r="E1816" s="7"/>
      <c r="F1816" s="7"/>
      <c r="G1816" s="7"/>
      <c r="H1816" s="7"/>
      <c r="I1816" s="7"/>
      <c r="J1816" s="7"/>
      <c r="K1816" s="7"/>
      <c r="L1816" s="27"/>
      <c r="N1816" s="8"/>
      <c r="O1816" s="7"/>
      <c r="P1816" s="7"/>
      <c r="Q1816" s="7"/>
      <c r="R1816" s="7"/>
    </row>
    <row r="1817" spans="3:18">
      <c r="C1817" s="7"/>
      <c r="D1817" s="7"/>
      <c r="E1817" s="7"/>
      <c r="F1817" s="7"/>
      <c r="G1817" s="7"/>
      <c r="H1817" s="7"/>
      <c r="I1817" s="7"/>
      <c r="J1817" s="7"/>
      <c r="K1817" s="7"/>
      <c r="L1817" s="27"/>
      <c r="N1817" s="8"/>
      <c r="O1817" s="7"/>
      <c r="P1817" s="7"/>
      <c r="Q1817" s="7"/>
      <c r="R1817" s="7"/>
    </row>
    <row r="1818" spans="3:18">
      <c r="C1818" s="7"/>
      <c r="D1818" s="7"/>
      <c r="E1818" s="7"/>
      <c r="F1818" s="7"/>
      <c r="G1818" s="7"/>
      <c r="H1818" s="7"/>
      <c r="I1818" s="7"/>
      <c r="J1818" s="7"/>
      <c r="K1818" s="7"/>
      <c r="L1818" s="27"/>
      <c r="N1818" s="8"/>
      <c r="O1818" s="7"/>
      <c r="P1818" s="7"/>
      <c r="Q1818" s="7"/>
      <c r="R1818" s="7"/>
    </row>
    <row r="1819" spans="3:18">
      <c r="C1819" s="7"/>
      <c r="D1819" s="7"/>
      <c r="E1819" s="7"/>
      <c r="F1819" s="7"/>
      <c r="G1819" s="7"/>
      <c r="H1819" s="7"/>
      <c r="I1819" s="7"/>
      <c r="J1819" s="7"/>
      <c r="K1819" s="7"/>
      <c r="L1819" s="27"/>
      <c r="N1819" s="8"/>
      <c r="O1819" s="7"/>
      <c r="P1819" s="7"/>
      <c r="Q1819" s="7"/>
      <c r="R1819" s="7"/>
    </row>
    <row r="1820" spans="3:18">
      <c r="C1820" s="7"/>
      <c r="D1820" s="7"/>
      <c r="E1820" s="7"/>
      <c r="F1820" s="7"/>
      <c r="G1820" s="7"/>
      <c r="H1820" s="7"/>
      <c r="I1820" s="7"/>
      <c r="J1820" s="7"/>
      <c r="K1820" s="7"/>
      <c r="L1820" s="27"/>
      <c r="N1820" s="8"/>
      <c r="O1820" s="7"/>
      <c r="P1820" s="7"/>
      <c r="Q1820" s="7"/>
      <c r="R1820" s="7"/>
    </row>
    <row r="1821" spans="3:18">
      <c r="C1821" s="7"/>
      <c r="D1821" s="7"/>
      <c r="E1821" s="7"/>
      <c r="F1821" s="7"/>
      <c r="G1821" s="7"/>
      <c r="H1821" s="7"/>
      <c r="I1821" s="7"/>
      <c r="J1821" s="7"/>
      <c r="K1821" s="7"/>
      <c r="L1821" s="27"/>
      <c r="N1821" s="8"/>
      <c r="O1821" s="7"/>
      <c r="P1821" s="7"/>
      <c r="Q1821" s="7"/>
      <c r="R1821" s="7"/>
    </row>
    <row r="1822" spans="3:18">
      <c r="C1822" s="7"/>
      <c r="D1822" s="7"/>
      <c r="E1822" s="7"/>
      <c r="F1822" s="7"/>
      <c r="G1822" s="7"/>
      <c r="H1822" s="7"/>
      <c r="I1822" s="7"/>
      <c r="J1822" s="7"/>
      <c r="K1822" s="7"/>
      <c r="L1822" s="27"/>
      <c r="N1822" s="8"/>
      <c r="O1822" s="7"/>
      <c r="P1822" s="7"/>
      <c r="Q1822" s="7"/>
      <c r="R1822" s="7"/>
    </row>
    <row r="1823" spans="3:18">
      <c r="C1823" s="7"/>
      <c r="D1823" s="7"/>
      <c r="E1823" s="7"/>
      <c r="F1823" s="7"/>
      <c r="G1823" s="7"/>
      <c r="H1823" s="7"/>
      <c r="I1823" s="7"/>
      <c r="J1823" s="7"/>
      <c r="K1823" s="7"/>
      <c r="L1823" s="27"/>
      <c r="N1823" s="8"/>
      <c r="O1823" s="7"/>
      <c r="P1823" s="7"/>
      <c r="Q1823" s="7"/>
      <c r="R1823" s="7"/>
    </row>
    <row r="1824" spans="3:18">
      <c r="C1824" s="7"/>
      <c r="D1824" s="7"/>
      <c r="E1824" s="7"/>
      <c r="F1824" s="7"/>
      <c r="G1824" s="7"/>
      <c r="H1824" s="7"/>
      <c r="I1824" s="7"/>
      <c r="J1824" s="7"/>
      <c r="K1824" s="7"/>
      <c r="L1824" s="27"/>
      <c r="N1824" s="8"/>
      <c r="O1824" s="7"/>
      <c r="P1824" s="7"/>
      <c r="Q1824" s="7"/>
      <c r="R1824" s="7"/>
    </row>
    <row r="1825" spans="3:18">
      <c r="C1825" s="7"/>
      <c r="D1825" s="7"/>
      <c r="E1825" s="7"/>
      <c r="F1825" s="7"/>
      <c r="G1825" s="7"/>
      <c r="H1825" s="7"/>
      <c r="I1825" s="7"/>
      <c r="J1825" s="7"/>
      <c r="K1825" s="7"/>
      <c r="L1825" s="27"/>
      <c r="N1825" s="8"/>
      <c r="O1825" s="7"/>
      <c r="P1825" s="7"/>
      <c r="Q1825" s="7"/>
      <c r="R1825" s="7"/>
    </row>
    <row r="1826" spans="3:18">
      <c r="C1826" s="7"/>
      <c r="D1826" s="7"/>
      <c r="E1826" s="7"/>
      <c r="F1826" s="7"/>
      <c r="G1826" s="7"/>
      <c r="H1826" s="7"/>
      <c r="I1826" s="7"/>
      <c r="J1826" s="7"/>
      <c r="K1826" s="7"/>
      <c r="L1826" s="27"/>
      <c r="N1826" s="8"/>
      <c r="O1826" s="7"/>
      <c r="P1826" s="7"/>
      <c r="Q1826" s="7"/>
      <c r="R1826" s="7"/>
    </row>
    <row r="1827" spans="3:18">
      <c r="C1827" s="7"/>
      <c r="D1827" s="7"/>
      <c r="E1827" s="7"/>
      <c r="F1827" s="7"/>
      <c r="G1827" s="7"/>
      <c r="H1827" s="7"/>
      <c r="I1827" s="7"/>
      <c r="J1827" s="7"/>
      <c r="K1827" s="7"/>
      <c r="L1827" s="27"/>
      <c r="N1827" s="8"/>
      <c r="O1827" s="7"/>
      <c r="P1827" s="7"/>
      <c r="Q1827" s="7"/>
      <c r="R1827" s="7"/>
    </row>
    <row r="1828" spans="3:18">
      <c r="C1828" s="7"/>
      <c r="D1828" s="7"/>
      <c r="E1828" s="7"/>
      <c r="F1828" s="7"/>
      <c r="G1828" s="7"/>
      <c r="H1828" s="7"/>
      <c r="I1828" s="7"/>
      <c r="J1828" s="7"/>
      <c r="K1828" s="7"/>
      <c r="L1828" s="27"/>
      <c r="N1828" s="8"/>
      <c r="O1828" s="7"/>
      <c r="P1828" s="7"/>
      <c r="Q1828" s="7"/>
      <c r="R1828" s="7"/>
    </row>
    <row r="1829" spans="3:18">
      <c r="C1829" s="7"/>
      <c r="D1829" s="7"/>
      <c r="E1829" s="7"/>
      <c r="F1829" s="7"/>
      <c r="G1829" s="7"/>
      <c r="H1829" s="7"/>
      <c r="I1829" s="7"/>
      <c r="J1829" s="7"/>
      <c r="K1829" s="7"/>
      <c r="L1829" s="27"/>
      <c r="N1829" s="8"/>
      <c r="O1829" s="7"/>
      <c r="P1829" s="7"/>
      <c r="Q1829" s="7"/>
      <c r="R1829" s="7"/>
    </row>
    <row r="1830" spans="3:18">
      <c r="C1830" s="7"/>
      <c r="D1830" s="7"/>
      <c r="E1830" s="7"/>
      <c r="F1830" s="7"/>
      <c r="G1830" s="7"/>
      <c r="H1830" s="7"/>
      <c r="I1830" s="7"/>
      <c r="J1830" s="7"/>
      <c r="K1830" s="7"/>
      <c r="L1830" s="27"/>
      <c r="N1830" s="8"/>
      <c r="O1830" s="7"/>
      <c r="P1830" s="7"/>
      <c r="Q1830" s="7"/>
      <c r="R1830" s="7"/>
    </row>
    <row r="1831" spans="3:18">
      <c r="C1831" s="7"/>
      <c r="D1831" s="7"/>
      <c r="E1831" s="7"/>
      <c r="F1831" s="7"/>
      <c r="G1831" s="7"/>
      <c r="H1831" s="7"/>
      <c r="I1831" s="7"/>
      <c r="J1831" s="7"/>
      <c r="K1831" s="7"/>
      <c r="L1831" s="27"/>
      <c r="N1831" s="8"/>
      <c r="O1831" s="7"/>
      <c r="P1831" s="7"/>
      <c r="Q1831" s="7"/>
      <c r="R1831" s="7"/>
    </row>
    <row r="1832" spans="3:18">
      <c r="C1832" s="7"/>
      <c r="D1832" s="7"/>
      <c r="E1832" s="7"/>
      <c r="F1832" s="7"/>
      <c r="G1832" s="7"/>
      <c r="H1832" s="7"/>
      <c r="I1832" s="7"/>
      <c r="J1832" s="7"/>
      <c r="K1832" s="7"/>
      <c r="L1832" s="27"/>
      <c r="N1832" s="8"/>
      <c r="O1832" s="7"/>
      <c r="P1832" s="7"/>
      <c r="Q1832" s="7"/>
      <c r="R1832" s="7"/>
    </row>
    <row r="1833" spans="3:18">
      <c r="C1833" s="7"/>
      <c r="D1833" s="7"/>
      <c r="E1833" s="7"/>
      <c r="F1833" s="7"/>
      <c r="G1833" s="7"/>
      <c r="H1833" s="7"/>
      <c r="I1833" s="7"/>
      <c r="J1833" s="7"/>
      <c r="K1833" s="7"/>
      <c r="L1833" s="27"/>
      <c r="N1833" s="8"/>
      <c r="O1833" s="7"/>
      <c r="P1833" s="7"/>
      <c r="Q1833" s="7"/>
      <c r="R1833" s="7"/>
    </row>
    <row r="1834" spans="3:18">
      <c r="C1834" s="7"/>
      <c r="D1834" s="7"/>
      <c r="E1834" s="7"/>
      <c r="F1834" s="7"/>
      <c r="G1834" s="7"/>
      <c r="H1834" s="7"/>
      <c r="I1834" s="7"/>
      <c r="J1834" s="7"/>
      <c r="K1834" s="7"/>
      <c r="L1834" s="27"/>
      <c r="N1834" s="8"/>
      <c r="O1834" s="7"/>
      <c r="P1834" s="7"/>
      <c r="Q1834" s="7"/>
      <c r="R1834" s="7"/>
    </row>
    <row r="1835" spans="3:18">
      <c r="C1835" s="7"/>
      <c r="D1835" s="7"/>
      <c r="E1835" s="7"/>
      <c r="F1835" s="7"/>
      <c r="G1835" s="7"/>
      <c r="H1835" s="7"/>
      <c r="I1835" s="7"/>
      <c r="J1835" s="7"/>
      <c r="K1835" s="7"/>
      <c r="L1835" s="27"/>
      <c r="N1835" s="8"/>
      <c r="O1835" s="7"/>
      <c r="P1835" s="7"/>
      <c r="Q1835" s="7"/>
      <c r="R1835" s="7"/>
    </row>
    <row r="1836" spans="3:18">
      <c r="C1836" s="7"/>
      <c r="D1836" s="7"/>
      <c r="E1836" s="7"/>
      <c r="F1836" s="7"/>
      <c r="G1836" s="7"/>
      <c r="H1836" s="7"/>
      <c r="I1836" s="7"/>
      <c r="J1836" s="7"/>
      <c r="K1836" s="7"/>
      <c r="L1836" s="27"/>
      <c r="N1836" s="8"/>
      <c r="O1836" s="7"/>
      <c r="P1836" s="7"/>
      <c r="Q1836" s="7"/>
      <c r="R1836" s="7"/>
    </row>
    <row r="1837" spans="3:18">
      <c r="C1837" s="7"/>
      <c r="D1837" s="7"/>
      <c r="E1837" s="7"/>
      <c r="F1837" s="7"/>
      <c r="G1837" s="7"/>
      <c r="H1837" s="7"/>
      <c r="I1837" s="7"/>
      <c r="J1837" s="7"/>
      <c r="K1837" s="7"/>
      <c r="L1837" s="27"/>
      <c r="N1837" s="8"/>
      <c r="O1837" s="7"/>
      <c r="P1837" s="7"/>
      <c r="Q1837" s="7"/>
      <c r="R1837" s="7"/>
    </row>
    <row r="1838" spans="3:18">
      <c r="C1838" s="7"/>
      <c r="D1838" s="7"/>
      <c r="E1838" s="7"/>
      <c r="F1838" s="7"/>
      <c r="G1838" s="7"/>
      <c r="H1838" s="7"/>
      <c r="I1838" s="7"/>
      <c r="J1838" s="7"/>
      <c r="K1838" s="7"/>
      <c r="L1838" s="27"/>
      <c r="N1838" s="8"/>
      <c r="O1838" s="7"/>
      <c r="P1838" s="7"/>
      <c r="Q1838" s="7"/>
      <c r="R1838" s="7"/>
    </row>
    <row r="1839" spans="3:18">
      <c r="C1839" s="7"/>
      <c r="D1839" s="7"/>
      <c r="E1839" s="7"/>
      <c r="F1839" s="7"/>
      <c r="G1839" s="7"/>
      <c r="H1839" s="7"/>
      <c r="I1839" s="7"/>
      <c r="J1839" s="7"/>
      <c r="K1839" s="7"/>
      <c r="L1839" s="27"/>
      <c r="N1839" s="8"/>
      <c r="O1839" s="7"/>
      <c r="P1839" s="7"/>
      <c r="Q1839" s="7"/>
      <c r="R1839" s="7"/>
    </row>
    <row r="1840" spans="3:18">
      <c r="C1840" s="7"/>
      <c r="D1840" s="7"/>
      <c r="E1840" s="7"/>
      <c r="F1840" s="7"/>
      <c r="G1840" s="7"/>
      <c r="H1840" s="7"/>
      <c r="I1840" s="7"/>
      <c r="J1840" s="7"/>
      <c r="K1840" s="7"/>
      <c r="L1840" s="27"/>
      <c r="N1840" s="8"/>
      <c r="O1840" s="7"/>
      <c r="P1840" s="7"/>
      <c r="Q1840" s="7"/>
      <c r="R1840" s="7"/>
    </row>
    <row r="1841" spans="3:18">
      <c r="C1841" s="7"/>
      <c r="D1841" s="7"/>
      <c r="E1841" s="7"/>
      <c r="F1841" s="7"/>
      <c r="G1841" s="7"/>
      <c r="H1841" s="7"/>
      <c r="I1841" s="7"/>
      <c r="J1841" s="7"/>
      <c r="K1841" s="7"/>
      <c r="L1841" s="27"/>
      <c r="N1841" s="8"/>
      <c r="O1841" s="7"/>
      <c r="P1841" s="7"/>
      <c r="Q1841" s="7"/>
      <c r="R1841" s="7"/>
    </row>
    <row r="1842" spans="3:18">
      <c r="C1842" s="7"/>
      <c r="D1842" s="7"/>
      <c r="E1842" s="7"/>
      <c r="F1842" s="7"/>
      <c r="G1842" s="7"/>
      <c r="H1842" s="7"/>
      <c r="I1842" s="7"/>
      <c r="J1842" s="7"/>
      <c r="K1842" s="7"/>
      <c r="L1842" s="27"/>
      <c r="N1842" s="8"/>
      <c r="O1842" s="7"/>
      <c r="P1842" s="7"/>
      <c r="Q1842" s="7"/>
      <c r="R1842" s="7"/>
    </row>
    <row r="1843" spans="3:18">
      <c r="C1843" s="7"/>
      <c r="D1843" s="7"/>
      <c r="E1843" s="7"/>
      <c r="F1843" s="7"/>
      <c r="G1843" s="7"/>
      <c r="H1843" s="7"/>
      <c r="I1843" s="7"/>
      <c r="J1843" s="7"/>
      <c r="K1843" s="7"/>
      <c r="L1843" s="27"/>
      <c r="N1843" s="8"/>
      <c r="O1843" s="7"/>
      <c r="P1843" s="7"/>
      <c r="Q1843" s="7"/>
      <c r="R1843" s="7"/>
    </row>
    <row r="1844" spans="3:18">
      <c r="C1844" s="7"/>
      <c r="D1844" s="7"/>
      <c r="E1844" s="7"/>
      <c r="F1844" s="7"/>
      <c r="G1844" s="7"/>
      <c r="H1844" s="7"/>
      <c r="I1844" s="7"/>
      <c r="J1844" s="7"/>
      <c r="K1844" s="7"/>
      <c r="L1844" s="27"/>
      <c r="N1844" s="8"/>
      <c r="O1844" s="7"/>
      <c r="P1844" s="7"/>
      <c r="Q1844" s="7"/>
      <c r="R1844" s="7"/>
    </row>
    <row r="1845" spans="3:18">
      <c r="C1845" s="7"/>
      <c r="D1845" s="7"/>
      <c r="E1845" s="7"/>
      <c r="F1845" s="7"/>
      <c r="G1845" s="7"/>
      <c r="H1845" s="7"/>
      <c r="I1845" s="7"/>
      <c r="J1845" s="7"/>
      <c r="K1845" s="7"/>
      <c r="L1845" s="27"/>
      <c r="N1845" s="8"/>
      <c r="O1845" s="7"/>
      <c r="P1845" s="7"/>
      <c r="Q1845" s="7"/>
      <c r="R1845" s="7"/>
    </row>
    <row r="1846" spans="3:18">
      <c r="C1846" s="7"/>
      <c r="D1846" s="7"/>
      <c r="E1846" s="7"/>
      <c r="F1846" s="7"/>
      <c r="G1846" s="7"/>
      <c r="H1846" s="7"/>
      <c r="I1846" s="7"/>
      <c r="J1846" s="7"/>
      <c r="K1846" s="7"/>
      <c r="L1846" s="27"/>
      <c r="N1846" s="8"/>
      <c r="O1846" s="7"/>
      <c r="P1846" s="7"/>
      <c r="Q1846" s="7"/>
      <c r="R1846" s="7"/>
    </row>
    <row r="1847" spans="3:18">
      <c r="C1847" s="7"/>
      <c r="D1847" s="7"/>
      <c r="E1847" s="7"/>
      <c r="F1847" s="7"/>
      <c r="G1847" s="7"/>
      <c r="H1847" s="7"/>
      <c r="I1847" s="7"/>
      <c r="J1847" s="7"/>
      <c r="K1847" s="7"/>
      <c r="L1847" s="27"/>
      <c r="N1847" s="8"/>
      <c r="O1847" s="7"/>
      <c r="P1847" s="7"/>
      <c r="Q1847" s="7"/>
      <c r="R1847" s="7"/>
    </row>
    <row r="1848" spans="3:18">
      <c r="C1848" s="7"/>
      <c r="D1848" s="7"/>
      <c r="E1848" s="7"/>
      <c r="F1848" s="7"/>
      <c r="G1848" s="7"/>
      <c r="H1848" s="7"/>
      <c r="I1848" s="7"/>
      <c r="J1848" s="7"/>
      <c r="K1848" s="7"/>
      <c r="L1848" s="27"/>
      <c r="N1848" s="8"/>
      <c r="O1848" s="7"/>
      <c r="P1848" s="7"/>
      <c r="Q1848" s="7"/>
      <c r="R1848" s="7"/>
    </row>
    <row r="1849" spans="3:18">
      <c r="C1849" s="7"/>
      <c r="D1849" s="7"/>
      <c r="E1849" s="7"/>
      <c r="F1849" s="7"/>
      <c r="G1849" s="7"/>
      <c r="H1849" s="7"/>
      <c r="I1849" s="7"/>
      <c r="J1849" s="7"/>
      <c r="K1849" s="7"/>
      <c r="L1849" s="27"/>
      <c r="N1849" s="8"/>
      <c r="O1849" s="7"/>
      <c r="P1849" s="7"/>
      <c r="Q1849" s="7"/>
      <c r="R1849" s="7"/>
    </row>
    <row r="1850" spans="3:18">
      <c r="C1850" s="7"/>
      <c r="D1850" s="7"/>
      <c r="E1850" s="7"/>
      <c r="F1850" s="7"/>
      <c r="G1850" s="7"/>
      <c r="H1850" s="7"/>
      <c r="I1850" s="7"/>
      <c r="J1850" s="7"/>
      <c r="K1850" s="7"/>
      <c r="L1850" s="27"/>
      <c r="N1850" s="8"/>
      <c r="O1850" s="7"/>
      <c r="P1850" s="7"/>
      <c r="Q1850" s="7"/>
      <c r="R1850" s="7"/>
    </row>
    <row r="1851" spans="3:18">
      <c r="C1851" s="7"/>
      <c r="D1851" s="7"/>
      <c r="E1851" s="7"/>
      <c r="F1851" s="7"/>
      <c r="G1851" s="7"/>
      <c r="H1851" s="7"/>
      <c r="I1851" s="7"/>
      <c r="J1851" s="7"/>
      <c r="K1851" s="7"/>
      <c r="L1851" s="27"/>
      <c r="N1851" s="8"/>
      <c r="O1851" s="7"/>
      <c r="P1851" s="7"/>
      <c r="Q1851" s="7"/>
      <c r="R1851" s="7"/>
    </row>
    <row r="1852" spans="3:18">
      <c r="C1852" s="7"/>
      <c r="D1852" s="7"/>
      <c r="E1852" s="7"/>
      <c r="F1852" s="7"/>
      <c r="G1852" s="7"/>
      <c r="H1852" s="7"/>
      <c r="I1852" s="7"/>
      <c r="J1852" s="7"/>
      <c r="K1852" s="7"/>
      <c r="L1852" s="27"/>
      <c r="N1852" s="8"/>
      <c r="O1852" s="7"/>
      <c r="P1852" s="7"/>
      <c r="Q1852" s="7"/>
      <c r="R1852" s="7"/>
    </row>
    <row r="1853" spans="3:18">
      <c r="C1853" s="7"/>
      <c r="D1853" s="7"/>
      <c r="E1853" s="7"/>
      <c r="F1853" s="7"/>
      <c r="G1853" s="7"/>
      <c r="H1853" s="7"/>
      <c r="I1853" s="7"/>
      <c r="J1853" s="7"/>
      <c r="K1853" s="7"/>
      <c r="L1853" s="27"/>
      <c r="N1853" s="8"/>
      <c r="O1853" s="7"/>
      <c r="P1853" s="7"/>
      <c r="Q1853" s="7"/>
      <c r="R1853" s="7"/>
    </row>
    <row r="1854" spans="3:18">
      <c r="C1854" s="7"/>
      <c r="D1854" s="7"/>
      <c r="E1854" s="7"/>
      <c r="F1854" s="7"/>
      <c r="G1854" s="7"/>
      <c r="H1854" s="7"/>
      <c r="I1854" s="7"/>
      <c r="J1854" s="7"/>
      <c r="K1854" s="7"/>
      <c r="L1854" s="27"/>
      <c r="N1854" s="8"/>
      <c r="O1854" s="7"/>
      <c r="P1854" s="7"/>
      <c r="Q1854" s="7"/>
      <c r="R1854" s="7"/>
    </row>
    <row r="1855" spans="3:18">
      <c r="C1855" s="7"/>
      <c r="D1855" s="7"/>
      <c r="E1855" s="7"/>
      <c r="F1855" s="7"/>
      <c r="G1855" s="7"/>
      <c r="H1855" s="7"/>
      <c r="I1855" s="7"/>
      <c r="J1855" s="7"/>
      <c r="K1855" s="7"/>
      <c r="L1855" s="27"/>
      <c r="N1855" s="8"/>
      <c r="O1855" s="7"/>
      <c r="P1855" s="7"/>
      <c r="Q1855" s="7"/>
      <c r="R1855" s="7"/>
    </row>
    <row r="1856" spans="3:18">
      <c r="C1856" s="7"/>
      <c r="D1856" s="7"/>
      <c r="E1856" s="7"/>
      <c r="F1856" s="7"/>
      <c r="G1856" s="7"/>
      <c r="H1856" s="7"/>
      <c r="I1856" s="7"/>
      <c r="J1856" s="7"/>
      <c r="K1856" s="7"/>
      <c r="L1856" s="27"/>
      <c r="N1856" s="8"/>
      <c r="O1856" s="7"/>
      <c r="P1856" s="7"/>
      <c r="Q1856" s="7"/>
      <c r="R1856" s="7"/>
    </row>
    <row r="1857" spans="3:18">
      <c r="C1857" s="7"/>
      <c r="D1857" s="7"/>
      <c r="E1857" s="7"/>
      <c r="F1857" s="7"/>
      <c r="G1857" s="7"/>
      <c r="H1857" s="7"/>
      <c r="I1857" s="7"/>
      <c r="J1857" s="7"/>
      <c r="K1857" s="7"/>
      <c r="L1857" s="27"/>
      <c r="N1857" s="8"/>
      <c r="O1857" s="7"/>
      <c r="P1857" s="7"/>
      <c r="Q1857" s="7"/>
      <c r="R1857" s="7"/>
    </row>
    <row r="1858" spans="3:18">
      <c r="C1858" s="7"/>
      <c r="D1858" s="7"/>
      <c r="E1858" s="7"/>
      <c r="F1858" s="7"/>
      <c r="G1858" s="7"/>
      <c r="H1858" s="7"/>
      <c r="I1858" s="7"/>
      <c r="J1858" s="7"/>
      <c r="K1858" s="7"/>
      <c r="L1858" s="27"/>
      <c r="N1858" s="8"/>
      <c r="O1858" s="7"/>
      <c r="P1858" s="7"/>
      <c r="Q1858" s="7"/>
      <c r="R1858" s="7"/>
    </row>
    <row r="1859" spans="3:18">
      <c r="C1859" s="7"/>
      <c r="D1859" s="7"/>
      <c r="E1859" s="7"/>
      <c r="F1859" s="7"/>
      <c r="G1859" s="7"/>
      <c r="H1859" s="7"/>
      <c r="I1859" s="7"/>
      <c r="J1859" s="7"/>
      <c r="K1859" s="7"/>
      <c r="L1859" s="27"/>
      <c r="N1859" s="8"/>
      <c r="O1859" s="7"/>
      <c r="P1859" s="7"/>
      <c r="Q1859" s="7"/>
      <c r="R1859" s="7"/>
    </row>
    <row r="1860" spans="3:18">
      <c r="C1860" s="7"/>
      <c r="D1860" s="7"/>
      <c r="E1860" s="7"/>
      <c r="F1860" s="7"/>
      <c r="G1860" s="7"/>
      <c r="H1860" s="7"/>
      <c r="I1860" s="7"/>
      <c r="J1860" s="7"/>
      <c r="K1860" s="7"/>
      <c r="L1860" s="27"/>
      <c r="N1860" s="8"/>
      <c r="O1860" s="7"/>
      <c r="P1860" s="7"/>
      <c r="Q1860" s="7"/>
      <c r="R1860" s="7"/>
    </row>
    <row r="1861" spans="3:18">
      <c r="C1861" s="7"/>
      <c r="D1861" s="7"/>
      <c r="E1861" s="7"/>
      <c r="F1861" s="7"/>
      <c r="G1861" s="7"/>
      <c r="H1861" s="7"/>
      <c r="I1861" s="7"/>
      <c r="J1861" s="7"/>
      <c r="K1861" s="7"/>
      <c r="L1861" s="27"/>
      <c r="N1861" s="8"/>
      <c r="O1861" s="7"/>
      <c r="P1861" s="7"/>
      <c r="Q1861" s="7"/>
      <c r="R1861" s="7"/>
    </row>
    <row r="1862" spans="3:18">
      <c r="C1862" s="7"/>
      <c r="D1862" s="7"/>
      <c r="E1862" s="7"/>
      <c r="F1862" s="7"/>
      <c r="G1862" s="7"/>
      <c r="H1862" s="7"/>
      <c r="I1862" s="7"/>
      <c r="J1862" s="7"/>
      <c r="K1862" s="7"/>
      <c r="L1862" s="27"/>
      <c r="N1862" s="8"/>
      <c r="O1862" s="7"/>
      <c r="P1862" s="7"/>
      <c r="Q1862" s="7"/>
      <c r="R1862" s="7"/>
    </row>
    <row r="1863" spans="3:18">
      <c r="C1863" s="7"/>
      <c r="D1863" s="7"/>
      <c r="E1863" s="7"/>
      <c r="F1863" s="7"/>
      <c r="G1863" s="7"/>
      <c r="H1863" s="7"/>
      <c r="I1863" s="7"/>
      <c r="J1863" s="7"/>
      <c r="K1863" s="7"/>
      <c r="L1863" s="27"/>
      <c r="N1863" s="8"/>
      <c r="O1863" s="7"/>
      <c r="P1863" s="7"/>
      <c r="Q1863" s="7"/>
      <c r="R1863" s="7"/>
    </row>
    <row r="1864" spans="3:18">
      <c r="C1864" s="7"/>
      <c r="D1864" s="7"/>
      <c r="E1864" s="7"/>
      <c r="F1864" s="7"/>
      <c r="G1864" s="7"/>
      <c r="H1864" s="7"/>
      <c r="I1864" s="7"/>
      <c r="J1864" s="7"/>
      <c r="K1864" s="7"/>
      <c r="L1864" s="27"/>
      <c r="N1864" s="8"/>
      <c r="O1864" s="7"/>
      <c r="P1864" s="7"/>
      <c r="Q1864" s="7"/>
      <c r="R1864" s="7"/>
    </row>
    <row r="1865" spans="3:18">
      <c r="C1865" s="7"/>
      <c r="D1865" s="7"/>
      <c r="E1865" s="7"/>
      <c r="F1865" s="7"/>
      <c r="G1865" s="7"/>
      <c r="H1865" s="7"/>
      <c r="I1865" s="7"/>
      <c r="J1865" s="7"/>
      <c r="K1865" s="7"/>
      <c r="L1865" s="27"/>
      <c r="N1865" s="8"/>
      <c r="O1865" s="7"/>
      <c r="P1865" s="7"/>
      <c r="Q1865" s="7"/>
      <c r="R1865" s="7"/>
    </row>
    <row r="1866" spans="3:18">
      <c r="C1866" s="7"/>
      <c r="D1866" s="7"/>
      <c r="E1866" s="7"/>
      <c r="F1866" s="7"/>
      <c r="G1866" s="7"/>
      <c r="H1866" s="7"/>
      <c r="I1866" s="7"/>
      <c r="J1866" s="7"/>
      <c r="K1866" s="7"/>
      <c r="L1866" s="27"/>
      <c r="N1866" s="8"/>
      <c r="O1866" s="7"/>
      <c r="P1866" s="7"/>
      <c r="Q1866" s="7"/>
      <c r="R1866" s="7"/>
    </row>
    <row r="1867" spans="3:18">
      <c r="C1867" s="7"/>
      <c r="D1867" s="7"/>
      <c r="E1867" s="7"/>
      <c r="F1867" s="7"/>
      <c r="G1867" s="7"/>
      <c r="H1867" s="7"/>
      <c r="I1867" s="7"/>
      <c r="J1867" s="7"/>
      <c r="K1867" s="7"/>
      <c r="L1867" s="27"/>
      <c r="N1867" s="8"/>
      <c r="O1867" s="7"/>
      <c r="P1867" s="7"/>
      <c r="Q1867" s="7"/>
      <c r="R1867" s="7"/>
    </row>
    <row r="1868" spans="3:18">
      <c r="C1868" s="7"/>
      <c r="D1868" s="7"/>
      <c r="E1868" s="7"/>
      <c r="F1868" s="7"/>
      <c r="G1868" s="7"/>
      <c r="H1868" s="7"/>
      <c r="I1868" s="7"/>
      <c r="J1868" s="7"/>
      <c r="K1868" s="7"/>
      <c r="L1868" s="27"/>
      <c r="N1868" s="8"/>
      <c r="O1868" s="7"/>
      <c r="P1868" s="7"/>
      <c r="Q1868" s="7"/>
      <c r="R1868" s="7"/>
    </row>
    <row r="1869" spans="3:18">
      <c r="C1869" s="7"/>
      <c r="D1869" s="7"/>
      <c r="E1869" s="7"/>
      <c r="F1869" s="7"/>
      <c r="G1869" s="7"/>
      <c r="H1869" s="7"/>
      <c r="I1869" s="7"/>
      <c r="J1869" s="7"/>
      <c r="K1869" s="7"/>
      <c r="L1869" s="27"/>
      <c r="N1869" s="8"/>
      <c r="O1869" s="7"/>
      <c r="P1869" s="7"/>
      <c r="Q1869" s="7"/>
      <c r="R1869" s="7"/>
    </row>
    <row r="1870" spans="3:18">
      <c r="C1870" s="7"/>
      <c r="D1870" s="7"/>
      <c r="E1870" s="7"/>
      <c r="F1870" s="7"/>
      <c r="G1870" s="7"/>
      <c r="H1870" s="7"/>
      <c r="I1870" s="7"/>
      <c r="J1870" s="7"/>
      <c r="K1870" s="7"/>
      <c r="L1870" s="27"/>
      <c r="N1870" s="8"/>
      <c r="O1870" s="7"/>
      <c r="P1870" s="7"/>
      <c r="Q1870" s="7"/>
      <c r="R1870" s="7"/>
    </row>
    <row r="1871" spans="3:18">
      <c r="C1871" s="7"/>
      <c r="D1871" s="7"/>
      <c r="E1871" s="7"/>
      <c r="F1871" s="7"/>
      <c r="G1871" s="7"/>
      <c r="H1871" s="7"/>
      <c r="I1871" s="7"/>
      <c r="J1871" s="7"/>
      <c r="K1871" s="7"/>
      <c r="L1871" s="27"/>
      <c r="N1871" s="8"/>
      <c r="O1871" s="7"/>
      <c r="P1871" s="7"/>
      <c r="Q1871" s="7"/>
      <c r="R1871" s="7"/>
    </row>
    <row r="1872" spans="3:18">
      <c r="C1872" s="7"/>
      <c r="D1872" s="7"/>
      <c r="E1872" s="7"/>
      <c r="F1872" s="7"/>
      <c r="G1872" s="7"/>
      <c r="H1872" s="7"/>
      <c r="I1872" s="7"/>
      <c r="J1872" s="7"/>
      <c r="K1872" s="7"/>
      <c r="L1872" s="27"/>
      <c r="N1872" s="8"/>
      <c r="O1872" s="7"/>
      <c r="P1872" s="7"/>
      <c r="Q1872" s="7"/>
      <c r="R1872" s="7"/>
    </row>
    <row r="1873" spans="3:18">
      <c r="C1873" s="7"/>
      <c r="D1873" s="7"/>
      <c r="E1873" s="7"/>
      <c r="F1873" s="7"/>
      <c r="G1873" s="7"/>
      <c r="H1873" s="7"/>
      <c r="I1873" s="7"/>
      <c r="J1873" s="7"/>
      <c r="K1873" s="7"/>
      <c r="L1873" s="27"/>
      <c r="N1873" s="8"/>
      <c r="O1873" s="7"/>
      <c r="P1873" s="7"/>
      <c r="Q1873" s="7"/>
      <c r="R1873" s="7"/>
    </row>
    <row r="1874" spans="3:18">
      <c r="C1874" s="7"/>
      <c r="D1874" s="7"/>
      <c r="E1874" s="7"/>
      <c r="F1874" s="7"/>
      <c r="G1874" s="7"/>
      <c r="H1874" s="7"/>
      <c r="I1874" s="7"/>
      <c r="J1874" s="7"/>
      <c r="K1874" s="7"/>
      <c r="L1874" s="27"/>
      <c r="N1874" s="8"/>
      <c r="O1874" s="7"/>
      <c r="P1874" s="7"/>
      <c r="Q1874" s="7"/>
      <c r="R1874" s="7"/>
    </row>
    <row r="1875" spans="3:18">
      <c r="C1875" s="7"/>
      <c r="D1875" s="7"/>
      <c r="E1875" s="7"/>
      <c r="F1875" s="7"/>
      <c r="G1875" s="7"/>
      <c r="H1875" s="7"/>
      <c r="I1875" s="7"/>
      <c r="J1875" s="7"/>
      <c r="K1875" s="7"/>
      <c r="L1875" s="27"/>
      <c r="N1875" s="8"/>
      <c r="O1875" s="7"/>
      <c r="P1875" s="7"/>
      <c r="Q1875" s="7"/>
      <c r="R1875" s="7"/>
    </row>
    <row r="1876" spans="3:18">
      <c r="C1876" s="7"/>
      <c r="D1876" s="7"/>
      <c r="E1876" s="7"/>
      <c r="F1876" s="7"/>
      <c r="G1876" s="7"/>
      <c r="H1876" s="7"/>
      <c r="I1876" s="7"/>
      <c r="J1876" s="7"/>
      <c r="K1876" s="7"/>
      <c r="L1876" s="27"/>
      <c r="N1876" s="8"/>
      <c r="O1876" s="7"/>
      <c r="P1876" s="7"/>
      <c r="Q1876" s="7"/>
      <c r="R1876" s="7"/>
    </row>
    <row r="1877" spans="3:18">
      <c r="C1877" s="7"/>
      <c r="D1877" s="7"/>
      <c r="E1877" s="7"/>
      <c r="F1877" s="7"/>
      <c r="G1877" s="7"/>
      <c r="H1877" s="7"/>
      <c r="I1877" s="7"/>
      <c r="J1877" s="7"/>
      <c r="K1877" s="7"/>
      <c r="L1877" s="27"/>
      <c r="N1877" s="8"/>
      <c r="O1877" s="7"/>
      <c r="P1877" s="7"/>
      <c r="Q1877" s="7"/>
      <c r="R1877" s="7"/>
    </row>
    <row r="1878" spans="3:18">
      <c r="C1878" s="7"/>
      <c r="D1878" s="7"/>
      <c r="E1878" s="7"/>
      <c r="F1878" s="7"/>
      <c r="G1878" s="7"/>
      <c r="H1878" s="7"/>
      <c r="I1878" s="7"/>
      <c r="J1878" s="7"/>
      <c r="K1878" s="7"/>
      <c r="L1878" s="27"/>
      <c r="N1878" s="8"/>
      <c r="O1878" s="7"/>
      <c r="P1878" s="7"/>
      <c r="Q1878" s="7"/>
      <c r="R1878" s="7"/>
    </row>
    <row r="1879" spans="3:18">
      <c r="C1879" s="7"/>
      <c r="D1879" s="7"/>
      <c r="E1879" s="7"/>
      <c r="F1879" s="7"/>
      <c r="G1879" s="7"/>
      <c r="H1879" s="7"/>
      <c r="I1879" s="7"/>
      <c r="J1879" s="7"/>
      <c r="K1879" s="7"/>
      <c r="L1879" s="27"/>
      <c r="N1879" s="8"/>
      <c r="O1879" s="7"/>
      <c r="P1879" s="7"/>
      <c r="Q1879" s="7"/>
      <c r="R1879" s="7"/>
    </row>
    <row r="1880" spans="3:18">
      <c r="C1880" s="7"/>
      <c r="D1880" s="7"/>
      <c r="E1880" s="7"/>
      <c r="F1880" s="7"/>
      <c r="G1880" s="7"/>
      <c r="H1880" s="7"/>
      <c r="I1880" s="7"/>
      <c r="J1880" s="7"/>
      <c r="K1880" s="7"/>
      <c r="L1880" s="27"/>
      <c r="N1880" s="8"/>
      <c r="O1880" s="7"/>
      <c r="P1880" s="7"/>
      <c r="Q1880" s="7"/>
      <c r="R1880" s="7"/>
    </row>
    <row r="1881" spans="3:18">
      <c r="C1881" s="7"/>
      <c r="D1881" s="7"/>
      <c r="E1881" s="7"/>
      <c r="F1881" s="7"/>
      <c r="G1881" s="7"/>
      <c r="H1881" s="7"/>
      <c r="I1881" s="7"/>
      <c r="J1881" s="7"/>
      <c r="K1881" s="7"/>
      <c r="L1881" s="27"/>
      <c r="N1881" s="8"/>
      <c r="O1881" s="7"/>
      <c r="P1881" s="7"/>
      <c r="Q1881" s="7"/>
      <c r="R1881" s="7"/>
    </row>
    <row r="1882" spans="3:18">
      <c r="C1882" s="7"/>
      <c r="D1882" s="7"/>
      <c r="E1882" s="7"/>
      <c r="F1882" s="7"/>
      <c r="G1882" s="7"/>
      <c r="H1882" s="7"/>
      <c r="I1882" s="7"/>
      <c r="J1882" s="7"/>
      <c r="K1882" s="7"/>
      <c r="L1882" s="27"/>
      <c r="N1882" s="8"/>
      <c r="O1882" s="7"/>
      <c r="P1882" s="7"/>
      <c r="Q1882" s="7"/>
      <c r="R1882" s="7"/>
    </row>
    <row r="1883" spans="3:18">
      <c r="C1883" s="7"/>
      <c r="D1883" s="7"/>
      <c r="E1883" s="7"/>
      <c r="F1883" s="7"/>
      <c r="G1883" s="7"/>
      <c r="H1883" s="7"/>
      <c r="I1883" s="7"/>
      <c r="J1883" s="7"/>
      <c r="K1883" s="7"/>
      <c r="L1883" s="27"/>
      <c r="N1883" s="8"/>
      <c r="O1883" s="7"/>
      <c r="P1883" s="7"/>
      <c r="Q1883" s="7"/>
      <c r="R1883" s="7"/>
    </row>
    <row r="1884" spans="3:18">
      <c r="C1884" s="7"/>
      <c r="D1884" s="7"/>
      <c r="E1884" s="7"/>
      <c r="F1884" s="7"/>
      <c r="G1884" s="7"/>
      <c r="H1884" s="7"/>
      <c r="I1884" s="7"/>
      <c r="J1884" s="7"/>
      <c r="K1884" s="7"/>
      <c r="L1884" s="27"/>
      <c r="N1884" s="8"/>
      <c r="O1884" s="7"/>
      <c r="P1884" s="7"/>
      <c r="Q1884" s="7"/>
      <c r="R1884" s="7"/>
    </row>
    <row r="1885" spans="3:18">
      <c r="C1885" s="7"/>
      <c r="D1885" s="7"/>
      <c r="E1885" s="7"/>
      <c r="F1885" s="7"/>
      <c r="G1885" s="7"/>
      <c r="H1885" s="7"/>
      <c r="I1885" s="7"/>
      <c r="J1885" s="7"/>
      <c r="K1885" s="7"/>
      <c r="L1885" s="27"/>
      <c r="N1885" s="8"/>
      <c r="O1885" s="7"/>
      <c r="P1885" s="7"/>
      <c r="Q1885" s="7"/>
      <c r="R1885" s="7"/>
    </row>
    <row r="1886" spans="3:18">
      <c r="C1886" s="7"/>
      <c r="D1886" s="7"/>
      <c r="E1886" s="7"/>
      <c r="F1886" s="7"/>
      <c r="G1886" s="7"/>
      <c r="H1886" s="7"/>
      <c r="I1886" s="7"/>
      <c r="J1886" s="7"/>
      <c r="K1886" s="7"/>
      <c r="L1886" s="27"/>
      <c r="N1886" s="8"/>
      <c r="O1886" s="7"/>
      <c r="P1886" s="7"/>
      <c r="Q1886" s="7"/>
      <c r="R1886" s="7"/>
    </row>
    <row r="1887" spans="3:18">
      <c r="C1887" s="7"/>
      <c r="D1887" s="7"/>
      <c r="E1887" s="7"/>
      <c r="F1887" s="7"/>
      <c r="G1887" s="7"/>
      <c r="H1887" s="7"/>
      <c r="I1887" s="7"/>
      <c r="J1887" s="7"/>
      <c r="K1887" s="7"/>
      <c r="L1887" s="27"/>
      <c r="N1887" s="8"/>
      <c r="O1887" s="7"/>
      <c r="P1887" s="7"/>
      <c r="Q1887" s="7"/>
      <c r="R1887" s="7"/>
    </row>
    <row r="1888" spans="3:18">
      <c r="C1888" s="7"/>
      <c r="D1888" s="7"/>
      <c r="E1888" s="7"/>
      <c r="F1888" s="7"/>
      <c r="G1888" s="7"/>
      <c r="H1888" s="7"/>
      <c r="I1888" s="7"/>
      <c r="J1888" s="7"/>
      <c r="K1888" s="7"/>
      <c r="L1888" s="27"/>
      <c r="N1888" s="8"/>
      <c r="O1888" s="7"/>
      <c r="P1888" s="7"/>
      <c r="Q1888" s="7"/>
      <c r="R1888" s="7"/>
    </row>
    <row r="1889" spans="3:18">
      <c r="C1889" s="7"/>
      <c r="D1889" s="7"/>
      <c r="E1889" s="7"/>
      <c r="F1889" s="7"/>
      <c r="G1889" s="7"/>
      <c r="H1889" s="7"/>
      <c r="I1889" s="7"/>
      <c r="J1889" s="7"/>
      <c r="K1889" s="7"/>
      <c r="L1889" s="27"/>
      <c r="N1889" s="8"/>
      <c r="O1889" s="7"/>
      <c r="P1889" s="7"/>
      <c r="Q1889" s="7"/>
      <c r="R1889" s="7"/>
    </row>
    <row r="1890" spans="3:18">
      <c r="C1890" s="7"/>
      <c r="D1890" s="7"/>
      <c r="E1890" s="7"/>
      <c r="F1890" s="7"/>
      <c r="G1890" s="7"/>
      <c r="H1890" s="7"/>
      <c r="I1890" s="7"/>
      <c r="J1890" s="7"/>
      <c r="K1890" s="7"/>
      <c r="L1890" s="27"/>
      <c r="N1890" s="8"/>
      <c r="O1890" s="7"/>
      <c r="P1890" s="7"/>
      <c r="Q1890" s="7"/>
      <c r="R1890" s="7"/>
    </row>
    <row r="1891" spans="3:18">
      <c r="C1891" s="7"/>
      <c r="D1891" s="7"/>
      <c r="E1891" s="7"/>
      <c r="F1891" s="7"/>
      <c r="G1891" s="7"/>
      <c r="H1891" s="7"/>
      <c r="I1891" s="7"/>
      <c r="J1891" s="7"/>
      <c r="K1891" s="7"/>
      <c r="L1891" s="27"/>
      <c r="N1891" s="8"/>
      <c r="O1891" s="7"/>
      <c r="P1891" s="7"/>
      <c r="Q1891" s="7"/>
      <c r="R1891" s="7"/>
    </row>
    <row r="1892" spans="3:18">
      <c r="C1892" s="7"/>
      <c r="D1892" s="7"/>
      <c r="E1892" s="7"/>
      <c r="F1892" s="7"/>
      <c r="G1892" s="7"/>
      <c r="H1892" s="7"/>
      <c r="I1892" s="7"/>
      <c r="J1892" s="7"/>
      <c r="K1892" s="7"/>
      <c r="L1892" s="27"/>
      <c r="N1892" s="8"/>
      <c r="O1892" s="7"/>
      <c r="P1892" s="7"/>
      <c r="Q1892" s="7"/>
      <c r="R1892" s="7"/>
    </row>
    <row r="1893" spans="3:18">
      <c r="C1893" s="7"/>
      <c r="D1893" s="7"/>
      <c r="E1893" s="7"/>
      <c r="F1893" s="7"/>
      <c r="G1893" s="7"/>
      <c r="H1893" s="7"/>
      <c r="I1893" s="7"/>
      <c r="J1893" s="7"/>
      <c r="K1893" s="7"/>
      <c r="L1893" s="27"/>
      <c r="N1893" s="8"/>
      <c r="O1893" s="7"/>
      <c r="P1893" s="7"/>
      <c r="Q1893" s="7"/>
      <c r="R1893" s="7"/>
    </row>
    <row r="1894" spans="3:18">
      <c r="C1894" s="7"/>
      <c r="D1894" s="7"/>
      <c r="E1894" s="7"/>
      <c r="F1894" s="7"/>
      <c r="G1894" s="7"/>
      <c r="H1894" s="7"/>
      <c r="I1894" s="7"/>
      <c r="J1894" s="7"/>
      <c r="K1894" s="7"/>
      <c r="L1894" s="27"/>
      <c r="N1894" s="8"/>
      <c r="O1894" s="7"/>
      <c r="P1894" s="7"/>
      <c r="Q1894" s="7"/>
      <c r="R1894" s="7"/>
    </row>
    <row r="1895" spans="3:18">
      <c r="C1895" s="7"/>
      <c r="D1895" s="7"/>
      <c r="E1895" s="7"/>
      <c r="F1895" s="7"/>
      <c r="G1895" s="7"/>
      <c r="H1895" s="7"/>
      <c r="I1895" s="7"/>
      <c r="J1895" s="7"/>
      <c r="K1895" s="7"/>
      <c r="L1895" s="27"/>
      <c r="N1895" s="8"/>
      <c r="O1895" s="7"/>
      <c r="P1895" s="7"/>
      <c r="Q1895" s="7"/>
      <c r="R1895" s="7"/>
    </row>
    <row r="1896" spans="3:18">
      <c r="C1896" s="7"/>
      <c r="D1896" s="7"/>
      <c r="E1896" s="7"/>
      <c r="F1896" s="7"/>
      <c r="G1896" s="7"/>
      <c r="H1896" s="7"/>
      <c r="I1896" s="7"/>
      <c r="J1896" s="7"/>
      <c r="K1896" s="7"/>
      <c r="L1896" s="27"/>
      <c r="N1896" s="8"/>
      <c r="O1896" s="7"/>
      <c r="P1896" s="7"/>
      <c r="Q1896" s="7"/>
      <c r="R1896" s="7"/>
    </row>
    <row r="1897" spans="3:18">
      <c r="C1897" s="7"/>
      <c r="D1897" s="7"/>
      <c r="E1897" s="7"/>
      <c r="F1897" s="7"/>
      <c r="G1897" s="7"/>
      <c r="H1897" s="7"/>
      <c r="I1897" s="7"/>
      <c r="J1897" s="7"/>
      <c r="K1897" s="7"/>
      <c r="L1897" s="27"/>
      <c r="N1897" s="8"/>
      <c r="O1897" s="7"/>
      <c r="P1897" s="7"/>
      <c r="Q1897" s="7"/>
      <c r="R1897" s="7"/>
    </row>
    <row r="1898" spans="3:18">
      <c r="C1898" s="7"/>
      <c r="D1898" s="7"/>
      <c r="E1898" s="7"/>
      <c r="F1898" s="7"/>
      <c r="G1898" s="7"/>
      <c r="H1898" s="7"/>
      <c r="I1898" s="7"/>
      <c r="J1898" s="7"/>
      <c r="K1898" s="7"/>
      <c r="L1898" s="27"/>
      <c r="N1898" s="8"/>
      <c r="O1898" s="7"/>
      <c r="P1898" s="7"/>
      <c r="Q1898" s="7"/>
      <c r="R1898" s="7"/>
    </row>
    <row r="1899" spans="3:18">
      <c r="C1899" s="7"/>
      <c r="D1899" s="7"/>
      <c r="E1899" s="7"/>
      <c r="F1899" s="7"/>
      <c r="G1899" s="7"/>
      <c r="H1899" s="7"/>
      <c r="I1899" s="7"/>
      <c r="J1899" s="7"/>
      <c r="K1899" s="7"/>
      <c r="L1899" s="27"/>
      <c r="N1899" s="8"/>
      <c r="O1899" s="7"/>
      <c r="P1899" s="7"/>
      <c r="Q1899" s="7"/>
      <c r="R1899" s="7"/>
    </row>
    <row r="1900" spans="3:18">
      <c r="C1900" s="7"/>
      <c r="D1900" s="7"/>
      <c r="E1900" s="7"/>
      <c r="F1900" s="7"/>
      <c r="G1900" s="7"/>
      <c r="H1900" s="7"/>
      <c r="I1900" s="7"/>
      <c r="J1900" s="7"/>
      <c r="K1900" s="7"/>
      <c r="L1900" s="27"/>
      <c r="N1900" s="8"/>
      <c r="O1900" s="7"/>
      <c r="P1900" s="7"/>
      <c r="Q1900" s="7"/>
      <c r="R1900" s="7"/>
    </row>
    <row r="1901" spans="3:18">
      <c r="C1901" s="7"/>
      <c r="D1901" s="7"/>
      <c r="E1901" s="7"/>
      <c r="F1901" s="7"/>
      <c r="G1901" s="7"/>
      <c r="H1901" s="7"/>
      <c r="I1901" s="7"/>
      <c r="J1901" s="7"/>
      <c r="K1901" s="7"/>
      <c r="L1901" s="27"/>
      <c r="N1901" s="8"/>
      <c r="O1901" s="7"/>
      <c r="P1901" s="7"/>
      <c r="Q1901" s="7"/>
      <c r="R1901" s="7"/>
    </row>
    <row r="1902" spans="3:18">
      <c r="C1902" s="7"/>
      <c r="D1902" s="7"/>
      <c r="E1902" s="7"/>
      <c r="F1902" s="7"/>
      <c r="G1902" s="7"/>
      <c r="H1902" s="7"/>
      <c r="I1902" s="7"/>
      <c r="J1902" s="7"/>
      <c r="K1902" s="7"/>
      <c r="L1902" s="27"/>
      <c r="N1902" s="8"/>
      <c r="O1902" s="7"/>
      <c r="P1902" s="7"/>
      <c r="Q1902" s="7"/>
      <c r="R1902" s="7"/>
    </row>
    <row r="1903" spans="3:18">
      <c r="C1903" s="7"/>
      <c r="D1903" s="7"/>
      <c r="E1903" s="7"/>
      <c r="F1903" s="7"/>
      <c r="G1903" s="7"/>
      <c r="H1903" s="7"/>
      <c r="I1903" s="7"/>
      <c r="J1903" s="7"/>
      <c r="K1903" s="7"/>
      <c r="L1903" s="27"/>
      <c r="N1903" s="8"/>
      <c r="O1903" s="7"/>
      <c r="P1903" s="7"/>
      <c r="Q1903" s="7"/>
      <c r="R1903" s="7"/>
    </row>
    <row r="1904" spans="3:18">
      <c r="C1904" s="7"/>
      <c r="D1904" s="7"/>
      <c r="E1904" s="7"/>
      <c r="F1904" s="7"/>
      <c r="G1904" s="7"/>
      <c r="H1904" s="7"/>
      <c r="I1904" s="7"/>
      <c r="J1904" s="7"/>
      <c r="K1904" s="7"/>
      <c r="L1904" s="27"/>
      <c r="N1904" s="8"/>
      <c r="O1904" s="7"/>
      <c r="P1904" s="7"/>
      <c r="Q1904" s="7"/>
      <c r="R1904" s="7"/>
    </row>
    <row r="1905" spans="3:18">
      <c r="C1905" s="7"/>
      <c r="D1905" s="7"/>
      <c r="E1905" s="7"/>
      <c r="F1905" s="7"/>
      <c r="G1905" s="7"/>
      <c r="H1905" s="7"/>
      <c r="I1905" s="7"/>
      <c r="J1905" s="7"/>
      <c r="K1905" s="7"/>
      <c r="L1905" s="27"/>
      <c r="N1905" s="8"/>
      <c r="O1905" s="7"/>
      <c r="P1905" s="7"/>
      <c r="Q1905" s="7"/>
      <c r="R1905" s="7"/>
    </row>
    <row r="1906" spans="3:18">
      <c r="C1906" s="7"/>
      <c r="D1906" s="7"/>
      <c r="E1906" s="7"/>
      <c r="F1906" s="7"/>
      <c r="G1906" s="7"/>
      <c r="H1906" s="7"/>
      <c r="I1906" s="7"/>
      <c r="J1906" s="7"/>
      <c r="K1906" s="7"/>
      <c r="L1906" s="27"/>
      <c r="N1906" s="8"/>
      <c r="O1906" s="7"/>
      <c r="P1906" s="7"/>
      <c r="Q1906" s="7"/>
      <c r="R1906" s="7"/>
    </row>
    <row r="1907" spans="3:18">
      <c r="C1907" s="7"/>
      <c r="D1907" s="7"/>
      <c r="E1907" s="7"/>
      <c r="F1907" s="7"/>
      <c r="G1907" s="7"/>
      <c r="H1907" s="7"/>
      <c r="I1907" s="7"/>
      <c r="J1907" s="7"/>
      <c r="K1907" s="7"/>
      <c r="L1907" s="27"/>
      <c r="N1907" s="8"/>
      <c r="O1907" s="7"/>
      <c r="P1907" s="7"/>
      <c r="Q1907" s="7"/>
      <c r="R1907" s="7"/>
    </row>
    <row r="1908" spans="3:18">
      <c r="C1908" s="7"/>
      <c r="D1908" s="7"/>
      <c r="E1908" s="7"/>
      <c r="F1908" s="7"/>
      <c r="G1908" s="7"/>
      <c r="H1908" s="7"/>
      <c r="I1908" s="7"/>
      <c r="J1908" s="7"/>
      <c r="K1908" s="7"/>
      <c r="L1908" s="27"/>
      <c r="N1908" s="8"/>
      <c r="O1908" s="7"/>
      <c r="P1908" s="7"/>
      <c r="Q1908" s="7"/>
      <c r="R1908" s="7"/>
    </row>
    <row r="1909" spans="3:18">
      <c r="C1909" s="7"/>
      <c r="D1909" s="7"/>
      <c r="E1909" s="7"/>
      <c r="F1909" s="7"/>
      <c r="G1909" s="7"/>
      <c r="H1909" s="7"/>
      <c r="I1909" s="7"/>
      <c r="J1909" s="7"/>
      <c r="K1909" s="7"/>
      <c r="L1909" s="27"/>
      <c r="N1909" s="8"/>
      <c r="O1909" s="7"/>
      <c r="P1909" s="7"/>
      <c r="Q1909" s="7"/>
      <c r="R1909" s="7"/>
    </row>
    <row r="1910" spans="3:18">
      <c r="C1910" s="7"/>
      <c r="D1910" s="7"/>
      <c r="E1910" s="7"/>
      <c r="F1910" s="7"/>
      <c r="G1910" s="7"/>
      <c r="H1910" s="7"/>
      <c r="I1910" s="7"/>
      <c r="J1910" s="7"/>
      <c r="K1910" s="7"/>
      <c r="L1910" s="27"/>
      <c r="N1910" s="8"/>
      <c r="O1910" s="7"/>
      <c r="P1910" s="7"/>
      <c r="Q1910" s="7"/>
      <c r="R1910" s="7"/>
    </row>
    <row r="1911" spans="3:18">
      <c r="C1911" s="7"/>
      <c r="D1911" s="7"/>
      <c r="E1911" s="7"/>
      <c r="F1911" s="7"/>
      <c r="G1911" s="7"/>
      <c r="H1911" s="7"/>
      <c r="I1911" s="7"/>
      <c r="J1911" s="7"/>
      <c r="K1911" s="7"/>
      <c r="L1911" s="27"/>
      <c r="N1911" s="8"/>
      <c r="O1911" s="7"/>
      <c r="P1911" s="7"/>
      <c r="Q1911" s="7"/>
      <c r="R1911" s="7"/>
    </row>
    <row r="1912" spans="3:18">
      <c r="C1912" s="7"/>
      <c r="D1912" s="7"/>
      <c r="E1912" s="7"/>
      <c r="F1912" s="7"/>
      <c r="G1912" s="7"/>
      <c r="H1912" s="7"/>
      <c r="I1912" s="7"/>
      <c r="J1912" s="7"/>
      <c r="K1912" s="7"/>
      <c r="L1912" s="27"/>
      <c r="N1912" s="8"/>
      <c r="O1912" s="7"/>
      <c r="P1912" s="7"/>
      <c r="Q1912" s="7"/>
      <c r="R1912" s="7"/>
    </row>
    <row r="1913" spans="3:18">
      <c r="C1913" s="7"/>
      <c r="D1913" s="7"/>
      <c r="E1913" s="7"/>
      <c r="F1913" s="7"/>
      <c r="G1913" s="7"/>
      <c r="H1913" s="7"/>
      <c r="I1913" s="7"/>
      <c r="J1913" s="7"/>
      <c r="K1913" s="7"/>
      <c r="L1913" s="27"/>
      <c r="N1913" s="8"/>
      <c r="O1913" s="7"/>
      <c r="P1913" s="7"/>
      <c r="Q1913" s="7"/>
      <c r="R1913" s="7"/>
    </row>
    <row r="1914" spans="3:18">
      <c r="C1914" s="7"/>
      <c r="D1914" s="7"/>
      <c r="E1914" s="7"/>
      <c r="F1914" s="7"/>
      <c r="G1914" s="7"/>
      <c r="H1914" s="7"/>
      <c r="I1914" s="7"/>
      <c r="J1914" s="7"/>
      <c r="K1914" s="7"/>
      <c r="L1914" s="27"/>
      <c r="N1914" s="8"/>
      <c r="O1914" s="7"/>
      <c r="P1914" s="7"/>
      <c r="Q1914" s="7"/>
      <c r="R1914" s="7"/>
    </row>
    <row r="1915" spans="3:18">
      <c r="C1915" s="7"/>
      <c r="D1915" s="7"/>
      <c r="E1915" s="7"/>
      <c r="F1915" s="7"/>
      <c r="G1915" s="7"/>
      <c r="H1915" s="7"/>
      <c r="I1915" s="7"/>
      <c r="J1915" s="7"/>
      <c r="K1915" s="7"/>
      <c r="L1915" s="27"/>
      <c r="N1915" s="8"/>
      <c r="O1915" s="7"/>
      <c r="P1915" s="7"/>
      <c r="Q1915" s="7"/>
      <c r="R1915" s="7"/>
    </row>
    <row r="1916" spans="3:18">
      <c r="C1916" s="7"/>
      <c r="D1916" s="7"/>
      <c r="E1916" s="7"/>
      <c r="F1916" s="7"/>
      <c r="G1916" s="7"/>
      <c r="H1916" s="7"/>
      <c r="I1916" s="7"/>
      <c r="J1916" s="7"/>
      <c r="K1916" s="7"/>
      <c r="L1916" s="27"/>
      <c r="N1916" s="8"/>
      <c r="O1916" s="7"/>
      <c r="P1916" s="7"/>
      <c r="Q1916" s="7"/>
      <c r="R1916" s="7"/>
    </row>
    <row r="1917" spans="3:18">
      <c r="C1917" s="7"/>
      <c r="D1917" s="7"/>
      <c r="E1917" s="7"/>
      <c r="F1917" s="7"/>
      <c r="G1917" s="7"/>
      <c r="H1917" s="7"/>
      <c r="I1917" s="7"/>
      <c r="J1917" s="7"/>
      <c r="K1917" s="7"/>
      <c r="L1917" s="27"/>
      <c r="N1917" s="8"/>
      <c r="O1917" s="7"/>
      <c r="P1917" s="7"/>
      <c r="Q1917" s="7"/>
      <c r="R1917" s="7"/>
    </row>
    <row r="1918" spans="3:18">
      <c r="C1918" s="7"/>
      <c r="D1918" s="7"/>
      <c r="E1918" s="7"/>
      <c r="F1918" s="7"/>
      <c r="G1918" s="7"/>
      <c r="H1918" s="7"/>
      <c r="I1918" s="7"/>
      <c r="J1918" s="7"/>
      <c r="K1918" s="7"/>
      <c r="L1918" s="27"/>
      <c r="N1918" s="8"/>
      <c r="O1918" s="7"/>
      <c r="P1918" s="7"/>
      <c r="Q1918" s="7"/>
      <c r="R1918" s="7"/>
    </row>
    <row r="1919" spans="3:18">
      <c r="C1919" s="7"/>
      <c r="D1919" s="7"/>
      <c r="E1919" s="7"/>
      <c r="F1919" s="7"/>
      <c r="G1919" s="7"/>
      <c r="H1919" s="7"/>
      <c r="I1919" s="7"/>
      <c r="J1919" s="7"/>
      <c r="K1919" s="7"/>
      <c r="L1919" s="27"/>
      <c r="N1919" s="8"/>
      <c r="O1919" s="7"/>
      <c r="P1919" s="7"/>
      <c r="Q1919" s="7"/>
      <c r="R1919" s="7"/>
    </row>
    <row r="1920" spans="3:18">
      <c r="C1920" s="7"/>
      <c r="D1920" s="7"/>
      <c r="E1920" s="7"/>
      <c r="F1920" s="7"/>
      <c r="G1920" s="7"/>
      <c r="H1920" s="7"/>
      <c r="I1920" s="7"/>
      <c r="J1920" s="7"/>
      <c r="K1920" s="7"/>
      <c r="L1920" s="27"/>
      <c r="N1920" s="8"/>
      <c r="O1920" s="7"/>
      <c r="P1920" s="7"/>
      <c r="Q1920" s="7"/>
      <c r="R1920" s="7"/>
    </row>
    <row r="1921" spans="3:18">
      <c r="C1921" s="7"/>
      <c r="D1921" s="7"/>
      <c r="E1921" s="7"/>
      <c r="F1921" s="7"/>
      <c r="G1921" s="7"/>
      <c r="H1921" s="7"/>
      <c r="I1921" s="7"/>
      <c r="J1921" s="7"/>
      <c r="K1921" s="7"/>
      <c r="L1921" s="27"/>
      <c r="N1921" s="8"/>
      <c r="O1921" s="7"/>
      <c r="P1921" s="7"/>
      <c r="Q1921" s="7"/>
      <c r="R1921" s="7"/>
    </row>
    <row r="1922" spans="3:18">
      <c r="C1922" s="7"/>
      <c r="D1922" s="7"/>
      <c r="E1922" s="7"/>
      <c r="F1922" s="7"/>
      <c r="G1922" s="7"/>
      <c r="H1922" s="7"/>
      <c r="I1922" s="7"/>
      <c r="J1922" s="7"/>
      <c r="K1922" s="7"/>
      <c r="L1922" s="27"/>
      <c r="N1922" s="8"/>
      <c r="O1922" s="7"/>
      <c r="P1922" s="7"/>
      <c r="Q1922" s="7"/>
      <c r="R1922" s="7"/>
    </row>
    <row r="1923" spans="3:18">
      <c r="C1923" s="7"/>
      <c r="D1923" s="7"/>
      <c r="E1923" s="7"/>
      <c r="F1923" s="7"/>
      <c r="G1923" s="7"/>
      <c r="H1923" s="7"/>
      <c r="I1923" s="7"/>
      <c r="J1923" s="7"/>
      <c r="K1923" s="7"/>
      <c r="L1923" s="27"/>
      <c r="N1923" s="8"/>
      <c r="O1923" s="7"/>
      <c r="P1923" s="7"/>
      <c r="Q1923" s="7"/>
      <c r="R1923" s="7"/>
    </row>
    <row r="1924" spans="3:18">
      <c r="C1924" s="7"/>
      <c r="D1924" s="7"/>
      <c r="E1924" s="7"/>
      <c r="F1924" s="7"/>
      <c r="G1924" s="7"/>
      <c r="H1924" s="7"/>
      <c r="I1924" s="7"/>
      <c r="J1924" s="7"/>
      <c r="K1924" s="7"/>
      <c r="L1924" s="27"/>
      <c r="N1924" s="8"/>
      <c r="O1924" s="7"/>
      <c r="P1924" s="7"/>
      <c r="Q1924" s="7"/>
      <c r="R1924" s="7"/>
    </row>
    <row r="1925" spans="3:18">
      <c r="C1925" s="7"/>
      <c r="D1925" s="7"/>
      <c r="E1925" s="7"/>
      <c r="F1925" s="7"/>
      <c r="G1925" s="7"/>
      <c r="H1925" s="7"/>
      <c r="I1925" s="7"/>
      <c r="J1925" s="7"/>
      <c r="K1925" s="7"/>
      <c r="L1925" s="27"/>
      <c r="N1925" s="8"/>
      <c r="O1925" s="7"/>
      <c r="P1925" s="7"/>
      <c r="Q1925" s="7"/>
      <c r="R1925" s="7"/>
    </row>
    <row r="1926" spans="3:18">
      <c r="C1926" s="7"/>
      <c r="D1926" s="7"/>
      <c r="E1926" s="7"/>
      <c r="F1926" s="7"/>
      <c r="G1926" s="7"/>
      <c r="H1926" s="7"/>
      <c r="I1926" s="7"/>
      <c r="J1926" s="7"/>
      <c r="K1926" s="7"/>
      <c r="L1926" s="27"/>
      <c r="N1926" s="8"/>
      <c r="O1926" s="7"/>
      <c r="P1926" s="7"/>
      <c r="Q1926" s="7"/>
      <c r="R1926" s="7"/>
    </row>
    <row r="1927" spans="3:18">
      <c r="C1927" s="7"/>
      <c r="D1927" s="7"/>
      <c r="E1927" s="7"/>
      <c r="F1927" s="7"/>
      <c r="G1927" s="7"/>
      <c r="H1927" s="7"/>
      <c r="I1927" s="7"/>
      <c r="J1927" s="7"/>
      <c r="K1927" s="7"/>
      <c r="L1927" s="27"/>
      <c r="N1927" s="8"/>
      <c r="O1927" s="7"/>
      <c r="P1927" s="7"/>
      <c r="Q1927" s="7"/>
      <c r="R1927" s="7"/>
    </row>
    <row r="1928" spans="3:18">
      <c r="C1928" s="7"/>
      <c r="D1928" s="7"/>
      <c r="E1928" s="7"/>
      <c r="F1928" s="7"/>
      <c r="G1928" s="7"/>
      <c r="H1928" s="7"/>
      <c r="I1928" s="7"/>
      <c r="J1928" s="7"/>
      <c r="K1928" s="7"/>
      <c r="L1928" s="27"/>
      <c r="N1928" s="8"/>
      <c r="O1928" s="7"/>
      <c r="P1928" s="7"/>
      <c r="Q1928" s="7"/>
      <c r="R1928" s="7"/>
    </row>
    <row r="1929" spans="3:18">
      <c r="C1929" s="7"/>
      <c r="D1929" s="7"/>
      <c r="E1929" s="7"/>
      <c r="F1929" s="7"/>
      <c r="G1929" s="7"/>
      <c r="H1929" s="7"/>
      <c r="I1929" s="7"/>
      <c r="J1929" s="7"/>
      <c r="K1929" s="7"/>
      <c r="L1929" s="27"/>
      <c r="N1929" s="8"/>
      <c r="O1929" s="7"/>
      <c r="P1929" s="7"/>
      <c r="Q1929" s="7"/>
      <c r="R1929" s="7"/>
    </row>
    <row r="1930" spans="3:18">
      <c r="C1930" s="7"/>
      <c r="D1930" s="7"/>
      <c r="E1930" s="7"/>
      <c r="F1930" s="7"/>
      <c r="G1930" s="7"/>
      <c r="H1930" s="7"/>
      <c r="I1930" s="7"/>
      <c r="J1930" s="7"/>
      <c r="K1930" s="7"/>
      <c r="L1930" s="27"/>
      <c r="N1930" s="8"/>
      <c r="O1930" s="7"/>
      <c r="P1930" s="7"/>
      <c r="Q1930" s="7"/>
      <c r="R1930" s="7"/>
    </row>
    <row r="1931" spans="3:18">
      <c r="C1931" s="7"/>
      <c r="D1931" s="7"/>
      <c r="E1931" s="7"/>
      <c r="F1931" s="7"/>
      <c r="G1931" s="7"/>
      <c r="H1931" s="7"/>
      <c r="I1931" s="7"/>
      <c r="J1931" s="7"/>
      <c r="K1931" s="7"/>
      <c r="L1931" s="27"/>
      <c r="N1931" s="8"/>
      <c r="O1931" s="7"/>
      <c r="P1931" s="7"/>
      <c r="Q1931" s="7"/>
      <c r="R1931" s="7"/>
    </row>
    <row r="1932" spans="3:18">
      <c r="C1932" s="7"/>
      <c r="D1932" s="7"/>
      <c r="E1932" s="7"/>
      <c r="F1932" s="7"/>
      <c r="G1932" s="7"/>
      <c r="H1932" s="7"/>
      <c r="I1932" s="7"/>
      <c r="J1932" s="7"/>
      <c r="K1932" s="7"/>
      <c r="L1932" s="27"/>
      <c r="N1932" s="8"/>
      <c r="O1932" s="7"/>
      <c r="P1932" s="7"/>
      <c r="Q1932" s="7"/>
      <c r="R1932" s="7"/>
    </row>
    <row r="1933" spans="3:18">
      <c r="C1933" s="7"/>
      <c r="D1933" s="7"/>
      <c r="E1933" s="7"/>
      <c r="F1933" s="7"/>
      <c r="G1933" s="7"/>
      <c r="H1933" s="7"/>
      <c r="I1933" s="7"/>
      <c r="J1933" s="7"/>
      <c r="K1933" s="7"/>
      <c r="L1933" s="27"/>
      <c r="N1933" s="8"/>
      <c r="O1933" s="7"/>
      <c r="P1933" s="7"/>
      <c r="Q1933" s="7"/>
      <c r="R1933" s="7"/>
    </row>
    <row r="1934" spans="3:18">
      <c r="C1934" s="7"/>
      <c r="D1934" s="7"/>
      <c r="E1934" s="7"/>
      <c r="F1934" s="7"/>
      <c r="G1934" s="7"/>
      <c r="H1934" s="7"/>
      <c r="I1934" s="7"/>
      <c r="J1934" s="7"/>
      <c r="K1934" s="7"/>
      <c r="L1934" s="27"/>
      <c r="N1934" s="8"/>
      <c r="O1934" s="7"/>
      <c r="P1934" s="7"/>
      <c r="Q1934" s="7"/>
      <c r="R1934" s="7"/>
    </row>
    <row r="1935" spans="3:18">
      <c r="C1935" s="7"/>
      <c r="D1935" s="7"/>
      <c r="E1935" s="7"/>
      <c r="F1935" s="7"/>
      <c r="G1935" s="7"/>
      <c r="H1935" s="7"/>
      <c r="I1935" s="7"/>
      <c r="J1935" s="7"/>
      <c r="K1935" s="7"/>
      <c r="L1935" s="27"/>
      <c r="N1935" s="8"/>
      <c r="O1935" s="7"/>
      <c r="P1935" s="7"/>
      <c r="Q1935" s="7"/>
      <c r="R1935" s="7"/>
    </row>
    <row r="1936" spans="3:18">
      <c r="C1936" s="7"/>
      <c r="D1936" s="7"/>
      <c r="E1936" s="7"/>
      <c r="F1936" s="7"/>
      <c r="G1936" s="7"/>
      <c r="H1936" s="7"/>
      <c r="I1936" s="7"/>
      <c r="J1936" s="7"/>
      <c r="K1936" s="7"/>
      <c r="L1936" s="27"/>
      <c r="N1936" s="8"/>
      <c r="O1936" s="7"/>
      <c r="P1936" s="7"/>
      <c r="Q1936" s="7"/>
      <c r="R1936" s="7"/>
    </row>
    <row r="1937" spans="3:18">
      <c r="C1937" s="7"/>
      <c r="D1937" s="7"/>
      <c r="E1937" s="7"/>
      <c r="F1937" s="7"/>
      <c r="G1937" s="7"/>
      <c r="H1937" s="7"/>
      <c r="I1937" s="7"/>
      <c r="J1937" s="7"/>
      <c r="K1937" s="7"/>
      <c r="L1937" s="27"/>
      <c r="N1937" s="8"/>
      <c r="O1937" s="7"/>
      <c r="P1937" s="7"/>
      <c r="Q1937" s="7"/>
      <c r="R1937" s="7"/>
    </row>
    <row r="1938" spans="3:18">
      <c r="C1938" s="7"/>
      <c r="D1938" s="7"/>
      <c r="E1938" s="7"/>
      <c r="F1938" s="7"/>
      <c r="G1938" s="7"/>
      <c r="H1938" s="7"/>
      <c r="I1938" s="7"/>
      <c r="J1938" s="7"/>
      <c r="K1938" s="7"/>
      <c r="L1938" s="27"/>
      <c r="N1938" s="8"/>
      <c r="O1938" s="7"/>
      <c r="P1938" s="7"/>
      <c r="Q1938" s="7"/>
      <c r="R1938" s="7"/>
    </row>
    <row r="1939" spans="3:18">
      <c r="C1939" s="7"/>
      <c r="D1939" s="7"/>
      <c r="E1939" s="7"/>
      <c r="F1939" s="7"/>
      <c r="G1939" s="7"/>
      <c r="H1939" s="7"/>
      <c r="I1939" s="7"/>
      <c r="J1939" s="7"/>
      <c r="K1939" s="7"/>
      <c r="L1939" s="27"/>
      <c r="N1939" s="8"/>
      <c r="O1939" s="7"/>
      <c r="P1939" s="7"/>
      <c r="Q1939" s="7"/>
      <c r="R1939" s="7"/>
    </row>
    <row r="1940" spans="3:18">
      <c r="C1940" s="7"/>
      <c r="D1940" s="7"/>
      <c r="E1940" s="7"/>
      <c r="F1940" s="7"/>
      <c r="G1940" s="7"/>
      <c r="H1940" s="7"/>
      <c r="I1940" s="7"/>
      <c r="J1940" s="7"/>
      <c r="K1940" s="7"/>
      <c r="L1940" s="27"/>
      <c r="N1940" s="8"/>
      <c r="O1940" s="7"/>
      <c r="P1940" s="7"/>
      <c r="Q1940" s="7"/>
      <c r="R1940" s="7"/>
    </row>
    <row r="1941" spans="3:18">
      <c r="C1941" s="7"/>
      <c r="D1941" s="7"/>
      <c r="E1941" s="7"/>
      <c r="F1941" s="7"/>
      <c r="G1941" s="7"/>
      <c r="H1941" s="7"/>
      <c r="I1941" s="7"/>
      <c r="J1941" s="7"/>
      <c r="K1941" s="7"/>
      <c r="L1941" s="27"/>
      <c r="N1941" s="8"/>
      <c r="O1941" s="7"/>
      <c r="P1941" s="7"/>
      <c r="Q1941" s="7"/>
      <c r="R1941" s="7"/>
    </row>
    <row r="1942" spans="3:18">
      <c r="C1942" s="7"/>
      <c r="D1942" s="7"/>
      <c r="E1942" s="7"/>
      <c r="F1942" s="7"/>
      <c r="G1942" s="7"/>
      <c r="H1942" s="7"/>
      <c r="I1942" s="7"/>
      <c r="J1942" s="7"/>
      <c r="K1942" s="7"/>
      <c r="L1942" s="27"/>
      <c r="N1942" s="8"/>
      <c r="O1942" s="7"/>
      <c r="P1942" s="7"/>
      <c r="Q1942" s="7"/>
      <c r="R1942" s="7"/>
    </row>
    <row r="1943" spans="3:18">
      <c r="C1943" s="7"/>
      <c r="D1943" s="7"/>
      <c r="E1943" s="7"/>
      <c r="F1943" s="7"/>
      <c r="G1943" s="7"/>
      <c r="H1943" s="7"/>
      <c r="I1943" s="7"/>
      <c r="J1943" s="7"/>
      <c r="K1943" s="7"/>
      <c r="L1943" s="27"/>
      <c r="N1943" s="8"/>
      <c r="O1943" s="7"/>
      <c r="P1943" s="7"/>
      <c r="Q1943" s="7"/>
      <c r="R1943" s="7"/>
    </row>
    <row r="1944" spans="3:18">
      <c r="C1944" s="7"/>
      <c r="D1944" s="7"/>
      <c r="E1944" s="7"/>
      <c r="F1944" s="7"/>
      <c r="G1944" s="7"/>
      <c r="H1944" s="7"/>
      <c r="I1944" s="7"/>
      <c r="J1944" s="7"/>
      <c r="K1944" s="7"/>
      <c r="L1944" s="27"/>
      <c r="N1944" s="8"/>
      <c r="O1944" s="7"/>
      <c r="P1944" s="7"/>
      <c r="Q1944" s="7"/>
      <c r="R1944" s="7"/>
    </row>
    <row r="1945" spans="3:18">
      <c r="C1945" s="7"/>
      <c r="D1945" s="7"/>
      <c r="E1945" s="7"/>
      <c r="F1945" s="7"/>
      <c r="G1945" s="7"/>
      <c r="H1945" s="7"/>
      <c r="I1945" s="7"/>
      <c r="J1945" s="7"/>
      <c r="K1945" s="7"/>
      <c r="L1945" s="27"/>
      <c r="N1945" s="8"/>
      <c r="O1945" s="7"/>
      <c r="P1945" s="7"/>
      <c r="Q1945" s="7"/>
      <c r="R1945" s="7"/>
    </row>
    <row r="1946" spans="3:18">
      <c r="C1946" s="7"/>
      <c r="D1946" s="7"/>
      <c r="E1946" s="7"/>
      <c r="F1946" s="7"/>
      <c r="G1946" s="7"/>
      <c r="H1946" s="7"/>
      <c r="I1946" s="7"/>
      <c r="J1946" s="7"/>
      <c r="K1946" s="7"/>
      <c r="L1946" s="27"/>
      <c r="N1946" s="8"/>
      <c r="O1946" s="7"/>
      <c r="P1946" s="7"/>
      <c r="Q1946" s="7"/>
      <c r="R1946" s="7"/>
    </row>
    <row r="1947" spans="3:18">
      <c r="C1947" s="7"/>
      <c r="D1947" s="7"/>
      <c r="E1947" s="7"/>
      <c r="F1947" s="7"/>
      <c r="G1947" s="7"/>
      <c r="H1947" s="7"/>
      <c r="I1947" s="7"/>
      <c r="J1947" s="7"/>
      <c r="K1947" s="7"/>
      <c r="L1947" s="27"/>
      <c r="N1947" s="8"/>
      <c r="O1947" s="7"/>
      <c r="P1947" s="7"/>
      <c r="Q1947" s="7"/>
      <c r="R1947" s="7"/>
    </row>
    <row r="1948" spans="3:18">
      <c r="C1948" s="7"/>
      <c r="D1948" s="7"/>
      <c r="E1948" s="7"/>
      <c r="F1948" s="7"/>
      <c r="G1948" s="7"/>
      <c r="H1948" s="7"/>
      <c r="I1948" s="7"/>
      <c r="J1948" s="7"/>
      <c r="K1948" s="7"/>
      <c r="L1948" s="27"/>
      <c r="N1948" s="8"/>
      <c r="O1948" s="7"/>
      <c r="P1948" s="7"/>
      <c r="Q1948" s="7"/>
      <c r="R1948" s="7"/>
    </row>
    <row r="1949" spans="3:18">
      <c r="C1949" s="7"/>
      <c r="D1949" s="7"/>
      <c r="E1949" s="7"/>
      <c r="F1949" s="7"/>
      <c r="G1949" s="7"/>
      <c r="H1949" s="7"/>
      <c r="I1949" s="7"/>
      <c r="J1949" s="7"/>
      <c r="K1949" s="7"/>
      <c r="L1949" s="27"/>
      <c r="N1949" s="8"/>
      <c r="O1949" s="7"/>
      <c r="P1949" s="7"/>
      <c r="Q1949" s="7"/>
      <c r="R1949" s="7"/>
    </row>
    <row r="1950" spans="3:18">
      <c r="C1950" s="7"/>
      <c r="D1950" s="7"/>
      <c r="E1950" s="7"/>
      <c r="F1950" s="7"/>
      <c r="G1950" s="7"/>
      <c r="H1950" s="7"/>
      <c r="I1950" s="7"/>
      <c r="J1950" s="7"/>
      <c r="K1950" s="7"/>
      <c r="L1950" s="27"/>
      <c r="N1950" s="8"/>
      <c r="O1950" s="7"/>
      <c r="P1950" s="7"/>
      <c r="Q1950" s="7"/>
      <c r="R1950" s="7"/>
    </row>
    <row r="1951" spans="3:18">
      <c r="C1951" s="7"/>
      <c r="D1951" s="7"/>
      <c r="E1951" s="7"/>
      <c r="F1951" s="7"/>
      <c r="G1951" s="7"/>
      <c r="H1951" s="7"/>
      <c r="I1951" s="7"/>
      <c r="J1951" s="7"/>
      <c r="K1951" s="7"/>
      <c r="L1951" s="27"/>
      <c r="N1951" s="8"/>
      <c r="O1951" s="7"/>
      <c r="P1951" s="7"/>
      <c r="Q1951" s="7"/>
      <c r="R1951" s="7"/>
    </row>
    <row r="1952" spans="3:18">
      <c r="C1952" s="7"/>
      <c r="D1952" s="7"/>
      <c r="E1952" s="7"/>
      <c r="F1952" s="7"/>
      <c r="G1952" s="7"/>
      <c r="H1952" s="7"/>
      <c r="I1952" s="7"/>
      <c r="J1952" s="7"/>
      <c r="K1952" s="7"/>
      <c r="L1952" s="27"/>
      <c r="N1952" s="8"/>
      <c r="O1952" s="7"/>
      <c r="P1952" s="7"/>
      <c r="Q1952" s="7"/>
      <c r="R1952" s="7"/>
    </row>
    <row r="1953" spans="3:18">
      <c r="C1953" s="7"/>
      <c r="D1953" s="7"/>
      <c r="E1953" s="7"/>
      <c r="F1953" s="7"/>
      <c r="G1953" s="7"/>
      <c r="H1953" s="7"/>
      <c r="I1953" s="7"/>
      <c r="J1953" s="7"/>
      <c r="K1953" s="7"/>
      <c r="L1953" s="27"/>
      <c r="N1953" s="8"/>
      <c r="O1953" s="7"/>
      <c r="P1953" s="7"/>
      <c r="Q1953" s="7"/>
      <c r="R1953" s="7"/>
    </row>
    <row r="1954" spans="3:18">
      <c r="C1954" s="7"/>
      <c r="D1954" s="7"/>
      <c r="E1954" s="7"/>
      <c r="F1954" s="7"/>
      <c r="G1954" s="7"/>
      <c r="H1954" s="7"/>
      <c r="I1954" s="7"/>
      <c r="J1954" s="7"/>
      <c r="K1954" s="7"/>
      <c r="L1954" s="27"/>
      <c r="N1954" s="8"/>
      <c r="O1954" s="7"/>
      <c r="P1954" s="7"/>
      <c r="Q1954" s="7"/>
      <c r="R1954" s="7"/>
    </row>
    <row r="1955" spans="3:18">
      <c r="C1955" s="7"/>
      <c r="D1955" s="7"/>
      <c r="E1955" s="7"/>
      <c r="F1955" s="7"/>
      <c r="G1955" s="7"/>
      <c r="H1955" s="7"/>
      <c r="I1955" s="7"/>
      <c r="J1955" s="7"/>
      <c r="K1955" s="7"/>
      <c r="L1955" s="27"/>
      <c r="N1955" s="8"/>
      <c r="O1955" s="7"/>
      <c r="P1955" s="7"/>
      <c r="Q1955" s="7"/>
      <c r="R1955" s="7"/>
    </row>
    <row r="1956" spans="3:18">
      <c r="C1956" s="7"/>
      <c r="D1956" s="7"/>
      <c r="E1956" s="7"/>
      <c r="F1956" s="7"/>
      <c r="G1956" s="7"/>
      <c r="H1956" s="7"/>
      <c r="I1956" s="7"/>
      <c r="J1956" s="7"/>
      <c r="K1956" s="7"/>
      <c r="L1956" s="27"/>
      <c r="N1956" s="8"/>
      <c r="O1956" s="7"/>
      <c r="P1956" s="7"/>
      <c r="Q1956" s="7"/>
      <c r="R1956" s="7"/>
    </row>
    <row r="1957" spans="3:18">
      <c r="C1957" s="7"/>
      <c r="D1957" s="7"/>
      <c r="E1957" s="7"/>
      <c r="F1957" s="7"/>
      <c r="G1957" s="7"/>
      <c r="H1957" s="7"/>
      <c r="I1957" s="7"/>
      <c r="J1957" s="7"/>
      <c r="K1957" s="7"/>
      <c r="L1957" s="27"/>
      <c r="N1957" s="8"/>
      <c r="O1957" s="7"/>
      <c r="P1957" s="7"/>
      <c r="Q1957" s="7"/>
      <c r="R1957" s="7"/>
    </row>
    <row r="1958" spans="3:18">
      <c r="C1958" s="7"/>
      <c r="D1958" s="7"/>
      <c r="E1958" s="7"/>
      <c r="F1958" s="7"/>
      <c r="G1958" s="7"/>
      <c r="H1958" s="7"/>
      <c r="I1958" s="7"/>
      <c r="J1958" s="7"/>
      <c r="K1958" s="7"/>
      <c r="L1958" s="27"/>
      <c r="N1958" s="8"/>
      <c r="O1958" s="7"/>
      <c r="P1958" s="7"/>
      <c r="Q1958" s="7"/>
      <c r="R1958" s="7"/>
    </row>
    <row r="1959" spans="3:18">
      <c r="C1959" s="7"/>
      <c r="D1959" s="7"/>
      <c r="E1959" s="7"/>
      <c r="F1959" s="7"/>
      <c r="G1959" s="7"/>
      <c r="H1959" s="7"/>
      <c r="I1959" s="7"/>
      <c r="J1959" s="7"/>
      <c r="K1959" s="7"/>
      <c r="L1959" s="27"/>
      <c r="N1959" s="8"/>
      <c r="O1959" s="7"/>
      <c r="P1959" s="7"/>
      <c r="Q1959" s="7"/>
      <c r="R1959" s="7"/>
    </row>
    <row r="1960" spans="3:18">
      <c r="C1960" s="7"/>
      <c r="D1960" s="7"/>
      <c r="E1960" s="7"/>
      <c r="F1960" s="7"/>
      <c r="G1960" s="7"/>
      <c r="H1960" s="7"/>
      <c r="I1960" s="7"/>
      <c r="J1960" s="7"/>
      <c r="K1960" s="7"/>
      <c r="L1960" s="27"/>
      <c r="N1960" s="8"/>
      <c r="O1960" s="7"/>
      <c r="P1960" s="7"/>
      <c r="Q1960" s="7"/>
      <c r="R1960" s="7"/>
    </row>
    <row r="1961" spans="3:18">
      <c r="C1961" s="7"/>
      <c r="D1961" s="7"/>
      <c r="E1961" s="7"/>
      <c r="F1961" s="7"/>
      <c r="G1961" s="7"/>
      <c r="H1961" s="7"/>
      <c r="I1961" s="7"/>
      <c r="J1961" s="7"/>
      <c r="K1961" s="7"/>
      <c r="L1961" s="27"/>
      <c r="N1961" s="8"/>
      <c r="O1961" s="7"/>
      <c r="P1961" s="7"/>
      <c r="Q1961" s="7"/>
      <c r="R1961" s="7"/>
    </row>
    <row r="1962" spans="3:18">
      <c r="C1962" s="7"/>
      <c r="D1962" s="7"/>
      <c r="E1962" s="7"/>
      <c r="F1962" s="7"/>
      <c r="G1962" s="7"/>
      <c r="H1962" s="7"/>
      <c r="I1962" s="7"/>
      <c r="J1962" s="7"/>
      <c r="K1962" s="7"/>
      <c r="L1962" s="27"/>
      <c r="N1962" s="8"/>
      <c r="O1962" s="7"/>
      <c r="P1962" s="7"/>
      <c r="Q1962" s="7"/>
      <c r="R1962" s="7"/>
    </row>
    <row r="1963" spans="3:18">
      <c r="C1963" s="7"/>
      <c r="D1963" s="7"/>
      <c r="E1963" s="7"/>
      <c r="F1963" s="7"/>
      <c r="G1963" s="7"/>
      <c r="H1963" s="7"/>
      <c r="I1963" s="7"/>
      <c r="J1963" s="7"/>
      <c r="K1963" s="7"/>
      <c r="L1963" s="27"/>
      <c r="N1963" s="8"/>
      <c r="O1963" s="7"/>
      <c r="P1963" s="7"/>
      <c r="Q1963" s="7"/>
      <c r="R1963" s="7"/>
    </row>
    <row r="1964" spans="3:18">
      <c r="C1964" s="7"/>
      <c r="D1964" s="7"/>
      <c r="E1964" s="7"/>
      <c r="F1964" s="7"/>
      <c r="G1964" s="7"/>
      <c r="H1964" s="7"/>
      <c r="I1964" s="7"/>
      <c r="J1964" s="7"/>
      <c r="K1964" s="7"/>
      <c r="L1964" s="27"/>
      <c r="N1964" s="8"/>
      <c r="O1964" s="7"/>
      <c r="P1964" s="7"/>
      <c r="Q1964" s="7"/>
      <c r="R1964" s="7"/>
    </row>
    <row r="1965" spans="3:18">
      <c r="C1965" s="7"/>
      <c r="D1965" s="7"/>
      <c r="E1965" s="7"/>
      <c r="F1965" s="7"/>
      <c r="G1965" s="7"/>
      <c r="H1965" s="7"/>
      <c r="I1965" s="7"/>
      <c r="J1965" s="7"/>
      <c r="K1965" s="7"/>
      <c r="L1965" s="27"/>
      <c r="N1965" s="8"/>
      <c r="O1965" s="7"/>
      <c r="P1965" s="7"/>
      <c r="Q1965" s="7"/>
      <c r="R1965" s="7"/>
    </row>
    <row r="1966" spans="3:18">
      <c r="C1966" s="7"/>
      <c r="D1966" s="7"/>
      <c r="E1966" s="7"/>
      <c r="F1966" s="7"/>
      <c r="G1966" s="7"/>
      <c r="H1966" s="7"/>
      <c r="I1966" s="7"/>
      <c r="J1966" s="7"/>
      <c r="K1966" s="7"/>
      <c r="L1966" s="27"/>
      <c r="N1966" s="8"/>
      <c r="O1966" s="7"/>
      <c r="P1966" s="7"/>
      <c r="Q1966" s="7"/>
      <c r="R1966" s="7"/>
    </row>
    <row r="1967" spans="3:18">
      <c r="C1967" s="7"/>
      <c r="D1967" s="7"/>
      <c r="E1967" s="7"/>
      <c r="F1967" s="7"/>
      <c r="G1967" s="7"/>
      <c r="H1967" s="7"/>
      <c r="I1967" s="7"/>
      <c r="J1967" s="7"/>
      <c r="K1967" s="7"/>
      <c r="L1967" s="27"/>
      <c r="N1967" s="8"/>
      <c r="O1967" s="7"/>
      <c r="P1967" s="7"/>
      <c r="Q1967" s="7"/>
      <c r="R1967" s="7"/>
    </row>
    <row r="1968" spans="3:18">
      <c r="C1968" s="7"/>
      <c r="D1968" s="7"/>
      <c r="E1968" s="7"/>
      <c r="F1968" s="7"/>
      <c r="G1968" s="7"/>
      <c r="H1968" s="7"/>
      <c r="I1968" s="7"/>
      <c r="J1968" s="7"/>
      <c r="K1968" s="7"/>
      <c r="L1968" s="27"/>
      <c r="N1968" s="8"/>
      <c r="O1968" s="7"/>
      <c r="P1968" s="7"/>
      <c r="Q1968" s="7"/>
      <c r="R1968" s="7"/>
    </row>
    <row r="1969" spans="3:18">
      <c r="C1969" s="7"/>
      <c r="D1969" s="7"/>
      <c r="E1969" s="7"/>
      <c r="F1969" s="7"/>
      <c r="G1969" s="7"/>
      <c r="H1969" s="7"/>
      <c r="I1969" s="7"/>
      <c r="J1969" s="7"/>
      <c r="K1969" s="7"/>
      <c r="L1969" s="27"/>
      <c r="N1969" s="8"/>
      <c r="O1969" s="7"/>
      <c r="P1969" s="7"/>
      <c r="Q1969" s="7"/>
      <c r="R1969" s="7"/>
    </row>
    <row r="1970" spans="3:18">
      <c r="C1970" s="7"/>
      <c r="D1970" s="7"/>
      <c r="E1970" s="7"/>
      <c r="F1970" s="7"/>
      <c r="G1970" s="7"/>
      <c r="H1970" s="7"/>
      <c r="I1970" s="7"/>
      <c r="J1970" s="7"/>
      <c r="K1970" s="7"/>
      <c r="L1970" s="27"/>
      <c r="N1970" s="8"/>
      <c r="O1970" s="7"/>
      <c r="P1970" s="7"/>
      <c r="Q1970" s="7"/>
      <c r="R1970" s="7"/>
    </row>
    <row r="1971" spans="3:18">
      <c r="C1971" s="7"/>
      <c r="D1971" s="7"/>
      <c r="E1971" s="7"/>
      <c r="F1971" s="7"/>
      <c r="G1971" s="7"/>
      <c r="H1971" s="7"/>
      <c r="I1971" s="7"/>
      <c r="J1971" s="7"/>
      <c r="K1971" s="7"/>
      <c r="L1971" s="27"/>
      <c r="N1971" s="8"/>
      <c r="O1971" s="7"/>
      <c r="P1971" s="7"/>
      <c r="Q1971" s="7"/>
      <c r="R1971" s="7"/>
    </row>
    <row r="1972" spans="3:18">
      <c r="C1972" s="7"/>
      <c r="D1972" s="7"/>
      <c r="E1972" s="7"/>
      <c r="F1972" s="7"/>
      <c r="G1972" s="7"/>
      <c r="H1972" s="7"/>
      <c r="I1972" s="7"/>
      <c r="J1972" s="7"/>
      <c r="K1972" s="7"/>
      <c r="L1972" s="27"/>
      <c r="N1972" s="8"/>
      <c r="O1972" s="7"/>
      <c r="P1972" s="7"/>
      <c r="Q1972" s="7"/>
      <c r="R1972" s="7"/>
    </row>
    <row r="1973" spans="3:18">
      <c r="C1973" s="7"/>
      <c r="D1973" s="7"/>
      <c r="E1973" s="7"/>
      <c r="F1973" s="7"/>
      <c r="G1973" s="7"/>
      <c r="H1973" s="7"/>
      <c r="I1973" s="7"/>
      <c r="J1973" s="7"/>
      <c r="K1973" s="7"/>
      <c r="L1973" s="27"/>
      <c r="N1973" s="8"/>
      <c r="O1973" s="7"/>
      <c r="P1973" s="7"/>
      <c r="Q1973" s="7"/>
      <c r="R1973" s="7"/>
    </row>
    <row r="1974" spans="3:18">
      <c r="C1974" s="7"/>
      <c r="D1974" s="7"/>
      <c r="E1974" s="7"/>
      <c r="F1974" s="7"/>
      <c r="G1974" s="7"/>
      <c r="H1974" s="7"/>
      <c r="I1974" s="7"/>
      <c r="J1974" s="7"/>
      <c r="K1974" s="7"/>
      <c r="L1974" s="27"/>
      <c r="N1974" s="8"/>
      <c r="O1974" s="7"/>
      <c r="P1974" s="7"/>
      <c r="Q1974" s="7"/>
      <c r="R1974" s="7"/>
    </row>
    <row r="1975" spans="3:18">
      <c r="C1975" s="7"/>
      <c r="D1975" s="7"/>
      <c r="E1975" s="7"/>
      <c r="F1975" s="7"/>
      <c r="G1975" s="7"/>
      <c r="H1975" s="7"/>
      <c r="I1975" s="7"/>
      <c r="J1975" s="7"/>
      <c r="K1975" s="7"/>
      <c r="L1975" s="27"/>
      <c r="N1975" s="8"/>
      <c r="O1975" s="7"/>
      <c r="P1975" s="7"/>
      <c r="Q1975" s="7"/>
      <c r="R1975" s="7"/>
    </row>
    <row r="1976" spans="3:18">
      <c r="C1976" s="7"/>
      <c r="D1976" s="7"/>
      <c r="E1976" s="7"/>
      <c r="F1976" s="7"/>
      <c r="G1976" s="7"/>
      <c r="H1976" s="7"/>
      <c r="I1976" s="7"/>
      <c r="J1976" s="7"/>
      <c r="K1976" s="7"/>
      <c r="L1976" s="27"/>
      <c r="N1976" s="8"/>
      <c r="O1976" s="7"/>
      <c r="P1976" s="7"/>
      <c r="Q1976" s="7"/>
      <c r="R1976" s="7"/>
    </row>
    <row r="1977" spans="3:18">
      <c r="C1977" s="7"/>
      <c r="D1977" s="7"/>
      <c r="E1977" s="7"/>
      <c r="F1977" s="7"/>
      <c r="G1977" s="7"/>
      <c r="H1977" s="7"/>
      <c r="I1977" s="7"/>
      <c r="J1977" s="7"/>
      <c r="K1977" s="7"/>
      <c r="L1977" s="27"/>
      <c r="N1977" s="8"/>
      <c r="O1977" s="7"/>
      <c r="P1977" s="7"/>
      <c r="Q1977" s="7"/>
      <c r="R1977" s="7"/>
    </row>
    <row r="1978" spans="3:18">
      <c r="C1978" s="7"/>
      <c r="D1978" s="7"/>
      <c r="E1978" s="7"/>
      <c r="F1978" s="7"/>
      <c r="G1978" s="7"/>
      <c r="H1978" s="7"/>
      <c r="I1978" s="7"/>
      <c r="J1978" s="7"/>
      <c r="K1978" s="7"/>
      <c r="L1978" s="27"/>
      <c r="N1978" s="8"/>
      <c r="O1978" s="7"/>
      <c r="P1978" s="7"/>
      <c r="Q1978" s="7"/>
      <c r="R1978" s="7"/>
    </row>
    <row r="1979" spans="3:18">
      <c r="C1979" s="7"/>
      <c r="D1979" s="7"/>
      <c r="E1979" s="7"/>
      <c r="F1979" s="7"/>
      <c r="G1979" s="7"/>
      <c r="H1979" s="7"/>
      <c r="I1979" s="7"/>
      <c r="J1979" s="7"/>
      <c r="K1979" s="7"/>
      <c r="L1979" s="27"/>
      <c r="N1979" s="8"/>
      <c r="O1979" s="7"/>
      <c r="P1979" s="7"/>
      <c r="Q1979" s="7"/>
      <c r="R1979" s="7"/>
    </row>
    <row r="1980" spans="3:18">
      <c r="C1980" s="7"/>
      <c r="D1980" s="7"/>
      <c r="E1980" s="7"/>
      <c r="F1980" s="7"/>
      <c r="G1980" s="7"/>
      <c r="H1980" s="7"/>
      <c r="I1980" s="7"/>
      <c r="J1980" s="7"/>
      <c r="K1980" s="7"/>
      <c r="L1980" s="27"/>
      <c r="N1980" s="8"/>
      <c r="O1980" s="7"/>
      <c r="P1980" s="7"/>
      <c r="Q1980" s="7"/>
      <c r="R1980" s="7"/>
    </row>
    <row r="1981" spans="3:18">
      <c r="C1981" s="7"/>
      <c r="D1981" s="7"/>
      <c r="E1981" s="7"/>
      <c r="F1981" s="7"/>
      <c r="G1981" s="7"/>
      <c r="H1981" s="7"/>
      <c r="I1981" s="7"/>
      <c r="J1981" s="7"/>
      <c r="K1981" s="7"/>
      <c r="L1981" s="27"/>
      <c r="N1981" s="8"/>
      <c r="O1981" s="7"/>
      <c r="P1981" s="7"/>
      <c r="Q1981" s="7"/>
      <c r="R1981" s="7"/>
    </row>
    <row r="1982" spans="3:18">
      <c r="C1982" s="7"/>
      <c r="D1982" s="7"/>
      <c r="E1982" s="7"/>
      <c r="F1982" s="7"/>
      <c r="G1982" s="7"/>
      <c r="H1982" s="7"/>
      <c r="I1982" s="7"/>
      <c r="J1982" s="7"/>
      <c r="K1982" s="7"/>
      <c r="L1982" s="27"/>
      <c r="N1982" s="8"/>
      <c r="O1982" s="7"/>
      <c r="P1982" s="7"/>
      <c r="Q1982" s="7"/>
      <c r="R1982" s="7"/>
    </row>
    <row r="1983" spans="3:18">
      <c r="C1983" s="7"/>
      <c r="D1983" s="7"/>
      <c r="E1983" s="7"/>
      <c r="F1983" s="7"/>
      <c r="G1983" s="7"/>
      <c r="H1983" s="7"/>
      <c r="I1983" s="7"/>
      <c r="J1983" s="7"/>
      <c r="K1983" s="7"/>
      <c r="L1983" s="27"/>
      <c r="N1983" s="8"/>
      <c r="O1983" s="7"/>
      <c r="P1983" s="7"/>
      <c r="Q1983" s="7"/>
      <c r="R1983" s="7"/>
    </row>
    <row r="1984" spans="3:18">
      <c r="C1984" s="7"/>
      <c r="D1984" s="7"/>
      <c r="E1984" s="7"/>
      <c r="F1984" s="7"/>
      <c r="G1984" s="7"/>
      <c r="H1984" s="7"/>
      <c r="I1984" s="7"/>
      <c r="J1984" s="7"/>
      <c r="K1984" s="7"/>
      <c r="L1984" s="27"/>
      <c r="N1984" s="8"/>
      <c r="O1984" s="7"/>
      <c r="P1984" s="7"/>
      <c r="Q1984" s="7"/>
      <c r="R1984" s="7"/>
    </row>
    <row r="1985" spans="3:18">
      <c r="C1985" s="7"/>
      <c r="D1985" s="7"/>
      <c r="E1985" s="7"/>
      <c r="F1985" s="7"/>
      <c r="G1985" s="7"/>
      <c r="H1985" s="7"/>
      <c r="I1985" s="7"/>
      <c r="J1985" s="7"/>
      <c r="K1985" s="7"/>
      <c r="L1985" s="27"/>
      <c r="N1985" s="8"/>
      <c r="O1985" s="7"/>
      <c r="P1985" s="7"/>
      <c r="Q1985" s="7"/>
      <c r="R1985" s="7"/>
    </row>
    <row r="1986" spans="3:18">
      <c r="C1986" s="7"/>
      <c r="D1986" s="7"/>
      <c r="E1986" s="7"/>
      <c r="F1986" s="7"/>
      <c r="G1986" s="7"/>
      <c r="H1986" s="7"/>
      <c r="I1986" s="7"/>
      <c r="J1986" s="7"/>
      <c r="K1986" s="7"/>
      <c r="L1986" s="27"/>
      <c r="N1986" s="8"/>
      <c r="O1986" s="7"/>
      <c r="P1986" s="7"/>
      <c r="Q1986" s="7"/>
      <c r="R1986" s="7"/>
    </row>
    <row r="1987" spans="3:18">
      <c r="C1987" s="7"/>
      <c r="D1987" s="7"/>
      <c r="E1987" s="7"/>
      <c r="F1987" s="7"/>
      <c r="G1987" s="7"/>
      <c r="H1987" s="7"/>
      <c r="I1987" s="7"/>
      <c r="J1987" s="7"/>
      <c r="K1987" s="7"/>
      <c r="L1987" s="27"/>
      <c r="N1987" s="8"/>
      <c r="O1987" s="7"/>
      <c r="P1987" s="7"/>
      <c r="Q1987" s="7"/>
      <c r="R1987" s="7"/>
    </row>
    <row r="1988" spans="3:18">
      <c r="C1988" s="7"/>
      <c r="D1988" s="7"/>
      <c r="E1988" s="7"/>
      <c r="F1988" s="7"/>
      <c r="G1988" s="7"/>
      <c r="H1988" s="7"/>
      <c r="I1988" s="7"/>
      <c r="J1988" s="7"/>
      <c r="K1988" s="7"/>
      <c r="L1988" s="27"/>
      <c r="N1988" s="8"/>
      <c r="O1988" s="7"/>
      <c r="P1988" s="7"/>
      <c r="Q1988" s="7"/>
      <c r="R1988" s="7"/>
    </row>
    <row r="1989" spans="3:18">
      <c r="C1989" s="7"/>
      <c r="D1989" s="7"/>
      <c r="E1989" s="7"/>
      <c r="F1989" s="7"/>
      <c r="G1989" s="7"/>
      <c r="H1989" s="7"/>
      <c r="I1989" s="7"/>
      <c r="J1989" s="7"/>
      <c r="K1989" s="7"/>
      <c r="L1989" s="27"/>
      <c r="N1989" s="8"/>
      <c r="O1989" s="7"/>
      <c r="P1989" s="7"/>
      <c r="Q1989" s="7"/>
      <c r="R1989" s="7"/>
    </row>
    <row r="1990" spans="3:18">
      <c r="C1990" s="7"/>
      <c r="D1990" s="7"/>
      <c r="E1990" s="7"/>
      <c r="F1990" s="7"/>
      <c r="G1990" s="7"/>
      <c r="H1990" s="7"/>
      <c r="I1990" s="7"/>
      <c r="J1990" s="7"/>
      <c r="K1990" s="7"/>
      <c r="L1990" s="27"/>
      <c r="N1990" s="8"/>
      <c r="O1990" s="7"/>
      <c r="P1990" s="7"/>
      <c r="Q1990" s="7"/>
      <c r="R1990" s="7"/>
    </row>
    <row r="1991" spans="3:18">
      <c r="C1991" s="7"/>
      <c r="D1991" s="7"/>
      <c r="E1991" s="7"/>
      <c r="F1991" s="7"/>
      <c r="G1991" s="7"/>
      <c r="H1991" s="7"/>
      <c r="I1991" s="7"/>
      <c r="J1991" s="7"/>
      <c r="K1991" s="7"/>
      <c r="L1991" s="27"/>
      <c r="N1991" s="8"/>
      <c r="O1991" s="7"/>
      <c r="P1991" s="7"/>
      <c r="Q1991" s="7"/>
      <c r="R1991" s="7"/>
    </row>
    <row r="1992" spans="3:18">
      <c r="C1992" s="7"/>
      <c r="D1992" s="7"/>
      <c r="E1992" s="7"/>
      <c r="F1992" s="7"/>
      <c r="G1992" s="7"/>
      <c r="H1992" s="7"/>
      <c r="I1992" s="7"/>
      <c r="J1992" s="7"/>
      <c r="K1992" s="7"/>
      <c r="L1992" s="27"/>
      <c r="N1992" s="8"/>
      <c r="O1992" s="7"/>
      <c r="P1992" s="7"/>
      <c r="Q1992" s="7"/>
      <c r="R1992" s="7"/>
    </row>
    <row r="1993" spans="3:18">
      <c r="C1993" s="7"/>
      <c r="D1993" s="7"/>
      <c r="E1993" s="7"/>
      <c r="F1993" s="7"/>
      <c r="G1993" s="7"/>
      <c r="H1993" s="7"/>
      <c r="I1993" s="7"/>
      <c r="J1993" s="7"/>
      <c r="K1993" s="7"/>
      <c r="L1993" s="27"/>
      <c r="N1993" s="8"/>
      <c r="O1993" s="7"/>
      <c r="P1993" s="7"/>
      <c r="Q1993" s="7"/>
      <c r="R1993" s="7"/>
    </row>
    <row r="1994" spans="3:18">
      <c r="C1994" s="7"/>
      <c r="D1994" s="7"/>
      <c r="E1994" s="7"/>
      <c r="F1994" s="7"/>
      <c r="G1994" s="7"/>
      <c r="H1994" s="7"/>
      <c r="I1994" s="7"/>
      <c r="J1994" s="7"/>
      <c r="K1994" s="7"/>
      <c r="L1994" s="27"/>
      <c r="N1994" s="8"/>
      <c r="O1994" s="7"/>
      <c r="P1994" s="7"/>
      <c r="Q1994" s="7"/>
      <c r="R1994" s="7"/>
    </row>
    <row r="1995" spans="3:18">
      <c r="C1995" s="7"/>
      <c r="D1995" s="7"/>
      <c r="E1995" s="7"/>
      <c r="F1995" s="7"/>
      <c r="G1995" s="7"/>
      <c r="H1995" s="7"/>
      <c r="I1995" s="7"/>
      <c r="J1995" s="7"/>
      <c r="K1995" s="7"/>
      <c r="L1995" s="27"/>
      <c r="N1995" s="8"/>
      <c r="O1995" s="7"/>
      <c r="P1995" s="7"/>
      <c r="Q1995" s="7"/>
      <c r="R1995" s="7"/>
    </row>
    <row r="1996" spans="3:18">
      <c r="C1996" s="7"/>
      <c r="D1996" s="7"/>
      <c r="E1996" s="7"/>
      <c r="F1996" s="7"/>
      <c r="G1996" s="7"/>
      <c r="H1996" s="7"/>
      <c r="I1996" s="7"/>
      <c r="J1996" s="7"/>
      <c r="K1996" s="7"/>
      <c r="L1996" s="27"/>
      <c r="N1996" s="8"/>
      <c r="O1996" s="7"/>
      <c r="P1996" s="7"/>
      <c r="Q1996" s="7"/>
      <c r="R1996" s="7"/>
    </row>
    <row r="1997" spans="3:18">
      <c r="C1997" s="7"/>
      <c r="D1997" s="7"/>
      <c r="E1997" s="7"/>
      <c r="F1997" s="7"/>
      <c r="G1997" s="7"/>
      <c r="H1997" s="7"/>
      <c r="I1997" s="7"/>
      <c r="J1997" s="7"/>
      <c r="K1997" s="7"/>
      <c r="L1997" s="27"/>
      <c r="N1997" s="8"/>
      <c r="O1997" s="7"/>
      <c r="P1997" s="7"/>
      <c r="Q1997" s="7"/>
      <c r="R1997" s="7"/>
    </row>
    <row r="1998" spans="3:18">
      <c r="C1998" s="7"/>
      <c r="D1998" s="7"/>
      <c r="E1998" s="7"/>
      <c r="F1998" s="7"/>
      <c r="G1998" s="7"/>
      <c r="H1998" s="7"/>
      <c r="I1998" s="7"/>
      <c r="J1998" s="7"/>
      <c r="K1998" s="7"/>
      <c r="L1998" s="27"/>
      <c r="N1998" s="8"/>
      <c r="O1998" s="7"/>
      <c r="P1998" s="7"/>
      <c r="Q1998" s="7"/>
      <c r="R1998" s="7"/>
    </row>
    <row r="1999" spans="3:18">
      <c r="C1999" s="7"/>
      <c r="D1999" s="7"/>
      <c r="E1999" s="7"/>
      <c r="F1999" s="7"/>
      <c r="G1999" s="7"/>
      <c r="H1999" s="7"/>
      <c r="I1999" s="7"/>
      <c r="J1999" s="7"/>
      <c r="K1999" s="7"/>
      <c r="L1999" s="27"/>
      <c r="N1999" s="8"/>
      <c r="O1999" s="7"/>
      <c r="P1999" s="7"/>
      <c r="Q1999" s="7"/>
      <c r="R1999" s="7"/>
    </row>
    <row r="2000" spans="3:18">
      <c r="C2000" s="7"/>
      <c r="D2000" s="7"/>
      <c r="E2000" s="7"/>
      <c r="F2000" s="7"/>
      <c r="G2000" s="7"/>
      <c r="H2000" s="7"/>
      <c r="I2000" s="7"/>
      <c r="J2000" s="7"/>
      <c r="K2000" s="7"/>
      <c r="L2000" s="27"/>
      <c r="N2000" s="8"/>
      <c r="O2000" s="7"/>
      <c r="P2000" s="7"/>
      <c r="Q2000" s="7"/>
      <c r="R2000" s="7"/>
    </row>
    <row r="2001" spans="3:18">
      <c r="C2001" s="7"/>
      <c r="D2001" s="7"/>
      <c r="E2001" s="7"/>
      <c r="F2001" s="7"/>
      <c r="G2001" s="7"/>
      <c r="H2001" s="7"/>
      <c r="I2001" s="7"/>
      <c r="J2001" s="7"/>
      <c r="K2001" s="7"/>
      <c r="L2001" s="27"/>
      <c r="N2001" s="8"/>
      <c r="O2001" s="7"/>
      <c r="P2001" s="7"/>
      <c r="Q2001" s="7"/>
      <c r="R2001" s="7"/>
    </row>
    <row r="2002" spans="3:18">
      <c r="C2002" s="7"/>
      <c r="D2002" s="7"/>
      <c r="E2002" s="7"/>
      <c r="F2002" s="7"/>
      <c r="G2002" s="7"/>
      <c r="H2002" s="7"/>
      <c r="I2002" s="7"/>
      <c r="J2002" s="7"/>
      <c r="K2002" s="7"/>
      <c r="L2002" s="27"/>
      <c r="N2002" s="8"/>
      <c r="O2002" s="7"/>
      <c r="P2002" s="7"/>
      <c r="Q2002" s="7"/>
      <c r="R2002" s="7"/>
    </row>
    <row r="2003" spans="3:18">
      <c r="C2003" s="7"/>
      <c r="D2003" s="7"/>
      <c r="E2003" s="7"/>
      <c r="F2003" s="7"/>
      <c r="G2003" s="7"/>
      <c r="H2003" s="7"/>
      <c r="I2003" s="7"/>
      <c r="J2003" s="7"/>
      <c r="K2003" s="7"/>
      <c r="L2003" s="27"/>
      <c r="N2003" s="8"/>
      <c r="O2003" s="7"/>
      <c r="P2003" s="7"/>
      <c r="Q2003" s="7"/>
      <c r="R2003" s="7"/>
    </row>
    <row r="2004" spans="3:18">
      <c r="C2004" s="7"/>
      <c r="D2004" s="7"/>
      <c r="E2004" s="7"/>
      <c r="F2004" s="7"/>
      <c r="G2004" s="7"/>
      <c r="H2004" s="7"/>
      <c r="I2004" s="7"/>
      <c r="J2004" s="7"/>
      <c r="K2004" s="7"/>
      <c r="L2004" s="27"/>
      <c r="N2004" s="8"/>
      <c r="O2004" s="7"/>
      <c r="P2004" s="7"/>
      <c r="Q2004" s="7"/>
      <c r="R2004" s="7"/>
    </row>
    <row r="2005" spans="3:18">
      <c r="C2005" s="7"/>
      <c r="D2005" s="7"/>
      <c r="E2005" s="7"/>
      <c r="F2005" s="7"/>
      <c r="G2005" s="7"/>
      <c r="H2005" s="7"/>
      <c r="I2005" s="7"/>
      <c r="J2005" s="7"/>
      <c r="K2005" s="7"/>
      <c r="L2005" s="27"/>
      <c r="N2005" s="8"/>
      <c r="O2005" s="7"/>
      <c r="P2005" s="7"/>
      <c r="Q2005" s="7"/>
      <c r="R2005" s="7"/>
    </row>
    <row r="2006" spans="3:18">
      <c r="C2006" s="7"/>
      <c r="D2006" s="7"/>
      <c r="E2006" s="7"/>
      <c r="F2006" s="7"/>
      <c r="G2006" s="7"/>
      <c r="H2006" s="7"/>
      <c r="I2006" s="7"/>
      <c r="J2006" s="7"/>
      <c r="K2006" s="7"/>
      <c r="L2006" s="27"/>
      <c r="N2006" s="8"/>
      <c r="O2006" s="7"/>
      <c r="P2006" s="7"/>
      <c r="Q2006" s="7"/>
      <c r="R2006" s="7"/>
    </row>
    <row r="2007" spans="3:18">
      <c r="C2007" s="7"/>
      <c r="D2007" s="7"/>
      <c r="E2007" s="7"/>
      <c r="F2007" s="7"/>
      <c r="G2007" s="7"/>
      <c r="H2007" s="7"/>
      <c r="I2007" s="7"/>
      <c r="J2007" s="7"/>
      <c r="K2007" s="7"/>
      <c r="L2007" s="27"/>
      <c r="N2007" s="8"/>
      <c r="O2007" s="7"/>
      <c r="P2007" s="7"/>
      <c r="Q2007" s="7"/>
      <c r="R2007" s="7"/>
    </row>
    <row r="2008" spans="3:18">
      <c r="C2008" s="7"/>
      <c r="D2008" s="7"/>
      <c r="E2008" s="7"/>
      <c r="F2008" s="7"/>
      <c r="G2008" s="7"/>
      <c r="H2008" s="7"/>
      <c r="I2008" s="7"/>
      <c r="J2008" s="7"/>
      <c r="K2008" s="7"/>
      <c r="L2008" s="27"/>
      <c r="N2008" s="8"/>
      <c r="O2008" s="7"/>
      <c r="P2008" s="7"/>
      <c r="Q2008" s="7"/>
      <c r="R2008" s="7"/>
    </row>
    <row r="2009" spans="3:18">
      <c r="C2009" s="7"/>
      <c r="D2009" s="7"/>
      <c r="E2009" s="7"/>
      <c r="F2009" s="7"/>
      <c r="G2009" s="7"/>
      <c r="H2009" s="7"/>
      <c r="I2009" s="7"/>
      <c r="J2009" s="7"/>
      <c r="K2009" s="7"/>
      <c r="L2009" s="27"/>
      <c r="N2009" s="8"/>
      <c r="O2009" s="7"/>
      <c r="P2009" s="7"/>
      <c r="Q2009" s="7"/>
      <c r="R2009" s="7"/>
    </row>
    <row r="2010" spans="3:18">
      <c r="C2010" s="7"/>
      <c r="D2010" s="7"/>
      <c r="E2010" s="7"/>
      <c r="F2010" s="7"/>
      <c r="G2010" s="7"/>
      <c r="H2010" s="7"/>
      <c r="I2010" s="7"/>
      <c r="J2010" s="7"/>
      <c r="K2010" s="7"/>
      <c r="L2010" s="27"/>
      <c r="N2010" s="8"/>
      <c r="O2010" s="7"/>
      <c r="P2010" s="7"/>
      <c r="Q2010" s="7"/>
      <c r="R2010" s="7"/>
    </row>
    <row r="2011" spans="3:18">
      <c r="C2011" s="7"/>
      <c r="D2011" s="7"/>
      <c r="E2011" s="7"/>
      <c r="F2011" s="7"/>
      <c r="G2011" s="7"/>
      <c r="H2011" s="7"/>
      <c r="I2011" s="7"/>
      <c r="J2011" s="7"/>
      <c r="K2011" s="7"/>
      <c r="L2011" s="27"/>
      <c r="N2011" s="8"/>
      <c r="O2011" s="7"/>
      <c r="P2011" s="7"/>
      <c r="Q2011" s="7"/>
      <c r="R2011" s="7"/>
    </row>
    <row r="2012" spans="3:18">
      <c r="C2012" s="7"/>
      <c r="D2012" s="7"/>
      <c r="E2012" s="7"/>
      <c r="F2012" s="7"/>
      <c r="G2012" s="7"/>
      <c r="H2012" s="7"/>
      <c r="I2012" s="7"/>
      <c r="J2012" s="7"/>
      <c r="K2012" s="7"/>
      <c r="L2012" s="27"/>
      <c r="N2012" s="8"/>
      <c r="O2012" s="7"/>
      <c r="P2012" s="7"/>
      <c r="Q2012" s="7"/>
      <c r="R2012" s="7"/>
    </row>
    <row r="2013" spans="3:18">
      <c r="C2013" s="7"/>
      <c r="D2013" s="7"/>
      <c r="E2013" s="7"/>
      <c r="F2013" s="7"/>
      <c r="G2013" s="7"/>
      <c r="H2013" s="7"/>
      <c r="I2013" s="7"/>
      <c r="J2013" s="7"/>
      <c r="K2013" s="7"/>
      <c r="L2013" s="27"/>
      <c r="N2013" s="8"/>
      <c r="O2013" s="7"/>
      <c r="P2013" s="7"/>
      <c r="Q2013" s="7"/>
      <c r="R2013" s="7"/>
    </row>
    <row r="2014" spans="3:18">
      <c r="C2014" s="7"/>
      <c r="D2014" s="7"/>
      <c r="E2014" s="7"/>
      <c r="F2014" s="7"/>
      <c r="G2014" s="7"/>
      <c r="H2014" s="7"/>
      <c r="I2014" s="7"/>
      <c r="J2014" s="7"/>
      <c r="K2014" s="7"/>
      <c r="L2014" s="27"/>
      <c r="N2014" s="8"/>
      <c r="O2014" s="7"/>
      <c r="P2014" s="7"/>
      <c r="Q2014" s="7"/>
      <c r="R2014" s="7"/>
    </row>
    <row r="2015" spans="3:18">
      <c r="C2015" s="7"/>
      <c r="D2015" s="7"/>
      <c r="E2015" s="7"/>
      <c r="F2015" s="7"/>
      <c r="G2015" s="7"/>
      <c r="H2015" s="7"/>
      <c r="I2015" s="7"/>
      <c r="J2015" s="7"/>
      <c r="K2015" s="7"/>
      <c r="L2015" s="27"/>
      <c r="N2015" s="8"/>
      <c r="O2015" s="7"/>
      <c r="P2015" s="7"/>
      <c r="Q2015" s="7"/>
      <c r="R2015" s="7"/>
    </row>
    <row r="2016" spans="3:18">
      <c r="C2016" s="7"/>
      <c r="D2016" s="7"/>
      <c r="E2016" s="7"/>
      <c r="F2016" s="7"/>
      <c r="G2016" s="7"/>
      <c r="H2016" s="7"/>
      <c r="I2016" s="7"/>
      <c r="J2016" s="7"/>
      <c r="K2016" s="7"/>
      <c r="L2016" s="27"/>
      <c r="N2016" s="8"/>
      <c r="O2016" s="7"/>
      <c r="P2016" s="7"/>
      <c r="Q2016" s="7"/>
      <c r="R2016" s="7"/>
    </row>
    <row r="2017" spans="3:18">
      <c r="C2017" s="7"/>
      <c r="D2017" s="7"/>
      <c r="E2017" s="7"/>
      <c r="F2017" s="7"/>
      <c r="G2017" s="7"/>
      <c r="H2017" s="7"/>
      <c r="I2017" s="7"/>
      <c r="J2017" s="7"/>
      <c r="K2017" s="7"/>
      <c r="L2017" s="27"/>
      <c r="N2017" s="8"/>
      <c r="O2017" s="7"/>
      <c r="P2017" s="7"/>
      <c r="Q2017" s="7"/>
      <c r="R2017" s="7"/>
    </row>
    <row r="2018" spans="3:18">
      <c r="C2018" s="7"/>
      <c r="D2018" s="7"/>
      <c r="E2018" s="7"/>
      <c r="F2018" s="7"/>
      <c r="G2018" s="7"/>
      <c r="H2018" s="7"/>
      <c r="I2018" s="7"/>
      <c r="J2018" s="7"/>
      <c r="K2018" s="7"/>
      <c r="L2018" s="27"/>
      <c r="N2018" s="8"/>
      <c r="O2018" s="7"/>
      <c r="P2018" s="7"/>
      <c r="Q2018" s="7"/>
      <c r="R2018" s="7"/>
    </row>
    <row r="2019" spans="3:18">
      <c r="C2019" s="7"/>
      <c r="D2019" s="7"/>
      <c r="E2019" s="7"/>
      <c r="F2019" s="7"/>
      <c r="G2019" s="7"/>
      <c r="H2019" s="7"/>
      <c r="I2019" s="7"/>
      <c r="J2019" s="7"/>
      <c r="K2019" s="7"/>
      <c r="L2019" s="27"/>
      <c r="N2019" s="8"/>
      <c r="O2019" s="7"/>
      <c r="P2019" s="7"/>
      <c r="Q2019" s="7"/>
      <c r="R2019" s="7"/>
    </row>
    <row r="2020" spans="3:18">
      <c r="C2020" s="7"/>
      <c r="D2020" s="7"/>
      <c r="E2020" s="7"/>
      <c r="F2020" s="7"/>
      <c r="G2020" s="7"/>
      <c r="H2020" s="7"/>
      <c r="I2020" s="7"/>
      <c r="J2020" s="7"/>
      <c r="K2020" s="7"/>
      <c r="L2020" s="27"/>
      <c r="N2020" s="8"/>
      <c r="O2020" s="7"/>
      <c r="P2020" s="7"/>
      <c r="Q2020" s="7"/>
      <c r="R2020" s="7"/>
    </row>
    <row r="2021" spans="3:18">
      <c r="C2021" s="7"/>
      <c r="D2021" s="7"/>
      <c r="E2021" s="7"/>
      <c r="F2021" s="7"/>
      <c r="G2021" s="7"/>
      <c r="H2021" s="7"/>
      <c r="I2021" s="7"/>
      <c r="J2021" s="7"/>
      <c r="K2021" s="7"/>
      <c r="L2021" s="27"/>
      <c r="N2021" s="8"/>
      <c r="O2021" s="7"/>
      <c r="P2021" s="7"/>
      <c r="Q2021" s="7"/>
      <c r="R2021" s="7"/>
    </row>
    <row r="2022" spans="3:18">
      <c r="C2022" s="7"/>
      <c r="D2022" s="7"/>
      <c r="E2022" s="7"/>
      <c r="F2022" s="7"/>
      <c r="G2022" s="7"/>
      <c r="H2022" s="7"/>
      <c r="I2022" s="7"/>
      <c r="J2022" s="7"/>
      <c r="K2022" s="7"/>
      <c r="L2022" s="27"/>
      <c r="N2022" s="8"/>
      <c r="O2022" s="7"/>
      <c r="P2022" s="7"/>
      <c r="Q2022" s="7"/>
      <c r="R2022" s="7"/>
    </row>
    <row r="2023" spans="3:18">
      <c r="C2023" s="7"/>
      <c r="D2023" s="7"/>
      <c r="E2023" s="7"/>
      <c r="F2023" s="7"/>
      <c r="G2023" s="7"/>
      <c r="H2023" s="7"/>
      <c r="I2023" s="7"/>
      <c r="J2023" s="7"/>
      <c r="K2023" s="7"/>
      <c r="L2023" s="27"/>
      <c r="N2023" s="8"/>
      <c r="O2023" s="7"/>
      <c r="P2023" s="7"/>
      <c r="Q2023" s="7"/>
      <c r="R2023" s="7"/>
    </row>
    <row r="2024" spans="3:18">
      <c r="C2024" s="7"/>
      <c r="D2024" s="7"/>
      <c r="E2024" s="7"/>
      <c r="F2024" s="7"/>
      <c r="G2024" s="7"/>
      <c r="H2024" s="7"/>
      <c r="I2024" s="7"/>
      <c r="J2024" s="7"/>
      <c r="K2024" s="7"/>
      <c r="L2024" s="27"/>
      <c r="N2024" s="8"/>
      <c r="O2024" s="7"/>
      <c r="P2024" s="7"/>
      <c r="Q2024" s="7"/>
      <c r="R2024" s="7"/>
    </row>
    <row r="2025" spans="3:18">
      <c r="C2025" s="7"/>
      <c r="D2025" s="7"/>
      <c r="E2025" s="7"/>
      <c r="F2025" s="7"/>
      <c r="G2025" s="7"/>
      <c r="H2025" s="7"/>
      <c r="I2025" s="7"/>
      <c r="J2025" s="7"/>
      <c r="K2025" s="7"/>
      <c r="L2025" s="27"/>
      <c r="N2025" s="8"/>
      <c r="O2025" s="7"/>
      <c r="P2025" s="7"/>
      <c r="Q2025" s="7"/>
      <c r="R2025" s="7"/>
    </row>
    <row r="2026" spans="3:18">
      <c r="C2026" s="7"/>
      <c r="D2026" s="7"/>
      <c r="E2026" s="7"/>
      <c r="F2026" s="7"/>
      <c r="G2026" s="7"/>
      <c r="H2026" s="7"/>
      <c r="I2026" s="7"/>
      <c r="J2026" s="7"/>
      <c r="K2026" s="7"/>
      <c r="L2026" s="27"/>
      <c r="N2026" s="8"/>
      <c r="O2026" s="7"/>
      <c r="P2026" s="7"/>
      <c r="Q2026" s="7"/>
      <c r="R2026" s="7"/>
    </row>
    <row r="2027" spans="3:18">
      <c r="C2027" s="7"/>
      <c r="D2027" s="7"/>
      <c r="E2027" s="7"/>
      <c r="F2027" s="7"/>
      <c r="G2027" s="7"/>
      <c r="H2027" s="7"/>
      <c r="I2027" s="7"/>
      <c r="J2027" s="7"/>
      <c r="K2027" s="7"/>
      <c r="L2027" s="27"/>
      <c r="N2027" s="8"/>
      <c r="O2027" s="7"/>
      <c r="P2027" s="7"/>
      <c r="Q2027" s="7"/>
      <c r="R2027" s="7"/>
    </row>
    <row r="2028" spans="3:18">
      <c r="C2028" s="7"/>
      <c r="D2028" s="7"/>
      <c r="E2028" s="7"/>
      <c r="F2028" s="7"/>
      <c r="G2028" s="7"/>
      <c r="H2028" s="7"/>
      <c r="I2028" s="7"/>
      <c r="J2028" s="7"/>
      <c r="K2028" s="7"/>
      <c r="L2028" s="27"/>
      <c r="N2028" s="8"/>
      <c r="O2028" s="7"/>
      <c r="P2028" s="7"/>
      <c r="Q2028" s="7"/>
      <c r="R2028" s="7"/>
    </row>
    <row r="2029" spans="3:18">
      <c r="C2029" s="7"/>
      <c r="D2029" s="7"/>
      <c r="E2029" s="7"/>
      <c r="F2029" s="7"/>
      <c r="G2029" s="7"/>
      <c r="H2029" s="7"/>
      <c r="I2029" s="7"/>
      <c r="J2029" s="7"/>
      <c r="K2029" s="7"/>
      <c r="L2029" s="27"/>
      <c r="N2029" s="8"/>
      <c r="O2029" s="7"/>
      <c r="P2029" s="7"/>
      <c r="Q2029" s="7"/>
      <c r="R2029" s="7"/>
    </row>
    <row r="2030" spans="3:18">
      <c r="C2030" s="7"/>
      <c r="D2030" s="7"/>
      <c r="E2030" s="7"/>
      <c r="F2030" s="7"/>
      <c r="G2030" s="7"/>
      <c r="H2030" s="7"/>
      <c r="I2030" s="7"/>
      <c r="J2030" s="7"/>
      <c r="K2030" s="7"/>
      <c r="L2030" s="27"/>
      <c r="N2030" s="8"/>
      <c r="O2030" s="7"/>
      <c r="P2030" s="7"/>
      <c r="Q2030" s="7"/>
      <c r="R2030" s="7"/>
    </row>
    <row r="2031" spans="3:18">
      <c r="C2031" s="7"/>
      <c r="D2031" s="7"/>
      <c r="E2031" s="7"/>
      <c r="F2031" s="7"/>
      <c r="G2031" s="7"/>
      <c r="H2031" s="7"/>
      <c r="I2031" s="7"/>
      <c r="J2031" s="7"/>
      <c r="K2031" s="7"/>
      <c r="L2031" s="27"/>
      <c r="N2031" s="8"/>
      <c r="O2031" s="7"/>
      <c r="P2031" s="7"/>
      <c r="Q2031" s="7"/>
      <c r="R2031" s="7"/>
    </row>
    <row r="2032" spans="3:18">
      <c r="C2032" s="7"/>
      <c r="D2032" s="7"/>
      <c r="E2032" s="7"/>
      <c r="F2032" s="7"/>
      <c r="G2032" s="7"/>
      <c r="H2032" s="7"/>
      <c r="I2032" s="7"/>
      <c r="J2032" s="7"/>
      <c r="K2032" s="7"/>
      <c r="L2032" s="27"/>
      <c r="N2032" s="8"/>
      <c r="O2032" s="7"/>
      <c r="P2032" s="7"/>
      <c r="Q2032" s="7"/>
      <c r="R2032" s="7"/>
    </row>
    <row r="2033" spans="3:18">
      <c r="C2033" s="7"/>
      <c r="D2033" s="7"/>
      <c r="E2033" s="7"/>
      <c r="F2033" s="7"/>
      <c r="G2033" s="7"/>
      <c r="H2033" s="7"/>
      <c r="I2033" s="7"/>
      <c r="J2033" s="7"/>
      <c r="K2033" s="7"/>
      <c r="L2033" s="27"/>
      <c r="N2033" s="8"/>
      <c r="O2033" s="7"/>
      <c r="P2033" s="7"/>
      <c r="Q2033" s="7"/>
      <c r="R2033" s="7"/>
    </row>
    <row r="2034" spans="3:18">
      <c r="C2034" s="7"/>
      <c r="D2034" s="7"/>
      <c r="E2034" s="7"/>
      <c r="F2034" s="7"/>
      <c r="G2034" s="7"/>
      <c r="H2034" s="7"/>
      <c r="I2034" s="7"/>
      <c r="J2034" s="7"/>
      <c r="K2034" s="7"/>
      <c r="L2034" s="27"/>
      <c r="N2034" s="8"/>
      <c r="O2034" s="7"/>
      <c r="P2034" s="7"/>
      <c r="Q2034" s="7"/>
      <c r="R2034" s="7"/>
    </row>
    <row r="2035" spans="3:18">
      <c r="C2035" s="7"/>
      <c r="D2035" s="7"/>
      <c r="E2035" s="7"/>
      <c r="F2035" s="7"/>
      <c r="G2035" s="7"/>
      <c r="H2035" s="7"/>
      <c r="I2035" s="7"/>
      <c r="J2035" s="7"/>
      <c r="K2035" s="7"/>
      <c r="L2035" s="27"/>
      <c r="N2035" s="8"/>
      <c r="O2035" s="7"/>
      <c r="P2035" s="7"/>
      <c r="Q2035" s="7"/>
      <c r="R2035" s="7"/>
    </row>
    <row r="2036" spans="3:18">
      <c r="C2036" s="7"/>
      <c r="D2036" s="7"/>
      <c r="E2036" s="7"/>
      <c r="F2036" s="7"/>
      <c r="G2036" s="7"/>
      <c r="H2036" s="7"/>
      <c r="I2036" s="7"/>
      <c r="J2036" s="7"/>
      <c r="K2036" s="7"/>
      <c r="L2036" s="27"/>
      <c r="N2036" s="8"/>
      <c r="O2036" s="7"/>
      <c r="P2036" s="7"/>
      <c r="Q2036" s="7"/>
      <c r="R2036" s="7"/>
    </row>
    <row r="2037" spans="3:18">
      <c r="C2037" s="7"/>
      <c r="D2037" s="7"/>
      <c r="E2037" s="7"/>
      <c r="F2037" s="7"/>
      <c r="G2037" s="7"/>
      <c r="H2037" s="7"/>
      <c r="I2037" s="7"/>
      <c r="J2037" s="7"/>
      <c r="K2037" s="7"/>
      <c r="L2037" s="27"/>
      <c r="N2037" s="8"/>
      <c r="O2037" s="7"/>
      <c r="P2037" s="7"/>
      <c r="Q2037" s="7"/>
      <c r="R2037" s="7"/>
    </row>
    <row r="2038" spans="3:18">
      <c r="C2038" s="7"/>
      <c r="D2038" s="7"/>
      <c r="E2038" s="7"/>
      <c r="F2038" s="7"/>
      <c r="G2038" s="7"/>
      <c r="H2038" s="7"/>
      <c r="I2038" s="7"/>
      <c r="J2038" s="7"/>
      <c r="K2038" s="7"/>
      <c r="L2038" s="27"/>
      <c r="N2038" s="8"/>
      <c r="O2038" s="7"/>
      <c r="P2038" s="7"/>
      <c r="Q2038" s="7"/>
      <c r="R2038" s="7"/>
    </row>
    <row r="2039" spans="3:18">
      <c r="C2039" s="7"/>
      <c r="D2039" s="7"/>
      <c r="E2039" s="7"/>
      <c r="F2039" s="7"/>
      <c r="G2039" s="7"/>
      <c r="H2039" s="7"/>
      <c r="I2039" s="7"/>
      <c r="J2039" s="7"/>
      <c r="K2039" s="7"/>
      <c r="L2039" s="27"/>
      <c r="N2039" s="8"/>
      <c r="O2039" s="7"/>
      <c r="P2039" s="7"/>
      <c r="Q2039" s="7"/>
      <c r="R2039" s="7"/>
    </row>
    <row r="2040" spans="3:18">
      <c r="C2040" s="7"/>
      <c r="D2040" s="7"/>
      <c r="E2040" s="7"/>
      <c r="F2040" s="7"/>
      <c r="G2040" s="7"/>
      <c r="H2040" s="7"/>
      <c r="I2040" s="7"/>
      <c r="J2040" s="7"/>
      <c r="K2040" s="7"/>
      <c r="L2040" s="27"/>
      <c r="N2040" s="8"/>
      <c r="O2040" s="7"/>
      <c r="P2040" s="7"/>
      <c r="Q2040" s="7"/>
      <c r="R2040" s="7"/>
    </row>
    <row r="2041" spans="3:18">
      <c r="C2041" s="7"/>
      <c r="D2041" s="7"/>
      <c r="E2041" s="7"/>
      <c r="F2041" s="7"/>
      <c r="G2041" s="7"/>
      <c r="H2041" s="7"/>
      <c r="I2041" s="7"/>
      <c r="J2041" s="7"/>
      <c r="K2041" s="7"/>
      <c r="L2041" s="27"/>
      <c r="N2041" s="8"/>
      <c r="O2041" s="7"/>
      <c r="P2041" s="7"/>
      <c r="Q2041" s="7"/>
      <c r="R2041" s="7"/>
    </row>
    <row r="2042" spans="3:18">
      <c r="C2042" s="7"/>
      <c r="D2042" s="7"/>
      <c r="E2042" s="7"/>
      <c r="F2042" s="7"/>
      <c r="G2042" s="7"/>
      <c r="H2042" s="7"/>
      <c r="I2042" s="7"/>
      <c r="J2042" s="7"/>
      <c r="K2042" s="7"/>
      <c r="L2042" s="27"/>
      <c r="N2042" s="8"/>
      <c r="O2042" s="7"/>
      <c r="P2042" s="7"/>
      <c r="Q2042" s="7"/>
      <c r="R2042" s="7"/>
    </row>
    <row r="2043" spans="3:18">
      <c r="C2043" s="7"/>
      <c r="D2043" s="7"/>
      <c r="E2043" s="7"/>
      <c r="F2043" s="7"/>
      <c r="G2043" s="7"/>
      <c r="H2043" s="7"/>
      <c r="I2043" s="7"/>
      <c r="J2043" s="7"/>
      <c r="K2043" s="7"/>
      <c r="L2043" s="27"/>
      <c r="N2043" s="8"/>
      <c r="O2043" s="7"/>
      <c r="P2043" s="7"/>
      <c r="Q2043" s="7"/>
      <c r="R2043" s="7"/>
    </row>
    <row r="2044" spans="3:18">
      <c r="C2044" s="7"/>
      <c r="D2044" s="7"/>
      <c r="E2044" s="7"/>
      <c r="F2044" s="7"/>
      <c r="G2044" s="7"/>
      <c r="H2044" s="7"/>
      <c r="I2044" s="7"/>
      <c r="J2044" s="7"/>
      <c r="K2044" s="7"/>
      <c r="L2044" s="27"/>
      <c r="N2044" s="8"/>
      <c r="O2044" s="7"/>
      <c r="P2044" s="7"/>
      <c r="Q2044" s="7"/>
      <c r="R2044" s="7"/>
    </row>
    <row r="2045" spans="3:18">
      <c r="C2045" s="7"/>
      <c r="D2045" s="7"/>
      <c r="E2045" s="7"/>
      <c r="F2045" s="7"/>
      <c r="G2045" s="7"/>
      <c r="H2045" s="7"/>
      <c r="I2045" s="7"/>
      <c r="J2045" s="7"/>
      <c r="K2045" s="7"/>
      <c r="L2045" s="27"/>
      <c r="N2045" s="8"/>
      <c r="O2045" s="7"/>
      <c r="P2045" s="7"/>
      <c r="Q2045" s="7"/>
      <c r="R2045" s="7"/>
    </row>
    <row r="2046" spans="3:18">
      <c r="C2046" s="7"/>
      <c r="D2046" s="7"/>
      <c r="E2046" s="7"/>
      <c r="F2046" s="7"/>
      <c r="G2046" s="7"/>
      <c r="H2046" s="7"/>
      <c r="I2046" s="7"/>
      <c r="J2046" s="7"/>
      <c r="K2046" s="7"/>
      <c r="L2046" s="27"/>
      <c r="N2046" s="8"/>
      <c r="O2046" s="7"/>
      <c r="P2046" s="7"/>
      <c r="Q2046" s="7"/>
      <c r="R2046" s="7"/>
    </row>
    <row r="2047" spans="3:18">
      <c r="C2047" s="7"/>
      <c r="D2047" s="7"/>
      <c r="E2047" s="7"/>
      <c r="F2047" s="7"/>
      <c r="G2047" s="7"/>
      <c r="H2047" s="7"/>
      <c r="I2047" s="7"/>
      <c r="J2047" s="7"/>
      <c r="K2047" s="7"/>
      <c r="L2047" s="27"/>
      <c r="N2047" s="8"/>
      <c r="O2047" s="7"/>
      <c r="P2047" s="7"/>
      <c r="Q2047" s="7"/>
      <c r="R2047" s="7"/>
    </row>
    <row r="2048" spans="3:18">
      <c r="C2048" s="7"/>
      <c r="D2048" s="7"/>
      <c r="E2048" s="7"/>
      <c r="F2048" s="7"/>
      <c r="G2048" s="7"/>
      <c r="H2048" s="7"/>
      <c r="I2048" s="7"/>
      <c r="J2048" s="7"/>
      <c r="K2048" s="7"/>
      <c r="L2048" s="27"/>
      <c r="N2048" s="8"/>
      <c r="O2048" s="7"/>
      <c r="P2048" s="7"/>
      <c r="Q2048" s="7"/>
      <c r="R2048" s="7"/>
    </row>
    <row r="2049" spans="3:18">
      <c r="C2049" s="7"/>
      <c r="D2049" s="7"/>
      <c r="E2049" s="7"/>
      <c r="F2049" s="7"/>
      <c r="G2049" s="7"/>
      <c r="H2049" s="7"/>
      <c r="I2049" s="7"/>
      <c r="J2049" s="7"/>
      <c r="K2049" s="7"/>
      <c r="L2049" s="27"/>
      <c r="N2049" s="8"/>
      <c r="O2049" s="7"/>
      <c r="P2049" s="7"/>
      <c r="Q2049" s="7"/>
      <c r="R2049" s="7"/>
    </row>
    <row r="2050" spans="3:18">
      <c r="C2050" s="7"/>
      <c r="D2050" s="7"/>
      <c r="E2050" s="7"/>
      <c r="F2050" s="7"/>
      <c r="G2050" s="7"/>
      <c r="H2050" s="7"/>
      <c r="I2050" s="7"/>
      <c r="J2050" s="7"/>
      <c r="K2050" s="7"/>
      <c r="L2050" s="27"/>
      <c r="N2050" s="8"/>
      <c r="O2050" s="7"/>
      <c r="P2050" s="7"/>
      <c r="Q2050" s="7"/>
      <c r="R2050" s="7"/>
    </row>
    <row r="2051" spans="3:18">
      <c r="C2051" s="7"/>
      <c r="D2051" s="7"/>
      <c r="E2051" s="7"/>
      <c r="F2051" s="7"/>
      <c r="G2051" s="7"/>
      <c r="H2051" s="7"/>
      <c r="I2051" s="7"/>
      <c r="J2051" s="7"/>
      <c r="K2051" s="7"/>
      <c r="L2051" s="27"/>
      <c r="N2051" s="8"/>
      <c r="O2051" s="7"/>
      <c r="P2051" s="7"/>
      <c r="Q2051" s="7"/>
      <c r="R2051" s="7"/>
    </row>
    <row r="2052" spans="3:18">
      <c r="C2052" s="7"/>
      <c r="D2052" s="7"/>
      <c r="E2052" s="7"/>
      <c r="F2052" s="7"/>
      <c r="G2052" s="7"/>
      <c r="H2052" s="7"/>
      <c r="I2052" s="7"/>
      <c r="J2052" s="7"/>
      <c r="K2052" s="7"/>
      <c r="L2052" s="27"/>
      <c r="N2052" s="8"/>
      <c r="O2052" s="7"/>
      <c r="P2052" s="7"/>
      <c r="Q2052" s="7"/>
      <c r="R2052" s="7"/>
    </row>
    <row r="2053" spans="3:18">
      <c r="C2053" s="7"/>
      <c r="D2053" s="7"/>
      <c r="E2053" s="7"/>
      <c r="F2053" s="7"/>
      <c r="G2053" s="7"/>
      <c r="H2053" s="7"/>
      <c r="I2053" s="7"/>
      <c r="J2053" s="7"/>
      <c r="K2053" s="7"/>
      <c r="L2053" s="27"/>
      <c r="N2053" s="8"/>
      <c r="O2053" s="7"/>
      <c r="P2053" s="7"/>
      <c r="Q2053" s="7"/>
      <c r="R2053" s="7"/>
    </row>
    <row r="2054" spans="3:18">
      <c r="C2054" s="7"/>
      <c r="D2054" s="7"/>
      <c r="E2054" s="7"/>
      <c r="F2054" s="7"/>
      <c r="G2054" s="7"/>
      <c r="H2054" s="7"/>
      <c r="I2054" s="7"/>
      <c r="J2054" s="7"/>
      <c r="K2054" s="7"/>
      <c r="L2054" s="27"/>
      <c r="N2054" s="8"/>
      <c r="O2054" s="7"/>
      <c r="P2054" s="7"/>
      <c r="Q2054" s="7"/>
      <c r="R2054" s="7"/>
    </row>
    <row r="2055" spans="3:18">
      <c r="C2055" s="7"/>
      <c r="D2055" s="7"/>
      <c r="E2055" s="7"/>
      <c r="F2055" s="7"/>
      <c r="G2055" s="7"/>
      <c r="H2055" s="7"/>
      <c r="I2055" s="7"/>
      <c r="J2055" s="7"/>
      <c r="K2055" s="7"/>
      <c r="L2055" s="27"/>
      <c r="N2055" s="8"/>
      <c r="O2055" s="7"/>
      <c r="P2055" s="7"/>
      <c r="Q2055" s="7"/>
      <c r="R2055" s="7"/>
    </row>
    <row r="2056" spans="3:18">
      <c r="C2056" s="7"/>
      <c r="D2056" s="7"/>
      <c r="E2056" s="7"/>
      <c r="F2056" s="7"/>
      <c r="G2056" s="7"/>
      <c r="H2056" s="7"/>
      <c r="I2056" s="7"/>
      <c r="J2056" s="7"/>
      <c r="K2056" s="7"/>
      <c r="L2056" s="27"/>
      <c r="N2056" s="8"/>
      <c r="O2056" s="7"/>
      <c r="P2056" s="7"/>
      <c r="Q2056" s="7"/>
      <c r="R2056" s="7"/>
    </row>
    <row r="2057" spans="3:18">
      <c r="C2057" s="7"/>
      <c r="D2057" s="7"/>
      <c r="E2057" s="7"/>
      <c r="F2057" s="7"/>
      <c r="G2057" s="7"/>
      <c r="H2057" s="7"/>
      <c r="I2057" s="7"/>
      <c r="J2057" s="7"/>
      <c r="K2057" s="7"/>
      <c r="L2057" s="27"/>
      <c r="N2057" s="8"/>
      <c r="O2057" s="7"/>
      <c r="P2057" s="7"/>
      <c r="Q2057" s="7"/>
      <c r="R2057" s="7"/>
    </row>
    <row r="2058" spans="3:18">
      <c r="C2058" s="7"/>
      <c r="D2058" s="7"/>
      <c r="E2058" s="7"/>
      <c r="F2058" s="7"/>
      <c r="G2058" s="7"/>
      <c r="H2058" s="7"/>
      <c r="I2058" s="7"/>
      <c r="J2058" s="7"/>
      <c r="K2058" s="7"/>
      <c r="L2058" s="27"/>
      <c r="N2058" s="8"/>
      <c r="O2058" s="7"/>
      <c r="P2058" s="7"/>
      <c r="Q2058" s="7"/>
      <c r="R2058" s="7"/>
    </row>
    <row r="2059" spans="3:18">
      <c r="C2059" s="7"/>
      <c r="D2059" s="7"/>
      <c r="E2059" s="7"/>
      <c r="F2059" s="7"/>
      <c r="G2059" s="7"/>
      <c r="H2059" s="7"/>
      <c r="I2059" s="7"/>
      <c r="J2059" s="7"/>
      <c r="K2059" s="7"/>
      <c r="L2059" s="27"/>
      <c r="N2059" s="8"/>
      <c r="O2059" s="7"/>
      <c r="P2059" s="7"/>
      <c r="Q2059" s="7"/>
      <c r="R2059" s="7"/>
    </row>
    <row r="2060" spans="3:18">
      <c r="C2060" s="7"/>
      <c r="D2060" s="7"/>
      <c r="E2060" s="7"/>
      <c r="F2060" s="7"/>
      <c r="G2060" s="7"/>
      <c r="H2060" s="7"/>
      <c r="I2060" s="7"/>
      <c r="J2060" s="7"/>
      <c r="K2060" s="7"/>
      <c r="L2060" s="27"/>
      <c r="N2060" s="8"/>
      <c r="O2060" s="7"/>
      <c r="P2060" s="7"/>
      <c r="Q2060" s="7"/>
      <c r="R2060" s="7"/>
    </row>
    <row r="2061" spans="3:18">
      <c r="C2061" s="7"/>
      <c r="D2061" s="7"/>
      <c r="E2061" s="7"/>
      <c r="F2061" s="7"/>
      <c r="G2061" s="7"/>
      <c r="H2061" s="7"/>
      <c r="I2061" s="7"/>
      <c r="J2061" s="7"/>
      <c r="K2061" s="7"/>
      <c r="L2061" s="27"/>
      <c r="N2061" s="8"/>
      <c r="O2061" s="7"/>
      <c r="P2061" s="7"/>
      <c r="Q2061" s="7"/>
      <c r="R2061" s="7"/>
    </row>
    <row r="2062" spans="3:18">
      <c r="C2062" s="7"/>
      <c r="D2062" s="7"/>
      <c r="E2062" s="7"/>
      <c r="F2062" s="7"/>
      <c r="G2062" s="7"/>
      <c r="H2062" s="7"/>
      <c r="I2062" s="7"/>
      <c r="J2062" s="7"/>
      <c r="K2062" s="7"/>
      <c r="L2062" s="27"/>
      <c r="N2062" s="8"/>
      <c r="O2062" s="7"/>
      <c r="P2062" s="7"/>
      <c r="Q2062" s="7"/>
      <c r="R2062" s="7"/>
    </row>
    <row r="2063" spans="3:18">
      <c r="C2063" s="7"/>
      <c r="D2063" s="7"/>
      <c r="E2063" s="7"/>
      <c r="F2063" s="7"/>
      <c r="G2063" s="7"/>
      <c r="H2063" s="7"/>
      <c r="I2063" s="7"/>
      <c r="J2063" s="7"/>
      <c r="K2063" s="7"/>
      <c r="L2063" s="27"/>
      <c r="N2063" s="8"/>
      <c r="O2063" s="7"/>
      <c r="P2063" s="7"/>
      <c r="Q2063" s="7"/>
      <c r="R2063" s="7"/>
    </row>
    <row r="2064" spans="3:18">
      <c r="C2064" s="7"/>
      <c r="D2064" s="7"/>
      <c r="E2064" s="7"/>
      <c r="F2064" s="7"/>
      <c r="G2064" s="7"/>
      <c r="H2064" s="7"/>
      <c r="I2064" s="7"/>
      <c r="J2064" s="7"/>
      <c r="K2064" s="7"/>
      <c r="L2064" s="27"/>
      <c r="N2064" s="8"/>
      <c r="O2064" s="7"/>
      <c r="P2064" s="7"/>
      <c r="Q2064" s="7"/>
      <c r="R2064" s="7"/>
    </row>
    <row r="2065" spans="3:18">
      <c r="C2065" s="7"/>
      <c r="D2065" s="7"/>
      <c r="E2065" s="7"/>
      <c r="F2065" s="7"/>
      <c r="G2065" s="7"/>
      <c r="H2065" s="7"/>
      <c r="I2065" s="7"/>
      <c r="J2065" s="7"/>
      <c r="K2065" s="7"/>
      <c r="L2065" s="27"/>
      <c r="N2065" s="8"/>
      <c r="O2065" s="7"/>
      <c r="P2065" s="7"/>
      <c r="Q2065" s="7"/>
      <c r="R2065" s="7"/>
    </row>
    <row r="2066" spans="3:18">
      <c r="C2066" s="7"/>
      <c r="D2066" s="7"/>
      <c r="E2066" s="7"/>
      <c r="F2066" s="7"/>
      <c r="G2066" s="7"/>
      <c r="H2066" s="7"/>
      <c r="I2066" s="7"/>
      <c r="J2066" s="7"/>
      <c r="K2066" s="7"/>
      <c r="L2066" s="27"/>
      <c r="N2066" s="8"/>
      <c r="O2066" s="7"/>
      <c r="P2066" s="7"/>
      <c r="Q2066" s="7"/>
      <c r="R2066" s="7"/>
    </row>
    <row r="2067" spans="3:18">
      <c r="C2067" s="7"/>
      <c r="D2067" s="7"/>
      <c r="E2067" s="7"/>
      <c r="F2067" s="7"/>
      <c r="G2067" s="7"/>
      <c r="H2067" s="7"/>
      <c r="I2067" s="7"/>
      <c r="J2067" s="7"/>
      <c r="K2067" s="7"/>
      <c r="L2067" s="27"/>
      <c r="N2067" s="8"/>
      <c r="O2067" s="7"/>
      <c r="P2067" s="7"/>
      <c r="Q2067" s="7"/>
      <c r="R2067" s="7"/>
    </row>
    <row r="2068" spans="3:18">
      <c r="C2068" s="7"/>
      <c r="D2068" s="7"/>
      <c r="E2068" s="7"/>
      <c r="F2068" s="7"/>
      <c r="G2068" s="7"/>
      <c r="H2068" s="7"/>
      <c r="I2068" s="7"/>
      <c r="J2068" s="7"/>
      <c r="K2068" s="7"/>
      <c r="L2068" s="27"/>
      <c r="N2068" s="8"/>
      <c r="O2068" s="7"/>
      <c r="P2068" s="7"/>
      <c r="Q2068" s="7"/>
      <c r="R2068" s="7"/>
    </row>
    <row r="2069" spans="3:18">
      <c r="C2069" s="7"/>
      <c r="D2069" s="7"/>
      <c r="E2069" s="7"/>
      <c r="F2069" s="7"/>
      <c r="G2069" s="7"/>
      <c r="H2069" s="7"/>
      <c r="I2069" s="7"/>
      <c r="J2069" s="7"/>
      <c r="K2069" s="7"/>
      <c r="L2069" s="27"/>
      <c r="N2069" s="8"/>
      <c r="O2069" s="7"/>
      <c r="P2069" s="7"/>
      <c r="Q2069" s="7"/>
      <c r="R2069" s="7"/>
    </row>
    <row r="2070" spans="3:18">
      <c r="C2070" s="7"/>
      <c r="D2070" s="7"/>
      <c r="E2070" s="7"/>
      <c r="F2070" s="7"/>
      <c r="G2070" s="7"/>
      <c r="H2070" s="7"/>
      <c r="I2070" s="7"/>
      <c r="J2070" s="7"/>
      <c r="K2070" s="7"/>
      <c r="L2070" s="27"/>
      <c r="N2070" s="8"/>
      <c r="O2070" s="7"/>
      <c r="P2070" s="7"/>
      <c r="Q2070" s="7"/>
      <c r="R2070" s="7"/>
    </row>
    <row r="2071" spans="3:18">
      <c r="C2071" s="7"/>
      <c r="D2071" s="7"/>
      <c r="E2071" s="7"/>
      <c r="F2071" s="7"/>
      <c r="G2071" s="7"/>
      <c r="H2071" s="7"/>
      <c r="I2071" s="7"/>
      <c r="J2071" s="7"/>
      <c r="K2071" s="7"/>
      <c r="L2071" s="27"/>
      <c r="N2071" s="8"/>
      <c r="O2071" s="7"/>
      <c r="P2071" s="7"/>
      <c r="Q2071" s="7"/>
      <c r="R2071" s="7"/>
    </row>
    <row r="2072" spans="3:18">
      <c r="C2072" s="7"/>
      <c r="D2072" s="7"/>
      <c r="E2072" s="7"/>
      <c r="F2072" s="7"/>
      <c r="G2072" s="7"/>
      <c r="H2072" s="7"/>
      <c r="I2072" s="7"/>
      <c r="J2072" s="7"/>
      <c r="K2072" s="7"/>
      <c r="L2072" s="27"/>
      <c r="N2072" s="8"/>
      <c r="O2072" s="7"/>
      <c r="P2072" s="7"/>
      <c r="Q2072" s="7"/>
      <c r="R2072" s="7"/>
    </row>
    <row r="2073" spans="3:18">
      <c r="C2073" s="7"/>
      <c r="D2073" s="7"/>
      <c r="E2073" s="7"/>
      <c r="F2073" s="7"/>
      <c r="G2073" s="7"/>
      <c r="H2073" s="7"/>
      <c r="I2073" s="7"/>
      <c r="J2073" s="7"/>
      <c r="K2073" s="7"/>
      <c r="L2073" s="27"/>
      <c r="N2073" s="8"/>
      <c r="O2073" s="7"/>
      <c r="P2073" s="7"/>
      <c r="Q2073" s="7"/>
      <c r="R2073" s="7"/>
    </row>
    <row r="2074" spans="3:18">
      <c r="C2074" s="7"/>
      <c r="D2074" s="7"/>
      <c r="E2074" s="7"/>
      <c r="F2074" s="7"/>
      <c r="G2074" s="7"/>
      <c r="H2074" s="7"/>
      <c r="I2074" s="7"/>
      <c r="J2074" s="7"/>
      <c r="K2074" s="7"/>
      <c r="L2074" s="27"/>
      <c r="N2074" s="8"/>
      <c r="O2074" s="7"/>
      <c r="P2074" s="7"/>
      <c r="Q2074" s="7"/>
      <c r="R2074" s="7"/>
    </row>
    <row r="2075" spans="3:18">
      <c r="C2075" s="7"/>
      <c r="D2075" s="7"/>
      <c r="E2075" s="7"/>
      <c r="F2075" s="7"/>
      <c r="G2075" s="7"/>
      <c r="H2075" s="7"/>
      <c r="I2075" s="7"/>
      <c r="J2075" s="7"/>
      <c r="K2075" s="7"/>
      <c r="L2075" s="27"/>
      <c r="N2075" s="8"/>
      <c r="O2075" s="7"/>
      <c r="P2075" s="7"/>
      <c r="Q2075" s="7"/>
      <c r="R2075" s="7"/>
    </row>
    <row r="2076" spans="3:18">
      <c r="C2076" s="7"/>
      <c r="D2076" s="7"/>
      <c r="E2076" s="7"/>
      <c r="F2076" s="7"/>
      <c r="G2076" s="7"/>
      <c r="H2076" s="7"/>
      <c r="I2076" s="7"/>
      <c r="J2076" s="7"/>
      <c r="K2076" s="7"/>
      <c r="L2076" s="27"/>
      <c r="N2076" s="8"/>
      <c r="O2076" s="7"/>
      <c r="P2076" s="7"/>
      <c r="Q2076" s="7"/>
      <c r="R2076" s="7"/>
    </row>
    <row r="2077" spans="3:18">
      <c r="C2077" s="7"/>
      <c r="D2077" s="7"/>
      <c r="E2077" s="7"/>
      <c r="F2077" s="7"/>
      <c r="G2077" s="7"/>
      <c r="H2077" s="7"/>
      <c r="I2077" s="7"/>
      <c r="J2077" s="7"/>
      <c r="K2077" s="7"/>
      <c r="L2077" s="27"/>
      <c r="N2077" s="8"/>
      <c r="O2077" s="7"/>
      <c r="P2077" s="7"/>
      <c r="Q2077" s="7"/>
      <c r="R2077" s="7"/>
    </row>
    <row r="2078" spans="3:18">
      <c r="C2078" s="7"/>
      <c r="D2078" s="7"/>
      <c r="E2078" s="7"/>
      <c r="F2078" s="7"/>
      <c r="G2078" s="7"/>
      <c r="H2078" s="7"/>
      <c r="I2078" s="7"/>
      <c r="J2078" s="7"/>
      <c r="K2078" s="7"/>
      <c r="L2078" s="27"/>
      <c r="N2078" s="8"/>
      <c r="O2078" s="7"/>
      <c r="P2078" s="7"/>
      <c r="Q2078" s="7"/>
      <c r="R2078" s="7"/>
    </row>
    <row r="2079" spans="3:18">
      <c r="C2079" s="7"/>
      <c r="D2079" s="7"/>
      <c r="E2079" s="7"/>
      <c r="F2079" s="7"/>
      <c r="G2079" s="7"/>
      <c r="H2079" s="7"/>
      <c r="I2079" s="7"/>
      <c r="J2079" s="7"/>
      <c r="K2079" s="7"/>
      <c r="L2079" s="27"/>
      <c r="N2079" s="8"/>
      <c r="O2079" s="7"/>
      <c r="P2079" s="7"/>
      <c r="Q2079" s="7"/>
      <c r="R2079" s="7"/>
    </row>
    <row r="2080" spans="3:18">
      <c r="C2080" s="7"/>
      <c r="D2080" s="7"/>
      <c r="E2080" s="7"/>
      <c r="F2080" s="7"/>
      <c r="G2080" s="7"/>
      <c r="H2080" s="7"/>
      <c r="I2080" s="7"/>
      <c r="J2080" s="7"/>
      <c r="K2080" s="7"/>
      <c r="L2080" s="27"/>
      <c r="N2080" s="8"/>
      <c r="O2080" s="7"/>
      <c r="P2080" s="7"/>
      <c r="Q2080" s="7"/>
      <c r="R2080" s="7"/>
    </row>
    <row r="2081" spans="3:18">
      <c r="C2081" s="7"/>
      <c r="D2081" s="7"/>
      <c r="E2081" s="7"/>
      <c r="F2081" s="7"/>
      <c r="G2081" s="7"/>
      <c r="H2081" s="7"/>
      <c r="I2081" s="7"/>
      <c r="J2081" s="7"/>
      <c r="K2081" s="7"/>
      <c r="L2081" s="27"/>
      <c r="N2081" s="8"/>
      <c r="O2081" s="7"/>
      <c r="P2081" s="7"/>
      <c r="Q2081" s="7"/>
      <c r="R2081" s="7"/>
    </row>
    <row r="2082" spans="3:18">
      <c r="C2082" s="7"/>
      <c r="D2082" s="7"/>
      <c r="E2082" s="7"/>
      <c r="F2082" s="7"/>
      <c r="G2082" s="7"/>
      <c r="H2082" s="7"/>
      <c r="I2082" s="7"/>
      <c r="J2082" s="7"/>
      <c r="K2082" s="7"/>
      <c r="L2082" s="27"/>
      <c r="N2082" s="8"/>
      <c r="O2082" s="7"/>
      <c r="P2082" s="7"/>
      <c r="Q2082" s="7"/>
      <c r="R2082" s="7"/>
    </row>
    <row r="2083" spans="3:18">
      <c r="C2083" s="7"/>
      <c r="D2083" s="7"/>
      <c r="E2083" s="7"/>
      <c r="F2083" s="7"/>
      <c r="G2083" s="7"/>
      <c r="H2083" s="7"/>
      <c r="I2083" s="7"/>
      <c r="J2083" s="7"/>
      <c r="K2083" s="7"/>
      <c r="L2083" s="27"/>
      <c r="N2083" s="8"/>
      <c r="O2083" s="7"/>
      <c r="P2083" s="7"/>
      <c r="Q2083" s="7"/>
      <c r="R2083" s="7"/>
    </row>
    <row r="2084" spans="3:18">
      <c r="C2084" s="7"/>
      <c r="D2084" s="7"/>
      <c r="E2084" s="7"/>
      <c r="F2084" s="7"/>
      <c r="G2084" s="7"/>
      <c r="H2084" s="7"/>
      <c r="I2084" s="7"/>
      <c r="J2084" s="7"/>
      <c r="K2084" s="7"/>
      <c r="L2084" s="27"/>
      <c r="N2084" s="8"/>
      <c r="O2084" s="7"/>
      <c r="P2084" s="7"/>
      <c r="Q2084" s="7"/>
      <c r="R2084" s="7"/>
    </row>
    <row r="2085" spans="3:18">
      <c r="C2085" s="7"/>
      <c r="D2085" s="7"/>
      <c r="E2085" s="7"/>
      <c r="F2085" s="7"/>
      <c r="G2085" s="7"/>
      <c r="H2085" s="7"/>
      <c r="I2085" s="7"/>
      <c r="J2085" s="7"/>
      <c r="K2085" s="7"/>
      <c r="L2085" s="27"/>
      <c r="N2085" s="8"/>
      <c r="O2085" s="7"/>
      <c r="P2085" s="7"/>
      <c r="Q2085" s="7"/>
      <c r="R2085" s="7"/>
    </row>
    <row r="2086" spans="3:18">
      <c r="C2086" s="7"/>
      <c r="D2086" s="7"/>
      <c r="E2086" s="7"/>
      <c r="F2086" s="7"/>
      <c r="G2086" s="7"/>
      <c r="H2086" s="7"/>
      <c r="I2086" s="7"/>
      <c r="J2086" s="7"/>
      <c r="K2086" s="7"/>
      <c r="L2086" s="27"/>
      <c r="N2086" s="8"/>
      <c r="O2086" s="7"/>
      <c r="P2086" s="7"/>
      <c r="Q2086" s="7"/>
      <c r="R2086" s="7"/>
    </row>
    <row r="2087" spans="3:18">
      <c r="C2087" s="7"/>
      <c r="D2087" s="7"/>
      <c r="E2087" s="7"/>
      <c r="F2087" s="7"/>
      <c r="G2087" s="7"/>
      <c r="H2087" s="7"/>
      <c r="I2087" s="7"/>
      <c r="J2087" s="7"/>
      <c r="K2087" s="7"/>
      <c r="L2087" s="27"/>
      <c r="N2087" s="8"/>
      <c r="O2087" s="7"/>
      <c r="P2087" s="7"/>
      <c r="Q2087" s="7"/>
      <c r="R2087" s="7"/>
    </row>
    <row r="2088" spans="3:18">
      <c r="C2088" s="7"/>
      <c r="D2088" s="7"/>
      <c r="E2088" s="7"/>
      <c r="F2088" s="7"/>
      <c r="G2088" s="7"/>
      <c r="H2088" s="7"/>
      <c r="I2088" s="7"/>
      <c r="J2088" s="7"/>
      <c r="K2088" s="7"/>
      <c r="L2088" s="27"/>
      <c r="N2088" s="8"/>
      <c r="O2088" s="7"/>
      <c r="P2088" s="7"/>
      <c r="Q2088" s="7"/>
      <c r="R2088" s="7"/>
    </row>
    <row r="2089" spans="3:18">
      <c r="C2089" s="7"/>
      <c r="D2089" s="7"/>
      <c r="E2089" s="7"/>
      <c r="F2089" s="7"/>
      <c r="G2089" s="7"/>
      <c r="H2089" s="7"/>
      <c r="I2089" s="7"/>
      <c r="J2089" s="7"/>
      <c r="K2089" s="7"/>
      <c r="L2089" s="27"/>
      <c r="N2089" s="8"/>
      <c r="O2089" s="7"/>
      <c r="P2089" s="7"/>
      <c r="Q2089" s="7"/>
      <c r="R2089" s="7"/>
    </row>
    <row r="2090" spans="3:18">
      <c r="C2090" s="7"/>
      <c r="D2090" s="7"/>
      <c r="E2090" s="7"/>
      <c r="F2090" s="7"/>
      <c r="G2090" s="7"/>
      <c r="H2090" s="7"/>
      <c r="I2090" s="7"/>
      <c r="J2090" s="7"/>
      <c r="K2090" s="7"/>
      <c r="L2090" s="27"/>
      <c r="N2090" s="8"/>
      <c r="O2090" s="7"/>
      <c r="P2090" s="7"/>
      <c r="Q2090" s="7"/>
      <c r="R2090" s="7"/>
    </row>
    <row r="2091" spans="3:18">
      <c r="C2091" s="7"/>
      <c r="D2091" s="7"/>
      <c r="E2091" s="7"/>
      <c r="F2091" s="7"/>
      <c r="G2091" s="7"/>
      <c r="H2091" s="7"/>
      <c r="I2091" s="7"/>
      <c r="J2091" s="7"/>
      <c r="K2091" s="7"/>
      <c r="L2091" s="27"/>
      <c r="N2091" s="8"/>
      <c r="O2091" s="7"/>
      <c r="P2091" s="7"/>
      <c r="Q2091" s="7"/>
      <c r="R2091" s="7"/>
    </row>
    <row r="2092" spans="3:18">
      <c r="C2092" s="7"/>
      <c r="D2092" s="7"/>
      <c r="E2092" s="7"/>
      <c r="F2092" s="7"/>
      <c r="G2092" s="7"/>
      <c r="H2092" s="7"/>
      <c r="I2092" s="7"/>
      <c r="J2092" s="7"/>
      <c r="K2092" s="7"/>
      <c r="L2092" s="27"/>
      <c r="N2092" s="8"/>
      <c r="O2092" s="7"/>
      <c r="P2092" s="7"/>
      <c r="Q2092" s="7"/>
      <c r="R2092" s="7"/>
    </row>
    <row r="2093" spans="3:18">
      <c r="C2093" s="7"/>
      <c r="D2093" s="7"/>
      <c r="E2093" s="7"/>
      <c r="F2093" s="7"/>
      <c r="G2093" s="7"/>
      <c r="H2093" s="7"/>
      <c r="I2093" s="7"/>
      <c r="J2093" s="7"/>
      <c r="K2093" s="7"/>
      <c r="L2093" s="27"/>
      <c r="N2093" s="8"/>
      <c r="O2093" s="7"/>
      <c r="P2093" s="7"/>
      <c r="Q2093" s="7"/>
      <c r="R2093" s="7"/>
    </row>
    <row r="2094" spans="3:18">
      <c r="C2094" s="7"/>
      <c r="D2094" s="7"/>
      <c r="E2094" s="7"/>
      <c r="F2094" s="7"/>
      <c r="G2094" s="7"/>
      <c r="H2094" s="7"/>
      <c r="I2094" s="7"/>
      <c r="J2094" s="7"/>
      <c r="K2094" s="7"/>
      <c r="L2094" s="27"/>
      <c r="N2094" s="8"/>
      <c r="O2094" s="7"/>
      <c r="P2094" s="7"/>
      <c r="Q2094" s="7"/>
      <c r="R2094" s="7"/>
    </row>
    <row r="2095" spans="3:18">
      <c r="C2095" s="7"/>
      <c r="D2095" s="7"/>
      <c r="E2095" s="7"/>
      <c r="F2095" s="7"/>
      <c r="G2095" s="7"/>
      <c r="H2095" s="7"/>
      <c r="I2095" s="7"/>
      <c r="J2095" s="7"/>
      <c r="K2095" s="7"/>
      <c r="L2095" s="27"/>
      <c r="N2095" s="8"/>
      <c r="O2095" s="7"/>
      <c r="P2095" s="7"/>
      <c r="Q2095" s="7"/>
      <c r="R2095" s="7"/>
    </row>
    <row r="2096" spans="3:18">
      <c r="C2096" s="7"/>
      <c r="D2096" s="7"/>
      <c r="E2096" s="7"/>
      <c r="F2096" s="7"/>
      <c r="G2096" s="7"/>
      <c r="H2096" s="7"/>
      <c r="I2096" s="7"/>
      <c r="J2096" s="7"/>
      <c r="K2096" s="7"/>
      <c r="L2096" s="27"/>
      <c r="N2096" s="8"/>
      <c r="O2096" s="7"/>
      <c r="P2096" s="7"/>
      <c r="Q2096" s="7"/>
      <c r="R2096" s="7"/>
    </row>
    <row r="2097" spans="3:18">
      <c r="C2097" s="7"/>
      <c r="D2097" s="7"/>
      <c r="E2097" s="7"/>
      <c r="F2097" s="7"/>
      <c r="G2097" s="7"/>
      <c r="H2097" s="7"/>
      <c r="I2097" s="7"/>
      <c r="J2097" s="7"/>
      <c r="K2097" s="7"/>
      <c r="L2097" s="27"/>
      <c r="N2097" s="8"/>
      <c r="O2097" s="7"/>
      <c r="P2097" s="7"/>
      <c r="Q2097" s="7"/>
      <c r="R2097" s="7"/>
    </row>
    <row r="2098" spans="3:18">
      <c r="C2098" s="7"/>
      <c r="D2098" s="7"/>
      <c r="E2098" s="7"/>
      <c r="F2098" s="7"/>
      <c r="G2098" s="7"/>
      <c r="H2098" s="7"/>
      <c r="I2098" s="7"/>
      <c r="J2098" s="7"/>
      <c r="K2098" s="7"/>
      <c r="L2098" s="27"/>
      <c r="N2098" s="8"/>
      <c r="O2098" s="7"/>
      <c r="P2098" s="7"/>
      <c r="Q2098" s="7"/>
      <c r="R2098" s="7"/>
    </row>
    <row r="2099" spans="3:18">
      <c r="C2099" s="7"/>
      <c r="D2099" s="7"/>
      <c r="E2099" s="7"/>
      <c r="F2099" s="7"/>
      <c r="G2099" s="7"/>
      <c r="H2099" s="7"/>
      <c r="I2099" s="7"/>
      <c r="J2099" s="7"/>
      <c r="K2099" s="7"/>
      <c r="L2099" s="27"/>
      <c r="N2099" s="8"/>
      <c r="O2099" s="7"/>
      <c r="P2099" s="7"/>
      <c r="Q2099" s="7"/>
      <c r="R2099" s="7"/>
    </row>
    <row r="2100" spans="3:18">
      <c r="C2100" s="7"/>
      <c r="D2100" s="7"/>
      <c r="E2100" s="7"/>
      <c r="F2100" s="7"/>
      <c r="G2100" s="7"/>
      <c r="H2100" s="7"/>
      <c r="I2100" s="7"/>
      <c r="J2100" s="7"/>
      <c r="K2100" s="7"/>
      <c r="L2100" s="27"/>
      <c r="N2100" s="8"/>
      <c r="O2100" s="7"/>
      <c r="P2100" s="7"/>
      <c r="Q2100" s="7"/>
      <c r="R2100" s="7"/>
    </row>
    <row r="2101" spans="3:18">
      <c r="C2101" s="7"/>
      <c r="D2101" s="7"/>
      <c r="E2101" s="7"/>
      <c r="F2101" s="7"/>
      <c r="G2101" s="7"/>
      <c r="H2101" s="7"/>
      <c r="I2101" s="7"/>
      <c r="J2101" s="7"/>
      <c r="K2101" s="7"/>
      <c r="L2101" s="27"/>
      <c r="N2101" s="8"/>
      <c r="O2101" s="7"/>
      <c r="P2101" s="7"/>
      <c r="Q2101" s="7"/>
      <c r="R2101" s="7"/>
    </row>
    <row r="2102" spans="3:18">
      <c r="C2102" s="7"/>
      <c r="D2102" s="7"/>
      <c r="E2102" s="7"/>
      <c r="F2102" s="7"/>
      <c r="G2102" s="7"/>
      <c r="H2102" s="7"/>
      <c r="I2102" s="7"/>
      <c r="J2102" s="7"/>
      <c r="K2102" s="7"/>
      <c r="L2102" s="27"/>
      <c r="N2102" s="8"/>
      <c r="O2102" s="7"/>
      <c r="P2102" s="7"/>
      <c r="Q2102" s="7"/>
      <c r="R2102" s="7"/>
    </row>
    <row r="2103" spans="3:18">
      <c r="C2103" s="7"/>
      <c r="D2103" s="7"/>
      <c r="E2103" s="7"/>
      <c r="F2103" s="7"/>
      <c r="G2103" s="7"/>
      <c r="H2103" s="7"/>
      <c r="I2103" s="7"/>
      <c r="J2103" s="7"/>
      <c r="K2103" s="7"/>
      <c r="L2103" s="27"/>
      <c r="N2103" s="8"/>
      <c r="O2103" s="7"/>
      <c r="P2103" s="7"/>
      <c r="Q2103" s="7"/>
      <c r="R2103" s="7"/>
    </row>
    <row r="2104" spans="3:18">
      <c r="C2104" s="7"/>
      <c r="D2104" s="7"/>
      <c r="E2104" s="7"/>
      <c r="F2104" s="7"/>
      <c r="G2104" s="7"/>
      <c r="H2104" s="7"/>
      <c r="I2104" s="7"/>
      <c r="J2104" s="7"/>
      <c r="K2104" s="7"/>
      <c r="L2104" s="27"/>
      <c r="N2104" s="8"/>
      <c r="O2104" s="7"/>
      <c r="P2104" s="7"/>
      <c r="Q2104" s="7"/>
      <c r="R2104" s="7"/>
    </row>
    <row r="2105" spans="3:18">
      <c r="C2105" s="7"/>
      <c r="D2105" s="7"/>
      <c r="E2105" s="7"/>
      <c r="F2105" s="7"/>
      <c r="G2105" s="7"/>
      <c r="H2105" s="7"/>
      <c r="I2105" s="7"/>
      <c r="J2105" s="7"/>
      <c r="K2105" s="7"/>
      <c r="L2105" s="27"/>
      <c r="N2105" s="8"/>
      <c r="O2105" s="7"/>
      <c r="P2105" s="7"/>
      <c r="Q2105" s="7"/>
      <c r="R2105" s="7"/>
    </row>
    <row r="2106" spans="3:18">
      <c r="C2106" s="7"/>
      <c r="D2106" s="7"/>
      <c r="E2106" s="7"/>
      <c r="F2106" s="7"/>
      <c r="G2106" s="7"/>
      <c r="H2106" s="7"/>
      <c r="I2106" s="7"/>
      <c r="J2106" s="7"/>
      <c r="K2106" s="7"/>
      <c r="L2106" s="27"/>
      <c r="N2106" s="8"/>
      <c r="O2106" s="7"/>
      <c r="P2106" s="7"/>
      <c r="Q2106" s="7"/>
      <c r="R2106" s="7"/>
    </row>
    <row r="2107" spans="3:18">
      <c r="C2107" s="7"/>
      <c r="D2107" s="7"/>
      <c r="E2107" s="7"/>
      <c r="F2107" s="7"/>
      <c r="G2107" s="7"/>
      <c r="H2107" s="7"/>
      <c r="I2107" s="7"/>
      <c r="J2107" s="7"/>
      <c r="K2107" s="7"/>
      <c r="L2107" s="27"/>
      <c r="N2107" s="8"/>
      <c r="O2107" s="7"/>
      <c r="P2107" s="7"/>
      <c r="Q2107" s="7"/>
      <c r="R2107" s="7"/>
    </row>
    <row r="2108" spans="3:18">
      <c r="C2108" s="7"/>
      <c r="D2108" s="7"/>
      <c r="E2108" s="7"/>
      <c r="F2108" s="7"/>
      <c r="G2108" s="7"/>
      <c r="H2108" s="7"/>
      <c r="I2108" s="7"/>
      <c r="J2108" s="7"/>
      <c r="K2108" s="7"/>
      <c r="L2108" s="27"/>
      <c r="N2108" s="8"/>
      <c r="O2108" s="7"/>
      <c r="P2108" s="7"/>
      <c r="Q2108" s="7"/>
      <c r="R2108" s="7"/>
    </row>
    <row r="2109" spans="3:18">
      <c r="C2109" s="7"/>
      <c r="D2109" s="7"/>
      <c r="E2109" s="7"/>
      <c r="F2109" s="7"/>
      <c r="G2109" s="7"/>
      <c r="H2109" s="7"/>
      <c r="I2109" s="7"/>
      <c r="J2109" s="7"/>
      <c r="K2109" s="7"/>
      <c r="L2109" s="27"/>
      <c r="N2109" s="8"/>
      <c r="O2109" s="7"/>
      <c r="P2109" s="7"/>
      <c r="Q2109" s="7"/>
      <c r="R2109" s="7"/>
    </row>
    <row r="2110" spans="3:18">
      <c r="C2110" s="7"/>
      <c r="D2110" s="7"/>
      <c r="E2110" s="7"/>
      <c r="F2110" s="7"/>
      <c r="G2110" s="7"/>
      <c r="H2110" s="7"/>
      <c r="I2110" s="7"/>
      <c r="J2110" s="7"/>
      <c r="K2110" s="7"/>
      <c r="L2110" s="27"/>
      <c r="N2110" s="8"/>
      <c r="O2110" s="7"/>
      <c r="P2110" s="7"/>
      <c r="Q2110" s="7"/>
      <c r="R2110" s="7"/>
    </row>
    <row r="2111" spans="3:18">
      <c r="C2111" s="7"/>
      <c r="D2111" s="7"/>
      <c r="E2111" s="7"/>
      <c r="F2111" s="7"/>
      <c r="G2111" s="7"/>
      <c r="H2111" s="7"/>
      <c r="I2111" s="7"/>
      <c r="J2111" s="7"/>
      <c r="K2111" s="7"/>
      <c r="L2111" s="27"/>
      <c r="N2111" s="8"/>
      <c r="O2111" s="7"/>
      <c r="P2111" s="7"/>
      <c r="Q2111" s="7"/>
      <c r="R2111" s="7"/>
    </row>
    <row r="2112" spans="3:18">
      <c r="C2112" s="7"/>
      <c r="D2112" s="7"/>
      <c r="E2112" s="7"/>
      <c r="F2112" s="7"/>
      <c r="G2112" s="7"/>
      <c r="H2112" s="7"/>
      <c r="I2112" s="7"/>
      <c r="J2112" s="7"/>
      <c r="K2112" s="7"/>
      <c r="L2112" s="27"/>
      <c r="N2112" s="8"/>
      <c r="O2112" s="7"/>
      <c r="P2112" s="7"/>
      <c r="Q2112" s="7"/>
      <c r="R2112" s="7"/>
    </row>
    <row r="2113" spans="3:18">
      <c r="C2113" s="7"/>
      <c r="D2113" s="7"/>
      <c r="E2113" s="7"/>
      <c r="F2113" s="7"/>
      <c r="G2113" s="7"/>
      <c r="H2113" s="7"/>
      <c r="I2113" s="7"/>
      <c r="J2113" s="7"/>
      <c r="K2113" s="7"/>
      <c r="L2113" s="27"/>
      <c r="N2113" s="8"/>
      <c r="O2113" s="7"/>
      <c r="P2113" s="7"/>
      <c r="Q2113" s="7"/>
      <c r="R2113" s="7"/>
    </row>
    <row r="2114" spans="3:18">
      <c r="C2114" s="7"/>
      <c r="D2114" s="7"/>
      <c r="E2114" s="7"/>
      <c r="F2114" s="7"/>
      <c r="G2114" s="7"/>
      <c r="H2114" s="7"/>
      <c r="I2114" s="7"/>
      <c r="J2114" s="7"/>
      <c r="K2114" s="7"/>
      <c r="L2114" s="27"/>
      <c r="N2114" s="8"/>
      <c r="O2114" s="7"/>
      <c r="P2114" s="7"/>
      <c r="Q2114" s="7"/>
      <c r="R2114" s="7"/>
    </row>
    <row r="2115" spans="3:18">
      <c r="C2115" s="7"/>
      <c r="D2115" s="7"/>
      <c r="E2115" s="7"/>
      <c r="F2115" s="7"/>
      <c r="G2115" s="7"/>
      <c r="H2115" s="7"/>
      <c r="I2115" s="7"/>
      <c r="J2115" s="7"/>
      <c r="K2115" s="7"/>
      <c r="L2115" s="27"/>
      <c r="N2115" s="8"/>
      <c r="O2115" s="7"/>
      <c r="P2115" s="7"/>
      <c r="Q2115" s="7"/>
      <c r="R2115" s="7"/>
    </row>
    <row r="2116" spans="3:18">
      <c r="C2116" s="7"/>
      <c r="D2116" s="7"/>
      <c r="E2116" s="7"/>
      <c r="F2116" s="7"/>
      <c r="G2116" s="7"/>
      <c r="H2116" s="7"/>
      <c r="I2116" s="7"/>
      <c r="J2116" s="7"/>
      <c r="K2116" s="7"/>
      <c r="L2116" s="27"/>
      <c r="N2116" s="8"/>
      <c r="O2116" s="7"/>
      <c r="P2116" s="7"/>
      <c r="Q2116" s="7"/>
      <c r="R2116" s="7"/>
    </row>
    <row r="2117" spans="3:18">
      <c r="C2117" s="7"/>
      <c r="D2117" s="7"/>
      <c r="E2117" s="7"/>
      <c r="F2117" s="7"/>
      <c r="G2117" s="7"/>
      <c r="H2117" s="7"/>
      <c r="I2117" s="7"/>
      <c r="J2117" s="7"/>
      <c r="K2117" s="7"/>
      <c r="L2117" s="27"/>
      <c r="N2117" s="8"/>
      <c r="O2117" s="7"/>
      <c r="P2117" s="7"/>
      <c r="Q2117" s="7"/>
      <c r="R2117" s="7"/>
    </row>
    <row r="2118" spans="3:18">
      <c r="C2118" s="7"/>
      <c r="D2118" s="7"/>
      <c r="E2118" s="7"/>
      <c r="F2118" s="7"/>
      <c r="G2118" s="7"/>
      <c r="H2118" s="7"/>
      <c r="I2118" s="7"/>
      <c r="J2118" s="7"/>
      <c r="K2118" s="7"/>
      <c r="L2118" s="27"/>
      <c r="N2118" s="8"/>
      <c r="O2118" s="7"/>
      <c r="P2118" s="7"/>
      <c r="Q2118" s="7"/>
      <c r="R2118" s="7"/>
    </row>
    <row r="2119" spans="3:18">
      <c r="C2119" s="7"/>
      <c r="D2119" s="7"/>
      <c r="E2119" s="7"/>
      <c r="F2119" s="7"/>
      <c r="G2119" s="7"/>
      <c r="H2119" s="7"/>
      <c r="I2119" s="7"/>
      <c r="J2119" s="7"/>
      <c r="K2119" s="7"/>
      <c r="L2119" s="27"/>
      <c r="N2119" s="8"/>
      <c r="O2119" s="7"/>
      <c r="P2119" s="7"/>
      <c r="Q2119" s="7"/>
      <c r="R2119" s="7"/>
    </row>
    <row r="2120" spans="3:18">
      <c r="C2120" s="7"/>
      <c r="D2120" s="7"/>
      <c r="E2120" s="7"/>
      <c r="F2120" s="7"/>
      <c r="G2120" s="7"/>
      <c r="H2120" s="7"/>
      <c r="I2120" s="7"/>
      <c r="J2120" s="7"/>
      <c r="K2120" s="7"/>
      <c r="L2120" s="27"/>
      <c r="N2120" s="8"/>
      <c r="O2120" s="7"/>
      <c r="P2120" s="7"/>
      <c r="Q2120" s="7"/>
      <c r="R2120" s="7"/>
    </row>
    <row r="2121" spans="3:18">
      <c r="C2121" s="7"/>
      <c r="D2121" s="7"/>
      <c r="E2121" s="7"/>
      <c r="F2121" s="7"/>
      <c r="G2121" s="7"/>
      <c r="H2121" s="7"/>
      <c r="I2121" s="7"/>
      <c r="J2121" s="7"/>
      <c r="K2121" s="7"/>
      <c r="L2121" s="27"/>
      <c r="N2121" s="8"/>
      <c r="O2121" s="7"/>
      <c r="P2121" s="7"/>
      <c r="Q2121" s="7"/>
      <c r="R2121" s="7"/>
    </row>
    <row r="2122" spans="3:18">
      <c r="C2122" s="7"/>
      <c r="D2122" s="7"/>
      <c r="E2122" s="7"/>
      <c r="F2122" s="7"/>
      <c r="G2122" s="7"/>
      <c r="H2122" s="7"/>
      <c r="I2122" s="7"/>
      <c r="J2122" s="7"/>
      <c r="K2122" s="7"/>
      <c r="L2122" s="27"/>
      <c r="N2122" s="8"/>
      <c r="O2122" s="7"/>
      <c r="P2122" s="7"/>
      <c r="Q2122" s="7"/>
      <c r="R2122" s="7"/>
    </row>
    <row r="2123" spans="3:18">
      <c r="C2123" s="7"/>
      <c r="D2123" s="7"/>
      <c r="E2123" s="7"/>
      <c r="F2123" s="7"/>
      <c r="G2123" s="7"/>
      <c r="H2123" s="7"/>
      <c r="I2123" s="7"/>
      <c r="J2123" s="7"/>
      <c r="K2123" s="7"/>
      <c r="L2123" s="27"/>
      <c r="N2123" s="8"/>
      <c r="O2123" s="7"/>
      <c r="P2123" s="7"/>
      <c r="Q2123" s="7"/>
      <c r="R2123" s="7"/>
    </row>
    <row r="2124" spans="3:18">
      <c r="C2124" s="7"/>
      <c r="D2124" s="7"/>
      <c r="E2124" s="7"/>
      <c r="F2124" s="7"/>
      <c r="G2124" s="7"/>
      <c r="H2124" s="7"/>
      <c r="I2124" s="7"/>
      <c r="J2124" s="7"/>
      <c r="K2124" s="7"/>
      <c r="L2124" s="27"/>
      <c r="N2124" s="8"/>
      <c r="O2124" s="7"/>
      <c r="P2124" s="7"/>
      <c r="Q2124" s="7"/>
      <c r="R2124" s="7"/>
    </row>
    <row r="2125" spans="3:18">
      <c r="C2125" s="7"/>
      <c r="D2125" s="7"/>
      <c r="E2125" s="7"/>
      <c r="F2125" s="7"/>
      <c r="G2125" s="7"/>
      <c r="H2125" s="7"/>
      <c r="I2125" s="7"/>
      <c r="J2125" s="7"/>
      <c r="K2125" s="7"/>
      <c r="L2125" s="27"/>
      <c r="N2125" s="8"/>
      <c r="O2125" s="7"/>
      <c r="P2125" s="7"/>
      <c r="Q2125" s="7"/>
      <c r="R2125" s="7"/>
    </row>
    <row r="2126" spans="3:18">
      <c r="C2126" s="7"/>
      <c r="D2126" s="7"/>
      <c r="E2126" s="7"/>
      <c r="F2126" s="7"/>
      <c r="G2126" s="7"/>
      <c r="H2126" s="7"/>
      <c r="I2126" s="7"/>
      <c r="J2126" s="7"/>
      <c r="K2126" s="7"/>
      <c r="L2126" s="27"/>
      <c r="N2126" s="8"/>
      <c r="O2126" s="7"/>
      <c r="P2126" s="7"/>
      <c r="Q2126" s="7"/>
      <c r="R2126" s="7"/>
    </row>
    <row r="2127" spans="3:18">
      <c r="C2127" s="7"/>
      <c r="D2127" s="7"/>
      <c r="E2127" s="7"/>
      <c r="F2127" s="7"/>
      <c r="G2127" s="7"/>
      <c r="H2127" s="7"/>
      <c r="I2127" s="7"/>
      <c r="J2127" s="7"/>
      <c r="K2127" s="7"/>
      <c r="L2127" s="27"/>
      <c r="N2127" s="8"/>
      <c r="O2127" s="7"/>
      <c r="P2127" s="7"/>
      <c r="Q2127" s="7"/>
      <c r="R2127" s="7"/>
    </row>
    <row r="2128" spans="3:18">
      <c r="C2128" s="7"/>
      <c r="D2128" s="7"/>
      <c r="E2128" s="7"/>
      <c r="F2128" s="7"/>
      <c r="G2128" s="7"/>
      <c r="H2128" s="7"/>
      <c r="I2128" s="7"/>
      <c r="J2128" s="7"/>
      <c r="K2128" s="7"/>
      <c r="L2128" s="27"/>
      <c r="N2128" s="8"/>
      <c r="O2128" s="7"/>
      <c r="P2128" s="7"/>
      <c r="Q2128" s="7"/>
      <c r="R2128" s="7"/>
    </row>
    <row r="2129" spans="3:18">
      <c r="C2129" s="7"/>
      <c r="D2129" s="7"/>
      <c r="E2129" s="7"/>
      <c r="F2129" s="7"/>
      <c r="G2129" s="7"/>
      <c r="H2129" s="7"/>
      <c r="I2129" s="7"/>
      <c r="J2129" s="7"/>
      <c r="K2129" s="7"/>
      <c r="L2129" s="27"/>
      <c r="N2129" s="8"/>
      <c r="O2129" s="7"/>
      <c r="P2129" s="7"/>
      <c r="Q2129" s="7"/>
      <c r="R2129" s="7"/>
    </row>
    <row r="2130" spans="3:18">
      <c r="C2130" s="7"/>
      <c r="D2130" s="7"/>
      <c r="E2130" s="7"/>
      <c r="F2130" s="7"/>
      <c r="G2130" s="7"/>
      <c r="H2130" s="7"/>
      <c r="I2130" s="7"/>
      <c r="J2130" s="7"/>
      <c r="K2130" s="7"/>
      <c r="L2130" s="27"/>
      <c r="N2130" s="8"/>
      <c r="O2130" s="7"/>
      <c r="P2130" s="7"/>
      <c r="Q2130" s="7"/>
      <c r="R2130" s="7"/>
    </row>
    <row r="2131" spans="3:18">
      <c r="C2131" s="7"/>
      <c r="D2131" s="7"/>
      <c r="E2131" s="7"/>
      <c r="F2131" s="7"/>
      <c r="G2131" s="7"/>
      <c r="H2131" s="7"/>
      <c r="I2131" s="7"/>
      <c r="J2131" s="7"/>
      <c r="K2131" s="7"/>
      <c r="L2131" s="27"/>
      <c r="N2131" s="8"/>
      <c r="O2131" s="7"/>
      <c r="P2131" s="7"/>
      <c r="Q2131" s="7"/>
      <c r="R2131" s="7"/>
    </row>
    <row r="2132" spans="3:18">
      <c r="C2132" s="7"/>
      <c r="D2132" s="7"/>
      <c r="E2132" s="7"/>
      <c r="F2132" s="7"/>
      <c r="G2132" s="7"/>
      <c r="H2132" s="7"/>
      <c r="I2132" s="7"/>
      <c r="J2132" s="7"/>
      <c r="K2132" s="7"/>
      <c r="L2132" s="27"/>
      <c r="N2132" s="8"/>
      <c r="O2132" s="7"/>
      <c r="P2132" s="7"/>
      <c r="Q2132" s="7"/>
      <c r="R2132" s="7"/>
    </row>
    <row r="2133" spans="3:18">
      <c r="C2133" s="7"/>
      <c r="D2133" s="7"/>
      <c r="E2133" s="7"/>
      <c r="F2133" s="7"/>
      <c r="G2133" s="7"/>
      <c r="H2133" s="7"/>
      <c r="I2133" s="7"/>
      <c r="J2133" s="7"/>
      <c r="K2133" s="7"/>
      <c r="L2133" s="27"/>
      <c r="N2133" s="8"/>
      <c r="O2133" s="7"/>
      <c r="P2133" s="7"/>
      <c r="Q2133" s="7"/>
      <c r="R2133" s="7"/>
    </row>
    <row r="2134" spans="3:18">
      <c r="C2134" s="7"/>
      <c r="D2134" s="7"/>
      <c r="E2134" s="7"/>
      <c r="F2134" s="7"/>
      <c r="G2134" s="7"/>
      <c r="H2134" s="7"/>
      <c r="I2134" s="7"/>
      <c r="J2134" s="7"/>
      <c r="K2134" s="7"/>
      <c r="L2134" s="27"/>
      <c r="N2134" s="8"/>
      <c r="O2134" s="7"/>
      <c r="P2134" s="7"/>
      <c r="Q2134" s="7"/>
      <c r="R2134" s="7"/>
    </row>
    <row r="2135" spans="3:18">
      <c r="C2135" s="7"/>
      <c r="D2135" s="7"/>
      <c r="E2135" s="7"/>
      <c r="F2135" s="7"/>
      <c r="G2135" s="7"/>
      <c r="H2135" s="7"/>
      <c r="I2135" s="7"/>
      <c r="J2135" s="7"/>
      <c r="K2135" s="7"/>
      <c r="L2135" s="27"/>
      <c r="N2135" s="8"/>
      <c r="O2135" s="7"/>
      <c r="P2135" s="7"/>
      <c r="Q2135" s="7"/>
      <c r="R2135" s="7"/>
    </row>
    <row r="2136" spans="3:18">
      <c r="C2136" s="7"/>
      <c r="D2136" s="7"/>
      <c r="E2136" s="7"/>
      <c r="F2136" s="7"/>
      <c r="G2136" s="7"/>
      <c r="H2136" s="7"/>
      <c r="I2136" s="7"/>
      <c r="J2136" s="7"/>
      <c r="K2136" s="7"/>
      <c r="L2136" s="27"/>
      <c r="N2136" s="8"/>
      <c r="O2136" s="7"/>
      <c r="P2136" s="7"/>
      <c r="Q2136" s="7"/>
      <c r="R2136" s="7"/>
    </row>
    <row r="2137" spans="3:18">
      <c r="C2137" s="7"/>
      <c r="D2137" s="7"/>
      <c r="E2137" s="7"/>
      <c r="F2137" s="7"/>
      <c r="G2137" s="7"/>
      <c r="H2137" s="7"/>
      <c r="I2137" s="7"/>
      <c r="J2137" s="7"/>
      <c r="K2137" s="7"/>
      <c r="L2137" s="27"/>
      <c r="N2137" s="8"/>
      <c r="O2137" s="7"/>
      <c r="P2137" s="7"/>
      <c r="Q2137" s="7"/>
      <c r="R2137" s="7"/>
    </row>
    <row r="2138" spans="3:18">
      <c r="C2138" s="7"/>
      <c r="D2138" s="7"/>
      <c r="E2138" s="7"/>
      <c r="F2138" s="7"/>
      <c r="G2138" s="7"/>
      <c r="H2138" s="7"/>
      <c r="I2138" s="7"/>
      <c r="J2138" s="7"/>
      <c r="K2138" s="7"/>
      <c r="L2138" s="27"/>
      <c r="N2138" s="8"/>
      <c r="O2138" s="7"/>
      <c r="P2138" s="7"/>
      <c r="Q2138" s="7"/>
      <c r="R2138" s="7"/>
    </row>
    <row r="2139" spans="3:18">
      <c r="C2139" s="7"/>
      <c r="D2139" s="7"/>
      <c r="E2139" s="7"/>
      <c r="F2139" s="7"/>
      <c r="G2139" s="7"/>
      <c r="H2139" s="7"/>
      <c r="I2139" s="7"/>
      <c r="J2139" s="7"/>
      <c r="K2139" s="7"/>
      <c r="L2139" s="27"/>
      <c r="N2139" s="8"/>
      <c r="O2139" s="7"/>
      <c r="P2139" s="7"/>
      <c r="Q2139" s="7"/>
      <c r="R2139" s="7"/>
    </row>
    <row r="2140" spans="3:18">
      <c r="C2140" s="7"/>
      <c r="D2140" s="7"/>
      <c r="E2140" s="7"/>
      <c r="F2140" s="7"/>
      <c r="G2140" s="7"/>
      <c r="H2140" s="7"/>
      <c r="I2140" s="7"/>
      <c r="J2140" s="7"/>
      <c r="K2140" s="7"/>
      <c r="L2140" s="27"/>
      <c r="N2140" s="8"/>
      <c r="O2140" s="7"/>
      <c r="P2140" s="7"/>
      <c r="Q2140" s="7"/>
      <c r="R2140" s="7"/>
    </row>
    <row r="2141" spans="3:18">
      <c r="C2141" s="7"/>
      <c r="D2141" s="7"/>
      <c r="E2141" s="7"/>
      <c r="F2141" s="7"/>
      <c r="G2141" s="7"/>
      <c r="H2141" s="7"/>
      <c r="I2141" s="7"/>
      <c r="J2141" s="7"/>
      <c r="K2141" s="7"/>
      <c r="L2141" s="27"/>
      <c r="N2141" s="8"/>
      <c r="O2141" s="7"/>
      <c r="P2141" s="7"/>
      <c r="Q2141" s="7"/>
      <c r="R2141" s="7"/>
    </row>
    <row r="2142" spans="3:18">
      <c r="C2142" s="7"/>
      <c r="D2142" s="7"/>
      <c r="E2142" s="7"/>
      <c r="F2142" s="7"/>
      <c r="G2142" s="7"/>
      <c r="H2142" s="7"/>
      <c r="I2142" s="7"/>
      <c r="J2142" s="7"/>
      <c r="K2142" s="7"/>
      <c r="L2142" s="27"/>
      <c r="N2142" s="8"/>
      <c r="O2142" s="7"/>
      <c r="P2142" s="7"/>
      <c r="Q2142" s="7"/>
      <c r="R2142" s="7"/>
    </row>
    <row r="2143" spans="3:18">
      <c r="C2143" s="7"/>
      <c r="D2143" s="7"/>
      <c r="E2143" s="7"/>
      <c r="F2143" s="7"/>
      <c r="G2143" s="7"/>
      <c r="H2143" s="7"/>
      <c r="I2143" s="7"/>
      <c r="J2143" s="7"/>
      <c r="K2143" s="7"/>
      <c r="L2143" s="27"/>
      <c r="N2143" s="8"/>
      <c r="O2143" s="7"/>
      <c r="P2143" s="7"/>
      <c r="Q2143" s="7"/>
      <c r="R2143" s="7"/>
    </row>
    <row r="2144" spans="3:18">
      <c r="C2144" s="7"/>
      <c r="D2144" s="7"/>
      <c r="E2144" s="7"/>
      <c r="F2144" s="7"/>
      <c r="G2144" s="7"/>
      <c r="H2144" s="7"/>
      <c r="I2144" s="7"/>
      <c r="J2144" s="7"/>
      <c r="K2144" s="7"/>
      <c r="L2144" s="27"/>
      <c r="N2144" s="8"/>
      <c r="O2144" s="7"/>
      <c r="P2144" s="7"/>
      <c r="Q2144" s="7"/>
      <c r="R2144" s="7"/>
    </row>
    <row r="2145" spans="3:18">
      <c r="C2145" s="7"/>
      <c r="D2145" s="7"/>
      <c r="E2145" s="7"/>
      <c r="F2145" s="7"/>
      <c r="G2145" s="7"/>
      <c r="H2145" s="7"/>
      <c r="I2145" s="7"/>
      <c r="J2145" s="7"/>
      <c r="K2145" s="7"/>
      <c r="L2145" s="27"/>
      <c r="N2145" s="8"/>
      <c r="O2145" s="7"/>
      <c r="P2145" s="7"/>
      <c r="Q2145" s="7"/>
      <c r="R2145" s="7"/>
    </row>
    <row r="2146" spans="3:18">
      <c r="C2146" s="7"/>
      <c r="D2146" s="7"/>
      <c r="E2146" s="7"/>
      <c r="F2146" s="7"/>
      <c r="G2146" s="7"/>
      <c r="H2146" s="7"/>
      <c r="I2146" s="7"/>
      <c r="J2146" s="7"/>
      <c r="K2146" s="7"/>
      <c r="L2146" s="27"/>
      <c r="N2146" s="8"/>
      <c r="O2146" s="7"/>
      <c r="P2146" s="7"/>
      <c r="Q2146" s="7"/>
      <c r="R2146" s="7"/>
    </row>
    <row r="2147" spans="3:18">
      <c r="C2147" s="7"/>
      <c r="D2147" s="7"/>
      <c r="E2147" s="7"/>
      <c r="F2147" s="7"/>
      <c r="G2147" s="7"/>
      <c r="H2147" s="7"/>
      <c r="I2147" s="7"/>
      <c r="J2147" s="7"/>
      <c r="K2147" s="7"/>
      <c r="L2147" s="27"/>
      <c r="N2147" s="8"/>
      <c r="O2147" s="7"/>
      <c r="P2147" s="7"/>
      <c r="Q2147" s="7"/>
      <c r="R2147" s="7"/>
    </row>
    <row r="2148" spans="3:18">
      <c r="C2148" s="7"/>
      <c r="D2148" s="7"/>
      <c r="E2148" s="7"/>
      <c r="F2148" s="7"/>
      <c r="G2148" s="7"/>
      <c r="H2148" s="7"/>
      <c r="I2148" s="7"/>
      <c r="J2148" s="7"/>
      <c r="K2148" s="7"/>
      <c r="L2148" s="27"/>
      <c r="N2148" s="8"/>
      <c r="O2148" s="7"/>
      <c r="P2148" s="7"/>
      <c r="Q2148" s="7"/>
      <c r="R2148" s="7"/>
    </row>
    <row r="2149" spans="3:18">
      <c r="C2149" s="7"/>
      <c r="D2149" s="7"/>
      <c r="E2149" s="7"/>
      <c r="F2149" s="7"/>
      <c r="G2149" s="7"/>
      <c r="H2149" s="7"/>
      <c r="I2149" s="7"/>
      <c r="J2149" s="7"/>
      <c r="K2149" s="7"/>
      <c r="L2149" s="27"/>
      <c r="N2149" s="8"/>
      <c r="O2149" s="7"/>
      <c r="P2149" s="7"/>
      <c r="Q2149" s="7"/>
      <c r="R2149" s="7"/>
    </row>
    <row r="2150" spans="3:18">
      <c r="C2150" s="7"/>
      <c r="D2150" s="7"/>
      <c r="E2150" s="7"/>
      <c r="F2150" s="7"/>
      <c r="G2150" s="7"/>
      <c r="H2150" s="7"/>
      <c r="I2150" s="7"/>
      <c r="J2150" s="7"/>
      <c r="K2150" s="7"/>
      <c r="L2150" s="27"/>
      <c r="N2150" s="8"/>
      <c r="O2150" s="7"/>
      <c r="P2150" s="7"/>
      <c r="Q2150" s="7"/>
      <c r="R2150" s="7"/>
    </row>
    <row r="2151" spans="3:18">
      <c r="C2151" s="7"/>
      <c r="D2151" s="7"/>
      <c r="E2151" s="7"/>
      <c r="F2151" s="7"/>
      <c r="G2151" s="7"/>
      <c r="H2151" s="7"/>
      <c r="I2151" s="7"/>
      <c r="J2151" s="7"/>
      <c r="K2151" s="7"/>
      <c r="L2151" s="27"/>
      <c r="N2151" s="8"/>
      <c r="O2151" s="7"/>
      <c r="P2151" s="7"/>
      <c r="Q2151" s="7"/>
      <c r="R2151" s="7"/>
    </row>
    <row r="2152" spans="3:18">
      <c r="C2152" s="7"/>
      <c r="D2152" s="7"/>
      <c r="E2152" s="7"/>
      <c r="F2152" s="7"/>
      <c r="G2152" s="7"/>
      <c r="H2152" s="7"/>
      <c r="I2152" s="7"/>
      <c r="J2152" s="7"/>
      <c r="K2152" s="7"/>
      <c r="L2152" s="27"/>
      <c r="N2152" s="8"/>
      <c r="O2152" s="7"/>
      <c r="P2152" s="7"/>
      <c r="Q2152" s="7"/>
      <c r="R2152" s="7"/>
    </row>
    <row r="2153" spans="3:18">
      <c r="C2153" s="7"/>
      <c r="D2153" s="7"/>
      <c r="E2153" s="7"/>
      <c r="F2153" s="7"/>
      <c r="G2153" s="7"/>
      <c r="H2153" s="7"/>
      <c r="I2153" s="7"/>
      <c r="J2153" s="7"/>
      <c r="K2153" s="7"/>
      <c r="L2153" s="27"/>
      <c r="N2153" s="8"/>
      <c r="O2153" s="7"/>
      <c r="P2153" s="7"/>
      <c r="Q2153" s="7"/>
      <c r="R2153" s="7"/>
    </row>
    <row r="2154" spans="3:18">
      <c r="C2154" s="7"/>
      <c r="D2154" s="7"/>
      <c r="E2154" s="7"/>
      <c r="F2154" s="7"/>
      <c r="G2154" s="7"/>
      <c r="H2154" s="7"/>
      <c r="I2154" s="7"/>
      <c r="J2154" s="7"/>
      <c r="K2154" s="7"/>
      <c r="L2154" s="27"/>
      <c r="N2154" s="8"/>
      <c r="O2154" s="7"/>
      <c r="P2154" s="7"/>
      <c r="Q2154" s="7"/>
      <c r="R2154" s="7"/>
    </row>
    <row r="2155" spans="3:18">
      <c r="C2155" s="7"/>
      <c r="D2155" s="7"/>
      <c r="E2155" s="7"/>
      <c r="F2155" s="7"/>
      <c r="G2155" s="7"/>
      <c r="H2155" s="7"/>
      <c r="I2155" s="7"/>
      <c r="J2155" s="7"/>
      <c r="K2155" s="7"/>
      <c r="L2155" s="27"/>
      <c r="N2155" s="8"/>
      <c r="O2155" s="7"/>
      <c r="P2155" s="7"/>
      <c r="Q2155" s="7"/>
      <c r="R2155" s="7"/>
    </row>
    <row r="2156" spans="3:18">
      <c r="C2156" s="7"/>
      <c r="D2156" s="7"/>
      <c r="E2156" s="7"/>
      <c r="F2156" s="7"/>
      <c r="G2156" s="7"/>
      <c r="H2156" s="7"/>
      <c r="I2156" s="7"/>
      <c r="J2156" s="7"/>
      <c r="K2156" s="7"/>
      <c r="L2156" s="27"/>
      <c r="N2156" s="8"/>
      <c r="O2156" s="7"/>
      <c r="P2156" s="7"/>
      <c r="Q2156" s="7"/>
      <c r="R2156" s="7"/>
    </row>
    <row r="2157" spans="3:18">
      <c r="C2157" s="7"/>
      <c r="D2157" s="7"/>
      <c r="E2157" s="7"/>
      <c r="F2157" s="7"/>
      <c r="G2157" s="7"/>
      <c r="H2157" s="7"/>
      <c r="I2157" s="7"/>
      <c r="J2157" s="7"/>
      <c r="K2157" s="7"/>
      <c r="L2157" s="27"/>
      <c r="N2157" s="8"/>
      <c r="O2157" s="7"/>
      <c r="P2157" s="7"/>
      <c r="Q2157" s="7"/>
      <c r="R2157" s="7"/>
    </row>
    <row r="2158" spans="3:18">
      <c r="C2158" s="7"/>
      <c r="D2158" s="7"/>
      <c r="E2158" s="7"/>
      <c r="F2158" s="7"/>
      <c r="G2158" s="7"/>
      <c r="H2158" s="7"/>
      <c r="I2158" s="7"/>
      <c r="J2158" s="7"/>
      <c r="K2158" s="7"/>
      <c r="L2158" s="27"/>
      <c r="N2158" s="8"/>
      <c r="O2158" s="7"/>
      <c r="P2158" s="7"/>
      <c r="Q2158" s="7"/>
      <c r="R2158" s="7"/>
    </row>
    <row r="2159" spans="3:18">
      <c r="C2159" s="7"/>
      <c r="D2159" s="7"/>
      <c r="E2159" s="7"/>
      <c r="F2159" s="7"/>
      <c r="G2159" s="7"/>
      <c r="H2159" s="7"/>
      <c r="I2159" s="7"/>
      <c r="J2159" s="7"/>
      <c r="K2159" s="7"/>
      <c r="L2159" s="27"/>
      <c r="N2159" s="8"/>
      <c r="O2159" s="7"/>
      <c r="P2159" s="7"/>
      <c r="Q2159" s="7"/>
      <c r="R2159" s="7"/>
    </row>
    <row r="2160" spans="3:18">
      <c r="C2160" s="7"/>
      <c r="D2160" s="7"/>
      <c r="E2160" s="7"/>
      <c r="F2160" s="7"/>
      <c r="G2160" s="7"/>
      <c r="H2160" s="7"/>
      <c r="I2160" s="7"/>
      <c r="J2160" s="7"/>
      <c r="K2160" s="7"/>
      <c r="L2160" s="27"/>
      <c r="N2160" s="8"/>
      <c r="O2160" s="7"/>
      <c r="P2160" s="7"/>
      <c r="Q2160" s="7"/>
      <c r="R2160" s="7"/>
    </row>
    <row r="2161" spans="3:18">
      <c r="C2161" s="7"/>
      <c r="D2161" s="7"/>
      <c r="E2161" s="7"/>
      <c r="F2161" s="7"/>
      <c r="G2161" s="7"/>
      <c r="H2161" s="7"/>
      <c r="I2161" s="7"/>
      <c r="J2161" s="7"/>
      <c r="K2161" s="7"/>
      <c r="L2161" s="27"/>
      <c r="N2161" s="8"/>
      <c r="O2161" s="7"/>
      <c r="P2161" s="7"/>
      <c r="Q2161" s="7"/>
      <c r="R2161" s="7"/>
    </row>
    <row r="2162" spans="3:18">
      <c r="C2162" s="7"/>
      <c r="D2162" s="7"/>
      <c r="E2162" s="7"/>
      <c r="F2162" s="7"/>
      <c r="G2162" s="7"/>
      <c r="H2162" s="7"/>
      <c r="I2162" s="7"/>
      <c r="J2162" s="7"/>
      <c r="K2162" s="7"/>
      <c r="L2162" s="27"/>
      <c r="N2162" s="8"/>
      <c r="O2162" s="7"/>
      <c r="P2162" s="7"/>
      <c r="Q2162" s="7"/>
      <c r="R2162" s="7"/>
    </row>
    <row r="2163" spans="3:18">
      <c r="C2163" s="7"/>
      <c r="D2163" s="7"/>
      <c r="E2163" s="7"/>
      <c r="F2163" s="7"/>
      <c r="G2163" s="7"/>
      <c r="H2163" s="7"/>
      <c r="I2163" s="7"/>
      <c r="J2163" s="7"/>
      <c r="K2163" s="7"/>
      <c r="L2163" s="27"/>
      <c r="N2163" s="8"/>
      <c r="O2163" s="7"/>
      <c r="P2163" s="7"/>
      <c r="Q2163" s="7"/>
      <c r="R2163" s="7"/>
    </row>
    <row r="2164" spans="3:18">
      <c r="C2164" s="7"/>
      <c r="D2164" s="7"/>
      <c r="E2164" s="7"/>
      <c r="F2164" s="7"/>
      <c r="G2164" s="7"/>
      <c r="H2164" s="7"/>
      <c r="I2164" s="7"/>
      <c r="J2164" s="7"/>
      <c r="K2164" s="7"/>
      <c r="L2164" s="27"/>
      <c r="N2164" s="8"/>
      <c r="O2164" s="7"/>
      <c r="P2164" s="7"/>
      <c r="Q2164" s="7"/>
      <c r="R2164" s="7"/>
    </row>
    <row r="2165" spans="3:18">
      <c r="C2165" s="7"/>
      <c r="D2165" s="7"/>
      <c r="E2165" s="7"/>
      <c r="F2165" s="7"/>
      <c r="G2165" s="7"/>
      <c r="H2165" s="7"/>
      <c r="I2165" s="7"/>
      <c r="J2165" s="7"/>
      <c r="K2165" s="7"/>
      <c r="L2165" s="27"/>
      <c r="N2165" s="8"/>
      <c r="O2165" s="7"/>
      <c r="P2165" s="7"/>
      <c r="Q2165" s="7"/>
      <c r="R2165" s="7"/>
    </row>
    <row r="2166" spans="3:18">
      <c r="C2166" s="7"/>
      <c r="D2166" s="7"/>
      <c r="E2166" s="7"/>
      <c r="F2166" s="7"/>
      <c r="G2166" s="7"/>
      <c r="H2166" s="7"/>
      <c r="I2166" s="7"/>
      <c r="J2166" s="7"/>
      <c r="K2166" s="7"/>
      <c r="L2166" s="27"/>
      <c r="N2166" s="8"/>
      <c r="O2166" s="7"/>
      <c r="P2166" s="7"/>
      <c r="Q2166" s="7"/>
      <c r="R2166" s="7"/>
    </row>
    <row r="2167" spans="3:18">
      <c r="C2167" s="7"/>
      <c r="D2167" s="7"/>
      <c r="E2167" s="7"/>
      <c r="F2167" s="7"/>
      <c r="G2167" s="7"/>
      <c r="H2167" s="7"/>
      <c r="I2167" s="7"/>
      <c r="J2167" s="7"/>
      <c r="K2167" s="7"/>
      <c r="L2167" s="27"/>
      <c r="N2167" s="8"/>
      <c r="O2167" s="7"/>
      <c r="P2167" s="7"/>
      <c r="Q2167" s="7"/>
      <c r="R2167" s="7"/>
    </row>
    <row r="2168" spans="3:18">
      <c r="C2168" s="7"/>
      <c r="D2168" s="7"/>
      <c r="E2168" s="7"/>
      <c r="F2168" s="7"/>
      <c r="G2168" s="7"/>
      <c r="H2168" s="7"/>
      <c r="I2168" s="7"/>
      <c r="J2168" s="7"/>
      <c r="K2168" s="7"/>
      <c r="L2168" s="27"/>
      <c r="N2168" s="8"/>
      <c r="O2168" s="7"/>
      <c r="P2168" s="7"/>
      <c r="Q2168" s="7"/>
      <c r="R2168" s="7"/>
    </row>
    <row r="2169" spans="3:18">
      <c r="C2169" s="7"/>
      <c r="D2169" s="7"/>
      <c r="E2169" s="7"/>
      <c r="F2169" s="7"/>
      <c r="G2169" s="7"/>
      <c r="H2169" s="7"/>
      <c r="I2169" s="7"/>
      <c r="J2169" s="7"/>
      <c r="K2169" s="7"/>
      <c r="L2169" s="27"/>
      <c r="N2169" s="8"/>
      <c r="O2169" s="7"/>
      <c r="P2169" s="7"/>
      <c r="Q2169" s="7"/>
      <c r="R2169" s="7"/>
    </row>
    <row r="2170" spans="3:18">
      <c r="C2170" s="7"/>
      <c r="D2170" s="7"/>
      <c r="E2170" s="7"/>
      <c r="F2170" s="7"/>
      <c r="G2170" s="7"/>
      <c r="H2170" s="7"/>
      <c r="I2170" s="7"/>
      <c r="J2170" s="7"/>
      <c r="K2170" s="7"/>
      <c r="L2170" s="27"/>
      <c r="N2170" s="8"/>
      <c r="O2170" s="7"/>
      <c r="P2170" s="7"/>
      <c r="Q2170" s="7"/>
      <c r="R2170" s="7"/>
    </row>
    <row r="2171" spans="3:18">
      <c r="C2171" s="7"/>
      <c r="D2171" s="7"/>
      <c r="E2171" s="7"/>
      <c r="F2171" s="7"/>
      <c r="G2171" s="7"/>
      <c r="H2171" s="7"/>
      <c r="I2171" s="7"/>
      <c r="J2171" s="7"/>
      <c r="K2171" s="7"/>
      <c r="L2171" s="27"/>
      <c r="N2171" s="8"/>
      <c r="O2171" s="7"/>
      <c r="P2171" s="7"/>
      <c r="Q2171" s="7"/>
      <c r="R2171" s="7"/>
    </row>
    <row r="2172" spans="3:18">
      <c r="C2172" s="7"/>
      <c r="D2172" s="7"/>
      <c r="E2172" s="7"/>
      <c r="F2172" s="7"/>
      <c r="G2172" s="7"/>
      <c r="H2172" s="7"/>
      <c r="I2172" s="7"/>
      <c r="J2172" s="7"/>
      <c r="K2172" s="7"/>
      <c r="L2172" s="27"/>
      <c r="N2172" s="8"/>
      <c r="O2172" s="7"/>
      <c r="P2172" s="7"/>
      <c r="Q2172" s="7"/>
      <c r="R2172" s="7"/>
    </row>
    <row r="2173" spans="3:18">
      <c r="C2173" s="7"/>
      <c r="D2173" s="7"/>
      <c r="E2173" s="7"/>
      <c r="F2173" s="7"/>
      <c r="G2173" s="7"/>
      <c r="H2173" s="7"/>
      <c r="I2173" s="7"/>
      <c r="J2173" s="7"/>
      <c r="K2173" s="7"/>
      <c r="L2173" s="27"/>
      <c r="N2173" s="8"/>
      <c r="O2173" s="7"/>
      <c r="P2173" s="7"/>
      <c r="Q2173" s="7"/>
      <c r="R2173" s="7"/>
    </row>
    <row r="2174" spans="3:18">
      <c r="C2174" s="7"/>
      <c r="D2174" s="7"/>
      <c r="E2174" s="7"/>
      <c r="F2174" s="7"/>
      <c r="G2174" s="7"/>
      <c r="H2174" s="7"/>
      <c r="I2174" s="7"/>
      <c r="J2174" s="7"/>
      <c r="K2174" s="7"/>
      <c r="L2174" s="27"/>
      <c r="N2174" s="8"/>
      <c r="O2174" s="7"/>
      <c r="P2174" s="7"/>
      <c r="Q2174" s="7"/>
      <c r="R2174" s="7"/>
    </row>
    <row r="2175" spans="3:18">
      <c r="C2175" s="7"/>
      <c r="D2175" s="7"/>
      <c r="E2175" s="7"/>
      <c r="F2175" s="7"/>
      <c r="G2175" s="7"/>
      <c r="H2175" s="7"/>
      <c r="I2175" s="7"/>
      <c r="J2175" s="7"/>
      <c r="K2175" s="7"/>
      <c r="L2175" s="27"/>
      <c r="N2175" s="8"/>
      <c r="O2175" s="7"/>
      <c r="P2175" s="7"/>
      <c r="Q2175" s="7"/>
      <c r="R2175" s="7"/>
    </row>
    <row r="2176" spans="3:18">
      <c r="C2176" s="7"/>
      <c r="D2176" s="7"/>
      <c r="E2176" s="7"/>
      <c r="F2176" s="7"/>
      <c r="G2176" s="7"/>
      <c r="H2176" s="7"/>
      <c r="I2176" s="7"/>
      <c r="J2176" s="7"/>
      <c r="K2176" s="7"/>
      <c r="L2176" s="27"/>
      <c r="N2176" s="8"/>
      <c r="O2176" s="7"/>
      <c r="P2176" s="7"/>
      <c r="Q2176" s="7"/>
      <c r="R2176" s="7"/>
    </row>
    <row r="2177" spans="3:18">
      <c r="C2177" s="7"/>
      <c r="D2177" s="7"/>
      <c r="E2177" s="7"/>
      <c r="F2177" s="7"/>
      <c r="G2177" s="7"/>
      <c r="H2177" s="7"/>
      <c r="I2177" s="7"/>
      <c r="J2177" s="7"/>
      <c r="K2177" s="7"/>
      <c r="L2177" s="27"/>
      <c r="N2177" s="8"/>
      <c r="O2177" s="7"/>
      <c r="P2177" s="7"/>
      <c r="Q2177" s="7"/>
      <c r="R2177" s="7"/>
    </row>
    <row r="2178" spans="3:18">
      <c r="C2178" s="7"/>
      <c r="D2178" s="7"/>
      <c r="E2178" s="7"/>
      <c r="F2178" s="7"/>
      <c r="G2178" s="7"/>
      <c r="H2178" s="7"/>
      <c r="I2178" s="7"/>
      <c r="J2178" s="7"/>
      <c r="K2178" s="7"/>
      <c r="L2178" s="27"/>
      <c r="N2178" s="8"/>
      <c r="O2178" s="7"/>
      <c r="P2178" s="7"/>
      <c r="Q2178" s="7"/>
      <c r="R2178" s="7"/>
    </row>
    <row r="2179" spans="3:18">
      <c r="C2179" s="7"/>
      <c r="D2179" s="7"/>
      <c r="E2179" s="7"/>
      <c r="F2179" s="7"/>
      <c r="G2179" s="7"/>
      <c r="H2179" s="7"/>
      <c r="I2179" s="7"/>
      <c r="J2179" s="7"/>
      <c r="K2179" s="7"/>
      <c r="L2179" s="27"/>
      <c r="N2179" s="8"/>
      <c r="O2179" s="7"/>
      <c r="P2179" s="7"/>
      <c r="Q2179" s="7"/>
      <c r="R2179" s="7"/>
    </row>
    <row r="2180" spans="3:18">
      <c r="C2180" s="7"/>
      <c r="D2180" s="7"/>
      <c r="E2180" s="7"/>
      <c r="F2180" s="7"/>
      <c r="G2180" s="7"/>
      <c r="H2180" s="7"/>
      <c r="I2180" s="7"/>
      <c r="J2180" s="7"/>
      <c r="K2180" s="7"/>
      <c r="L2180" s="27"/>
      <c r="N2180" s="8"/>
      <c r="O2180" s="7"/>
      <c r="P2180" s="7"/>
      <c r="Q2180" s="7"/>
      <c r="R2180" s="7"/>
    </row>
    <row r="2181" spans="3:18">
      <c r="C2181" s="7"/>
      <c r="D2181" s="7"/>
      <c r="E2181" s="7"/>
      <c r="F2181" s="7"/>
      <c r="G2181" s="7"/>
      <c r="H2181" s="7"/>
      <c r="I2181" s="7"/>
      <c r="J2181" s="7"/>
      <c r="K2181" s="7"/>
      <c r="L2181" s="27"/>
      <c r="N2181" s="8"/>
      <c r="O2181" s="7"/>
      <c r="P2181" s="7"/>
      <c r="Q2181" s="7"/>
      <c r="R2181" s="7"/>
    </row>
    <row r="2182" spans="3:18">
      <c r="C2182" s="7"/>
      <c r="D2182" s="7"/>
      <c r="E2182" s="7"/>
      <c r="F2182" s="7"/>
      <c r="G2182" s="7"/>
      <c r="H2182" s="7"/>
      <c r="I2182" s="7"/>
      <c r="J2182" s="7"/>
      <c r="K2182" s="7"/>
      <c r="L2182" s="27"/>
      <c r="N2182" s="8"/>
      <c r="O2182" s="7"/>
      <c r="P2182" s="7"/>
      <c r="Q2182" s="7"/>
      <c r="R2182" s="7"/>
    </row>
    <row r="2183" spans="3:18">
      <c r="C2183" s="7"/>
      <c r="D2183" s="7"/>
      <c r="E2183" s="7"/>
      <c r="F2183" s="7"/>
      <c r="G2183" s="7"/>
      <c r="H2183" s="7"/>
      <c r="I2183" s="7"/>
      <c r="J2183" s="7"/>
      <c r="K2183" s="7"/>
      <c r="L2183" s="27"/>
      <c r="N2183" s="8"/>
      <c r="O2183" s="7"/>
      <c r="P2183" s="7"/>
      <c r="Q2183" s="7"/>
      <c r="R2183" s="7"/>
    </row>
    <row r="2184" spans="3:18">
      <c r="C2184" s="7"/>
      <c r="D2184" s="7"/>
      <c r="E2184" s="7"/>
      <c r="F2184" s="7"/>
      <c r="G2184" s="7"/>
      <c r="H2184" s="7"/>
      <c r="I2184" s="7"/>
      <c r="J2184" s="7"/>
      <c r="K2184" s="7"/>
      <c r="L2184" s="27"/>
      <c r="N2184" s="8"/>
      <c r="O2184" s="7"/>
      <c r="P2184" s="7"/>
      <c r="Q2184" s="7"/>
      <c r="R2184" s="7"/>
    </row>
    <row r="2185" spans="3:18">
      <c r="C2185" s="7"/>
      <c r="D2185" s="7"/>
      <c r="E2185" s="7"/>
      <c r="F2185" s="7"/>
      <c r="G2185" s="7"/>
      <c r="H2185" s="7"/>
      <c r="I2185" s="7"/>
      <c r="J2185" s="7"/>
      <c r="K2185" s="7"/>
      <c r="L2185" s="27"/>
      <c r="N2185" s="8"/>
      <c r="O2185" s="7"/>
      <c r="P2185" s="7"/>
      <c r="Q2185" s="7"/>
      <c r="R2185" s="7"/>
    </row>
    <row r="2186" spans="3:18">
      <c r="C2186" s="7"/>
      <c r="D2186" s="7"/>
      <c r="E2186" s="7"/>
      <c r="F2186" s="7"/>
      <c r="G2186" s="7"/>
      <c r="H2186" s="7"/>
      <c r="I2186" s="7"/>
      <c r="J2186" s="7"/>
      <c r="K2186" s="7"/>
      <c r="L2186" s="27"/>
      <c r="N2186" s="8"/>
      <c r="O2186" s="7"/>
      <c r="P2186" s="7"/>
      <c r="Q2186" s="7"/>
      <c r="R2186" s="7"/>
    </row>
    <row r="2187" spans="3:18">
      <c r="C2187" s="7"/>
      <c r="D2187" s="7"/>
      <c r="E2187" s="7"/>
      <c r="F2187" s="7"/>
      <c r="G2187" s="7"/>
      <c r="H2187" s="7"/>
      <c r="I2187" s="7"/>
      <c r="J2187" s="7"/>
      <c r="K2187" s="7"/>
      <c r="L2187" s="27"/>
      <c r="N2187" s="8"/>
      <c r="O2187" s="7"/>
      <c r="P2187" s="7"/>
      <c r="Q2187" s="7"/>
      <c r="R2187" s="7"/>
    </row>
    <row r="2188" spans="3:18">
      <c r="C2188" s="7"/>
      <c r="D2188" s="7"/>
      <c r="E2188" s="7"/>
      <c r="F2188" s="7"/>
      <c r="G2188" s="7"/>
      <c r="H2188" s="7"/>
      <c r="I2188" s="7"/>
      <c r="J2188" s="7"/>
      <c r="K2188" s="7"/>
      <c r="L2188" s="27"/>
      <c r="N2188" s="8"/>
      <c r="O2188" s="7"/>
      <c r="P2188" s="7"/>
      <c r="Q2188" s="7"/>
      <c r="R2188" s="7"/>
    </row>
    <row r="2189" spans="3:18">
      <c r="C2189" s="7"/>
      <c r="D2189" s="7"/>
      <c r="E2189" s="7"/>
      <c r="F2189" s="7"/>
      <c r="G2189" s="7"/>
      <c r="H2189" s="7"/>
      <c r="I2189" s="7"/>
      <c r="J2189" s="7"/>
      <c r="K2189" s="7"/>
      <c r="L2189" s="27"/>
      <c r="N2189" s="8"/>
      <c r="O2189" s="7"/>
      <c r="P2189" s="7"/>
      <c r="Q2189" s="7"/>
      <c r="R2189" s="7"/>
    </row>
    <row r="2190" spans="3:18">
      <c r="C2190" s="7"/>
      <c r="D2190" s="7"/>
      <c r="E2190" s="7"/>
      <c r="F2190" s="7"/>
      <c r="G2190" s="7"/>
      <c r="H2190" s="7"/>
      <c r="I2190" s="7"/>
      <c r="J2190" s="7"/>
      <c r="K2190" s="7"/>
      <c r="L2190" s="27"/>
      <c r="N2190" s="8"/>
      <c r="O2190" s="7"/>
      <c r="P2190" s="7"/>
      <c r="Q2190" s="7"/>
      <c r="R2190" s="7"/>
    </row>
    <row r="2191" spans="3:18">
      <c r="C2191" s="7"/>
      <c r="D2191" s="7"/>
      <c r="E2191" s="7"/>
      <c r="F2191" s="7"/>
      <c r="G2191" s="7"/>
      <c r="H2191" s="7"/>
      <c r="I2191" s="7"/>
      <c r="J2191" s="7"/>
      <c r="K2191" s="7"/>
      <c r="L2191" s="27"/>
      <c r="N2191" s="8"/>
      <c r="O2191" s="7"/>
      <c r="P2191" s="7"/>
      <c r="Q2191" s="7"/>
      <c r="R2191" s="7"/>
    </row>
    <row r="2192" spans="3:18">
      <c r="C2192" s="7"/>
      <c r="D2192" s="7"/>
      <c r="E2192" s="7"/>
      <c r="F2192" s="7"/>
      <c r="G2192" s="7"/>
      <c r="H2192" s="7"/>
      <c r="I2192" s="7"/>
      <c r="J2192" s="7"/>
      <c r="K2192" s="7"/>
      <c r="L2192" s="27"/>
      <c r="N2192" s="8"/>
      <c r="O2192" s="7"/>
      <c r="P2192" s="7"/>
      <c r="Q2192" s="7"/>
      <c r="R2192" s="7"/>
    </row>
    <row r="2193" spans="3:18">
      <c r="C2193" s="7"/>
      <c r="D2193" s="7"/>
      <c r="E2193" s="7"/>
      <c r="F2193" s="7"/>
      <c r="G2193" s="7"/>
      <c r="H2193" s="7"/>
      <c r="I2193" s="7"/>
      <c r="J2193" s="7"/>
      <c r="K2193" s="7"/>
      <c r="L2193" s="27"/>
      <c r="N2193" s="8"/>
      <c r="O2193" s="7"/>
      <c r="P2193" s="7"/>
      <c r="Q2193" s="7"/>
      <c r="R2193" s="7"/>
    </row>
    <row r="2194" spans="3:18">
      <c r="C2194" s="7"/>
      <c r="D2194" s="7"/>
      <c r="E2194" s="7"/>
      <c r="F2194" s="7"/>
      <c r="G2194" s="7"/>
      <c r="H2194" s="7"/>
      <c r="I2194" s="7"/>
      <c r="J2194" s="7"/>
      <c r="K2194" s="7"/>
      <c r="L2194" s="27"/>
      <c r="N2194" s="8"/>
      <c r="O2194" s="7"/>
      <c r="P2194" s="7"/>
      <c r="Q2194" s="7"/>
      <c r="R2194" s="7"/>
    </row>
    <row r="2195" spans="3:18">
      <c r="C2195" s="7"/>
      <c r="D2195" s="7"/>
      <c r="E2195" s="7"/>
      <c r="F2195" s="7"/>
      <c r="G2195" s="7"/>
      <c r="H2195" s="7"/>
      <c r="I2195" s="7"/>
      <c r="J2195" s="7"/>
      <c r="K2195" s="7"/>
      <c r="L2195" s="27"/>
      <c r="N2195" s="8"/>
      <c r="O2195" s="7"/>
      <c r="P2195" s="7"/>
      <c r="Q2195" s="7"/>
      <c r="R2195" s="7"/>
    </row>
    <row r="2196" spans="3:18">
      <c r="C2196" s="7"/>
      <c r="D2196" s="7"/>
      <c r="E2196" s="7"/>
      <c r="F2196" s="7"/>
      <c r="G2196" s="7"/>
      <c r="H2196" s="7"/>
      <c r="I2196" s="7"/>
      <c r="J2196" s="7"/>
      <c r="K2196" s="7"/>
      <c r="L2196" s="27"/>
      <c r="N2196" s="8"/>
      <c r="O2196" s="7"/>
      <c r="P2196" s="7"/>
      <c r="Q2196" s="7"/>
      <c r="R2196" s="7"/>
    </row>
    <row r="2197" spans="3:18">
      <c r="C2197" s="7"/>
      <c r="D2197" s="7"/>
      <c r="E2197" s="7"/>
      <c r="F2197" s="7"/>
      <c r="G2197" s="7"/>
      <c r="H2197" s="7"/>
      <c r="I2197" s="7"/>
      <c r="J2197" s="7"/>
      <c r="K2197" s="7"/>
      <c r="L2197" s="27"/>
      <c r="N2197" s="8"/>
      <c r="O2197" s="7"/>
      <c r="P2197" s="7"/>
      <c r="Q2197" s="7"/>
      <c r="R2197" s="7"/>
    </row>
    <row r="2198" spans="3:18">
      <c r="C2198" s="7"/>
      <c r="D2198" s="7"/>
      <c r="E2198" s="7"/>
      <c r="F2198" s="7"/>
      <c r="G2198" s="7"/>
      <c r="H2198" s="7"/>
      <c r="I2198" s="7"/>
      <c r="J2198" s="7"/>
      <c r="K2198" s="7"/>
      <c r="L2198" s="27"/>
      <c r="N2198" s="8"/>
      <c r="O2198" s="7"/>
      <c r="P2198" s="7"/>
      <c r="Q2198" s="7"/>
      <c r="R2198" s="7"/>
    </row>
    <row r="2199" spans="3:18">
      <c r="C2199" s="7"/>
      <c r="D2199" s="7"/>
      <c r="E2199" s="7"/>
      <c r="F2199" s="7"/>
      <c r="G2199" s="7"/>
      <c r="H2199" s="7"/>
      <c r="I2199" s="7"/>
      <c r="J2199" s="7"/>
      <c r="K2199" s="7"/>
      <c r="L2199" s="27"/>
      <c r="N2199" s="8"/>
      <c r="O2199" s="7"/>
      <c r="P2199" s="7"/>
      <c r="Q2199" s="7"/>
      <c r="R2199" s="7"/>
    </row>
    <row r="2200" spans="3:18">
      <c r="C2200" s="7"/>
      <c r="D2200" s="7"/>
      <c r="E2200" s="7"/>
      <c r="F2200" s="7"/>
      <c r="G2200" s="7"/>
      <c r="H2200" s="7"/>
      <c r="I2200" s="7"/>
      <c r="J2200" s="7"/>
      <c r="K2200" s="7"/>
      <c r="L2200" s="27"/>
      <c r="N2200" s="8"/>
      <c r="O2200" s="7"/>
      <c r="P2200" s="7"/>
      <c r="Q2200" s="7"/>
      <c r="R2200" s="7"/>
    </row>
    <row r="2201" spans="3:18">
      <c r="C2201" s="7"/>
      <c r="D2201" s="7"/>
      <c r="E2201" s="7"/>
      <c r="F2201" s="7"/>
      <c r="G2201" s="7"/>
      <c r="H2201" s="7"/>
      <c r="I2201" s="7"/>
      <c r="J2201" s="7"/>
      <c r="K2201" s="7"/>
      <c r="L2201" s="27"/>
      <c r="N2201" s="8"/>
      <c r="O2201" s="7"/>
      <c r="P2201" s="7"/>
      <c r="Q2201" s="7"/>
      <c r="R2201" s="7"/>
    </row>
    <row r="2202" spans="3:18">
      <c r="C2202" s="7"/>
      <c r="D2202" s="7"/>
      <c r="E2202" s="7"/>
      <c r="F2202" s="7"/>
      <c r="G2202" s="7"/>
      <c r="H2202" s="7"/>
      <c r="I2202" s="7"/>
      <c r="J2202" s="7"/>
      <c r="K2202" s="7"/>
      <c r="L2202" s="27"/>
      <c r="N2202" s="8"/>
      <c r="O2202" s="7"/>
      <c r="P2202" s="7"/>
      <c r="Q2202" s="7"/>
      <c r="R2202" s="7"/>
    </row>
    <row r="2203" spans="3:18">
      <c r="C2203" s="7"/>
      <c r="D2203" s="7"/>
      <c r="E2203" s="7"/>
      <c r="F2203" s="7"/>
      <c r="G2203" s="7"/>
      <c r="H2203" s="7"/>
      <c r="I2203" s="7"/>
      <c r="J2203" s="7"/>
      <c r="K2203" s="7"/>
      <c r="L2203" s="27"/>
      <c r="N2203" s="8"/>
      <c r="O2203" s="7"/>
      <c r="P2203" s="7"/>
      <c r="Q2203" s="7"/>
      <c r="R2203" s="7"/>
    </row>
    <row r="2204" spans="3:18">
      <c r="C2204" s="7"/>
      <c r="D2204" s="7"/>
      <c r="E2204" s="7"/>
      <c r="F2204" s="7"/>
      <c r="G2204" s="7"/>
      <c r="H2204" s="7"/>
      <c r="I2204" s="7"/>
      <c r="J2204" s="7"/>
      <c r="K2204" s="7"/>
      <c r="L2204" s="27"/>
      <c r="N2204" s="8"/>
      <c r="O2204" s="7"/>
      <c r="P2204" s="7"/>
      <c r="Q2204" s="7"/>
      <c r="R2204" s="7"/>
    </row>
    <row r="2205" spans="3:18">
      <c r="C2205" s="7"/>
      <c r="D2205" s="7"/>
      <c r="E2205" s="7"/>
      <c r="F2205" s="7"/>
      <c r="G2205" s="7"/>
      <c r="H2205" s="7"/>
      <c r="I2205" s="7"/>
      <c r="J2205" s="7"/>
      <c r="K2205" s="7"/>
      <c r="L2205" s="27"/>
      <c r="N2205" s="8"/>
      <c r="O2205" s="7"/>
      <c r="P2205" s="7"/>
      <c r="Q2205" s="7"/>
      <c r="R2205" s="7"/>
    </row>
    <row r="2206" spans="3:18">
      <c r="C2206" s="7"/>
      <c r="D2206" s="7"/>
      <c r="E2206" s="7"/>
      <c r="F2206" s="7"/>
      <c r="G2206" s="7"/>
      <c r="H2206" s="7"/>
      <c r="I2206" s="7"/>
      <c r="J2206" s="7"/>
      <c r="K2206" s="7"/>
      <c r="L2206" s="27"/>
      <c r="N2206" s="8"/>
      <c r="O2206" s="7"/>
      <c r="P2206" s="7"/>
      <c r="Q2206" s="7"/>
      <c r="R2206" s="7"/>
    </row>
    <row r="2207" spans="3:18">
      <c r="C2207" s="7"/>
      <c r="D2207" s="7"/>
      <c r="E2207" s="7"/>
      <c r="F2207" s="7"/>
      <c r="G2207" s="7"/>
      <c r="H2207" s="7"/>
      <c r="I2207" s="7"/>
      <c r="J2207" s="7"/>
      <c r="K2207" s="7"/>
      <c r="L2207" s="27"/>
      <c r="N2207" s="8"/>
      <c r="O2207" s="7"/>
      <c r="P2207" s="7"/>
      <c r="Q2207" s="7"/>
      <c r="R2207" s="7"/>
    </row>
    <row r="2208" spans="3:18">
      <c r="C2208" s="7"/>
      <c r="D2208" s="7"/>
      <c r="E2208" s="7"/>
      <c r="F2208" s="7"/>
      <c r="G2208" s="7"/>
      <c r="H2208" s="7"/>
      <c r="I2208" s="7"/>
      <c r="J2208" s="7"/>
      <c r="K2208" s="7"/>
      <c r="L2208" s="27"/>
      <c r="N2208" s="8"/>
      <c r="O2208" s="7"/>
      <c r="P2208" s="7"/>
      <c r="Q2208" s="7"/>
      <c r="R2208" s="7"/>
    </row>
    <row r="2209" spans="3:18">
      <c r="C2209" s="7"/>
      <c r="D2209" s="7"/>
      <c r="E2209" s="7"/>
      <c r="F2209" s="7"/>
      <c r="G2209" s="7"/>
      <c r="H2209" s="7"/>
      <c r="I2209" s="7"/>
      <c r="J2209" s="7"/>
      <c r="K2209" s="7"/>
      <c r="L2209" s="27"/>
      <c r="N2209" s="8"/>
      <c r="O2209" s="7"/>
      <c r="P2209" s="7"/>
      <c r="Q2209" s="7"/>
      <c r="R2209" s="7"/>
    </row>
    <row r="2210" spans="3:18">
      <c r="C2210" s="7"/>
      <c r="D2210" s="7"/>
      <c r="E2210" s="7"/>
      <c r="F2210" s="7"/>
      <c r="G2210" s="7"/>
      <c r="H2210" s="7"/>
      <c r="I2210" s="7"/>
      <c r="J2210" s="7"/>
      <c r="K2210" s="7"/>
      <c r="L2210" s="27"/>
      <c r="N2210" s="8"/>
      <c r="O2210" s="7"/>
      <c r="P2210" s="7"/>
      <c r="Q2210" s="7"/>
      <c r="R2210" s="7"/>
    </row>
    <row r="2211" spans="3:18">
      <c r="C2211" s="7"/>
      <c r="D2211" s="7"/>
      <c r="E2211" s="7"/>
      <c r="F2211" s="7"/>
      <c r="G2211" s="7"/>
      <c r="H2211" s="7"/>
      <c r="I2211" s="7"/>
      <c r="J2211" s="7"/>
      <c r="K2211" s="7"/>
      <c r="L2211" s="27"/>
      <c r="N2211" s="8"/>
      <c r="O2211" s="7"/>
      <c r="P2211" s="7"/>
      <c r="Q2211" s="7"/>
      <c r="R2211" s="7"/>
    </row>
    <row r="2212" spans="3:18">
      <c r="C2212" s="7"/>
      <c r="D2212" s="7"/>
      <c r="E2212" s="7"/>
      <c r="F2212" s="7"/>
      <c r="G2212" s="7"/>
      <c r="H2212" s="7"/>
      <c r="I2212" s="7"/>
      <c r="J2212" s="7"/>
      <c r="K2212" s="7"/>
      <c r="L2212" s="27"/>
      <c r="N2212" s="8"/>
      <c r="O2212" s="7"/>
      <c r="P2212" s="7"/>
      <c r="Q2212" s="7"/>
      <c r="R2212" s="7"/>
    </row>
    <row r="2213" spans="3:18">
      <c r="C2213" s="7"/>
      <c r="D2213" s="7"/>
      <c r="E2213" s="7"/>
      <c r="F2213" s="7"/>
      <c r="G2213" s="7"/>
      <c r="H2213" s="7"/>
      <c r="I2213" s="7"/>
      <c r="J2213" s="7"/>
      <c r="K2213" s="7"/>
      <c r="L2213" s="27"/>
      <c r="N2213" s="8"/>
      <c r="O2213" s="7"/>
      <c r="P2213" s="7"/>
      <c r="Q2213" s="7"/>
      <c r="R2213" s="7"/>
    </row>
    <row r="2214" spans="3:18">
      <c r="C2214" s="7"/>
      <c r="D2214" s="7"/>
      <c r="E2214" s="7"/>
      <c r="F2214" s="7"/>
      <c r="G2214" s="7"/>
      <c r="H2214" s="7"/>
      <c r="I2214" s="7"/>
      <c r="J2214" s="7"/>
      <c r="K2214" s="7"/>
      <c r="L2214" s="27"/>
      <c r="N2214" s="8"/>
      <c r="O2214" s="7"/>
      <c r="P2214" s="7"/>
      <c r="Q2214" s="7"/>
      <c r="R2214" s="7"/>
    </row>
    <row r="2215" spans="3:18">
      <c r="C2215" s="7"/>
      <c r="D2215" s="7"/>
      <c r="E2215" s="7"/>
      <c r="F2215" s="7"/>
      <c r="G2215" s="7"/>
      <c r="H2215" s="7"/>
      <c r="I2215" s="7"/>
      <c r="J2215" s="7"/>
      <c r="K2215" s="7"/>
      <c r="L2215" s="27"/>
      <c r="N2215" s="8"/>
      <c r="O2215" s="7"/>
      <c r="P2215" s="7"/>
      <c r="Q2215" s="7"/>
      <c r="R2215" s="7"/>
    </row>
    <row r="2216" spans="3:18">
      <c r="C2216" s="7"/>
      <c r="D2216" s="7"/>
      <c r="E2216" s="7"/>
      <c r="F2216" s="7"/>
      <c r="G2216" s="7"/>
      <c r="H2216" s="7"/>
      <c r="I2216" s="7"/>
      <c r="J2216" s="7"/>
      <c r="K2216" s="7"/>
      <c r="L2216" s="27"/>
      <c r="N2216" s="8"/>
      <c r="O2216" s="7"/>
      <c r="P2216" s="7"/>
      <c r="Q2216" s="7"/>
      <c r="R2216" s="7"/>
    </row>
    <row r="2217" spans="3:18">
      <c r="C2217" s="7"/>
      <c r="D2217" s="7"/>
      <c r="E2217" s="7"/>
      <c r="F2217" s="7"/>
      <c r="G2217" s="7"/>
      <c r="H2217" s="7"/>
      <c r="I2217" s="7"/>
      <c r="J2217" s="7"/>
      <c r="K2217" s="7"/>
      <c r="L2217" s="27"/>
      <c r="N2217" s="8"/>
      <c r="O2217" s="7"/>
      <c r="P2217" s="7"/>
      <c r="Q2217" s="7"/>
      <c r="R2217" s="7"/>
    </row>
    <row r="2218" spans="3:18">
      <c r="C2218" s="7"/>
      <c r="D2218" s="7"/>
      <c r="E2218" s="7"/>
      <c r="F2218" s="7"/>
      <c r="G2218" s="7"/>
      <c r="H2218" s="7"/>
      <c r="I2218" s="7"/>
      <c r="J2218" s="7"/>
      <c r="K2218" s="7"/>
      <c r="L2218" s="27"/>
      <c r="N2218" s="8"/>
      <c r="O2218" s="7"/>
      <c r="P2218" s="7"/>
      <c r="Q2218" s="7"/>
      <c r="R2218" s="7"/>
    </row>
    <row r="2219" spans="3:18">
      <c r="C2219" s="7"/>
      <c r="D2219" s="7"/>
      <c r="E2219" s="7"/>
      <c r="F2219" s="7"/>
      <c r="G2219" s="7"/>
      <c r="H2219" s="7"/>
      <c r="I2219" s="7"/>
      <c r="J2219" s="7"/>
      <c r="K2219" s="7"/>
      <c r="L2219" s="27"/>
      <c r="N2219" s="8"/>
      <c r="O2219" s="7"/>
      <c r="P2219" s="7"/>
      <c r="Q2219" s="7"/>
      <c r="R2219" s="7"/>
    </row>
    <row r="2220" spans="3:18">
      <c r="C2220" s="7"/>
      <c r="D2220" s="7"/>
      <c r="E2220" s="7"/>
      <c r="F2220" s="7"/>
      <c r="G2220" s="7"/>
      <c r="H2220" s="7"/>
      <c r="I2220" s="7"/>
      <c r="J2220" s="7"/>
      <c r="K2220" s="7"/>
      <c r="L2220" s="27"/>
      <c r="N2220" s="8"/>
      <c r="O2220" s="7"/>
      <c r="P2220" s="7"/>
      <c r="Q2220" s="7"/>
      <c r="R2220" s="7"/>
    </row>
    <row r="2221" spans="3:18">
      <c r="C2221" s="7"/>
      <c r="D2221" s="7"/>
      <c r="E2221" s="7"/>
      <c r="F2221" s="7"/>
      <c r="G2221" s="7"/>
      <c r="H2221" s="7"/>
      <c r="I2221" s="7"/>
      <c r="J2221" s="7"/>
      <c r="K2221" s="7"/>
      <c r="L2221" s="27"/>
      <c r="N2221" s="8"/>
      <c r="O2221" s="7"/>
      <c r="P2221" s="7"/>
      <c r="Q2221" s="7"/>
      <c r="R2221" s="7"/>
    </row>
    <row r="2222" spans="3:18">
      <c r="C2222" s="7"/>
      <c r="D2222" s="7"/>
      <c r="E2222" s="7"/>
      <c r="F2222" s="7"/>
      <c r="G2222" s="7"/>
      <c r="H2222" s="7"/>
      <c r="I2222" s="7"/>
      <c r="J2222" s="7"/>
      <c r="K2222" s="7"/>
      <c r="L2222" s="27"/>
      <c r="N2222" s="8"/>
      <c r="O2222" s="7"/>
      <c r="P2222" s="7"/>
      <c r="Q2222" s="7"/>
      <c r="R2222" s="7"/>
    </row>
    <row r="2223" spans="3:18">
      <c r="C2223" s="7"/>
      <c r="D2223" s="7"/>
      <c r="E2223" s="7"/>
      <c r="F2223" s="7"/>
      <c r="G2223" s="7"/>
      <c r="H2223" s="7"/>
      <c r="I2223" s="7"/>
      <c r="J2223" s="7"/>
      <c r="K2223" s="7"/>
      <c r="L2223" s="27"/>
      <c r="N2223" s="8"/>
      <c r="O2223" s="7"/>
      <c r="P2223" s="7"/>
      <c r="Q2223" s="7"/>
      <c r="R2223" s="7"/>
    </row>
    <row r="2224" spans="3:18">
      <c r="C2224" s="7"/>
      <c r="D2224" s="7"/>
      <c r="E2224" s="7"/>
      <c r="F2224" s="7"/>
      <c r="G2224" s="7"/>
      <c r="H2224" s="7"/>
      <c r="I2224" s="7"/>
      <c r="J2224" s="7"/>
      <c r="K2224" s="7"/>
      <c r="L2224" s="27"/>
      <c r="N2224" s="8"/>
      <c r="O2224" s="7"/>
      <c r="P2224" s="7"/>
      <c r="Q2224" s="7"/>
      <c r="R2224" s="7"/>
    </row>
    <row r="2225" spans="3:18">
      <c r="C2225" s="7"/>
      <c r="D2225" s="7"/>
      <c r="E2225" s="7"/>
      <c r="F2225" s="7"/>
      <c r="G2225" s="7"/>
      <c r="H2225" s="7"/>
      <c r="I2225" s="7"/>
      <c r="J2225" s="7"/>
      <c r="K2225" s="7"/>
      <c r="L2225" s="27"/>
      <c r="N2225" s="8"/>
      <c r="O2225" s="7"/>
      <c r="P2225" s="7"/>
      <c r="Q2225" s="7"/>
      <c r="R2225" s="7"/>
    </row>
    <row r="2226" spans="3:18">
      <c r="C2226" s="7"/>
      <c r="D2226" s="7"/>
      <c r="E2226" s="7"/>
      <c r="F2226" s="7"/>
      <c r="G2226" s="7"/>
      <c r="H2226" s="7"/>
      <c r="I2226" s="7"/>
      <c r="J2226" s="7"/>
      <c r="K2226" s="7"/>
      <c r="L2226" s="27"/>
      <c r="N2226" s="8"/>
      <c r="O2226" s="7"/>
      <c r="P2226" s="7"/>
      <c r="Q2226" s="7"/>
      <c r="R2226" s="7"/>
    </row>
    <row r="2227" spans="3:18">
      <c r="C2227" s="7"/>
      <c r="D2227" s="7"/>
      <c r="E2227" s="7"/>
      <c r="F2227" s="7"/>
      <c r="G2227" s="7"/>
      <c r="H2227" s="7"/>
      <c r="I2227" s="7"/>
      <c r="J2227" s="7"/>
      <c r="K2227" s="7"/>
      <c r="L2227" s="27"/>
      <c r="N2227" s="8"/>
      <c r="O2227" s="7"/>
      <c r="P2227" s="7"/>
      <c r="Q2227" s="7"/>
      <c r="R2227" s="7"/>
    </row>
    <row r="2228" spans="3:18">
      <c r="C2228" s="7"/>
      <c r="D2228" s="7"/>
      <c r="E2228" s="7"/>
      <c r="F2228" s="7"/>
      <c r="G2228" s="7"/>
      <c r="H2228" s="7"/>
      <c r="I2228" s="7"/>
      <c r="J2228" s="7"/>
      <c r="K2228" s="7"/>
      <c r="L2228" s="27"/>
      <c r="N2228" s="8"/>
      <c r="O2228" s="7"/>
      <c r="P2228" s="7"/>
      <c r="Q2228" s="7"/>
      <c r="R2228" s="7"/>
    </row>
    <row r="2229" spans="3:18">
      <c r="C2229" s="7"/>
      <c r="D2229" s="7"/>
      <c r="E2229" s="7"/>
      <c r="F2229" s="7"/>
      <c r="G2229" s="7"/>
      <c r="H2229" s="7"/>
      <c r="I2229" s="7"/>
      <c r="J2229" s="7"/>
      <c r="K2229" s="7"/>
      <c r="L2229" s="27"/>
      <c r="N2229" s="8"/>
      <c r="O2229" s="7"/>
      <c r="P2229" s="7"/>
      <c r="Q2229" s="7"/>
      <c r="R2229" s="7"/>
    </row>
    <row r="2230" spans="3:18">
      <c r="C2230" s="7"/>
      <c r="D2230" s="7"/>
      <c r="E2230" s="7"/>
      <c r="F2230" s="7"/>
      <c r="G2230" s="7"/>
      <c r="H2230" s="7"/>
      <c r="I2230" s="7"/>
      <c r="J2230" s="7"/>
      <c r="K2230" s="7"/>
      <c r="L2230" s="27"/>
      <c r="N2230" s="8"/>
      <c r="O2230" s="7"/>
      <c r="P2230" s="7"/>
      <c r="Q2230" s="7"/>
      <c r="R2230" s="7"/>
    </row>
    <row r="2231" spans="3:18">
      <c r="C2231" s="7"/>
      <c r="D2231" s="7"/>
      <c r="E2231" s="7"/>
      <c r="F2231" s="7"/>
      <c r="G2231" s="7"/>
      <c r="H2231" s="7"/>
      <c r="I2231" s="7"/>
      <c r="J2231" s="7"/>
      <c r="K2231" s="7"/>
      <c r="L2231" s="27"/>
      <c r="N2231" s="8"/>
      <c r="O2231" s="7"/>
      <c r="P2231" s="7"/>
      <c r="Q2231" s="7"/>
      <c r="R2231" s="7"/>
    </row>
    <row r="2232" spans="3:18">
      <c r="C2232" s="7"/>
      <c r="D2232" s="7"/>
      <c r="E2232" s="7"/>
      <c r="F2232" s="7"/>
      <c r="G2232" s="7"/>
      <c r="H2232" s="7"/>
      <c r="I2232" s="7"/>
      <c r="J2232" s="7"/>
      <c r="K2232" s="7"/>
      <c r="L2232" s="27"/>
      <c r="N2232" s="8"/>
      <c r="O2232" s="7"/>
      <c r="P2232" s="7"/>
      <c r="Q2232" s="7"/>
      <c r="R2232" s="7"/>
    </row>
    <row r="2233" spans="3:18">
      <c r="C2233" s="7"/>
      <c r="D2233" s="7"/>
      <c r="E2233" s="7"/>
      <c r="F2233" s="7"/>
      <c r="G2233" s="7"/>
      <c r="H2233" s="7"/>
      <c r="I2233" s="7"/>
      <c r="J2233" s="7"/>
      <c r="K2233" s="7"/>
      <c r="L2233" s="27"/>
      <c r="N2233" s="8"/>
      <c r="O2233" s="7"/>
      <c r="P2233" s="7"/>
      <c r="Q2233" s="7"/>
      <c r="R2233" s="7"/>
    </row>
    <row r="2234" spans="3:18">
      <c r="C2234" s="7"/>
      <c r="D2234" s="7"/>
      <c r="E2234" s="7"/>
      <c r="F2234" s="7"/>
      <c r="G2234" s="7"/>
      <c r="H2234" s="7"/>
      <c r="I2234" s="7"/>
      <c r="J2234" s="7"/>
      <c r="K2234" s="7"/>
      <c r="L2234" s="27"/>
      <c r="N2234" s="8"/>
      <c r="O2234" s="7"/>
      <c r="P2234" s="7"/>
      <c r="Q2234" s="7"/>
      <c r="R2234" s="7"/>
    </row>
    <row r="2235" spans="3:18">
      <c r="C2235" s="7"/>
      <c r="D2235" s="7"/>
      <c r="E2235" s="7"/>
      <c r="F2235" s="7"/>
      <c r="G2235" s="7"/>
      <c r="H2235" s="7"/>
      <c r="I2235" s="7"/>
      <c r="J2235" s="7"/>
      <c r="K2235" s="7"/>
      <c r="L2235" s="27"/>
      <c r="N2235" s="8"/>
      <c r="O2235" s="7"/>
      <c r="P2235" s="7"/>
      <c r="Q2235" s="7"/>
      <c r="R2235" s="7"/>
    </row>
    <row r="2236" spans="3:18">
      <c r="C2236" s="7"/>
      <c r="D2236" s="7"/>
      <c r="E2236" s="7"/>
      <c r="F2236" s="7"/>
      <c r="G2236" s="7"/>
      <c r="H2236" s="7"/>
      <c r="I2236" s="7"/>
      <c r="J2236" s="7"/>
      <c r="K2236" s="7"/>
      <c r="L2236" s="27"/>
      <c r="N2236" s="8"/>
      <c r="O2236" s="7"/>
      <c r="P2236" s="7"/>
      <c r="Q2236" s="7"/>
      <c r="R2236" s="7"/>
    </row>
    <row r="2237" spans="3:18">
      <c r="C2237" s="7"/>
      <c r="D2237" s="7"/>
      <c r="E2237" s="7"/>
      <c r="F2237" s="7"/>
      <c r="G2237" s="7"/>
      <c r="H2237" s="7"/>
      <c r="I2237" s="7"/>
      <c r="J2237" s="7"/>
      <c r="K2237" s="7"/>
      <c r="L2237" s="27"/>
      <c r="N2237" s="8"/>
      <c r="O2237" s="7"/>
      <c r="P2237" s="7"/>
      <c r="Q2237" s="7"/>
      <c r="R2237" s="7"/>
    </row>
    <row r="2238" spans="3:18">
      <c r="C2238" s="7"/>
      <c r="D2238" s="7"/>
      <c r="E2238" s="7"/>
      <c r="F2238" s="7"/>
      <c r="G2238" s="7"/>
      <c r="H2238" s="7"/>
      <c r="I2238" s="7"/>
      <c r="J2238" s="7"/>
      <c r="K2238" s="7"/>
      <c r="L2238" s="27"/>
      <c r="N2238" s="8"/>
      <c r="O2238" s="7"/>
      <c r="P2238" s="7"/>
      <c r="Q2238" s="7"/>
      <c r="R2238" s="7"/>
    </row>
    <row r="2239" spans="3:18">
      <c r="C2239" s="7"/>
      <c r="D2239" s="7"/>
      <c r="E2239" s="7"/>
      <c r="F2239" s="7"/>
      <c r="G2239" s="7"/>
      <c r="H2239" s="7"/>
      <c r="I2239" s="7"/>
      <c r="J2239" s="7"/>
      <c r="K2239" s="7"/>
      <c r="L2239" s="27"/>
      <c r="N2239" s="8"/>
      <c r="O2239" s="7"/>
      <c r="P2239" s="7"/>
      <c r="Q2239" s="7"/>
      <c r="R2239" s="7"/>
    </row>
    <row r="2240" spans="3:18">
      <c r="C2240" s="7"/>
      <c r="D2240" s="7"/>
      <c r="E2240" s="7"/>
      <c r="F2240" s="7"/>
      <c r="G2240" s="7"/>
      <c r="H2240" s="7"/>
      <c r="I2240" s="7"/>
      <c r="J2240" s="7"/>
      <c r="K2240" s="7"/>
      <c r="L2240" s="27"/>
      <c r="N2240" s="8"/>
      <c r="O2240" s="7"/>
      <c r="P2240" s="7"/>
      <c r="Q2240" s="7"/>
      <c r="R2240" s="7"/>
    </row>
    <row r="2241" spans="3:18">
      <c r="C2241" s="7"/>
      <c r="D2241" s="7"/>
      <c r="E2241" s="7"/>
      <c r="F2241" s="7"/>
      <c r="G2241" s="7"/>
      <c r="H2241" s="7"/>
      <c r="I2241" s="7"/>
      <c r="J2241" s="7"/>
      <c r="K2241" s="7"/>
      <c r="L2241" s="27"/>
      <c r="N2241" s="8"/>
      <c r="O2241" s="7"/>
      <c r="P2241" s="7"/>
      <c r="Q2241" s="7"/>
      <c r="R2241" s="7"/>
    </row>
    <row r="2242" spans="3:18">
      <c r="C2242" s="7"/>
      <c r="D2242" s="7"/>
      <c r="E2242" s="7"/>
      <c r="F2242" s="7"/>
      <c r="G2242" s="7"/>
      <c r="H2242" s="7"/>
      <c r="I2242" s="7"/>
      <c r="J2242" s="7"/>
      <c r="K2242" s="7"/>
      <c r="L2242" s="27"/>
      <c r="N2242" s="8"/>
      <c r="O2242" s="7"/>
      <c r="P2242" s="7"/>
      <c r="Q2242" s="7"/>
      <c r="R2242" s="7"/>
    </row>
    <row r="2243" spans="3:18">
      <c r="C2243" s="7"/>
      <c r="D2243" s="7"/>
      <c r="E2243" s="7"/>
      <c r="F2243" s="7"/>
      <c r="G2243" s="7"/>
      <c r="H2243" s="7"/>
      <c r="I2243" s="7"/>
      <c r="J2243" s="7"/>
      <c r="K2243" s="7"/>
      <c r="L2243" s="27"/>
      <c r="N2243" s="8"/>
      <c r="O2243" s="7"/>
      <c r="P2243" s="7"/>
      <c r="Q2243" s="7"/>
      <c r="R2243" s="7"/>
    </row>
    <row r="2244" spans="3:18">
      <c r="C2244" s="7"/>
      <c r="D2244" s="7"/>
      <c r="E2244" s="7"/>
      <c r="F2244" s="7"/>
      <c r="G2244" s="7"/>
      <c r="H2244" s="7"/>
      <c r="I2244" s="7"/>
      <c r="J2244" s="7"/>
      <c r="K2244" s="7"/>
      <c r="L2244" s="27"/>
      <c r="N2244" s="8"/>
      <c r="O2244" s="7"/>
      <c r="P2244" s="7"/>
      <c r="Q2244" s="7"/>
      <c r="R2244" s="7"/>
    </row>
    <row r="2245" spans="3:18">
      <c r="C2245" s="7"/>
      <c r="D2245" s="7"/>
      <c r="E2245" s="7"/>
      <c r="F2245" s="7"/>
      <c r="G2245" s="7"/>
      <c r="H2245" s="7"/>
      <c r="I2245" s="7"/>
      <c r="J2245" s="7"/>
      <c r="K2245" s="7"/>
      <c r="L2245" s="27"/>
      <c r="N2245" s="8"/>
      <c r="O2245" s="7"/>
      <c r="P2245" s="7"/>
      <c r="Q2245" s="7"/>
      <c r="R2245" s="7"/>
    </row>
    <row r="2246" spans="3:18">
      <c r="C2246" s="7"/>
      <c r="D2246" s="7"/>
      <c r="E2246" s="7"/>
      <c r="F2246" s="7"/>
      <c r="G2246" s="7"/>
      <c r="H2246" s="7"/>
      <c r="I2246" s="7"/>
      <c r="J2246" s="7"/>
      <c r="K2246" s="7"/>
      <c r="L2246" s="27"/>
      <c r="N2246" s="8"/>
      <c r="O2246" s="7"/>
      <c r="P2246" s="7"/>
      <c r="Q2246" s="7"/>
      <c r="R2246" s="7"/>
    </row>
    <row r="2247" spans="3:18">
      <c r="C2247" s="7"/>
      <c r="D2247" s="7"/>
      <c r="E2247" s="7"/>
      <c r="F2247" s="7"/>
      <c r="G2247" s="7"/>
      <c r="H2247" s="7"/>
      <c r="I2247" s="7"/>
      <c r="J2247" s="7"/>
      <c r="K2247" s="7"/>
      <c r="L2247" s="27"/>
      <c r="N2247" s="8"/>
      <c r="O2247" s="7"/>
      <c r="P2247" s="7"/>
      <c r="Q2247" s="7"/>
      <c r="R2247" s="7"/>
    </row>
    <row r="2248" spans="3:18">
      <c r="C2248" s="7"/>
      <c r="D2248" s="7"/>
      <c r="E2248" s="7"/>
      <c r="F2248" s="7"/>
      <c r="G2248" s="7"/>
      <c r="H2248" s="7"/>
      <c r="I2248" s="7"/>
      <c r="J2248" s="7"/>
      <c r="K2248" s="7"/>
      <c r="L2248" s="27"/>
      <c r="N2248" s="8"/>
      <c r="O2248" s="7"/>
      <c r="P2248" s="7"/>
      <c r="Q2248" s="7"/>
      <c r="R2248" s="7"/>
    </row>
    <row r="2249" spans="3:18">
      <c r="C2249" s="7"/>
      <c r="D2249" s="7"/>
      <c r="E2249" s="7"/>
      <c r="F2249" s="7"/>
      <c r="G2249" s="7"/>
      <c r="H2249" s="7"/>
      <c r="I2249" s="7"/>
      <c r="J2249" s="7"/>
      <c r="K2249" s="7"/>
      <c r="L2249" s="27"/>
      <c r="N2249" s="8"/>
      <c r="O2249" s="7"/>
      <c r="P2249" s="7"/>
      <c r="Q2249" s="7"/>
      <c r="R2249" s="7"/>
    </row>
    <row r="2250" spans="3:18">
      <c r="C2250" s="7"/>
      <c r="D2250" s="7"/>
      <c r="E2250" s="7"/>
      <c r="F2250" s="7"/>
      <c r="G2250" s="7"/>
      <c r="H2250" s="7"/>
      <c r="I2250" s="7"/>
      <c r="J2250" s="7"/>
      <c r="K2250" s="7"/>
      <c r="L2250" s="27"/>
      <c r="N2250" s="8"/>
      <c r="O2250" s="7"/>
      <c r="P2250" s="7"/>
      <c r="Q2250" s="7"/>
      <c r="R2250" s="7"/>
    </row>
    <row r="2251" spans="3:18">
      <c r="C2251" s="7"/>
      <c r="D2251" s="7"/>
      <c r="E2251" s="7"/>
      <c r="F2251" s="7"/>
      <c r="G2251" s="7"/>
      <c r="H2251" s="7"/>
      <c r="I2251" s="7"/>
      <c r="J2251" s="7"/>
      <c r="K2251" s="7"/>
      <c r="L2251" s="27"/>
      <c r="N2251" s="8"/>
      <c r="O2251" s="7"/>
      <c r="P2251" s="7"/>
      <c r="Q2251" s="7"/>
      <c r="R2251" s="7"/>
    </row>
    <row r="2252" spans="3:18">
      <c r="C2252" s="7"/>
      <c r="D2252" s="7"/>
      <c r="E2252" s="7"/>
      <c r="F2252" s="7"/>
      <c r="G2252" s="7"/>
      <c r="H2252" s="7"/>
      <c r="I2252" s="7"/>
      <c r="J2252" s="7"/>
      <c r="K2252" s="7"/>
      <c r="L2252" s="27"/>
      <c r="N2252" s="8"/>
      <c r="O2252" s="7"/>
      <c r="P2252" s="7"/>
      <c r="Q2252" s="7"/>
      <c r="R2252" s="7"/>
    </row>
    <row r="2253" spans="3:18">
      <c r="C2253" s="7"/>
      <c r="D2253" s="7"/>
      <c r="E2253" s="7"/>
      <c r="F2253" s="7"/>
      <c r="G2253" s="7"/>
      <c r="H2253" s="7"/>
      <c r="I2253" s="7"/>
      <c r="J2253" s="7"/>
      <c r="K2253" s="7"/>
      <c r="L2253" s="27"/>
      <c r="N2253" s="8"/>
      <c r="O2253" s="7"/>
      <c r="P2253" s="7"/>
      <c r="Q2253" s="7"/>
      <c r="R2253" s="7"/>
    </row>
    <row r="2254" spans="3:18">
      <c r="C2254" s="7"/>
      <c r="D2254" s="7"/>
      <c r="E2254" s="7"/>
      <c r="F2254" s="7"/>
      <c r="G2254" s="7"/>
      <c r="H2254" s="7"/>
      <c r="I2254" s="7"/>
      <c r="J2254" s="7"/>
      <c r="K2254" s="7"/>
      <c r="L2254" s="27"/>
      <c r="N2254" s="8"/>
      <c r="O2254" s="7"/>
      <c r="P2254" s="7"/>
      <c r="Q2254" s="7"/>
      <c r="R2254" s="7"/>
    </row>
    <row r="2255" spans="3:18">
      <c r="C2255" s="7"/>
      <c r="D2255" s="7"/>
      <c r="E2255" s="7"/>
      <c r="F2255" s="7"/>
      <c r="G2255" s="7"/>
      <c r="H2255" s="7"/>
      <c r="I2255" s="7"/>
      <c r="J2255" s="7"/>
      <c r="K2255" s="7"/>
      <c r="L2255" s="27"/>
      <c r="N2255" s="8"/>
      <c r="O2255" s="7"/>
      <c r="P2255" s="7"/>
      <c r="Q2255" s="7"/>
      <c r="R2255" s="7"/>
    </row>
    <row r="2256" spans="3:18">
      <c r="C2256" s="7"/>
      <c r="D2256" s="7"/>
      <c r="E2256" s="7"/>
      <c r="F2256" s="7"/>
      <c r="G2256" s="7"/>
      <c r="H2256" s="7"/>
      <c r="I2256" s="7"/>
      <c r="J2256" s="7"/>
      <c r="K2256" s="7"/>
      <c r="L2256" s="27"/>
      <c r="N2256" s="8"/>
      <c r="O2256" s="7"/>
      <c r="P2256" s="7"/>
      <c r="Q2256" s="7"/>
      <c r="R2256" s="7"/>
    </row>
    <row r="2257" spans="3:18">
      <c r="C2257" s="7"/>
      <c r="D2257" s="7"/>
      <c r="E2257" s="7"/>
      <c r="F2257" s="7"/>
      <c r="G2257" s="7"/>
      <c r="H2257" s="7"/>
      <c r="I2257" s="7"/>
      <c r="J2257" s="7"/>
      <c r="K2257" s="7"/>
      <c r="L2257" s="27"/>
      <c r="N2257" s="8"/>
      <c r="O2257" s="7"/>
      <c r="P2257" s="7"/>
      <c r="Q2257" s="7"/>
      <c r="R2257" s="7"/>
    </row>
    <row r="2258" spans="3:18">
      <c r="C2258" s="7"/>
      <c r="D2258" s="7"/>
      <c r="E2258" s="7"/>
      <c r="F2258" s="7"/>
      <c r="G2258" s="7"/>
      <c r="H2258" s="7"/>
      <c r="I2258" s="7"/>
      <c r="J2258" s="7"/>
      <c r="K2258" s="7"/>
      <c r="L2258" s="27"/>
      <c r="N2258" s="8"/>
      <c r="O2258" s="7"/>
      <c r="P2258" s="7"/>
      <c r="Q2258" s="7"/>
      <c r="R2258" s="7"/>
    </row>
    <row r="2259" spans="3:18">
      <c r="C2259" s="7"/>
      <c r="D2259" s="7"/>
      <c r="E2259" s="7"/>
      <c r="F2259" s="7"/>
      <c r="G2259" s="7"/>
      <c r="H2259" s="7"/>
      <c r="I2259" s="7"/>
      <c r="J2259" s="7"/>
      <c r="K2259" s="7"/>
      <c r="L2259" s="27"/>
      <c r="N2259" s="8"/>
      <c r="O2259" s="7"/>
      <c r="P2259" s="7"/>
      <c r="Q2259" s="7"/>
      <c r="R2259" s="7"/>
    </row>
    <row r="2260" spans="3:18">
      <c r="C2260" s="7"/>
      <c r="D2260" s="7"/>
      <c r="E2260" s="7"/>
      <c r="F2260" s="7"/>
      <c r="G2260" s="7"/>
      <c r="H2260" s="7"/>
      <c r="I2260" s="7"/>
      <c r="J2260" s="7"/>
      <c r="K2260" s="7"/>
      <c r="L2260" s="27"/>
      <c r="N2260" s="8"/>
      <c r="O2260" s="7"/>
      <c r="P2260" s="7"/>
      <c r="Q2260" s="7"/>
      <c r="R2260" s="7"/>
    </row>
    <row r="2261" spans="3:18">
      <c r="C2261" s="7"/>
      <c r="D2261" s="7"/>
      <c r="E2261" s="7"/>
      <c r="F2261" s="7"/>
      <c r="G2261" s="7"/>
      <c r="H2261" s="7"/>
      <c r="I2261" s="7"/>
      <c r="J2261" s="7"/>
      <c r="K2261" s="7"/>
      <c r="L2261" s="27"/>
      <c r="N2261" s="8"/>
      <c r="O2261" s="7"/>
      <c r="P2261" s="7"/>
      <c r="Q2261" s="7"/>
      <c r="R2261" s="7"/>
    </row>
    <row r="2262" spans="3:18">
      <c r="C2262" s="7"/>
      <c r="D2262" s="7"/>
      <c r="E2262" s="7"/>
      <c r="F2262" s="7"/>
      <c r="G2262" s="7"/>
      <c r="H2262" s="7"/>
      <c r="I2262" s="7"/>
      <c r="J2262" s="7"/>
      <c r="K2262" s="7"/>
      <c r="L2262" s="27"/>
      <c r="N2262" s="8"/>
      <c r="O2262" s="7"/>
      <c r="P2262" s="7"/>
      <c r="Q2262" s="7"/>
      <c r="R2262" s="7"/>
    </row>
    <row r="2263" spans="3:18">
      <c r="C2263" s="7"/>
      <c r="D2263" s="7"/>
      <c r="E2263" s="7"/>
      <c r="F2263" s="7"/>
      <c r="G2263" s="7"/>
      <c r="H2263" s="7"/>
      <c r="I2263" s="7"/>
      <c r="J2263" s="7"/>
      <c r="K2263" s="7"/>
      <c r="L2263" s="27"/>
      <c r="N2263" s="8"/>
      <c r="O2263" s="7"/>
      <c r="P2263" s="7"/>
      <c r="Q2263" s="7"/>
      <c r="R2263" s="7"/>
    </row>
    <row r="2264" spans="3:18">
      <c r="C2264" s="7"/>
      <c r="D2264" s="7"/>
      <c r="E2264" s="7"/>
      <c r="F2264" s="7"/>
      <c r="G2264" s="7"/>
      <c r="H2264" s="7"/>
      <c r="I2264" s="7"/>
      <c r="J2264" s="7"/>
      <c r="K2264" s="7"/>
      <c r="L2264" s="27"/>
      <c r="N2264" s="8"/>
      <c r="O2264" s="7"/>
      <c r="P2264" s="7"/>
      <c r="Q2264" s="7"/>
      <c r="R2264" s="7"/>
    </row>
    <row r="2265" spans="3:18">
      <c r="C2265" s="7"/>
      <c r="D2265" s="7"/>
      <c r="E2265" s="7"/>
      <c r="F2265" s="7"/>
      <c r="G2265" s="7"/>
      <c r="H2265" s="7"/>
      <c r="I2265" s="7"/>
      <c r="J2265" s="7"/>
      <c r="K2265" s="7"/>
      <c r="L2265" s="27"/>
      <c r="N2265" s="8"/>
      <c r="O2265" s="7"/>
      <c r="P2265" s="7"/>
      <c r="Q2265" s="7"/>
      <c r="R2265" s="7"/>
    </row>
    <row r="2266" spans="3:18">
      <c r="C2266" s="7"/>
      <c r="D2266" s="7"/>
      <c r="E2266" s="7"/>
      <c r="F2266" s="7"/>
      <c r="G2266" s="7"/>
      <c r="H2266" s="7"/>
      <c r="I2266" s="7"/>
      <c r="J2266" s="7"/>
      <c r="K2266" s="7"/>
      <c r="L2266" s="27"/>
      <c r="N2266" s="8"/>
      <c r="O2266" s="7"/>
      <c r="P2266" s="7"/>
      <c r="Q2266" s="7"/>
      <c r="R2266" s="7"/>
    </row>
    <row r="2267" spans="3:18">
      <c r="C2267" s="7"/>
      <c r="D2267" s="7"/>
      <c r="E2267" s="7"/>
      <c r="F2267" s="7"/>
      <c r="G2267" s="7"/>
      <c r="H2267" s="7"/>
      <c r="I2267" s="7"/>
      <c r="J2267" s="7"/>
      <c r="K2267" s="7"/>
      <c r="L2267" s="27"/>
      <c r="N2267" s="8"/>
      <c r="O2267" s="7"/>
      <c r="P2267" s="7"/>
      <c r="Q2267" s="7"/>
      <c r="R2267" s="7"/>
    </row>
    <row r="2268" spans="3:18">
      <c r="C2268" s="7"/>
      <c r="D2268" s="7"/>
      <c r="E2268" s="7"/>
      <c r="F2268" s="7"/>
      <c r="G2268" s="7"/>
      <c r="H2268" s="7"/>
      <c r="I2268" s="7"/>
      <c r="J2268" s="7"/>
      <c r="K2268" s="7"/>
      <c r="L2268" s="27"/>
      <c r="N2268" s="8"/>
      <c r="O2268" s="7"/>
      <c r="P2268" s="7"/>
      <c r="Q2268" s="7"/>
      <c r="R2268" s="7"/>
    </row>
    <row r="2269" spans="3:18">
      <c r="C2269" s="7"/>
      <c r="D2269" s="7"/>
      <c r="E2269" s="7"/>
      <c r="F2269" s="7"/>
      <c r="G2269" s="7"/>
      <c r="H2269" s="7"/>
      <c r="I2269" s="7"/>
      <c r="J2269" s="7"/>
      <c r="K2269" s="7"/>
      <c r="L2269" s="27"/>
      <c r="N2269" s="8"/>
      <c r="O2269" s="7"/>
      <c r="P2269" s="7"/>
      <c r="Q2269" s="7"/>
      <c r="R2269" s="7"/>
    </row>
    <row r="2270" spans="3:18">
      <c r="C2270" s="7"/>
      <c r="D2270" s="7"/>
      <c r="E2270" s="7"/>
      <c r="F2270" s="7"/>
      <c r="G2270" s="7"/>
      <c r="H2270" s="7"/>
      <c r="I2270" s="7"/>
      <c r="J2270" s="7"/>
      <c r="K2270" s="7"/>
      <c r="L2270" s="27"/>
      <c r="N2270" s="8"/>
      <c r="O2270" s="7"/>
      <c r="P2270" s="7"/>
      <c r="Q2270" s="7"/>
      <c r="R2270" s="7"/>
    </row>
    <row r="2271" spans="3:18">
      <c r="C2271" s="7"/>
      <c r="D2271" s="7"/>
      <c r="E2271" s="7"/>
      <c r="F2271" s="7"/>
      <c r="G2271" s="7"/>
      <c r="H2271" s="7"/>
      <c r="I2271" s="7"/>
      <c r="J2271" s="7"/>
      <c r="K2271" s="7"/>
      <c r="L2271" s="27"/>
      <c r="N2271" s="8"/>
      <c r="O2271" s="7"/>
      <c r="P2271" s="7"/>
      <c r="Q2271" s="7"/>
      <c r="R2271" s="7"/>
    </row>
    <row r="2272" spans="3:18">
      <c r="C2272" s="7"/>
      <c r="D2272" s="7"/>
      <c r="E2272" s="7"/>
      <c r="F2272" s="7"/>
      <c r="G2272" s="7"/>
      <c r="H2272" s="7"/>
      <c r="I2272" s="7"/>
      <c r="J2272" s="7"/>
      <c r="K2272" s="7"/>
      <c r="L2272" s="27"/>
      <c r="N2272" s="8"/>
      <c r="O2272" s="7"/>
      <c r="P2272" s="7"/>
      <c r="Q2272" s="7"/>
      <c r="R2272" s="7"/>
    </row>
    <row r="2273" spans="3:18">
      <c r="C2273" s="7"/>
      <c r="D2273" s="7"/>
      <c r="E2273" s="7"/>
      <c r="F2273" s="7"/>
      <c r="G2273" s="7"/>
      <c r="H2273" s="7"/>
      <c r="I2273" s="7"/>
      <c r="J2273" s="7"/>
      <c r="K2273" s="7"/>
      <c r="L2273" s="27"/>
      <c r="N2273" s="8"/>
      <c r="O2273" s="7"/>
      <c r="P2273" s="7"/>
      <c r="Q2273" s="7"/>
      <c r="R2273" s="7"/>
    </row>
    <row r="2274" spans="3:18">
      <c r="C2274" s="7"/>
      <c r="D2274" s="7"/>
      <c r="E2274" s="7"/>
      <c r="F2274" s="7"/>
      <c r="G2274" s="7"/>
      <c r="H2274" s="7"/>
      <c r="I2274" s="7"/>
      <c r="J2274" s="7"/>
      <c r="K2274" s="7"/>
      <c r="L2274" s="27"/>
      <c r="N2274" s="8"/>
      <c r="O2274" s="7"/>
      <c r="P2274" s="7"/>
      <c r="Q2274" s="7"/>
      <c r="R2274" s="7"/>
    </row>
    <row r="2275" spans="3:18">
      <c r="C2275" s="7"/>
      <c r="D2275" s="7"/>
      <c r="E2275" s="7"/>
      <c r="F2275" s="7"/>
      <c r="G2275" s="7"/>
      <c r="H2275" s="7"/>
      <c r="I2275" s="7"/>
      <c r="J2275" s="7"/>
      <c r="K2275" s="7"/>
      <c r="L2275" s="27"/>
      <c r="N2275" s="8"/>
      <c r="O2275" s="7"/>
      <c r="P2275" s="7"/>
      <c r="Q2275" s="7"/>
      <c r="R2275" s="7"/>
    </row>
    <row r="2276" spans="3:18">
      <c r="C2276" s="7"/>
      <c r="D2276" s="7"/>
      <c r="E2276" s="7"/>
      <c r="F2276" s="7"/>
      <c r="G2276" s="7"/>
      <c r="H2276" s="7"/>
      <c r="I2276" s="7"/>
      <c r="J2276" s="7"/>
      <c r="K2276" s="7"/>
      <c r="L2276" s="27"/>
      <c r="N2276" s="8"/>
      <c r="O2276" s="7"/>
      <c r="P2276" s="7"/>
      <c r="Q2276" s="7"/>
      <c r="R2276" s="7"/>
    </row>
    <row r="2277" spans="3:18">
      <c r="C2277" s="7"/>
      <c r="D2277" s="7"/>
      <c r="E2277" s="7"/>
      <c r="F2277" s="7"/>
      <c r="G2277" s="7"/>
      <c r="H2277" s="7"/>
      <c r="I2277" s="7"/>
      <c r="J2277" s="7"/>
      <c r="K2277" s="7"/>
      <c r="L2277" s="27"/>
      <c r="N2277" s="8"/>
      <c r="O2277" s="7"/>
      <c r="P2277" s="7"/>
      <c r="Q2277" s="7"/>
      <c r="R2277" s="7"/>
    </row>
    <row r="2278" spans="3:18">
      <c r="C2278" s="7"/>
      <c r="D2278" s="7"/>
      <c r="E2278" s="7"/>
      <c r="F2278" s="7"/>
      <c r="G2278" s="7"/>
      <c r="H2278" s="7"/>
      <c r="I2278" s="7"/>
      <c r="J2278" s="7"/>
      <c r="K2278" s="7"/>
      <c r="L2278" s="27"/>
      <c r="N2278" s="8"/>
      <c r="O2278" s="7"/>
      <c r="P2278" s="7"/>
      <c r="Q2278" s="7"/>
      <c r="R2278" s="7"/>
    </row>
    <row r="2279" spans="3:18">
      <c r="C2279" s="7"/>
      <c r="D2279" s="7"/>
      <c r="E2279" s="7"/>
      <c r="F2279" s="7"/>
      <c r="G2279" s="7"/>
      <c r="H2279" s="7"/>
      <c r="I2279" s="7"/>
      <c r="J2279" s="7"/>
      <c r="K2279" s="7"/>
      <c r="L2279" s="27"/>
      <c r="N2279" s="8"/>
      <c r="O2279" s="7"/>
      <c r="P2279" s="7"/>
      <c r="Q2279" s="7"/>
      <c r="R2279" s="7"/>
    </row>
    <row r="2280" spans="3:18">
      <c r="C2280" s="7"/>
      <c r="D2280" s="7"/>
      <c r="E2280" s="7"/>
      <c r="F2280" s="7"/>
      <c r="G2280" s="7"/>
      <c r="H2280" s="7"/>
      <c r="I2280" s="7"/>
      <c r="J2280" s="7"/>
      <c r="K2280" s="7"/>
      <c r="L2280" s="27"/>
      <c r="N2280" s="8"/>
      <c r="O2280" s="7"/>
      <c r="P2280" s="7"/>
      <c r="Q2280" s="7"/>
      <c r="R2280" s="7"/>
    </row>
    <row r="2281" spans="3:18">
      <c r="C2281" s="7"/>
      <c r="D2281" s="7"/>
      <c r="E2281" s="7"/>
      <c r="F2281" s="7"/>
      <c r="G2281" s="7"/>
      <c r="H2281" s="7"/>
      <c r="I2281" s="7"/>
      <c r="J2281" s="7"/>
      <c r="K2281" s="7"/>
      <c r="L2281" s="27"/>
      <c r="N2281" s="8"/>
      <c r="O2281" s="7"/>
      <c r="P2281" s="7"/>
      <c r="Q2281" s="7"/>
      <c r="R2281" s="7"/>
    </row>
    <row r="2282" spans="3:18">
      <c r="C2282" s="7"/>
      <c r="D2282" s="7"/>
      <c r="E2282" s="7"/>
      <c r="F2282" s="7"/>
      <c r="G2282" s="7"/>
      <c r="H2282" s="7"/>
      <c r="I2282" s="7"/>
      <c r="J2282" s="7"/>
      <c r="K2282" s="7"/>
      <c r="L2282" s="27"/>
      <c r="N2282" s="8"/>
      <c r="O2282" s="7"/>
      <c r="P2282" s="7"/>
      <c r="Q2282" s="7"/>
      <c r="R2282" s="7"/>
    </row>
    <row r="2283" spans="3:18">
      <c r="C2283" s="7"/>
      <c r="D2283" s="7"/>
      <c r="E2283" s="7"/>
      <c r="F2283" s="7"/>
      <c r="G2283" s="7"/>
      <c r="H2283" s="7"/>
      <c r="I2283" s="7"/>
      <c r="J2283" s="7"/>
      <c r="K2283" s="7"/>
      <c r="L2283" s="27"/>
      <c r="N2283" s="8"/>
      <c r="O2283" s="7"/>
      <c r="P2283" s="7"/>
      <c r="Q2283" s="7"/>
      <c r="R2283" s="7"/>
    </row>
    <row r="2284" spans="3:18">
      <c r="C2284" s="7"/>
      <c r="D2284" s="7"/>
      <c r="E2284" s="7"/>
      <c r="F2284" s="7"/>
      <c r="G2284" s="7"/>
      <c r="H2284" s="7"/>
      <c r="I2284" s="7"/>
      <c r="J2284" s="7"/>
      <c r="K2284" s="7"/>
      <c r="L2284" s="27"/>
      <c r="N2284" s="8"/>
      <c r="O2284" s="7"/>
      <c r="P2284" s="7"/>
      <c r="Q2284" s="7"/>
      <c r="R2284" s="7"/>
    </row>
    <row r="2285" spans="3:18">
      <c r="C2285" s="7"/>
      <c r="D2285" s="7"/>
      <c r="E2285" s="7"/>
      <c r="F2285" s="7"/>
      <c r="G2285" s="7"/>
      <c r="H2285" s="7"/>
      <c r="I2285" s="7"/>
      <c r="J2285" s="7"/>
      <c r="K2285" s="7"/>
      <c r="L2285" s="27"/>
      <c r="N2285" s="8"/>
      <c r="O2285" s="7"/>
      <c r="P2285" s="7"/>
      <c r="Q2285" s="7"/>
      <c r="R2285" s="7"/>
    </row>
    <row r="2286" spans="3:18">
      <c r="C2286" s="7"/>
      <c r="D2286" s="7"/>
      <c r="E2286" s="7"/>
      <c r="F2286" s="7"/>
      <c r="G2286" s="7"/>
      <c r="H2286" s="7"/>
      <c r="I2286" s="7"/>
      <c r="J2286" s="7"/>
      <c r="K2286" s="7"/>
      <c r="L2286" s="27"/>
      <c r="N2286" s="8"/>
      <c r="O2286" s="7"/>
      <c r="P2286" s="7"/>
      <c r="Q2286" s="7"/>
      <c r="R2286" s="7"/>
    </row>
    <row r="2287" spans="3:18">
      <c r="C2287" s="7"/>
      <c r="D2287" s="7"/>
      <c r="E2287" s="7"/>
      <c r="F2287" s="7"/>
      <c r="G2287" s="7"/>
      <c r="H2287" s="7"/>
      <c r="I2287" s="7"/>
      <c r="J2287" s="7"/>
      <c r="K2287" s="7"/>
      <c r="L2287" s="27"/>
      <c r="N2287" s="8"/>
      <c r="O2287" s="7"/>
      <c r="P2287" s="7"/>
      <c r="Q2287" s="7"/>
      <c r="R2287" s="7"/>
    </row>
    <row r="2288" spans="3:18">
      <c r="C2288" s="7"/>
      <c r="D2288" s="7"/>
      <c r="E2288" s="7"/>
      <c r="F2288" s="7"/>
      <c r="G2288" s="7"/>
      <c r="H2288" s="7"/>
      <c r="I2288" s="7"/>
      <c r="J2288" s="7"/>
      <c r="K2288" s="7"/>
      <c r="L2288" s="27"/>
      <c r="N2288" s="8"/>
      <c r="O2288" s="7"/>
      <c r="P2288" s="7"/>
      <c r="Q2288" s="7"/>
      <c r="R2288" s="7"/>
    </row>
    <row r="2289" spans="3:18">
      <c r="C2289" s="7"/>
      <c r="D2289" s="7"/>
      <c r="E2289" s="7"/>
      <c r="F2289" s="7"/>
      <c r="G2289" s="7"/>
      <c r="H2289" s="7"/>
      <c r="I2289" s="7"/>
      <c r="J2289" s="7"/>
      <c r="K2289" s="7"/>
      <c r="L2289" s="27"/>
      <c r="N2289" s="8"/>
      <c r="O2289" s="7"/>
      <c r="P2289" s="7"/>
      <c r="Q2289" s="7"/>
      <c r="R2289" s="7"/>
    </row>
    <row r="2290" spans="3:18">
      <c r="C2290" s="7"/>
      <c r="D2290" s="7"/>
      <c r="E2290" s="7"/>
      <c r="F2290" s="7"/>
      <c r="G2290" s="7"/>
      <c r="H2290" s="7"/>
      <c r="I2290" s="7"/>
      <c r="J2290" s="7"/>
      <c r="K2290" s="7"/>
      <c r="L2290" s="27"/>
      <c r="N2290" s="8"/>
      <c r="O2290" s="7"/>
      <c r="P2290" s="7"/>
      <c r="Q2290" s="7"/>
      <c r="R2290" s="7"/>
    </row>
    <row r="2291" spans="3:18">
      <c r="C2291" s="7"/>
      <c r="D2291" s="7"/>
      <c r="E2291" s="7"/>
      <c r="F2291" s="7"/>
      <c r="G2291" s="7"/>
      <c r="H2291" s="7"/>
      <c r="I2291" s="7"/>
      <c r="J2291" s="7"/>
      <c r="K2291" s="7"/>
      <c r="L2291" s="27"/>
      <c r="N2291" s="8"/>
      <c r="O2291" s="7"/>
      <c r="P2291" s="7"/>
      <c r="Q2291" s="7"/>
      <c r="R2291" s="7"/>
    </row>
    <row r="2292" spans="3:18">
      <c r="C2292" s="7"/>
      <c r="D2292" s="7"/>
      <c r="E2292" s="7"/>
      <c r="F2292" s="7"/>
      <c r="G2292" s="7"/>
      <c r="H2292" s="7"/>
      <c r="I2292" s="7"/>
      <c r="J2292" s="7"/>
      <c r="K2292" s="7"/>
      <c r="L2292" s="27"/>
      <c r="N2292" s="8"/>
      <c r="O2292" s="7"/>
      <c r="P2292" s="7"/>
      <c r="Q2292" s="7"/>
      <c r="R2292" s="7"/>
    </row>
    <row r="2293" spans="3:18">
      <c r="C2293" s="7"/>
      <c r="D2293" s="7"/>
      <c r="E2293" s="7"/>
      <c r="F2293" s="7"/>
      <c r="G2293" s="7"/>
      <c r="H2293" s="7"/>
      <c r="I2293" s="7"/>
      <c r="J2293" s="7"/>
      <c r="K2293" s="7"/>
      <c r="L2293" s="27"/>
      <c r="N2293" s="8"/>
      <c r="O2293" s="7"/>
      <c r="P2293" s="7"/>
      <c r="Q2293" s="7"/>
      <c r="R2293" s="7"/>
    </row>
    <row r="2294" spans="3:18">
      <c r="C2294" s="7"/>
      <c r="D2294" s="7"/>
      <c r="E2294" s="7"/>
      <c r="F2294" s="7"/>
      <c r="G2294" s="7"/>
      <c r="H2294" s="7"/>
      <c r="I2294" s="7"/>
      <c r="J2294" s="7"/>
      <c r="K2294" s="7"/>
      <c r="L2294" s="27"/>
      <c r="N2294" s="8"/>
      <c r="O2294" s="7"/>
      <c r="P2294" s="7"/>
      <c r="Q2294" s="7"/>
      <c r="R2294" s="7"/>
    </row>
    <row r="2295" spans="3:18">
      <c r="C2295" s="7"/>
      <c r="D2295" s="7"/>
      <c r="E2295" s="7"/>
      <c r="F2295" s="7"/>
      <c r="G2295" s="7"/>
      <c r="H2295" s="7"/>
      <c r="I2295" s="7"/>
      <c r="J2295" s="7"/>
      <c r="K2295" s="7"/>
      <c r="L2295" s="27"/>
      <c r="N2295" s="8"/>
      <c r="O2295" s="7"/>
      <c r="P2295" s="7"/>
      <c r="Q2295" s="7"/>
      <c r="R2295" s="7"/>
    </row>
    <row r="2296" spans="3:18">
      <c r="C2296" s="7"/>
      <c r="D2296" s="7"/>
      <c r="E2296" s="7"/>
      <c r="F2296" s="7"/>
      <c r="G2296" s="7"/>
      <c r="H2296" s="7"/>
      <c r="I2296" s="7"/>
      <c r="J2296" s="7"/>
      <c r="K2296" s="7"/>
      <c r="L2296" s="27"/>
      <c r="N2296" s="8"/>
      <c r="O2296" s="7"/>
      <c r="P2296" s="7"/>
      <c r="Q2296" s="7"/>
      <c r="R2296" s="7"/>
    </row>
    <row r="2297" spans="3:18">
      <c r="C2297" s="7"/>
      <c r="D2297" s="7"/>
      <c r="E2297" s="7"/>
      <c r="F2297" s="7"/>
      <c r="G2297" s="7"/>
      <c r="H2297" s="7"/>
      <c r="I2297" s="7"/>
      <c r="J2297" s="7"/>
      <c r="K2297" s="7"/>
      <c r="L2297" s="27"/>
      <c r="N2297" s="8"/>
      <c r="O2297" s="7"/>
      <c r="P2297" s="7"/>
      <c r="Q2297" s="7"/>
      <c r="R2297" s="7"/>
    </row>
    <row r="2298" spans="3:18">
      <c r="C2298" s="7"/>
      <c r="D2298" s="7"/>
      <c r="E2298" s="7"/>
      <c r="F2298" s="7"/>
      <c r="G2298" s="7"/>
      <c r="H2298" s="7"/>
      <c r="I2298" s="7"/>
      <c r="J2298" s="7"/>
      <c r="K2298" s="7"/>
      <c r="L2298" s="27"/>
      <c r="N2298" s="8"/>
      <c r="O2298" s="7"/>
      <c r="P2298" s="7"/>
      <c r="Q2298" s="7"/>
      <c r="R2298" s="7"/>
    </row>
    <row r="2299" spans="3:18">
      <c r="C2299" s="7"/>
      <c r="D2299" s="7"/>
      <c r="E2299" s="7"/>
      <c r="F2299" s="7"/>
      <c r="G2299" s="7"/>
      <c r="H2299" s="7"/>
      <c r="I2299" s="7"/>
      <c r="J2299" s="7"/>
      <c r="K2299" s="7"/>
      <c r="L2299" s="27"/>
      <c r="N2299" s="8"/>
      <c r="O2299" s="7"/>
      <c r="P2299" s="7"/>
      <c r="Q2299" s="7"/>
      <c r="R2299" s="7"/>
    </row>
    <row r="2300" spans="3:18">
      <c r="C2300" s="7"/>
      <c r="D2300" s="7"/>
      <c r="E2300" s="7"/>
      <c r="F2300" s="7"/>
      <c r="G2300" s="7"/>
      <c r="H2300" s="7"/>
      <c r="I2300" s="7"/>
      <c r="J2300" s="7"/>
      <c r="K2300" s="7"/>
      <c r="L2300" s="27"/>
      <c r="N2300" s="8"/>
      <c r="O2300" s="7"/>
      <c r="P2300" s="7"/>
      <c r="Q2300" s="7"/>
      <c r="R2300" s="7"/>
    </row>
    <row r="2301" spans="3:18">
      <c r="C2301" s="7"/>
      <c r="D2301" s="7"/>
      <c r="E2301" s="7"/>
      <c r="F2301" s="7"/>
      <c r="G2301" s="7"/>
      <c r="H2301" s="7"/>
      <c r="I2301" s="7"/>
      <c r="J2301" s="7"/>
      <c r="K2301" s="7"/>
      <c r="L2301" s="27"/>
      <c r="N2301" s="8"/>
      <c r="O2301" s="7"/>
      <c r="P2301" s="7"/>
      <c r="Q2301" s="7"/>
      <c r="R2301" s="7"/>
    </row>
    <row r="2302" spans="3:18">
      <c r="C2302" s="7"/>
      <c r="D2302" s="7"/>
      <c r="E2302" s="7"/>
      <c r="F2302" s="7"/>
      <c r="G2302" s="7"/>
      <c r="H2302" s="7"/>
      <c r="I2302" s="7"/>
      <c r="J2302" s="7"/>
      <c r="K2302" s="7"/>
      <c r="L2302" s="27"/>
      <c r="N2302" s="8"/>
      <c r="O2302" s="7"/>
      <c r="P2302" s="7"/>
      <c r="Q2302" s="7"/>
      <c r="R2302" s="7"/>
    </row>
    <row r="2303" spans="3:18">
      <c r="C2303" s="7"/>
      <c r="D2303" s="7"/>
      <c r="E2303" s="7"/>
      <c r="F2303" s="7"/>
      <c r="G2303" s="7"/>
      <c r="H2303" s="7"/>
      <c r="I2303" s="7"/>
      <c r="J2303" s="7"/>
      <c r="K2303" s="7"/>
      <c r="L2303" s="27"/>
      <c r="N2303" s="8"/>
      <c r="O2303" s="7"/>
      <c r="P2303" s="7"/>
      <c r="Q2303" s="7"/>
      <c r="R2303" s="7"/>
    </row>
    <row r="2304" spans="3:18">
      <c r="C2304" s="7"/>
      <c r="D2304" s="7"/>
      <c r="E2304" s="7"/>
      <c r="F2304" s="7"/>
      <c r="G2304" s="7"/>
      <c r="H2304" s="7"/>
      <c r="I2304" s="7"/>
      <c r="J2304" s="7"/>
      <c r="K2304" s="7"/>
      <c r="L2304" s="27"/>
      <c r="N2304" s="8"/>
      <c r="O2304" s="7"/>
      <c r="P2304" s="7"/>
      <c r="Q2304" s="7"/>
      <c r="R2304" s="7"/>
    </row>
    <row r="2305" spans="3:18">
      <c r="C2305" s="7"/>
      <c r="D2305" s="7"/>
      <c r="E2305" s="7"/>
      <c r="F2305" s="7"/>
      <c r="G2305" s="7"/>
      <c r="H2305" s="7"/>
      <c r="I2305" s="7"/>
      <c r="J2305" s="7"/>
      <c r="K2305" s="7"/>
      <c r="L2305" s="27"/>
      <c r="N2305" s="8"/>
      <c r="O2305" s="7"/>
      <c r="P2305" s="7"/>
      <c r="Q2305" s="7"/>
      <c r="R2305" s="7"/>
    </row>
    <row r="2306" spans="3:18">
      <c r="C2306" s="7"/>
      <c r="D2306" s="7"/>
      <c r="E2306" s="7"/>
      <c r="F2306" s="7"/>
      <c r="G2306" s="7"/>
      <c r="H2306" s="7"/>
      <c r="I2306" s="7"/>
      <c r="J2306" s="7"/>
      <c r="K2306" s="7"/>
      <c r="L2306" s="27"/>
      <c r="N2306" s="8"/>
      <c r="O2306" s="7"/>
      <c r="P2306" s="7"/>
      <c r="Q2306" s="7"/>
      <c r="R2306" s="7"/>
    </row>
    <row r="2307" spans="3:18">
      <c r="C2307" s="7"/>
      <c r="D2307" s="7"/>
      <c r="E2307" s="7"/>
      <c r="F2307" s="7"/>
      <c r="G2307" s="7"/>
      <c r="H2307" s="7"/>
      <c r="I2307" s="7"/>
      <c r="J2307" s="7"/>
      <c r="K2307" s="7"/>
      <c r="L2307" s="27"/>
      <c r="N2307" s="8"/>
      <c r="O2307" s="7"/>
      <c r="P2307" s="7"/>
      <c r="Q2307" s="7"/>
      <c r="R2307" s="7"/>
    </row>
    <row r="2308" spans="3:18">
      <c r="C2308" s="7"/>
      <c r="D2308" s="7"/>
      <c r="E2308" s="7"/>
      <c r="F2308" s="7"/>
      <c r="G2308" s="7"/>
      <c r="H2308" s="7"/>
      <c r="I2308" s="7"/>
      <c r="J2308" s="7"/>
      <c r="K2308" s="7"/>
      <c r="L2308" s="27"/>
      <c r="N2308" s="8"/>
      <c r="O2308" s="7"/>
      <c r="P2308" s="7"/>
      <c r="Q2308" s="7"/>
      <c r="R2308" s="7"/>
    </row>
    <row r="2309" spans="3:18">
      <c r="C2309" s="7"/>
      <c r="D2309" s="7"/>
      <c r="E2309" s="7"/>
      <c r="F2309" s="7"/>
      <c r="G2309" s="7"/>
      <c r="H2309" s="7"/>
      <c r="I2309" s="7"/>
      <c r="J2309" s="7"/>
      <c r="K2309" s="7"/>
      <c r="L2309" s="27"/>
      <c r="N2309" s="8"/>
      <c r="O2309" s="7"/>
      <c r="P2309" s="7"/>
      <c r="Q2309" s="7"/>
      <c r="R2309" s="7"/>
    </row>
    <row r="2310" spans="3:18">
      <c r="C2310" s="7"/>
      <c r="D2310" s="7"/>
      <c r="E2310" s="7"/>
      <c r="F2310" s="7"/>
      <c r="G2310" s="7"/>
      <c r="H2310" s="7"/>
      <c r="I2310" s="7"/>
      <c r="J2310" s="7"/>
      <c r="K2310" s="7"/>
      <c r="L2310" s="27"/>
      <c r="N2310" s="8"/>
      <c r="O2310" s="7"/>
      <c r="P2310" s="7"/>
      <c r="Q2310" s="7"/>
      <c r="R2310" s="7"/>
    </row>
    <row r="2311" spans="3:18">
      <c r="C2311" s="7"/>
      <c r="D2311" s="7"/>
      <c r="E2311" s="7"/>
      <c r="F2311" s="7"/>
      <c r="G2311" s="7"/>
      <c r="H2311" s="7"/>
      <c r="I2311" s="7"/>
      <c r="J2311" s="7"/>
      <c r="K2311" s="7"/>
      <c r="L2311" s="27"/>
      <c r="N2311" s="8"/>
      <c r="O2311" s="7"/>
      <c r="P2311" s="7"/>
      <c r="Q2311" s="7"/>
      <c r="R2311" s="7"/>
    </row>
    <row r="2312" spans="3:18">
      <c r="C2312" s="7"/>
      <c r="D2312" s="7"/>
      <c r="E2312" s="7"/>
      <c r="F2312" s="7"/>
      <c r="G2312" s="7"/>
      <c r="H2312" s="7"/>
      <c r="I2312" s="7"/>
      <c r="J2312" s="7"/>
      <c r="K2312" s="7"/>
      <c r="L2312" s="27"/>
      <c r="N2312" s="8"/>
      <c r="O2312" s="7"/>
      <c r="P2312" s="7"/>
      <c r="Q2312" s="7"/>
      <c r="R2312" s="7"/>
    </row>
    <row r="2313" spans="3:18">
      <c r="C2313" s="7"/>
      <c r="D2313" s="7"/>
      <c r="E2313" s="7"/>
      <c r="F2313" s="7"/>
      <c r="G2313" s="7"/>
      <c r="H2313" s="7"/>
      <c r="I2313" s="7"/>
      <c r="J2313" s="7"/>
      <c r="K2313" s="7"/>
      <c r="L2313" s="27"/>
      <c r="N2313" s="8"/>
      <c r="O2313" s="7"/>
      <c r="P2313" s="7"/>
      <c r="Q2313" s="7"/>
      <c r="R2313" s="7"/>
    </row>
    <row r="2314" spans="3:18">
      <c r="C2314" s="7"/>
      <c r="D2314" s="7"/>
      <c r="E2314" s="7"/>
      <c r="F2314" s="7"/>
      <c r="G2314" s="7"/>
      <c r="H2314" s="7"/>
      <c r="I2314" s="7"/>
      <c r="J2314" s="7"/>
      <c r="K2314" s="7"/>
      <c r="L2314" s="27"/>
      <c r="N2314" s="8"/>
      <c r="O2314" s="7"/>
      <c r="P2314" s="7"/>
      <c r="Q2314" s="7"/>
      <c r="R2314" s="7"/>
    </row>
    <row r="2315" spans="3:18">
      <c r="C2315" s="7"/>
      <c r="D2315" s="7"/>
      <c r="E2315" s="7"/>
      <c r="F2315" s="7"/>
      <c r="G2315" s="7"/>
      <c r="H2315" s="7"/>
      <c r="I2315" s="7"/>
      <c r="J2315" s="7"/>
      <c r="K2315" s="7"/>
      <c r="L2315" s="27"/>
      <c r="N2315" s="8"/>
      <c r="O2315" s="7"/>
      <c r="P2315" s="7"/>
      <c r="Q2315" s="7"/>
      <c r="R2315" s="7"/>
    </row>
    <row r="2316" spans="3:18">
      <c r="C2316" s="7"/>
      <c r="D2316" s="7"/>
      <c r="E2316" s="7"/>
      <c r="F2316" s="7"/>
      <c r="G2316" s="7"/>
      <c r="H2316" s="7"/>
      <c r="I2316" s="7"/>
      <c r="J2316" s="7"/>
      <c r="K2316" s="7"/>
      <c r="L2316" s="27"/>
      <c r="N2316" s="8"/>
      <c r="O2316" s="7"/>
      <c r="P2316" s="7"/>
      <c r="Q2316" s="7"/>
      <c r="R2316" s="7"/>
    </row>
    <row r="2317" spans="3:18">
      <c r="C2317" s="7"/>
      <c r="D2317" s="7"/>
      <c r="E2317" s="7"/>
      <c r="F2317" s="7"/>
      <c r="G2317" s="7"/>
      <c r="H2317" s="7"/>
      <c r="I2317" s="7"/>
      <c r="J2317" s="7"/>
      <c r="K2317" s="7"/>
      <c r="L2317" s="27"/>
      <c r="N2317" s="8"/>
      <c r="O2317" s="7"/>
      <c r="P2317" s="7"/>
      <c r="Q2317" s="7"/>
      <c r="R2317" s="7"/>
    </row>
    <row r="2318" spans="3:18">
      <c r="C2318" s="7"/>
      <c r="D2318" s="7"/>
      <c r="E2318" s="7"/>
      <c r="F2318" s="7"/>
      <c r="G2318" s="7"/>
      <c r="H2318" s="7"/>
      <c r="I2318" s="7"/>
      <c r="J2318" s="7"/>
      <c r="K2318" s="7"/>
      <c r="L2318" s="27"/>
      <c r="N2318" s="8"/>
      <c r="O2318" s="7"/>
      <c r="P2318" s="7"/>
      <c r="Q2318" s="7"/>
      <c r="R2318" s="7"/>
    </row>
    <row r="2319" spans="3:18">
      <c r="C2319" s="7"/>
      <c r="D2319" s="7"/>
      <c r="E2319" s="7"/>
      <c r="F2319" s="7"/>
      <c r="G2319" s="7"/>
      <c r="H2319" s="7"/>
      <c r="I2319" s="7"/>
      <c r="J2319" s="7"/>
      <c r="K2319" s="7"/>
      <c r="L2319" s="27"/>
      <c r="N2319" s="8"/>
      <c r="O2319" s="7"/>
      <c r="P2319" s="7"/>
      <c r="Q2319" s="7"/>
      <c r="R2319" s="7"/>
    </row>
    <row r="2320" spans="3:18">
      <c r="C2320" s="7"/>
      <c r="D2320" s="7"/>
      <c r="E2320" s="7"/>
      <c r="F2320" s="7"/>
      <c r="G2320" s="7"/>
      <c r="H2320" s="7"/>
      <c r="I2320" s="7"/>
      <c r="J2320" s="7"/>
      <c r="K2320" s="7"/>
      <c r="L2320" s="27"/>
      <c r="N2320" s="8"/>
      <c r="O2320" s="7"/>
      <c r="P2320" s="7"/>
      <c r="Q2320" s="7"/>
      <c r="R2320" s="7"/>
    </row>
    <row r="2321" spans="3:18">
      <c r="C2321" s="7"/>
      <c r="D2321" s="7"/>
      <c r="E2321" s="7"/>
      <c r="F2321" s="7"/>
      <c r="G2321" s="7"/>
      <c r="H2321" s="7"/>
      <c r="I2321" s="7"/>
      <c r="J2321" s="7"/>
      <c r="K2321" s="7"/>
      <c r="L2321" s="27"/>
      <c r="N2321" s="8"/>
      <c r="O2321" s="7"/>
      <c r="P2321" s="7"/>
      <c r="Q2321" s="7"/>
      <c r="R2321" s="7"/>
    </row>
    <row r="2322" spans="3:18">
      <c r="C2322" s="7"/>
      <c r="D2322" s="7"/>
      <c r="E2322" s="7"/>
      <c r="F2322" s="7"/>
      <c r="G2322" s="7"/>
      <c r="H2322" s="7"/>
      <c r="I2322" s="7"/>
      <c r="J2322" s="7"/>
      <c r="K2322" s="7"/>
      <c r="L2322" s="27"/>
      <c r="N2322" s="8"/>
      <c r="O2322" s="7"/>
      <c r="P2322" s="7"/>
      <c r="Q2322" s="7"/>
      <c r="R2322" s="7"/>
    </row>
    <row r="2323" spans="3:18">
      <c r="C2323" s="7"/>
      <c r="D2323" s="7"/>
      <c r="E2323" s="7"/>
      <c r="F2323" s="7"/>
      <c r="G2323" s="7"/>
      <c r="H2323" s="7"/>
      <c r="I2323" s="7"/>
      <c r="J2323" s="7"/>
      <c r="K2323" s="7"/>
      <c r="L2323" s="27"/>
      <c r="N2323" s="8"/>
      <c r="O2323" s="7"/>
      <c r="P2323" s="7"/>
      <c r="Q2323" s="7"/>
      <c r="R2323" s="7"/>
    </row>
    <row r="2324" spans="3:18">
      <c r="C2324" s="7"/>
      <c r="D2324" s="7"/>
      <c r="E2324" s="7"/>
      <c r="F2324" s="7"/>
      <c r="G2324" s="7"/>
      <c r="H2324" s="7"/>
      <c r="I2324" s="7"/>
      <c r="J2324" s="7"/>
      <c r="K2324" s="7"/>
      <c r="L2324" s="27"/>
      <c r="N2324" s="8"/>
      <c r="O2324" s="7"/>
      <c r="P2324" s="7"/>
      <c r="Q2324" s="7"/>
      <c r="R2324" s="7"/>
    </row>
    <row r="2325" spans="3:18">
      <c r="C2325" s="7"/>
      <c r="D2325" s="7"/>
      <c r="E2325" s="7"/>
      <c r="F2325" s="7"/>
      <c r="G2325" s="7"/>
      <c r="H2325" s="7"/>
      <c r="I2325" s="7"/>
      <c r="J2325" s="7"/>
      <c r="K2325" s="7"/>
      <c r="L2325" s="27"/>
      <c r="N2325" s="8"/>
      <c r="O2325" s="7"/>
      <c r="P2325" s="7"/>
      <c r="Q2325" s="7"/>
      <c r="R2325" s="7"/>
    </row>
    <row r="2326" spans="3:18">
      <c r="C2326" s="7"/>
      <c r="D2326" s="7"/>
      <c r="E2326" s="7"/>
      <c r="F2326" s="7"/>
      <c r="G2326" s="7"/>
      <c r="H2326" s="7"/>
      <c r="I2326" s="7"/>
      <c r="J2326" s="7"/>
      <c r="K2326" s="7"/>
      <c r="L2326" s="27"/>
      <c r="N2326" s="8"/>
      <c r="O2326" s="7"/>
      <c r="P2326" s="7"/>
      <c r="Q2326" s="7"/>
      <c r="R2326" s="7"/>
    </row>
    <row r="2327" spans="3:18">
      <c r="C2327" s="7"/>
      <c r="D2327" s="7"/>
      <c r="E2327" s="7"/>
      <c r="F2327" s="7"/>
      <c r="G2327" s="7"/>
      <c r="H2327" s="7"/>
      <c r="I2327" s="7"/>
      <c r="J2327" s="7"/>
      <c r="K2327" s="7"/>
      <c r="L2327" s="27"/>
      <c r="N2327" s="8"/>
      <c r="O2327" s="7"/>
      <c r="P2327" s="7"/>
      <c r="Q2327" s="7"/>
      <c r="R2327" s="7"/>
    </row>
    <row r="2328" spans="3:18">
      <c r="C2328" s="7"/>
      <c r="D2328" s="7"/>
      <c r="E2328" s="7"/>
      <c r="F2328" s="7"/>
      <c r="G2328" s="7"/>
      <c r="H2328" s="7"/>
      <c r="I2328" s="7"/>
      <c r="J2328" s="7"/>
      <c r="K2328" s="7"/>
      <c r="L2328" s="27"/>
      <c r="N2328" s="8"/>
      <c r="O2328" s="7"/>
      <c r="P2328" s="7"/>
      <c r="Q2328" s="7"/>
      <c r="R2328" s="7"/>
    </row>
    <row r="2329" spans="3:18">
      <c r="C2329" s="7"/>
      <c r="D2329" s="7"/>
      <c r="E2329" s="7"/>
      <c r="F2329" s="7"/>
      <c r="G2329" s="7"/>
      <c r="H2329" s="7"/>
      <c r="I2329" s="7"/>
      <c r="J2329" s="7"/>
      <c r="K2329" s="7"/>
      <c r="L2329" s="27"/>
      <c r="N2329" s="8"/>
      <c r="O2329" s="7"/>
      <c r="P2329" s="7"/>
      <c r="Q2329" s="7"/>
      <c r="R2329" s="7"/>
    </row>
    <row r="2330" spans="3:18">
      <c r="C2330" s="7"/>
      <c r="D2330" s="7"/>
      <c r="E2330" s="7"/>
      <c r="F2330" s="7"/>
      <c r="G2330" s="7"/>
      <c r="H2330" s="7"/>
      <c r="I2330" s="7"/>
      <c r="J2330" s="7"/>
      <c r="K2330" s="7"/>
      <c r="L2330" s="27"/>
      <c r="N2330" s="8"/>
      <c r="O2330" s="7"/>
      <c r="P2330" s="7"/>
      <c r="Q2330" s="7"/>
      <c r="R2330" s="7"/>
    </row>
    <row r="2331" spans="3:18">
      <c r="C2331" s="7"/>
      <c r="D2331" s="7"/>
      <c r="E2331" s="7"/>
      <c r="F2331" s="7"/>
      <c r="G2331" s="7"/>
      <c r="H2331" s="7"/>
      <c r="I2331" s="7"/>
      <c r="J2331" s="7"/>
      <c r="K2331" s="7"/>
      <c r="L2331" s="27"/>
      <c r="N2331" s="8"/>
      <c r="O2331" s="7"/>
      <c r="P2331" s="7"/>
      <c r="Q2331" s="7"/>
      <c r="R2331" s="7"/>
    </row>
    <row r="2332" spans="3:18">
      <c r="C2332" s="7"/>
      <c r="D2332" s="7"/>
      <c r="E2332" s="7"/>
      <c r="F2332" s="7"/>
      <c r="G2332" s="7"/>
      <c r="H2332" s="7"/>
      <c r="I2332" s="7"/>
      <c r="J2332" s="7"/>
      <c r="K2332" s="7"/>
      <c r="L2332" s="27"/>
      <c r="N2332" s="8"/>
      <c r="O2332" s="7"/>
      <c r="P2332" s="7"/>
      <c r="Q2332" s="7"/>
      <c r="R2332" s="7"/>
    </row>
    <row r="2333" spans="3:18">
      <c r="C2333" s="7"/>
      <c r="D2333" s="7"/>
      <c r="E2333" s="7"/>
      <c r="F2333" s="7"/>
      <c r="G2333" s="7"/>
      <c r="H2333" s="7"/>
      <c r="I2333" s="7"/>
      <c r="J2333" s="7"/>
      <c r="K2333" s="7"/>
      <c r="L2333" s="27"/>
      <c r="N2333" s="8"/>
      <c r="O2333" s="7"/>
      <c r="P2333" s="7"/>
      <c r="Q2333" s="7"/>
      <c r="R2333" s="7"/>
    </row>
    <row r="2334" spans="3:18">
      <c r="C2334" s="7"/>
      <c r="D2334" s="7"/>
      <c r="E2334" s="7"/>
      <c r="F2334" s="7"/>
      <c r="G2334" s="7"/>
      <c r="H2334" s="7"/>
      <c r="I2334" s="7"/>
      <c r="J2334" s="7"/>
      <c r="K2334" s="7"/>
      <c r="L2334" s="27"/>
      <c r="N2334" s="8"/>
      <c r="O2334" s="7"/>
      <c r="P2334" s="7"/>
      <c r="Q2334" s="7"/>
      <c r="R2334" s="7"/>
    </row>
    <row r="2335" spans="3:18">
      <c r="C2335" s="7"/>
      <c r="D2335" s="7"/>
      <c r="E2335" s="7"/>
      <c r="F2335" s="7"/>
      <c r="G2335" s="7"/>
      <c r="H2335" s="7"/>
      <c r="I2335" s="7"/>
      <c r="J2335" s="7"/>
      <c r="K2335" s="7"/>
      <c r="L2335" s="27"/>
      <c r="N2335" s="8"/>
      <c r="O2335" s="7"/>
      <c r="P2335" s="7"/>
      <c r="Q2335" s="7"/>
      <c r="R2335" s="7"/>
    </row>
    <row r="2336" spans="3:18">
      <c r="C2336" s="7"/>
      <c r="D2336" s="7"/>
      <c r="E2336" s="7"/>
      <c r="F2336" s="7"/>
      <c r="G2336" s="7"/>
      <c r="H2336" s="7"/>
      <c r="I2336" s="7"/>
      <c r="J2336" s="7"/>
      <c r="K2336" s="7"/>
      <c r="L2336" s="27"/>
      <c r="N2336" s="8"/>
      <c r="O2336" s="7"/>
      <c r="P2336" s="7"/>
      <c r="Q2336" s="7"/>
      <c r="R2336" s="7"/>
    </row>
    <row r="2337" spans="3:18">
      <c r="C2337" s="7"/>
      <c r="D2337" s="7"/>
      <c r="E2337" s="7"/>
      <c r="F2337" s="7"/>
      <c r="G2337" s="7"/>
      <c r="H2337" s="7"/>
      <c r="I2337" s="7"/>
      <c r="J2337" s="7"/>
      <c r="K2337" s="7"/>
      <c r="L2337" s="27"/>
      <c r="N2337" s="8"/>
      <c r="O2337" s="7"/>
      <c r="P2337" s="7"/>
      <c r="Q2337" s="7"/>
      <c r="R2337" s="7"/>
    </row>
    <row r="2338" spans="3:18">
      <c r="C2338" s="7"/>
      <c r="D2338" s="7"/>
      <c r="E2338" s="7"/>
      <c r="F2338" s="7"/>
      <c r="G2338" s="7"/>
      <c r="H2338" s="7"/>
      <c r="I2338" s="7"/>
      <c r="J2338" s="7"/>
      <c r="K2338" s="7"/>
      <c r="L2338" s="27"/>
      <c r="N2338" s="8"/>
      <c r="O2338" s="7"/>
      <c r="P2338" s="7"/>
      <c r="Q2338" s="7"/>
      <c r="R2338" s="7"/>
    </row>
    <row r="2339" spans="3:18">
      <c r="C2339" s="7"/>
      <c r="D2339" s="7"/>
      <c r="E2339" s="7"/>
      <c r="F2339" s="7"/>
      <c r="G2339" s="7"/>
      <c r="H2339" s="7"/>
      <c r="I2339" s="7"/>
      <c r="J2339" s="7"/>
      <c r="K2339" s="7"/>
      <c r="L2339" s="27"/>
      <c r="N2339" s="8"/>
      <c r="O2339" s="7"/>
      <c r="P2339" s="7"/>
      <c r="Q2339" s="7"/>
      <c r="R2339" s="7"/>
    </row>
    <row r="2340" spans="3:18">
      <c r="C2340" s="7"/>
      <c r="D2340" s="7"/>
      <c r="E2340" s="7"/>
      <c r="F2340" s="7"/>
      <c r="G2340" s="7"/>
      <c r="H2340" s="7"/>
      <c r="I2340" s="7"/>
      <c r="J2340" s="7"/>
      <c r="K2340" s="7"/>
      <c r="L2340" s="27"/>
      <c r="N2340" s="8"/>
      <c r="O2340" s="7"/>
      <c r="P2340" s="7"/>
      <c r="Q2340" s="7"/>
      <c r="R2340" s="7"/>
    </row>
    <row r="2341" spans="3:18">
      <c r="C2341" s="7"/>
      <c r="D2341" s="7"/>
      <c r="E2341" s="7"/>
      <c r="F2341" s="7"/>
      <c r="G2341" s="7"/>
      <c r="H2341" s="7"/>
      <c r="I2341" s="7"/>
      <c r="J2341" s="7"/>
      <c r="K2341" s="7"/>
      <c r="L2341" s="27"/>
      <c r="N2341" s="8"/>
      <c r="O2341" s="7"/>
      <c r="P2341" s="7"/>
      <c r="Q2341" s="7"/>
      <c r="R2341" s="7"/>
    </row>
    <row r="2342" spans="3:18">
      <c r="C2342" s="7"/>
      <c r="D2342" s="7"/>
      <c r="E2342" s="7"/>
      <c r="F2342" s="7"/>
      <c r="G2342" s="7"/>
      <c r="H2342" s="7"/>
      <c r="I2342" s="7"/>
      <c r="J2342" s="7"/>
      <c r="K2342" s="7"/>
      <c r="L2342" s="27"/>
      <c r="N2342" s="8"/>
      <c r="O2342" s="7"/>
      <c r="P2342" s="7"/>
      <c r="Q2342" s="7"/>
      <c r="R2342" s="7"/>
    </row>
    <row r="2343" spans="3:18">
      <c r="C2343" s="7"/>
      <c r="D2343" s="7"/>
      <c r="E2343" s="7"/>
      <c r="F2343" s="7"/>
      <c r="G2343" s="7"/>
      <c r="H2343" s="7"/>
      <c r="I2343" s="7"/>
      <c r="J2343" s="7"/>
      <c r="K2343" s="7"/>
      <c r="L2343" s="27"/>
      <c r="N2343" s="8"/>
      <c r="O2343" s="7"/>
      <c r="P2343" s="7"/>
      <c r="Q2343" s="7"/>
      <c r="R2343" s="7"/>
    </row>
    <row r="2344" spans="3:18">
      <c r="C2344" s="7"/>
      <c r="D2344" s="7"/>
      <c r="E2344" s="7"/>
      <c r="F2344" s="7"/>
      <c r="G2344" s="7"/>
      <c r="H2344" s="7"/>
      <c r="I2344" s="7"/>
      <c r="J2344" s="7"/>
      <c r="K2344" s="7"/>
      <c r="L2344" s="27"/>
      <c r="N2344" s="8"/>
      <c r="O2344" s="7"/>
      <c r="P2344" s="7"/>
      <c r="Q2344" s="7"/>
      <c r="R2344" s="7"/>
    </row>
    <row r="2345" spans="3:18">
      <c r="C2345" s="7"/>
      <c r="D2345" s="7"/>
      <c r="E2345" s="7"/>
      <c r="F2345" s="7"/>
      <c r="G2345" s="7"/>
      <c r="H2345" s="7"/>
      <c r="I2345" s="7"/>
      <c r="J2345" s="7"/>
      <c r="K2345" s="7"/>
      <c r="L2345" s="27"/>
      <c r="N2345" s="8"/>
      <c r="O2345" s="7"/>
      <c r="P2345" s="7"/>
      <c r="Q2345" s="7"/>
      <c r="R2345" s="7"/>
    </row>
    <row r="2346" spans="3:18">
      <c r="C2346" s="7"/>
      <c r="D2346" s="7"/>
      <c r="E2346" s="7"/>
      <c r="F2346" s="7"/>
      <c r="G2346" s="7"/>
      <c r="H2346" s="7"/>
      <c r="I2346" s="7"/>
      <c r="J2346" s="7"/>
      <c r="K2346" s="7"/>
      <c r="L2346" s="27"/>
      <c r="N2346" s="8"/>
      <c r="O2346" s="7"/>
      <c r="P2346" s="7"/>
      <c r="Q2346" s="7"/>
      <c r="R2346" s="7"/>
    </row>
    <row r="2347" spans="3:18">
      <c r="C2347" s="7"/>
      <c r="D2347" s="7"/>
      <c r="E2347" s="7"/>
      <c r="F2347" s="7"/>
      <c r="G2347" s="7"/>
      <c r="H2347" s="7"/>
      <c r="I2347" s="7"/>
      <c r="J2347" s="7"/>
      <c r="K2347" s="7"/>
      <c r="L2347" s="27"/>
      <c r="N2347" s="8"/>
      <c r="O2347" s="7"/>
      <c r="P2347" s="7"/>
      <c r="Q2347" s="7"/>
      <c r="R2347" s="7"/>
    </row>
    <row r="2348" spans="3:18">
      <c r="C2348" s="7"/>
      <c r="D2348" s="7"/>
      <c r="E2348" s="7"/>
      <c r="F2348" s="7"/>
      <c r="G2348" s="7"/>
      <c r="H2348" s="7"/>
      <c r="I2348" s="7"/>
      <c r="J2348" s="7"/>
      <c r="K2348" s="7"/>
      <c r="L2348" s="27"/>
      <c r="N2348" s="8"/>
      <c r="O2348" s="7"/>
      <c r="P2348" s="7"/>
      <c r="Q2348" s="7"/>
      <c r="R2348" s="7"/>
    </row>
    <row r="2349" spans="3:18">
      <c r="C2349" s="7"/>
      <c r="D2349" s="7"/>
      <c r="E2349" s="7"/>
      <c r="F2349" s="7"/>
      <c r="G2349" s="7"/>
      <c r="H2349" s="7"/>
      <c r="I2349" s="7"/>
      <c r="J2349" s="7"/>
      <c r="K2349" s="7"/>
      <c r="L2349" s="27"/>
      <c r="N2349" s="8"/>
      <c r="O2349" s="7"/>
      <c r="P2349" s="7"/>
      <c r="Q2349" s="7"/>
      <c r="R2349" s="7"/>
    </row>
    <row r="2350" spans="3:18">
      <c r="C2350" s="7"/>
      <c r="D2350" s="7"/>
      <c r="E2350" s="7"/>
      <c r="F2350" s="7"/>
      <c r="G2350" s="7"/>
      <c r="H2350" s="7"/>
      <c r="I2350" s="7"/>
      <c r="J2350" s="7"/>
      <c r="K2350" s="7"/>
      <c r="L2350" s="27"/>
      <c r="N2350" s="8"/>
      <c r="O2350" s="7"/>
      <c r="P2350" s="7"/>
      <c r="Q2350" s="7"/>
      <c r="R2350" s="7"/>
    </row>
    <row r="2351" spans="3:18">
      <c r="C2351" s="7"/>
      <c r="D2351" s="7"/>
      <c r="E2351" s="7"/>
      <c r="F2351" s="7"/>
      <c r="G2351" s="7"/>
      <c r="H2351" s="7"/>
      <c r="I2351" s="7"/>
      <c r="J2351" s="7"/>
      <c r="K2351" s="7"/>
      <c r="L2351" s="27"/>
      <c r="N2351" s="8"/>
      <c r="O2351" s="7"/>
      <c r="P2351" s="7"/>
      <c r="Q2351" s="7"/>
      <c r="R2351" s="7"/>
    </row>
    <row r="2352" spans="3:18">
      <c r="C2352" s="7"/>
      <c r="D2352" s="7"/>
      <c r="E2352" s="7"/>
      <c r="F2352" s="7"/>
      <c r="G2352" s="7"/>
      <c r="H2352" s="7"/>
      <c r="I2352" s="7"/>
      <c r="J2352" s="7"/>
      <c r="K2352" s="7"/>
      <c r="L2352" s="27"/>
      <c r="N2352" s="8"/>
      <c r="O2352" s="7"/>
      <c r="P2352" s="7"/>
      <c r="Q2352" s="7"/>
      <c r="R2352" s="7"/>
    </row>
    <row r="2353" spans="3:18">
      <c r="C2353" s="7"/>
      <c r="D2353" s="7"/>
      <c r="E2353" s="7"/>
      <c r="F2353" s="7"/>
      <c r="G2353" s="7"/>
      <c r="H2353" s="7"/>
      <c r="I2353" s="7"/>
      <c r="J2353" s="7"/>
      <c r="K2353" s="7"/>
      <c r="L2353" s="27"/>
      <c r="N2353" s="8"/>
      <c r="O2353" s="7"/>
      <c r="P2353" s="7"/>
      <c r="Q2353" s="7"/>
      <c r="R2353" s="7"/>
    </row>
    <row r="2354" spans="3:18">
      <c r="C2354" s="7"/>
      <c r="D2354" s="7"/>
      <c r="E2354" s="7"/>
      <c r="F2354" s="7"/>
      <c r="G2354" s="7"/>
      <c r="H2354" s="7"/>
      <c r="I2354" s="7"/>
      <c r="J2354" s="7"/>
      <c r="K2354" s="7"/>
      <c r="L2354" s="27"/>
      <c r="N2354" s="8"/>
      <c r="O2354" s="7"/>
      <c r="P2354" s="7"/>
      <c r="Q2354" s="7"/>
      <c r="R2354" s="7"/>
    </row>
    <row r="2355" spans="3:18">
      <c r="C2355" s="7"/>
      <c r="D2355" s="7"/>
      <c r="E2355" s="7"/>
      <c r="F2355" s="7"/>
      <c r="G2355" s="7"/>
      <c r="H2355" s="7"/>
      <c r="I2355" s="7"/>
      <c r="J2355" s="7"/>
      <c r="K2355" s="7"/>
      <c r="L2355" s="27"/>
      <c r="N2355" s="8"/>
      <c r="O2355" s="7"/>
      <c r="P2355" s="7"/>
      <c r="Q2355" s="7"/>
      <c r="R2355" s="7"/>
    </row>
    <row r="2356" spans="3:18">
      <c r="C2356" s="7"/>
      <c r="D2356" s="7"/>
      <c r="E2356" s="7"/>
      <c r="F2356" s="7"/>
      <c r="G2356" s="7"/>
      <c r="H2356" s="7"/>
      <c r="I2356" s="7"/>
      <c r="J2356" s="7"/>
      <c r="K2356" s="7"/>
      <c r="L2356" s="27"/>
      <c r="N2356" s="8"/>
      <c r="O2356" s="7"/>
      <c r="P2356" s="7"/>
      <c r="Q2356" s="7"/>
      <c r="R2356" s="7"/>
    </row>
    <row r="2357" spans="3:18">
      <c r="C2357" s="7"/>
      <c r="D2357" s="7"/>
      <c r="E2357" s="7"/>
      <c r="F2357" s="7"/>
      <c r="G2357" s="7"/>
      <c r="H2357" s="7"/>
      <c r="I2357" s="7"/>
      <c r="J2357" s="7"/>
      <c r="K2357" s="7"/>
      <c r="L2357" s="27"/>
      <c r="N2357" s="8"/>
      <c r="O2357" s="7"/>
      <c r="P2357" s="7"/>
      <c r="Q2357" s="7"/>
      <c r="R2357" s="7"/>
    </row>
    <row r="2358" spans="3:18">
      <c r="C2358" s="7"/>
      <c r="D2358" s="7"/>
      <c r="E2358" s="7"/>
      <c r="F2358" s="7"/>
      <c r="G2358" s="7"/>
      <c r="H2358" s="7"/>
      <c r="I2358" s="7"/>
      <c r="J2358" s="7"/>
      <c r="K2358" s="7"/>
      <c r="L2358" s="27"/>
      <c r="N2358" s="8"/>
      <c r="O2358" s="7"/>
      <c r="P2358" s="7"/>
      <c r="Q2358" s="7"/>
      <c r="R2358" s="7"/>
    </row>
    <row r="2359" spans="3:18">
      <c r="C2359" s="7"/>
      <c r="D2359" s="7"/>
      <c r="E2359" s="7"/>
      <c r="F2359" s="7"/>
      <c r="G2359" s="7"/>
      <c r="H2359" s="7"/>
      <c r="I2359" s="7"/>
      <c r="J2359" s="7"/>
      <c r="K2359" s="7"/>
      <c r="L2359" s="27"/>
      <c r="N2359" s="8"/>
      <c r="O2359" s="7"/>
      <c r="P2359" s="7"/>
      <c r="Q2359" s="7"/>
      <c r="R2359" s="7"/>
    </row>
    <row r="2360" spans="3:18">
      <c r="C2360" s="7"/>
      <c r="D2360" s="7"/>
      <c r="E2360" s="7"/>
      <c r="F2360" s="7"/>
      <c r="G2360" s="7"/>
      <c r="H2360" s="7"/>
      <c r="I2360" s="7"/>
      <c r="J2360" s="7"/>
      <c r="K2360" s="7"/>
      <c r="L2360" s="27"/>
      <c r="N2360" s="8"/>
      <c r="O2360" s="7"/>
      <c r="P2360" s="7"/>
      <c r="Q2360" s="7"/>
      <c r="R2360" s="7"/>
    </row>
    <row r="2361" spans="3:18">
      <c r="C2361" s="7"/>
      <c r="D2361" s="7"/>
      <c r="E2361" s="7"/>
      <c r="F2361" s="7"/>
      <c r="G2361" s="7"/>
      <c r="H2361" s="7"/>
      <c r="I2361" s="7"/>
      <c r="J2361" s="7"/>
      <c r="K2361" s="7"/>
      <c r="L2361" s="27"/>
      <c r="N2361" s="8"/>
      <c r="O2361" s="7"/>
      <c r="P2361" s="7"/>
      <c r="Q2361" s="7"/>
      <c r="R2361" s="7"/>
    </row>
    <row r="2362" spans="3:18">
      <c r="C2362" s="7"/>
      <c r="D2362" s="7"/>
      <c r="E2362" s="7"/>
      <c r="F2362" s="7"/>
      <c r="G2362" s="7"/>
      <c r="H2362" s="7"/>
      <c r="I2362" s="7"/>
      <c r="J2362" s="7"/>
      <c r="K2362" s="7"/>
      <c r="L2362" s="27"/>
      <c r="N2362" s="8"/>
      <c r="O2362" s="7"/>
      <c r="P2362" s="7"/>
      <c r="Q2362" s="7"/>
      <c r="R2362" s="7"/>
    </row>
    <row r="2363" spans="3:18">
      <c r="C2363" s="7"/>
      <c r="D2363" s="7"/>
      <c r="E2363" s="7"/>
      <c r="F2363" s="7"/>
      <c r="G2363" s="7"/>
      <c r="H2363" s="7"/>
      <c r="I2363" s="7"/>
      <c r="J2363" s="7"/>
      <c r="K2363" s="7"/>
      <c r="L2363" s="27"/>
      <c r="N2363" s="8"/>
      <c r="O2363" s="7"/>
      <c r="P2363" s="7"/>
      <c r="Q2363" s="7"/>
      <c r="R2363" s="7"/>
    </row>
    <row r="2364" spans="3:18">
      <c r="C2364" s="7"/>
      <c r="D2364" s="7"/>
      <c r="E2364" s="7"/>
      <c r="F2364" s="7"/>
      <c r="G2364" s="7"/>
      <c r="H2364" s="7"/>
      <c r="I2364" s="7"/>
      <c r="J2364" s="7"/>
      <c r="K2364" s="7"/>
      <c r="L2364" s="27"/>
      <c r="N2364" s="8"/>
      <c r="O2364" s="7"/>
      <c r="P2364" s="7"/>
      <c r="Q2364" s="7"/>
      <c r="R2364" s="7"/>
    </row>
    <row r="2365" spans="3:18">
      <c r="C2365" s="7"/>
      <c r="D2365" s="7"/>
      <c r="E2365" s="7"/>
      <c r="F2365" s="7"/>
      <c r="G2365" s="7"/>
      <c r="H2365" s="7"/>
      <c r="I2365" s="7"/>
      <c r="J2365" s="7"/>
      <c r="K2365" s="7"/>
      <c r="L2365" s="27"/>
      <c r="N2365" s="8"/>
      <c r="O2365" s="7"/>
      <c r="P2365" s="7"/>
      <c r="Q2365" s="7"/>
      <c r="R2365" s="7"/>
    </row>
    <row r="2366" spans="3:18">
      <c r="C2366" s="7"/>
      <c r="D2366" s="7"/>
      <c r="E2366" s="7"/>
      <c r="F2366" s="7"/>
      <c r="G2366" s="7"/>
      <c r="H2366" s="7"/>
      <c r="I2366" s="7"/>
      <c r="J2366" s="7"/>
      <c r="K2366" s="7"/>
      <c r="L2366" s="27"/>
      <c r="N2366" s="8"/>
      <c r="O2366" s="7"/>
      <c r="P2366" s="7"/>
      <c r="Q2366" s="7"/>
      <c r="R2366" s="7"/>
    </row>
    <row r="2367" spans="3:18">
      <c r="C2367" s="7"/>
      <c r="D2367" s="7"/>
      <c r="E2367" s="7"/>
      <c r="F2367" s="7"/>
      <c r="G2367" s="7"/>
      <c r="H2367" s="7"/>
      <c r="I2367" s="7"/>
      <c r="J2367" s="7"/>
      <c r="K2367" s="7"/>
      <c r="L2367" s="27"/>
      <c r="N2367" s="8"/>
      <c r="O2367" s="7"/>
      <c r="P2367" s="7"/>
      <c r="Q2367" s="7"/>
      <c r="R2367" s="7"/>
    </row>
    <row r="2368" spans="3:18">
      <c r="C2368" s="7"/>
      <c r="D2368" s="7"/>
      <c r="E2368" s="7"/>
      <c r="F2368" s="7"/>
      <c r="G2368" s="7"/>
      <c r="H2368" s="7"/>
      <c r="I2368" s="7"/>
      <c r="J2368" s="7"/>
      <c r="K2368" s="7"/>
      <c r="L2368" s="27"/>
      <c r="N2368" s="8"/>
      <c r="O2368" s="7"/>
      <c r="P2368" s="7"/>
      <c r="Q2368" s="7"/>
      <c r="R2368" s="7"/>
    </row>
    <row r="2369" spans="3:18">
      <c r="C2369" s="7"/>
      <c r="D2369" s="7"/>
      <c r="E2369" s="7"/>
      <c r="F2369" s="7"/>
      <c r="G2369" s="7"/>
      <c r="H2369" s="7"/>
      <c r="I2369" s="7"/>
      <c r="J2369" s="7"/>
      <c r="K2369" s="7"/>
      <c r="L2369" s="27"/>
      <c r="N2369" s="8"/>
      <c r="O2369" s="7"/>
      <c r="P2369" s="7"/>
      <c r="Q2369" s="7"/>
      <c r="R2369" s="7"/>
    </row>
    <row r="2370" spans="3:18">
      <c r="C2370" s="7"/>
      <c r="D2370" s="7"/>
      <c r="E2370" s="7"/>
      <c r="F2370" s="7"/>
      <c r="G2370" s="7"/>
      <c r="H2370" s="7"/>
      <c r="I2370" s="7"/>
      <c r="J2370" s="7"/>
      <c r="K2370" s="7"/>
      <c r="L2370" s="27"/>
      <c r="N2370" s="8"/>
      <c r="O2370" s="7"/>
      <c r="P2370" s="7"/>
      <c r="Q2370" s="7"/>
      <c r="R2370" s="7"/>
    </row>
    <row r="2371" spans="3:18">
      <c r="C2371" s="7"/>
      <c r="D2371" s="7"/>
      <c r="E2371" s="7"/>
      <c r="F2371" s="7"/>
      <c r="G2371" s="7"/>
      <c r="H2371" s="7"/>
      <c r="I2371" s="7"/>
      <c r="J2371" s="7"/>
      <c r="K2371" s="7"/>
      <c r="L2371" s="27"/>
      <c r="N2371" s="8"/>
      <c r="O2371" s="7"/>
      <c r="P2371" s="7"/>
      <c r="Q2371" s="7"/>
      <c r="R2371" s="7"/>
    </row>
    <row r="2372" spans="3:18">
      <c r="C2372" s="7"/>
      <c r="D2372" s="7"/>
      <c r="E2372" s="7"/>
      <c r="F2372" s="7"/>
      <c r="G2372" s="7"/>
      <c r="H2372" s="7"/>
      <c r="I2372" s="7"/>
      <c r="J2372" s="7"/>
      <c r="K2372" s="7"/>
      <c r="L2372" s="27"/>
      <c r="N2372" s="8"/>
      <c r="O2372" s="7"/>
      <c r="P2372" s="7"/>
      <c r="Q2372" s="7"/>
      <c r="R2372" s="7"/>
    </row>
    <row r="2373" spans="3:18">
      <c r="C2373" s="7"/>
      <c r="D2373" s="7"/>
      <c r="E2373" s="7"/>
      <c r="F2373" s="7"/>
      <c r="G2373" s="7"/>
      <c r="H2373" s="7"/>
      <c r="I2373" s="7"/>
      <c r="J2373" s="7"/>
      <c r="K2373" s="7"/>
      <c r="L2373" s="27"/>
      <c r="N2373" s="8"/>
      <c r="O2373" s="7"/>
      <c r="P2373" s="7"/>
      <c r="Q2373" s="7"/>
      <c r="R2373" s="7"/>
    </row>
    <row r="2374" spans="3:18">
      <c r="C2374" s="7"/>
      <c r="D2374" s="7"/>
      <c r="E2374" s="7"/>
      <c r="F2374" s="7"/>
      <c r="G2374" s="7"/>
      <c r="H2374" s="7"/>
      <c r="I2374" s="7"/>
      <c r="J2374" s="7"/>
      <c r="K2374" s="7"/>
      <c r="L2374" s="27"/>
      <c r="N2374" s="8"/>
      <c r="O2374" s="7"/>
      <c r="P2374" s="7"/>
      <c r="Q2374" s="7"/>
      <c r="R2374" s="7"/>
    </row>
    <row r="2375" spans="3:18">
      <c r="C2375" s="7"/>
      <c r="D2375" s="7"/>
      <c r="E2375" s="7"/>
      <c r="F2375" s="7"/>
      <c r="G2375" s="7"/>
      <c r="H2375" s="7"/>
      <c r="I2375" s="7"/>
      <c r="J2375" s="7"/>
      <c r="K2375" s="7"/>
      <c r="L2375" s="27"/>
      <c r="N2375" s="8"/>
      <c r="O2375" s="7"/>
      <c r="P2375" s="7"/>
      <c r="Q2375" s="7"/>
      <c r="R2375" s="7"/>
    </row>
    <row r="2376" spans="3:18">
      <c r="C2376" s="7"/>
      <c r="D2376" s="7"/>
      <c r="E2376" s="7"/>
      <c r="F2376" s="7"/>
      <c r="G2376" s="7"/>
      <c r="H2376" s="7"/>
      <c r="I2376" s="7"/>
      <c r="J2376" s="7"/>
      <c r="K2376" s="7"/>
      <c r="L2376" s="27"/>
      <c r="N2376" s="8"/>
      <c r="O2376" s="7"/>
      <c r="P2376" s="7"/>
      <c r="Q2376" s="7"/>
      <c r="R2376" s="7"/>
    </row>
    <row r="2377" spans="3:18">
      <c r="C2377" s="7"/>
      <c r="D2377" s="7"/>
      <c r="E2377" s="7"/>
      <c r="F2377" s="7"/>
      <c r="G2377" s="7"/>
      <c r="H2377" s="7"/>
      <c r="I2377" s="7"/>
      <c r="J2377" s="7"/>
      <c r="K2377" s="7"/>
      <c r="L2377" s="27"/>
      <c r="N2377" s="8"/>
      <c r="O2377" s="7"/>
      <c r="P2377" s="7"/>
      <c r="Q2377" s="7"/>
      <c r="R2377" s="7"/>
    </row>
    <row r="2378" spans="3:18">
      <c r="C2378" s="7"/>
      <c r="D2378" s="7"/>
      <c r="E2378" s="7"/>
      <c r="F2378" s="7"/>
      <c r="G2378" s="7"/>
      <c r="H2378" s="7"/>
      <c r="I2378" s="7"/>
      <c r="J2378" s="7"/>
      <c r="K2378" s="7"/>
      <c r="L2378" s="27"/>
      <c r="N2378" s="8"/>
      <c r="O2378" s="7"/>
      <c r="P2378" s="7"/>
      <c r="Q2378" s="7"/>
      <c r="R2378" s="7"/>
    </row>
    <row r="2379" spans="3:18">
      <c r="C2379" s="7"/>
      <c r="D2379" s="7"/>
      <c r="E2379" s="7"/>
      <c r="F2379" s="7"/>
      <c r="G2379" s="7"/>
      <c r="H2379" s="7"/>
      <c r="I2379" s="7"/>
      <c r="J2379" s="7"/>
      <c r="K2379" s="7"/>
      <c r="L2379" s="27"/>
      <c r="N2379" s="8"/>
      <c r="O2379" s="7"/>
      <c r="P2379" s="7"/>
      <c r="Q2379" s="7"/>
      <c r="R2379" s="7"/>
    </row>
    <row r="2380" spans="3:18">
      <c r="C2380" s="7"/>
      <c r="D2380" s="7"/>
      <c r="E2380" s="7"/>
      <c r="F2380" s="7"/>
      <c r="G2380" s="7"/>
      <c r="H2380" s="7"/>
      <c r="I2380" s="7"/>
      <c r="J2380" s="7"/>
      <c r="K2380" s="7"/>
      <c r="L2380" s="27"/>
      <c r="N2380" s="8"/>
      <c r="O2380" s="7"/>
      <c r="P2380" s="7"/>
      <c r="Q2380" s="7"/>
      <c r="R2380" s="7"/>
    </row>
    <row r="2381" spans="3:18">
      <c r="C2381" s="7"/>
      <c r="D2381" s="7"/>
      <c r="E2381" s="7"/>
      <c r="F2381" s="7"/>
      <c r="G2381" s="7"/>
      <c r="H2381" s="7"/>
      <c r="I2381" s="7"/>
      <c r="J2381" s="7"/>
      <c r="K2381" s="7"/>
      <c r="L2381" s="27"/>
      <c r="N2381" s="8"/>
      <c r="O2381" s="7"/>
      <c r="P2381" s="7"/>
      <c r="Q2381" s="7"/>
      <c r="R2381" s="7"/>
    </row>
    <row r="2382" spans="3:18">
      <c r="C2382" s="7"/>
      <c r="D2382" s="7"/>
      <c r="E2382" s="7"/>
      <c r="F2382" s="7"/>
      <c r="G2382" s="7"/>
      <c r="H2382" s="7"/>
      <c r="I2382" s="7"/>
      <c r="J2382" s="7"/>
      <c r="K2382" s="7"/>
      <c r="L2382" s="27"/>
      <c r="N2382" s="8"/>
      <c r="O2382" s="7"/>
      <c r="P2382" s="7"/>
      <c r="Q2382" s="7"/>
      <c r="R2382" s="7"/>
    </row>
    <row r="2383" spans="3:18">
      <c r="C2383" s="7"/>
      <c r="D2383" s="7"/>
      <c r="E2383" s="7"/>
      <c r="F2383" s="7"/>
      <c r="G2383" s="7"/>
      <c r="H2383" s="7"/>
      <c r="I2383" s="7"/>
      <c r="J2383" s="7"/>
      <c r="K2383" s="7"/>
      <c r="L2383" s="27"/>
      <c r="N2383" s="8"/>
      <c r="O2383" s="7"/>
      <c r="P2383" s="7"/>
      <c r="Q2383" s="7"/>
      <c r="R2383" s="7"/>
    </row>
    <row r="2384" spans="3:18">
      <c r="C2384" s="7"/>
      <c r="D2384" s="7"/>
      <c r="E2384" s="7"/>
      <c r="F2384" s="7"/>
      <c r="G2384" s="7"/>
      <c r="H2384" s="7"/>
      <c r="I2384" s="7"/>
      <c r="J2384" s="7"/>
      <c r="K2384" s="7"/>
      <c r="L2384" s="27"/>
      <c r="N2384" s="8"/>
      <c r="O2384" s="7"/>
      <c r="P2384" s="7"/>
      <c r="Q2384" s="7"/>
      <c r="R2384" s="7"/>
    </row>
    <row r="2385" spans="3:18">
      <c r="C2385" s="7"/>
      <c r="D2385" s="7"/>
      <c r="E2385" s="7"/>
      <c r="F2385" s="7"/>
      <c r="G2385" s="7"/>
      <c r="H2385" s="7"/>
      <c r="I2385" s="7"/>
      <c r="J2385" s="7"/>
      <c r="K2385" s="7"/>
      <c r="L2385" s="27"/>
      <c r="N2385" s="8"/>
      <c r="O2385" s="7"/>
      <c r="P2385" s="7"/>
      <c r="Q2385" s="7"/>
      <c r="R2385" s="7"/>
    </row>
    <row r="2386" spans="3:18">
      <c r="C2386" s="7"/>
      <c r="D2386" s="7"/>
      <c r="E2386" s="7"/>
      <c r="F2386" s="7"/>
      <c r="G2386" s="7"/>
      <c r="H2386" s="7"/>
      <c r="I2386" s="7"/>
      <c r="J2386" s="7"/>
      <c r="K2386" s="7"/>
      <c r="L2386" s="27"/>
      <c r="N2386" s="8"/>
      <c r="O2386" s="7"/>
      <c r="P2386" s="7"/>
      <c r="Q2386" s="7"/>
      <c r="R2386" s="7"/>
    </row>
    <row r="2387" spans="3:18">
      <c r="C2387" s="7"/>
      <c r="D2387" s="7"/>
      <c r="E2387" s="7"/>
      <c r="F2387" s="7"/>
      <c r="G2387" s="7"/>
      <c r="H2387" s="7"/>
      <c r="I2387" s="7"/>
      <c r="J2387" s="7"/>
      <c r="K2387" s="7"/>
      <c r="L2387" s="27"/>
      <c r="N2387" s="8"/>
      <c r="O2387" s="7"/>
      <c r="P2387" s="7"/>
      <c r="Q2387" s="7"/>
      <c r="R2387" s="7"/>
    </row>
    <row r="2388" spans="3:18">
      <c r="C2388" s="7"/>
      <c r="D2388" s="7"/>
      <c r="E2388" s="7"/>
      <c r="F2388" s="7"/>
      <c r="G2388" s="7"/>
      <c r="H2388" s="7"/>
      <c r="I2388" s="7"/>
      <c r="J2388" s="7"/>
      <c r="K2388" s="7"/>
      <c r="L2388" s="27"/>
      <c r="N2388" s="8"/>
      <c r="O2388" s="7"/>
      <c r="P2388" s="7"/>
      <c r="Q2388" s="7"/>
      <c r="R2388" s="7"/>
    </row>
    <row r="2389" spans="3:18">
      <c r="C2389" s="7"/>
      <c r="D2389" s="7"/>
      <c r="E2389" s="7"/>
      <c r="F2389" s="7"/>
      <c r="G2389" s="7"/>
      <c r="H2389" s="7"/>
      <c r="I2389" s="7"/>
      <c r="J2389" s="7"/>
      <c r="K2389" s="7"/>
      <c r="L2389" s="27"/>
      <c r="N2389" s="8"/>
      <c r="O2389" s="7"/>
      <c r="P2389" s="7"/>
      <c r="Q2389" s="7"/>
      <c r="R2389" s="7"/>
    </row>
    <row r="2390" spans="3:18">
      <c r="C2390" s="7"/>
      <c r="D2390" s="7"/>
      <c r="E2390" s="7"/>
      <c r="F2390" s="7"/>
      <c r="G2390" s="7"/>
      <c r="H2390" s="7"/>
      <c r="I2390" s="7"/>
      <c r="J2390" s="7"/>
      <c r="K2390" s="7"/>
      <c r="L2390" s="27"/>
      <c r="N2390" s="8"/>
      <c r="O2390" s="7"/>
      <c r="P2390" s="7"/>
      <c r="Q2390" s="7"/>
      <c r="R2390" s="7"/>
    </row>
    <row r="2391" spans="3:18">
      <c r="C2391" s="7"/>
      <c r="D2391" s="7"/>
      <c r="E2391" s="7"/>
      <c r="F2391" s="7"/>
      <c r="G2391" s="7"/>
      <c r="H2391" s="7"/>
      <c r="I2391" s="7"/>
      <c r="J2391" s="7"/>
      <c r="K2391" s="7"/>
      <c r="L2391" s="27"/>
      <c r="N2391" s="8"/>
      <c r="O2391" s="7"/>
      <c r="P2391" s="7"/>
      <c r="Q2391" s="7"/>
      <c r="R2391" s="7"/>
    </row>
    <row r="2392" spans="3:18">
      <c r="C2392" s="7"/>
      <c r="D2392" s="7"/>
      <c r="E2392" s="7"/>
      <c r="F2392" s="7"/>
      <c r="G2392" s="7"/>
      <c r="H2392" s="7"/>
      <c r="I2392" s="7"/>
      <c r="J2392" s="7"/>
      <c r="K2392" s="7"/>
      <c r="L2392" s="27"/>
      <c r="N2392" s="8"/>
      <c r="O2392" s="7"/>
      <c r="P2392" s="7"/>
      <c r="Q2392" s="7"/>
      <c r="R2392" s="7"/>
    </row>
    <row r="2393" spans="3:18">
      <c r="C2393" s="7"/>
      <c r="D2393" s="7"/>
      <c r="E2393" s="7"/>
      <c r="F2393" s="7"/>
      <c r="G2393" s="7"/>
      <c r="H2393" s="7"/>
      <c r="I2393" s="7"/>
      <c r="J2393" s="7"/>
      <c r="K2393" s="7"/>
      <c r="L2393" s="27"/>
      <c r="N2393" s="8"/>
      <c r="O2393" s="7"/>
      <c r="P2393" s="7"/>
      <c r="Q2393" s="7"/>
      <c r="R2393" s="7"/>
    </row>
    <row r="2394" spans="3:18">
      <c r="C2394" s="7"/>
      <c r="D2394" s="7"/>
      <c r="E2394" s="7"/>
      <c r="F2394" s="7"/>
      <c r="G2394" s="7"/>
      <c r="H2394" s="7"/>
      <c r="I2394" s="7"/>
      <c r="J2394" s="7"/>
      <c r="K2394" s="7"/>
      <c r="L2394" s="27"/>
      <c r="N2394" s="8"/>
      <c r="O2394" s="7"/>
      <c r="P2394" s="7"/>
      <c r="Q2394" s="7"/>
      <c r="R2394" s="7"/>
    </row>
    <row r="2395" spans="3:18">
      <c r="C2395" s="7"/>
      <c r="D2395" s="7"/>
      <c r="E2395" s="7"/>
      <c r="F2395" s="7"/>
      <c r="G2395" s="7"/>
      <c r="H2395" s="7"/>
      <c r="I2395" s="7"/>
      <c r="J2395" s="7"/>
      <c r="K2395" s="7"/>
      <c r="L2395" s="27"/>
      <c r="N2395" s="8"/>
      <c r="O2395" s="7"/>
      <c r="P2395" s="7"/>
      <c r="Q2395" s="7"/>
      <c r="R2395" s="7"/>
    </row>
    <row r="2396" spans="3:18">
      <c r="C2396" s="7"/>
      <c r="D2396" s="7"/>
      <c r="E2396" s="7"/>
      <c r="F2396" s="7"/>
      <c r="G2396" s="7"/>
      <c r="H2396" s="7"/>
      <c r="I2396" s="7"/>
      <c r="J2396" s="7"/>
      <c r="K2396" s="7"/>
      <c r="L2396" s="27"/>
      <c r="N2396" s="8"/>
      <c r="O2396" s="7"/>
      <c r="P2396" s="7"/>
      <c r="Q2396" s="7"/>
      <c r="R2396" s="7"/>
    </row>
    <row r="2397" spans="3:18">
      <c r="C2397" s="7"/>
      <c r="D2397" s="7"/>
      <c r="E2397" s="7"/>
      <c r="F2397" s="7"/>
      <c r="G2397" s="7"/>
      <c r="H2397" s="7"/>
      <c r="I2397" s="7"/>
      <c r="J2397" s="7"/>
      <c r="K2397" s="7"/>
      <c r="L2397" s="27"/>
      <c r="N2397" s="8"/>
      <c r="O2397" s="7"/>
      <c r="P2397" s="7"/>
      <c r="Q2397" s="7"/>
      <c r="R2397" s="7"/>
    </row>
    <row r="2398" spans="3:18">
      <c r="C2398" s="7"/>
      <c r="D2398" s="7"/>
      <c r="E2398" s="7"/>
      <c r="F2398" s="7"/>
      <c r="G2398" s="7"/>
      <c r="H2398" s="7"/>
      <c r="I2398" s="7"/>
      <c r="J2398" s="7"/>
      <c r="K2398" s="7"/>
      <c r="L2398" s="27"/>
      <c r="N2398" s="8"/>
      <c r="O2398" s="7"/>
      <c r="P2398" s="7"/>
      <c r="Q2398" s="7"/>
      <c r="R2398" s="7"/>
    </row>
    <row r="2399" spans="3:18">
      <c r="C2399" s="7"/>
      <c r="D2399" s="7"/>
      <c r="E2399" s="7"/>
      <c r="F2399" s="7"/>
      <c r="G2399" s="7"/>
      <c r="H2399" s="7"/>
      <c r="I2399" s="7"/>
      <c r="J2399" s="7"/>
      <c r="K2399" s="7"/>
      <c r="L2399" s="27"/>
      <c r="N2399" s="8"/>
      <c r="O2399" s="7"/>
      <c r="P2399" s="7"/>
      <c r="Q2399" s="7"/>
      <c r="R2399" s="7"/>
    </row>
    <row r="2400" spans="3:18">
      <c r="C2400" s="7"/>
      <c r="D2400" s="7"/>
      <c r="E2400" s="7"/>
      <c r="F2400" s="7"/>
      <c r="G2400" s="7"/>
      <c r="H2400" s="7"/>
      <c r="I2400" s="7"/>
      <c r="J2400" s="7"/>
      <c r="K2400" s="7"/>
      <c r="L2400" s="27"/>
      <c r="N2400" s="8"/>
      <c r="O2400" s="7"/>
      <c r="P2400" s="7"/>
      <c r="Q2400" s="7"/>
      <c r="R2400" s="7"/>
    </row>
    <row r="2401" spans="3:18">
      <c r="C2401" s="7"/>
      <c r="D2401" s="7"/>
      <c r="E2401" s="7"/>
      <c r="F2401" s="7"/>
      <c r="G2401" s="7"/>
      <c r="H2401" s="7"/>
      <c r="I2401" s="7"/>
      <c r="J2401" s="7"/>
      <c r="K2401" s="7"/>
      <c r="L2401" s="27"/>
      <c r="N2401" s="8"/>
      <c r="O2401" s="7"/>
      <c r="P2401" s="7"/>
      <c r="Q2401" s="7"/>
      <c r="R2401" s="7"/>
    </row>
    <row r="2402" spans="3:18">
      <c r="C2402" s="7"/>
      <c r="D2402" s="7"/>
      <c r="E2402" s="7"/>
      <c r="F2402" s="7"/>
      <c r="G2402" s="7"/>
      <c r="H2402" s="7"/>
      <c r="I2402" s="7"/>
      <c r="J2402" s="7"/>
      <c r="K2402" s="7"/>
      <c r="L2402" s="27"/>
      <c r="N2402" s="8"/>
      <c r="O2402" s="7"/>
      <c r="P2402" s="7"/>
      <c r="Q2402" s="7"/>
      <c r="R2402" s="7"/>
    </row>
    <row r="2403" spans="3:18">
      <c r="C2403" s="7"/>
      <c r="D2403" s="7"/>
      <c r="E2403" s="7"/>
      <c r="F2403" s="7"/>
      <c r="G2403" s="7"/>
      <c r="H2403" s="7"/>
      <c r="I2403" s="7"/>
      <c r="J2403" s="7"/>
      <c r="K2403" s="7"/>
      <c r="L2403" s="27"/>
      <c r="N2403" s="8"/>
      <c r="O2403" s="7"/>
      <c r="P2403" s="7"/>
      <c r="Q2403" s="7"/>
      <c r="R2403" s="7"/>
    </row>
    <row r="2404" spans="3:18">
      <c r="C2404" s="7"/>
      <c r="D2404" s="7"/>
      <c r="E2404" s="7"/>
      <c r="F2404" s="7"/>
      <c r="G2404" s="7"/>
      <c r="H2404" s="7"/>
      <c r="I2404" s="7"/>
      <c r="J2404" s="7"/>
      <c r="K2404" s="7"/>
      <c r="L2404" s="27"/>
      <c r="N2404" s="8"/>
      <c r="O2404" s="7"/>
      <c r="P2404" s="7"/>
      <c r="Q2404" s="7"/>
      <c r="R2404" s="7"/>
    </row>
    <row r="2405" spans="3:18">
      <c r="C2405" s="7"/>
      <c r="D2405" s="7"/>
      <c r="E2405" s="7"/>
      <c r="F2405" s="7"/>
      <c r="G2405" s="7"/>
      <c r="H2405" s="7"/>
      <c r="I2405" s="7"/>
      <c r="J2405" s="7"/>
      <c r="K2405" s="7"/>
      <c r="L2405" s="27"/>
      <c r="N2405" s="8"/>
      <c r="O2405" s="7"/>
      <c r="P2405" s="7"/>
      <c r="Q2405" s="7"/>
      <c r="R2405" s="7"/>
    </row>
    <row r="2406" spans="3:18">
      <c r="C2406" s="7"/>
      <c r="D2406" s="7"/>
      <c r="E2406" s="7"/>
      <c r="F2406" s="7"/>
      <c r="G2406" s="7"/>
      <c r="H2406" s="7"/>
      <c r="I2406" s="7"/>
      <c r="J2406" s="7"/>
      <c r="K2406" s="7"/>
      <c r="L2406" s="27"/>
      <c r="N2406" s="8"/>
      <c r="O2406" s="7"/>
      <c r="P2406" s="7"/>
      <c r="Q2406" s="7"/>
      <c r="R2406" s="7"/>
    </row>
    <row r="2407" spans="3:18">
      <c r="C2407" s="7"/>
      <c r="D2407" s="7"/>
      <c r="E2407" s="7"/>
      <c r="F2407" s="7"/>
      <c r="G2407" s="7"/>
      <c r="H2407" s="7"/>
      <c r="I2407" s="7"/>
      <c r="J2407" s="7"/>
      <c r="K2407" s="7"/>
      <c r="L2407" s="27"/>
      <c r="N2407" s="8"/>
      <c r="O2407" s="7"/>
      <c r="P2407" s="7"/>
      <c r="Q2407" s="7"/>
      <c r="R2407" s="7"/>
    </row>
    <row r="2408" spans="3:18">
      <c r="C2408" s="7"/>
      <c r="D2408" s="7"/>
      <c r="E2408" s="7"/>
      <c r="F2408" s="7"/>
      <c r="G2408" s="7"/>
      <c r="H2408" s="7"/>
      <c r="I2408" s="7"/>
      <c r="J2408" s="7"/>
      <c r="K2408" s="7"/>
      <c r="L2408" s="27"/>
      <c r="N2408" s="8"/>
      <c r="O2408" s="7"/>
      <c r="P2408" s="7"/>
      <c r="Q2408" s="7"/>
      <c r="R2408" s="7"/>
    </row>
    <row r="2409" spans="3:18">
      <c r="C2409" s="7"/>
      <c r="D2409" s="7"/>
      <c r="E2409" s="7"/>
      <c r="F2409" s="7"/>
      <c r="G2409" s="7"/>
      <c r="H2409" s="7"/>
      <c r="I2409" s="7"/>
      <c r="J2409" s="7"/>
      <c r="K2409" s="7"/>
      <c r="L2409" s="27"/>
      <c r="N2409" s="8"/>
      <c r="O2409" s="7"/>
      <c r="P2409" s="7"/>
      <c r="Q2409" s="7"/>
      <c r="R2409" s="7"/>
    </row>
    <row r="2410" spans="3:18">
      <c r="C2410" s="7"/>
      <c r="D2410" s="7"/>
      <c r="E2410" s="7"/>
      <c r="F2410" s="7"/>
      <c r="G2410" s="7"/>
      <c r="H2410" s="7"/>
      <c r="I2410" s="7"/>
      <c r="J2410" s="7"/>
      <c r="K2410" s="7"/>
      <c r="L2410" s="27"/>
      <c r="N2410" s="8"/>
      <c r="O2410" s="7"/>
      <c r="P2410" s="7"/>
      <c r="Q2410" s="7"/>
      <c r="R2410" s="7"/>
    </row>
    <row r="2411" spans="3:18">
      <c r="C2411" s="7"/>
      <c r="D2411" s="7"/>
      <c r="E2411" s="7"/>
      <c r="F2411" s="7"/>
      <c r="G2411" s="7"/>
      <c r="H2411" s="7"/>
      <c r="I2411" s="7"/>
      <c r="J2411" s="7"/>
      <c r="K2411" s="7"/>
      <c r="L2411" s="27"/>
      <c r="N2411" s="8"/>
      <c r="O2411" s="7"/>
      <c r="P2411" s="7"/>
      <c r="Q2411" s="7"/>
      <c r="R2411" s="7"/>
    </row>
    <row r="2412" spans="3:18">
      <c r="C2412" s="7"/>
      <c r="D2412" s="7"/>
      <c r="E2412" s="7"/>
      <c r="F2412" s="7"/>
      <c r="G2412" s="7"/>
      <c r="H2412" s="7"/>
      <c r="I2412" s="7"/>
      <c r="J2412" s="7"/>
      <c r="K2412" s="7"/>
      <c r="L2412" s="27"/>
      <c r="N2412" s="8"/>
      <c r="O2412" s="7"/>
      <c r="P2412" s="7"/>
      <c r="Q2412" s="7"/>
      <c r="R2412" s="7"/>
    </row>
    <row r="2413" spans="3:18">
      <c r="C2413" s="7"/>
      <c r="D2413" s="7"/>
      <c r="E2413" s="7"/>
      <c r="F2413" s="7"/>
      <c r="G2413" s="7"/>
      <c r="H2413" s="7"/>
      <c r="I2413" s="7"/>
      <c r="J2413" s="7"/>
      <c r="K2413" s="7"/>
      <c r="L2413" s="27"/>
      <c r="N2413" s="8"/>
      <c r="O2413" s="7"/>
      <c r="P2413" s="7"/>
      <c r="Q2413" s="7"/>
      <c r="R2413" s="7"/>
    </row>
    <row r="2414" spans="3:18">
      <c r="C2414" s="7"/>
      <c r="D2414" s="7"/>
      <c r="E2414" s="7"/>
      <c r="F2414" s="7"/>
      <c r="G2414" s="7"/>
      <c r="H2414" s="7"/>
      <c r="I2414" s="7"/>
      <c r="J2414" s="7"/>
      <c r="K2414" s="7"/>
      <c r="L2414" s="27"/>
      <c r="N2414" s="8"/>
      <c r="O2414" s="7"/>
      <c r="P2414" s="7"/>
      <c r="Q2414" s="7"/>
      <c r="R2414" s="7"/>
    </row>
    <row r="2415" spans="3:18">
      <c r="C2415" s="7"/>
      <c r="D2415" s="7"/>
      <c r="E2415" s="7"/>
      <c r="F2415" s="7"/>
      <c r="G2415" s="7"/>
      <c r="H2415" s="7"/>
      <c r="I2415" s="7"/>
      <c r="J2415" s="7"/>
      <c r="K2415" s="7"/>
      <c r="L2415" s="27"/>
      <c r="N2415" s="8"/>
      <c r="O2415" s="7"/>
      <c r="P2415" s="7"/>
      <c r="Q2415" s="7"/>
      <c r="R2415" s="7"/>
    </row>
    <row r="2416" spans="3:18">
      <c r="C2416" s="7"/>
      <c r="D2416" s="7"/>
      <c r="E2416" s="7"/>
      <c r="F2416" s="7"/>
      <c r="G2416" s="7"/>
      <c r="H2416" s="7"/>
      <c r="I2416" s="7"/>
      <c r="J2416" s="7"/>
      <c r="K2416" s="7"/>
      <c r="L2416" s="27"/>
      <c r="N2416" s="8"/>
      <c r="O2416" s="7"/>
      <c r="P2416" s="7"/>
      <c r="Q2416" s="7"/>
      <c r="R2416" s="7"/>
    </row>
    <row r="2417" spans="3:18">
      <c r="C2417" s="7"/>
      <c r="D2417" s="7"/>
      <c r="E2417" s="7"/>
      <c r="F2417" s="7"/>
      <c r="G2417" s="7"/>
      <c r="H2417" s="7"/>
      <c r="I2417" s="7"/>
      <c r="J2417" s="7"/>
      <c r="K2417" s="7"/>
      <c r="L2417" s="27"/>
      <c r="N2417" s="8"/>
      <c r="O2417" s="7"/>
      <c r="P2417" s="7"/>
      <c r="Q2417" s="7"/>
      <c r="R2417" s="7"/>
    </row>
    <row r="2418" spans="3:18">
      <c r="C2418" s="7"/>
      <c r="D2418" s="7"/>
      <c r="E2418" s="7"/>
      <c r="F2418" s="7"/>
      <c r="G2418" s="7"/>
      <c r="H2418" s="7"/>
      <c r="I2418" s="7"/>
      <c r="J2418" s="7"/>
      <c r="K2418" s="7"/>
      <c r="L2418" s="27"/>
      <c r="N2418" s="8"/>
      <c r="O2418" s="7"/>
      <c r="P2418" s="7"/>
      <c r="Q2418" s="7"/>
      <c r="R2418" s="7"/>
    </row>
    <row r="2419" spans="3:18">
      <c r="C2419" s="7"/>
      <c r="D2419" s="7"/>
      <c r="E2419" s="7"/>
      <c r="F2419" s="7"/>
      <c r="G2419" s="7"/>
      <c r="H2419" s="7"/>
      <c r="I2419" s="7"/>
      <c r="J2419" s="7"/>
      <c r="K2419" s="7"/>
      <c r="L2419" s="27"/>
      <c r="N2419" s="8"/>
      <c r="O2419" s="7"/>
      <c r="P2419" s="7"/>
      <c r="Q2419" s="7"/>
      <c r="R2419" s="7"/>
    </row>
    <row r="2420" spans="3:18">
      <c r="C2420" s="7"/>
      <c r="D2420" s="7"/>
      <c r="E2420" s="7"/>
      <c r="F2420" s="7"/>
      <c r="G2420" s="7"/>
      <c r="H2420" s="7"/>
      <c r="I2420" s="7"/>
      <c r="J2420" s="7"/>
      <c r="K2420" s="7"/>
      <c r="L2420" s="27"/>
      <c r="N2420" s="8"/>
      <c r="O2420" s="7"/>
      <c r="P2420" s="7"/>
      <c r="Q2420" s="7"/>
      <c r="R2420" s="7"/>
    </row>
    <row r="2421" spans="3:18">
      <c r="C2421" s="7"/>
      <c r="D2421" s="7"/>
      <c r="E2421" s="7"/>
      <c r="F2421" s="7"/>
      <c r="G2421" s="7"/>
      <c r="H2421" s="7"/>
      <c r="I2421" s="7"/>
      <c r="J2421" s="7"/>
      <c r="K2421" s="7"/>
      <c r="L2421" s="27"/>
      <c r="N2421" s="8"/>
      <c r="O2421" s="7"/>
      <c r="P2421" s="7"/>
      <c r="Q2421" s="7"/>
      <c r="R2421" s="7"/>
    </row>
    <row r="2422" spans="3:18">
      <c r="C2422" s="7"/>
      <c r="D2422" s="7"/>
      <c r="E2422" s="7"/>
      <c r="F2422" s="7"/>
      <c r="G2422" s="7"/>
      <c r="H2422" s="7"/>
      <c r="I2422" s="7"/>
      <c r="J2422" s="7"/>
      <c r="K2422" s="7"/>
      <c r="L2422" s="27"/>
      <c r="N2422" s="8"/>
      <c r="O2422" s="7"/>
      <c r="P2422" s="7"/>
      <c r="Q2422" s="7"/>
      <c r="R2422" s="7"/>
    </row>
    <row r="2423" spans="3:18">
      <c r="C2423" s="7"/>
      <c r="D2423" s="7"/>
      <c r="E2423" s="7"/>
      <c r="F2423" s="7"/>
      <c r="G2423" s="7"/>
      <c r="H2423" s="7"/>
      <c r="I2423" s="7"/>
      <c r="J2423" s="7"/>
      <c r="K2423" s="7"/>
      <c r="L2423" s="27"/>
      <c r="N2423" s="8"/>
      <c r="O2423" s="7"/>
      <c r="P2423" s="7"/>
      <c r="Q2423" s="7"/>
      <c r="R2423" s="7"/>
    </row>
    <row r="2424" spans="3:18">
      <c r="C2424" s="7"/>
      <c r="D2424" s="7"/>
      <c r="E2424" s="7"/>
      <c r="F2424" s="7"/>
      <c r="G2424" s="7"/>
      <c r="H2424" s="7"/>
      <c r="I2424" s="7"/>
      <c r="J2424" s="7"/>
      <c r="K2424" s="7"/>
      <c r="L2424" s="27"/>
      <c r="N2424" s="8"/>
      <c r="O2424" s="7"/>
      <c r="P2424" s="7"/>
      <c r="Q2424" s="7"/>
      <c r="R2424" s="7"/>
    </row>
    <row r="2425" spans="3:18">
      <c r="C2425" s="7"/>
      <c r="D2425" s="7"/>
      <c r="E2425" s="7"/>
      <c r="F2425" s="7"/>
      <c r="G2425" s="7"/>
      <c r="H2425" s="7"/>
      <c r="I2425" s="7"/>
      <c r="J2425" s="7"/>
      <c r="K2425" s="7"/>
      <c r="L2425" s="27"/>
      <c r="N2425" s="8"/>
      <c r="O2425" s="7"/>
      <c r="P2425" s="7"/>
      <c r="Q2425" s="7"/>
      <c r="R2425" s="7"/>
    </row>
    <row r="2426" spans="3:18">
      <c r="C2426" s="7"/>
      <c r="D2426" s="7"/>
      <c r="E2426" s="7"/>
      <c r="F2426" s="7"/>
      <c r="G2426" s="7"/>
      <c r="H2426" s="7"/>
      <c r="I2426" s="7"/>
      <c r="J2426" s="7"/>
      <c r="K2426" s="7"/>
      <c r="L2426" s="27"/>
      <c r="N2426" s="8"/>
      <c r="O2426" s="7"/>
      <c r="P2426" s="7"/>
      <c r="Q2426" s="7"/>
      <c r="R2426" s="7"/>
    </row>
    <row r="2427" spans="3:18">
      <c r="C2427" s="7"/>
      <c r="D2427" s="7"/>
      <c r="E2427" s="7"/>
      <c r="F2427" s="7"/>
      <c r="G2427" s="7"/>
      <c r="H2427" s="7"/>
      <c r="I2427" s="7"/>
      <c r="J2427" s="7"/>
      <c r="K2427" s="7"/>
      <c r="L2427" s="27"/>
      <c r="N2427" s="8"/>
      <c r="O2427" s="7"/>
      <c r="P2427" s="7"/>
      <c r="Q2427" s="7"/>
      <c r="R2427" s="7"/>
    </row>
    <row r="2428" spans="3:18">
      <c r="C2428" s="7"/>
      <c r="D2428" s="7"/>
      <c r="E2428" s="7"/>
      <c r="F2428" s="7"/>
      <c r="G2428" s="7"/>
      <c r="H2428" s="7"/>
      <c r="I2428" s="7"/>
      <c r="J2428" s="7"/>
      <c r="K2428" s="7"/>
      <c r="L2428" s="27"/>
      <c r="N2428" s="8"/>
      <c r="O2428" s="7"/>
      <c r="P2428" s="7"/>
      <c r="Q2428" s="7"/>
      <c r="R2428" s="7"/>
    </row>
    <row r="2429" spans="3:18">
      <c r="C2429" s="7"/>
      <c r="D2429" s="7"/>
      <c r="E2429" s="7"/>
      <c r="F2429" s="7"/>
      <c r="G2429" s="7"/>
      <c r="H2429" s="7"/>
      <c r="I2429" s="7"/>
      <c r="J2429" s="7"/>
      <c r="K2429" s="7"/>
      <c r="L2429" s="27"/>
      <c r="N2429" s="8"/>
      <c r="O2429" s="7"/>
      <c r="P2429" s="7"/>
      <c r="Q2429" s="7"/>
      <c r="R2429" s="7"/>
    </row>
    <row r="2430" spans="3:18">
      <c r="C2430" s="7"/>
      <c r="D2430" s="7"/>
      <c r="E2430" s="7"/>
      <c r="F2430" s="7"/>
      <c r="G2430" s="7"/>
      <c r="H2430" s="7"/>
      <c r="I2430" s="7"/>
      <c r="J2430" s="7"/>
      <c r="K2430" s="7"/>
      <c r="L2430" s="27"/>
      <c r="N2430" s="8"/>
      <c r="O2430" s="7"/>
      <c r="P2430" s="7"/>
      <c r="Q2430" s="7"/>
      <c r="R2430" s="7"/>
    </row>
    <row r="2431" spans="3:18">
      <c r="C2431" s="7"/>
      <c r="D2431" s="7"/>
      <c r="E2431" s="7"/>
      <c r="F2431" s="7"/>
      <c r="G2431" s="7"/>
      <c r="H2431" s="7"/>
      <c r="I2431" s="7"/>
      <c r="J2431" s="7"/>
      <c r="K2431" s="7"/>
      <c r="L2431" s="27"/>
      <c r="N2431" s="8"/>
      <c r="O2431" s="7"/>
      <c r="P2431" s="7"/>
      <c r="Q2431" s="7"/>
      <c r="R2431" s="7"/>
    </row>
    <row r="2432" spans="3:18">
      <c r="C2432" s="7"/>
      <c r="D2432" s="7"/>
      <c r="E2432" s="7"/>
      <c r="F2432" s="7"/>
      <c r="G2432" s="7"/>
      <c r="H2432" s="7"/>
      <c r="I2432" s="7"/>
      <c r="J2432" s="7"/>
      <c r="K2432" s="7"/>
      <c r="L2432" s="27"/>
      <c r="N2432" s="8"/>
      <c r="O2432" s="7"/>
      <c r="P2432" s="7"/>
      <c r="Q2432" s="7"/>
      <c r="R2432" s="7"/>
    </row>
    <row r="2433" spans="3:18">
      <c r="C2433" s="7"/>
      <c r="D2433" s="7"/>
      <c r="E2433" s="7"/>
      <c r="F2433" s="7"/>
      <c r="G2433" s="7"/>
      <c r="H2433" s="7"/>
      <c r="I2433" s="7"/>
      <c r="J2433" s="7"/>
      <c r="K2433" s="7"/>
      <c r="L2433" s="27"/>
      <c r="N2433" s="8"/>
      <c r="O2433" s="7"/>
      <c r="P2433" s="7"/>
      <c r="Q2433" s="7"/>
      <c r="R2433" s="7"/>
    </row>
    <row r="2434" spans="3:18">
      <c r="C2434" s="7"/>
      <c r="D2434" s="7"/>
      <c r="E2434" s="7"/>
      <c r="F2434" s="7"/>
      <c r="G2434" s="7"/>
      <c r="H2434" s="7"/>
      <c r="I2434" s="7"/>
      <c r="J2434" s="7"/>
      <c r="K2434" s="7"/>
      <c r="L2434" s="27"/>
      <c r="N2434" s="8"/>
      <c r="O2434" s="7"/>
      <c r="P2434" s="7"/>
      <c r="Q2434" s="7"/>
      <c r="R2434" s="7"/>
    </row>
    <row r="2435" spans="3:18">
      <c r="C2435" s="7"/>
      <c r="D2435" s="7"/>
      <c r="E2435" s="7"/>
      <c r="F2435" s="7"/>
      <c r="G2435" s="7"/>
      <c r="H2435" s="7"/>
      <c r="I2435" s="7"/>
      <c r="J2435" s="7"/>
      <c r="K2435" s="7"/>
      <c r="L2435" s="27"/>
      <c r="N2435" s="8"/>
      <c r="O2435" s="7"/>
      <c r="P2435" s="7"/>
      <c r="Q2435" s="7"/>
      <c r="R2435" s="7"/>
    </row>
    <row r="2436" spans="3:18">
      <c r="C2436" s="7"/>
      <c r="D2436" s="7"/>
      <c r="E2436" s="7"/>
      <c r="F2436" s="7"/>
      <c r="G2436" s="7"/>
      <c r="H2436" s="7"/>
      <c r="I2436" s="7"/>
      <c r="J2436" s="7"/>
      <c r="K2436" s="7"/>
      <c r="L2436" s="27"/>
      <c r="N2436" s="8"/>
      <c r="O2436" s="7"/>
      <c r="P2436" s="7"/>
      <c r="Q2436" s="7"/>
      <c r="R2436" s="7"/>
    </row>
    <row r="2437" spans="3:18">
      <c r="C2437" s="7"/>
      <c r="D2437" s="7"/>
      <c r="E2437" s="7"/>
      <c r="F2437" s="7"/>
      <c r="G2437" s="7"/>
      <c r="H2437" s="7"/>
      <c r="I2437" s="7"/>
      <c r="J2437" s="7"/>
      <c r="K2437" s="7"/>
      <c r="L2437" s="27"/>
      <c r="N2437" s="8"/>
      <c r="O2437" s="7"/>
      <c r="P2437" s="7"/>
      <c r="Q2437" s="7"/>
      <c r="R2437" s="7"/>
    </row>
    <row r="2438" spans="3:18">
      <c r="C2438" s="7"/>
      <c r="D2438" s="7"/>
      <c r="E2438" s="7"/>
      <c r="F2438" s="7"/>
      <c r="G2438" s="7"/>
      <c r="H2438" s="7"/>
      <c r="I2438" s="7"/>
      <c r="J2438" s="7"/>
      <c r="K2438" s="7"/>
      <c r="L2438" s="27"/>
      <c r="N2438" s="8"/>
      <c r="O2438" s="7"/>
      <c r="P2438" s="7"/>
      <c r="Q2438" s="7"/>
      <c r="R2438" s="7"/>
    </row>
    <row r="2439" spans="3:18">
      <c r="C2439" s="7"/>
      <c r="D2439" s="7"/>
      <c r="E2439" s="7"/>
      <c r="F2439" s="7"/>
      <c r="G2439" s="7"/>
      <c r="H2439" s="7"/>
      <c r="I2439" s="7"/>
      <c r="J2439" s="7"/>
      <c r="K2439" s="7"/>
      <c r="L2439" s="27"/>
      <c r="N2439" s="8"/>
      <c r="O2439" s="7"/>
      <c r="P2439" s="7"/>
      <c r="Q2439" s="7"/>
      <c r="R2439" s="7"/>
    </row>
    <row r="2440" spans="3:18">
      <c r="C2440" s="7"/>
      <c r="D2440" s="7"/>
      <c r="E2440" s="7"/>
      <c r="F2440" s="7"/>
      <c r="G2440" s="7"/>
      <c r="H2440" s="7"/>
      <c r="I2440" s="7"/>
      <c r="J2440" s="7"/>
      <c r="K2440" s="7"/>
      <c r="L2440" s="27"/>
      <c r="N2440" s="8"/>
      <c r="O2440" s="7"/>
      <c r="P2440" s="7"/>
      <c r="Q2440" s="7"/>
      <c r="R2440" s="7"/>
    </row>
    <row r="2441" spans="3:18">
      <c r="C2441" s="7"/>
      <c r="D2441" s="7"/>
      <c r="E2441" s="7"/>
      <c r="F2441" s="7"/>
      <c r="G2441" s="7"/>
      <c r="H2441" s="7"/>
      <c r="I2441" s="7"/>
      <c r="J2441" s="7"/>
      <c r="K2441" s="7"/>
      <c r="L2441" s="27"/>
      <c r="N2441" s="8"/>
      <c r="O2441" s="7"/>
      <c r="P2441" s="7"/>
      <c r="Q2441" s="7"/>
      <c r="R2441" s="7"/>
    </row>
    <row r="2442" spans="3:18">
      <c r="C2442" s="7"/>
      <c r="D2442" s="7"/>
      <c r="E2442" s="7"/>
      <c r="F2442" s="7"/>
      <c r="G2442" s="7"/>
      <c r="H2442" s="7"/>
      <c r="I2442" s="7"/>
      <c r="J2442" s="7"/>
      <c r="K2442" s="7"/>
      <c r="L2442" s="27"/>
      <c r="N2442" s="8"/>
      <c r="O2442" s="7"/>
      <c r="P2442" s="7"/>
      <c r="Q2442" s="7"/>
      <c r="R2442" s="7"/>
    </row>
    <row r="2443" spans="3:18">
      <c r="C2443" s="7"/>
      <c r="D2443" s="7"/>
      <c r="E2443" s="7"/>
      <c r="F2443" s="7"/>
      <c r="G2443" s="7"/>
      <c r="H2443" s="7"/>
      <c r="I2443" s="7"/>
      <c r="J2443" s="7"/>
      <c r="K2443" s="7"/>
      <c r="L2443" s="27"/>
      <c r="N2443" s="8"/>
      <c r="O2443" s="7"/>
      <c r="P2443" s="7"/>
      <c r="Q2443" s="7"/>
      <c r="R2443" s="7"/>
    </row>
    <row r="2444" spans="3:18">
      <c r="C2444" s="7"/>
      <c r="D2444" s="7"/>
      <c r="E2444" s="7"/>
      <c r="F2444" s="7"/>
      <c r="G2444" s="7"/>
      <c r="H2444" s="7"/>
      <c r="I2444" s="7"/>
      <c r="J2444" s="7"/>
      <c r="K2444" s="7"/>
      <c r="L2444" s="27"/>
      <c r="N2444" s="8"/>
      <c r="O2444" s="7"/>
      <c r="P2444" s="7"/>
      <c r="Q2444" s="7"/>
      <c r="R2444" s="7"/>
    </row>
    <row r="2445" spans="3:18">
      <c r="C2445" s="7"/>
      <c r="D2445" s="7"/>
      <c r="E2445" s="7"/>
      <c r="F2445" s="7"/>
      <c r="G2445" s="7"/>
      <c r="H2445" s="7"/>
      <c r="I2445" s="7"/>
      <c r="J2445" s="7"/>
      <c r="K2445" s="7"/>
      <c r="L2445" s="27"/>
      <c r="N2445" s="8"/>
      <c r="O2445" s="7"/>
      <c r="P2445" s="7"/>
      <c r="Q2445" s="7"/>
      <c r="R2445" s="7"/>
    </row>
    <row r="2446" spans="3:18">
      <c r="C2446" s="7"/>
      <c r="D2446" s="7"/>
      <c r="E2446" s="7"/>
      <c r="F2446" s="7"/>
      <c r="G2446" s="7"/>
      <c r="H2446" s="7"/>
      <c r="I2446" s="7"/>
      <c r="J2446" s="7"/>
      <c r="K2446" s="7"/>
      <c r="L2446" s="27"/>
      <c r="N2446" s="8"/>
      <c r="O2446" s="7"/>
      <c r="P2446" s="7"/>
      <c r="Q2446" s="7"/>
      <c r="R2446" s="7"/>
    </row>
    <row r="2447" spans="3:18">
      <c r="C2447" s="7"/>
      <c r="D2447" s="7"/>
      <c r="E2447" s="7"/>
      <c r="F2447" s="7"/>
      <c r="G2447" s="7"/>
      <c r="H2447" s="7"/>
      <c r="I2447" s="7"/>
      <c r="J2447" s="7"/>
      <c r="K2447" s="7"/>
      <c r="L2447" s="27"/>
      <c r="N2447" s="8"/>
      <c r="O2447" s="7"/>
      <c r="P2447" s="7"/>
      <c r="Q2447" s="7"/>
      <c r="R2447" s="7"/>
    </row>
    <row r="2448" spans="3:18">
      <c r="C2448" s="7"/>
      <c r="D2448" s="7"/>
      <c r="E2448" s="7"/>
      <c r="F2448" s="7"/>
      <c r="G2448" s="7"/>
      <c r="H2448" s="7"/>
      <c r="I2448" s="7"/>
      <c r="J2448" s="7"/>
      <c r="K2448" s="7"/>
      <c r="L2448" s="27"/>
      <c r="N2448" s="8"/>
      <c r="O2448" s="7"/>
      <c r="P2448" s="7"/>
      <c r="Q2448" s="7"/>
      <c r="R2448" s="7"/>
    </row>
    <row r="2449" spans="3:18">
      <c r="C2449" s="7"/>
      <c r="D2449" s="7"/>
      <c r="E2449" s="7"/>
      <c r="F2449" s="7"/>
      <c r="G2449" s="7"/>
      <c r="H2449" s="7"/>
      <c r="I2449" s="7"/>
      <c r="J2449" s="7"/>
      <c r="K2449" s="7"/>
      <c r="L2449" s="27"/>
      <c r="N2449" s="8"/>
      <c r="O2449" s="7"/>
      <c r="P2449" s="7"/>
      <c r="Q2449" s="7"/>
      <c r="R2449" s="7"/>
    </row>
    <row r="2450" spans="3:18">
      <c r="C2450" s="7"/>
      <c r="D2450" s="7"/>
      <c r="E2450" s="7"/>
      <c r="F2450" s="7"/>
      <c r="G2450" s="7"/>
      <c r="H2450" s="7"/>
      <c r="I2450" s="7"/>
      <c r="J2450" s="7"/>
      <c r="K2450" s="7"/>
      <c r="L2450" s="27"/>
      <c r="N2450" s="8"/>
      <c r="O2450" s="7"/>
      <c r="P2450" s="7"/>
      <c r="Q2450" s="7"/>
      <c r="R2450" s="7"/>
    </row>
    <row r="2451" spans="3:18">
      <c r="C2451" s="7"/>
      <c r="D2451" s="7"/>
      <c r="E2451" s="7"/>
      <c r="F2451" s="7"/>
      <c r="G2451" s="7"/>
      <c r="H2451" s="7"/>
      <c r="I2451" s="7"/>
      <c r="J2451" s="7"/>
      <c r="K2451" s="7"/>
      <c r="L2451" s="27"/>
      <c r="N2451" s="8"/>
      <c r="O2451" s="7"/>
      <c r="P2451" s="7"/>
      <c r="Q2451" s="7"/>
      <c r="R2451" s="7"/>
    </row>
    <row r="2452" spans="3:18">
      <c r="C2452" s="7"/>
      <c r="D2452" s="7"/>
      <c r="E2452" s="7"/>
      <c r="F2452" s="7"/>
      <c r="G2452" s="7"/>
      <c r="H2452" s="7"/>
      <c r="I2452" s="7"/>
      <c r="J2452" s="7"/>
      <c r="K2452" s="7"/>
      <c r="L2452" s="27"/>
      <c r="N2452" s="8"/>
      <c r="O2452" s="7"/>
      <c r="P2452" s="7"/>
      <c r="Q2452" s="7"/>
      <c r="R2452" s="7"/>
    </row>
    <row r="2453" spans="3:18">
      <c r="C2453" s="7"/>
      <c r="D2453" s="7"/>
      <c r="E2453" s="7"/>
      <c r="F2453" s="7"/>
      <c r="G2453" s="7"/>
      <c r="H2453" s="7"/>
      <c r="I2453" s="7"/>
      <c r="J2453" s="7"/>
      <c r="K2453" s="7"/>
      <c r="L2453" s="27"/>
      <c r="N2453" s="8"/>
      <c r="O2453" s="7"/>
      <c r="P2453" s="7"/>
      <c r="Q2453" s="7"/>
      <c r="R2453" s="7"/>
    </row>
    <row r="2454" spans="3:18">
      <c r="C2454" s="7"/>
      <c r="D2454" s="7"/>
      <c r="E2454" s="7"/>
      <c r="F2454" s="7"/>
      <c r="G2454" s="7"/>
      <c r="H2454" s="7"/>
      <c r="I2454" s="7"/>
      <c r="J2454" s="7"/>
      <c r="K2454" s="7"/>
      <c r="L2454" s="27"/>
      <c r="N2454" s="8"/>
      <c r="O2454" s="7"/>
      <c r="P2454" s="7"/>
      <c r="Q2454" s="7"/>
      <c r="R2454" s="7"/>
    </row>
    <row r="2455" spans="3:18">
      <c r="C2455" s="7"/>
      <c r="D2455" s="7"/>
      <c r="E2455" s="7"/>
      <c r="F2455" s="7"/>
      <c r="G2455" s="7"/>
      <c r="H2455" s="7"/>
      <c r="I2455" s="7"/>
      <c r="J2455" s="7"/>
      <c r="K2455" s="7"/>
      <c r="L2455" s="27"/>
      <c r="N2455" s="8"/>
      <c r="O2455" s="7"/>
      <c r="P2455" s="7"/>
      <c r="Q2455" s="7"/>
      <c r="R2455" s="7"/>
    </row>
    <row r="2456" spans="3:18">
      <c r="C2456" s="7"/>
      <c r="D2456" s="7"/>
      <c r="E2456" s="7"/>
      <c r="F2456" s="7"/>
      <c r="G2456" s="7"/>
      <c r="H2456" s="7"/>
      <c r="I2456" s="7"/>
      <c r="J2456" s="7"/>
      <c r="K2456" s="7"/>
      <c r="L2456" s="27"/>
      <c r="N2456" s="8"/>
      <c r="O2456" s="7"/>
      <c r="P2456" s="7"/>
      <c r="Q2456" s="7"/>
      <c r="R2456" s="7"/>
    </row>
    <row r="2457" spans="3:18">
      <c r="C2457" s="7"/>
      <c r="D2457" s="7"/>
      <c r="E2457" s="7"/>
      <c r="F2457" s="7"/>
      <c r="G2457" s="7"/>
      <c r="H2457" s="7"/>
      <c r="I2457" s="7"/>
      <c r="J2457" s="7"/>
      <c r="K2457" s="7"/>
      <c r="L2457" s="27"/>
      <c r="N2457" s="8"/>
      <c r="O2457" s="7"/>
      <c r="P2457" s="7"/>
      <c r="Q2457" s="7"/>
      <c r="R2457" s="7"/>
    </row>
    <row r="2458" spans="3:18">
      <c r="C2458" s="7"/>
      <c r="D2458" s="7"/>
      <c r="E2458" s="7"/>
      <c r="F2458" s="7"/>
      <c r="G2458" s="7"/>
      <c r="H2458" s="7"/>
      <c r="I2458" s="7"/>
      <c r="J2458" s="7"/>
      <c r="K2458" s="7"/>
      <c r="L2458" s="27"/>
      <c r="N2458" s="8"/>
      <c r="O2458" s="7"/>
      <c r="P2458" s="7"/>
      <c r="Q2458" s="7"/>
      <c r="R2458" s="7"/>
    </row>
    <row r="2459" spans="3:18">
      <c r="C2459" s="7"/>
      <c r="D2459" s="7"/>
      <c r="E2459" s="7"/>
      <c r="F2459" s="7"/>
      <c r="G2459" s="7"/>
      <c r="H2459" s="7"/>
      <c r="I2459" s="7"/>
      <c r="J2459" s="7"/>
      <c r="K2459" s="7"/>
      <c r="L2459" s="27"/>
      <c r="N2459" s="8"/>
      <c r="O2459" s="7"/>
      <c r="P2459" s="7"/>
      <c r="Q2459" s="7"/>
      <c r="R2459" s="7"/>
    </row>
    <row r="2460" spans="3:18">
      <c r="C2460" s="7"/>
      <c r="D2460" s="7"/>
      <c r="E2460" s="7"/>
      <c r="F2460" s="7"/>
      <c r="G2460" s="7"/>
      <c r="H2460" s="7"/>
      <c r="I2460" s="7"/>
      <c r="J2460" s="7"/>
      <c r="K2460" s="7"/>
      <c r="L2460" s="27"/>
      <c r="N2460" s="8"/>
      <c r="O2460" s="7"/>
      <c r="P2460" s="7"/>
      <c r="Q2460" s="7"/>
      <c r="R2460" s="7"/>
    </row>
    <row r="2461" spans="3:18">
      <c r="C2461" s="7"/>
      <c r="D2461" s="7"/>
      <c r="E2461" s="7"/>
      <c r="F2461" s="7"/>
      <c r="G2461" s="7"/>
      <c r="H2461" s="7"/>
      <c r="I2461" s="7"/>
      <c r="J2461" s="7"/>
      <c r="K2461" s="7"/>
      <c r="L2461" s="27"/>
      <c r="N2461" s="8"/>
      <c r="O2461" s="7"/>
      <c r="P2461" s="7"/>
      <c r="Q2461" s="7"/>
      <c r="R2461" s="7"/>
    </row>
    <row r="2462" spans="3:18">
      <c r="C2462" s="7"/>
      <c r="D2462" s="7"/>
      <c r="E2462" s="7"/>
      <c r="F2462" s="7"/>
      <c r="G2462" s="7"/>
      <c r="H2462" s="7"/>
      <c r="I2462" s="7"/>
      <c r="J2462" s="7"/>
      <c r="K2462" s="7"/>
      <c r="L2462" s="27"/>
      <c r="N2462" s="8"/>
      <c r="O2462" s="7"/>
      <c r="P2462" s="7"/>
      <c r="Q2462" s="7"/>
      <c r="R2462" s="7"/>
    </row>
    <row r="2463" spans="3:18">
      <c r="C2463" s="7"/>
      <c r="D2463" s="7"/>
      <c r="E2463" s="7"/>
      <c r="F2463" s="7"/>
      <c r="G2463" s="7"/>
      <c r="H2463" s="7"/>
      <c r="I2463" s="7"/>
      <c r="J2463" s="7"/>
      <c r="K2463" s="7"/>
      <c r="L2463" s="27"/>
      <c r="N2463" s="8"/>
      <c r="O2463" s="7"/>
      <c r="P2463" s="7"/>
      <c r="Q2463" s="7"/>
      <c r="R2463" s="7"/>
    </row>
    <row r="2464" spans="3:18">
      <c r="C2464" s="7"/>
      <c r="D2464" s="7"/>
      <c r="E2464" s="7"/>
      <c r="F2464" s="7"/>
      <c r="G2464" s="7"/>
      <c r="H2464" s="7"/>
      <c r="I2464" s="7"/>
      <c r="J2464" s="7"/>
      <c r="K2464" s="7"/>
      <c r="L2464" s="27"/>
      <c r="N2464" s="8"/>
      <c r="O2464" s="7"/>
      <c r="P2464" s="7"/>
      <c r="Q2464" s="7"/>
      <c r="R2464" s="7"/>
    </row>
    <row r="2465" spans="3:18">
      <c r="C2465" s="7"/>
      <c r="D2465" s="7"/>
      <c r="E2465" s="7"/>
      <c r="F2465" s="7"/>
      <c r="G2465" s="7"/>
      <c r="H2465" s="7"/>
      <c r="I2465" s="7"/>
      <c r="J2465" s="7"/>
      <c r="K2465" s="7"/>
      <c r="L2465" s="27"/>
      <c r="N2465" s="8"/>
      <c r="O2465" s="7"/>
      <c r="P2465" s="7"/>
      <c r="Q2465" s="7"/>
      <c r="R2465" s="7"/>
    </row>
    <row r="2466" spans="3:18">
      <c r="C2466" s="7"/>
      <c r="D2466" s="7"/>
      <c r="E2466" s="7"/>
      <c r="F2466" s="7"/>
      <c r="G2466" s="7"/>
      <c r="H2466" s="7"/>
      <c r="I2466" s="7"/>
      <c r="J2466" s="7"/>
      <c r="K2466" s="7"/>
      <c r="L2466" s="27"/>
      <c r="N2466" s="8"/>
      <c r="O2466" s="7"/>
      <c r="P2466" s="7"/>
      <c r="Q2466" s="7"/>
      <c r="R2466" s="7"/>
    </row>
    <row r="2467" spans="3:18">
      <c r="C2467" s="7"/>
      <c r="D2467" s="7"/>
      <c r="E2467" s="7"/>
      <c r="F2467" s="7"/>
      <c r="G2467" s="7"/>
      <c r="H2467" s="7"/>
      <c r="I2467" s="7"/>
      <c r="J2467" s="7"/>
      <c r="K2467" s="7"/>
      <c r="L2467" s="27"/>
      <c r="N2467" s="8"/>
      <c r="O2467" s="7"/>
      <c r="P2467" s="7"/>
      <c r="Q2467" s="7"/>
      <c r="R2467" s="7"/>
    </row>
    <row r="2468" spans="3:18">
      <c r="C2468" s="7"/>
      <c r="D2468" s="7"/>
      <c r="E2468" s="7"/>
      <c r="F2468" s="7"/>
      <c r="G2468" s="7"/>
      <c r="H2468" s="7"/>
      <c r="I2468" s="7"/>
      <c r="J2468" s="7"/>
      <c r="K2468" s="7"/>
      <c r="L2468" s="27"/>
      <c r="N2468" s="8"/>
      <c r="O2468" s="7"/>
      <c r="P2468" s="7"/>
      <c r="Q2468" s="7"/>
      <c r="R2468" s="7"/>
    </row>
    <row r="2469" spans="3:18">
      <c r="C2469" s="7"/>
      <c r="D2469" s="7"/>
      <c r="E2469" s="7"/>
      <c r="F2469" s="7"/>
      <c r="G2469" s="7"/>
      <c r="H2469" s="7"/>
      <c r="I2469" s="7"/>
      <c r="J2469" s="7"/>
      <c r="K2469" s="7"/>
      <c r="L2469" s="27"/>
      <c r="N2469" s="8"/>
      <c r="O2469" s="7"/>
      <c r="P2469" s="7"/>
      <c r="Q2469" s="7"/>
      <c r="R2469" s="7"/>
    </row>
    <row r="2470" spans="3:18">
      <c r="C2470" s="7"/>
      <c r="D2470" s="7"/>
      <c r="E2470" s="7"/>
      <c r="F2470" s="7"/>
      <c r="G2470" s="7"/>
      <c r="H2470" s="7"/>
      <c r="I2470" s="7"/>
      <c r="J2470" s="7"/>
      <c r="K2470" s="7"/>
      <c r="L2470" s="27"/>
      <c r="N2470" s="8"/>
      <c r="O2470" s="7"/>
      <c r="P2470" s="7"/>
      <c r="Q2470" s="7"/>
      <c r="R2470" s="7"/>
    </row>
    <row r="2471" spans="3:18">
      <c r="C2471" s="7"/>
      <c r="D2471" s="7"/>
      <c r="E2471" s="7"/>
      <c r="F2471" s="7"/>
      <c r="G2471" s="7"/>
      <c r="H2471" s="7"/>
      <c r="I2471" s="7"/>
      <c r="J2471" s="7"/>
      <c r="K2471" s="7"/>
      <c r="L2471" s="27"/>
      <c r="N2471" s="8"/>
      <c r="O2471" s="7"/>
      <c r="P2471" s="7"/>
      <c r="Q2471" s="7"/>
      <c r="R2471" s="7"/>
    </row>
    <row r="2472" spans="3:18">
      <c r="C2472" s="7"/>
      <c r="D2472" s="7"/>
      <c r="E2472" s="7"/>
      <c r="F2472" s="7"/>
      <c r="G2472" s="7"/>
      <c r="H2472" s="7"/>
      <c r="I2472" s="7"/>
      <c r="J2472" s="7"/>
      <c r="K2472" s="7"/>
      <c r="L2472" s="27"/>
      <c r="N2472" s="8"/>
      <c r="O2472" s="7"/>
      <c r="P2472" s="7"/>
      <c r="Q2472" s="7"/>
      <c r="R2472" s="7"/>
    </row>
    <row r="2473" spans="3:18">
      <c r="C2473" s="7"/>
      <c r="D2473" s="7"/>
      <c r="E2473" s="7"/>
      <c r="F2473" s="7"/>
      <c r="G2473" s="7"/>
      <c r="H2473" s="7"/>
      <c r="I2473" s="7"/>
      <c r="J2473" s="7"/>
      <c r="K2473" s="7"/>
      <c r="L2473" s="27"/>
      <c r="N2473" s="8"/>
      <c r="O2473" s="7"/>
      <c r="P2473" s="7"/>
      <c r="Q2473" s="7"/>
      <c r="R2473" s="7"/>
    </row>
    <row r="2474" spans="3:18">
      <c r="C2474" s="7"/>
      <c r="D2474" s="7"/>
      <c r="E2474" s="7"/>
      <c r="F2474" s="7"/>
      <c r="G2474" s="7"/>
      <c r="H2474" s="7"/>
      <c r="I2474" s="7"/>
      <c r="J2474" s="7"/>
      <c r="K2474" s="7"/>
      <c r="L2474" s="27"/>
      <c r="N2474" s="8"/>
      <c r="O2474" s="7"/>
      <c r="P2474" s="7"/>
      <c r="Q2474" s="7"/>
      <c r="R2474" s="7"/>
    </row>
    <row r="2475" spans="3:18">
      <c r="C2475" s="7"/>
      <c r="D2475" s="7"/>
      <c r="E2475" s="7"/>
      <c r="F2475" s="7"/>
      <c r="G2475" s="7"/>
      <c r="H2475" s="7"/>
      <c r="I2475" s="7"/>
      <c r="J2475" s="7"/>
      <c r="K2475" s="7"/>
      <c r="L2475" s="27"/>
      <c r="N2475" s="8"/>
      <c r="O2475" s="7"/>
      <c r="P2475" s="7"/>
      <c r="Q2475" s="7"/>
      <c r="R2475" s="7"/>
    </row>
    <row r="2476" spans="3:18">
      <c r="C2476" s="7"/>
      <c r="D2476" s="7"/>
      <c r="E2476" s="7"/>
      <c r="F2476" s="7"/>
      <c r="G2476" s="7"/>
      <c r="H2476" s="7"/>
      <c r="I2476" s="7"/>
      <c r="J2476" s="7"/>
      <c r="K2476" s="7"/>
      <c r="L2476" s="27"/>
      <c r="N2476" s="8"/>
      <c r="O2476" s="7"/>
      <c r="P2476" s="7"/>
      <c r="Q2476" s="7"/>
      <c r="R2476" s="7"/>
    </row>
    <row r="2477" spans="3:18">
      <c r="C2477" s="7"/>
      <c r="D2477" s="7"/>
      <c r="E2477" s="7"/>
      <c r="F2477" s="7"/>
      <c r="G2477" s="7"/>
      <c r="H2477" s="7"/>
      <c r="I2477" s="7"/>
      <c r="J2477" s="7"/>
      <c r="K2477" s="7"/>
      <c r="L2477" s="27"/>
      <c r="N2477" s="8"/>
      <c r="O2477" s="7"/>
      <c r="P2477" s="7"/>
      <c r="Q2477" s="7"/>
      <c r="R2477" s="7"/>
    </row>
    <row r="2478" spans="3:18">
      <c r="C2478" s="7"/>
      <c r="D2478" s="7"/>
      <c r="E2478" s="7"/>
      <c r="F2478" s="7"/>
      <c r="G2478" s="7"/>
      <c r="H2478" s="7"/>
      <c r="I2478" s="7"/>
      <c r="J2478" s="7"/>
      <c r="K2478" s="7"/>
      <c r="L2478" s="27"/>
      <c r="N2478" s="8"/>
      <c r="O2478" s="7"/>
      <c r="P2478" s="7"/>
      <c r="Q2478" s="7"/>
      <c r="R2478" s="7"/>
    </row>
    <row r="2479" spans="3:18">
      <c r="C2479" s="7"/>
      <c r="D2479" s="7"/>
      <c r="E2479" s="7"/>
      <c r="F2479" s="7"/>
      <c r="G2479" s="7"/>
      <c r="H2479" s="7"/>
      <c r="I2479" s="7"/>
      <c r="J2479" s="7"/>
      <c r="K2479" s="7"/>
      <c r="L2479" s="27"/>
      <c r="N2479" s="8"/>
      <c r="O2479" s="7"/>
      <c r="P2479" s="7"/>
      <c r="Q2479" s="7"/>
      <c r="R2479" s="7"/>
    </row>
    <row r="2480" spans="3:18">
      <c r="C2480" s="7"/>
      <c r="D2480" s="7"/>
      <c r="E2480" s="7"/>
      <c r="F2480" s="7"/>
      <c r="G2480" s="7"/>
      <c r="H2480" s="7"/>
      <c r="I2480" s="7"/>
      <c r="J2480" s="7"/>
      <c r="K2480" s="7"/>
      <c r="L2480" s="27"/>
      <c r="N2480" s="8"/>
      <c r="O2480" s="7"/>
      <c r="P2480" s="7"/>
      <c r="Q2480" s="7"/>
      <c r="R2480" s="7"/>
    </row>
    <row r="2481" spans="3:18">
      <c r="C2481" s="7"/>
      <c r="D2481" s="7"/>
      <c r="E2481" s="7"/>
      <c r="F2481" s="7"/>
      <c r="G2481" s="7"/>
      <c r="H2481" s="7"/>
      <c r="I2481" s="7"/>
      <c r="J2481" s="7"/>
      <c r="K2481" s="7"/>
      <c r="L2481" s="27"/>
      <c r="N2481" s="8"/>
      <c r="O2481" s="7"/>
      <c r="P2481" s="7"/>
      <c r="Q2481" s="7"/>
      <c r="R2481" s="7"/>
    </row>
    <row r="2482" spans="3:18">
      <c r="C2482" s="7"/>
      <c r="D2482" s="7"/>
      <c r="E2482" s="7"/>
      <c r="F2482" s="7"/>
      <c r="G2482" s="7"/>
      <c r="H2482" s="7"/>
      <c r="I2482" s="7"/>
      <c r="J2482" s="7"/>
      <c r="K2482" s="7"/>
      <c r="L2482" s="27"/>
      <c r="N2482" s="8"/>
      <c r="O2482" s="7"/>
      <c r="P2482" s="7"/>
      <c r="Q2482" s="7"/>
      <c r="R2482" s="7"/>
    </row>
    <row r="2483" spans="3:18">
      <c r="C2483" s="7"/>
      <c r="D2483" s="7"/>
      <c r="E2483" s="7"/>
      <c r="F2483" s="7"/>
      <c r="G2483" s="7"/>
      <c r="H2483" s="7"/>
      <c r="I2483" s="7"/>
      <c r="J2483" s="7"/>
      <c r="K2483" s="7"/>
      <c r="L2483" s="27"/>
      <c r="N2483" s="8"/>
      <c r="O2483" s="7"/>
      <c r="P2483" s="7"/>
      <c r="Q2483" s="7"/>
      <c r="R2483" s="7"/>
    </row>
    <row r="2484" spans="3:18">
      <c r="C2484" s="7"/>
      <c r="D2484" s="7"/>
      <c r="E2484" s="7"/>
      <c r="F2484" s="7"/>
      <c r="G2484" s="7"/>
      <c r="H2484" s="7"/>
      <c r="I2484" s="7"/>
      <c r="J2484" s="7"/>
      <c r="K2484" s="7"/>
      <c r="L2484" s="27"/>
      <c r="N2484" s="8"/>
      <c r="O2484" s="7"/>
      <c r="P2484" s="7"/>
      <c r="Q2484" s="7"/>
      <c r="R2484" s="7"/>
    </row>
    <row r="2485" spans="3:18">
      <c r="C2485" s="7"/>
      <c r="D2485" s="7"/>
      <c r="E2485" s="7"/>
      <c r="F2485" s="7"/>
      <c r="G2485" s="7"/>
      <c r="H2485" s="7"/>
      <c r="I2485" s="7"/>
      <c r="J2485" s="7"/>
      <c r="K2485" s="7"/>
      <c r="L2485" s="27"/>
      <c r="N2485" s="8"/>
      <c r="O2485" s="7"/>
      <c r="P2485" s="7"/>
      <c r="Q2485" s="7"/>
      <c r="R2485" s="7"/>
    </row>
    <row r="2486" spans="3:18">
      <c r="C2486" s="7"/>
      <c r="D2486" s="7"/>
      <c r="E2486" s="7"/>
      <c r="F2486" s="7"/>
      <c r="G2486" s="7"/>
      <c r="H2486" s="7"/>
      <c r="I2486" s="7"/>
      <c r="J2486" s="7"/>
      <c r="K2486" s="7"/>
      <c r="L2486" s="27"/>
      <c r="N2486" s="8"/>
      <c r="O2486" s="7"/>
      <c r="P2486" s="7"/>
      <c r="Q2486" s="7"/>
      <c r="R2486" s="7"/>
    </row>
    <row r="2487" spans="3:18">
      <c r="C2487" s="7"/>
      <c r="D2487" s="7"/>
      <c r="E2487" s="7"/>
      <c r="F2487" s="7"/>
      <c r="G2487" s="7"/>
      <c r="H2487" s="7"/>
      <c r="I2487" s="7"/>
      <c r="J2487" s="7"/>
      <c r="K2487" s="7"/>
      <c r="L2487" s="27"/>
      <c r="N2487" s="8"/>
      <c r="O2487" s="7"/>
      <c r="P2487" s="7"/>
      <c r="Q2487" s="7"/>
      <c r="R2487" s="7"/>
    </row>
    <row r="2488" spans="3:18">
      <c r="C2488" s="7"/>
      <c r="D2488" s="7"/>
      <c r="E2488" s="7"/>
      <c r="F2488" s="7"/>
      <c r="G2488" s="7"/>
      <c r="H2488" s="7"/>
      <c r="I2488" s="7"/>
      <c r="J2488" s="7"/>
      <c r="K2488" s="7"/>
      <c r="L2488" s="27"/>
      <c r="N2488" s="8"/>
      <c r="O2488" s="7"/>
      <c r="P2488" s="7"/>
      <c r="Q2488" s="7"/>
      <c r="R2488" s="7"/>
    </row>
    <row r="2489" spans="3:18">
      <c r="C2489" s="7"/>
      <c r="D2489" s="7"/>
      <c r="E2489" s="7"/>
      <c r="F2489" s="7"/>
      <c r="G2489" s="7"/>
      <c r="H2489" s="7"/>
      <c r="I2489" s="7"/>
      <c r="J2489" s="7"/>
      <c r="K2489" s="7"/>
      <c r="L2489" s="27"/>
      <c r="N2489" s="8"/>
      <c r="O2489" s="7"/>
      <c r="P2489" s="7"/>
      <c r="Q2489" s="7"/>
      <c r="R2489" s="7"/>
    </row>
    <row r="2490" spans="3:18">
      <c r="C2490" s="7"/>
      <c r="D2490" s="7"/>
      <c r="E2490" s="7"/>
      <c r="F2490" s="7"/>
      <c r="G2490" s="7"/>
      <c r="H2490" s="7"/>
      <c r="I2490" s="7"/>
      <c r="J2490" s="7"/>
      <c r="K2490" s="7"/>
      <c r="L2490" s="27"/>
      <c r="N2490" s="8"/>
      <c r="O2490" s="7"/>
      <c r="P2490" s="7"/>
      <c r="Q2490" s="7"/>
      <c r="R2490" s="7"/>
    </row>
    <row r="2491" spans="3:18">
      <c r="C2491" s="7"/>
      <c r="D2491" s="7"/>
      <c r="E2491" s="7"/>
      <c r="F2491" s="7"/>
      <c r="G2491" s="7"/>
      <c r="H2491" s="7"/>
      <c r="I2491" s="7"/>
      <c r="J2491" s="7"/>
      <c r="K2491" s="7"/>
      <c r="L2491" s="27"/>
      <c r="N2491" s="8"/>
      <c r="O2491" s="7"/>
      <c r="P2491" s="7"/>
      <c r="Q2491" s="7"/>
      <c r="R2491" s="7"/>
    </row>
    <row r="2492" spans="3:18">
      <c r="C2492" s="7"/>
      <c r="D2492" s="7"/>
      <c r="E2492" s="7"/>
      <c r="F2492" s="7"/>
      <c r="G2492" s="7"/>
      <c r="H2492" s="7"/>
      <c r="I2492" s="7"/>
      <c r="J2492" s="7"/>
      <c r="K2492" s="7"/>
      <c r="L2492" s="27"/>
      <c r="N2492" s="8"/>
      <c r="O2492" s="7"/>
      <c r="P2492" s="7"/>
      <c r="Q2492" s="7"/>
      <c r="R2492" s="7"/>
    </row>
    <row r="2493" spans="3:18">
      <c r="C2493" s="7"/>
      <c r="D2493" s="7"/>
      <c r="E2493" s="7"/>
      <c r="F2493" s="7"/>
      <c r="G2493" s="7"/>
      <c r="H2493" s="7"/>
      <c r="I2493" s="7"/>
      <c r="J2493" s="7"/>
      <c r="K2493" s="7"/>
      <c r="L2493" s="27"/>
      <c r="N2493" s="8"/>
      <c r="O2493" s="7"/>
      <c r="P2493" s="7"/>
      <c r="Q2493" s="7"/>
      <c r="R2493" s="7"/>
    </row>
    <row r="2494" spans="3:18">
      <c r="C2494" s="7"/>
      <c r="D2494" s="7"/>
      <c r="E2494" s="7"/>
      <c r="F2494" s="7"/>
      <c r="G2494" s="7"/>
      <c r="H2494" s="7"/>
      <c r="I2494" s="7"/>
      <c r="J2494" s="7"/>
      <c r="K2494" s="7"/>
      <c r="L2494" s="27"/>
      <c r="N2494" s="8"/>
      <c r="O2494" s="7"/>
      <c r="P2494" s="7"/>
      <c r="Q2494" s="7"/>
      <c r="R2494" s="7"/>
    </row>
    <row r="2495" spans="3:18">
      <c r="C2495" s="7"/>
      <c r="D2495" s="7"/>
      <c r="E2495" s="7"/>
      <c r="F2495" s="7"/>
      <c r="G2495" s="7"/>
      <c r="H2495" s="7"/>
      <c r="I2495" s="7"/>
      <c r="J2495" s="7"/>
      <c r="K2495" s="7"/>
      <c r="L2495" s="27"/>
      <c r="N2495" s="8"/>
      <c r="O2495" s="7"/>
      <c r="P2495" s="7"/>
      <c r="Q2495" s="7"/>
      <c r="R2495" s="7"/>
    </row>
    <row r="2496" spans="3:18">
      <c r="C2496" s="7"/>
      <c r="D2496" s="7"/>
      <c r="E2496" s="7"/>
      <c r="F2496" s="7"/>
      <c r="G2496" s="7"/>
      <c r="H2496" s="7"/>
      <c r="I2496" s="7"/>
      <c r="J2496" s="7"/>
      <c r="K2496" s="7"/>
      <c r="L2496" s="27"/>
      <c r="N2496" s="8"/>
      <c r="O2496" s="7"/>
      <c r="P2496" s="7"/>
      <c r="Q2496" s="7"/>
      <c r="R2496" s="7"/>
    </row>
    <row r="2497" spans="3:18">
      <c r="C2497" s="7"/>
      <c r="D2497" s="7"/>
      <c r="E2497" s="7"/>
      <c r="F2497" s="7"/>
      <c r="G2497" s="7"/>
      <c r="H2497" s="7"/>
      <c r="I2497" s="7"/>
      <c r="J2497" s="7"/>
      <c r="K2497" s="7"/>
      <c r="L2497" s="27"/>
      <c r="N2497" s="8"/>
      <c r="O2497" s="7"/>
      <c r="P2497" s="7"/>
      <c r="Q2497" s="7"/>
      <c r="R2497" s="7"/>
    </row>
    <row r="2498" spans="3:18">
      <c r="C2498" s="7"/>
      <c r="D2498" s="7"/>
      <c r="E2498" s="7"/>
      <c r="F2498" s="7"/>
      <c r="G2498" s="7"/>
      <c r="H2498" s="7"/>
      <c r="I2498" s="7"/>
      <c r="J2498" s="7"/>
      <c r="K2498" s="7"/>
      <c r="L2498" s="27"/>
      <c r="N2498" s="8"/>
      <c r="O2498" s="7"/>
      <c r="P2498" s="7"/>
      <c r="Q2498" s="7"/>
      <c r="R2498" s="7"/>
    </row>
    <row r="2499" spans="3:18">
      <c r="C2499" s="7"/>
      <c r="D2499" s="7"/>
      <c r="E2499" s="7"/>
      <c r="F2499" s="7"/>
      <c r="G2499" s="7"/>
      <c r="H2499" s="7"/>
      <c r="I2499" s="7"/>
      <c r="J2499" s="7"/>
      <c r="K2499" s="7"/>
      <c r="L2499" s="27"/>
      <c r="N2499" s="8"/>
      <c r="O2499" s="7"/>
      <c r="P2499" s="7"/>
      <c r="Q2499" s="7"/>
      <c r="R2499" s="7"/>
    </row>
    <row r="2500" spans="3:18">
      <c r="C2500" s="7"/>
      <c r="D2500" s="7"/>
      <c r="E2500" s="7"/>
      <c r="F2500" s="7"/>
      <c r="G2500" s="7"/>
      <c r="H2500" s="7"/>
      <c r="I2500" s="7"/>
      <c r="J2500" s="7"/>
      <c r="K2500" s="7"/>
      <c r="L2500" s="27"/>
      <c r="N2500" s="8"/>
      <c r="O2500" s="7"/>
      <c r="P2500" s="7"/>
      <c r="Q2500" s="7"/>
      <c r="R2500" s="7"/>
    </row>
    <row r="2501" spans="3:18">
      <c r="C2501" s="7"/>
      <c r="D2501" s="7"/>
      <c r="E2501" s="7"/>
      <c r="F2501" s="7"/>
      <c r="G2501" s="7"/>
      <c r="H2501" s="7"/>
      <c r="I2501" s="7"/>
      <c r="J2501" s="7"/>
      <c r="K2501" s="7"/>
      <c r="L2501" s="27"/>
      <c r="N2501" s="8"/>
      <c r="O2501" s="7"/>
      <c r="P2501" s="7"/>
      <c r="Q2501" s="7"/>
      <c r="R2501" s="7"/>
    </row>
    <row r="2502" spans="3:18">
      <c r="C2502" s="7"/>
      <c r="D2502" s="7"/>
      <c r="E2502" s="7"/>
      <c r="F2502" s="7"/>
      <c r="G2502" s="7"/>
      <c r="H2502" s="7"/>
      <c r="I2502" s="7"/>
      <c r="J2502" s="7"/>
      <c r="K2502" s="7"/>
      <c r="L2502" s="27"/>
      <c r="N2502" s="8"/>
      <c r="O2502" s="7"/>
      <c r="P2502" s="7"/>
      <c r="Q2502" s="7"/>
      <c r="R2502" s="7"/>
    </row>
    <row r="2503" spans="3:18">
      <c r="C2503" s="7"/>
      <c r="D2503" s="7"/>
      <c r="E2503" s="7"/>
      <c r="F2503" s="7"/>
      <c r="G2503" s="7"/>
      <c r="H2503" s="7"/>
      <c r="I2503" s="7"/>
      <c r="J2503" s="7"/>
      <c r="K2503" s="7"/>
      <c r="L2503" s="27"/>
      <c r="N2503" s="8"/>
      <c r="O2503" s="7"/>
      <c r="P2503" s="7"/>
      <c r="Q2503" s="7"/>
      <c r="R2503" s="7"/>
    </row>
    <row r="2504" spans="3:18">
      <c r="C2504" s="7"/>
      <c r="D2504" s="7"/>
      <c r="E2504" s="7"/>
      <c r="F2504" s="7"/>
      <c r="G2504" s="7"/>
      <c r="H2504" s="7"/>
      <c r="I2504" s="7"/>
      <c r="J2504" s="7"/>
      <c r="K2504" s="7"/>
      <c r="L2504" s="27"/>
      <c r="N2504" s="8"/>
      <c r="O2504" s="7"/>
      <c r="P2504" s="7"/>
      <c r="Q2504" s="7"/>
      <c r="R2504" s="7"/>
    </row>
    <row r="2505" spans="3:18">
      <c r="C2505" s="7"/>
      <c r="D2505" s="7"/>
      <c r="E2505" s="7"/>
      <c r="F2505" s="7"/>
      <c r="G2505" s="7"/>
      <c r="H2505" s="7"/>
      <c r="I2505" s="7"/>
      <c r="J2505" s="7"/>
      <c r="K2505" s="7"/>
      <c r="L2505" s="27"/>
      <c r="N2505" s="8"/>
      <c r="O2505" s="7"/>
      <c r="P2505" s="7"/>
      <c r="Q2505" s="7"/>
      <c r="R2505" s="7"/>
    </row>
    <row r="2506" spans="3:18">
      <c r="C2506" s="7"/>
      <c r="D2506" s="7"/>
      <c r="E2506" s="7"/>
      <c r="F2506" s="7"/>
      <c r="G2506" s="7"/>
      <c r="H2506" s="7"/>
      <c r="I2506" s="7"/>
      <c r="J2506" s="7"/>
      <c r="K2506" s="7"/>
      <c r="L2506" s="27"/>
      <c r="N2506" s="8"/>
      <c r="O2506" s="7"/>
      <c r="P2506" s="7"/>
      <c r="Q2506" s="7"/>
      <c r="R2506" s="7"/>
    </row>
    <row r="2507" spans="3:18">
      <c r="C2507" s="7"/>
      <c r="D2507" s="7"/>
      <c r="E2507" s="7"/>
      <c r="F2507" s="7"/>
      <c r="G2507" s="7"/>
      <c r="H2507" s="7"/>
      <c r="I2507" s="7"/>
      <c r="J2507" s="7"/>
      <c r="K2507" s="7"/>
      <c r="L2507" s="27"/>
      <c r="N2507" s="8"/>
      <c r="O2507" s="7"/>
      <c r="P2507" s="7"/>
      <c r="Q2507" s="7"/>
      <c r="R2507" s="7"/>
    </row>
    <row r="2508" spans="3:18">
      <c r="C2508" s="7"/>
      <c r="D2508" s="7"/>
      <c r="E2508" s="7"/>
      <c r="F2508" s="7"/>
      <c r="G2508" s="7"/>
      <c r="H2508" s="7"/>
      <c r="I2508" s="7"/>
      <c r="J2508" s="7"/>
      <c r="K2508" s="7"/>
      <c r="L2508" s="27"/>
      <c r="N2508" s="8"/>
      <c r="O2508" s="7"/>
      <c r="P2508" s="7"/>
      <c r="Q2508" s="7"/>
      <c r="R2508" s="7"/>
    </row>
    <row r="2509" spans="3:18">
      <c r="C2509" s="7"/>
      <c r="D2509" s="7"/>
      <c r="E2509" s="7"/>
      <c r="F2509" s="7"/>
      <c r="G2509" s="7"/>
      <c r="H2509" s="7"/>
      <c r="I2509" s="7"/>
      <c r="J2509" s="7"/>
      <c r="K2509" s="7"/>
      <c r="L2509" s="27"/>
      <c r="N2509" s="8"/>
      <c r="O2509" s="7"/>
      <c r="P2509" s="7"/>
      <c r="Q2509" s="7"/>
      <c r="R2509" s="7"/>
    </row>
    <row r="2510" spans="3:18">
      <c r="C2510" s="7"/>
      <c r="D2510" s="7"/>
      <c r="E2510" s="7"/>
      <c r="F2510" s="7"/>
      <c r="G2510" s="7"/>
      <c r="H2510" s="7"/>
      <c r="I2510" s="7"/>
      <c r="J2510" s="7"/>
      <c r="K2510" s="7"/>
      <c r="L2510" s="27"/>
      <c r="N2510" s="8"/>
      <c r="O2510" s="7"/>
      <c r="P2510" s="7"/>
      <c r="Q2510" s="7"/>
      <c r="R2510" s="7"/>
    </row>
    <row r="2511" spans="3:18">
      <c r="C2511" s="7"/>
      <c r="D2511" s="7"/>
      <c r="E2511" s="7"/>
      <c r="F2511" s="7"/>
      <c r="G2511" s="7"/>
      <c r="H2511" s="7"/>
      <c r="I2511" s="7"/>
      <c r="J2511" s="7"/>
      <c r="K2511" s="7"/>
      <c r="L2511" s="27"/>
      <c r="N2511" s="8"/>
      <c r="O2511" s="7"/>
      <c r="P2511" s="7"/>
      <c r="Q2511" s="7"/>
      <c r="R2511" s="7"/>
    </row>
    <row r="2512" spans="3:18">
      <c r="C2512" s="7"/>
      <c r="D2512" s="7"/>
      <c r="E2512" s="7"/>
      <c r="F2512" s="7"/>
      <c r="G2512" s="7"/>
      <c r="H2512" s="7"/>
      <c r="I2512" s="7"/>
      <c r="J2512" s="7"/>
      <c r="K2512" s="7"/>
      <c r="L2512" s="27"/>
      <c r="N2512" s="8"/>
      <c r="O2512" s="7"/>
      <c r="P2512" s="7"/>
      <c r="Q2512" s="7"/>
      <c r="R2512" s="7"/>
    </row>
    <row r="2513" spans="3:18">
      <c r="C2513" s="7"/>
      <c r="D2513" s="7"/>
      <c r="E2513" s="7"/>
      <c r="F2513" s="7"/>
      <c r="G2513" s="7"/>
      <c r="H2513" s="7"/>
      <c r="I2513" s="7"/>
      <c r="J2513" s="7"/>
      <c r="K2513" s="7"/>
      <c r="L2513" s="27"/>
      <c r="N2513" s="8"/>
      <c r="O2513" s="7"/>
      <c r="P2513" s="7"/>
      <c r="Q2513" s="7"/>
      <c r="R2513" s="7"/>
    </row>
    <row r="2514" spans="3:18">
      <c r="C2514" s="7"/>
      <c r="D2514" s="7"/>
      <c r="E2514" s="7"/>
      <c r="F2514" s="7"/>
      <c r="G2514" s="7"/>
      <c r="H2514" s="7"/>
      <c r="I2514" s="7"/>
      <c r="J2514" s="7"/>
      <c r="K2514" s="7"/>
      <c r="L2514" s="27"/>
      <c r="N2514" s="8"/>
      <c r="O2514" s="7"/>
      <c r="P2514" s="7"/>
      <c r="Q2514" s="7"/>
      <c r="R2514" s="7"/>
    </row>
    <row r="2515" spans="3:18">
      <c r="C2515" s="7"/>
      <c r="D2515" s="7"/>
      <c r="E2515" s="7"/>
      <c r="F2515" s="7"/>
      <c r="G2515" s="7"/>
      <c r="H2515" s="7"/>
      <c r="I2515" s="7"/>
      <c r="J2515" s="7"/>
      <c r="K2515" s="7"/>
      <c r="L2515" s="27"/>
      <c r="N2515" s="8"/>
      <c r="O2515" s="7"/>
      <c r="P2515" s="7"/>
      <c r="Q2515" s="7"/>
      <c r="R2515" s="7"/>
    </row>
    <row r="2516" spans="3:18">
      <c r="C2516" s="7"/>
      <c r="D2516" s="7"/>
      <c r="E2516" s="7"/>
      <c r="F2516" s="7"/>
      <c r="G2516" s="7"/>
      <c r="H2516" s="7"/>
      <c r="I2516" s="7"/>
      <c r="J2516" s="7"/>
      <c r="K2516" s="7"/>
      <c r="L2516" s="27"/>
      <c r="N2516" s="8"/>
      <c r="O2516" s="7"/>
      <c r="P2516" s="7"/>
      <c r="Q2516" s="7"/>
      <c r="R2516" s="7"/>
    </row>
    <row r="2517" spans="3:18">
      <c r="C2517" s="7"/>
      <c r="D2517" s="7"/>
      <c r="E2517" s="7"/>
      <c r="F2517" s="7"/>
      <c r="G2517" s="7"/>
      <c r="H2517" s="7"/>
      <c r="I2517" s="7"/>
      <c r="J2517" s="7"/>
      <c r="K2517" s="7"/>
      <c r="L2517" s="27"/>
      <c r="N2517" s="8"/>
      <c r="O2517" s="7"/>
      <c r="P2517" s="7"/>
      <c r="Q2517" s="7"/>
      <c r="R2517" s="7"/>
    </row>
    <row r="2518" spans="3:18">
      <c r="C2518" s="7"/>
      <c r="D2518" s="7"/>
      <c r="E2518" s="7"/>
      <c r="F2518" s="7"/>
      <c r="G2518" s="7"/>
      <c r="H2518" s="7"/>
      <c r="I2518" s="7"/>
      <c r="J2518" s="7"/>
      <c r="K2518" s="7"/>
      <c r="L2518" s="27"/>
      <c r="N2518" s="8"/>
      <c r="O2518" s="7"/>
      <c r="P2518" s="7"/>
      <c r="Q2518" s="7"/>
      <c r="R2518" s="7"/>
    </row>
    <row r="2519" spans="3:18">
      <c r="C2519" s="7"/>
      <c r="D2519" s="7"/>
      <c r="E2519" s="7"/>
      <c r="F2519" s="7"/>
      <c r="G2519" s="7"/>
      <c r="H2519" s="7"/>
      <c r="I2519" s="7"/>
      <c r="J2519" s="7"/>
      <c r="K2519" s="7"/>
      <c r="L2519" s="27"/>
      <c r="N2519" s="8"/>
      <c r="O2519" s="7"/>
      <c r="P2519" s="7"/>
      <c r="Q2519" s="7"/>
      <c r="R2519" s="7"/>
    </row>
    <row r="2520" spans="3:18">
      <c r="C2520" s="7"/>
      <c r="D2520" s="7"/>
      <c r="E2520" s="7"/>
      <c r="F2520" s="7"/>
      <c r="G2520" s="7"/>
      <c r="H2520" s="7"/>
      <c r="I2520" s="7"/>
      <c r="J2520" s="7"/>
      <c r="K2520" s="7"/>
      <c r="L2520" s="27"/>
      <c r="N2520" s="8"/>
      <c r="O2520" s="7"/>
      <c r="P2520" s="7"/>
      <c r="Q2520" s="7"/>
      <c r="R2520" s="7"/>
    </row>
    <row r="2521" spans="3:18">
      <c r="C2521" s="7"/>
      <c r="D2521" s="7"/>
      <c r="E2521" s="7"/>
      <c r="F2521" s="7"/>
      <c r="G2521" s="7"/>
      <c r="H2521" s="7"/>
      <c r="I2521" s="7"/>
      <c r="J2521" s="7"/>
      <c r="K2521" s="7"/>
      <c r="L2521" s="27"/>
      <c r="N2521" s="8"/>
      <c r="O2521" s="7"/>
      <c r="P2521" s="7"/>
      <c r="Q2521" s="7"/>
      <c r="R2521" s="7"/>
    </row>
    <row r="2522" spans="3:18">
      <c r="C2522" s="7"/>
      <c r="D2522" s="7"/>
      <c r="E2522" s="7"/>
      <c r="F2522" s="7"/>
      <c r="G2522" s="7"/>
      <c r="H2522" s="7"/>
      <c r="I2522" s="7"/>
      <c r="J2522" s="7"/>
      <c r="K2522" s="7"/>
      <c r="L2522" s="27"/>
      <c r="N2522" s="8"/>
      <c r="O2522" s="7"/>
      <c r="P2522" s="7"/>
      <c r="Q2522" s="7"/>
      <c r="R2522" s="7"/>
    </row>
    <row r="2523" spans="3:18">
      <c r="C2523" s="7"/>
      <c r="D2523" s="7"/>
      <c r="E2523" s="7"/>
      <c r="F2523" s="7"/>
      <c r="G2523" s="7"/>
      <c r="H2523" s="7"/>
      <c r="I2523" s="7"/>
      <c r="J2523" s="7"/>
      <c r="K2523" s="7"/>
      <c r="L2523" s="27"/>
      <c r="N2523" s="8"/>
      <c r="O2523" s="7"/>
      <c r="P2523" s="7"/>
      <c r="Q2523" s="7"/>
      <c r="R2523" s="7"/>
    </row>
    <row r="2524" spans="3:18">
      <c r="C2524" s="7"/>
      <c r="D2524" s="7"/>
      <c r="E2524" s="7"/>
      <c r="F2524" s="7"/>
      <c r="G2524" s="7"/>
      <c r="H2524" s="7"/>
      <c r="I2524" s="7"/>
      <c r="J2524" s="7"/>
      <c r="K2524" s="7"/>
      <c r="L2524" s="27"/>
      <c r="N2524" s="8"/>
      <c r="O2524" s="7"/>
      <c r="P2524" s="7"/>
      <c r="Q2524" s="7"/>
      <c r="R2524" s="7"/>
    </row>
    <row r="2525" spans="3:18">
      <c r="C2525" s="7"/>
      <c r="D2525" s="7"/>
      <c r="E2525" s="7"/>
      <c r="F2525" s="7"/>
      <c r="G2525" s="7"/>
      <c r="H2525" s="7"/>
      <c r="I2525" s="7"/>
      <c r="J2525" s="7"/>
      <c r="K2525" s="7"/>
      <c r="L2525" s="27"/>
      <c r="N2525" s="8"/>
      <c r="O2525" s="7"/>
      <c r="P2525" s="7"/>
      <c r="Q2525" s="7"/>
      <c r="R2525" s="7"/>
    </row>
    <row r="2526" spans="3:18">
      <c r="C2526" s="7"/>
      <c r="D2526" s="7"/>
      <c r="E2526" s="7"/>
      <c r="F2526" s="7"/>
      <c r="G2526" s="7"/>
      <c r="H2526" s="7"/>
      <c r="I2526" s="7"/>
      <c r="J2526" s="7"/>
      <c r="K2526" s="7"/>
      <c r="L2526" s="27"/>
      <c r="N2526" s="8"/>
      <c r="O2526" s="7"/>
      <c r="P2526" s="7"/>
      <c r="Q2526" s="7"/>
      <c r="R2526" s="7"/>
    </row>
    <row r="2527" spans="3:18">
      <c r="C2527" s="7"/>
      <c r="D2527" s="7"/>
      <c r="E2527" s="7"/>
      <c r="F2527" s="7"/>
      <c r="G2527" s="7"/>
      <c r="H2527" s="7"/>
      <c r="I2527" s="7"/>
      <c r="J2527" s="7"/>
      <c r="K2527" s="7"/>
      <c r="L2527" s="27"/>
      <c r="N2527" s="8"/>
      <c r="O2527" s="7"/>
      <c r="P2527" s="7"/>
      <c r="Q2527" s="7"/>
      <c r="R2527" s="7"/>
    </row>
    <row r="2528" spans="3:18">
      <c r="C2528" s="7"/>
      <c r="D2528" s="7"/>
      <c r="E2528" s="7"/>
      <c r="F2528" s="7"/>
      <c r="G2528" s="7"/>
      <c r="H2528" s="7"/>
      <c r="I2528" s="7"/>
      <c r="J2528" s="7"/>
      <c r="K2528" s="7"/>
      <c r="L2528" s="27"/>
      <c r="N2528" s="8"/>
      <c r="O2528" s="7"/>
      <c r="P2528" s="7"/>
      <c r="Q2528" s="7"/>
      <c r="R2528" s="7"/>
    </row>
    <row r="2529" spans="3:18">
      <c r="C2529" s="7"/>
      <c r="D2529" s="7"/>
      <c r="E2529" s="7"/>
      <c r="F2529" s="7"/>
      <c r="G2529" s="7"/>
      <c r="H2529" s="7"/>
      <c r="I2529" s="7"/>
      <c r="J2529" s="7"/>
      <c r="K2529" s="7"/>
      <c r="L2529" s="27"/>
      <c r="N2529" s="8"/>
      <c r="O2529" s="7"/>
      <c r="P2529" s="7"/>
      <c r="Q2529" s="7"/>
      <c r="R2529" s="7"/>
    </row>
    <row r="2530" spans="3:18">
      <c r="C2530" s="7"/>
      <c r="D2530" s="7"/>
      <c r="E2530" s="7"/>
      <c r="F2530" s="7"/>
      <c r="G2530" s="7"/>
      <c r="H2530" s="7"/>
      <c r="I2530" s="7"/>
      <c r="J2530" s="7"/>
      <c r="K2530" s="7"/>
      <c r="L2530" s="27"/>
      <c r="N2530" s="8"/>
      <c r="O2530" s="7"/>
      <c r="P2530" s="7"/>
      <c r="Q2530" s="7"/>
      <c r="R2530" s="7"/>
    </row>
    <row r="2531" spans="3:18">
      <c r="C2531" s="7"/>
      <c r="D2531" s="7"/>
      <c r="E2531" s="7"/>
      <c r="F2531" s="7"/>
      <c r="G2531" s="7"/>
      <c r="H2531" s="7"/>
      <c r="I2531" s="7"/>
      <c r="J2531" s="7"/>
      <c r="K2531" s="7"/>
      <c r="L2531" s="27"/>
      <c r="N2531" s="8"/>
      <c r="O2531" s="7"/>
      <c r="P2531" s="7"/>
      <c r="Q2531" s="7"/>
      <c r="R2531" s="7"/>
    </row>
    <row r="2532" spans="3:18">
      <c r="C2532" s="7"/>
      <c r="D2532" s="7"/>
      <c r="E2532" s="7"/>
      <c r="F2532" s="7"/>
      <c r="G2532" s="7"/>
      <c r="H2532" s="7"/>
      <c r="I2532" s="7"/>
      <c r="J2532" s="7"/>
      <c r="K2532" s="7"/>
      <c r="L2532" s="27"/>
      <c r="N2532" s="8"/>
      <c r="O2532" s="7"/>
      <c r="P2532" s="7"/>
      <c r="Q2532" s="7"/>
      <c r="R2532" s="7"/>
    </row>
    <row r="2533" spans="3:18">
      <c r="C2533" s="7"/>
      <c r="D2533" s="7"/>
      <c r="E2533" s="7"/>
      <c r="F2533" s="7"/>
      <c r="G2533" s="7"/>
      <c r="H2533" s="7"/>
      <c r="I2533" s="7"/>
      <c r="J2533" s="7"/>
      <c r="K2533" s="7"/>
      <c r="L2533" s="27"/>
      <c r="N2533" s="8"/>
      <c r="O2533" s="7"/>
      <c r="P2533" s="7"/>
      <c r="Q2533" s="7"/>
      <c r="R2533" s="7"/>
    </row>
    <row r="2534" spans="3:18">
      <c r="C2534" s="7"/>
      <c r="D2534" s="7"/>
      <c r="E2534" s="7"/>
      <c r="F2534" s="7"/>
      <c r="G2534" s="7"/>
      <c r="H2534" s="7"/>
      <c r="I2534" s="7"/>
      <c r="J2534" s="7"/>
      <c r="K2534" s="7"/>
      <c r="L2534" s="27"/>
      <c r="N2534" s="8"/>
      <c r="O2534" s="7"/>
      <c r="P2534" s="7"/>
      <c r="Q2534" s="7"/>
      <c r="R2534" s="7"/>
    </row>
    <row r="2535" spans="3:18">
      <c r="C2535" s="7"/>
      <c r="D2535" s="7"/>
      <c r="E2535" s="7"/>
      <c r="F2535" s="7"/>
      <c r="G2535" s="7"/>
      <c r="H2535" s="7"/>
      <c r="I2535" s="7"/>
      <c r="J2535" s="7"/>
      <c r="K2535" s="7"/>
      <c r="L2535" s="27"/>
      <c r="N2535" s="8"/>
      <c r="O2535" s="7"/>
      <c r="P2535" s="7"/>
      <c r="Q2535" s="7"/>
      <c r="R2535" s="7"/>
    </row>
    <row r="2536" spans="3:18">
      <c r="C2536" s="7"/>
      <c r="D2536" s="7"/>
      <c r="E2536" s="7"/>
      <c r="F2536" s="7"/>
      <c r="G2536" s="7"/>
      <c r="H2536" s="7"/>
      <c r="I2536" s="7"/>
      <c r="J2536" s="7"/>
      <c r="K2536" s="7"/>
      <c r="L2536" s="27"/>
      <c r="N2536" s="8"/>
      <c r="O2536" s="7"/>
      <c r="P2536" s="7"/>
      <c r="Q2536" s="7"/>
      <c r="R2536" s="7"/>
    </row>
    <row r="2537" spans="3:18">
      <c r="C2537" s="7"/>
      <c r="D2537" s="7"/>
      <c r="E2537" s="7"/>
      <c r="F2537" s="7"/>
      <c r="G2537" s="7"/>
      <c r="H2537" s="7"/>
      <c r="I2537" s="7"/>
      <c r="J2537" s="7"/>
      <c r="K2537" s="7"/>
      <c r="L2537" s="27"/>
      <c r="N2537" s="8"/>
      <c r="O2537" s="7"/>
      <c r="P2537" s="7"/>
      <c r="Q2537" s="7"/>
      <c r="R2537" s="7"/>
    </row>
    <row r="2538" spans="3:18">
      <c r="C2538" s="7"/>
      <c r="D2538" s="7"/>
      <c r="E2538" s="7"/>
      <c r="F2538" s="7"/>
      <c r="G2538" s="7"/>
      <c r="H2538" s="7"/>
      <c r="I2538" s="7"/>
      <c r="J2538" s="7"/>
      <c r="K2538" s="7"/>
      <c r="L2538" s="27"/>
      <c r="N2538" s="8"/>
      <c r="O2538" s="7"/>
      <c r="P2538" s="7"/>
      <c r="Q2538" s="7"/>
      <c r="R2538" s="7"/>
    </row>
    <row r="2539" spans="3:18">
      <c r="C2539" s="7"/>
      <c r="D2539" s="7"/>
      <c r="E2539" s="7"/>
      <c r="F2539" s="7"/>
      <c r="G2539" s="7"/>
      <c r="H2539" s="7"/>
      <c r="I2539" s="7"/>
      <c r="J2539" s="7"/>
      <c r="K2539" s="7"/>
      <c r="L2539" s="27"/>
      <c r="N2539" s="8"/>
      <c r="O2539" s="7"/>
      <c r="P2539" s="7"/>
      <c r="Q2539" s="7"/>
      <c r="R2539" s="7"/>
    </row>
    <row r="2540" spans="3:18">
      <c r="C2540" s="7"/>
      <c r="D2540" s="7"/>
      <c r="E2540" s="7"/>
      <c r="F2540" s="7"/>
      <c r="G2540" s="7"/>
      <c r="H2540" s="7"/>
      <c r="I2540" s="7"/>
      <c r="J2540" s="7"/>
      <c r="K2540" s="7"/>
      <c r="L2540" s="27"/>
      <c r="N2540" s="8"/>
      <c r="O2540" s="7"/>
      <c r="P2540" s="7"/>
      <c r="Q2540" s="7"/>
      <c r="R2540" s="7"/>
    </row>
    <row r="2541" spans="3:18">
      <c r="C2541" s="7"/>
      <c r="D2541" s="7"/>
      <c r="E2541" s="7"/>
      <c r="F2541" s="7"/>
      <c r="G2541" s="7"/>
      <c r="H2541" s="7"/>
      <c r="I2541" s="7"/>
      <c r="J2541" s="7"/>
      <c r="K2541" s="7"/>
      <c r="L2541" s="27"/>
      <c r="N2541" s="8"/>
      <c r="O2541" s="7"/>
      <c r="P2541" s="7"/>
      <c r="Q2541" s="7"/>
      <c r="R2541" s="7"/>
    </row>
    <row r="2542" spans="3:18">
      <c r="C2542" s="7"/>
      <c r="D2542" s="7"/>
      <c r="E2542" s="7"/>
      <c r="F2542" s="7"/>
      <c r="G2542" s="7"/>
      <c r="H2542" s="7"/>
      <c r="I2542" s="7"/>
      <c r="J2542" s="7"/>
      <c r="K2542" s="7"/>
      <c r="L2542" s="27"/>
      <c r="N2542" s="8"/>
      <c r="O2542" s="7"/>
      <c r="P2542" s="7"/>
      <c r="Q2542" s="7"/>
      <c r="R2542" s="7"/>
    </row>
    <row r="2543" spans="3:18">
      <c r="C2543" s="7"/>
      <c r="D2543" s="7"/>
      <c r="E2543" s="7"/>
      <c r="F2543" s="7"/>
      <c r="G2543" s="7"/>
      <c r="H2543" s="7"/>
      <c r="I2543" s="7"/>
      <c r="J2543" s="7"/>
      <c r="K2543" s="7"/>
      <c r="L2543" s="27"/>
      <c r="N2543" s="8"/>
      <c r="O2543" s="7"/>
      <c r="P2543" s="7"/>
      <c r="Q2543" s="7"/>
      <c r="R2543" s="7"/>
    </row>
    <row r="2544" spans="3:18">
      <c r="C2544" s="7"/>
      <c r="D2544" s="7"/>
      <c r="E2544" s="7"/>
      <c r="F2544" s="7"/>
      <c r="G2544" s="7"/>
      <c r="H2544" s="7"/>
      <c r="I2544" s="7"/>
      <c r="J2544" s="7"/>
      <c r="K2544" s="7"/>
      <c r="L2544" s="27"/>
      <c r="N2544" s="8"/>
      <c r="O2544" s="7"/>
      <c r="P2544" s="7"/>
      <c r="Q2544" s="7"/>
      <c r="R2544" s="7"/>
    </row>
    <row r="2545" spans="3:18">
      <c r="C2545" s="7"/>
      <c r="D2545" s="7"/>
      <c r="E2545" s="7"/>
      <c r="F2545" s="7"/>
      <c r="G2545" s="7"/>
      <c r="H2545" s="7"/>
      <c r="I2545" s="7"/>
      <c r="J2545" s="7"/>
      <c r="K2545" s="7"/>
      <c r="L2545" s="27"/>
      <c r="N2545" s="8"/>
      <c r="O2545" s="7"/>
      <c r="P2545" s="7"/>
      <c r="Q2545" s="7"/>
      <c r="R2545" s="7"/>
    </row>
    <row r="2546" spans="3:18">
      <c r="C2546" s="7"/>
      <c r="D2546" s="7"/>
      <c r="E2546" s="7"/>
      <c r="F2546" s="7"/>
      <c r="G2546" s="7"/>
      <c r="H2546" s="7"/>
      <c r="I2546" s="7"/>
      <c r="J2546" s="7"/>
      <c r="K2546" s="7"/>
      <c r="L2546" s="27"/>
      <c r="N2546" s="8"/>
      <c r="O2546" s="7"/>
      <c r="P2546" s="7"/>
      <c r="Q2546" s="7"/>
      <c r="R2546" s="7"/>
    </row>
    <row r="2547" spans="3:18">
      <c r="C2547" s="7"/>
      <c r="D2547" s="7"/>
      <c r="E2547" s="7"/>
      <c r="F2547" s="7"/>
      <c r="G2547" s="7"/>
      <c r="H2547" s="7"/>
      <c r="I2547" s="7"/>
      <c r="J2547" s="7"/>
      <c r="K2547" s="7"/>
      <c r="L2547" s="27"/>
      <c r="N2547" s="8"/>
      <c r="O2547" s="7"/>
      <c r="P2547" s="7"/>
      <c r="Q2547" s="7"/>
      <c r="R2547" s="7"/>
    </row>
    <row r="2548" spans="3:18">
      <c r="C2548" s="7"/>
      <c r="D2548" s="7"/>
      <c r="E2548" s="7"/>
      <c r="F2548" s="7"/>
      <c r="G2548" s="7"/>
      <c r="H2548" s="7"/>
      <c r="I2548" s="7"/>
      <c r="J2548" s="7"/>
      <c r="K2548" s="7"/>
      <c r="L2548" s="27"/>
      <c r="N2548" s="8"/>
      <c r="O2548" s="7"/>
      <c r="P2548" s="7"/>
      <c r="Q2548" s="7"/>
      <c r="R2548" s="7"/>
    </row>
    <row r="2549" spans="3:18">
      <c r="C2549" s="7"/>
      <c r="D2549" s="7"/>
      <c r="E2549" s="7"/>
      <c r="F2549" s="7"/>
      <c r="G2549" s="7"/>
      <c r="H2549" s="7"/>
      <c r="I2549" s="7"/>
      <c r="J2549" s="7"/>
      <c r="K2549" s="7"/>
      <c r="L2549" s="27"/>
      <c r="N2549" s="8"/>
      <c r="O2549" s="7"/>
      <c r="P2549" s="7"/>
      <c r="Q2549" s="7"/>
      <c r="R2549" s="7"/>
    </row>
    <row r="2550" spans="3:18">
      <c r="C2550" s="7"/>
      <c r="D2550" s="7"/>
      <c r="E2550" s="7"/>
      <c r="F2550" s="7"/>
      <c r="G2550" s="7"/>
      <c r="H2550" s="7"/>
      <c r="I2550" s="7"/>
      <c r="J2550" s="7"/>
      <c r="K2550" s="7"/>
      <c r="L2550" s="27"/>
      <c r="N2550" s="8"/>
      <c r="O2550" s="7"/>
      <c r="P2550" s="7"/>
      <c r="Q2550" s="7"/>
      <c r="R2550" s="7"/>
    </row>
    <row r="2551" spans="3:18">
      <c r="C2551" s="7"/>
      <c r="D2551" s="7"/>
      <c r="E2551" s="7"/>
      <c r="F2551" s="7"/>
      <c r="G2551" s="7"/>
      <c r="H2551" s="7"/>
      <c r="I2551" s="7"/>
      <c r="J2551" s="7"/>
      <c r="K2551" s="7"/>
      <c r="L2551" s="27"/>
      <c r="N2551" s="8"/>
      <c r="O2551" s="7"/>
      <c r="P2551" s="7"/>
      <c r="Q2551" s="7"/>
      <c r="R2551" s="7"/>
    </row>
    <row r="2552" spans="3:18">
      <c r="C2552" s="7"/>
      <c r="D2552" s="7"/>
      <c r="E2552" s="7"/>
      <c r="F2552" s="7"/>
      <c r="G2552" s="7"/>
      <c r="H2552" s="7"/>
      <c r="I2552" s="7"/>
      <c r="J2552" s="7"/>
      <c r="K2552" s="7"/>
      <c r="L2552" s="27"/>
      <c r="N2552" s="8"/>
      <c r="O2552" s="7"/>
      <c r="P2552" s="7"/>
      <c r="Q2552" s="7"/>
      <c r="R2552" s="7"/>
    </row>
    <row r="2553" spans="3:18">
      <c r="C2553" s="7"/>
      <c r="D2553" s="7"/>
      <c r="E2553" s="7"/>
      <c r="F2553" s="7"/>
      <c r="G2553" s="7"/>
      <c r="H2553" s="7"/>
      <c r="I2553" s="7"/>
      <c r="J2553" s="7"/>
      <c r="K2553" s="7"/>
      <c r="L2553" s="27"/>
      <c r="N2553" s="8"/>
      <c r="O2553" s="7"/>
      <c r="P2553" s="7"/>
      <c r="Q2553" s="7"/>
      <c r="R2553" s="7"/>
    </row>
    <row r="2554" spans="3:18">
      <c r="C2554" s="7"/>
      <c r="D2554" s="7"/>
      <c r="E2554" s="7"/>
      <c r="F2554" s="7"/>
      <c r="G2554" s="7"/>
      <c r="H2554" s="7"/>
      <c r="I2554" s="7"/>
      <c r="J2554" s="7"/>
      <c r="K2554" s="7"/>
      <c r="L2554" s="27"/>
      <c r="N2554" s="8"/>
      <c r="O2554" s="7"/>
      <c r="P2554" s="7"/>
      <c r="Q2554" s="7"/>
      <c r="R2554" s="7"/>
    </row>
    <row r="2555" spans="3:18">
      <c r="C2555" s="7"/>
      <c r="D2555" s="7"/>
      <c r="E2555" s="7"/>
      <c r="F2555" s="7"/>
      <c r="G2555" s="7"/>
      <c r="H2555" s="7"/>
      <c r="I2555" s="7"/>
      <c r="J2555" s="7"/>
      <c r="K2555" s="7"/>
      <c r="L2555" s="27"/>
      <c r="N2555" s="8"/>
      <c r="O2555" s="7"/>
      <c r="P2555" s="7"/>
      <c r="Q2555" s="7"/>
      <c r="R2555" s="7"/>
    </row>
    <row r="2556" spans="3:18">
      <c r="C2556" s="7"/>
      <c r="D2556" s="7"/>
      <c r="E2556" s="7"/>
      <c r="F2556" s="7"/>
      <c r="G2556" s="7"/>
      <c r="H2556" s="7"/>
      <c r="I2556" s="7"/>
      <c r="J2556" s="7"/>
      <c r="K2556" s="7"/>
      <c r="L2556" s="27"/>
      <c r="N2556" s="8"/>
      <c r="O2556" s="7"/>
      <c r="P2556" s="7"/>
      <c r="Q2556" s="7"/>
      <c r="R2556" s="7"/>
    </row>
    <row r="2557" spans="3:18">
      <c r="C2557" s="7"/>
      <c r="D2557" s="7"/>
      <c r="E2557" s="7"/>
      <c r="F2557" s="7"/>
      <c r="G2557" s="7"/>
      <c r="H2557" s="7"/>
      <c r="I2557" s="7"/>
      <c r="J2557" s="7"/>
      <c r="K2557" s="7"/>
      <c r="L2557" s="27"/>
      <c r="N2557" s="8"/>
      <c r="O2557" s="7"/>
      <c r="P2557" s="7"/>
      <c r="Q2557" s="7"/>
      <c r="R2557" s="7"/>
    </row>
    <row r="2558" spans="3:18">
      <c r="C2558" s="7"/>
      <c r="D2558" s="7"/>
      <c r="E2558" s="7"/>
      <c r="F2558" s="7"/>
      <c r="G2558" s="7"/>
      <c r="H2558" s="7"/>
      <c r="I2558" s="7"/>
      <c r="J2558" s="7"/>
      <c r="K2558" s="7"/>
      <c r="L2558" s="27"/>
      <c r="N2558" s="8"/>
      <c r="O2558" s="7"/>
      <c r="P2558" s="7"/>
      <c r="Q2558" s="7"/>
      <c r="R2558" s="7"/>
    </row>
    <row r="2559" spans="3:18">
      <c r="C2559" s="7"/>
      <c r="D2559" s="7"/>
      <c r="E2559" s="7"/>
      <c r="F2559" s="7"/>
      <c r="G2559" s="7"/>
      <c r="H2559" s="7"/>
      <c r="I2559" s="7"/>
      <c r="J2559" s="7"/>
      <c r="K2559" s="7"/>
      <c r="L2559" s="27"/>
      <c r="N2559" s="8"/>
      <c r="O2559" s="7"/>
      <c r="P2559" s="7"/>
      <c r="Q2559" s="7"/>
      <c r="R2559" s="7"/>
    </row>
    <row r="2560" spans="3:18">
      <c r="C2560" s="7"/>
      <c r="D2560" s="7"/>
      <c r="E2560" s="7"/>
      <c r="F2560" s="7"/>
      <c r="G2560" s="7"/>
      <c r="H2560" s="7"/>
      <c r="I2560" s="7"/>
      <c r="J2560" s="7"/>
      <c r="K2560" s="7"/>
      <c r="L2560" s="27"/>
      <c r="N2560" s="8"/>
      <c r="O2560" s="7"/>
      <c r="P2560" s="7"/>
      <c r="Q2560" s="7"/>
      <c r="R2560" s="7"/>
    </row>
    <row r="2561" spans="3:18">
      <c r="C2561" s="7"/>
      <c r="D2561" s="7"/>
      <c r="E2561" s="7"/>
      <c r="F2561" s="7"/>
      <c r="G2561" s="7"/>
      <c r="H2561" s="7"/>
      <c r="I2561" s="7"/>
      <c r="J2561" s="7"/>
      <c r="K2561" s="7"/>
      <c r="L2561" s="27"/>
      <c r="N2561" s="8"/>
      <c r="O2561" s="7"/>
      <c r="P2561" s="7"/>
      <c r="Q2561" s="7"/>
      <c r="R2561" s="7"/>
    </row>
    <row r="2562" spans="3:18">
      <c r="C2562" s="7"/>
      <c r="D2562" s="7"/>
      <c r="E2562" s="7"/>
      <c r="F2562" s="7"/>
      <c r="G2562" s="7"/>
      <c r="H2562" s="7"/>
      <c r="I2562" s="7"/>
      <c r="J2562" s="7"/>
      <c r="K2562" s="7"/>
      <c r="L2562" s="27"/>
      <c r="N2562" s="8"/>
      <c r="O2562" s="7"/>
      <c r="P2562" s="7"/>
      <c r="Q2562" s="7"/>
      <c r="R2562" s="7"/>
    </row>
    <row r="2563" spans="3:18">
      <c r="C2563" s="7"/>
      <c r="D2563" s="7"/>
      <c r="E2563" s="7"/>
      <c r="F2563" s="7"/>
      <c r="G2563" s="7"/>
      <c r="H2563" s="7"/>
      <c r="I2563" s="7"/>
      <c r="J2563" s="7"/>
      <c r="K2563" s="7"/>
      <c r="L2563" s="27"/>
      <c r="N2563" s="8"/>
      <c r="O2563" s="7"/>
      <c r="P2563" s="7"/>
      <c r="Q2563" s="7"/>
      <c r="R2563" s="7"/>
    </row>
    <row r="2564" spans="3:18">
      <c r="C2564" s="7"/>
      <c r="D2564" s="7"/>
      <c r="E2564" s="7"/>
      <c r="F2564" s="7"/>
      <c r="G2564" s="7"/>
      <c r="H2564" s="7"/>
      <c r="I2564" s="7"/>
      <c r="J2564" s="7"/>
      <c r="K2564" s="7"/>
      <c r="L2564" s="27"/>
      <c r="N2564" s="8"/>
      <c r="O2564" s="7"/>
      <c r="P2564" s="7"/>
      <c r="Q2564" s="7"/>
      <c r="R2564" s="7"/>
    </row>
    <row r="2565" spans="3:18">
      <c r="C2565" s="7"/>
      <c r="D2565" s="7"/>
      <c r="E2565" s="7"/>
      <c r="F2565" s="7"/>
      <c r="G2565" s="7"/>
      <c r="H2565" s="7"/>
      <c r="I2565" s="7"/>
      <c r="J2565" s="7"/>
      <c r="K2565" s="7"/>
      <c r="L2565" s="27"/>
      <c r="N2565" s="8"/>
      <c r="O2565" s="7"/>
      <c r="P2565" s="7"/>
      <c r="Q2565" s="7"/>
      <c r="R2565" s="7"/>
    </row>
    <row r="2566" spans="3:18">
      <c r="C2566" s="7"/>
      <c r="D2566" s="7"/>
      <c r="E2566" s="7"/>
      <c r="F2566" s="7"/>
      <c r="G2566" s="7"/>
      <c r="H2566" s="7"/>
      <c r="I2566" s="7"/>
      <c r="J2566" s="7"/>
      <c r="K2566" s="7"/>
      <c r="L2566" s="27"/>
      <c r="N2566" s="8"/>
      <c r="O2566" s="7"/>
      <c r="P2566" s="7"/>
      <c r="Q2566" s="7"/>
      <c r="R2566" s="7"/>
    </row>
    <row r="2567" spans="3:18">
      <c r="C2567" s="7"/>
      <c r="D2567" s="7"/>
      <c r="E2567" s="7"/>
      <c r="F2567" s="7"/>
      <c r="G2567" s="7"/>
      <c r="H2567" s="7"/>
      <c r="I2567" s="7"/>
      <c r="J2567" s="7"/>
      <c r="K2567" s="7"/>
      <c r="L2567" s="27"/>
      <c r="N2567" s="8"/>
      <c r="O2567" s="7"/>
      <c r="P2567" s="7"/>
      <c r="Q2567" s="7"/>
      <c r="R2567" s="7"/>
    </row>
    <row r="2568" spans="3:18">
      <c r="C2568" s="7"/>
      <c r="D2568" s="7"/>
      <c r="E2568" s="7"/>
      <c r="F2568" s="7"/>
      <c r="G2568" s="7"/>
      <c r="H2568" s="7"/>
      <c r="I2568" s="7"/>
      <c r="J2568" s="7"/>
      <c r="K2568" s="7"/>
      <c r="L2568" s="27"/>
      <c r="N2568" s="8"/>
      <c r="O2568" s="7"/>
      <c r="P2568" s="7"/>
      <c r="Q2568" s="7"/>
      <c r="R2568" s="7"/>
    </row>
    <row r="2569" spans="3:18">
      <c r="C2569" s="7"/>
      <c r="D2569" s="7"/>
      <c r="E2569" s="7"/>
      <c r="F2569" s="7"/>
      <c r="G2569" s="7"/>
      <c r="H2569" s="7"/>
      <c r="I2569" s="7"/>
      <c r="J2569" s="7"/>
      <c r="K2569" s="7"/>
      <c r="L2569" s="27"/>
      <c r="N2569" s="8"/>
      <c r="O2569" s="7"/>
      <c r="P2569" s="7"/>
      <c r="Q2569" s="7"/>
      <c r="R2569" s="7"/>
    </row>
    <row r="2570" spans="3:18">
      <c r="C2570" s="7"/>
      <c r="D2570" s="7"/>
      <c r="E2570" s="7"/>
      <c r="F2570" s="7"/>
      <c r="G2570" s="7"/>
      <c r="H2570" s="7"/>
      <c r="I2570" s="7"/>
      <c r="J2570" s="7"/>
      <c r="K2570" s="7"/>
      <c r="L2570" s="27"/>
      <c r="N2570" s="8"/>
      <c r="O2570" s="7"/>
      <c r="P2570" s="7"/>
      <c r="Q2570" s="7"/>
      <c r="R2570" s="7"/>
    </row>
    <row r="2571" spans="3:18">
      <c r="C2571" s="7"/>
      <c r="D2571" s="7"/>
      <c r="E2571" s="7"/>
      <c r="F2571" s="7"/>
      <c r="G2571" s="7"/>
      <c r="H2571" s="7"/>
      <c r="I2571" s="7"/>
      <c r="J2571" s="7"/>
      <c r="K2571" s="7"/>
      <c r="L2571" s="27"/>
      <c r="N2571" s="8"/>
      <c r="O2571" s="7"/>
      <c r="P2571" s="7"/>
      <c r="Q2571" s="7"/>
      <c r="R2571" s="7"/>
    </row>
    <row r="2572" spans="3:18">
      <c r="C2572" s="7"/>
      <c r="D2572" s="7"/>
      <c r="E2572" s="7"/>
      <c r="F2572" s="7"/>
      <c r="G2572" s="7"/>
      <c r="H2572" s="7"/>
      <c r="I2572" s="7"/>
      <c r="J2572" s="7"/>
      <c r="K2572" s="7"/>
      <c r="L2572" s="27"/>
      <c r="N2572" s="8"/>
      <c r="O2572" s="7"/>
      <c r="P2572" s="7"/>
      <c r="Q2572" s="7"/>
      <c r="R2572" s="7"/>
    </row>
    <row r="2573" spans="3:18">
      <c r="C2573" s="7"/>
      <c r="D2573" s="7"/>
      <c r="E2573" s="7"/>
      <c r="F2573" s="7"/>
      <c r="G2573" s="7"/>
      <c r="H2573" s="7"/>
      <c r="I2573" s="7"/>
      <c r="J2573" s="7"/>
      <c r="K2573" s="7"/>
      <c r="L2573" s="27"/>
      <c r="N2573" s="8"/>
      <c r="O2573" s="7"/>
      <c r="P2573" s="7"/>
      <c r="Q2573" s="7"/>
      <c r="R2573" s="7"/>
    </row>
    <row r="2574" spans="3:18">
      <c r="C2574" s="7"/>
      <c r="D2574" s="7"/>
      <c r="E2574" s="7"/>
      <c r="F2574" s="7"/>
      <c r="G2574" s="7"/>
      <c r="H2574" s="7"/>
      <c r="I2574" s="7"/>
      <c r="J2574" s="7"/>
      <c r="K2574" s="7"/>
      <c r="L2574" s="27"/>
      <c r="N2574" s="8"/>
      <c r="O2574" s="7"/>
      <c r="P2574" s="7"/>
      <c r="Q2574" s="7"/>
      <c r="R2574" s="7"/>
    </row>
    <row r="2575" spans="3:18">
      <c r="C2575" s="7"/>
      <c r="D2575" s="7"/>
      <c r="E2575" s="7"/>
      <c r="F2575" s="7"/>
      <c r="G2575" s="7"/>
      <c r="H2575" s="7"/>
      <c r="I2575" s="7"/>
      <c r="J2575" s="7"/>
      <c r="K2575" s="7"/>
      <c r="L2575" s="27"/>
      <c r="N2575" s="8"/>
      <c r="O2575" s="7"/>
      <c r="P2575" s="7"/>
      <c r="Q2575" s="7"/>
      <c r="R2575" s="7"/>
    </row>
    <row r="2576" spans="3:18">
      <c r="C2576" s="7"/>
      <c r="D2576" s="7"/>
      <c r="E2576" s="7"/>
      <c r="F2576" s="7"/>
      <c r="G2576" s="7"/>
      <c r="H2576" s="7"/>
      <c r="I2576" s="7"/>
      <c r="J2576" s="7"/>
      <c r="K2576" s="7"/>
      <c r="L2576" s="27"/>
      <c r="N2576" s="8"/>
      <c r="O2576" s="7"/>
      <c r="P2576" s="7"/>
      <c r="Q2576" s="7"/>
      <c r="R2576" s="7"/>
    </row>
    <row r="2577" spans="3:18">
      <c r="C2577" s="7"/>
      <c r="D2577" s="7"/>
      <c r="E2577" s="7"/>
      <c r="F2577" s="7"/>
      <c r="G2577" s="7"/>
      <c r="H2577" s="7"/>
      <c r="I2577" s="7"/>
      <c r="J2577" s="7"/>
      <c r="K2577" s="7"/>
      <c r="L2577" s="27"/>
      <c r="N2577" s="8"/>
      <c r="O2577" s="7"/>
      <c r="P2577" s="7"/>
      <c r="Q2577" s="7"/>
      <c r="R2577" s="7"/>
    </row>
    <row r="2578" spans="3:18">
      <c r="C2578" s="7"/>
      <c r="D2578" s="7"/>
      <c r="E2578" s="7"/>
      <c r="F2578" s="7"/>
      <c r="G2578" s="7"/>
      <c r="H2578" s="7"/>
      <c r="I2578" s="7"/>
      <c r="J2578" s="7"/>
      <c r="K2578" s="7"/>
      <c r="L2578" s="27"/>
      <c r="N2578" s="8"/>
      <c r="O2578" s="7"/>
      <c r="P2578" s="7"/>
      <c r="Q2578" s="7"/>
      <c r="R2578" s="7"/>
    </row>
    <row r="2579" spans="3:18">
      <c r="C2579" s="7"/>
      <c r="D2579" s="7"/>
      <c r="E2579" s="7"/>
      <c r="F2579" s="7"/>
      <c r="G2579" s="7"/>
      <c r="H2579" s="7"/>
      <c r="I2579" s="7"/>
      <c r="J2579" s="7"/>
      <c r="K2579" s="7"/>
      <c r="L2579" s="27"/>
      <c r="N2579" s="8"/>
      <c r="O2579" s="7"/>
      <c r="P2579" s="7"/>
      <c r="Q2579" s="7"/>
      <c r="R2579" s="7"/>
    </row>
    <row r="2580" spans="3:18">
      <c r="C2580" s="7"/>
      <c r="D2580" s="7"/>
      <c r="E2580" s="7"/>
      <c r="F2580" s="7"/>
      <c r="G2580" s="7"/>
      <c r="H2580" s="7"/>
      <c r="I2580" s="7"/>
      <c r="J2580" s="7"/>
      <c r="K2580" s="7"/>
      <c r="L2580" s="27"/>
      <c r="N2580" s="8"/>
      <c r="O2580" s="7"/>
      <c r="P2580" s="7"/>
      <c r="Q2580" s="7"/>
      <c r="R2580" s="7"/>
    </row>
    <row r="2581" spans="3:18">
      <c r="C2581" s="7"/>
      <c r="D2581" s="7"/>
      <c r="E2581" s="7"/>
      <c r="F2581" s="7"/>
      <c r="G2581" s="7"/>
      <c r="H2581" s="7"/>
      <c r="I2581" s="7"/>
      <c r="J2581" s="7"/>
      <c r="K2581" s="7"/>
      <c r="L2581" s="27"/>
      <c r="N2581" s="8"/>
      <c r="O2581" s="7"/>
      <c r="P2581" s="7"/>
      <c r="Q2581" s="7"/>
      <c r="R2581" s="7"/>
    </row>
    <row r="2582" spans="3:18">
      <c r="C2582" s="7"/>
      <c r="D2582" s="7"/>
      <c r="E2582" s="7"/>
      <c r="F2582" s="7"/>
      <c r="G2582" s="7"/>
      <c r="H2582" s="7"/>
      <c r="I2582" s="7"/>
      <c r="J2582" s="7"/>
      <c r="K2582" s="7"/>
      <c r="L2582" s="27"/>
      <c r="N2582" s="8"/>
      <c r="O2582" s="7"/>
      <c r="P2582" s="7"/>
      <c r="Q2582" s="7"/>
      <c r="R2582" s="7"/>
    </row>
    <row r="2583" spans="3:18">
      <c r="C2583" s="7"/>
      <c r="D2583" s="7"/>
      <c r="E2583" s="7"/>
      <c r="F2583" s="7"/>
      <c r="G2583" s="7"/>
      <c r="H2583" s="7"/>
      <c r="I2583" s="7"/>
      <c r="J2583" s="7"/>
      <c r="K2583" s="7"/>
      <c r="L2583" s="27"/>
      <c r="N2583" s="8"/>
      <c r="O2583" s="7"/>
      <c r="P2583" s="7"/>
      <c r="Q2583" s="7"/>
      <c r="R2583" s="7"/>
    </row>
    <row r="2584" spans="3:18">
      <c r="C2584" s="7"/>
      <c r="D2584" s="7"/>
      <c r="E2584" s="7"/>
      <c r="F2584" s="7"/>
      <c r="G2584" s="7"/>
      <c r="H2584" s="7"/>
      <c r="I2584" s="7"/>
      <c r="J2584" s="7"/>
      <c r="K2584" s="7"/>
      <c r="L2584" s="27"/>
      <c r="N2584" s="8"/>
      <c r="O2584" s="7"/>
      <c r="P2584" s="7"/>
      <c r="Q2584" s="7"/>
      <c r="R2584" s="7"/>
    </row>
    <row r="2585" spans="3:18">
      <c r="C2585" s="7"/>
      <c r="D2585" s="7"/>
      <c r="E2585" s="7"/>
      <c r="F2585" s="7"/>
      <c r="G2585" s="7"/>
      <c r="H2585" s="7"/>
      <c r="I2585" s="7"/>
      <c r="J2585" s="7"/>
      <c r="K2585" s="7"/>
      <c r="L2585" s="27"/>
      <c r="N2585" s="8"/>
      <c r="O2585" s="7"/>
      <c r="P2585" s="7"/>
      <c r="Q2585" s="7"/>
      <c r="R2585" s="7"/>
    </row>
    <row r="2586" spans="3:18">
      <c r="C2586" s="7"/>
      <c r="D2586" s="7"/>
      <c r="E2586" s="7"/>
      <c r="F2586" s="7"/>
      <c r="G2586" s="7"/>
      <c r="H2586" s="7"/>
      <c r="I2586" s="7"/>
      <c r="J2586" s="7"/>
      <c r="K2586" s="7"/>
      <c r="L2586" s="27"/>
      <c r="N2586" s="8"/>
      <c r="O2586" s="7"/>
      <c r="P2586" s="7"/>
      <c r="Q2586" s="7"/>
      <c r="R2586" s="7"/>
    </row>
    <row r="2587" spans="3:18">
      <c r="C2587" s="7"/>
      <c r="D2587" s="7"/>
      <c r="E2587" s="7"/>
      <c r="F2587" s="7"/>
      <c r="G2587" s="7"/>
      <c r="H2587" s="7"/>
      <c r="I2587" s="7"/>
      <c r="J2587" s="7"/>
      <c r="K2587" s="7"/>
      <c r="L2587" s="27"/>
      <c r="N2587" s="8"/>
      <c r="O2587" s="7"/>
      <c r="P2587" s="7"/>
      <c r="Q2587" s="7"/>
      <c r="R2587" s="7"/>
    </row>
    <row r="2588" spans="3:18">
      <c r="C2588" s="7"/>
      <c r="D2588" s="7"/>
      <c r="E2588" s="7"/>
      <c r="F2588" s="7"/>
      <c r="G2588" s="7"/>
      <c r="H2588" s="7"/>
      <c r="I2588" s="7"/>
      <c r="J2588" s="7"/>
      <c r="K2588" s="7"/>
      <c r="L2588" s="27"/>
      <c r="N2588" s="8"/>
      <c r="O2588" s="7"/>
      <c r="P2588" s="7"/>
      <c r="Q2588" s="7"/>
      <c r="R2588" s="7"/>
    </row>
    <row r="2589" spans="3:18">
      <c r="C2589" s="7"/>
      <c r="D2589" s="7"/>
      <c r="E2589" s="7"/>
      <c r="F2589" s="7"/>
      <c r="G2589" s="7"/>
      <c r="H2589" s="7"/>
      <c r="I2589" s="7"/>
      <c r="J2589" s="7"/>
      <c r="K2589" s="7"/>
      <c r="L2589" s="27"/>
      <c r="N2589" s="8"/>
      <c r="O2589" s="7"/>
      <c r="P2589" s="7"/>
      <c r="Q2589" s="7"/>
      <c r="R2589" s="7"/>
    </row>
    <row r="2590" spans="3:18">
      <c r="C2590" s="7"/>
      <c r="D2590" s="7"/>
      <c r="E2590" s="7"/>
      <c r="F2590" s="7"/>
      <c r="G2590" s="7"/>
      <c r="H2590" s="7"/>
      <c r="I2590" s="7"/>
      <c r="J2590" s="7"/>
      <c r="K2590" s="7"/>
      <c r="L2590" s="27"/>
      <c r="N2590" s="8"/>
      <c r="O2590" s="7"/>
      <c r="P2590" s="7"/>
      <c r="Q2590" s="7"/>
      <c r="R2590" s="7"/>
    </row>
    <row r="2591" spans="3:18">
      <c r="C2591" s="7"/>
      <c r="D2591" s="7"/>
      <c r="E2591" s="7"/>
      <c r="F2591" s="7"/>
      <c r="G2591" s="7"/>
      <c r="H2591" s="7"/>
      <c r="I2591" s="7"/>
      <c r="J2591" s="7"/>
      <c r="K2591" s="7"/>
      <c r="L2591" s="27"/>
      <c r="N2591" s="8"/>
      <c r="O2591" s="7"/>
      <c r="P2591" s="7"/>
      <c r="Q2591" s="7"/>
      <c r="R2591" s="7"/>
    </row>
    <row r="2592" spans="3:18">
      <c r="C2592" s="7"/>
      <c r="D2592" s="7"/>
      <c r="E2592" s="7"/>
      <c r="F2592" s="7"/>
      <c r="G2592" s="7"/>
      <c r="H2592" s="7"/>
      <c r="I2592" s="7"/>
      <c r="J2592" s="7"/>
      <c r="K2592" s="7"/>
      <c r="L2592" s="27"/>
      <c r="N2592" s="8"/>
      <c r="O2592" s="7"/>
      <c r="P2592" s="7"/>
      <c r="Q2592" s="7"/>
      <c r="R2592" s="7"/>
    </row>
    <row r="2593" spans="3:18">
      <c r="C2593" s="7"/>
      <c r="D2593" s="7"/>
      <c r="E2593" s="7"/>
      <c r="F2593" s="7"/>
      <c r="G2593" s="7"/>
      <c r="H2593" s="7"/>
      <c r="I2593" s="7"/>
      <c r="J2593" s="7"/>
      <c r="K2593" s="7"/>
      <c r="L2593" s="27"/>
      <c r="N2593" s="8"/>
      <c r="O2593" s="7"/>
      <c r="P2593" s="7"/>
      <c r="Q2593" s="7"/>
      <c r="R2593" s="7"/>
    </row>
    <row r="2594" spans="3:18">
      <c r="C2594" s="7"/>
      <c r="D2594" s="7"/>
      <c r="E2594" s="7"/>
      <c r="F2594" s="7"/>
      <c r="G2594" s="7"/>
      <c r="H2594" s="7"/>
      <c r="I2594" s="7"/>
      <c r="J2594" s="7"/>
      <c r="K2594" s="7"/>
      <c r="L2594" s="27"/>
      <c r="N2594" s="8"/>
      <c r="O2594" s="7"/>
      <c r="P2594" s="7"/>
      <c r="Q2594" s="7"/>
      <c r="R2594" s="7"/>
    </row>
    <row r="2595" spans="3:18">
      <c r="C2595" s="7"/>
      <c r="D2595" s="7"/>
      <c r="E2595" s="7"/>
      <c r="F2595" s="7"/>
      <c r="G2595" s="7"/>
      <c r="H2595" s="7"/>
      <c r="I2595" s="7"/>
      <c r="J2595" s="7"/>
      <c r="K2595" s="7"/>
      <c r="L2595" s="27"/>
      <c r="N2595" s="8"/>
      <c r="O2595" s="7"/>
      <c r="P2595" s="7"/>
      <c r="Q2595" s="7"/>
      <c r="R2595" s="7"/>
    </row>
    <row r="2596" spans="3:18">
      <c r="C2596" s="7"/>
      <c r="D2596" s="7"/>
      <c r="E2596" s="7"/>
      <c r="F2596" s="7"/>
      <c r="G2596" s="7"/>
      <c r="H2596" s="7"/>
      <c r="I2596" s="7"/>
      <c r="J2596" s="7"/>
      <c r="K2596" s="7"/>
      <c r="L2596" s="27"/>
      <c r="N2596" s="8"/>
      <c r="O2596" s="7"/>
      <c r="P2596" s="7"/>
      <c r="Q2596" s="7"/>
      <c r="R2596" s="7"/>
    </row>
    <row r="2597" spans="3:18">
      <c r="C2597" s="7"/>
      <c r="D2597" s="7"/>
      <c r="E2597" s="7"/>
      <c r="F2597" s="7"/>
      <c r="G2597" s="7"/>
      <c r="H2597" s="7"/>
      <c r="I2597" s="7"/>
      <c r="J2597" s="7"/>
      <c r="K2597" s="7"/>
      <c r="L2597" s="27"/>
      <c r="N2597" s="8"/>
      <c r="O2597" s="7"/>
      <c r="P2597" s="7"/>
      <c r="Q2597" s="7"/>
      <c r="R2597" s="7"/>
    </row>
    <row r="2598" spans="3:18">
      <c r="C2598" s="7"/>
      <c r="D2598" s="7"/>
      <c r="E2598" s="7"/>
      <c r="F2598" s="7"/>
      <c r="G2598" s="7"/>
      <c r="H2598" s="7"/>
      <c r="I2598" s="7"/>
      <c r="J2598" s="7"/>
      <c r="K2598" s="7"/>
      <c r="L2598" s="27"/>
      <c r="N2598" s="8"/>
      <c r="O2598" s="7"/>
      <c r="P2598" s="7"/>
      <c r="Q2598" s="7"/>
      <c r="R2598" s="7"/>
    </row>
    <row r="2599" spans="3:18">
      <c r="C2599" s="7"/>
      <c r="D2599" s="7"/>
      <c r="E2599" s="7"/>
      <c r="F2599" s="7"/>
      <c r="G2599" s="7"/>
      <c r="H2599" s="7"/>
      <c r="I2599" s="7"/>
      <c r="J2599" s="7"/>
      <c r="K2599" s="7"/>
      <c r="L2599" s="27"/>
      <c r="N2599" s="8"/>
      <c r="O2599" s="7"/>
      <c r="P2599" s="7"/>
      <c r="Q2599" s="7"/>
      <c r="R2599" s="7"/>
    </row>
    <row r="2600" spans="3:18">
      <c r="C2600" s="7"/>
      <c r="D2600" s="7"/>
      <c r="E2600" s="7"/>
      <c r="F2600" s="7"/>
      <c r="G2600" s="7"/>
      <c r="H2600" s="7"/>
      <c r="I2600" s="7"/>
      <c r="J2600" s="7"/>
      <c r="K2600" s="7"/>
      <c r="L2600" s="27"/>
      <c r="N2600" s="8"/>
      <c r="O2600" s="7"/>
      <c r="P2600" s="7"/>
      <c r="Q2600" s="7"/>
      <c r="R2600" s="7"/>
    </row>
    <row r="2601" spans="3:18">
      <c r="C2601" s="7"/>
      <c r="D2601" s="7"/>
      <c r="E2601" s="7"/>
      <c r="F2601" s="7"/>
      <c r="G2601" s="7"/>
      <c r="H2601" s="7"/>
      <c r="I2601" s="7"/>
      <c r="J2601" s="7"/>
      <c r="K2601" s="7"/>
      <c r="L2601" s="27"/>
      <c r="N2601" s="8"/>
      <c r="O2601" s="7"/>
      <c r="P2601" s="7"/>
      <c r="Q2601" s="7"/>
      <c r="R2601" s="7"/>
    </row>
    <row r="2602" spans="3:18">
      <c r="C2602" s="7"/>
      <c r="D2602" s="7"/>
      <c r="E2602" s="7"/>
      <c r="F2602" s="7"/>
      <c r="G2602" s="7"/>
      <c r="H2602" s="7"/>
      <c r="I2602" s="7"/>
      <c r="J2602" s="7"/>
      <c r="K2602" s="7"/>
      <c r="L2602" s="27"/>
      <c r="N2602" s="8"/>
      <c r="O2602" s="7"/>
      <c r="P2602" s="7"/>
      <c r="Q2602" s="7"/>
      <c r="R2602" s="7"/>
    </row>
    <row r="2603" spans="3:18">
      <c r="C2603" s="7"/>
      <c r="D2603" s="7"/>
      <c r="E2603" s="7"/>
      <c r="F2603" s="7"/>
      <c r="G2603" s="7"/>
      <c r="H2603" s="7"/>
      <c r="I2603" s="7"/>
      <c r="J2603" s="7"/>
      <c r="K2603" s="7"/>
      <c r="L2603" s="27"/>
      <c r="N2603" s="8"/>
      <c r="O2603" s="7"/>
      <c r="P2603" s="7"/>
      <c r="Q2603" s="7"/>
      <c r="R2603" s="7"/>
    </row>
    <row r="2604" spans="3:18">
      <c r="C2604" s="7"/>
      <c r="D2604" s="7"/>
      <c r="E2604" s="7"/>
      <c r="F2604" s="7"/>
      <c r="G2604" s="7"/>
      <c r="H2604" s="7"/>
      <c r="I2604" s="7"/>
      <c r="J2604" s="7"/>
      <c r="K2604" s="7"/>
      <c r="L2604" s="27"/>
      <c r="N2604" s="8"/>
      <c r="O2604" s="7"/>
      <c r="P2604" s="7"/>
      <c r="Q2604" s="7"/>
      <c r="R2604" s="7"/>
    </row>
    <row r="2605" spans="3:18">
      <c r="C2605" s="7"/>
      <c r="D2605" s="7"/>
      <c r="E2605" s="7"/>
      <c r="F2605" s="7"/>
      <c r="G2605" s="7"/>
      <c r="H2605" s="7"/>
      <c r="I2605" s="7"/>
      <c r="J2605" s="7"/>
      <c r="K2605" s="7"/>
      <c r="L2605" s="27"/>
      <c r="N2605" s="8"/>
      <c r="O2605" s="7"/>
      <c r="P2605" s="7"/>
      <c r="Q2605" s="7"/>
      <c r="R2605" s="7"/>
    </row>
    <row r="2606" spans="3:18">
      <c r="C2606" s="7"/>
      <c r="D2606" s="7"/>
      <c r="E2606" s="7"/>
      <c r="F2606" s="7"/>
      <c r="G2606" s="7"/>
      <c r="H2606" s="7"/>
      <c r="I2606" s="7"/>
      <c r="J2606" s="7"/>
      <c r="K2606" s="7"/>
      <c r="L2606" s="27"/>
      <c r="N2606" s="8"/>
      <c r="O2606" s="7"/>
      <c r="P2606" s="7"/>
      <c r="Q2606" s="7"/>
      <c r="R2606" s="7"/>
    </row>
    <row r="2607" spans="3:18">
      <c r="C2607" s="7"/>
      <c r="D2607" s="7"/>
      <c r="E2607" s="7"/>
      <c r="F2607" s="7"/>
      <c r="G2607" s="7"/>
      <c r="H2607" s="7"/>
      <c r="I2607" s="7"/>
      <c r="J2607" s="7"/>
      <c r="K2607" s="7"/>
      <c r="L2607" s="27"/>
      <c r="N2607" s="8"/>
      <c r="O2607" s="7"/>
      <c r="P2607" s="7"/>
      <c r="Q2607" s="7"/>
      <c r="R2607" s="7"/>
    </row>
    <row r="2608" spans="3:18">
      <c r="C2608" s="7"/>
      <c r="D2608" s="7"/>
      <c r="E2608" s="7"/>
      <c r="F2608" s="7"/>
      <c r="G2608" s="7"/>
      <c r="H2608" s="7"/>
      <c r="I2608" s="7"/>
      <c r="J2608" s="7"/>
      <c r="K2608" s="7"/>
      <c r="L2608" s="27"/>
      <c r="N2608" s="8"/>
      <c r="O2608" s="7"/>
      <c r="P2608" s="7"/>
      <c r="Q2608" s="7"/>
      <c r="R2608" s="7"/>
    </row>
    <row r="2609" spans="3:18">
      <c r="C2609" s="7"/>
      <c r="D2609" s="7"/>
      <c r="E2609" s="7"/>
      <c r="F2609" s="7"/>
      <c r="G2609" s="7"/>
      <c r="H2609" s="7"/>
      <c r="I2609" s="7"/>
      <c r="J2609" s="7"/>
      <c r="K2609" s="7"/>
      <c r="L2609" s="27"/>
      <c r="N2609" s="8"/>
      <c r="O2609" s="7"/>
      <c r="P2609" s="7"/>
      <c r="Q2609" s="7"/>
      <c r="R2609" s="7"/>
    </row>
    <row r="2610" spans="3:18">
      <c r="C2610" s="7"/>
      <c r="D2610" s="7"/>
      <c r="E2610" s="7"/>
      <c r="F2610" s="7"/>
      <c r="G2610" s="7"/>
      <c r="H2610" s="7"/>
      <c r="I2610" s="7"/>
      <c r="J2610" s="7"/>
      <c r="K2610" s="7"/>
      <c r="L2610" s="27"/>
      <c r="N2610" s="8"/>
      <c r="O2610" s="7"/>
      <c r="P2610" s="7"/>
      <c r="Q2610" s="7"/>
      <c r="R2610" s="7"/>
    </row>
    <row r="2611" spans="3:18">
      <c r="C2611" s="7"/>
      <c r="D2611" s="7"/>
      <c r="E2611" s="7"/>
      <c r="F2611" s="7"/>
      <c r="G2611" s="7"/>
      <c r="H2611" s="7"/>
      <c r="I2611" s="7"/>
      <c r="J2611" s="7"/>
      <c r="K2611" s="7"/>
      <c r="L2611" s="27"/>
      <c r="N2611" s="8"/>
      <c r="O2611" s="7"/>
      <c r="P2611" s="7"/>
      <c r="Q2611" s="7"/>
      <c r="R2611" s="7"/>
    </row>
    <row r="2612" spans="3:18">
      <c r="C2612" s="7"/>
      <c r="D2612" s="7"/>
      <c r="E2612" s="7"/>
      <c r="F2612" s="7"/>
      <c r="G2612" s="7"/>
      <c r="H2612" s="7"/>
      <c r="I2612" s="7"/>
      <c r="J2612" s="7"/>
      <c r="K2612" s="7"/>
      <c r="L2612" s="27"/>
      <c r="N2612" s="8"/>
      <c r="O2612" s="7"/>
      <c r="P2612" s="7"/>
      <c r="Q2612" s="7"/>
      <c r="R2612" s="7"/>
    </row>
    <row r="2613" spans="3:18">
      <c r="C2613" s="7"/>
      <c r="D2613" s="7"/>
      <c r="E2613" s="7"/>
      <c r="F2613" s="7"/>
      <c r="G2613" s="7"/>
      <c r="H2613" s="7"/>
      <c r="I2613" s="7"/>
      <c r="J2613" s="7"/>
      <c r="K2613" s="7"/>
      <c r="L2613" s="27"/>
      <c r="N2613" s="8"/>
      <c r="O2613" s="7"/>
      <c r="P2613" s="7"/>
      <c r="Q2613" s="7"/>
      <c r="R2613" s="7"/>
    </row>
    <row r="2614" spans="3:18">
      <c r="C2614" s="7"/>
      <c r="D2614" s="7"/>
      <c r="E2614" s="7"/>
      <c r="F2614" s="7"/>
      <c r="G2614" s="7"/>
      <c r="H2614" s="7"/>
      <c r="I2614" s="7"/>
      <c r="J2614" s="7"/>
      <c r="K2614" s="7"/>
      <c r="L2614" s="27"/>
      <c r="N2614" s="8"/>
      <c r="O2614" s="7"/>
      <c r="P2614" s="7"/>
      <c r="Q2614" s="7"/>
      <c r="R2614" s="7"/>
    </row>
    <row r="2615" spans="3:18">
      <c r="C2615" s="7"/>
      <c r="D2615" s="7"/>
      <c r="E2615" s="7"/>
      <c r="F2615" s="7"/>
      <c r="G2615" s="7"/>
      <c r="H2615" s="7"/>
      <c r="I2615" s="7"/>
      <c r="J2615" s="7"/>
      <c r="K2615" s="7"/>
      <c r="L2615" s="27"/>
      <c r="N2615" s="8"/>
      <c r="O2615" s="7"/>
      <c r="P2615" s="7"/>
      <c r="Q2615" s="7"/>
      <c r="R2615" s="7"/>
    </row>
    <row r="2616" spans="3:18">
      <c r="C2616" s="7"/>
      <c r="D2616" s="7"/>
      <c r="E2616" s="7"/>
      <c r="F2616" s="7"/>
      <c r="G2616" s="7"/>
      <c r="H2616" s="7"/>
      <c r="I2616" s="7"/>
      <c r="J2616" s="7"/>
      <c r="K2616" s="7"/>
      <c r="L2616" s="27"/>
      <c r="N2616" s="8"/>
      <c r="O2616" s="7"/>
      <c r="P2616" s="7"/>
      <c r="Q2616" s="7"/>
      <c r="R2616" s="7"/>
    </row>
    <row r="2617" spans="3:18">
      <c r="C2617" s="7"/>
      <c r="D2617" s="7"/>
      <c r="E2617" s="7"/>
      <c r="F2617" s="7"/>
      <c r="G2617" s="7"/>
      <c r="H2617" s="7"/>
      <c r="I2617" s="7"/>
      <c r="J2617" s="7"/>
      <c r="K2617" s="7"/>
      <c r="L2617" s="27"/>
      <c r="N2617" s="8"/>
      <c r="O2617" s="7"/>
      <c r="P2617" s="7"/>
      <c r="Q2617" s="7"/>
      <c r="R2617" s="7"/>
    </row>
    <row r="2618" spans="3:18">
      <c r="C2618" s="7"/>
      <c r="D2618" s="7"/>
      <c r="E2618" s="7"/>
      <c r="F2618" s="7"/>
      <c r="G2618" s="7"/>
      <c r="H2618" s="7"/>
      <c r="I2618" s="7"/>
      <c r="J2618" s="7"/>
      <c r="K2618" s="7"/>
      <c r="L2618" s="27"/>
      <c r="N2618" s="8"/>
      <c r="O2618" s="7"/>
      <c r="P2618" s="7"/>
      <c r="Q2618" s="7"/>
      <c r="R2618" s="7"/>
    </row>
    <row r="2619" spans="3:18">
      <c r="C2619" s="7"/>
      <c r="D2619" s="7"/>
      <c r="E2619" s="7"/>
      <c r="F2619" s="7"/>
      <c r="G2619" s="7"/>
      <c r="H2619" s="7"/>
      <c r="I2619" s="7"/>
      <c r="J2619" s="7"/>
      <c r="K2619" s="7"/>
      <c r="L2619" s="27"/>
      <c r="N2619" s="8"/>
      <c r="O2619" s="7"/>
      <c r="P2619" s="7"/>
      <c r="Q2619" s="7"/>
      <c r="R2619" s="7"/>
    </row>
    <row r="2620" spans="3:18">
      <c r="C2620" s="7"/>
      <c r="D2620" s="7"/>
      <c r="E2620" s="7"/>
      <c r="F2620" s="7"/>
      <c r="G2620" s="7"/>
      <c r="H2620" s="7"/>
      <c r="I2620" s="7"/>
      <c r="J2620" s="7"/>
      <c r="K2620" s="7"/>
      <c r="L2620" s="27"/>
      <c r="N2620" s="8"/>
      <c r="O2620" s="7"/>
      <c r="P2620" s="7"/>
      <c r="Q2620" s="7"/>
      <c r="R2620" s="7"/>
    </row>
    <row r="2621" spans="3:18">
      <c r="C2621" s="7"/>
      <c r="D2621" s="7"/>
      <c r="E2621" s="7"/>
      <c r="F2621" s="7"/>
      <c r="G2621" s="7"/>
      <c r="H2621" s="7"/>
      <c r="I2621" s="7"/>
      <c r="J2621" s="7"/>
      <c r="K2621" s="7"/>
      <c r="L2621" s="27"/>
      <c r="N2621" s="8"/>
      <c r="O2621" s="7"/>
      <c r="P2621" s="7"/>
      <c r="Q2621" s="7"/>
      <c r="R2621" s="7"/>
    </row>
    <row r="2622" spans="3:18">
      <c r="C2622" s="7"/>
      <c r="D2622" s="7"/>
      <c r="E2622" s="7"/>
      <c r="F2622" s="7"/>
      <c r="G2622" s="7"/>
      <c r="H2622" s="7"/>
      <c r="I2622" s="7"/>
      <c r="J2622" s="7"/>
      <c r="K2622" s="7"/>
      <c r="L2622" s="27"/>
      <c r="N2622" s="8"/>
      <c r="O2622" s="7"/>
      <c r="P2622" s="7"/>
      <c r="Q2622" s="7"/>
      <c r="R2622" s="7"/>
    </row>
    <row r="2623" spans="3:18">
      <c r="C2623" s="7"/>
      <c r="D2623" s="7"/>
      <c r="E2623" s="7"/>
      <c r="F2623" s="7"/>
      <c r="G2623" s="7"/>
      <c r="H2623" s="7"/>
      <c r="I2623" s="7"/>
      <c r="J2623" s="7"/>
      <c r="K2623" s="7"/>
      <c r="L2623" s="27"/>
      <c r="N2623" s="8"/>
      <c r="O2623" s="7"/>
      <c r="P2623" s="7"/>
      <c r="Q2623" s="7"/>
      <c r="R2623" s="7"/>
    </row>
    <row r="2624" spans="3:18">
      <c r="C2624" s="7"/>
      <c r="D2624" s="7"/>
      <c r="E2624" s="7"/>
      <c r="F2624" s="7"/>
      <c r="G2624" s="7"/>
      <c r="H2624" s="7"/>
      <c r="I2624" s="7"/>
      <c r="J2624" s="7"/>
      <c r="K2624" s="7"/>
      <c r="L2624" s="27"/>
      <c r="N2624" s="8"/>
      <c r="O2624" s="7"/>
      <c r="P2624" s="7"/>
      <c r="Q2624" s="7"/>
      <c r="R2624" s="7"/>
    </row>
    <row r="2625" spans="3:18">
      <c r="C2625" s="7"/>
      <c r="D2625" s="7"/>
      <c r="E2625" s="7"/>
      <c r="F2625" s="7"/>
      <c r="G2625" s="7"/>
      <c r="H2625" s="7"/>
      <c r="I2625" s="7"/>
      <c r="J2625" s="7"/>
      <c r="K2625" s="7"/>
      <c r="L2625" s="27"/>
      <c r="N2625" s="8"/>
      <c r="O2625" s="7"/>
      <c r="P2625" s="7"/>
      <c r="Q2625" s="7"/>
      <c r="R2625" s="7"/>
    </row>
    <row r="2626" spans="3:18">
      <c r="C2626" s="7"/>
      <c r="D2626" s="7"/>
      <c r="E2626" s="7"/>
      <c r="F2626" s="7"/>
      <c r="G2626" s="7"/>
      <c r="H2626" s="7"/>
      <c r="I2626" s="7"/>
      <c r="J2626" s="7"/>
      <c r="K2626" s="7"/>
      <c r="L2626" s="27"/>
      <c r="N2626" s="8"/>
      <c r="O2626" s="7"/>
      <c r="P2626" s="7"/>
      <c r="Q2626" s="7"/>
      <c r="R2626" s="7"/>
    </row>
    <row r="2627" spans="3:18">
      <c r="C2627" s="7"/>
      <c r="D2627" s="7"/>
      <c r="E2627" s="7"/>
      <c r="F2627" s="7"/>
      <c r="G2627" s="7"/>
      <c r="H2627" s="7"/>
      <c r="I2627" s="7"/>
      <c r="J2627" s="7"/>
      <c r="K2627" s="7"/>
      <c r="L2627" s="27"/>
      <c r="N2627" s="8"/>
      <c r="O2627" s="7"/>
      <c r="P2627" s="7"/>
      <c r="Q2627" s="7"/>
      <c r="R2627" s="7"/>
    </row>
    <row r="2628" spans="3:18">
      <c r="C2628" s="7"/>
      <c r="D2628" s="7"/>
      <c r="E2628" s="7"/>
      <c r="F2628" s="7"/>
      <c r="G2628" s="7"/>
      <c r="H2628" s="7"/>
      <c r="I2628" s="7"/>
      <c r="J2628" s="7"/>
      <c r="K2628" s="7"/>
      <c r="L2628" s="27"/>
      <c r="N2628" s="8"/>
      <c r="O2628" s="7"/>
      <c r="P2628" s="7"/>
      <c r="Q2628" s="7"/>
      <c r="R2628" s="7"/>
    </row>
    <row r="2629" spans="3:18">
      <c r="C2629" s="7"/>
      <c r="D2629" s="7"/>
      <c r="E2629" s="7"/>
      <c r="F2629" s="7"/>
      <c r="G2629" s="7"/>
      <c r="H2629" s="7"/>
      <c r="I2629" s="7"/>
      <c r="J2629" s="7"/>
      <c r="K2629" s="7"/>
      <c r="L2629" s="27"/>
      <c r="N2629" s="8"/>
      <c r="O2629" s="7"/>
      <c r="P2629" s="7"/>
      <c r="Q2629" s="7"/>
      <c r="R2629" s="7"/>
    </row>
    <row r="2630" spans="3:18">
      <c r="C2630" s="7"/>
      <c r="D2630" s="7"/>
      <c r="E2630" s="7"/>
      <c r="F2630" s="7"/>
      <c r="G2630" s="7"/>
      <c r="H2630" s="7"/>
      <c r="I2630" s="7"/>
      <c r="J2630" s="7"/>
      <c r="K2630" s="7"/>
      <c r="L2630" s="27"/>
      <c r="N2630" s="8"/>
      <c r="O2630" s="7"/>
      <c r="P2630" s="7"/>
      <c r="Q2630" s="7"/>
      <c r="R2630" s="7"/>
    </row>
    <row r="2631" spans="3:18">
      <c r="C2631" s="7"/>
      <c r="D2631" s="7"/>
      <c r="E2631" s="7"/>
      <c r="F2631" s="7"/>
      <c r="G2631" s="7"/>
      <c r="H2631" s="7"/>
      <c r="I2631" s="7"/>
      <c r="J2631" s="7"/>
      <c r="K2631" s="7"/>
      <c r="L2631" s="27"/>
      <c r="N2631" s="8"/>
      <c r="O2631" s="7"/>
      <c r="P2631" s="7"/>
      <c r="Q2631" s="7"/>
      <c r="R2631" s="7"/>
    </row>
    <row r="2632" spans="3:18">
      <c r="C2632" s="7"/>
      <c r="D2632" s="7"/>
      <c r="E2632" s="7"/>
      <c r="F2632" s="7"/>
      <c r="G2632" s="7"/>
      <c r="H2632" s="7"/>
      <c r="I2632" s="7"/>
      <c r="J2632" s="7"/>
      <c r="K2632" s="7"/>
      <c r="L2632" s="27"/>
      <c r="N2632" s="8"/>
      <c r="O2632" s="7"/>
      <c r="P2632" s="7"/>
      <c r="Q2632" s="7"/>
      <c r="R2632" s="7"/>
    </row>
    <row r="2633" spans="3:18">
      <c r="C2633" s="7"/>
      <c r="D2633" s="7"/>
      <c r="E2633" s="7"/>
      <c r="F2633" s="7"/>
      <c r="G2633" s="7"/>
      <c r="H2633" s="7"/>
      <c r="I2633" s="7"/>
      <c r="J2633" s="7"/>
      <c r="K2633" s="7"/>
      <c r="L2633" s="27"/>
      <c r="N2633" s="8"/>
      <c r="O2633" s="7"/>
      <c r="P2633" s="7"/>
      <c r="Q2633" s="7"/>
      <c r="R2633" s="7"/>
    </row>
    <row r="2634" spans="3:18">
      <c r="C2634" s="7"/>
      <c r="D2634" s="7"/>
      <c r="E2634" s="7"/>
      <c r="F2634" s="7"/>
      <c r="G2634" s="7"/>
      <c r="H2634" s="7"/>
      <c r="I2634" s="7"/>
      <c r="J2634" s="7"/>
      <c r="K2634" s="7"/>
      <c r="L2634" s="27"/>
      <c r="N2634" s="8"/>
      <c r="O2634" s="7"/>
      <c r="P2634" s="7"/>
      <c r="Q2634" s="7"/>
      <c r="R2634" s="7"/>
    </row>
    <row r="2635" spans="3:18">
      <c r="C2635" s="7"/>
      <c r="D2635" s="7"/>
      <c r="E2635" s="7"/>
      <c r="F2635" s="7"/>
      <c r="G2635" s="7"/>
      <c r="H2635" s="7"/>
      <c r="I2635" s="7"/>
      <c r="J2635" s="7"/>
      <c r="K2635" s="7"/>
      <c r="L2635" s="27"/>
      <c r="N2635" s="8"/>
      <c r="O2635" s="7"/>
      <c r="P2635" s="7"/>
      <c r="Q2635" s="7"/>
      <c r="R2635" s="7"/>
    </row>
    <row r="2636" spans="3:18">
      <c r="C2636" s="7"/>
      <c r="D2636" s="7"/>
      <c r="E2636" s="7"/>
      <c r="F2636" s="7"/>
      <c r="G2636" s="7"/>
      <c r="H2636" s="7"/>
      <c r="I2636" s="7"/>
      <c r="J2636" s="7"/>
      <c r="K2636" s="7"/>
      <c r="L2636" s="27"/>
      <c r="N2636" s="8"/>
      <c r="O2636" s="7"/>
      <c r="P2636" s="7"/>
      <c r="Q2636" s="7"/>
      <c r="R2636" s="7"/>
    </row>
    <row r="2637" spans="3:18">
      <c r="C2637" s="7"/>
      <c r="D2637" s="7"/>
      <c r="E2637" s="7"/>
      <c r="F2637" s="7"/>
      <c r="G2637" s="7"/>
      <c r="H2637" s="7"/>
      <c r="I2637" s="7"/>
      <c r="J2637" s="7"/>
      <c r="K2637" s="7"/>
      <c r="L2637" s="27"/>
      <c r="N2637" s="8"/>
      <c r="O2637" s="7"/>
      <c r="P2637" s="7"/>
      <c r="Q2637" s="7"/>
      <c r="R2637" s="7"/>
    </row>
    <row r="2638" spans="3:18">
      <c r="C2638" s="7"/>
      <c r="D2638" s="7"/>
      <c r="E2638" s="7"/>
      <c r="F2638" s="7"/>
      <c r="G2638" s="7"/>
      <c r="H2638" s="7"/>
      <c r="I2638" s="7"/>
      <c r="J2638" s="7"/>
      <c r="K2638" s="7"/>
      <c r="L2638" s="27"/>
      <c r="N2638" s="8"/>
      <c r="O2638" s="7"/>
      <c r="P2638" s="7"/>
      <c r="Q2638" s="7"/>
      <c r="R2638" s="7"/>
    </row>
    <row r="2639" spans="3:18">
      <c r="C2639" s="7"/>
      <c r="D2639" s="7"/>
      <c r="E2639" s="7"/>
      <c r="F2639" s="7"/>
      <c r="G2639" s="7"/>
      <c r="H2639" s="7"/>
      <c r="I2639" s="7"/>
      <c r="J2639" s="7"/>
      <c r="K2639" s="7"/>
      <c r="L2639" s="27"/>
      <c r="N2639" s="8"/>
      <c r="O2639" s="7"/>
      <c r="P2639" s="7"/>
      <c r="Q2639" s="7"/>
      <c r="R2639" s="7"/>
    </row>
    <row r="2640" spans="3:18">
      <c r="C2640" s="7"/>
      <c r="D2640" s="7"/>
      <c r="E2640" s="7"/>
      <c r="F2640" s="7"/>
      <c r="G2640" s="7"/>
      <c r="H2640" s="7"/>
      <c r="I2640" s="7"/>
      <c r="J2640" s="7"/>
      <c r="K2640" s="7"/>
      <c r="L2640" s="27"/>
      <c r="N2640" s="8"/>
      <c r="O2640" s="7"/>
      <c r="P2640" s="7"/>
      <c r="Q2640" s="7"/>
      <c r="R2640" s="7"/>
    </row>
    <row r="2641" spans="3:18">
      <c r="C2641" s="7"/>
      <c r="D2641" s="7"/>
      <c r="E2641" s="7"/>
      <c r="F2641" s="7"/>
      <c r="G2641" s="7"/>
      <c r="H2641" s="7"/>
      <c r="I2641" s="7"/>
      <c r="J2641" s="7"/>
      <c r="K2641" s="7"/>
      <c r="L2641" s="27"/>
      <c r="N2641" s="8"/>
      <c r="O2641" s="7"/>
      <c r="P2641" s="7"/>
      <c r="Q2641" s="7"/>
      <c r="R2641" s="7"/>
    </row>
    <row r="2642" spans="3:18">
      <c r="C2642" s="7"/>
      <c r="D2642" s="7"/>
      <c r="E2642" s="7"/>
      <c r="F2642" s="7"/>
      <c r="G2642" s="7"/>
      <c r="H2642" s="7"/>
      <c r="I2642" s="7"/>
      <c r="J2642" s="7"/>
      <c r="K2642" s="7"/>
      <c r="L2642" s="27"/>
      <c r="N2642" s="8"/>
      <c r="O2642" s="7"/>
      <c r="P2642" s="7"/>
      <c r="Q2642" s="7"/>
      <c r="R2642" s="7"/>
    </row>
    <row r="2643" spans="3:18">
      <c r="C2643" s="7"/>
      <c r="D2643" s="7"/>
      <c r="E2643" s="7"/>
      <c r="F2643" s="7"/>
      <c r="G2643" s="7"/>
      <c r="H2643" s="7"/>
      <c r="I2643" s="7"/>
      <c r="J2643" s="7"/>
      <c r="K2643" s="7"/>
      <c r="L2643" s="27"/>
      <c r="N2643" s="8"/>
      <c r="O2643" s="7"/>
      <c r="P2643" s="7"/>
      <c r="Q2643" s="7"/>
      <c r="R2643" s="7"/>
    </row>
    <row r="2644" spans="3:18">
      <c r="C2644" s="7"/>
      <c r="D2644" s="7"/>
      <c r="E2644" s="7"/>
      <c r="F2644" s="7"/>
      <c r="G2644" s="7"/>
      <c r="H2644" s="7"/>
      <c r="I2644" s="7"/>
      <c r="J2644" s="7"/>
      <c r="K2644" s="7"/>
      <c r="L2644" s="27"/>
      <c r="N2644" s="8"/>
      <c r="O2644" s="7"/>
      <c r="P2644" s="7"/>
      <c r="Q2644" s="7"/>
      <c r="R2644" s="7"/>
    </row>
    <row r="2645" spans="3:18">
      <c r="C2645" s="7"/>
      <c r="D2645" s="7"/>
      <c r="E2645" s="7"/>
      <c r="F2645" s="7"/>
      <c r="G2645" s="7"/>
      <c r="H2645" s="7"/>
      <c r="I2645" s="7"/>
      <c r="J2645" s="7"/>
      <c r="K2645" s="7"/>
      <c r="L2645" s="27"/>
      <c r="N2645" s="8"/>
      <c r="O2645" s="7"/>
      <c r="P2645" s="7"/>
      <c r="Q2645" s="7"/>
      <c r="R2645" s="7"/>
    </row>
    <row r="2646" spans="3:18">
      <c r="C2646" s="7"/>
      <c r="D2646" s="7"/>
      <c r="E2646" s="7"/>
      <c r="F2646" s="7"/>
      <c r="G2646" s="7"/>
      <c r="H2646" s="7"/>
      <c r="I2646" s="7"/>
      <c r="J2646" s="7"/>
      <c r="K2646" s="7"/>
      <c r="L2646" s="27"/>
      <c r="N2646" s="8"/>
      <c r="O2646" s="7"/>
      <c r="P2646" s="7"/>
      <c r="Q2646" s="7"/>
      <c r="R2646" s="7"/>
    </row>
    <row r="2647" spans="3:18">
      <c r="C2647" s="7"/>
      <c r="D2647" s="7"/>
      <c r="E2647" s="7"/>
      <c r="F2647" s="7"/>
      <c r="G2647" s="7"/>
      <c r="H2647" s="7"/>
      <c r="I2647" s="7"/>
      <c r="J2647" s="7"/>
      <c r="K2647" s="7"/>
      <c r="L2647" s="27"/>
      <c r="N2647" s="8"/>
      <c r="O2647" s="7"/>
      <c r="P2647" s="7"/>
      <c r="Q2647" s="7"/>
      <c r="R2647" s="7"/>
    </row>
    <row r="2648" spans="3:18">
      <c r="C2648" s="7"/>
      <c r="D2648" s="7"/>
      <c r="E2648" s="7"/>
      <c r="F2648" s="7"/>
      <c r="G2648" s="7"/>
      <c r="H2648" s="7"/>
      <c r="I2648" s="7"/>
      <c r="J2648" s="7"/>
      <c r="K2648" s="7"/>
      <c r="L2648" s="27"/>
      <c r="N2648" s="8"/>
      <c r="O2648" s="7"/>
      <c r="P2648" s="7"/>
      <c r="Q2648" s="7"/>
      <c r="R2648" s="7"/>
    </row>
    <row r="2649" spans="3:18">
      <c r="C2649" s="7"/>
      <c r="D2649" s="7"/>
      <c r="E2649" s="7"/>
      <c r="F2649" s="7"/>
      <c r="G2649" s="7"/>
      <c r="H2649" s="7"/>
      <c r="I2649" s="7"/>
      <c r="J2649" s="7"/>
      <c r="K2649" s="7"/>
      <c r="L2649" s="27"/>
      <c r="N2649" s="8"/>
      <c r="O2649" s="7"/>
      <c r="P2649" s="7"/>
      <c r="Q2649" s="7"/>
      <c r="R2649" s="7"/>
    </row>
    <row r="2650" spans="3:18">
      <c r="C2650" s="7"/>
      <c r="D2650" s="7"/>
      <c r="E2650" s="7"/>
      <c r="F2650" s="7"/>
      <c r="G2650" s="7"/>
      <c r="H2650" s="7"/>
      <c r="I2650" s="7"/>
      <c r="J2650" s="7"/>
      <c r="K2650" s="7"/>
      <c r="L2650" s="27"/>
      <c r="N2650" s="8"/>
      <c r="O2650" s="7"/>
      <c r="P2650" s="7"/>
      <c r="Q2650" s="7"/>
      <c r="R2650" s="7"/>
    </row>
    <row r="2651" spans="3:18">
      <c r="C2651" s="7"/>
      <c r="D2651" s="7"/>
      <c r="E2651" s="7"/>
      <c r="F2651" s="7"/>
      <c r="G2651" s="7"/>
      <c r="H2651" s="7"/>
      <c r="I2651" s="7"/>
      <c r="J2651" s="7"/>
      <c r="K2651" s="7"/>
      <c r="L2651" s="27"/>
      <c r="N2651" s="8"/>
      <c r="O2651" s="7"/>
      <c r="P2651" s="7"/>
      <c r="Q2651" s="7"/>
      <c r="R2651" s="7"/>
    </row>
    <row r="2652" spans="3:18">
      <c r="C2652" s="7"/>
      <c r="D2652" s="7"/>
      <c r="E2652" s="7"/>
      <c r="F2652" s="7"/>
      <c r="G2652" s="7"/>
      <c r="H2652" s="7"/>
      <c r="I2652" s="7"/>
      <c r="J2652" s="7"/>
      <c r="K2652" s="7"/>
      <c r="L2652" s="27"/>
      <c r="N2652" s="8"/>
      <c r="O2652" s="7"/>
      <c r="P2652" s="7"/>
      <c r="Q2652" s="7"/>
      <c r="R2652" s="7"/>
    </row>
    <row r="2653" spans="3:18">
      <c r="C2653" s="7"/>
      <c r="D2653" s="7"/>
      <c r="E2653" s="7"/>
      <c r="F2653" s="7"/>
      <c r="G2653" s="7"/>
      <c r="H2653" s="7"/>
      <c r="I2653" s="7"/>
      <c r="J2653" s="7"/>
      <c r="K2653" s="7"/>
      <c r="L2653" s="27"/>
      <c r="N2653" s="8"/>
      <c r="O2653" s="7"/>
      <c r="P2653" s="7"/>
      <c r="Q2653" s="7"/>
      <c r="R2653" s="7"/>
    </row>
    <row r="2654" spans="3:18">
      <c r="C2654" s="7"/>
      <c r="D2654" s="7"/>
      <c r="E2654" s="7"/>
      <c r="F2654" s="7"/>
      <c r="G2654" s="7"/>
      <c r="H2654" s="7"/>
      <c r="I2654" s="7"/>
      <c r="J2654" s="7"/>
      <c r="K2654" s="7"/>
      <c r="L2654" s="27"/>
      <c r="N2654" s="8"/>
      <c r="O2654" s="7"/>
      <c r="P2654" s="7"/>
      <c r="Q2654" s="7"/>
      <c r="R2654" s="7"/>
    </row>
    <row r="2655" spans="3:18">
      <c r="C2655" s="7"/>
      <c r="D2655" s="7"/>
      <c r="E2655" s="7"/>
      <c r="F2655" s="7"/>
      <c r="G2655" s="7"/>
      <c r="H2655" s="7"/>
      <c r="I2655" s="7"/>
      <c r="J2655" s="7"/>
      <c r="K2655" s="7"/>
      <c r="L2655" s="27"/>
      <c r="N2655" s="8"/>
      <c r="O2655" s="7"/>
      <c r="P2655" s="7"/>
      <c r="Q2655" s="7"/>
      <c r="R2655" s="7"/>
    </row>
    <row r="2656" spans="3:18">
      <c r="C2656" s="7"/>
      <c r="D2656" s="7"/>
      <c r="E2656" s="7"/>
      <c r="F2656" s="7"/>
      <c r="G2656" s="7"/>
      <c r="H2656" s="7"/>
      <c r="I2656" s="7"/>
      <c r="J2656" s="7"/>
      <c r="K2656" s="7"/>
      <c r="L2656" s="27"/>
      <c r="N2656" s="8"/>
      <c r="O2656" s="7"/>
      <c r="P2656" s="7"/>
      <c r="Q2656" s="7"/>
      <c r="R2656" s="7"/>
    </row>
    <row r="2657" spans="3:18">
      <c r="C2657" s="7"/>
      <c r="D2657" s="7"/>
      <c r="E2657" s="7"/>
      <c r="F2657" s="7"/>
      <c r="G2657" s="7"/>
      <c r="H2657" s="7"/>
      <c r="I2657" s="7"/>
      <c r="J2657" s="7"/>
      <c r="K2657" s="7"/>
      <c r="L2657" s="27"/>
      <c r="N2657" s="8"/>
      <c r="O2657" s="7"/>
      <c r="P2657" s="7"/>
      <c r="Q2657" s="7"/>
      <c r="R2657" s="7"/>
    </row>
    <row r="2658" spans="3:18">
      <c r="C2658" s="7"/>
      <c r="D2658" s="7"/>
      <c r="E2658" s="7"/>
      <c r="F2658" s="7"/>
      <c r="G2658" s="7"/>
      <c r="H2658" s="7"/>
      <c r="I2658" s="7"/>
      <c r="J2658" s="7"/>
      <c r="K2658" s="7"/>
      <c r="L2658" s="27"/>
      <c r="N2658" s="8"/>
      <c r="O2658" s="7"/>
      <c r="P2658" s="7"/>
      <c r="Q2658" s="7"/>
      <c r="R2658" s="7"/>
    </row>
    <row r="2659" spans="3:18">
      <c r="C2659" s="7"/>
      <c r="D2659" s="7"/>
      <c r="E2659" s="7"/>
      <c r="F2659" s="7"/>
      <c r="G2659" s="7"/>
      <c r="H2659" s="7"/>
      <c r="I2659" s="7"/>
      <c r="J2659" s="7"/>
      <c r="K2659" s="7"/>
      <c r="L2659" s="27"/>
      <c r="N2659" s="8"/>
      <c r="O2659" s="7"/>
      <c r="P2659" s="7"/>
      <c r="Q2659" s="7"/>
      <c r="R2659" s="7"/>
    </row>
    <row r="2660" spans="3:18">
      <c r="C2660" s="7"/>
      <c r="D2660" s="7"/>
      <c r="E2660" s="7"/>
      <c r="F2660" s="7"/>
      <c r="G2660" s="7"/>
      <c r="H2660" s="7"/>
      <c r="I2660" s="7"/>
      <c r="J2660" s="7"/>
      <c r="K2660" s="7"/>
      <c r="L2660" s="27"/>
      <c r="N2660" s="8"/>
      <c r="O2660" s="7"/>
      <c r="P2660" s="7"/>
      <c r="Q2660" s="7"/>
      <c r="R2660" s="7"/>
    </row>
    <row r="2661" spans="3:18">
      <c r="C2661" s="7"/>
      <c r="D2661" s="7"/>
      <c r="E2661" s="7"/>
      <c r="F2661" s="7"/>
      <c r="G2661" s="7"/>
      <c r="H2661" s="7"/>
      <c r="I2661" s="7"/>
      <c r="J2661" s="7"/>
      <c r="K2661" s="7"/>
      <c r="L2661" s="27"/>
      <c r="N2661" s="8"/>
      <c r="O2661" s="7"/>
      <c r="P2661" s="7"/>
      <c r="Q2661" s="7"/>
      <c r="R2661" s="7"/>
    </row>
    <row r="2662" spans="3:18">
      <c r="C2662" s="7"/>
      <c r="D2662" s="7"/>
      <c r="E2662" s="7"/>
      <c r="F2662" s="7"/>
      <c r="G2662" s="7"/>
      <c r="H2662" s="7"/>
      <c r="I2662" s="7"/>
      <c r="J2662" s="7"/>
      <c r="K2662" s="7"/>
      <c r="L2662" s="27"/>
      <c r="N2662" s="8"/>
      <c r="O2662" s="7"/>
      <c r="P2662" s="7"/>
      <c r="Q2662" s="7"/>
      <c r="R2662" s="7"/>
    </row>
    <row r="2663" spans="3:18">
      <c r="C2663" s="7"/>
      <c r="D2663" s="7"/>
      <c r="E2663" s="7"/>
      <c r="F2663" s="7"/>
      <c r="G2663" s="7"/>
      <c r="H2663" s="7"/>
      <c r="I2663" s="7"/>
      <c r="J2663" s="7"/>
      <c r="K2663" s="7"/>
      <c r="L2663" s="27"/>
      <c r="N2663" s="8"/>
      <c r="O2663" s="7"/>
      <c r="P2663" s="7"/>
      <c r="Q2663" s="7"/>
      <c r="R2663" s="7"/>
    </row>
    <row r="2664" spans="3:18">
      <c r="C2664" s="7"/>
      <c r="D2664" s="7"/>
      <c r="E2664" s="7"/>
      <c r="F2664" s="7"/>
      <c r="G2664" s="7"/>
      <c r="H2664" s="7"/>
      <c r="I2664" s="7"/>
      <c r="J2664" s="7"/>
      <c r="K2664" s="7"/>
      <c r="L2664" s="27"/>
      <c r="N2664" s="8"/>
      <c r="O2664" s="7"/>
      <c r="P2664" s="7"/>
      <c r="Q2664" s="7"/>
      <c r="R2664" s="7"/>
    </row>
    <row r="2665" spans="3:18">
      <c r="C2665" s="7"/>
      <c r="D2665" s="7"/>
      <c r="E2665" s="7"/>
      <c r="F2665" s="7"/>
      <c r="G2665" s="7"/>
      <c r="H2665" s="7"/>
      <c r="I2665" s="7"/>
      <c r="J2665" s="7"/>
      <c r="K2665" s="7"/>
      <c r="L2665" s="27"/>
      <c r="N2665" s="8"/>
      <c r="O2665" s="7"/>
      <c r="P2665" s="7"/>
      <c r="Q2665" s="7"/>
      <c r="R2665" s="7"/>
    </row>
    <row r="2666" spans="3:18">
      <c r="C2666" s="7"/>
      <c r="D2666" s="7"/>
      <c r="E2666" s="7"/>
      <c r="F2666" s="7"/>
      <c r="G2666" s="7"/>
      <c r="H2666" s="7"/>
      <c r="I2666" s="7"/>
      <c r="J2666" s="7"/>
      <c r="K2666" s="7"/>
      <c r="L2666" s="27"/>
      <c r="N2666" s="8"/>
      <c r="O2666" s="7"/>
      <c r="P2666" s="7"/>
      <c r="Q2666" s="7"/>
      <c r="R2666" s="7"/>
    </row>
    <row r="2667" spans="3:18">
      <c r="C2667" s="7"/>
      <c r="D2667" s="7"/>
      <c r="E2667" s="7"/>
      <c r="F2667" s="7"/>
      <c r="G2667" s="7"/>
      <c r="H2667" s="7"/>
      <c r="I2667" s="7"/>
      <c r="J2667" s="7"/>
      <c r="K2667" s="7"/>
      <c r="L2667" s="27"/>
      <c r="N2667" s="8"/>
      <c r="O2667" s="7"/>
      <c r="P2667" s="7"/>
      <c r="Q2667" s="7"/>
      <c r="R2667" s="7"/>
    </row>
    <row r="2668" spans="3:18">
      <c r="C2668" s="7"/>
      <c r="D2668" s="7"/>
      <c r="E2668" s="7"/>
      <c r="F2668" s="7"/>
      <c r="G2668" s="7"/>
      <c r="H2668" s="7"/>
      <c r="I2668" s="7"/>
      <c r="J2668" s="7"/>
      <c r="K2668" s="7"/>
      <c r="L2668" s="27"/>
      <c r="N2668" s="8"/>
      <c r="O2668" s="7"/>
      <c r="P2668" s="7"/>
      <c r="Q2668" s="7"/>
      <c r="R2668" s="7"/>
    </row>
    <row r="2669" spans="3:18">
      <c r="C2669" s="7"/>
      <c r="D2669" s="7"/>
      <c r="E2669" s="7"/>
      <c r="F2669" s="7"/>
      <c r="G2669" s="7"/>
      <c r="H2669" s="7"/>
      <c r="I2669" s="7"/>
      <c r="J2669" s="7"/>
      <c r="K2669" s="7"/>
      <c r="L2669" s="27"/>
      <c r="N2669" s="8"/>
      <c r="O2669" s="7"/>
      <c r="P2669" s="7"/>
      <c r="Q2669" s="7"/>
      <c r="R2669" s="7"/>
    </row>
    <row r="2670" spans="3:18">
      <c r="C2670" s="7"/>
      <c r="D2670" s="7"/>
      <c r="E2670" s="7"/>
      <c r="F2670" s="7"/>
      <c r="G2670" s="7"/>
      <c r="H2670" s="7"/>
      <c r="I2670" s="7"/>
      <c r="J2670" s="7"/>
      <c r="K2670" s="7"/>
      <c r="L2670" s="27"/>
      <c r="N2670" s="8"/>
      <c r="O2670" s="7"/>
      <c r="P2670" s="7"/>
      <c r="Q2670" s="7"/>
      <c r="R2670" s="7"/>
    </row>
    <row r="2671" spans="3:18">
      <c r="C2671" s="7"/>
      <c r="D2671" s="7"/>
      <c r="E2671" s="7"/>
      <c r="F2671" s="7"/>
      <c r="G2671" s="7"/>
      <c r="H2671" s="7"/>
      <c r="I2671" s="7"/>
      <c r="J2671" s="7"/>
      <c r="K2671" s="7"/>
      <c r="L2671" s="27"/>
      <c r="N2671" s="8"/>
      <c r="O2671" s="7"/>
      <c r="P2671" s="7"/>
      <c r="Q2671" s="7"/>
      <c r="R2671" s="7"/>
    </row>
    <row r="2672" spans="3:18">
      <c r="C2672" s="7"/>
      <c r="D2672" s="7"/>
      <c r="E2672" s="7"/>
      <c r="F2672" s="7"/>
      <c r="G2672" s="7"/>
      <c r="H2672" s="7"/>
      <c r="I2672" s="7"/>
      <c r="J2672" s="7"/>
      <c r="K2672" s="7"/>
      <c r="L2672" s="27"/>
      <c r="N2672" s="8"/>
      <c r="O2672" s="7"/>
      <c r="P2672" s="7"/>
      <c r="Q2672" s="7"/>
      <c r="R2672" s="7"/>
    </row>
    <row r="2673" spans="3:18">
      <c r="C2673" s="7"/>
      <c r="D2673" s="7"/>
      <c r="E2673" s="7"/>
      <c r="F2673" s="7"/>
      <c r="G2673" s="7"/>
      <c r="H2673" s="7"/>
      <c r="I2673" s="7"/>
      <c r="J2673" s="7"/>
      <c r="K2673" s="7"/>
      <c r="L2673" s="27"/>
      <c r="N2673" s="8"/>
      <c r="O2673" s="7"/>
      <c r="P2673" s="7"/>
      <c r="Q2673" s="7"/>
      <c r="R2673" s="7"/>
    </row>
    <row r="2674" spans="3:18">
      <c r="C2674" s="7"/>
      <c r="D2674" s="7"/>
      <c r="E2674" s="7"/>
      <c r="F2674" s="7"/>
      <c r="G2674" s="7"/>
      <c r="H2674" s="7"/>
      <c r="I2674" s="7"/>
      <c r="J2674" s="7"/>
      <c r="K2674" s="7"/>
      <c r="L2674" s="27"/>
      <c r="N2674" s="8"/>
      <c r="O2674" s="7"/>
      <c r="P2674" s="7"/>
      <c r="Q2674" s="7"/>
      <c r="R2674" s="7"/>
    </row>
    <row r="2675" spans="3:18">
      <c r="C2675" s="7"/>
      <c r="D2675" s="7"/>
      <c r="E2675" s="7"/>
      <c r="F2675" s="7"/>
      <c r="G2675" s="7"/>
      <c r="H2675" s="7"/>
      <c r="I2675" s="7"/>
      <c r="J2675" s="7"/>
      <c r="K2675" s="7"/>
      <c r="L2675" s="27"/>
      <c r="N2675" s="8"/>
      <c r="O2675" s="7"/>
      <c r="P2675" s="7"/>
      <c r="Q2675" s="7"/>
      <c r="R2675" s="7"/>
    </row>
    <row r="2676" spans="3:18">
      <c r="C2676" s="7"/>
      <c r="D2676" s="7"/>
      <c r="E2676" s="7"/>
      <c r="F2676" s="7"/>
      <c r="G2676" s="7"/>
      <c r="H2676" s="7"/>
      <c r="I2676" s="7"/>
      <c r="J2676" s="7"/>
      <c r="K2676" s="7"/>
      <c r="L2676" s="27"/>
      <c r="N2676" s="8"/>
      <c r="O2676" s="7"/>
      <c r="P2676" s="7"/>
      <c r="Q2676" s="7"/>
      <c r="R2676" s="7"/>
    </row>
    <row r="2677" spans="3:18">
      <c r="C2677" s="7"/>
      <c r="D2677" s="7"/>
      <c r="E2677" s="7"/>
      <c r="F2677" s="7"/>
      <c r="G2677" s="7"/>
      <c r="H2677" s="7"/>
      <c r="I2677" s="7"/>
      <c r="J2677" s="7"/>
      <c r="K2677" s="7"/>
      <c r="L2677" s="27"/>
      <c r="N2677" s="8"/>
      <c r="O2677" s="7"/>
      <c r="P2677" s="7"/>
      <c r="Q2677" s="7"/>
      <c r="R2677" s="7"/>
    </row>
    <row r="2678" spans="3:18">
      <c r="C2678" s="7"/>
      <c r="D2678" s="7"/>
      <c r="E2678" s="7"/>
      <c r="F2678" s="7"/>
      <c r="G2678" s="7"/>
      <c r="H2678" s="7"/>
      <c r="I2678" s="7"/>
      <c r="J2678" s="7"/>
      <c r="K2678" s="7"/>
      <c r="L2678" s="27"/>
      <c r="N2678" s="8"/>
      <c r="O2678" s="7"/>
      <c r="P2678" s="7"/>
      <c r="Q2678" s="7"/>
      <c r="R2678" s="7"/>
    </row>
    <row r="2679" spans="3:18">
      <c r="C2679" s="7"/>
      <c r="D2679" s="7"/>
      <c r="E2679" s="7"/>
      <c r="F2679" s="7"/>
      <c r="G2679" s="7"/>
      <c r="H2679" s="7"/>
      <c r="I2679" s="7"/>
      <c r="J2679" s="7"/>
      <c r="K2679" s="7"/>
      <c r="L2679" s="27"/>
      <c r="N2679" s="8"/>
      <c r="O2679" s="7"/>
      <c r="P2679" s="7"/>
      <c r="Q2679" s="7"/>
      <c r="R2679" s="7"/>
    </row>
    <row r="2680" spans="3:18">
      <c r="C2680" s="7"/>
      <c r="D2680" s="7"/>
      <c r="E2680" s="7"/>
      <c r="F2680" s="7"/>
      <c r="G2680" s="7"/>
      <c r="H2680" s="7"/>
      <c r="I2680" s="7"/>
      <c r="J2680" s="7"/>
      <c r="K2680" s="7"/>
      <c r="L2680" s="27"/>
      <c r="N2680" s="8"/>
      <c r="O2680" s="7"/>
      <c r="P2680" s="7"/>
      <c r="Q2680" s="7"/>
      <c r="R2680" s="7"/>
    </row>
    <row r="2681" spans="3:18">
      <c r="C2681" s="7"/>
      <c r="D2681" s="7"/>
      <c r="E2681" s="7"/>
      <c r="F2681" s="7"/>
      <c r="G2681" s="7"/>
      <c r="H2681" s="7"/>
      <c r="I2681" s="7"/>
      <c r="J2681" s="7"/>
      <c r="K2681" s="7"/>
      <c r="L2681" s="27"/>
      <c r="N2681" s="8"/>
      <c r="O2681" s="7"/>
      <c r="P2681" s="7"/>
      <c r="Q2681" s="7"/>
      <c r="R2681" s="7"/>
    </row>
    <row r="2682" spans="3:18">
      <c r="C2682" s="7"/>
      <c r="D2682" s="7"/>
      <c r="E2682" s="7"/>
      <c r="F2682" s="7"/>
      <c r="G2682" s="7"/>
      <c r="H2682" s="7"/>
      <c r="I2682" s="7"/>
      <c r="J2682" s="7"/>
      <c r="K2682" s="7"/>
      <c r="L2682" s="27"/>
      <c r="N2682" s="8"/>
      <c r="O2682" s="7"/>
      <c r="P2682" s="7"/>
      <c r="Q2682" s="7"/>
      <c r="R2682" s="7"/>
    </row>
    <row r="2683" spans="3:18">
      <c r="C2683" s="7"/>
      <c r="D2683" s="7"/>
      <c r="E2683" s="7"/>
      <c r="F2683" s="7"/>
      <c r="G2683" s="7"/>
      <c r="H2683" s="7"/>
      <c r="I2683" s="7"/>
      <c r="J2683" s="7"/>
      <c r="K2683" s="7"/>
      <c r="L2683" s="27"/>
      <c r="N2683" s="8"/>
      <c r="O2683" s="7"/>
      <c r="P2683" s="7"/>
      <c r="Q2683" s="7"/>
      <c r="R2683" s="7"/>
    </row>
    <row r="2684" spans="3:18">
      <c r="C2684" s="7"/>
      <c r="D2684" s="7"/>
      <c r="E2684" s="7"/>
      <c r="F2684" s="7"/>
      <c r="G2684" s="7"/>
      <c r="H2684" s="7"/>
      <c r="I2684" s="7"/>
      <c r="J2684" s="7"/>
      <c r="K2684" s="7"/>
      <c r="L2684" s="27"/>
      <c r="N2684" s="8"/>
      <c r="O2684" s="7"/>
      <c r="P2684" s="7"/>
      <c r="Q2684" s="7"/>
      <c r="R2684" s="7"/>
    </row>
    <row r="2685" spans="3:18">
      <c r="C2685" s="7"/>
      <c r="D2685" s="7"/>
      <c r="E2685" s="7"/>
      <c r="F2685" s="7"/>
      <c r="G2685" s="7"/>
      <c r="H2685" s="7"/>
      <c r="I2685" s="7"/>
      <c r="J2685" s="7"/>
      <c r="K2685" s="7"/>
      <c r="L2685" s="27"/>
      <c r="N2685" s="8"/>
      <c r="O2685" s="7"/>
      <c r="P2685" s="7"/>
      <c r="Q2685" s="7"/>
      <c r="R2685" s="7"/>
    </row>
    <row r="2686" spans="3:18">
      <c r="C2686" s="7"/>
      <c r="D2686" s="7"/>
      <c r="E2686" s="7"/>
      <c r="F2686" s="7"/>
      <c r="G2686" s="7"/>
      <c r="H2686" s="7"/>
      <c r="I2686" s="7"/>
      <c r="J2686" s="7"/>
      <c r="K2686" s="7"/>
      <c r="L2686" s="27"/>
      <c r="N2686" s="8"/>
      <c r="O2686" s="7"/>
      <c r="P2686" s="7"/>
      <c r="Q2686" s="7"/>
      <c r="R2686" s="7"/>
    </row>
    <row r="2687" spans="3:18">
      <c r="C2687" s="7"/>
      <c r="D2687" s="7"/>
      <c r="E2687" s="7"/>
      <c r="F2687" s="7"/>
      <c r="G2687" s="7"/>
      <c r="H2687" s="7"/>
      <c r="I2687" s="7"/>
      <c r="J2687" s="7"/>
      <c r="K2687" s="7"/>
      <c r="L2687" s="27"/>
      <c r="N2687" s="8"/>
      <c r="O2687" s="7"/>
      <c r="P2687" s="7"/>
      <c r="Q2687" s="7"/>
      <c r="R2687" s="7"/>
    </row>
    <row r="2688" spans="3:18">
      <c r="C2688" s="7"/>
      <c r="D2688" s="7"/>
      <c r="E2688" s="7"/>
      <c r="F2688" s="7"/>
      <c r="G2688" s="7"/>
      <c r="H2688" s="7"/>
      <c r="I2688" s="7"/>
      <c r="J2688" s="7"/>
      <c r="K2688" s="7"/>
      <c r="L2688" s="27"/>
      <c r="N2688" s="8"/>
      <c r="O2688" s="7"/>
      <c r="P2688" s="7"/>
      <c r="Q2688" s="7"/>
      <c r="R2688" s="7"/>
    </row>
    <row r="2689" spans="3:18">
      <c r="C2689" s="7"/>
      <c r="D2689" s="7"/>
      <c r="E2689" s="7"/>
      <c r="F2689" s="7"/>
      <c r="G2689" s="7"/>
      <c r="H2689" s="7"/>
      <c r="I2689" s="7"/>
      <c r="J2689" s="7"/>
      <c r="K2689" s="7"/>
      <c r="L2689" s="27"/>
      <c r="N2689" s="8"/>
      <c r="O2689" s="7"/>
      <c r="P2689" s="7"/>
      <c r="Q2689" s="7"/>
      <c r="R2689" s="7"/>
    </row>
    <row r="2690" spans="3:18">
      <c r="C2690" s="7"/>
      <c r="D2690" s="7"/>
      <c r="E2690" s="7"/>
      <c r="F2690" s="7"/>
      <c r="G2690" s="7"/>
      <c r="H2690" s="7"/>
      <c r="I2690" s="7"/>
      <c r="J2690" s="7"/>
      <c r="K2690" s="7"/>
      <c r="L2690" s="27"/>
      <c r="N2690" s="8"/>
      <c r="O2690" s="7"/>
      <c r="P2690" s="7"/>
      <c r="Q2690" s="7"/>
      <c r="R2690" s="7"/>
    </row>
    <row r="2691" spans="3:18">
      <c r="C2691" s="7"/>
      <c r="D2691" s="7"/>
      <c r="E2691" s="7"/>
      <c r="F2691" s="7"/>
      <c r="G2691" s="7"/>
      <c r="H2691" s="7"/>
      <c r="I2691" s="7"/>
      <c r="J2691" s="7"/>
      <c r="K2691" s="7"/>
      <c r="L2691" s="27"/>
      <c r="N2691" s="8"/>
      <c r="O2691" s="7"/>
      <c r="P2691" s="7"/>
      <c r="Q2691" s="7"/>
      <c r="R2691" s="7"/>
    </row>
    <row r="2692" spans="3:18">
      <c r="C2692" s="7"/>
      <c r="D2692" s="7"/>
      <c r="E2692" s="7"/>
      <c r="F2692" s="7"/>
      <c r="G2692" s="7"/>
      <c r="H2692" s="7"/>
      <c r="I2692" s="7"/>
      <c r="J2692" s="7"/>
      <c r="K2692" s="7"/>
      <c r="L2692" s="27"/>
      <c r="N2692" s="8"/>
      <c r="O2692" s="7"/>
      <c r="P2692" s="7"/>
      <c r="Q2692" s="7"/>
      <c r="R2692" s="7"/>
    </row>
    <row r="2693" spans="3:18">
      <c r="C2693" s="7"/>
      <c r="D2693" s="7"/>
      <c r="E2693" s="7"/>
      <c r="F2693" s="7"/>
      <c r="G2693" s="7"/>
      <c r="H2693" s="7"/>
      <c r="I2693" s="7"/>
      <c r="J2693" s="7"/>
      <c r="K2693" s="7"/>
      <c r="L2693" s="27"/>
      <c r="N2693" s="8"/>
      <c r="O2693" s="7"/>
      <c r="P2693" s="7"/>
      <c r="Q2693" s="7"/>
      <c r="R2693" s="7"/>
    </row>
    <row r="2694" spans="3:18">
      <c r="C2694" s="7"/>
      <c r="D2694" s="7"/>
      <c r="E2694" s="7"/>
      <c r="F2694" s="7"/>
      <c r="G2694" s="7"/>
      <c r="H2694" s="7"/>
      <c r="I2694" s="7"/>
      <c r="J2694" s="7"/>
      <c r="K2694" s="7"/>
      <c r="L2694" s="27"/>
      <c r="N2694" s="8"/>
      <c r="O2694" s="7"/>
      <c r="P2694" s="7"/>
      <c r="Q2694" s="7"/>
      <c r="R2694" s="7"/>
    </row>
    <row r="2695" spans="3:18">
      <c r="C2695" s="7"/>
      <c r="D2695" s="7"/>
      <c r="E2695" s="7"/>
      <c r="F2695" s="7"/>
      <c r="G2695" s="7"/>
      <c r="H2695" s="7"/>
      <c r="I2695" s="7"/>
      <c r="J2695" s="7"/>
      <c r="K2695" s="7"/>
      <c r="L2695" s="27"/>
      <c r="N2695" s="8"/>
      <c r="O2695" s="7"/>
      <c r="P2695" s="7"/>
      <c r="Q2695" s="7"/>
      <c r="R2695" s="7"/>
    </row>
    <row r="2696" spans="3:18">
      <c r="C2696" s="7"/>
      <c r="D2696" s="7"/>
      <c r="E2696" s="7"/>
      <c r="F2696" s="7"/>
      <c r="G2696" s="7"/>
      <c r="H2696" s="7"/>
      <c r="I2696" s="7"/>
      <c r="J2696" s="7"/>
      <c r="K2696" s="7"/>
      <c r="L2696" s="27"/>
      <c r="N2696" s="8"/>
      <c r="O2696" s="7"/>
      <c r="P2696" s="7"/>
      <c r="Q2696" s="7"/>
      <c r="R2696" s="7"/>
    </row>
    <row r="2697" spans="3:18">
      <c r="C2697" s="7"/>
      <c r="D2697" s="7"/>
      <c r="E2697" s="7"/>
      <c r="F2697" s="7"/>
      <c r="G2697" s="7"/>
      <c r="H2697" s="7"/>
      <c r="I2697" s="7"/>
      <c r="J2697" s="7"/>
      <c r="K2697" s="7"/>
      <c r="L2697" s="27"/>
      <c r="N2697" s="8"/>
      <c r="O2697" s="7"/>
      <c r="P2697" s="7"/>
      <c r="Q2697" s="7"/>
      <c r="R2697" s="7"/>
    </row>
    <row r="2698" spans="3:18">
      <c r="C2698" s="7"/>
      <c r="D2698" s="7"/>
      <c r="E2698" s="7"/>
      <c r="F2698" s="7"/>
      <c r="G2698" s="7"/>
      <c r="H2698" s="7"/>
      <c r="I2698" s="7"/>
      <c r="J2698" s="7"/>
      <c r="K2698" s="7"/>
      <c r="L2698" s="27"/>
      <c r="N2698" s="8"/>
      <c r="O2698" s="7"/>
      <c r="P2698" s="7"/>
      <c r="Q2698" s="7"/>
      <c r="R2698" s="7"/>
    </row>
    <row r="2699" spans="3:18">
      <c r="C2699" s="7"/>
      <c r="D2699" s="7"/>
      <c r="E2699" s="7"/>
      <c r="F2699" s="7"/>
      <c r="G2699" s="7"/>
      <c r="H2699" s="7"/>
      <c r="I2699" s="7"/>
      <c r="J2699" s="7"/>
      <c r="K2699" s="7"/>
      <c r="L2699" s="27"/>
      <c r="N2699" s="8"/>
      <c r="O2699" s="7"/>
      <c r="P2699" s="7"/>
      <c r="Q2699" s="7"/>
      <c r="R2699" s="7"/>
    </row>
    <row r="2700" spans="3:18">
      <c r="C2700" s="7"/>
      <c r="D2700" s="7"/>
      <c r="E2700" s="7"/>
      <c r="F2700" s="7"/>
      <c r="G2700" s="7"/>
      <c r="H2700" s="7"/>
      <c r="I2700" s="7"/>
      <c r="J2700" s="7"/>
      <c r="K2700" s="7"/>
      <c r="L2700" s="27"/>
      <c r="N2700" s="8"/>
      <c r="O2700" s="7"/>
      <c r="P2700" s="7"/>
      <c r="Q2700" s="7"/>
      <c r="R2700" s="7"/>
    </row>
    <row r="2701" spans="3:18">
      <c r="C2701" s="7"/>
      <c r="D2701" s="7"/>
      <c r="E2701" s="7"/>
      <c r="F2701" s="7"/>
      <c r="G2701" s="7"/>
      <c r="H2701" s="7"/>
      <c r="I2701" s="7"/>
      <c r="J2701" s="7"/>
      <c r="K2701" s="7"/>
      <c r="L2701" s="27"/>
      <c r="N2701" s="8"/>
      <c r="O2701" s="7"/>
      <c r="P2701" s="7"/>
      <c r="Q2701" s="7"/>
      <c r="R2701" s="7"/>
    </row>
    <row r="2702" spans="3:18">
      <c r="C2702" s="7"/>
      <c r="D2702" s="7"/>
      <c r="E2702" s="7"/>
      <c r="F2702" s="7"/>
      <c r="G2702" s="7"/>
      <c r="H2702" s="7"/>
      <c r="I2702" s="7"/>
      <c r="J2702" s="7"/>
      <c r="K2702" s="7"/>
      <c r="L2702" s="27"/>
      <c r="N2702" s="8"/>
      <c r="O2702" s="7"/>
      <c r="P2702" s="7"/>
      <c r="Q2702" s="7"/>
      <c r="R2702" s="7"/>
    </row>
    <row r="2703" spans="3:18">
      <c r="C2703" s="7"/>
      <c r="D2703" s="7"/>
      <c r="E2703" s="7"/>
      <c r="F2703" s="7"/>
      <c r="G2703" s="7"/>
      <c r="H2703" s="7"/>
      <c r="I2703" s="7"/>
      <c r="J2703" s="7"/>
      <c r="K2703" s="7"/>
      <c r="L2703" s="27"/>
      <c r="N2703" s="8"/>
      <c r="O2703" s="7"/>
      <c r="P2703" s="7"/>
      <c r="Q2703" s="7"/>
      <c r="R2703" s="7"/>
    </row>
    <row r="2704" spans="3:18">
      <c r="C2704" s="7"/>
      <c r="D2704" s="7"/>
      <c r="E2704" s="7"/>
      <c r="F2704" s="7"/>
      <c r="G2704" s="7"/>
      <c r="H2704" s="7"/>
      <c r="I2704" s="7"/>
      <c r="J2704" s="7"/>
      <c r="K2704" s="7"/>
      <c r="L2704" s="27"/>
      <c r="N2704" s="8"/>
      <c r="O2704" s="7"/>
      <c r="P2704" s="7"/>
      <c r="Q2704" s="7"/>
      <c r="R2704" s="7"/>
    </row>
    <row r="2705" spans="3:18">
      <c r="C2705" s="7"/>
      <c r="D2705" s="7"/>
      <c r="E2705" s="7"/>
      <c r="F2705" s="7"/>
      <c r="G2705" s="7"/>
      <c r="H2705" s="7"/>
      <c r="I2705" s="7"/>
      <c r="J2705" s="7"/>
      <c r="K2705" s="7"/>
      <c r="L2705" s="27"/>
      <c r="N2705" s="8"/>
      <c r="O2705" s="7"/>
      <c r="P2705" s="7"/>
      <c r="Q2705" s="7"/>
      <c r="R2705" s="7"/>
    </row>
    <row r="2706" spans="3:18">
      <c r="C2706" s="7"/>
      <c r="D2706" s="7"/>
      <c r="E2706" s="7"/>
      <c r="F2706" s="7"/>
      <c r="G2706" s="7"/>
      <c r="H2706" s="7"/>
      <c r="I2706" s="7"/>
      <c r="J2706" s="7"/>
      <c r="K2706" s="7"/>
      <c r="L2706" s="27"/>
      <c r="N2706" s="8"/>
      <c r="O2706" s="7"/>
      <c r="P2706" s="7"/>
      <c r="Q2706" s="7"/>
      <c r="R2706" s="7"/>
    </row>
    <row r="2707" spans="3:18">
      <c r="C2707" s="7"/>
      <c r="D2707" s="7"/>
      <c r="E2707" s="7"/>
      <c r="F2707" s="7"/>
      <c r="G2707" s="7"/>
      <c r="H2707" s="7"/>
      <c r="I2707" s="7"/>
      <c r="J2707" s="7"/>
      <c r="K2707" s="7"/>
      <c r="L2707" s="27"/>
      <c r="N2707" s="8"/>
      <c r="O2707" s="7"/>
      <c r="P2707" s="7"/>
      <c r="Q2707" s="7"/>
      <c r="R2707" s="7"/>
    </row>
    <row r="2708" spans="3:18">
      <c r="C2708" s="7"/>
      <c r="D2708" s="7"/>
      <c r="E2708" s="7"/>
      <c r="F2708" s="7"/>
      <c r="G2708" s="7"/>
      <c r="H2708" s="7"/>
      <c r="I2708" s="7"/>
      <c r="J2708" s="7"/>
      <c r="K2708" s="7"/>
      <c r="L2708" s="27"/>
      <c r="N2708" s="8"/>
      <c r="O2708" s="7"/>
      <c r="P2708" s="7"/>
      <c r="Q2708" s="7"/>
      <c r="R2708" s="7"/>
    </row>
    <row r="2709" spans="3:18">
      <c r="C2709" s="7"/>
      <c r="D2709" s="7"/>
      <c r="E2709" s="7"/>
      <c r="F2709" s="7"/>
      <c r="G2709" s="7"/>
      <c r="H2709" s="7"/>
      <c r="I2709" s="7"/>
      <c r="J2709" s="7"/>
      <c r="K2709" s="7"/>
      <c r="L2709" s="27"/>
      <c r="N2709" s="8"/>
      <c r="O2709" s="7"/>
      <c r="P2709" s="7"/>
      <c r="Q2709" s="7"/>
      <c r="R2709" s="7"/>
    </row>
    <row r="2710" spans="3:18">
      <c r="C2710" s="7"/>
      <c r="D2710" s="7"/>
      <c r="E2710" s="7"/>
      <c r="F2710" s="7"/>
      <c r="G2710" s="7"/>
      <c r="H2710" s="7"/>
      <c r="I2710" s="7"/>
      <c r="J2710" s="7"/>
      <c r="K2710" s="7"/>
      <c r="L2710" s="27"/>
      <c r="N2710" s="8"/>
      <c r="O2710" s="7"/>
      <c r="P2710" s="7"/>
      <c r="Q2710" s="7"/>
      <c r="R2710" s="7"/>
    </row>
    <row r="2711" spans="3:18">
      <c r="C2711" s="7"/>
      <c r="D2711" s="7"/>
      <c r="E2711" s="7"/>
      <c r="F2711" s="7"/>
      <c r="G2711" s="7"/>
      <c r="H2711" s="7"/>
      <c r="I2711" s="7"/>
      <c r="J2711" s="7"/>
      <c r="K2711" s="7"/>
      <c r="L2711" s="27"/>
      <c r="N2711" s="8"/>
      <c r="O2711" s="7"/>
      <c r="P2711" s="7"/>
      <c r="Q2711" s="7"/>
      <c r="R2711" s="7"/>
    </row>
    <row r="2712" spans="3:18">
      <c r="C2712" s="7"/>
      <c r="D2712" s="7"/>
      <c r="E2712" s="7"/>
      <c r="F2712" s="7"/>
      <c r="G2712" s="7"/>
      <c r="H2712" s="7"/>
      <c r="I2712" s="7"/>
      <c r="J2712" s="7"/>
      <c r="K2712" s="7"/>
      <c r="L2712" s="27"/>
      <c r="N2712" s="8"/>
      <c r="O2712" s="7"/>
      <c r="P2712" s="7"/>
      <c r="Q2712" s="7"/>
      <c r="R2712" s="7"/>
    </row>
    <row r="2713" spans="3:18">
      <c r="C2713" s="7"/>
      <c r="D2713" s="7"/>
      <c r="E2713" s="7"/>
      <c r="F2713" s="7"/>
      <c r="G2713" s="7"/>
      <c r="H2713" s="7"/>
      <c r="I2713" s="7"/>
      <c r="J2713" s="7"/>
      <c r="K2713" s="7"/>
      <c r="L2713" s="27"/>
      <c r="N2713" s="8"/>
      <c r="O2713" s="7"/>
      <c r="P2713" s="7"/>
      <c r="Q2713" s="7"/>
      <c r="R2713" s="7"/>
    </row>
    <row r="2714" spans="3:18">
      <c r="C2714" s="7"/>
      <c r="D2714" s="7"/>
      <c r="E2714" s="7"/>
      <c r="F2714" s="7"/>
      <c r="G2714" s="7"/>
      <c r="H2714" s="7"/>
      <c r="I2714" s="7"/>
      <c r="J2714" s="7"/>
      <c r="K2714" s="7"/>
      <c r="L2714" s="27"/>
      <c r="N2714" s="8"/>
      <c r="O2714" s="7"/>
      <c r="P2714" s="7"/>
      <c r="Q2714" s="7"/>
      <c r="R2714" s="7"/>
    </row>
    <row r="2715" spans="3:18">
      <c r="C2715" s="7"/>
      <c r="D2715" s="7"/>
      <c r="E2715" s="7"/>
      <c r="F2715" s="7"/>
      <c r="G2715" s="7"/>
      <c r="H2715" s="7"/>
      <c r="I2715" s="7"/>
      <c r="J2715" s="7"/>
      <c r="K2715" s="7"/>
      <c r="L2715" s="27"/>
      <c r="N2715" s="8"/>
      <c r="O2715" s="7"/>
      <c r="P2715" s="7"/>
      <c r="Q2715" s="7"/>
      <c r="R2715" s="7"/>
    </row>
    <row r="2716" spans="3:18">
      <c r="C2716" s="7"/>
      <c r="D2716" s="7"/>
      <c r="E2716" s="7"/>
      <c r="F2716" s="7"/>
      <c r="G2716" s="7"/>
      <c r="H2716" s="7"/>
      <c r="I2716" s="7"/>
      <c r="J2716" s="7"/>
      <c r="K2716" s="7"/>
      <c r="L2716" s="27"/>
      <c r="N2716" s="8"/>
      <c r="O2716" s="7"/>
      <c r="P2716" s="7"/>
      <c r="Q2716" s="7"/>
      <c r="R2716" s="7"/>
    </row>
    <row r="2717" spans="3:18">
      <c r="C2717" s="7"/>
      <c r="D2717" s="7"/>
      <c r="E2717" s="7"/>
      <c r="F2717" s="7"/>
      <c r="G2717" s="7"/>
      <c r="H2717" s="7"/>
      <c r="I2717" s="7"/>
      <c r="J2717" s="7"/>
      <c r="K2717" s="7"/>
      <c r="L2717" s="27"/>
      <c r="N2717" s="8"/>
      <c r="O2717" s="7"/>
      <c r="P2717" s="7"/>
      <c r="Q2717" s="7"/>
      <c r="R2717" s="7"/>
    </row>
    <row r="2718" spans="3:18">
      <c r="C2718" s="7"/>
      <c r="D2718" s="7"/>
      <c r="E2718" s="7"/>
      <c r="F2718" s="7"/>
      <c r="G2718" s="7"/>
      <c r="H2718" s="7"/>
      <c r="I2718" s="7"/>
      <c r="J2718" s="7"/>
      <c r="K2718" s="7"/>
      <c r="L2718" s="27"/>
      <c r="N2718" s="8"/>
      <c r="O2718" s="7"/>
      <c r="P2718" s="7"/>
      <c r="Q2718" s="7"/>
      <c r="R2718" s="7"/>
    </row>
    <row r="2719" spans="3:18">
      <c r="C2719" s="7"/>
      <c r="D2719" s="7"/>
      <c r="E2719" s="7"/>
      <c r="F2719" s="7"/>
      <c r="G2719" s="7"/>
      <c r="H2719" s="7"/>
      <c r="I2719" s="7"/>
      <c r="J2719" s="7"/>
      <c r="K2719" s="7"/>
      <c r="L2719" s="27"/>
      <c r="N2719" s="8"/>
      <c r="O2719" s="7"/>
      <c r="P2719" s="7"/>
      <c r="Q2719" s="7"/>
      <c r="R2719" s="7"/>
    </row>
    <row r="2720" spans="3:18">
      <c r="C2720" s="7"/>
      <c r="D2720" s="7"/>
      <c r="E2720" s="7"/>
      <c r="F2720" s="7"/>
      <c r="G2720" s="7"/>
      <c r="H2720" s="7"/>
      <c r="I2720" s="7"/>
      <c r="J2720" s="7"/>
      <c r="K2720" s="7"/>
      <c r="L2720" s="27"/>
      <c r="N2720" s="8"/>
      <c r="O2720" s="7"/>
      <c r="P2720" s="7"/>
      <c r="Q2720" s="7"/>
      <c r="R2720" s="7"/>
    </row>
    <row r="2721" spans="3:18">
      <c r="C2721" s="7"/>
      <c r="D2721" s="7"/>
      <c r="E2721" s="7"/>
      <c r="F2721" s="7"/>
      <c r="G2721" s="7"/>
      <c r="H2721" s="7"/>
      <c r="I2721" s="7"/>
      <c r="J2721" s="7"/>
      <c r="K2721" s="7"/>
      <c r="L2721" s="27"/>
      <c r="N2721" s="8"/>
      <c r="O2721" s="7"/>
      <c r="P2721" s="7"/>
      <c r="Q2721" s="7"/>
      <c r="R2721" s="7"/>
    </row>
    <row r="2722" spans="3:18">
      <c r="C2722" s="7"/>
      <c r="D2722" s="7"/>
      <c r="E2722" s="7"/>
      <c r="F2722" s="7"/>
      <c r="G2722" s="7"/>
      <c r="H2722" s="7"/>
      <c r="I2722" s="7"/>
      <c r="J2722" s="7"/>
      <c r="K2722" s="7"/>
      <c r="L2722" s="27"/>
      <c r="N2722" s="8"/>
      <c r="O2722" s="7"/>
      <c r="P2722" s="7"/>
      <c r="Q2722" s="7"/>
      <c r="R2722" s="7"/>
    </row>
    <row r="2723" spans="3:18">
      <c r="C2723" s="7"/>
      <c r="D2723" s="7"/>
      <c r="E2723" s="7"/>
      <c r="F2723" s="7"/>
      <c r="G2723" s="7"/>
      <c r="H2723" s="7"/>
      <c r="I2723" s="7"/>
      <c r="J2723" s="7"/>
      <c r="K2723" s="7"/>
      <c r="L2723" s="27"/>
      <c r="N2723" s="8"/>
      <c r="O2723" s="7"/>
      <c r="P2723" s="7"/>
      <c r="Q2723" s="7"/>
      <c r="R2723" s="7"/>
    </row>
    <row r="2724" spans="3:18">
      <c r="C2724" s="7"/>
      <c r="D2724" s="7"/>
      <c r="E2724" s="7"/>
      <c r="F2724" s="7"/>
      <c r="G2724" s="7"/>
      <c r="H2724" s="7"/>
      <c r="I2724" s="7"/>
      <c r="J2724" s="7"/>
      <c r="K2724" s="7"/>
      <c r="L2724" s="27"/>
      <c r="N2724" s="8"/>
      <c r="O2724" s="7"/>
      <c r="P2724" s="7"/>
      <c r="Q2724" s="7"/>
      <c r="R2724" s="7"/>
    </row>
    <row r="2725" spans="3:18">
      <c r="C2725" s="7"/>
      <c r="D2725" s="7"/>
      <c r="E2725" s="7"/>
      <c r="F2725" s="7"/>
      <c r="G2725" s="7"/>
      <c r="H2725" s="7"/>
      <c r="I2725" s="7"/>
      <c r="J2725" s="7"/>
      <c r="K2725" s="7"/>
      <c r="L2725" s="27"/>
      <c r="N2725" s="8"/>
      <c r="O2725" s="7"/>
      <c r="P2725" s="7"/>
      <c r="Q2725" s="7"/>
      <c r="R2725" s="7"/>
    </row>
    <row r="2726" spans="3:18">
      <c r="C2726" s="7"/>
      <c r="D2726" s="7"/>
      <c r="E2726" s="7"/>
      <c r="F2726" s="7"/>
      <c r="G2726" s="7"/>
      <c r="H2726" s="7"/>
      <c r="I2726" s="7"/>
      <c r="J2726" s="7"/>
      <c r="K2726" s="7"/>
      <c r="L2726" s="27"/>
      <c r="N2726" s="8"/>
      <c r="O2726" s="7"/>
      <c r="P2726" s="7"/>
      <c r="Q2726" s="7"/>
      <c r="R2726" s="7"/>
    </row>
    <row r="2727" spans="3:18">
      <c r="C2727" s="7"/>
      <c r="D2727" s="7"/>
      <c r="E2727" s="7"/>
      <c r="F2727" s="7"/>
      <c r="G2727" s="7"/>
      <c r="H2727" s="7"/>
      <c r="I2727" s="7"/>
      <c r="J2727" s="7"/>
      <c r="K2727" s="7"/>
      <c r="L2727" s="27"/>
      <c r="N2727" s="8"/>
      <c r="O2727" s="7"/>
      <c r="P2727" s="7"/>
      <c r="Q2727" s="7"/>
      <c r="R2727" s="7"/>
    </row>
    <row r="2728" spans="3:18">
      <c r="C2728" s="7"/>
      <c r="D2728" s="7"/>
      <c r="E2728" s="7"/>
      <c r="F2728" s="7"/>
      <c r="G2728" s="7"/>
      <c r="H2728" s="7"/>
      <c r="I2728" s="7"/>
      <c r="J2728" s="7"/>
      <c r="K2728" s="7"/>
      <c r="L2728" s="27"/>
      <c r="N2728" s="8"/>
      <c r="O2728" s="7"/>
      <c r="P2728" s="7"/>
      <c r="Q2728" s="7"/>
      <c r="R2728" s="7"/>
    </row>
    <row r="2729" spans="3:18">
      <c r="C2729" s="7"/>
      <c r="D2729" s="7"/>
      <c r="E2729" s="7"/>
      <c r="F2729" s="7"/>
      <c r="G2729" s="7"/>
      <c r="H2729" s="7"/>
      <c r="I2729" s="7"/>
      <c r="J2729" s="7"/>
      <c r="K2729" s="7"/>
      <c r="L2729" s="27"/>
      <c r="N2729" s="8"/>
      <c r="O2729" s="7"/>
      <c r="P2729" s="7"/>
      <c r="Q2729" s="7"/>
      <c r="R2729" s="7"/>
    </row>
    <row r="2730" spans="3:18">
      <c r="C2730" s="7"/>
      <c r="D2730" s="7"/>
      <c r="E2730" s="7"/>
      <c r="F2730" s="7"/>
      <c r="G2730" s="7"/>
      <c r="H2730" s="7"/>
      <c r="I2730" s="7"/>
      <c r="J2730" s="7"/>
      <c r="K2730" s="7"/>
      <c r="L2730" s="27"/>
      <c r="N2730" s="8"/>
      <c r="O2730" s="7"/>
      <c r="P2730" s="7"/>
      <c r="Q2730" s="7"/>
      <c r="R2730" s="7"/>
    </row>
    <row r="2731" spans="3:18">
      <c r="C2731" s="7"/>
      <c r="D2731" s="7"/>
      <c r="E2731" s="7"/>
      <c r="F2731" s="7"/>
      <c r="G2731" s="7"/>
      <c r="H2731" s="7"/>
      <c r="I2731" s="7"/>
      <c r="J2731" s="7"/>
      <c r="K2731" s="7"/>
      <c r="L2731" s="27"/>
      <c r="N2731" s="8"/>
      <c r="O2731" s="7"/>
      <c r="P2731" s="7"/>
      <c r="Q2731" s="7"/>
      <c r="R2731" s="7"/>
    </row>
    <row r="2732" spans="3:18">
      <c r="C2732" s="7"/>
      <c r="D2732" s="7"/>
      <c r="E2732" s="7"/>
      <c r="F2732" s="7"/>
      <c r="G2732" s="7"/>
      <c r="H2732" s="7"/>
      <c r="I2732" s="7"/>
      <c r="J2732" s="7"/>
      <c r="K2732" s="7"/>
      <c r="L2732" s="27"/>
      <c r="N2732" s="8"/>
      <c r="O2732" s="7"/>
      <c r="P2732" s="7"/>
      <c r="Q2732" s="7"/>
      <c r="R2732" s="7"/>
    </row>
    <row r="2733" spans="3:18">
      <c r="C2733" s="7"/>
      <c r="D2733" s="7"/>
      <c r="E2733" s="7"/>
      <c r="F2733" s="7"/>
      <c r="G2733" s="7"/>
      <c r="H2733" s="7"/>
      <c r="I2733" s="7"/>
      <c r="J2733" s="7"/>
      <c r="K2733" s="7"/>
      <c r="L2733" s="27"/>
      <c r="N2733" s="8"/>
      <c r="O2733" s="7"/>
      <c r="P2733" s="7"/>
      <c r="Q2733" s="7"/>
      <c r="R2733" s="7"/>
    </row>
    <row r="2734" spans="3:18">
      <c r="C2734" s="7"/>
      <c r="D2734" s="7"/>
      <c r="E2734" s="7"/>
      <c r="F2734" s="7"/>
      <c r="G2734" s="7"/>
      <c r="H2734" s="7"/>
      <c r="I2734" s="7"/>
      <c r="J2734" s="7"/>
      <c r="K2734" s="7"/>
      <c r="L2734" s="27"/>
      <c r="N2734" s="8"/>
      <c r="O2734" s="7"/>
      <c r="P2734" s="7"/>
      <c r="Q2734" s="7"/>
      <c r="R2734" s="7"/>
    </row>
    <row r="2735" spans="3:18">
      <c r="C2735" s="7"/>
      <c r="D2735" s="7"/>
      <c r="E2735" s="7"/>
      <c r="F2735" s="7"/>
      <c r="G2735" s="7"/>
      <c r="H2735" s="7"/>
      <c r="I2735" s="7"/>
      <c r="J2735" s="7"/>
      <c r="K2735" s="7"/>
      <c r="L2735" s="27"/>
      <c r="N2735" s="8"/>
      <c r="O2735" s="7"/>
      <c r="P2735" s="7"/>
      <c r="Q2735" s="7"/>
      <c r="R2735" s="7"/>
    </row>
    <row r="2736" spans="3:18">
      <c r="C2736" s="7"/>
      <c r="D2736" s="7"/>
      <c r="E2736" s="7"/>
      <c r="F2736" s="7"/>
      <c r="G2736" s="7"/>
      <c r="H2736" s="7"/>
      <c r="I2736" s="7"/>
      <c r="J2736" s="7"/>
      <c r="K2736" s="7"/>
      <c r="L2736" s="27"/>
      <c r="N2736" s="8"/>
      <c r="O2736" s="7"/>
      <c r="P2736" s="7"/>
      <c r="Q2736" s="7"/>
      <c r="R2736" s="7"/>
    </row>
    <row r="2737" spans="3:18">
      <c r="C2737" s="7"/>
      <c r="D2737" s="7"/>
      <c r="E2737" s="7"/>
      <c r="F2737" s="7"/>
      <c r="G2737" s="7"/>
      <c r="H2737" s="7"/>
      <c r="I2737" s="7"/>
      <c r="J2737" s="7"/>
      <c r="K2737" s="7"/>
      <c r="L2737" s="27"/>
      <c r="N2737" s="8"/>
      <c r="O2737" s="7"/>
      <c r="P2737" s="7"/>
      <c r="Q2737" s="7"/>
      <c r="R2737" s="7"/>
    </row>
    <row r="2738" spans="3:18">
      <c r="C2738" s="7"/>
      <c r="D2738" s="7"/>
      <c r="E2738" s="7"/>
      <c r="F2738" s="7"/>
      <c r="G2738" s="7"/>
      <c r="H2738" s="7"/>
      <c r="I2738" s="7"/>
      <c r="J2738" s="7"/>
      <c r="K2738" s="7"/>
      <c r="L2738" s="27"/>
      <c r="N2738" s="8"/>
      <c r="O2738" s="7"/>
      <c r="P2738" s="7"/>
      <c r="Q2738" s="7"/>
      <c r="R2738" s="7"/>
    </row>
    <row r="2739" spans="3:18">
      <c r="C2739" s="7"/>
      <c r="D2739" s="7"/>
      <c r="E2739" s="7"/>
      <c r="F2739" s="7"/>
      <c r="G2739" s="7"/>
      <c r="H2739" s="7"/>
      <c r="I2739" s="7"/>
      <c r="J2739" s="7"/>
      <c r="K2739" s="7"/>
      <c r="L2739" s="27"/>
      <c r="N2739" s="8"/>
      <c r="O2739" s="7"/>
      <c r="P2739" s="7"/>
      <c r="Q2739" s="7"/>
      <c r="R2739" s="7"/>
    </row>
    <row r="2740" spans="3:18">
      <c r="C2740" s="7"/>
      <c r="D2740" s="7"/>
      <c r="E2740" s="7"/>
      <c r="F2740" s="7"/>
      <c r="G2740" s="7"/>
      <c r="H2740" s="7"/>
      <c r="I2740" s="7"/>
      <c r="J2740" s="7"/>
      <c r="K2740" s="7"/>
      <c r="L2740" s="27"/>
      <c r="N2740" s="8"/>
      <c r="O2740" s="7"/>
      <c r="P2740" s="7"/>
      <c r="Q2740" s="7"/>
      <c r="R2740" s="7"/>
    </row>
    <row r="2741" spans="3:18">
      <c r="C2741" s="7"/>
      <c r="D2741" s="7"/>
      <c r="E2741" s="7"/>
      <c r="F2741" s="7"/>
      <c r="G2741" s="7"/>
      <c r="H2741" s="7"/>
      <c r="I2741" s="7"/>
      <c r="J2741" s="7"/>
      <c r="K2741" s="7"/>
      <c r="L2741" s="27"/>
      <c r="N2741" s="8"/>
      <c r="O2741" s="7"/>
      <c r="P2741" s="7"/>
      <c r="Q2741" s="7"/>
      <c r="R2741" s="7"/>
    </row>
    <row r="2742" spans="3:18">
      <c r="C2742" s="7"/>
      <c r="D2742" s="7"/>
      <c r="E2742" s="7"/>
      <c r="F2742" s="7"/>
      <c r="G2742" s="7"/>
      <c r="H2742" s="7"/>
      <c r="I2742" s="7"/>
      <c r="J2742" s="7"/>
      <c r="K2742" s="7"/>
      <c r="L2742" s="27"/>
      <c r="N2742" s="8"/>
      <c r="O2742" s="7"/>
      <c r="P2742" s="7"/>
      <c r="Q2742" s="7"/>
      <c r="R2742" s="7"/>
    </row>
    <row r="2743" spans="3:18">
      <c r="C2743" s="7"/>
      <c r="D2743" s="7"/>
      <c r="E2743" s="7"/>
      <c r="F2743" s="7"/>
      <c r="G2743" s="7"/>
      <c r="H2743" s="7"/>
      <c r="I2743" s="7"/>
      <c r="J2743" s="7"/>
      <c r="K2743" s="7"/>
      <c r="L2743" s="27"/>
      <c r="N2743" s="8"/>
      <c r="O2743" s="7"/>
      <c r="P2743" s="7"/>
      <c r="Q2743" s="7"/>
      <c r="R2743" s="7"/>
    </row>
    <row r="2744" spans="3:18">
      <c r="C2744" s="7"/>
      <c r="D2744" s="7"/>
      <c r="E2744" s="7"/>
      <c r="F2744" s="7"/>
      <c r="G2744" s="7"/>
      <c r="H2744" s="7"/>
      <c r="I2744" s="7"/>
      <c r="J2744" s="7"/>
      <c r="K2744" s="7"/>
      <c r="L2744" s="27"/>
      <c r="N2744" s="8"/>
      <c r="O2744" s="7"/>
      <c r="P2744" s="7"/>
      <c r="Q2744" s="7"/>
      <c r="R2744" s="7"/>
    </row>
    <row r="2745" spans="3:18">
      <c r="C2745" s="7"/>
      <c r="D2745" s="7"/>
      <c r="E2745" s="7"/>
      <c r="F2745" s="7"/>
      <c r="G2745" s="7"/>
      <c r="H2745" s="7"/>
      <c r="I2745" s="7"/>
      <c r="J2745" s="7"/>
      <c r="K2745" s="7"/>
      <c r="L2745" s="27"/>
      <c r="N2745" s="8"/>
      <c r="O2745" s="7"/>
      <c r="P2745" s="7"/>
      <c r="Q2745" s="7"/>
      <c r="R2745" s="7"/>
    </row>
    <row r="2746" spans="3:18">
      <c r="C2746" s="7"/>
      <c r="D2746" s="7"/>
      <c r="E2746" s="7"/>
      <c r="F2746" s="7"/>
      <c r="G2746" s="7"/>
      <c r="H2746" s="7"/>
      <c r="I2746" s="7"/>
      <c r="J2746" s="7"/>
      <c r="K2746" s="7"/>
      <c r="L2746" s="27"/>
      <c r="N2746" s="8"/>
      <c r="O2746" s="7"/>
      <c r="P2746" s="7"/>
      <c r="Q2746" s="7"/>
      <c r="R2746" s="7"/>
    </row>
    <row r="2747" spans="3:18">
      <c r="C2747" s="7"/>
      <c r="D2747" s="7"/>
      <c r="E2747" s="7"/>
      <c r="F2747" s="7"/>
      <c r="G2747" s="7"/>
      <c r="H2747" s="7"/>
      <c r="I2747" s="7"/>
      <c r="J2747" s="7"/>
      <c r="K2747" s="7"/>
      <c r="L2747" s="27"/>
      <c r="N2747" s="8"/>
      <c r="O2747" s="7"/>
      <c r="P2747" s="7"/>
      <c r="Q2747" s="7"/>
      <c r="R2747" s="7"/>
    </row>
    <row r="2748" spans="3:18">
      <c r="C2748" s="7"/>
      <c r="D2748" s="7"/>
      <c r="E2748" s="7"/>
      <c r="F2748" s="7"/>
      <c r="G2748" s="7"/>
      <c r="H2748" s="7"/>
      <c r="I2748" s="7"/>
      <c r="J2748" s="7"/>
      <c r="K2748" s="7"/>
      <c r="L2748" s="27"/>
      <c r="N2748" s="8"/>
      <c r="O2748" s="7"/>
      <c r="P2748" s="7"/>
      <c r="Q2748" s="7"/>
      <c r="R2748" s="7"/>
    </row>
    <row r="2749" spans="3:18">
      <c r="C2749" s="7"/>
      <c r="D2749" s="7"/>
      <c r="E2749" s="7"/>
      <c r="F2749" s="7"/>
      <c r="G2749" s="7"/>
      <c r="H2749" s="7"/>
      <c r="I2749" s="7"/>
      <c r="J2749" s="7"/>
      <c r="K2749" s="7"/>
      <c r="L2749" s="27"/>
      <c r="N2749" s="8"/>
      <c r="O2749" s="7"/>
      <c r="P2749" s="7"/>
      <c r="Q2749" s="7"/>
      <c r="R2749" s="7"/>
    </row>
    <row r="2750" spans="3:18">
      <c r="C2750" s="7"/>
      <c r="D2750" s="7"/>
      <c r="E2750" s="7"/>
      <c r="F2750" s="7"/>
      <c r="G2750" s="7"/>
      <c r="H2750" s="7"/>
      <c r="I2750" s="7"/>
      <c r="J2750" s="7"/>
      <c r="K2750" s="7"/>
      <c r="L2750" s="27"/>
      <c r="N2750" s="8"/>
      <c r="O2750" s="7"/>
      <c r="P2750" s="7"/>
      <c r="Q2750" s="7"/>
      <c r="R2750" s="7"/>
    </row>
    <row r="2751" spans="3:18">
      <c r="C2751" s="7"/>
      <c r="D2751" s="7"/>
      <c r="E2751" s="7"/>
      <c r="F2751" s="7"/>
      <c r="G2751" s="7"/>
      <c r="H2751" s="7"/>
      <c r="I2751" s="7"/>
      <c r="J2751" s="7"/>
      <c r="K2751" s="7"/>
      <c r="L2751" s="27"/>
      <c r="N2751" s="8"/>
      <c r="O2751" s="7"/>
      <c r="P2751" s="7"/>
      <c r="Q2751" s="7"/>
      <c r="R2751" s="7"/>
    </row>
    <row r="2752" spans="3:18">
      <c r="C2752" s="7"/>
      <c r="D2752" s="7"/>
      <c r="E2752" s="7"/>
      <c r="F2752" s="7"/>
      <c r="G2752" s="7"/>
      <c r="H2752" s="7"/>
      <c r="I2752" s="7"/>
      <c r="J2752" s="7"/>
      <c r="K2752" s="7"/>
      <c r="L2752" s="27"/>
      <c r="N2752" s="8"/>
      <c r="O2752" s="7"/>
      <c r="P2752" s="7"/>
      <c r="Q2752" s="7"/>
      <c r="R2752" s="7"/>
    </row>
    <row r="2753" spans="3:18">
      <c r="C2753" s="7"/>
      <c r="D2753" s="7"/>
      <c r="E2753" s="7"/>
      <c r="F2753" s="7"/>
      <c r="G2753" s="7"/>
      <c r="H2753" s="7"/>
      <c r="I2753" s="7"/>
      <c r="J2753" s="7"/>
      <c r="K2753" s="7"/>
      <c r="L2753" s="27"/>
      <c r="N2753" s="8"/>
      <c r="O2753" s="7"/>
      <c r="P2753" s="7"/>
      <c r="Q2753" s="7"/>
      <c r="R2753" s="7"/>
    </row>
    <row r="2754" spans="3:18">
      <c r="C2754" s="7"/>
      <c r="D2754" s="7"/>
      <c r="E2754" s="7"/>
      <c r="F2754" s="7"/>
      <c r="G2754" s="7"/>
      <c r="H2754" s="7"/>
      <c r="I2754" s="7"/>
      <c r="J2754" s="7"/>
      <c r="K2754" s="7"/>
      <c r="L2754" s="27"/>
      <c r="N2754" s="8"/>
      <c r="O2754" s="7"/>
      <c r="P2754" s="7"/>
      <c r="Q2754" s="7"/>
      <c r="R2754" s="7"/>
    </row>
    <row r="2755" spans="3:18">
      <c r="C2755" s="7"/>
      <c r="D2755" s="7"/>
      <c r="E2755" s="7"/>
      <c r="F2755" s="7"/>
      <c r="G2755" s="7"/>
      <c r="H2755" s="7"/>
      <c r="I2755" s="7"/>
      <c r="J2755" s="7"/>
      <c r="K2755" s="7"/>
      <c r="L2755" s="27"/>
      <c r="N2755" s="8"/>
      <c r="O2755" s="7"/>
      <c r="P2755" s="7"/>
      <c r="Q2755" s="7"/>
      <c r="R2755" s="7"/>
    </row>
    <row r="2756" spans="3:18">
      <c r="C2756" s="7"/>
      <c r="D2756" s="7"/>
      <c r="E2756" s="7"/>
      <c r="F2756" s="7"/>
      <c r="G2756" s="7"/>
      <c r="H2756" s="7"/>
      <c r="I2756" s="7"/>
      <c r="J2756" s="7"/>
      <c r="K2756" s="7"/>
      <c r="L2756" s="27"/>
      <c r="N2756" s="8"/>
      <c r="O2756" s="7"/>
      <c r="P2756" s="7"/>
      <c r="Q2756" s="7"/>
      <c r="R2756" s="7"/>
    </row>
    <row r="2757" spans="3:18">
      <c r="C2757" s="7"/>
      <c r="D2757" s="7"/>
      <c r="E2757" s="7"/>
      <c r="F2757" s="7"/>
      <c r="G2757" s="7"/>
      <c r="H2757" s="7"/>
      <c r="I2757" s="7"/>
      <c r="J2757" s="7"/>
      <c r="K2757" s="7"/>
      <c r="L2757" s="27"/>
      <c r="N2757" s="8"/>
      <c r="O2757" s="7"/>
      <c r="P2757" s="7"/>
      <c r="Q2757" s="7"/>
      <c r="R2757" s="7"/>
    </row>
    <row r="2758" spans="3:18">
      <c r="C2758" s="7"/>
      <c r="D2758" s="7"/>
      <c r="E2758" s="7"/>
      <c r="F2758" s="7"/>
      <c r="G2758" s="7"/>
      <c r="H2758" s="7"/>
      <c r="I2758" s="7"/>
      <c r="J2758" s="7"/>
      <c r="K2758" s="7"/>
      <c r="L2758" s="27"/>
      <c r="N2758" s="8"/>
      <c r="O2758" s="7"/>
      <c r="P2758" s="7"/>
      <c r="Q2758" s="7"/>
      <c r="R2758" s="7"/>
    </row>
    <row r="2759" spans="3:18">
      <c r="C2759" s="7"/>
      <c r="D2759" s="7"/>
      <c r="E2759" s="7"/>
      <c r="F2759" s="7"/>
      <c r="G2759" s="7"/>
      <c r="H2759" s="7"/>
      <c r="I2759" s="7"/>
      <c r="J2759" s="7"/>
      <c r="K2759" s="7"/>
      <c r="L2759" s="27"/>
      <c r="N2759" s="8"/>
      <c r="O2759" s="7"/>
      <c r="P2759" s="7"/>
      <c r="Q2759" s="7"/>
      <c r="R2759" s="7"/>
    </row>
    <row r="2760" spans="3:18">
      <c r="C2760" s="7"/>
      <c r="D2760" s="7"/>
      <c r="E2760" s="7"/>
      <c r="F2760" s="7"/>
      <c r="G2760" s="7"/>
      <c r="H2760" s="7"/>
      <c r="I2760" s="7"/>
      <c r="J2760" s="7"/>
      <c r="K2760" s="7"/>
      <c r="L2760" s="27"/>
      <c r="N2760" s="8"/>
      <c r="O2760" s="7"/>
      <c r="P2760" s="7"/>
      <c r="Q2760" s="7"/>
      <c r="R2760" s="7"/>
    </row>
    <row r="2761" spans="3:18">
      <c r="C2761" s="7"/>
      <c r="D2761" s="7"/>
      <c r="E2761" s="7"/>
      <c r="F2761" s="7"/>
      <c r="G2761" s="7"/>
      <c r="H2761" s="7"/>
      <c r="I2761" s="7"/>
      <c r="J2761" s="7"/>
      <c r="K2761" s="7"/>
      <c r="L2761" s="27"/>
      <c r="N2761" s="8"/>
      <c r="O2761" s="7"/>
      <c r="P2761" s="7"/>
      <c r="Q2761" s="7"/>
      <c r="R2761" s="7"/>
    </row>
    <row r="2762" spans="3:18">
      <c r="C2762" s="7"/>
      <c r="D2762" s="7"/>
      <c r="E2762" s="7"/>
      <c r="F2762" s="7"/>
      <c r="G2762" s="7"/>
      <c r="H2762" s="7"/>
      <c r="I2762" s="7"/>
      <c r="J2762" s="7"/>
      <c r="K2762" s="7"/>
      <c r="L2762" s="27"/>
      <c r="N2762" s="8"/>
      <c r="O2762" s="7"/>
      <c r="P2762" s="7"/>
      <c r="Q2762" s="7"/>
      <c r="R2762" s="7"/>
    </row>
    <row r="2763" spans="3:18">
      <c r="C2763" s="7"/>
      <c r="D2763" s="7"/>
      <c r="E2763" s="7"/>
      <c r="F2763" s="7"/>
      <c r="G2763" s="7"/>
      <c r="H2763" s="7"/>
      <c r="I2763" s="7"/>
      <c r="J2763" s="7"/>
      <c r="K2763" s="7"/>
      <c r="L2763" s="27"/>
      <c r="N2763" s="8"/>
      <c r="O2763" s="7"/>
      <c r="P2763" s="7"/>
      <c r="Q2763" s="7"/>
      <c r="R2763" s="7"/>
    </row>
    <row r="2764" spans="3:18">
      <c r="C2764" s="7"/>
      <c r="D2764" s="7"/>
      <c r="E2764" s="7"/>
      <c r="F2764" s="7"/>
      <c r="G2764" s="7"/>
      <c r="H2764" s="7"/>
      <c r="I2764" s="7"/>
      <c r="J2764" s="7"/>
      <c r="K2764" s="7"/>
      <c r="L2764" s="27"/>
      <c r="N2764" s="8"/>
      <c r="O2764" s="7"/>
      <c r="P2764" s="7"/>
      <c r="Q2764" s="7"/>
      <c r="R2764" s="7"/>
    </row>
    <row r="2765" spans="3:18">
      <c r="C2765" s="7"/>
      <c r="D2765" s="7"/>
      <c r="E2765" s="7"/>
      <c r="F2765" s="7"/>
      <c r="G2765" s="7"/>
      <c r="H2765" s="7"/>
      <c r="I2765" s="7"/>
      <c r="J2765" s="7"/>
      <c r="K2765" s="7"/>
      <c r="L2765" s="27"/>
      <c r="N2765" s="8"/>
      <c r="O2765" s="7"/>
      <c r="P2765" s="7"/>
      <c r="Q2765" s="7"/>
      <c r="R2765" s="7"/>
    </row>
    <row r="2766" spans="3:18">
      <c r="C2766" s="7"/>
      <c r="D2766" s="7"/>
      <c r="E2766" s="7"/>
      <c r="F2766" s="7"/>
      <c r="G2766" s="7"/>
      <c r="H2766" s="7"/>
      <c r="I2766" s="7"/>
      <c r="J2766" s="7"/>
      <c r="K2766" s="7"/>
      <c r="L2766" s="27"/>
      <c r="N2766" s="8"/>
      <c r="O2766" s="7"/>
      <c r="P2766" s="7"/>
      <c r="Q2766" s="7"/>
      <c r="R2766" s="7"/>
    </row>
    <row r="2767" spans="3:18">
      <c r="C2767" s="7"/>
      <c r="D2767" s="7"/>
      <c r="E2767" s="7"/>
      <c r="F2767" s="7"/>
      <c r="G2767" s="7"/>
      <c r="H2767" s="7"/>
      <c r="I2767" s="7"/>
      <c r="J2767" s="7"/>
      <c r="K2767" s="7"/>
      <c r="L2767" s="27"/>
      <c r="N2767" s="8"/>
      <c r="O2767" s="7"/>
      <c r="P2767" s="7"/>
      <c r="Q2767" s="7"/>
      <c r="R2767" s="7"/>
    </row>
    <row r="2768" spans="3:18">
      <c r="C2768" s="7"/>
      <c r="D2768" s="7"/>
      <c r="E2768" s="7"/>
      <c r="F2768" s="7"/>
      <c r="G2768" s="7"/>
      <c r="H2768" s="7"/>
      <c r="I2768" s="7"/>
      <c r="J2768" s="7"/>
      <c r="K2768" s="7"/>
      <c r="L2768" s="27"/>
      <c r="N2768" s="8"/>
      <c r="O2768" s="7"/>
      <c r="P2768" s="7"/>
      <c r="Q2768" s="7"/>
      <c r="R2768" s="7"/>
    </row>
    <row r="2769" spans="3:18">
      <c r="C2769" s="7"/>
      <c r="D2769" s="7"/>
      <c r="E2769" s="7"/>
      <c r="F2769" s="7"/>
      <c r="G2769" s="7"/>
      <c r="H2769" s="7"/>
      <c r="I2769" s="7"/>
      <c r="J2769" s="7"/>
      <c r="K2769" s="7"/>
      <c r="L2769" s="27"/>
      <c r="N2769" s="8"/>
      <c r="O2769" s="7"/>
      <c r="P2769" s="7"/>
      <c r="Q2769" s="7"/>
      <c r="R2769" s="7"/>
    </row>
    <row r="2770" spans="3:18">
      <c r="C2770" s="7"/>
      <c r="D2770" s="7"/>
      <c r="E2770" s="7"/>
      <c r="F2770" s="7"/>
      <c r="G2770" s="7"/>
      <c r="H2770" s="7"/>
      <c r="I2770" s="7"/>
      <c r="J2770" s="7"/>
      <c r="K2770" s="7"/>
      <c r="L2770" s="27"/>
      <c r="N2770" s="8"/>
      <c r="O2770" s="7"/>
      <c r="P2770" s="7"/>
      <c r="Q2770" s="7"/>
      <c r="R2770" s="7"/>
    </row>
    <row r="2771" spans="3:18">
      <c r="C2771" s="7"/>
      <c r="D2771" s="7"/>
      <c r="E2771" s="7"/>
      <c r="F2771" s="7"/>
      <c r="G2771" s="7"/>
      <c r="H2771" s="7"/>
      <c r="I2771" s="7"/>
      <c r="J2771" s="7"/>
      <c r="K2771" s="7"/>
      <c r="L2771" s="27"/>
      <c r="N2771" s="8"/>
      <c r="O2771" s="7"/>
      <c r="P2771" s="7"/>
      <c r="Q2771" s="7"/>
      <c r="R2771" s="7"/>
    </row>
    <row r="2772" spans="3:18">
      <c r="C2772" s="7"/>
      <c r="D2772" s="7"/>
      <c r="E2772" s="7"/>
      <c r="F2772" s="7"/>
      <c r="G2772" s="7"/>
      <c r="H2772" s="7"/>
      <c r="I2772" s="7"/>
      <c r="J2772" s="7"/>
      <c r="K2772" s="7"/>
      <c r="L2772" s="27"/>
      <c r="N2772" s="8"/>
      <c r="O2772" s="7"/>
      <c r="P2772" s="7"/>
      <c r="Q2772" s="7"/>
      <c r="R2772" s="7"/>
    </row>
    <row r="2773" spans="3:18">
      <c r="C2773" s="7"/>
      <c r="D2773" s="7"/>
      <c r="E2773" s="7"/>
      <c r="F2773" s="7"/>
      <c r="G2773" s="7"/>
      <c r="H2773" s="7"/>
      <c r="I2773" s="7"/>
      <c r="J2773" s="7"/>
      <c r="K2773" s="7"/>
      <c r="L2773" s="27"/>
      <c r="N2773" s="8"/>
      <c r="O2773" s="7"/>
      <c r="P2773" s="7"/>
      <c r="Q2773" s="7"/>
      <c r="R2773" s="7"/>
    </row>
    <row r="2774" spans="3:18">
      <c r="C2774" s="7"/>
      <c r="D2774" s="7"/>
      <c r="E2774" s="7"/>
      <c r="F2774" s="7"/>
      <c r="G2774" s="7"/>
      <c r="H2774" s="7"/>
      <c r="I2774" s="7"/>
      <c r="J2774" s="7"/>
      <c r="K2774" s="7"/>
      <c r="L2774" s="27"/>
      <c r="N2774" s="8"/>
      <c r="O2774" s="7"/>
      <c r="P2774" s="7"/>
      <c r="Q2774" s="7"/>
      <c r="R2774" s="7"/>
    </row>
    <row r="2775" spans="3:18">
      <c r="C2775" s="7"/>
      <c r="D2775" s="7"/>
      <c r="E2775" s="7"/>
      <c r="F2775" s="7"/>
      <c r="G2775" s="7"/>
      <c r="H2775" s="7"/>
      <c r="I2775" s="7"/>
      <c r="J2775" s="7"/>
      <c r="K2775" s="7"/>
      <c r="L2775" s="27"/>
      <c r="N2775" s="8"/>
      <c r="O2775" s="7"/>
      <c r="P2775" s="7"/>
      <c r="Q2775" s="7"/>
      <c r="R2775" s="7"/>
    </row>
    <row r="2776" spans="3:18">
      <c r="C2776" s="7"/>
      <c r="D2776" s="7"/>
      <c r="E2776" s="7"/>
      <c r="F2776" s="7"/>
      <c r="G2776" s="7"/>
      <c r="H2776" s="7"/>
      <c r="I2776" s="7"/>
      <c r="J2776" s="7"/>
      <c r="K2776" s="7"/>
      <c r="L2776" s="27"/>
      <c r="N2776" s="8"/>
      <c r="O2776" s="7"/>
      <c r="P2776" s="7"/>
      <c r="Q2776" s="7"/>
      <c r="R2776" s="7"/>
    </row>
    <row r="2777" spans="3:18">
      <c r="C2777" s="7"/>
      <c r="D2777" s="7"/>
      <c r="E2777" s="7"/>
      <c r="F2777" s="7"/>
      <c r="G2777" s="7"/>
      <c r="H2777" s="7"/>
      <c r="I2777" s="7"/>
      <c r="J2777" s="7"/>
      <c r="K2777" s="7"/>
      <c r="L2777" s="27"/>
      <c r="N2777" s="8"/>
      <c r="O2777" s="7"/>
      <c r="P2777" s="7"/>
      <c r="Q2777" s="7"/>
      <c r="R2777" s="7"/>
    </row>
    <row r="2778" spans="3:18">
      <c r="C2778" s="7"/>
      <c r="D2778" s="7"/>
      <c r="E2778" s="7"/>
      <c r="F2778" s="7"/>
      <c r="G2778" s="7"/>
      <c r="H2778" s="7"/>
      <c r="I2778" s="7"/>
      <c r="J2778" s="7"/>
      <c r="K2778" s="7"/>
      <c r="L2778" s="27"/>
      <c r="N2778" s="8"/>
      <c r="O2778" s="7"/>
      <c r="P2778" s="7"/>
      <c r="Q2778" s="7"/>
      <c r="R2778" s="7"/>
    </row>
    <row r="2779" spans="3:18">
      <c r="C2779" s="7"/>
      <c r="D2779" s="7"/>
      <c r="E2779" s="7"/>
      <c r="F2779" s="7"/>
      <c r="G2779" s="7"/>
      <c r="H2779" s="7"/>
      <c r="I2779" s="7"/>
      <c r="J2779" s="7"/>
      <c r="K2779" s="7"/>
      <c r="L2779" s="27"/>
      <c r="N2779" s="8"/>
      <c r="O2779" s="7"/>
      <c r="P2779" s="7"/>
      <c r="Q2779" s="7"/>
      <c r="R2779" s="7"/>
    </row>
    <row r="2780" spans="3:18">
      <c r="C2780" s="7"/>
      <c r="D2780" s="7"/>
      <c r="E2780" s="7"/>
      <c r="F2780" s="7"/>
      <c r="G2780" s="7"/>
      <c r="H2780" s="7"/>
      <c r="I2780" s="7"/>
      <c r="J2780" s="7"/>
      <c r="K2780" s="7"/>
      <c r="L2780" s="27"/>
      <c r="N2780" s="8"/>
      <c r="O2780" s="7"/>
      <c r="P2780" s="7"/>
      <c r="Q2780" s="7"/>
      <c r="R2780" s="7"/>
    </row>
    <row r="2781" spans="3:18">
      <c r="C2781" s="7"/>
      <c r="D2781" s="7"/>
      <c r="E2781" s="7"/>
      <c r="F2781" s="7"/>
      <c r="G2781" s="7"/>
      <c r="H2781" s="7"/>
      <c r="I2781" s="7"/>
      <c r="J2781" s="7"/>
      <c r="K2781" s="7"/>
      <c r="L2781" s="27"/>
      <c r="N2781" s="8"/>
      <c r="O2781" s="7"/>
      <c r="P2781" s="7"/>
      <c r="Q2781" s="7"/>
      <c r="R2781" s="7"/>
    </row>
    <row r="2782" spans="3:18">
      <c r="C2782" s="7"/>
      <c r="D2782" s="7"/>
      <c r="E2782" s="7"/>
      <c r="F2782" s="7"/>
      <c r="G2782" s="7"/>
      <c r="H2782" s="7"/>
      <c r="I2782" s="7"/>
      <c r="J2782" s="7"/>
      <c r="K2782" s="7"/>
      <c r="L2782" s="27"/>
      <c r="N2782" s="8"/>
      <c r="O2782" s="7"/>
      <c r="P2782" s="7"/>
      <c r="Q2782" s="7"/>
      <c r="R2782" s="7"/>
    </row>
    <row r="2783" spans="3:18">
      <c r="C2783" s="7"/>
      <c r="D2783" s="7"/>
      <c r="E2783" s="7"/>
      <c r="F2783" s="7"/>
      <c r="G2783" s="7"/>
      <c r="H2783" s="7"/>
      <c r="I2783" s="7"/>
      <c r="J2783" s="7"/>
      <c r="K2783" s="7"/>
      <c r="L2783" s="27"/>
      <c r="N2783" s="8"/>
      <c r="O2783" s="7"/>
      <c r="P2783" s="7"/>
      <c r="Q2783" s="7"/>
      <c r="R2783" s="7"/>
    </row>
    <row r="2784" spans="3:18">
      <c r="C2784" s="7"/>
      <c r="D2784" s="7"/>
      <c r="E2784" s="7"/>
      <c r="F2784" s="7"/>
      <c r="G2784" s="7"/>
      <c r="H2784" s="7"/>
      <c r="I2784" s="7"/>
      <c r="J2784" s="7"/>
      <c r="K2784" s="7"/>
      <c r="L2784" s="27"/>
      <c r="N2784" s="8"/>
      <c r="O2784" s="7"/>
      <c r="P2784" s="7"/>
      <c r="Q2784" s="7"/>
      <c r="R2784" s="7"/>
    </row>
    <row r="2785" spans="3:18">
      <c r="C2785" s="7"/>
      <c r="D2785" s="7"/>
      <c r="E2785" s="7"/>
      <c r="F2785" s="7"/>
      <c r="G2785" s="7"/>
      <c r="H2785" s="7"/>
      <c r="I2785" s="7"/>
      <c r="J2785" s="7"/>
      <c r="K2785" s="7"/>
      <c r="L2785" s="27"/>
      <c r="N2785" s="8"/>
      <c r="O2785" s="7"/>
      <c r="P2785" s="7"/>
      <c r="Q2785" s="7"/>
      <c r="R2785" s="7"/>
    </row>
    <row r="2786" spans="3:18">
      <c r="C2786" s="7"/>
      <c r="D2786" s="7"/>
      <c r="E2786" s="7"/>
      <c r="F2786" s="7"/>
      <c r="G2786" s="7"/>
      <c r="H2786" s="7"/>
      <c r="I2786" s="7"/>
      <c r="J2786" s="7"/>
      <c r="K2786" s="7"/>
      <c r="L2786" s="27"/>
      <c r="N2786" s="8"/>
      <c r="O2786" s="7"/>
      <c r="P2786" s="7"/>
      <c r="Q2786" s="7"/>
      <c r="R2786" s="7"/>
    </row>
    <row r="2787" spans="3:18">
      <c r="C2787" s="7"/>
      <c r="D2787" s="7"/>
      <c r="E2787" s="7"/>
      <c r="F2787" s="7"/>
      <c r="G2787" s="7"/>
      <c r="H2787" s="7"/>
      <c r="I2787" s="7"/>
      <c r="J2787" s="7"/>
      <c r="K2787" s="7"/>
      <c r="L2787" s="27"/>
      <c r="N2787" s="8"/>
      <c r="O2787" s="7"/>
      <c r="P2787" s="7"/>
      <c r="Q2787" s="7"/>
      <c r="R2787" s="7"/>
    </row>
    <row r="2788" spans="3:18">
      <c r="C2788" s="7"/>
      <c r="D2788" s="7"/>
      <c r="E2788" s="7"/>
      <c r="F2788" s="7"/>
      <c r="G2788" s="7"/>
      <c r="H2788" s="7"/>
      <c r="I2788" s="7"/>
      <c r="J2788" s="7"/>
      <c r="K2788" s="7"/>
      <c r="L2788" s="27"/>
      <c r="N2788" s="8"/>
      <c r="O2788" s="7"/>
      <c r="P2788" s="7"/>
      <c r="Q2788" s="7"/>
      <c r="R2788" s="7"/>
    </row>
    <row r="2789" spans="3:18">
      <c r="C2789" s="7"/>
      <c r="D2789" s="7"/>
      <c r="E2789" s="7"/>
      <c r="F2789" s="7"/>
      <c r="G2789" s="7"/>
      <c r="H2789" s="7"/>
      <c r="I2789" s="7"/>
      <c r="J2789" s="7"/>
      <c r="K2789" s="7"/>
      <c r="L2789" s="27"/>
      <c r="N2789" s="8"/>
      <c r="O2789" s="7"/>
      <c r="P2789" s="7"/>
      <c r="Q2789" s="7"/>
      <c r="R2789" s="7"/>
    </row>
    <row r="2790" spans="3:18">
      <c r="C2790" s="7"/>
      <c r="D2790" s="7"/>
      <c r="E2790" s="7"/>
      <c r="F2790" s="7"/>
      <c r="G2790" s="7"/>
      <c r="H2790" s="7"/>
      <c r="I2790" s="7"/>
      <c r="J2790" s="7"/>
      <c r="K2790" s="7"/>
      <c r="L2790" s="27"/>
      <c r="N2790" s="8"/>
      <c r="O2790" s="7"/>
      <c r="P2790" s="7"/>
      <c r="Q2790" s="7"/>
      <c r="R2790" s="7"/>
    </row>
    <row r="2791" spans="3:18">
      <c r="C2791" s="7"/>
      <c r="D2791" s="7"/>
      <c r="E2791" s="7"/>
      <c r="F2791" s="7"/>
      <c r="G2791" s="7"/>
      <c r="H2791" s="7"/>
      <c r="I2791" s="7"/>
      <c r="J2791" s="7"/>
      <c r="K2791" s="7"/>
      <c r="L2791" s="27"/>
      <c r="N2791" s="8"/>
      <c r="O2791" s="7"/>
      <c r="P2791" s="7"/>
      <c r="Q2791" s="7"/>
      <c r="R2791" s="7"/>
    </row>
    <row r="2792" spans="3:18">
      <c r="C2792" s="7"/>
      <c r="D2792" s="7"/>
      <c r="E2792" s="7"/>
      <c r="F2792" s="7"/>
      <c r="G2792" s="7"/>
      <c r="H2792" s="7"/>
      <c r="I2792" s="7"/>
      <c r="J2792" s="7"/>
      <c r="K2792" s="7"/>
      <c r="L2792" s="27"/>
      <c r="N2792" s="8"/>
      <c r="O2792" s="7"/>
      <c r="P2792" s="7"/>
      <c r="Q2792" s="7"/>
      <c r="R2792" s="7"/>
    </row>
    <row r="2793" spans="3:18">
      <c r="C2793" s="7"/>
      <c r="D2793" s="7"/>
      <c r="E2793" s="7"/>
      <c r="F2793" s="7"/>
      <c r="G2793" s="7"/>
      <c r="H2793" s="7"/>
      <c r="I2793" s="7"/>
      <c r="J2793" s="7"/>
      <c r="K2793" s="7"/>
      <c r="L2793" s="27"/>
      <c r="N2793" s="8"/>
      <c r="O2793" s="7"/>
      <c r="P2793" s="7"/>
      <c r="Q2793" s="7"/>
      <c r="R2793" s="7"/>
    </row>
    <row r="2794" spans="3:18">
      <c r="C2794" s="7"/>
      <c r="D2794" s="7"/>
      <c r="E2794" s="7"/>
      <c r="F2794" s="7"/>
      <c r="G2794" s="7"/>
      <c r="H2794" s="7"/>
      <c r="I2794" s="7"/>
      <c r="J2794" s="7"/>
      <c r="K2794" s="7"/>
      <c r="L2794" s="27"/>
      <c r="N2794" s="8"/>
      <c r="O2794" s="7"/>
      <c r="P2794" s="7"/>
      <c r="Q2794" s="7"/>
      <c r="R2794" s="7"/>
    </row>
    <row r="2795" spans="3:18">
      <c r="C2795" s="7"/>
      <c r="D2795" s="7"/>
      <c r="E2795" s="7"/>
      <c r="F2795" s="7"/>
      <c r="G2795" s="7"/>
      <c r="H2795" s="7"/>
      <c r="I2795" s="7"/>
      <c r="J2795" s="7"/>
      <c r="K2795" s="7"/>
      <c r="L2795" s="27"/>
      <c r="N2795" s="8"/>
      <c r="O2795" s="7"/>
      <c r="P2795" s="7"/>
      <c r="Q2795" s="7"/>
      <c r="R2795" s="7"/>
    </row>
    <row r="2796" spans="3:18">
      <c r="C2796" s="7"/>
      <c r="D2796" s="7"/>
      <c r="E2796" s="7"/>
      <c r="F2796" s="7"/>
      <c r="G2796" s="7"/>
      <c r="H2796" s="7"/>
      <c r="I2796" s="7"/>
      <c r="J2796" s="7"/>
      <c r="K2796" s="7"/>
      <c r="L2796" s="27"/>
      <c r="N2796" s="8"/>
      <c r="O2796" s="7"/>
      <c r="P2796" s="7"/>
      <c r="Q2796" s="7"/>
      <c r="R2796" s="7"/>
    </row>
    <row r="2797" spans="3:18">
      <c r="C2797" s="7"/>
      <c r="D2797" s="7"/>
      <c r="E2797" s="7"/>
      <c r="F2797" s="7"/>
      <c r="G2797" s="7"/>
      <c r="H2797" s="7"/>
      <c r="I2797" s="7"/>
      <c r="J2797" s="7"/>
      <c r="K2797" s="7"/>
      <c r="L2797" s="27"/>
      <c r="N2797" s="8"/>
      <c r="O2797" s="7"/>
      <c r="P2797" s="7"/>
      <c r="Q2797" s="7"/>
      <c r="R2797" s="7"/>
    </row>
    <row r="2798" spans="3:18">
      <c r="C2798" s="7"/>
      <c r="D2798" s="7"/>
      <c r="E2798" s="7"/>
      <c r="F2798" s="7"/>
      <c r="G2798" s="7"/>
      <c r="H2798" s="7"/>
      <c r="I2798" s="7"/>
      <c r="J2798" s="7"/>
      <c r="K2798" s="7"/>
      <c r="L2798" s="27"/>
      <c r="N2798" s="8"/>
      <c r="O2798" s="7"/>
      <c r="P2798" s="7"/>
      <c r="Q2798" s="7"/>
      <c r="R2798" s="7"/>
    </row>
    <row r="2799" spans="3:18">
      <c r="C2799" s="7"/>
      <c r="D2799" s="7"/>
      <c r="E2799" s="7"/>
      <c r="F2799" s="7"/>
      <c r="G2799" s="7"/>
      <c r="H2799" s="7"/>
      <c r="I2799" s="7"/>
      <c r="J2799" s="7"/>
      <c r="K2799" s="7"/>
      <c r="L2799" s="27"/>
      <c r="N2799" s="8"/>
      <c r="O2799" s="7"/>
      <c r="P2799" s="7"/>
      <c r="Q2799" s="7"/>
      <c r="R2799" s="7"/>
    </row>
    <row r="2800" spans="3:18">
      <c r="C2800" s="7"/>
      <c r="D2800" s="7"/>
      <c r="E2800" s="7"/>
      <c r="F2800" s="7"/>
      <c r="G2800" s="7"/>
      <c r="H2800" s="7"/>
      <c r="I2800" s="7"/>
      <c r="J2800" s="7"/>
      <c r="K2800" s="7"/>
      <c r="L2800" s="27"/>
      <c r="N2800" s="8"/>
      <c r="O2800" s="7"/>
      <c r="P2800" s="7"/>
      <c r="Q2800" s="7"/>
      <c r="R2800" s="7"/>
    </row>
    <row r="2801" spans="3:18">
      <c r="C2801" s="7"/>
      <c r="D2801" s="7"/>
      <c r="E2801" s="7"/>
      <c r="F2801" s="7"/>
      <c r="G2801" s="7"/>
      <c r="H2801" s="7"/>
      <c r="I2801" s="7"/>
      <c r="J2801" s="7"/>
      <c r="K2801" s="7"/>
      <c r="L2801" s="27"/>
      <c r="N2801" s="8"/>
      <c r="O2801" s="7"/>
      <c r="P2801" s="7"/>
      <c r="Q2801" s="7"/>
      <c r="R2801" s="7"/>
    </row>
    <row r="2802" spans="3:18">
      <c r="C2802" s="7"/>
      <c r="D2802" s="7"/>
      <c r="E2802" s="7"/>
      <c r="F2802" s="7"/>
      <c r="G2802" s="7"/>
      <c r="H2802" s="7"/>
      <c r="I2802" s="7"/>
      <c r="J2802" s="7"/>
      <c r="K2802" s="7"/>
      <c r="L2802" s="27"/>
      <c r="N2802" s="8"/>
      <c r="O2802" s="7"/>
      <c r="P2802" s="7"/>
      <c r="Q2802" s="7"/>
      <c r="R2802" s="7"/>
    </row>
    <row r="2803" spans="3:18">
      <c r="C2803" s="7"/>
      <c r="D2803" s="7"/>
      <c r="E2803" s="7"/>
      <c r="F2803" s="7"/>
      <c r="G2803" s="7"/>
      <c r="H2803" s="7"/>
      <c r="I2803" s="7"/>
      <c r="J2803" s="7"/>
      <c r="K2803" s="7"/>
      <c r="L2803" s="27"/>
      <c r="N2803" s="8"/>
      <c r="O2803" s="7"/>
      <c r="P2803" s="7"/>
      <c r="Q2803" s="7"/>
      <c r="R2803" s="7"/>
    </row>
    <row r="2804" spans="3:18">
      <c r="C2804" s="7"/>
      <c r="D2804" s="7"/>
      <c r="E2804" s="7"/>
      <c r="F2804" s="7"/>
      <c r="G2804" s="7"/>
      <c r="H2804" s="7"/>
      <c r="I2804" s="7"/>
      <c r="J2804" s="7"/>
      <c r="K2804" s="7"/>
      <c r="L2804" s="27"/>
      <c r="N2804" s="8"/>
      <c r="O2804" s="7"/>
      <c r="P2804" s="7"/>
      <c r="Q2804" s="7"/>
      <c r="R2804" s="7"/>
    </row>
    <row r="2805" spans="3:18">
      <c r="C2805" s="7"/>
      <c r="D2805" s="7"/>
      <c r="E2805" s="7"/>
      <c r="F2805" s="7"/>
      <c r="G2805" s="7"/>
      <c r="H2805" s="7"/>
      <c r="I2805" s="7"/>
      <c r="J2805" s="7"/>
      <c r="K2805" s="7"/>
      <c r="L2805" s="27"/>
      <c r="N2805" s="8"/>
      <c r="O2805" s="7"/>
      <c r="P2805" s="7"/>
      <c r="Q2805" s="7"/>
      <c r="R2805" s="7"/>
    </row>
    <row r="2806" spans="3:18">
      <c r="C2806" s="7"/>
      <c r="D2806" s="7"/>
      <c r="E2806" s="7"/>
      <c r="F2806" s="7"/>
      <c r="G2806" s="7"/>
      <c r="H2806" s="7"/>
      <c r="I2806" s="7"/>
      <c r="J2806" s="7"/>
      <c r="K2806" s="7"/>
      <c r="L2806" s="27"/>
      <c r="N2806" s="8"/>
      <c r="O2806" s="7"/>
      <c r="P2806" s="7"/>
      <c r="Q2806" s="7"/>
      <c r="R2806" s="7"/>
    </row>
    <row r="2807" spans="3:18">
      <c r="C2807" s="7"/>
      <c r="D2807" s="7"/>
      <c r="E2807" s="7"/>
      <c r="F2807" s="7"/>
      <c r="G2807" s="7"/>
      <c r="H2807" s="7"/>
      <c r="I2807" s="7"/>
      <c r="J2807" s="7"/>
      <c r="K2807" s="7"/>
      <c r="L2807" s="27"/>
      <c r="N2807" s="8"/>
      <c r="O2807" s="7"/>
      <c r="P2807" s="7"/>
      <c r="Q2807" s="7"/>
      <c r="R2807" s="7"/>
    </row>
    <row r="2808" spans="3:18">
      <c r="C2808" s="7"/>
      <c r="D2808" s="7"/>
      <c r="E2808" s="7"/>
      <c r="F2808" s="7"/>
      <c r="G2808" s="7"/>
      <c r="H2808" s="7"/>
      <c r="I2808" s="7"/>
      <c r="J2808" s="7"/>
      <c r="K2808" s="7"/>
      <c r="L2808" s="27"/>
      <c r="N2808" s="8"/>
      <c r="O2808" s="7"/>
      <c r="P2808" s="7"/>
      <c r="Q2808" s="7"/>
      <c r="R2808" s="7"/>
    </row>
    <row r="2809" spans="3:18">
      <c r="C2809" s="7"/>
      <c r="D2809" s="7"/>
      <c r="E2809" s="7"/>
      <c r="F2809" s="7"/>
      <c r="G2809" s="7"/>
      <c r="H2809" s="7"/>
      <c r="I2809" s="7"/>
      <c r="J2809" s="7"/>
      <c r="K2809" s="7"/>
      <c r="L2809" s="27"/>
      <c r="N2809" s="8"/>
      <c r="O2809" s="7"/>
      <c r="P2809" s="7"/>
      <c r="Q2809" s="7"/>
      <c r="R2809" s="7"/>
    </row>
    <row r="2810" spans="3:18">
      <c r="C2810" s="7"/>
      <c r="D2810" s="7"/>
      <c r="E2810" s="7"/>
      <c r="F2810" s="7"/>
      <c r="G2810" s="7"/>
      <c r="H2810" s="7"/>
      <c r="I2810" s="7"/>
      <c r="J2810" s="7"/>
      <c r="K2810" s="7"/>
      <c r="L2810" s="27"/>
      <c r="N2810" s="8"/>
      <c r="O2810" s="7"/>
      <c r="P2810" s="7"/>
      <c r="Q2810" s="7"/>
      <c r="R2810" s="7"/>
    </row>
    <row r="2811" spans="3:18">
      <c r="C2811" s="7"/>
      <c r="D2811" s="7"/>
      <c r="E2811" s="7"/>
      <c r="F2811" s="7"/>
      <c r="G2811" s="7"/>
      <c r="H2811" s="7"/>
      <c r="I2811" s="7"/>
      <c r="J2811" s="7"/>
      <c r="K2811" s="7"/>
      <c r="L2811" s="27"/>
      <c r="N2811" s="8"/>
      <c r="O2811" s="7"/>
      <c r="P2811" s="7"/>
      <c r="Q2811" s="7"/>
      <c r="R2811" s="7"/>
    </row>
    <row r="2812" spans="3:18">
      <c r="C2812" s="7"/>
      <c r="D2812" s="7"/>
      <c r="E2812" s="7"/>
      <c r="F2812" s="7"/>
      <c r="G2812" s="7"/>
      <c r="H2812" s="7"/>
      <c r="I2812" s="7"/>
      <c r="J2812" s="7"/>
      <c r="K2812" s="7"/>
      <c r="L2812" s="27"/>
      <c r="N2812" s="8"/>
      <c r="O2812" s="7"/>
      <c r="P2812" s="7"/>
      <c r="Q2812" s="7"/>
      <c r="R2812" s="7"/>
    </row>
    <row r="2813" spans="3:18">
      <c r="C2813" s="7"/>
      <c r="D2813" s="7"/>
      <c r="E2813" s="7"/>
      <c r="F2813" s="7"/>
      <c r="G2813" s="7"/>
      <c r="H2813" s="7"/>
      <c r="I2813" s="7"/>
      <c r="J2813" s="7"/>
      <c r="K2813" s="7"/>
      <c r="L2813" s="27"/>
      <c r="N2813" s="8"/>
      <c r="O2813" s="7"/>
      <c r="P2813" s="7"/>
      <c r="Q2813" s="7"/>
      <c r="R2813" s="7"/>
    </row>
    <row r="2814" spans="3:18">
      <c r="C2814" s="7"/>
      <c r="D2814" s="7"/>
      <c r="E2814" s="7"/>
      <c r="F2814" s="7"/>
      <c r="G2814" s="7"/>
      <c r="H2814" s="7"/>
      <c r="I2814" s="7"/>
      <c r="J2814" s="7"/>
      <c r="K2814" s="7"/>
      <c r="L2814" s="27"/>
      <c r="N2814" s="8"/>
      <c r="O2814" s="7"/>
      <c r="P2814" s="7"/>
      <c r="Q2814" s="7"/>
      <c r="R2814" s="7"/>
    </row>
    <row r="2815" spans="3:18">
      <c r="C2815" s="7"/>
      <c r="D2815" s="7"/>
      <c r="E2815" s="7"/>
      <c r="F2815" s="7"/>
      <c r="G2815" s="7"/>
      <c r="H2815" s="7"/>
      <c r="I2815" s="7"/>
      <c r="J2815" s="7"/>
      <c r="K2815" s="7"/>
      <c r="L2815" s="27"/>
      <c r="N2815" s="8"/>
      <c r="O2815" s="7"/>
      <c r="P2815" s="7"/>
      <c r="Q2815" s="7"/>
      <c r="R2815" s="7"/>
    </row>
    <row r="2816" spans="3:18">
      <c r="C2816" s="7"/>
      <c r="D2816" s="7"/>
      <c r="E2816" s="7"/>
      <c r="F2816" s="7"/>
      <c r="G2816" s="7"/>
      <c r="H2816" s="7"/>
      <c r="I2816" s="7"/>
      <c r="J2816" s="7"/>
      <c r="K2816" s="7"/>
      <c r="L2816" s="27"/>
      <c r="N2816" s="8"/>
      <c r="O2816" s="7"/>
      <c r="P2816" s="7"/>
      <c r="Q2816" s="7"/>
      <c r="R2816" s="7"/>
    </row>
    <row r="2817" spans="3:18">
      <c r="C2817" s="7"/>
      <c r="D2817" s="7"/>
      <c r="E2817" s="7"/>
      <c r="F2817" s="7"/>
      <c r="G2817" s="7"/>
      <c r="H2817" s="7"/>
      <c r="I2817" s="7"/>
      <c r="J2817" s="7"/>
      <c r="K2817" s="7"/>
      <c r="L2817" s="27"/>
      <c r="N2817" s="8"/>
      <c r="O2817" s="7"/>
      <c r="P2817" s="7"/>
      <c r="Q2817" s="7"/>
      <c r="R2817" s="7"/>
    </row>
    <row r="2818" spans="3:18">
      <c r="C2818" s="7"/>
      <c r="D2818" s="7"/>
      <c r="E2818" s="7"/>
      <c r="F2818" s="7"/>
      <c r="G2818" s="7"/>
      <c r="H2818" s="7"/>
      <c r="I2818" s="7"/>
      <c r="J2818" s="7"/>
      <c r="K2818" s="7"/>
      <c r="L2818" s="27"/>
      <c r="N2818" s="8"/>
      <c r="O2818" s="7"/>
      <c r="P2818" s="7"/>
      <c r="Q2818" s="7"/>
      <c r="R2818" s="7"/>
    </row>
    <row r="2819" spans="3:18">
      <c r="C2819" s="7"/>
      <c r="D2819" s="7"/>
      <c r="E2819" s="7"/>
      <c r="F2819" s="7"/>
      <c r="G2819" s="7"/>
      <c r="H2819" s="7"/>
      <c r="I2819" s="7"/>
      <c r="J2819" s="7"/>
      <c r="K2819" s="7"/>
      <c r="L2819" s="27"/>
      <c r="N2819" s="8"/>
      <c r="O2819" s="7"/>
      <c r="P2819" s="7"/>
      <c r="Q2819" s="7"/>
      <c r="R2819" s="7"/>
    </row>
    <row r="2820" spans="3:18">
      <c r="C2820" s="7"/>
      <c r="D2820" s="7"/>
      <c r="E2820" s="7"/>
      <c r="F2820" s="7"/>
      <c r="G2820" s="7"/>
      <c r="H2820" s="7"/>
      <c r="I2820" s="7"/>
      <c r="J2820" s="7"/>
      <c r="K2820" s="7"/>
      <c r="L2820" s="27"/>
      <c r="N2820" s="8"/>
      <c r="O2820" s="7"/>
      <c r="P2820" s="7"/>
      <c r="Q2820" s="7"/>
      <c r="R2820" s="7"/>
    </row>
    <row r="2821" spans="3:18">
      <c r="C2821" s="7"/>
      <c r="D2821" s="7"/>
      <c r="E2821" s="7"/>
      <c r="F2821" s="7"/>
      <c r="G2821" s="7"/>
      <c r="H2821" s="7"/>
      <c r="I2821" s="7"/>
      <c r="J2821" s="7"/>
      <c r="K2821" s="7"/>
      <c r="L2821" s="27"/>
      <c r="N2821" s="8"/>
      <c r="O2821" s="7"/>
      <c r="P2821" s="7"/>
      <c r="Q2821" s="7"/>
      <c r="R2821" s="7"/>
    </row>
    <row r="2822" spans="3:18">
      <c r="C2822" s="7"/>
      <c r="D2822" s="7"/>
      <c r="E2822" s="7"/>
      <c r="F2822" s="7"/>
      <c r="G2822" s="7"/>
      <c r="H2822" s="7"/>
      <c r="I2822" s="7"/>
      <c r="J2822" s="7"/>
      <c r="K2822" s="7"/>
      <c r="L2822" s="27"/>
      <c r="N2822" s="8"/>
      <c r="O2822" s="7"/>
      <c r="P2822" s="7"/>
      <c r="Q2822" s="7"/>
      <c r="R2822" s="7"/>
    </row>
    <row r="2823" spans="3:18">
      <c r="C2823" s="7"/>
      <c r="D2823" s="7"/>
      <c r="E2823" s="7"/>
      <c r="F2823" s="7"/>
      <c r="G2823" s="7"/>
      <c r="H2823" s="7"/>
      <c r="I2823" s="7"/>
      <c r="J2823" s="7"/>
      <c r="K2823" s="7"/>
      <c r="L2823" s="27"/>
      <c r="N2823" s="8"/>
      <c r="O2823" s="7"/>
      <c r="P2823" s="7"/>
      <c r="Q2823" s="7"/>
      <c r="R2823" s="7"/>
    </row>
    <row r="2824" spans="3:18">
      <c r="C2824" s="7"/>
      <c r="D2824" s="7"/>
      <c r="E2824" s="7"/>
      <c r="F2824" s="7"/>
      <c r="G2824" s="7"/>
      <c r="H2824" s="7"/>
      <c r="I2824" s="7"/>
      <c r="J2824" s="7"/>
      <c r="K2824" s="7"/>
      <c r="L2824" s="27"/>
      <c r="N2824" s="8"/>
      <c r="O2824" s="7"/>
      <c r="P2824" s="7"/>
      <c r="Q2824" s="7"/>
      <c r="R2824" s="7"/>
    </row>
    <row r="2825" spans="3:18">
      <c r="C2825" s="7"/>
      <c r="D2825" s="7"/>
      <c r="E2825" s="7"/>
      <c r="F2825" s="7"/>
      <c r="G2825" s="7"/>
      <c r="H2825" s="7"/>
      <c r="I2825" s="7"/>
      <c r="J2825" s="7"/>
      <c r="K2825" s="7"/>
      <c r="L2825" s="27"/>
      <c r="N2825" s="8"/>
      <c r="O2825" s="7"/>
      <c r="P2825" s="7"/>
      <c r="Q2825" s="7"/>
      <c r="R2825" s="7"/>
    </row>
    <row r="2826" spans="3:18">
      <c r="C2826" s="7"/>
      <c r="D2826" s="7"/>
      <c r="E2826" s="7"/>
      <c r="F2826" s="7"/>
      <c r="G2826" s="7"/>
      <c r="H2826" s="7"/>
      <c r="I2826" s="7"/>
      <c r="J2826" s="7"/>
      <c r="K2826" s="7"/>
      <c r="L2826" s="27"/>
      <c r="N2826" s="8"/>
      <c r="O2826" s="7"/>
      <c r="P2826" s="7"/>
      <c r="Q2826" s="7"/>
      <c r="R2826" s="7"/>
    </row>
    <row r="2827" spans="3:18">
      <c r="C2827" s="7"/>
      <c r="D2827" s="7"/>
      <c r="E2827" s="7"/>
      <c r="F2827" s="7"/>
      <c r="G2827" s="7"/>
      <c r="H2827" s="7"/>
      <c r="I2827" s="7"/>
      <c r="J2827" s="7"/>
      <c r="K2827" s="7"/>
      <c r="L2827" s="27"/>
      <c r="N2827" s="8"/>
      <c r="O2827" s="7"/>
      <c r="P2827" s="7"/>
      <c r="Q2827" s="7"/>
      <c r="R2827" s="7"/>
    </row>
    <row r="2828" spans="3:18">
      <c r="C2828" s="7"/>
      <c r="D2828" s="7"/>
      <c r="E2828" s="7"/>
      <c r="F2828" s="7"/>
      <c r="G2828" s="7"/>
      <c r="H2828" s="7"/>
      <c r="I2828" s="7"/>
      <c r="J2828" s="7"/>
      <c r="K2828" s="7"/>
      <c r="L2828" s="27"/>
      <c r="N2828" s="8"/>
      <c r="O2828" s="7"/>
      <c r="P2828" s="7"/>
      <c r="Q2828" s="7"/>
      <c r="R2828" s="7"/>
    </row>
    <row r="2829" spans="3:18">
      <c r="C2829" s="7"/>
      <c r="D2829" s="7"/>
      <c r="E2829" s="7"/>
      <c r="F2829" s="7"/>
      <c r="G2829" s="7"/>
      <c r="H2829" s="7"/>
      <c r="I2829" s="7"/>
      <c r="J2829" s="7"/>
      <c r="K2829" s="7"/>
      <c r="L2829" s="27"/>
      <c r="N2829" s="8"/>
      <c r="O2829" s="7"/>
      <c r="P2829" s="7"/>
      <c r="Q2829" s="7"/>
      <c r="R2829" s="7"/>
    </row>
    <row r="2830" spans="3:18">
      <c r="C2830" s="7"/>
      <c r="D2830" s="7"/>
      <c r="E2830" s="7"/>
      <c r="F2830" s="7"/>
      <c r="G2830" s="7"/>
      <c r="H2830" s="7"/>
      <c r="I2830" s="7"/>
      <c r="J2830" s="7"/>
      <c r="K2830" s="7"/>
      <c r="L2830" s="27"/>
      <c r="N2830" s="8"/>
      <c r="O2830" s="7"/>
      <c r="P2830" s="7"/>
      <c r="Q2830" s="7"/>
      <c r="R2830" s="7"/>
    </row>
    <row r="2831" spans="3:18">
      <c r="C2831" s="7"/>
      <c r="D2831" s="7"/>
      <c r="E2831" s="7"/>
      <c r="F2831" s="7"/>
      <c r="G2831" s="7"/>
      <c r="H2831" s="7"/>
      <c r="I2831" s="7"/>
      <c r="J2831" s="7"/>
      <c r="K2831" s="7"/>
      <c r="L2831" s="27"/>
      <c r="N2831" s="8"/>
      <c r="O2831" s="7"/>
      <c r="P2831" s="7"/>
      <c r="Q2831" s="7"/>
      <c r="R2831" s="7"/>
    </row>
    <row r="2832" spans="3:18">
      <c r="C2832" s="7"/>
      <c r="D2832" s="7"/>
      <c r="E2832" s="7"/>
      <c r="F2832" s="7"/>
      <c r="G2832" s="7"/>
      <c r="H2832" s="7"/>
      <c r="I2832" s="7"/>
      <c r="J2832" s="7"/>
      <c r="K2832" s="7"/>
      <c r="L2832" s="27"/>
      <c r="N2832" s="8"/>
      <c r="O2832" s="7"/>
      <c r="P2832" s="7"/>
      <c r="Q2832" s="7"/>
      <c r="R2832" s="7"/>
    </row>
    <row r="2833" spans="3:18">
      <c r="C2833" s="7"/>
      <c r="D2833" s="7"/>
      <c r="E2833" s="7"/>
      <c r="F2833" s="7"/>
      <c r="G2833" s="7"/>
      <c r="H2833" s="7"/>
      <c r="I2833" s="7"/>
      <c r="J2833" s="7"/>
      <c r="K2833" s="7"/>
      <c r="L2833" s="27"/>
      <c r="N2833" s="8"/>
      <c r="O2833" s="7"/>
      <c r="P2833" s="7"/>
      <c r="Q2833" s="7"/>
      <c r="R2833" s="7"/>
    </row>
    <row r="2834" spans="3:18">
      <c r="C2834" s="7"/>
      <c r="D2834" s="7"/>
      <c r="E2834" s="7"/>
      <c r="F2834" s="7"/>
      <c r="G2834" s="7"/>
      <c r="H2834" s="7"/>
      <c r="I2834" s="7"/>
      <c r="J2834" s="7"/>
      <c r="K2834" s="7"/>
      <c r="L2834" s="27"/>
      <c r="N2834" s="8"/>
      <c r="O2834" s="7"/>
      <c r="P2834" s="7"/>
      <c r="Q2834" s="7"/>
      <c r="R2834" s="7"/>
    </row>
    <row r="2835" spans="3:18">
      <c r="C2835" s="7"/>
      <c r="D2835" s="7"/>
      <c r="E2835" s="7"/>
      <c r="F2835" s="7"/>
      <c r="G2835" s="7"/>
      <c r="H2835" s="7"/>
      <c r="I2835" s="7"/>
      <c r="J2835" s="7"/>
      <c r="K2835" s="7"/>
      <c r="L2835" s="27"/>
      <c r="N2835" s="8"/>
      <c r="O2835" s="7"/>
      <c r="P2835" s="7"/>
      <c r="Q2835" s="7"/>
      <c r="R2835" s="7"/>
    </row>
    <row r="2836" spans="3:18">
      <c r="C2836" s="7"/>
      <c r="D2836" s="7"/>
      <c r="E2836" s="7"/>
      <c r="F2836" s="7"/>
      <c r="G2836" s="7"/>
      <c r="H2836" s="7"/>
      <c r="I2836" s="7"/>
      <c r="J2836" s="7"/>
      <c r="K2836" s="7"/>
      <c r="L2836" s="27"/>
      <c r="N2836" s="8"/>
      <c r="O2836" s="7"/>
      <c r="P2836" s="7"/>
      <c r="Q2836" s="7"/>
      <c r="R2836" s="7"/>
    </row>
    <row r="2837" spans="3:18">
      <c r="C2837" s="7"/>
      <c r="D2837" s="7"/>
      <c r="E2837" s="7"/>
      <c r="F2837" s="7"/>
      <c r="G2837" s="7"/>
      <c r="H2837" s="7"/>
      <c r="I2837" s="7"/>
      <c r="J2837" s="7"/>
      <c r="K2837" s="7"/>
      <c r="L2837" s="27"/>
      <c r="N2837" s="8"/>
      <c r="O2837" s="7"/>
      <c r="P2837" s="7"/>
      <c r="Q2837" s="7"/>
      <c r="R2837" s="7"/>
    </row>
    <row r="2838" spans="3:18">
      <c r="C2838" s="7"/>
      <c r="D2838" s="7"/>
      <c r="E2838" s="7"/>
      <c r="F2838" s="7"/>
      <c r="G2838" s="7"/>
      <c r="H2838" s="7"/>
      <c r="I2838" s="7"/>
      <c r="J2838" s="7"/>
      <c r="K2838" s="7"/>
      <c r="L2838" s="27"/>
      <c r="N2838" s="8"/>
      <c r="O2838" s="7"/>
      <c r="P2838" s="7"/>
      <c r="Q2838" s="7"/>
      <c r="R2838" s="7"/>
    </row>
    <row r="2839" spans="3:18">
      <c r="C2839" s="7"/>
      <c r="D2839" s="7"/>
      <c r="E2839" s="7"/>
      <c r="F2839" s="7"/>
      <c r="G2839" s="7"/>
      <c r="H2839" s="7"/>
      <c r="I2839" s="7"/>
      <c r="J2839" s="7"/>
      <c r="K2839" s="7"/>
      <c r="L2839" s="27"/>
      <c r="N2839" s="8"/>
      <c r="O2839" s="7"/>
      <c r="P2839" s="7"/>
      <c r="Q2839" s="7"/>
      <c r="R2839" s="7"/>
    </row>
    <row r="2840" spans="3:18">
      <c r="C2840" s="7"/>
      <c r="D2840" s="7"/>
      <c r="E2840" s="7"/>
      <c r="F2840" s="7"/>
      <c r="G2840" s="7"/>
      <c r="H2840" s="7"/>
      <c r="I2840" s="7"/>
      <c r="J2840" s="7"/>
      <c r="K2840" s="7"/>
      <c r="L2840" s="27"/>
      <c r="N2840" s="8"/>
      <c r="O2840" s="7"/>
      <c r="P2840" s="7"/>
      <c r="Q2840" s="7"/>
      <c r="R2840" s="7"/>
    </row>
    <row r="2841" spans="3:18">
      <c r="C2841" s="7"/>
      <c r="D2841" s="7"/>
      <c r="E2841" s="7"/>
      <c r="F2841" s="7"/>
      <c r="G2841" s="7"/>
      <c r="H2841" s="7"/>
      <c r="I2841" s="7"/>
      <c r="J2841" s="7"/>
      <c r="K2841" s="7"/>
      <c r="L2841" s="27"/>
      <c r="N2841" s="8"/>
      <c r="O2841" s="7"/>
      <c r="P2841" s="7"/>
      <c r="Q2841" s="7"/>
      <c r="R2841" s="7"/>
    </row>
    <row r="2842" spans="3:18">
      <c r="C2842" s="7"/>
      <c r="D2842" s="7"/>
      <c r="E2842" s="7"/>
      <c r="F2842" s="7"/>
      <c r="G2842" s="7"/>
      <c r="H2842" s="7"/>
      <c r="I2842" s="7"/>
      <c r="J2842" s="7"/>
      <c r="K2842" s="7"/>
      <c r="L2842" s="27"/>
      <c r="N2842" s="8"/>
      <c r="O2842" s="7"/>
      <c r="P2842" s="7"/>
      <c r="Q2842" s="7"/>
      <c r="R2842" s="7"/>
    </row>
    <row r="2843" spans="3:18">
      <c r="C2843" s="7"/>
      <c r="D2843" s="7"/>
      <c r="E2843" s="7"/>
      <c r="F2843" s="7"/>
      <c r="G2843" s="7"/>
      <c r="H2843" s="7"/>
      <c r="I2843" s="7"/>
      <c r="J2843" s="7"/>
      <c r="K2843" s="7"/>
      <c r="L2843" s="27"/>
      <c r="N2843" s="8"/>
      <c r="O2843" s="7"/>
      <c r="P2843" s="7"/>
      <c r="Q2843" s="7"/>
      <c r="R2843" s="7"/>
    </row>
    <row r="2844" spans="3:18">
      <c r="C2844" s="7"/>
      <c r="D2844" s="7"/>
      <c r="E2844" s="7"/>
      <c r="F2844" s="7"/>
      <c r="G2844" s="7"/>
      <c r="H2844" s="7"/>
      <c r="I2844" s="7"/>
      <c r="J2844" s="7"/>
      <c r="K2844" s="7"/>
      <c r="L2844" s="27"/>
      <c r="N2844" s="8"/>
      <c r="O2844" s="7"/>
      <c r="P2844" s="7"/>
      <c r="Q2844" s="7"/>
      <c r="R2844" s="7"/>
    </row>
    <row r="2845" spans="3:18">
      <c r="C2845" s="7"/>
      <c r="D2845" s="7"/>
      <c r="E2845" s="7"/>
      <c r="F2845" s="7"/>
      <c r="G2845" s="7"/>
      <c r="H2845" s="7"/>
      <c r="I2845" s="7"/>
      <c r="J2845" s="7"/>
      <c r="K2845" s="7"/>
      <c r="L2845" s="27"/>
      <c r="N2845" s="8"/>
      <c r="O2845" s="7"/>
      <c r="P2845" s="7"/>
      <c r="Q2845" s="7"/>
      <c r="R2845" s="7"/>
    </row>
    <row r="2846" spans="3:18">
      <c r="C2846" s="7"/>
      <c r="D2846" s="7"/>
      <c r="E2846" s="7"/>
      <c r="F2846" s="7"/>
      <c r="G2846" s="7"/>
      <c r="H2846" s="7"/>
      <c r="I2846" s="7"/>
      <c r="J2846" s="7"/>
      <c r="K2846" s="7"/>
      <c r="L2846" s="27"/>
      <c r="N2846" s="8"/>
      <c r="O2846" s="7"/>
      <c r="P2846" s="7"/>
      <c r="Q2846" s="7"/>
      <c r="R2846" s="7"/>
    </row>
    <row r="2847" spans="3:18">
      <c r="C2847" s="7"/>
      <c r="D2847" s="7"/>
      <c r="E2847" s="7"/>
      <c r="F2847" s="7"/>
      <c r="G2847" s="7"/>
      <c r="H2847" s="7"/>
      <c r="I2847" s="7"/>
      <c r="J2847" s="7"/>
      <c r="K2847" s="7"/>
      <c r="L2847" s="27"/>
      <c r="N2847" s="8"/>
      <c r="O2847" s="7"/>
      <c r="P2847" s="7"/>
      <c r="Q2847" s="7"/>
      <c r="R2847" s="7"/>
    </row>
    <row r="2848" spans="3:18">
      <c r="C2848" s="7"/>
      <c r="D2848" s="7"/>
      <c r="E2848" s="7"/>
      <c r="F2848" s="7"/>
      <c r="G2848" s="7"/>
      <c r="H2848" s="7"/>
      <c r="I2848" s="7"/>
      <c r="J2848" s="7"/>
      <c r="K2848" s="7"/>
      <c r="L2848" s="27"/>
      <c r="N2848" s="8"/>
      <c r="O2848" s="7"/>
      <c r="P2848" s="7"/>
      <c r="Q2848" s="7"/>
      <c r="R2848" s="7"/>
    </row>
    <row r="2849" spans="3:18">
      <c r="C2849" s="7"/>
      <c r="D2849" s="7"/>
      <c r="E2849" s="7"/>
      <c r="F2849" s="7"/>
      <c r="G2849" s="7"/>
      <c r="H2849" s="7"/>
      <c r="I2849" s="7"/>
      <c r="J2849" s="7"/>
      <c r="K2849" s="7"/>
      <c r="L2849" s="27"/>
      <c r="N2849" s="8"/>
      <c r="O2849" s="7"/>
      <c r="P2849" s="7"/>
      <c r="Q2849" s="7"/>
      <c r="R2849" s="7"/>
    </row>
    <row r="2850" spans="3:18">
      <c r="C2850" s="7"/>
      <c r="D2850" s="7"/>
      <c r="E2850" s="7"/>
      <c r="F2850" s="7"/>
      <c r="G2850" s="7"/>
      <c r="H2850" s="7"/>
      <c r="I2850" s="7"/>
      <c r="J2850" s="7"/>
      <c r="K2850" s="7"/>
      <c r="L2850" s="27"/>
      <c r="N2850" s="8"/>
      <c r="O2850" s="7"/>
      <c r="P2850" s="7"/>
      <c r="Q2850" s="7"/>
      <c r="R2850" s="7"/>
    </row>
    <row r="2851" spans="3:18">
      <c r="C2851" s="7"/>
      <c r="D2851" s="7"/>
      <c r="E2851" s="7"/>
      <c r="F2851" s="7"/>
      <c r="G2851" s="7"/>
      <c r="H2851" s="7"/>
      <c r="I2851" s="7"/>
      <c r="J2851" s="7"/>
      <c r="K2851" s="7"/>
      <c r="L2851" s="27"/>
      <c r="N2851" s="8"/>
      <c r="O2851" s="7"/>
      <c r="P2851" s="7"/>
      <c r="Q2851" s="7"/>
      <c r="R2851" s="7"/>
    </row>
    <row r="2852" spans="3:18">
      <c r="C2852" s="7"/>
      <c r="D2852" s="7"/>
      <c r="E2852" s="7"/>
      <c r="F2852" s="7"/>
      <c r="G2852" s="7"/>
      <c r="H2852" s="7"/>
      <c r="I2852" s="7"/>
      <c r="J2852" s="7"/>
      <c r="K2852" s="7"/>
      <c r="L2852" s="27"/>
      <c r="N2852" s="8"/>
      <c r="O2852" s="7"/>
      <c r="P2852" s="7"/>
      <c r="Q2852" s="7"/>
      <c r="R2852" s="7"/>
    </row>
    <row r="2853" spans="3:18">
      <c r="C2853" s="7"/>
      <c r="D2853" s="7"/>
      <c r="E2853" s="7"/>
      <c r="F2853" s="7"/>
      <c r="G2853" s="7"/>
      <c r="H2853" s="7"/>
      <c r="I2853" s="7"/>
      <c r="J2853" s="7"/>
      <c r="K2853" s="7"/>
      <c r="L2853" s="27"/>
      <c r="N2853" s="8"/>
      <c r="O2853" s="7"/>
      <c r="P2853" s="7"/>
      <c r="Q2853" s="7"/>
      <c r="R2853" s="7"/>
    </row>
    <row r="2854" spans="3:18">
      <c r="C2854" s="7"/>
      <c r="D2854" s="7"/>
      <c r="E2854" s="7"/>
      <c r="F2854" s="7"/>
      <c r="G2854" s="7"/>
      <c r="H2854" s="7"/>
      <c r="I2854" s="7"/>
      <c r="J2854" s="7"/>
      <c r="K2854" s="7"/>
      <c r="L2854" s="27"/>
      <c r="N2854" s="8"/>
      <c r="O2854" s="7"/>
      <c r="P2854" s="7"/>
      <c r="Q2854" s="7"/>
      <c r="R2854" s="7"/>
    </row>
    <row r="2855" spans="3:18">
      <c r="C2855" s="7"/>
      <c r="D2855" s="7"/>
      <c r="E2855" s="7"/>
      <c r="F2855" s="7"/>
      <c r="G2855" s="7"/>
      <c r="H2855" s="7"/>
      <c r="I2855" s="7"/>
      <c r="J2855" s="7"/>
      <c r="K2855" s="7"/>
      <c r="L2855" s="27"/>
      <c r="N2855" s="8"/>
      <c r="O2855" s="7"/>
      <c r="P2855" s="7"/>
      <c r="Q2855" s="7"/>
      <c r="R2855" s="7"/>
    </row>
    <row r="2856" spans="3:18">
      <c r="C2856" s="7"/>
      <c r="D2856" s="7"/>
      <c r="E2856" s="7"/>
      <c r="F2856" s="7"/>
      <c r="G2856" s="7"/>
      <c r="H2856" s="7"/>
      <c r="I2856" s="7"/>
      <c r="J2856" s="7"/>
      <c r="K2856" s="7"/>
      <c r="L2856" s="27"/>
      <c r="N2856" s="8"/>
      <c r="O2856" s="7"/>
      <c r="P2856" s="7"/>
      <c r="Q2856" s="7"/>
      <c r="R2856" s="7"/>
    </row>
    <row r="2857" spans="3:18">
      <c r="C2857" s="7"/>
      <c r="D2857" s="7"/>
      <c r="E2857" s="7"/>
      <c r="F2857" s="7"/>
      <c r="G2857" s="7"/>
      <c r="H2857" s="7"/>
      <c r="I2857" s="7"/>
      <c r="J2857" s="7"/>
      <c r="K2857" s="7"/>
      <c r="L2857" s="27"/>
      <c r="N2857" s="8"/>
      <c r="O2857" s="7"/>
      <c r="P2857" s="7"/>
      <c r="Q2857" s="7"/>
      <c r="R2857" s="7"/>
    </row>
    <row r="2858" spans="3:18">
      <c r="C2858" s="7"/>
      <c r="D2858" s="7"/>
      <c r="E2858" s="7"/>
      <c r="F2858" s="7"/>
      <c r="G2858" s="7"/>
      <c r="H2858" s="7"/>
      <c r="I2858" s="7"/>
      <c r="J2858" s="7"/>
      <c r="K2858" s="7"/>
      <c r="L2858" s="27"/>
      <c r="N2858" s="8"/>
      <c r="O2858" s="7"/>
      <c r="P2858" s="7"/>
      <c r="Q2858" s="7"/>
      <c r="R2858" s="7"/>
    </row>
    <row r="2859" spans="3:18">
      <c r="C2859" s="7"/>
      <c r="D2859" s="7"/>
      <c r="E2859" s="7"/>
      <c r="F2859" s="7"/>
      <c r="G2859" s="7"/>
      <c r="H2859" s="7"/>
      <c r="I2859" s="7"/>
      <c r="J2859" s="7"/>
      <c r="K2859" s="7"/>
      <c r="L2859" s="27"/>
      <c r="N2859" s="8"/>
      <c r="O2859" s="7"/>
      <c r="P2859" s="7"/>
      <c r="Q2859" s="7"/>
      <c r="R2859" s="7"/>
    </row>
    <row r="2860" spans="3:18">
      <c r="C2860" s="7"/>
      <c r="D2860" s="7"/>
      <c r="E2860" s="7"/>
      <c r="F2860" s="7"/>
      <c r="G2860" s="7"/>
      <c r="H2860" s="7"/>
      <c r="I2860" s="7"/>
      <c r="J2860" s="7"/>
      <c r="K2860" s="7"/>
      <c r="L2860" s="27"/>
      <c r="N2860" s="8"/>
      <c r="O2860" s="7"/>
      <c r="P2860" s="7"/>
      <c r="Q2860" s="7"/>
      <c r="R2860" s="7"/>
    </row>
    <row r="2861" spans="3:18">
      <c r="C2861" s="7"/>
      <c r="D2861" s="7"/>
      <c r="E2861" s="7"/>
      <c r="F2861" s="7"/>
      <c r="G2861" s="7"/>
      <c r="H2861" s="7"/>
      <c r="I2861" s="7"/>
      <c r="J2861" s="7"/>
      <c r="K2861" s="7"/>
      <c r="L2861" s="27"/>
      <c r="N2861" s="8"/>
      <c r="O2861" s="7"/>
      <c r="P2861" s="7"/>
      <c r="Q2861" s="7"/>
      <c r="R2861" s="7"/>
    </row>
    <row r="2862" spans="3:18">
      <c r="C2862" s="7"/>
      <c r="D2862" s="7"/>
      <c r="E2862" s="7"/>
      <c r="F2862" s="7"/>
      <c r="G2862" s="7"/>
      <c r="H2862" s="7"/>
      <c r="I2862" s="7"/>
      <c r="J2862" s="7"/>
      <c r="K2862" s="7"/>
      <c r="L2862" s="27"/>
      <c r="N2862" s="8"/>
      <c r="O2862" s="7"/>
      <c r="P2862" s="7"/>
      <c r="Q2862" s="7"/>
      <c r="R2862" s="7"/>
    </row>
    <row r="2863" spans="3:18">
      <c r="C2863" s="7"/>
      <c r="D2863" s="7"/>
      <c r="E2863" s="7"/>
      <c r="F2863" s="7"/>
      <c r="G2863" s="7"/>
      <c r="H2863" s="7"/>
      <c r="I2863" s="7"/>
      <c r="J2863" s="7"/>
      <c r="K2863" s="7"/>
      <c r="L2863" s="27"/>
      <c r="N2863" s="8"/>
      <c r="O2863" s="7"/>
      <c r="P2863" s="7"/>
      <c r="Q2863" s="7"/>
      <c r="R2863" s="7"/>
    </row>
    <row r="2864" spans="3:18">
      <c r="C2864" s="7"/>
      <c r="D2864" s="7"/>
      <c r="E2864" s="7"/>
      <c r="F2864" s="7"/>
      <c r="G2864" s="7"/>
      <c r="H2864" s="7"/>
      <c r="I2864" s="7"/>
      <c r="J2864" s="7"/>
      <c r="K2864" s="7"/>
      <c r="L2864" s="27"/>
      <c r="N2864" s="8"/>
      <c r="O2864" s="7"/>
      <c r="P2864" s="7"/>
      <c r="Q2864" s="7"/>
      <c r="R2864" s="7"/>
    </row>
    <row r="2865" spans="3:18">
      <c r="C2865" s="7"/>
      <c r="D2865" s="7"/>
      <c r="E2865" s="7"/>
      <c r="F2865" s="7"/>
      <c r="G2865" s="7"/>
      <c r="H2865" s="7"/>
      <c r="I2865" s="7"/>
      <c r="J2865" s="7"/>
      <c r="K2865" s="7"/>
      <c r="L2865" s="27"/>
      <c r="N2865" s="8"/>
      <c r="O2865" s="7"/>
      <c r="P2865" s="7"/>
      <c r="Q2865" s="7"/>
      <c r="R2865" s="7"/>
    </row>
    <row r="2866" spans="3:18">
      <c r="C2866" s="7"/>
      <c r="D2866" s="7"/>
      <c r="E2866" s="7"/>
      <c r="F2866" s="7"/>
      <c r="G2866" s="7"/>
      <c r="H2866" s="7"/>
      <c r="I2866" s="7"/>
      <c r="J2866" s="7"/>
      <c r="K2866" s="7"/>
      <c r="L2866" s="27"/>
      <c r="N2866" s="8"/>
      <c r="O2866" s="7"/>
      <c r="P2866" s="7"/>
      <c r="Q2866" s="7"/>
      <c r="R2866" s="7"/>
    </row>
    <row r="2867" spans="3:18">
      <c r="C2867" s="7"/>
      <c r="D2867" s="7"/>
      <c r="E2867" s="7"/>
      <c r="F2867" s="7"/>
      <c r="G2867" s="7"/>
      <c r="H2867" s="7"/>
      <c r="I2867" s="7"/>
      <c r="J2867" s="7"/>
      <c r="K2867" s="7"/>
      <c r="L2867" s="27"/>
      <c r="N2867" s="8"/>
      <c r="O2867" s="7"/>
      <c r="P2867" s="7"/>
      <c r="Q2867" s="7"/>
      <c r="R2867" s="7"/>
    </row>
    <row r="2868" spans="3:18">
      <c r="C2868" s="7"/>
      <c r="D2868" s="7"/>
      <c r="E2868" s="7"/>
      <c r="F2868" s="7"/>
      <c r="G2868" s="7"/>
      <c r="H2868" s="7"/>
      <c r="I2868" s="7"/>
      <c r="J2868" s="7"/>
      <c r="K2868" s="7"/>
      <c r="L2868" s="27"/>
      <c r="N2868" s="8"/>
      <c r="O2868" s="7"/>
      <c r="P2868" s="7"/>
      <c r="Q2868" s="7"/>
      <c r="R2868" s="7"/>
    </row>
    <row r="2869" spans="3:18">
      <c r="C2869" s="7"/>
      <c r="D2869" s="7"/>
      <c r="E2869" s="7"/>
      <c r="F2869" s="7"/>
      <c r="G2869" s="7"/>
      <c r="H2869" s="7"/>
      <c r="I2869" s="7"/>
      <c r="J2869" s="7"/>
      <c r="K2869" s="7"/>
      <c r="L2869" s="27"/>
      <c r="N2869" s="8"/>
      <c r="O2869" s="7"/>
      <c r="P2869" s="7"/>
      <c r="Q2869" s="7"/>
      <c r="R2869" s="7"/>
    </row>
    <row r="2870" spans="3:18">
      <c r="C2870" s="7"/>
      <c r="D2870" s="7"/>
      <c r="E2870" s="7"/>
      <c r="F2870" s="7"/>
      <c r="G2870" s="7"/>
      <c r="H2870" s="7"/>
      <c r="I2870" s="7"/>
      <c r="J2870" s="7"/>
      <c r="K2870" s="7"/>
      <c r="L2870" s="27"/>
      <c r="N2870" s="8"/>
      <c r="O2870" s="7"/>
      <c r="P2870" s="7"/>
      <c r="Q2870" s="7"/>
      <c r="R2870" s="7"/>
    </row>
    <row r="2871" spans="3:18">
      <c r="C2871" s="7"/>
      <c r="D2871" s="7"/>
      <c r="E2871" s="7"/>
      <c r="F2871" s="7"/>
      <c r="G2871" s="7"/>
      <c r="H2871" s="7"/>
      <c r="I2871" s="7"/>
      <c r="J2871" s="7"/>
      <c r="K2871" s="7"/>
      <c r="L2871" s="27"/>
      <c r="N2871" s="8"/>
      <c r="O2871" s="7"/>
      <c r="P2871" s="7"/>
      <c r="Q2871" s="7"/>
      <c r="R2871" s="7"/>
    </row>
    <row r="2872" spans="3:18">
      <c r="C2872" s="7"/>
      <c r="D2872" s="7"/>
      <c r="E2872" s="7"/>
      <c r="F2872" s="7"/>
      <c r="G2872" s="7"/>
      <c r="H2872" s="7"/>
      <c r="I2872" s="7"/>
      <c r="J2872" s="7"/>
      <c r="K2872" s="7"/>
      <c r="L2872" s="27"/>
      <c r="N2872" s="8"/>
      <c r="O2872" s="7"/>
      <c r="P2872" s="7"/>
      <c r="Q2872" s="7"/>
      <c r="R2872" s="7"/>
    </row>
    <row r="2873" spans="3:18">
      <c r="C2873" s="7"/>
      <c r="D2873" s="7"/>
      <c r="E2873" s="7"/>
      <c r="F2873" s="7"/>
      <c r="G2873" s="7"/>
      <c r="H2873" s="7"/>
      <c r="I2873" s="7"/>
      <c r="J2873" s="7"/>
      <c r="K2873" s="7"/>
      <c r="L2873" s="27"/>
      <c r="N2873" s="8"/>
      <c r="O2873" s="7"/>
      <c r="P2873" s="7"/>
      <c r="Q2873" s="7"/>
      <c r="R2873" s="7"/>
    </row>
    <row r="2874" spans="3:18">
      <c r="C2874" s="7"/>
      <c r="D2874" s="7"/>
      <c r="E2874" s="7"/>
      <c r="F2874" s="7"/>
      <c r="G2874" s="7"/>
      <c r="H2874" s="7"/>
      <c r="I2874" s="7"/>
      <c r="J2874" s="7"/>
      <c r="K2874" s="7"/>
      <c r="L2874" s="27"/>
      <c r="N2874" s="8"/>
      <c r="O2874" s="7"/>
      <c r="P2874" s="7"/>
      <c r="Q2874" s="7"/>
      <c r="R2874" s="7"/>
    </row>
    <row r="2875" spans="3:18">
      <c r="C2875" s="7"/>
      <c r="D2875" s="7"/>
      <c r="E2875" s="7"/>
      <c r="F2875" s="7"/>
      <c r="G2875" s="7"/>
      <c r="H2875" s="7"/>
      <c r="I2875" s="7"/>
      <c r="J2875" s="7"/>
      <c r="K2875" s="7"/>
      <c r="L2875" s="27"/>
      <c r="N2875" s="8"/>
      <c r="O2875" s="7"/>
      <c r="P2875" s="7"/>
      <c r="Q2875" s="7"/>
      <c r="R2875" s="7"/>
    </row>
    <row r="2876" spans="3:18">
      <c r="C2876" s="7"/>
      <c r="D2876" s="7"/>
      <c r="E2876" s="7"/>
      <c r="F2876" s="7"/>
      <c r="G2876" s="7"/>
      <c r="H2876" s="7"/>
      <c r="I2876" s="7"/>
      <c r="J2876" s="7"/>
      <c r="K2876" s="7"/>
      <c r="L2876" s="27"/>
      <c r="N2876" s="8"/>
      <c r="O2876" s="7"/>
      <c r="P2876" s="7"/>
      <c r="Q2876" s="7"/>
      <c r="R2876" s="7"/>
    </row>
    <row r="2877" spans="3:18">
      <c r="C2877" s="7"/>
      <c r="D2877" s="7"/>
      <c r="E2877" s="7"/>
      <c r="F2877" s="7"/>
      <c r="G2877" s="7"/>
      <c r="H2877" s="7"/>
      <c r="I2877" s="7"/>
      <c r="J2877" s="7"/>
      <c r="K2877" s="7"/>
      <c r="L2877" s="27"/>
      <c r="N2877" s="8"/>
      <c r="O2877" s="7"/>
      <c r="P2877" s="7"/>
      <c r="Q2877" s="7"/>
      <c r="R2877" s="7"/>
    </row>
    <row r="2878" spans="3:18">
      <c r="C2878" s="7"/>
      <c r="D2878" s="7"/>
      <c r="E2878" s="7"/>
      <c r="F2878" s="7"/>
      <c r="G2878" s="7"/>
      <c r="H2878" s="7"/>
      <c r="I2878" s="7"/>
      <c r="J2878" s="7"/>
      <c r="K2878" s="7"/>
      <c r="L2878" s="27"/>
      <c r="N2878" s="8"/>
      <c r="O2878" s="7"/>
      <c r="P2878" s="7"/>
      <c r="Q2878" s="7"/>
      <c r="R2878" s="7"/>
    </row>
    <row r="2879" spans="3:18">
      <c r="C2879" s="7"/>
      <c r="D2879" s="7"/>
      <c r="E2879" s="7"/>
      <c r="F2879" s="7"/>
      <c r="G2879" s="7"/>
      <c r="H2879" s="7"/>
      <c r="I2879" s="7"/>
      <c r="J2879" s="7"/>
      <c r="K2879" s="7"/>
      <c r="L2879" s="27"/>
      <c r="N2879" s="8"/>
      <c r="O2879" s="7"/>
      <c r="P2879" s="7"/>
      <c r="Q2879" s="7"/>
      <c r="R2879" s="7"/>
    </row>
    <row r="2880" spans="3:18">
      <c r="C2880" s="7"/>
      <c r="D2880" s="7"/>
      <c r="E2880" s="7"/>
      <c r="F2880" s="7"/>
      <c r="G2880" s="7"/>
      <c r="H2880" s="7"/>
      <c r="I2880" s="7"/>
      <c r="J2880" s="7"/>
      <c r="K2880" s="7"/>
      <c r="L2880" s="27"/>
      <c r="N2880" s="8"/>
      <c r="O2880" s="7"/>
      <c r="P2880" s="7"/>
      <c r="Q2880" s="7"/>
      <c r="R2880" s="7"/>
    </row>
    <row r="2881" spans="3:18">
      <c r="C2881" s="7"/>
      <c r="D2881" s="7"/>
      <c r="E2881" s="7"/>
      <c r="F2881" s="7"/>
      <c r="G2881" s="7"/>
      <c r="H2881" s="7"/>
      <c r="I2881" s="7"/>
      <c r="J2881" s="7"/>
      <c r="K2881" s="7"/>
      <c r="L2881" s="27"/>
      <c r="N2881" s="8"/>
      <c r="O2881" s="7"/>
      <c r="P2881" s="7"/>
      <c r="Q2881" s="7"/>
      <c r="R2881" s="7"/>
    </row>
    <row r="2882" spans="3:18">
      <c r="C2882" s="7"/>
      <c r="D2882" s="7"/>
      <c r="E2882" s="7"/>
      <c r="F2882" s="7"/>
      <c r="G2882" s="7"/>
      <c r="H2882" s="7"/>
      <c r="I2882" s="7"/>
      <c r="J2882" s="7"/>
      <c r="K2882" s="7"/>
      <c r="L2882" s="27"/>
      <c r="N2882" s="8"/>
      <c r="O2882" s="7"/>
      <c r="P2882" s="7"/>
      <c r="Q2882" s="7"/>
      <c r="R2882" s="7"/>
    </row>
    <row r="2883" spans="3:18">
      <c r="C2883" s="7"/>
      <c r="D2883" s="7"/>
      <c r="E2883" s="7"/>
      <c r="F2883" s="7"/>
      <c r="G2883" s="7"/>
      <c r="H2883" s="7"/>
      <c r="I2883" s="7"/>
      <c r="J2883" s="7"/>
      <c r="K2883" s="7"/>
      <c r="L2883" s="27"/>
      <c r="N2883" s="8"/>
      <c r="O2883" s="7"/>
      <c r="P2883" s="7"/>
      <c r="Q2883" s="7"/>
      <c r="R2883" s="7"/>
    </row>
    <row r="2884" spans="3:18">
      <c r="C2884" s="7"/>
      <c r="D2884" s="7"/>
      <c r="E2884" s="7"/>
      <c r="F2884" s="7"/>
      <c r="G2884" s="7"/>
      <c r="H2884" s="7"/>
      <c r="I2884" s="7"/>
      <c r="J2884" s="7"/>
      <c r="K2884" s="7"/>
      <c r="L2884" s="27"/>
      <c r="N2884" s="8"/>
      <c r="O2884" s="7"/>
      <c r="P2884" s="7"/>
      <c r="Q2884" s="7"/>
      <c r="R2884" s="7"/>
    </row>
    <row r="2885" spans="3:18">
      <c r="C2885" s="7"/>
      <c r="D2885" s="7"/>
      <c r="E2885" s="7"/>
      <c r="F2885" s="7"/>
      <c r="G2885" s="7"/>
      <c r="H2885" s="7"/>
      <c r="I2885" s="7"/>
      <c r="J2885" s="7"/>
      <c r="K2885" s="7"/>
      <c r="L2885" s="27"/>
      <c r="N2885" s="8"/>
      <c r="O2885" s="7"/>
      <c r="P2885" s="7"/>
      <c r="Q2885" s="7"/>
      <c r="R2885" s="7"/>
    </row>
    <row r="2886" spans="3:18">
      <c r="C2886" s="7"/>
      <c r="D2886" s="7"/>
      <c r="E2886" s="7"/>
      <c r="F2886" s="7"/>
      <c r="G2886" s="7"/>
      <c r="H2886" s="7"/>
      <c r="I2886" s="7"/>
      <c r="J2886" s="7"/>
      <c r="K2886" s="7"/>
      <c r="L2886" s="27"/>
      <c r="N2886" s="8"/>
      <c r="O2886" s="7"/>
      <c r="P2886" s="7"/>
      <c r="Q2886" s="7"/>
      <c r="R2886" s="7"/>
    </row>
    <row r="2887" spans="3:18">
      <c r="C2887" s="7"/>
      <c r="D2887" s="7"/>
      <c r="E2887" s="7"/>
      <c r="F2887" s="7"/>
      <c r="G2887" s="7"/>
      <c r="H2887" s="7"/>
      <c r="I2887" s="7"/>
      <c r="J2887" s="7"/>
      <c r="K2887" s="7"/>
      <c r="L2887" s="27"/>
      <c r="N2887" s="8"/>
      <c r="O2887" s="7"/>
      <c r="P2887" s="7"/>
      <c r="Q2887" s="7"/>
      <c r="R2887" s="7"/>
    </row>
    <row r="2888" spans="3:18">
      <c r="C2888" s="7"/>
      <c r="D2888" s="7"/>
      <c r="E2888" s="7"/>
      <c r="F2888" s="7"/>
      <c r="G2888" s="7"/>
      <c r="H2888" s="7"/>
      <c r="I2888" s="7"/>
      <c r="J2888" s="7"/>
      <c r="K2888" s="7"/>
      <c r="L2888" s="27"/>
      <c r="N2888" s="8"/>
      <c r="O2888" s="7"/>
      <c r="P2888" s="7"/>
      <c r="Q2888" s="7"/>
      <c r="R2888" s="7"/>
    </row>
    <row r="2889" spans="3:18">
      <c r="C2889" s="7"/>
      <c r="D2889" s="7"/>
      <c r="E2889" s="7"/>
      <c r="F2889" s="7"/>
      <c r="G2889" s="7"/>
      <c r="H2889" s="7"/>
      <c r="I2889" s="7"/>
      <c r="J2889" s="7"/>
      <c r="K2889" s="7"/>
      <c r="L2889" s="27"/>
      <c r="N2889" s="8"/>
      <c r="O2889" s="7"/>
      <c r="P2889" s="7"/>
      <c r="Q2889" s="7"/>
      <c r="R2889" s="7"/>
    </row>
    <row r="2890" spans="3:18">
      <c r="C2890" s="7"/>
      <c r="D2890" s="7"/>
      <c r="E2890" s="7"/>
      <c r="F2890" s="7"/>
      <c r="G2890" s="7"/>
      <c r="H2890" s="7"/>
      <c r="I2890" s="7"/>
      <c r="J2890" s="7"/>
      <c r="K2890" s="7"/>
      <c r="L2890" s="27"/>
      <c r="N2890" s="8"/>
      <c r="O2890" s="7"/>
      <c r="P2890" s="7"/>
      <c r="Q2890" s="7"/>
      <c r="R2890" s="7"/>
    </row>
    <row r="2891" spans="3:18">
      <c r="C2891" s="7"/>
      <c r="D2891" s="7"/>
      <c r="E2891" s="7"/>
      <c r="F2891" s="7"/>
      <c r="G2891" s="7"/>
      <c r="H2891" s="7"/>
      <c r="I2891" s="7"/>
      <c r="J2891" s="7"/>
      <c r="K2891" s="7"/>
      <c r="L2891" s="27"/>
      <c r="N2891" s="8"/>
      <c r="O2891" s="7"/>
      <c r="P2891" s="7"/>
      <c r="Q2891" s="7"/>
      <c r="R2891" s="7"/>
    </row>
    <row r="2892" spans="3:18">
      <c r="C2892" s="7"/>
      <c r="D2892" s="7"/>
      <c r="E2892" s="7"/>
      <c r="F2892" s="7"/>
      <c r="G2892" s="7"/>
      <c r="H2892" s="7"/>
      <c r="I2892" s="7"/>
      <c r="J2892" s="7"/>
      <c r="K2892" s="7"/>
      <c r="L2892" s="27"/>
      <c r="N2892" s="8"/>
      <c r="O2892" s="7"/>
      <c r="P2892" s="7"/>
      <c r="Q2892" s="7"/>
      <c r="R2892" s="7"/>
    </row>
    <row r="2893" spans="3:18">
      <c r="C2893" s="7"/>
      <c r="D2893" s="7"/>
      <c r="E2893" s="7"/>
      <c r="F2893" s="7"/>
      <c r="G2893" s="7"/>
      <c r="H2893" s="7"/>
      <c r="I2893" s="7"/>
      <c r="J2893" s="7"/>
      <c r="K2893" s="7"/>
      <c r="L2893" s="27"/>
      <c r="N2893" s="8"/>
      <c r="O2893" s="7"/>
      <c r="P2893" s="7"/>
      <c r="Q2893" s="7"/>
      <c r="R2893" s="7"/>
    </row>
    <row r="2894" spans="3:18">
      <c r="C2894" s="7"/>
      <c r="D2894" s="7"/>
      <c r="E2894" s="7"/>
      <c r="F2894" s="7"/>
      <c r="G2894" s="7"/>
      <c r="H2894" s="7"/>
      <c r="I2894" s="7"/>
      <c r="J2894" s="7"/>
      <c r="K2894" s="7"/>
      <c r="L2894" s="27"/>
      <c r="N2894" s="8"/>
      <c r="O2894" s="7"/>
      <c r="P2894" s="7"/>
      <c r="Q2894" s="7"/>
      <c r="R2894" s="7"/>
    </row>
    <row r="2895" spans="3:18">
      <c r="C2895" s="7"/>
      <c r="D2895" s="7"/>
      <c r="E2895" s="7"/>
      <c r="F2895" s="7"/>
      <c r="G2895" s="7"/>
      <c r="H2895" s="7"/>
      <c r="I2895" s="7"/>
      <c r="J2895" s="7"/>
      <c r="K2895" s="7"/>
      <c r="L2895" s="27"/>
      <c r="N2895" s="8"/>
      <c r="O2895" s="7"/>
      <c r="P2895" s="7"/>
      <c r="Q2895" s="7"/>
      <c r="R2895" s="7"/>
    </row>
    <row r="2896" spans="3:18">
      <c r="C2896" s="7"/>
      <c r="D2896" s="7"/>
      <c r="E2896" s="7"/>
      <c r="F2896" s="7"/>
      <c r="G2896" s="7"/>
      <c r="H2896" s="7"/>
      <c r="I2896" s="7"/>
      <c r="J2896" s="7"/>
      <c r="K2896" s="7"/>
      <c r="L2896" s="27"/>
      <c r="N2896" s="8"/>
      <c r="O2896" s="7"/>
      <c r="P2896" s="7"/>
      <c r="Q2896" s="7"/>
      <c r="R2896" s="7"/>
    </row>
    <row r="2897" spans="3:18">
      <c r="C2897" s="7"/>
      <c r="D2897" s="7"/>
      <c r="E2897" s="7"/>
      <c r="F2897" s="7"/>
      <c r="G2897" s="7"/>
      <c r="H2897" s="7"/>
      <c r="I2897" s="7"/>
      <c r="J2897" s="7"/>
      <c r="K2897" s="7"/>
      <c r="L2897" s="27"/>
      <c r="N2897" s="8"/>
      <c r="O2897" s="7"/>
      <c r="P2897" s="7"/>
      <c r="Q2897" s="7"/>
      <c r="R2897" s="7"/>
    </row>
    <row r="2898" spans="3:18">
      <c r="C2898" s="7"/>
      <c r="D2898" s="7"/>
      <c r="E2898" s="7"/>
      <c r="F2898" s="7"/>
      <c r="G2898" s="7"/>
      <c r="H2898" s="7"/>
      <c r="I2898" s="7"/>
      <c r="J2898" s="7"/>
      <c r="K2898" s="7"/>
      <c r="L2898" s="27"/>
      <c r="N2898" s="8"/>
      <c r="O2898" s="7"/>
      <c r="P2898" s="7"/>
      <c r="Q2898" s="7"/>
      <c r="R2898" s="7"/>
    </row>
    <row r="2899" spans="3:18">
      <c r="C2899" s="7"/>
      <c r="D2899" s="7"/>
      <c r="E2899" s="7"/>
      <c r="F2899" s="7"/>
      <c r="G2899" s="7"/>
      <c r="H2899" s="7"/>
      <c r="I2899" s="7"/>
      <c r="J2899" s="7"/>
      <c r="K2899" s="7"/>
      <c r="L2899" s="27"/>
      <c r="N2899" s="8"/>
      <c r="O2899" s="7"/>
      <c r="P2899" s="7"/>
      <c r="Q2899" s="7"/>
      <c r="R2899" s="7"/>
    </row>
    <row r="2900" spans="3:18">
      <c r="C2900" s="7"/>
      <c r="D2900" s="7"/>
      <c r="E2900" s="7"/>
      <c r="F2900" s="7"/>
      <c r="G2900" s="7"/>
      <c r="H2900" s="7"/>
      <c r="I2900" s="7"/>
      <c r="J2900" s="7"/>
      <c r="K2900" s="7"/>
      <c r="L2900" s="27"/>
      <c r="N2900" s="8"/>
      <c r="O2900" s="7"/>
      <c r="P2900" s="7"/>
      <c r="Q2900" s="7"/>
      <c r="R2900" s="7"/>
    </row>
    <row r="2901" spans="3:18">
      <c r="C2901" s="7"/>
      <c r="D2901" s="7"/>
      <c r="E2901" s="7"/>
      <c r="F2901" s="7"/>
      <c r="G2901" s="7"/>
      <c r="H2901" s="7"/>
      <c r="I2901" s="7"/>
      <c r="J2901" s="7"/>
      <c r="K2901" s="7"/>
      <c r="L2901" s="27"/>
      <c r="N2901" s="8"/>
      <c r="O2901" s="7"/>
      <c r="P2901" s="7"/>
      <c r="Q2901" s="7"/>
      <c r="R2901" s="7"/>
    </row>
    <row r="2902" spans="3:18">
      <c r="C2902" s="7"/>
      <c r="D2902" s="7"/>
      <c r="E2902" s="7"/>
      <c r="F2902" s="7"/>
      <c r="G2902" s="7"/>
      <c r="H2902" s="7"/>
      <c r="I2902" s="7"/>
      <c r="J2902" s="7"/>
      <c r="K2902" s="7"/>
      <c r="L2902" s="27"/>
      <c r="N2902" s="8"/>
      <c r="O2902" s="7"/>
      <c r="P2902" s="7"/>
      <c r="Q2902" s="7"/>
      <c r="R2902" s="7"/>
    </row>
    <row r="2903" spans="3:18">
      <c r="C2903" s="7"/>
      <c r="D2903" s="7"/>
      <c r="E2903" s="7"/>
      <c r="F2903" s="7"/>
      <c r="G2903" s="7"/>
      <c r="H2903" s="7"/>
      <c r="I2903" s="7"/>
      <c r="J2903" s="7"/>
      <c r="K2903" s="7"/>
      <c r="L2903" s="27"/>
      <c r="N2903" s="8"/>
      <c r="O2903" s="7"/>
      <c r="P2903" s="7"/>
      <c r="Q2903" s="7"/>
      <c r="R2903" s="7"/>
    </row>
    <row r="2904" spans="3:18">
      <c r="C2904" s="7"/>
      <c r="D2904" s="7"/>
      <c r="E2904" s="7"/>
      <c r="F2904" s="7"/>
      <c r="G2904" s="7"/>
      <c r="H2904" s="7"/>
      <c r="I2904" s="7"/>
      <c r="J2904" s="7"/>
      <c r="K2904" s="7"/>
      <c r="L2904" s="27"/>
      <c r="N2904" s="8"/>
      <c r="O2904" s="7"/>
      <c r="P2904" s="7"/>
      <c r="Q2904" s="7"/>
      <c r="R2904" s="7"/>
    </row>
    <row r="2905" spans="3:18">
      <c r="C2905" s="7"/>
      <c r="D2905" s="7"/>
      <c r="E2905" s="7"/>
      <c r="F2905" s="7"/>
      <c r="G2905" s="7"/>
      <c r="H2905" s="7"/>
      <c r="I2905" s="7"/>
      <c r="J2905" s="7"/>
      <c r="K2905" s="7"/>
      <c r="L2905" s="27"/>
      <c r="N2905" s="8"/>
      <c r="O2905" s="7"/>
      <c r="P2905" s="7"/>
      <c r="Q2905" s="7"/>
      <c r="R2905" s="7"/>
    </row>
    <row r="2906" spans="3:18">
      <c r="C2906" s="7"/>
      <c r="D2906" s="7"/>
      <c r="E2906" s="7"/>
      <c r="F2906" s="7"/>
      <c r="G2906" s="7"/>
      <c r="H2906" s="7"/>
      <c r="I2906" s="7"/>
      <c r="J2906" s="7"/>
      <c r="K2906" s="7"/>
      <c r="L2906" s="27"/>
      <c r="N2906" s="8"/>
      <c r="O2906" s="7"/>
      <c r="P2906" s="7"/>
      <c r="Q2906" s="7"/>
      <c r="R2906" s="7"/>
    </row>
    <row r="2907" spans="3:18">
      <c r="C2907" s="7"/>
      <c r="D2907" s="7"/>
      <c r="E2907" s="7"/>
      <c r="F2907" s="7"/>
      <c r="G2907" s="7"/>
      <c r="H2907" s="7"/>
      <c r="I2907" s="7"/>
      <c r="J2907" s="7"/>
      <c r="K2907" s="7"/>
      <c r="L2907" s="27"/>
      <c r="N2907" s="8"/>
      <c r="O2907" s="7"/>
      <c r="P2907" s="7"/>
      <c r="Q2907" s="7"/>
      <c r="R2907" s="7"/>
    </row>
    <row r="2908" spans="3:18">
      <c r="C2908" s="7"/>
      <c r="D2908" s="7"/>
      <c r="E2908" s="7"/>
      <c r="F2908" s="7"/>
      <c r="G2908" s="7"/>
      <c r="H2908" s="7"/>
      <c r="I2908" s="7"/>
      <c r="J2908" s="7"/>
      <c r="K2908" s="7"/>
      <c r="L2908" s="27"/>
      <c r="N2908" s="8"/>
      <c r="O2908" s="7"/>
      <c r="P2908" s="7"/>
      <c r="Q2908" s="7"/>
      <c r="R2908" s="7"/>
    </row>
    <row r="2909" spans="3:18">
      <c r="C2909" s="7"/>
      <c r="D2909" s="7"/>
      <c r="E2909" s="7"/>
      <c r="F2909" s="7"/>
      <c r="G2909" s="7"/>
      <c r="H2909" s="7"/>
      <c r="I2909" s="7"/>
      <c r="J2909" s="7"/>
      <c r="K2909" s="7"/>
      <c r="L2909" s="27"/>
      <c r="N2909" s="8"/>
      <c r="O2909" s="7"/>
      <c r="P2909" s="7"/>
      <c r="Q2909" s="7"/>
      <c r="R2909" s="7"/>
    </row>
    <row r="2910" spans="3:18">
      <c r="C2910" s="7"/>
      <c r="D2910" s="7"/>
      <c r="E2910" s="7"/>
      <c r="F2910" s="7"/>
      <c r="G2910" s="7"/>
      <c r="H2910" s="7"/>
      <c r="I2910" s="7"/>
      <c r="J2910" s="7"/>
      <c r="K2910" s="7"/>
      <c r="L2910" s="27"/>
      <c r="N2910" s="8"/>
      <c r="O2910" s="7"/>
      <c r="P2910" s="7"/>
      <c r="Q2910" s="7"/>
      <c r="R2910" s="7"/>
    </row>
    <row r="2911" spans="3:18">
      <c r="C2911" s="7"/>
      <c r="D2911" s="7"/>
      <c r="E2911" s="7"/>
      <c r="F2911" s="7"/>
      <c r="G2911" s="7"/>
      <c r="H2911" s="7"/>
      <c r="I2911" s="7"/>
      <c r="J2911" s="7"/>
      <c r="K2911" s="7"/>
      <c r="L2911" s="27"/>
      <c r="N2911" s="8"/>
      <c r="O2911" s="7"/>
      <c r="P2911" s="7"/>
      <c r="Q2911" s="7"/>
      <c r="R2911" s="7"/>
    </row>
    <row r="2912" spans="3:18">
      <c r="C2912" s="7"/>
      <c r="D2912" s="7"/>
      <c r="E2912" s="7"/>
      <c r="F2912" s="7"/>
      <c r="G2912" s="7"/>
      <c r="H2912" s="7"/>
      <c r="I2912" s="7"/>
      <c r="J2912" s="7"/>
      <c r="K2912" s="7"/>
      <c r="L2912" s="27"/>
      <c r="N2912" s="8"/>
      <c r="O2912" s="7"/>
      <c r="P2912" s="7"/>
      <c r="Q2912" s="7"/>
      <c r="R2912" s="7"/>
    </row>
    <row r="2913" spans="3:18">
      <c r="C2913" s="7"/>
      <c r="D2913" s="7"/>
      <c r="E2913" s="7"/>
      <c r="F2913" s="7"/>
      <c r="G2913" s="7"/>
      <c r="H2913" s="7"/>
      <c r="I2913" s="7"/>
      <c r="J2913" s="7"/>
      <c r="K2913" s="7"/>
      <c r="L2913" s="27"/>
      <c r="N2913" s="8"/>
      <c r="O2913" s="7"/>
      <c r="P2913" s="7"/>
      <c r="Q2913" s="7"/>
      <c r="R2913" s="7"/>
    </row>
    <row r="2914" spans="3:18">
      <c r="C2914" s="7"/>
      <c r="D2914" s="7"/>
      <c r="E2914" s="7"/>
      <c r="F2914" s="7"/>
      <c r="G2914" s="7"/>
      <c r="H2914" s="7"/>
      <c r="I2914" s="7"/>
      <c r="J2914" s="7"/>
      <c r="K2914" s="7"/>
      <c r="L2914" s="27"/>
      <c r="N2914" s="8"/>
      <c r="O2914" s="7"/>
      <c r="P2914" s="7"/>
      <c r="Q2914" s="7"/>
      <c r="R2914" s="7"/>
    </row>
    <row r="2915" spans="3:18">
      <c r="C2915" s="7"/>
      <c r="D2915" s="7"/>
      <c r="E2915" s="7"/>
      <c r="F2915" s="7"/>
      <c r="G2915" s="7"/>
      <c r="H2915" s="7"/>
      <c r="I2915" s="7"/>
      <c r="J2915" s="7"/>
      <c r="K2915" s="7"/>
      <c r="L2915" s="27"/>
      <c r="N2915" s="8"/>
      <c r="O2915" s="7"/>
      <c r="P2915" s="7"/>
      <c r="Q2915" s="7"/>
      <c r="R2915" s="7"/>
    </row>
    <row r="2916" spans="3:18">
      <c r="C2916" s="7"/>
      <c r="D2916" s="7"/>
      <c r="E2916" s="7"/>
      <c r="F2916" s="7"/>
      <c r="G2916" s="7"/>
      <c r="H2916" s="7"/>
      <c r="I2916" s="7"/>
      <c r="J2916" s="7"/>
      <c r="K2916" s="7"/>
      <c r="L2916" s="27"/>
      <c r="N2916" s="8"/>
      <c r="O2916" s="7"/>
      <c r="P2916" s="7"/>
      <c r="Q2916" s="7"/>
      <c r="R2916" s="7"/>
    </row>
    <row r="2917" spans="3:18">
      <c r="C2917" s="7"/>
      <c r="D2917" s="7"/>
      <c r="E2917" s="7"/>
      <c r="F2917" s="7"/>
      <c r="G2917" s="7"/>
      <c r="H2917" s="7"/>
      <c r="I2917" s="7"/>
      <c r="J2917" s="7"/>
      <c r="K2917" s="7"/>
      <c r="L2917" s="27"/>
      <c r="N2917" s="8"/>
      <c r="O2917" s="7"/>
      <c r="P2917" s="7"/>
      <c r="Q2917" s="7"/>
      <c r="R2917" s="7"/>
    </row>
    <row r="2918" spans="3:18">
      <c r="C2918" s="7"/>
      <c r="D2918" s="7"/>
      <c r="E2918" s="7"/>
      <c r="F2918" s="7"/>
      <c r="G2918" s="7"/>
      <c r="H2918" s="7"/>
      <c r="I2918" s="7"/>
      <c r="J2918" s="7"/>
      <c r="K2918" s="7"/>
      <c r="L2918" s="27"/>
      <c r="N2918" s="8"/>
      <c r="O2918" s="7"/>
      <c r="P2918" s="7"/>
      <c r="Q2918" s="7"/>
      <c r="R2918" s="7"/>
    </row>
    <row r="2919" spans="3:18">
      <c r="C2919" s="7"/>
      <c r="D2919" s="7"/>
      <c r="E2919" s="7"/>
      <c r="F2919" s="7"/>
      <c r="G2919" s="7"/>
      <c r="H2919" s="7"/>
      <c r="I2919" s="7"/>
      <c r="J2919" s="7"/>
      <c r="K2919" s="7"/>
      <c r="L2919" s="27"/>
      <c r="N2919" s="8"/>
      <c r="O2919" s="7"/>
      <c r="P2919" s="7"/>
      <c r="Q2919" s="7"/>
      <c r="R2919" s="7"/>
    </row>
    <row r="2920" spans="3:18">
      <c r="C2920" s="7"/>
      <c r="D2920" s="7"/>
      <c r="E2920" s="7"/>
      <c r="F2920" s="7"/>
      <c r="G2920" s="7"/>
      <c r="H2920" s="7"/>
      <c r="I2920" s="7"/>
      <c r="J2920" s="7"/>
      <c r="K2920" s="7"/>
      <c r="L2920" s="27"/>
      <c r="N2920" s="8"/>
      <c r="O2920" s="7"/>
      <c r="P2920" s="7"/>
      <c r="Q2920" s="7"/>
      <c r="R2920" s="7"/>
    </row>
    <row r="2921" spans="3:18">
      <c r="C2921" s="7"/>
      <c r="D2921" s="7"/>
      <c r="E2921" s="7"/>
      <c r="F2921" s="7"/>
      <c r="G2921" s="7"/>
      <c r="H2921" s="7"/>
      <c r="I2921" s="7"/>
      <c r="J2921" s="7"/>
      <c r="K2921" s="7"/>
      <c r="L2921" s="27"/>
      <c r="N2921" s="8"/>
      <c r="O2921" s="7"/>
      <c r="P2921" s="7"/>
      <c r="Q2921" s="7"/>
      <c r="R2921" s="7"/>
    </row>
    <row r="2922" spans="3:18">
      <c r="C2922" s="7"/>
      <c r="D2922" s="7"/>
      <c r="E2922" s="7"/>
      <c r="F2922" s="7"/>
      <c r="G2922" s="7"/>
      <c r="H2922" s="7"/>
      <c r="I2922" s="7"/>
      <c r="J2922" s="7"/>
      <c r="K2922" s="7"/>
      <c r="L2922" s="27"/>
      <c r="N2922" s="8"/>
      <c r="O2922" s="7"/>
      <c r="P2922" s="7"/>
      <c r="Q2922" s="7"/>
      <c r="R2922" s="7"/>
    </row>
    <row r="2923" spans="3:18">
      <c r="C2923" s="7"/>
      <c r="D2923" s="7"/>
      <c r="E2923" s="7"/>
      <c r="F2923" s="7"/>
      <c r="G2923" s="7"/>
      <c r="H2923" s="7"/>
      <c r="I2923" s="7"/>
      <c r="J2923" s="7"/>
      <c r="K2923" s="7"/>
      <c r="L2923" s="27"/>
      <c r="N2923" s="8"/>
      <c r="O2923" s="7"/>
      <c r="P2923" s="7"/>
      <c r="Q2923" s="7"/>
      <c r="R2923" s="7"/>
    </row>
    <row r="2924" spans="3:18">
      <c r="C2924" s="7"/>
      <c r="D2924" s="7"/>
      <c r="E2924" s="7"/>
      <c r="F2924" s="7"/>
      <c r="G2924" s="7"/>
      <c r="H2924" s="7"/>
      <c r="I2924" s="7"/>
      <c r="J2924" s="7"/>
      <c r="K2924" s="7"/>
      <c r="L2924" s="27"/>
      <c r="N2924" s="8"/>
      <c r="O2924" s="7"/>
      <c r="P2924" s="7"/>
      <c r="Q2924" s="7"/>
      <c r="R2924" s="7"/>
    </row>
    <row r="2925" spans="3:18">
      <c r="C2925" s="7"/>
      <c r="D2925" s="7"/>
      <c r="E2925" s="7"/>
      <c r="F2925" s="7"/>
      <c r="G2925" s="7"/>
      <c r="H2925" s="7"/>
      <c r="I2925" s="7"/>
      <c r="J2925" s="7"/>
      <c r="K2925" s="7"/>
      <c r="L2925" s="27"/>
      <c r="N2925" s="8"/>
      <c r="O2925" s="7"/>
      <c r="P2925" s="7"/>
      <c r="Q2925" s="7"/>
      <c r="R2925" s="7"/>
    </row>
    <row r="2926" spans="3:18">
      <c r="C2926" s="7"/>
      <c r="D2926" s="7"/>
      <c r="E2926" s="7"/>
      <c r="F2926" s="7"/>
      <c r="G2926" s="7"/>
      <c r="H2926" s="7"/>
      <c r="I2926" s="7"/>
      <c r="J2926" s="7"/>
      <c r="K2926" s="7"/>
      <c r="L2926" s="27"/>
      <c r="N2926" s="8"/>
      <c r="O2926" s="7"/>
      <c r="P2926" s="7"/>
      <c r="Q2926" s="7"/>
      <c r="R2926" s="7"/>
    </row>
    <row r="2927" spans="3:18">
      <c r="C2927" s="7"/>
      <c r="D2927" s="7"/>
      <c r="E2927" s="7"/>
      <c r="F2927" s="7"/>
      <c r="G2927" s="7"/>
      <c r="H2927" s="7"/>
      <c r="I2927" s="7"/>
      <c r="J2927" s="7"/>
      <c r="K2927" s="7"/>
      <c r="L2927" s="27"/>
      <c r="N2927" s="8"/>
      <c r="O2927" s="7"/>
      <c r="P2927" s="7"/>
      <c r="Q2927" s="7"/>
      <c r="R2927" s="7"/>
    </row>
    <row r="2928" spans="3:18">
      <c r="C2928" s="7"/>
      <c r="D2928" s="7"/>
      <c r="E2928" s="7"/>
      <c r="F2928" s="7"/>
      <c r="G2928" s="7"/>
      <c r="H2928" s="7"/>
      <c r="I2928" s="7"/>
      <c r="J2928" s="7"/>
      <c r="K2928" s="7"/>
      <c r="L2928" s="27"/>
      <c r="N2928" s="8"/>
      <c r="O2928" s="7"/>
      <c r="P2928" s="7"/>
      <c r="Q2928" s="7"/>
      <c r="R2928" s="7"/>
    </row>
    <row r="2929" spans="3:18">
      <c r="C2929" s="7"/>
      <c r="D2929" s="7"/>
      <c r="E2929" s="7"/>
      <c r="F2929" s="7"/>
      <c r="G2929" s="7"/>
      <c r="H2929" s="7"/>
      <c r="I2929" s="7"/>
      <c r="J2929" s="7"/>
      <c r="K2929" s="7"/>
      <c r="L2929" s="27"/>
      <c r="N2929" s="8"/>
      <c r="O2929" s="7"/>
      <c r="P2929" s="7"/>
      <c r="Q2929" s="7"/>
      <c r="R2929" s="7"/>
    </row>
    <row r="2930" spans="3:18">
      <c r="C2930" s="7"/>
      <c r="D2930" s="7"/>
      <c r="E2930" s="7"/>
      <c r="F2930" s="7"/>
      <c r="G2930" s="7"/>
      <c r="H2930" s="7"/>
      <c r="I2930" s="7"/>
      <c r="J2930" s="7"/>
      <c r="K2930" s="7"/>
      <c r="L2930" s="27"/>
      <c r="N2930" s="8"/>
      <c r="O2930" s="7"/>
      <c r="P2930" s="7"/>
      <c r="Q2930" s="7"/>
      <c r="R2930" s="7"/>
    </row>
    <row r="2931" spans="3:18">
      <c r="C2931" s="7"/>
      <c r="D2931" s="7"/>
      <c r="E2931" s="7"/>
      <c r="F2931" s="7"/>
      <c r="G2931" s="7"/>
      <c r="H2931" s="7"/>
      <c r="I2931" s="7"/>
      <c r="J2931" s="7"/>
      <c r="K2931" s="7"/>
      <c r="L2931" s="27"/>
      <c r="N2931" s="8"/>
      <c r="O2931" s="7"/>
      <c r="P2931" s="7"/>
      <c r="Q2931" s="7"/>
      <c r="R2931" s="7"/>
    </row>
    <row r="2932" spans="3:18">
      <c r="C2932" s="7"/>
      <c r="D2932" s="7"/>
      <c r="E2932" s="7"/>
      <c r="F2932" s="7"/>
      <c r="G2932" s="7"/>
      <c r="H2932" s="7"/>
      <c r="I2932" s="7"/>
      <c r="J2932" s="7"/>
      <c r="K2932" s="7"/>
      <c r="L2932" s="27"/>
      <c r="N2932" s="8"/>
      <c r="O2932" s="7"/>
      <c r="P2932" s="7"/>
      <c r="Q2932" s="7"/>
      <c r="R2932" s="7"/>
    </row>
    <row r="2933" spans="3:18">
      <c r="C2933" s="7"/>
      <c r="D2933" s="7"/>
      <c r="E2933" s="7"/>
      <c r="F2933" s="7"/>
      <c r="G2933" s="7"/>
      <c r="H2933" s="7"/>
      <c r="I2933" s="7"/>
      <c r="J2933" s="7"/>
      <c r="K2933" s="7"/>
      <c r="L2933" s="27"/>
      <c r="N2933" s="8"/>
      <c r="O2933" s="7"/>
      <c r="P2933" s="7"/>
      <c r="Q2933" s="7"/>
      <c r="R2933" s="7"/>
    </row>
    <row r="2934" spans="3:18">
      <c r="C2934" s="7"/>
      <c r="D2934" s="7"/>
      <c r="E2934" s="7"/>
      <c r="F2934" s="7"/>
      <c r="G2934" s="7"/>
      <c r="H2934" s="7"/>
      <c r="I2934" s="7"/>
      <c r="J2934" s="7"/>
      <c r="K2934" s="7"/>
      <c r="L2934" s="27"/>
      <c r="N2934" s="8"/>
      <c r="O2934" s="7"/>
      <c r="P2934" s="7"/>
      <c r="Q2934" s="7"/>
      <c r="R2934" s="7"/>
    </row>
    <row r="2935" spans="3:18">
      <c r="C2935" s="7"/>
      <c r="D2935" s="7"/>
      <c r="E2935" s="7"/>
      <c r="F2935" s="7"/>
      <c r="G2935" s="7"/>
      <c r="H2935" s="7"/>
      <c r="I2935" s="7"/>
      <c r="J2935" s="7"/>
      <c r="K2935" s="7"/>
      <c r="L2935" s="27"/>
      <c r="N2935" s="8"/>
      <c r="O2935" s="7"/>
      <c r="P2935" s="7"/>
      <c r="Q2935" s="7"/>
      <c r="R2935" s="7"/>
    </row>
    <row r="2936" spans="3:18">
      <c r="C2936" s="7"/>
      <c r="D2936" s="7"/>
      <c r="E2936" s="7"/>
      <c r="F2936" s="7"/>
      <c r="G2936" s="7"/>
      <c r="H2936" s="7"/>
      <c r="I2936" s="7"/>
      <c r="J2936" s="7"/>
      <c r="K2936" s="7"/>
      <c r="L2936" s="27"/>
      <c r="N2936" s="8"/>
      <c r="O2936" s="7"/>
      <c r="P2936" s="7"/>
      <c r="Q2936" s="7"/>
      <c r="R2936" s="7"/>
    </row>
    <row r="2937" spans="3:18">
      <c r="C2937" s="7"/>
      <c r="D2937" s="7"/>
      <c r="E2937" s="7"/>
      <c r="F2937" s="7"/>
      <c r="G2937" s="7"/>
      <c r="H2937" s="7"/>
      <c r="I2937" s="7"/>
      <c r="J2937" s="7"/>
      <c r="K2937" s="7"/>
      <c r="L2937" s="27"/>
      <c r="N2937" s="8"/>
      <c r="O2937" s="7"/>
      <c r="P2937" s="7"/>
      <c r="Q2937" s="7"/>
      <c r="R2937" s="7"/>
    </row>
    <row r="2938" spans="3:18">
      <c r="C2938" s="7"/>
      <c r="D2938" s="7"/>
      <c r="E2938" s="7"/>
      <c r="F2938" s="7"/>
      <c r="G2938" s="7"/>
      <c r="H2938" s="7"/>
      <c r="I2938" s="7"/>
      <c r="J2938" s="7"/>
      <c r="K2938" s="7"/>
      <c r="L2938" s="27"/>
      <c r="N2938" s="8"/>
      <c r="O2938" s="7"/>
      <c r="P2938" s="7"/>
      <c r="Q2938" s="7"/>
      <c r="R2938" s="7"/>
    </row>
    <row r="2939" spans="3:18">
      <c r="C2939" s="7"/>
      <c r="D2939" s="7"/>
      <c r="E2939" s="7"/>
      <c r="F2939" s="7"/>
      <c r="G2939" s="7"/>
      <c r="H2939" s="7"/>
      <c r="I2939" s="7"/>
      <c r="J2939" s="7"/>
      <c r="K2939" s="7"/>
      <c r="L2939" s="27"/>
      <c r="N2939" s="8"/>
      <c r="O2939" s="7"/>
      <c r="P2939" s="7"/>
      <c r="Q2939" s="7"/>
      <c r="R2939" s="7"/>
    </row>
    <row r="2940" spans="3:18">
      <c r="C2940" s="7"/>
      <c r="D2940" s="7"/>
      <c r="E2940" s="7"/>
      <c r="F2940" s="7"/>
      <c r="G2940" s="7"/>
      <c r="H2940" s="7"/>
      <c r="I2940" s="7"/>
      <c r="J2940" s="7"/>
      <c r="K2940" s="7"/>
      <c r="L2940" s="27"/>
      <c r="N2940" s="8"/>
      <c r="O2940" s="7"/>
      <c r="P2940" s="7"/>
      <c r="Q2940" s="7"/>
      <c r="R2940" s="7"/>
    </row>
    <row r="2941" spans="3:18">
      <c r="C2941" s="7"/>
      <c r="D2941" s="7"/>
      <c r="E2941" s="7"/>
      <c r="F2941" s="7"/>
      <c r="G2941" s="7"/>
      <c r="H2941" s="7"/>
      <c r="I2941" s="7"/>
      <c r="J2941" s="7"/>
      <c r="K2941" s="7"/>
      <c r="L2941" s="27"/>
      <c r="N2941" s="8"/>
      <c r="O2941" s="7"/>
      <c r="P2941" s="7"/>
      <c r="Q2941" s="7"/>
      <c r="R2941" s="7"/>
    </row>
    <row r="2942" spans="3:18">
      <c r="C2942" s="7"/>
      <c r="D2942" s="7"/>
      <c r="E2942" s="7"/>
      <c r="F2942" s="7"/>
      <c r="G2942" s="7"/>
      <c r="H2942" s="7"/>
      <c r="I2942" s="7"/>
      <c r="J2942" s="7"/>
      <c r="K2942" s="7"/>
      <c r="L2942" s="27"/>
      <c r="N2942" s="8"/>
      <c r="O2942" s="7"/>
      <c r="P2942" s="7"/>
      <c r="Q2942" s="7"/>
      <c r="R2942" s="7"/>
    </row>
    <row r="2943" spans="3:18">
      <c r="C2943" s="7"/>
      <c r="D2943" s="7"/>
      <c r="E2943" s="7"/>
      <c r="F2943" s="7"/>
      <c r="G2943" s="7"/>
      <c r="H2943" s="7"/>
      <c r="I2943" s="7"/>
      <c r="J2943" s="7"/>
      <c r="K2943" s="7"/>
      <c r="L2943" s="27"/>
      <c r="N2943" s="8"/>
      <c r="O2943" s="7"/>
      <c r="P2943" s="7"/>
      <c r="Q2943" s="7"/>
      <c r="R2943" s="7"/>
    </row>
    <row r="2944" spans="3:18">
      <c r="C2944" s="7"/>
      <c r="D2944" s="7"/>
      <c r="E2944" s="7"/>
      <c r="F2944" s="7"/>
      <c r="G2944" s="7"/>
      <c r="H2944" s="7"/>
      <c r="I2944" s="7"/>
      <c r="J2944" s="7"/>
      <c r="K2944" s="7"/>
      <c r="L2944" s="27"/>
      <c r="N2944" s="8"/>
      <c r="O2944" s="7"/>
      <c r="P2944" s="7"/>
      <c r="Q2944" s="7"/>
      <c r="R2944" s="7"/>
    </row>
    <row r="2945" spans="3:18">
      <c r="C2945" s="7"/>
      <c r="D2945" s="7"/>
      <c r="E2945" s="7"/>
      <c r="F2945" s="7"/>
      <c r="G2945" s="7"/>
      <c r="H2945" s="7"/>
      <c r="I2945" s="7"/>
      <c r="J2945" s="7"/>
      <c r="K2945" s="7"/>
      <c r="L2945" s="27"/>
      <c r="N2945" s="8"/>
      <c r="O2945" s="7"/>
      <c r="P2945" s="7"/>
      <c r="Q2945" s="7"/>
      <c r="R2945" s="7"/>
    </row>
    <row r="2946" spans="3:18">
      <c r="C2946" s="7"/>
      <c r="D2946" s="7"/>
      <c r="E2946" s="7"/>
      <c r="F2946" s="7"/>
      <c r="G2946" s="7"/>
      <c r="H2946" s="7"/>
      <c r="I2946" s="7"/>
      <c r="J2946" s="7"/>
      <c r="K2946" s="7"/>
      <c r="L2946" s="27"/>
      <c r="N2946" s="8"/>
      <c r="O2946" s="7"/>
      <c r="P2946" s="7"/>
      <c r="Q2946" s="7"/>
      <c r="R2946" s="7"/>
    </row>
    <row r="2947" spans="3:18">
      <c r="C2947" s="7"/>
      <c r="D2947" s="7"/>
      <c r="E2947" s="7"/>
      <c r="F2947" s="7"/>
      <c r="G2947" s="7"/>
      <c r="H2947" s="7"/>
      <c r="I2947" s="7"/>
      <c r="J2947" s="7"/>
      <c r="K2947" s="7"/>
      <c r="L2947" s="27"/>
      <c r="N2947" s="8"/>
      <c r="O2947" s="7"/>
      <c r="P2947" s="7"/>
      <c r="Q2947" s="7"/>
      <c r="R2947" s="7"/>
    </row>
    <row r="2948" spans="3:18">
      <c r="C2948" s="7"/>
      <c r="D2948" s="7"/>
      <c r="E2948" s="7"/>
      <c r="F2948" s="7"/>
      <c r="G2948" s="7"/>
      <c r="H2948" s="7"/>
      <c r="I2948" s="7"/>
      <c r="J2948" s="7"/>
      <c r="K2948" s="7"/>
      <c r="L2948" s="27"/>
      <c r="N2948" s="8"/>
      <c r="O2948" s="7"/>
      <c r="P2948" s="7"/>
      <c r="Q2948" s="7"/>
      <c r="R2948" s="7"/>
    </row>
    <row r="2949" spans="3:18">
      <c r="C2949" s="7"/>
      <c r="D2949" s="7"/>
      <c r="E2949" s="7"/>
      <c r="F2949" s="7"/>
      <c r="G2949" s="7"/>
      <c r="H2949" s="7"/>
      <c r="I2949" s="7"/>
      <c r="J2949" s="7"/>
      <c r="K2949" s="7"/>
      <c r="L2949" s="27"/>
      <c r="N2949" s="8"/>
      <c r="O2949" s="7"/>
      <c r="P2949" s="7"/>
      <c r="Q2949" s="7"/>
      <c r="R2949" s="7"/>
    </row>
    <row r="2950" spans="3:18">
      <c r="C2950" s="7"/>
      <c r="D2950" s="7"/>
      <c r="E2950" s="7"/>
      <c r="F2950" s="7"/>
      <c r="G2950" s="7"/>
      <c r="H2950" s="7"/>
      <c r="I2950" s="7"/>
      <c r="J2950" s="7"/>
      <c r="K2950" s="7"/>
      <c r="L2950" s="27"/>
      <c r="N2950" s="8"/>
      <c r="O2950" s="7"/>
      <c r="P2950" s="7"/>
      <c r="Q2950" s="7"/>
      <c r="R2950" s="7"/>
    </row>
    <row r="2951" spans="3:18">
      <c r="C2951" s="7"/>
      <c r="D2951" s="7"/>
      <c r="E2951" s="7"/>
      <c r="F2951" s="7"/>
      <c r="G2951" s="7"/>
      <c r="H2951" s="7"/>
      <c r="I2951" s="7"/>
      <c r="J2951" s="7"/>
      <c r="K2951" s="7"/>
      <c r="L2951" s="27"/>
      <c r="N2951" s="8"/>
      <c r="O2951" s="7"/>
      <c r="P2951" s="7"/>
      <c r="Q2951" s="7"/>
      <c r="R2951" s="7"/>
    </row>
    <row r="2952" spans="3:18">
      <c r="C2952" s="7"/>
      <c r="D2952" s="7"/>
      <c r="E2952" s="7"/>
      <c r="F2952" s="7"/>
      <c r="G2952" s="7"/>
      <c r="H2952" s="7"/>
      <c r="I2952" s="7"/>
      <c r="J2952" s="7"/>
      <c r="K2952" s="7"/>
      <c r="L2952" s="27"/>
      <c r="N2952" s="8"/>
      <c r="O2952" s="7"/>
      <c r="P2952" s="7"/>
      <c r="Q2952" s="7"/>
      <c r="R2952" s="7"/>
    </row>
    <row r="2953" spans="3:18">
      <c r="C2953" s="7"/>
      <c r="D2953" s="7"/>
      <c r="E2953" s="7"/>
      <c r="F2953" s="7"/>
      <c r="G2953" s="7"/>
      <c r="H2953" s="7"/>
      <c r="I2953" s="7"/>
      <c r="J2953" s="7"/>
      <c r="K2953" s="7"/>
      <c r="L2953" s="27"/>
      <c r="N2953" s="8"/>
      <c r="O2953" s="7"/>
      <c r="P2953" s="7"/>
      <c r="Q2953" s="7"/>
      <c r="R2953" s="7"/>
    </row>
    <row r="2954" spans="3:18">
      <c r="C2954" s="7"/>
      <c r="D2954" s="7"/>
      <c r="E2954" s="7"/>
      <c r="F2954" s="7"/>
      <c r="G2954" s="7"/>
      <c r="H2954" s="7"/>
      <c r="I2954" s="7"/>
      <c r="J2954" s="7"/>
      <c r="K2954" s="7"/>
      <c r="L2954" s="27"/>
      <c r="N2954" s="8"/>
      <c r="O2954" s="7"/>
      <c r="P2954" s="7"/>
      <c r="Q2954" s="7"/>
      <c r="R2954" s="7"/>
    </row>
    <row r="2955" spans="3:18">
      <c r="C2955" s="7"/>
      <c r="D2955" s="7"/>
      <c r="E2955" s="7"/>
      <c r="F2955" s="7"/>
      <c r="G2955" s="7"/>
      <c r="H2955" s="7"/>
      <c r="I2955" s="7"/>
      <c r="J2955" s="7"/>
      <c r="K2955" s="7"/>
      <c r="L2955" s="27"/>
      <c r="N2955" s="8"/>
      <c r="O2955" s="7"/>
      <c r="P2955" s="7"/>
      <c r="Q2955" s="7"/>
      <c r="R2955" s="7"/>
    </row>
    <row r="2956" spans="3:18">
      <c r="C2956" s="7"/>
      <c r="D2956" s="7"/>
      <c r="E2956" s="7"/>
      <c r="F2956" s="7"/>
      <c r="G2956" s="7"/>
      <c r="H2956" s="7"/>
      <c r="I2956" s="7"/>
      <c r="J2956" s="7"/>
      <c r="K2956" s="7"/>
      <c r="L2956" s="27"/>
      <c r="N2956" s="8"/>
      <c r="O2956" s="7"/>
      <c r="P2956" s="7"/>
      <c r="Q2956" s="7"/>
      <c r="R2956" s="7"/>
    </row>
    <row r="2957" spans="3:18">
      <c r="C2957" s="7"/>
      <c r="D2957" s="7"/>
      <c r="E2957" s="7"/>
      <c r="F2957" s="7"/>
      <c r="G2957" s="7"/>
      <c r="H2957" s="7"/>
      <c r="I2957" s="7"/>
      <c r="J2957" s="7"/>
      <c r="K2957" s="7"/>
      <c r="L2957" s="27"/>
      <c r="N2957" s="8"/>
      <c r="O2957" s="7"/>
      <c r="P2957" s="7"/>
      <c r="Q2957" s="7"/>
      <c r="R2957" s="7"/>
    </row>
    <row r="2958" spans="3:18">
      <c r="C2958" s="7"/>
      <c r="D2958" s="7"/>
      <c r="E2958" s="7"/>
      <c r="F2958" s="7"/>
      <c r="G2958" s="7"/>
      <c r="H2958" s="7"/>
      <c r="I2958" s="7"/>
      <c r="J2958" s="7"/>
      <c r="K2958" s="7"/>
      <c r="L2958" s="27"/>
      <c r="N2958" s="8"/>
      <c r="O2958" s="7"/>
      <c r="P2958" s="7"/>
      <c r="Q2958" s="7"/>
      <c r="R2958" s="7"/>
    </row>
    <row r="2959" spans="3:18">
      <c r="C2959" s="7"/>
      <c r="D2959" s="7"/>
      <c r="E2959" s="7"/>
      <c r="F2959" s="7"/>
      <c r="G2959" s="7"/>
      <c r="H2959" s="7"/>
      <c r="I2959" s="7"/>
      <c r="J2959" s="7"/>
      <c r="K2959" s="7"/>
      <c r="L2959" s="27"/>
      <c r="N2959" s="8"/>
      <c r="O2959" s="7"/>
      <c r="P2959" s="7"/>
      <c r="Q2959" s="7"/>
      <c r="R2959" s="7"/>
    </row>
    <row r="2960" spans="3:18">
      <c r="C2960" s="7"/>
      <c r="D2960" s="7"/>
      <c r="E2960" s="7"/>
      <c r="F2960" s="7"/>
      <c r="G2960" s="7"/>
      <c r="H2960" s="7"/>
      <c r="I2960" s="7"/>
      <c r="J2960" s="7"/>
      <c r="K2960" s="7"/>
      <c r="L2960" s="27"/>
      <c r="N2960" s="8"/>
      <c r="O2960" s="7"/>
      <c r="P2960" s="7"/>
      <c r="Q2960" s="7"/>
      <c r="R2960" s="7"/>
    </row>
    <row r="2961" spans="3:18">
      <c r="C2961" s="7"/>
      <c r="D2961" s="7"/>
      <c r="E2961" s="7"/>
      <c r="F2961" s="7"/>
      <c r="G2961" s="7"/>
      <c r="H2961" s="7"/>
      <c r="I2961" s="7"/>
      <c r="J2961" s="7"/>
      <c r="K2961" s="7"/>
      <c r="L2961" s="27"/>
      <c r="N2961" s="8"/>
      <c r="O2961" s="7"/>
      <c r="P2961" s="7"/>
      <c r="Q2961" s="7"/>
      <c r="R2961" s="7"/>
    </row>
    <row r="2962" spans="3:18">
      <c r="C2962" s="7"/>
      <c r="D2962" s="7"/>
      <c r="E2962" s="7"/>
      <c r="F2962" s="7"/>
      <c r="G2962" s="7"/>
      <c r="H2962" s="7"/>
      <c r="I2962" s="7"/>
      <c r="J2962" s="7"/>
      <c r="K2962" s="7"/>
      <c r="L2962" s="27"/>
      <c r="N2962" s="8"/>
      <c r="O2962" s="7"/>
      <c r="P2962" s="7"/>
      <c r="Q2962" s="7"/>
      <c r="R2962" s="7"/>
    </row>
    <row r="2963" spans="3:18">
      <c r="C2963" s="7"/>
      <c r="D2963" s="7"/>
      <c r="E2963" s="7"/>
      <c r="F2963" s="7"/>
      <c r="G2963" s="7"/>
      <c r="H2963" s="7"/>
      <c r="I2963" s="7"/>
      <c r="J2963" s="7"/>
      <c r="K2963" s="7"/>
      <c r="L2963" s="27"/>
      <c r="N2963" s="8"/>
      <c r="O2963" s="7"/>
      <c r="P2963" s="7"/>
      <c r="Q2963" s="7"/>
      <c r="R2963" s="7"/>
    </row>
    <row r="2964" spans="3:18"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N2964" s="8"/>
      <c r="O2964" s="7"/>
      <c r="P2964" s="7"/>
      <c r="Q2964" s="7"/>
      <c r="R2964" s="7"/>
    </row>
    <row r="2965" spans="3:18"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N2965" s="8"/>
      <c r="O2965" s="7"/>
      <c r="P2965" s="7"/>
      <c r="Q2965" s="7"/>
      <c r="R2965" s="7"/>
    </row>
    <row r="2966" spans="3:18"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N2966" s="8"/>
      <c r="O2966" s="7"/>
      <c r="P2966" s="7"/>
      <c r="Q2966" s="7"/>
      <c r="R2966" s="7"/>
    </row>
    <row r="2967" spans="3:18"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N2967" s="8"/>
      <c r="O2967" s="7"/>
      <c r="P2967" s="7"/>
      <c r="Q2967" s="7"/>
      <c r="R2967" s="7"/>
    </row>
    <row r="2968" spans="3:18"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N2968" s="8"/>
      <c r="O2968" s="7"/>
      <c r="P2968" s="7"/>
      <c r="Q2968" s="7"/>
      <c r="R2968" s="7"/>
    </row>
    <row r="2969" spans="3:18"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N2969" s="8"/>
      <c r="O2969" s="7"/>
      <c r="P2969" s="7"/>
      <c r="Q2969" s="7"/>
      <c r="R2969" s="7"/>
    </row>
    <row r="2970" spans="3:18"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N2970" s="8"/>
      <c r="O2970" s="7"/>
      <c r="P2970" s="7"/>
      <c r="Q2970" s="7"/>
      <c r="R2970" s="7"/>
    </row>
    <row r="2971" spans="3:18"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N2971" s="8"/>
      <c r="O2971" s="7"/>
      <c r="P2971" s="7"/>
      <c r="Q2971" s="7"/>
      <c r="R2971" s="7"/>
    </row>
    <row r="2972" spans="3:18"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N2972" s="8"/>
      <c r="O2972" s="7"/>
      <c r="P2972" s="7"/>
      <c r="Q2972" s="7"/>
      <c r="R2972" s="7"/>
    </row>
    <row r="2973" spans="3:18"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N2973" s="8"/>
      <c r="O2973" s="7"/>
      <c r="P2973" s="7"/>
      <c r="Q2973" s="7"/>
      <c r="R2973" s="7"/>
    </row>
    <row r="2974" spans="3:18"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N2974" s="8"/>
      <c r="O2974" s="7"/>
      <c r="P2974" s="7"/>
      <c r="Q2974" s="7"/>
      <c r="R2974" s="7"/>
    </row>
    <row r="2975" spans="3:18"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N2975" s="8"/>
      <c r="O2975" s="7"/>
      <c r="P2975" s="7"/>
      <c r="Q2975" s="7"/>
      <c r="R2975" s="7"/>
    </row>
    <row r="2976" spans="3:18"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N2976" s="8"/>
      <c r="O2976" s="7"/>
      <c r="P2976" s="7"/>
      <c r="Q2976" s="7"/>
      <c r="R2976" s="7"/>
    </row>
    <row r="2977" spans="3:18"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N2977" s="8"/>
      <c r="O2977" s="7"/>
      <c r="P2977" s="7"/>
      <c r="Q2977" s="7"/>
      <c r="R2977" s="7"/>
    </row>
    <row r="2978" spans="3:18"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N2978" s="8"/>
      <c r="O2978" s="7"/>
      <c r="P2978" s="7"/>
      <c r="Q2978" s="7"/>
      <c r="R2978" s="7"/>
    </row>
    <row r="2979" spans="3:18"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N2979" s="8"/>
      <c r="O2979" s="7"/>
      <c r="P2979" s="7"/>
      <c r="Q2979" s="7"/>
      <c r="R2979" s="7"/>
    </row>
    <row r="2980" spans="3:18"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N2980" s="8"/>
      <c r="O2980" s="7"/>
      <c r="P2980" s="7"/>
      <c r="Q2980" s="7"/>
      <c r="R2980" s="7"/>
    </row>
    <row r="2981" spans="3:18"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N2981" s="8"/>
      <c r="O2981" s="7"/>
      <c r="P2981" s="7"/>
      <c r="Q2981" s="7"/>
      <c r="R2981" s="7"/>
    </row>
    <row r="2982" spans="3:18"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N2982" s="8"/>
      <c r="O2982" s="7"/>
      <c r="P2982" s="7"/>
      <c r="Q2982" s="7"/>
      <c r="R2982" s="7"/>
    </row>
    <row r="2983" spans="3:18"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N2983" s="8"/>
      <c r="O2983" s="7"/>
      <c r="P2983" s="7"/>
      <c r="Q2983" s="7"/>
      <c r="R2983" s="7"/>
    </row>
    <row r="2984" spans="3:18"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N2984" s="8"/>
      <c r="O2984" s="7"/>
      <c r="P2984" s="7"/>
      <c r="Q2984" s="7"/>
      <c r="R2984" s="7"/>
    </row>
    <row r="2985" spans="3:18"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N2985" s="8"/>
      <c r="O2985" s="7"/>
      <c r="P2985" s="7"/>
      <c r="Q2985" s="7"/>
      <c r="R2985" s="7"/>
    </row>
    <row r="2986" spans="3:18"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N2986" s="8"/>
      <c r="O2986" s="7"/>
      <c r="P2986" s="7"/>
      <c r="Q2986" s="7"/>
      <c r="R2986" s="7"/>
    </row>
    <row r="2987" spans="3:18"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N2987" s="8"/>
      <c r="O2987" s="7"/>
      <c r="P2987" s="7"/>
      <c r="Q2987" s="7"/>
      <c r="R2987" s="7"/>
    </row>
    <row r="2988" spans="3:18"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N2988" s="8"/>
      <c r="O2988" s="7"/>
      <c r="P2988" s="7"/>
      <c r="Q2988" s="7"/>
      <c r="R2988" s="7"/>
    </row>
    <row r="2989" spans="3:18"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N2989" s="8"/>
      <c r="O2989" s="7"/>
      <c r="P2989" s="7"/>
      <c r="Q2989" s="7"/>
      <c r="R2989" s="7"/>
    </row>
    <row r="2990" spans="3:18"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N2990" s="8"/>
      <c r="O2990" s="7"/>
      <c r="P2990" s="7"/>
      <c r="Q2990" s="7"/>
      <c r="R2990" s="7"/>
    </row>
    <row r="2991" spans="3:18"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N2991" s="8"/>
      <c r="O2991" s="7"/>
      <c r="P2991" s="7"/>
      <c r="Q2991" s="7"/>
      <c r="R2991" s="7"/>
    </row>
    <row r="2992" spans="3:18"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N2992" s="8"/>
      <c r="O2992" s="7"/>
      <c r="P2992" s="7"/>
      <c r="Q2992" s="7"/>
      <c r="R2992" s="7"/>
    </row>
    <row r="2993" spans="3:18"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N2993" s="8"/>
      <c r="O2993" s="7"/>
      <c r="P2993" s="7"/>
      <c r="Q2993" s="7"/>
      <c r="R2993" s="7"/>
    </row>
    <row r="2994" spans="3:18"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N2994" s="8"/>
      <c r="O2994" s="7"/>
      <c r="P2994" s="7"/>
      <c r="Q2994" s="7"/>
      <c r="R2994" s="7"/>
    </row>
    <row r="2995" spans="3:18"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N2995" s="8"/>
      <c r="O2995" s="7"/>
      <c r="P2995" s="7"/>
      <c r="Q2995" s="7"/>
      <c r="R2995" s="7"/>
    </row>
    <row r="2996" spans="3:18"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N2996" s="8"/>
      <c r="O2996" s="7"/>
      <c r="P2996" s="7"/>
      <c r="Q2996" s="7"/>
      <c r="R2996" s="7"/>
    </row>
    <row r="2997" spans="3:18"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N2997" s="8"/>
      <c r="O2997" s="7"/>
      <c r="P2997" s="7"/>
      <c r="Q2997" s="7"/>
      <c r="R2997" s="7"/>
    </row>
    <row r="2998" spans="3:18"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N2998" s="8"/>
      <c r="O2998" s="7"/>
      <c r="P2998" s="7"/>
      <c r="Q2998" s="7"/>
      <c r="R2998" s="7"/>
    </row>
    <row r="2999" spans="3:18"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N2999" s="8"/>
      <c r="O2999" s="7"/>
      <c r="P2999" s="7"/>
      <c r="Q2999" s="7"/>
      <c r="R2999" s="7"/>
    </row>
    <row r="3000" spans="3:18"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N3000" s="8"/>
      <c r="O3000" s="7"/>
      <c r="P3000" s="7"/>
      <c r="Q3000" s="7"/>
      <c r="R3000" s="7"/>
    </row>
    <row r="3001" spans="3:18"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N3001" s="8"/>
      <c r="O3001" s="7"/>
      <c r="P3001" s="7"/>
      <c r="Q3001" s="7"/>
      <c r="R3001" s="7"/>
    </row>
    <row r="3002" spans="3:18"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N3002" s="8"/>
      <c r="O3002" s="7"/>
      <c r="P3002" s="7"/>
      <c r="Q3002" s="7"/>
      <c r="R3002" s="7"/>
    </row>
    <row r="3003" spans="3:18"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N3003" s="8"/>
      <c r="O3003" s="7"/>
      <c r="P3003" s="7"/>
      <c r="Q3003" s="7"/>
      <c r="R3003" s="7"/>
    </row>
    <row r="3004" spans="3:18"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N3004" s="8"/>
      <c r="O3004" s="7"/>
      <c r="P3004" s="7"/>
      <c r="Q3004" s="7"/>
      <c r="R3004" s="7"/>
    </row>
    <row r="3005" spans="3:18"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N3005" s="8"/>
      <c r="O3005" s="7"/>
      <c r="P3005" s="7"/>
      <c r="Q3005" s="7"/>
      <c r="R3005" s="7"/>
    </row>
    <row r="3006" spans="3:18"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N3006" s="8"/>
      <c r="O3006" s="7"/>
      <c r="P3006" s="7"/>
      <c r="Q3006" s="7"/>
      <c r="R3006" s="7"/>
    </row>
    <row r="3007" spans="3:18"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N3007" s="8"/>
      <c r="O3007" s="7"/>
      <c r="P3007" s="7"/>
      <c r="Q3007" s="7"/>
      <c r="R3007" s="7"/>
    </row>
    <row r="3008" spans="3:18"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N3008" s="8"/>
      <c r="O3008" s="7"/>
      <c r="P3008" s="7"/>
      <c r="Q3008" s="7"/>
      <c r="R3008" s="7"/>
    </row>
    <row r="3009" spans="3:18"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N3009" s="8"/>
      <c r="O3009" s="7"/>
      <c r="P3009" s="7"/>
      <c r="Q3009" s="7"/>
      <c r="R3009" s="7"/>
    </row>
    <row r="3010" spans="3:18"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N3010" s="8"/>
      <c r="O3010" s="7"/>
      <c r="P3010" s="7"/>
      <c r="Q3010" s="7"/>
      <c r="R3010" s="7"/>
    </row>
    <row r="3011" spans="3:18"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N3011" s="8"/>
      <c r="O3011" s="7"/>
      <c r="P3011" s="7"/>
      <c r="Q3011" s="7"/>
      <c r="R3011" s="7"/>
    </row>
    <row r="3012" spans="3:18"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N3012" s="8"/>
      <c r="O3012" s="7"/>
      <c r="P3012" s="7"/>
      <c r="Q3012" s="7"/>
      <c r="R3012" s="7"/>
    </row>
    <row r="3013" spans="3:18"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N3013" s="8"/>
      <c r="O3013" s="7"/>
      <c r="P3013" s="7"/>
      <c r="Q3013" s="7"/>
      <c r="R3013" s="7"/>
    </row>
    <row r="3014" spans="3:18"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N3014" s="8"/>
      <c r="O3014" s="7"/>
      <c r="P3014" s="7"/>
      <c r="Q3014" s="7"/>
      <c r="R3014" s="7"/>
    </row>
    <row r="3015" spans="3:18"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N3015" s="8"/>
      <c r="O3015" s="7"/>
      <c r="P3015" s="7"/>
      <c r="Q3015" s="7"/>
      <c r="R3015" s="7"/>
    </row>
    <row r="3016" spans="3:18"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N3016" s="8"/>
      <c r="O3016" s="7"/>
      <c r="P3016" s="7"/>
      <c r="Q3016" s="7"/>
      <c r="R3016" s="7"/>
    </row>
    <row r="3017" spans="3:18"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N3017" s="8"/>
      <c r="O3017" s="7"/>
      <c r="P3017" s="7"/>
      <c r="Q3017" s="7"/>
      <c r="R3017" s="7"/>
    </row>
    <row r="3018" spans="3:18"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N3018" s="8"/>
      <c r="O3018" s="7"/>
      <c r="P3018" s="7"/>
      <c r="Q3018" s="7"/>
      <c r="R3018" s="7"/>
    </row>
    <row r="3019" spans="3:18"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N3019" s="8"/>
      <c r="O3019" s="7"/>
      <c r="P3019" s="7"/>
      <c r="Q3019" s="7"/>
      <c r="R3019" s="7"/>
    </row>
    <row r="3020" spans="3:18"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N3020" s="8"/>
      <c r="O3020" s="7"/>
      <c r="P3020" s="7"/>
      <c r="Q3020" s="7"/>
      <c r="R3020" s="7"/>
    </row>
    <row r="3021" spans="3:18"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N3021" s="8"/>
      <c r="O3021" s="7"/>
      <c r="P3021" s="7"/>
      <c r="Q3021" s="7"/>
      <c r="R3021" s="7"/>
    </row>
    <row r="3022" spans="3:18"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N3022" s="8"/>
      <c r="O3022" s="7"/>
      <c r="P3022" s="7"/>
      <c r="Q3022" s="7"/>
      <c r="R3022" s="7"/>
    </row>
    <row r="3023" spans="3:18"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N3023" s="8"/>
      <c r="O3023" s="7"/>
      <c r="P3023" s="7"/>
      <c r="Q3023" s="7"/>
      <c r="R3023" s="7"/>
    </row>
    <row r="3024" spans="3:18"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N3024" s="8"/>
      <c r="O3024" s="7"/>
      <c r="P3024" s="7"/>
      <c r="Q3024" s="7"/>
      <c r="R3024" s="7"/>
    </row>
    <row r="3025" spans="3:18"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N3025" s="8"/>
      <c r="O3025" s="7"/>
      <c r="P3025" s="7"/>
      <c r="Q3025" s="7"/>
      <c r="R3025" s="7"/>
    </row>
    <row r="3026" spans="3:18"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N3026" s="8"/>
      <c r="O3026" s="7"/>
      <c r="P3026" s="7"/>
      <c r="Q3026" s="7"/>
      <c r="R3026" s="7"/>
    </row>
    <row r="3027" spans="3:18"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N3027" s="8"/>
      <c r="O3027" s="7"/>
      <c r="P3027" s="7"/>
      <c r="Q3027" s="7"/>
      <c r="R3027" s="7"/>
    </row>
    <row r="3028" spans="3:18"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N3028" s="8"/>
      <c r="O3028" s="7"/>
      <c r="P3028" s="7"/>
      <c r="Q3028" s="7"/>
      <c r="R3028" s="7"/>
    </row>
    <row r="3029" spans="3:18"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N3029" s="8"/>
      <c r="O3029" s="7"/>
      <c r="P3029" s="7"/>
      <c r="Q3029" s="7"/>
      <c r="R3029" s="7"/>
    </row>
    <row r="3030" spans="3:18"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N3030" s="8"/>
      <c r="O3030" s="7"/>
      <c r="P3030" s="7"/>
      <c r="Q3030" s="7"/>
      <c r="R3030" s="7"/>
    </row>
    <row r="3031" spans="3:18"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N3031" s="8"/>
      <c r="O3031" s="7"/>
      <c r="P3031" s="7"/>
      <c r="Q3031" s="7"/>
      <c r="R3031" s="7"/>
    </row>
    <row r="3032" spans="3:18"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N3032" s="8"/>
      <c r="O3032" s="7"/>
      <c r="P3032" s="7"/>
      <c r="Q3032" s="7"/>
      <c r="R3032" s="7"/>
    </row>
    <row r="3033" spans="3:18"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N3033" s="8"/>
      <c r="O3033" s="7"/>
      <c r="P3033" s="7"/>
      <c r="Q3033" s="7"/>
      <c r="R3033" s="7"/>
    </row>
    <row r="3034" spans="3:18"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N3034" s="8"/>
      <c r="O3034" s="7"/>
      <c r="P3034" s="7"/>
      <c r="Q3034" s="7"/>
      <c r="R3034" s="7"/>
    </row>
    <row r="3035" spans="3:18"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N3035" s="8"/>
      <c r="O3035" s="7"/>
      <c r="P3035" s="7"/>
      <c r="Q3035" s="7"/>
      <c r="R3035" s="7"/>
    </row>
    <row r="3036" spans="3:18"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N3036" s="8"/>
      <c r="O3036" s="7"/>
      <c r="P3036" s="7"/>
      <c r="Q3036" s="7"/>
      <c r="R3036" s="7"/>
    </row>
    <row r="3037" spans="3:18"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N3037" s="8"/>
      <c r="O3037" s="7"/>
      <c r="P3037" s="7"/>
      <c r="Q3037" s="7"/>
      <c r="R3037" s="7"/>
    </row>
    <row r="3038" spans="3:18"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N3038" s="8"/>
      <c r="O3038" s="7"/>
      <c r="P3038" s="7"/>
      <c r="Q3038" s="7"/>
      <c r="R3038" s="7"/>
    </row>
    <row r="3039" spans="3:18"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N3039" s="8"/>
      <c r="O3039" s="7"/>
      <c r="P3039" s="7"/>
      <c r="Q3039" s="7"/>
      <c r="R3039" s="7"/>
    </row>
    <row r="3040" spans="3:18"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N3040" s="8"/>
      <c r="O3040" s="7"/>
      <c r="P3040" s="7"/>
      <c r="Q3040" s="7"/>
      <c r="R3040" s="7"/>
    </row>
    <row r="3041" spans="3:18"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N3041" s="8"/>
      <c r="O3041" s="7"/>
      <c r="P3041" s="7"/>
      <c r="Q3041" s="7"/>
      <c r="R3041" s="7"/>
    </row>
    <row r="3042" spans="3:18"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N3042" s="8"/>
      <c r="O3042" s="7"/>
      <c r="P3042" s="7"/>
      <c r="Q3042" s="7"/>
      <c r="R3042" s="7"/>
    </row>
    <row r="3043" spans="3:18"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N3043" s="8"/>
      <c r="O3043" s="7"/>
      <c r="P3043" s="7"/>
      <c r="Q3043" s="7"/>
      <c r="R3043" s="7"/>
    </row>
    <row r="3044" spans="3:18"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N3044" s="8"/>
      <c r="O3044" s="7"/>
      <c r="P3044" s="7"/>
      <c r="Q3044" s="7"/>
      <c r="R3044" s="7"/>
    </row>
    <row r="3045" spans="3:18"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N3045" s="8"/>
      <c r="O3045" s="7"/>
      <c r="P3045" s="7"/>
      <c r="Q3045" s="7"/>
      <c r="R3045" s="7"/>
    </row>
    <row r="3046" spans="3:18"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N3046" s="8"/>
      <c r="O3046" s="7"/>
      <c r="P3046" s="7"/>
      <c r="Q3046" s="7"/>
      <c r="R3046" s="7"/>
    </row>
    <row r="3047" spans="3:18"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N3047" s="8"/>
      <c r="O3047" s="7"/>
      <c r="P3047" s="7"/>
      <c r="Q3047" s="7"/>
      <c r="R3047" s="7"/>
    </row>
    <row r="3048" spans="3:18"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N3048" s="8"/>
      <c r="O3048" s="7"/>
      <c r="P3048" s="7"/>
      <c r="Q3048" s="7"/>
      <c r="R3048" s="7"/>
    </row>
    <row r="3049" spans="3:18"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N3049" s="8"/>
      <c r="O3049" s="7"/>
      <c r="P3049" s="7"/>
      <c r="Q3049" s="7"/>
      <c r="R3049" s="7"/>
    </row>
    <row r="3050" spans="3:18"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N3050" s="8"/>
      <c r="O3050" s="7"/>
      <c r="P3050" s="7"/>
      <c r="Q3050" s="7"/>
      <c r="R3050" s="7"/>
    </row>
    <row r="3051" spans="3:18"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N3051" s="8"/>
      <c r="O3051" s="7"/>
      <c r="P3051" s="7"/>
      <c r="Q3051" s="7"/>
      <c r="R3051" s="7"/>
    </row>
    <row r="3052" spans="3:18"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N3052" s="8"/>
      <c r="O3052" s="7"/>
      <c r="P3052" s="7"/>
      <c r="Q3052" s="7"/>
      <c r="R3052" s="7"/>
    </row>
    <row r="3053" spans="3:18"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N3053" s="8"/>
      <c r="O3053" s="7"/>
      <c r="P3053" s="7"/>
      <c r="Q3053" s="7"/>
      <c r="R3053" s="7"/>
    </row>
    <row r="3054" spans="3:18"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N3054" s="8"/>
      <c r="O3054" s="7"/>
      <c r="P3054" s="7"/>
      <c r="Q3054" s="7"/>
      <c r="R3054" s="7"/>
    </row>
    <row r="3055" spans="3:18"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N3055" s="8"/>
      <c r="O3055" s="7"/>
      <c r="P3055" s="7"/>
      <c r="Q3055" s="7"/>
      <c r="R3055" s="7"/>
    </row>
    <row r="3056" spans="3:18"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N3056" s="8"/>
      <c r="O3056" s="7"/>
      <c r="P3056" s="7"/>
      <c r="Q3056" s="7"/>
      <c r="R3056" s="7"/>
    </row>
    <row r="3057" spans="3:18"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N3057" s="8"/>
      <c r="O3057" s="7"/>
      <c r="P3057" s="7"/>
      <c r="Q3057" s="7"/>
      <c r="R3057" s="7"/>
    </row>
    <row r="3058" spans="3:18"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N3058" s="8"/>
      <c r="O3058" s="7"/>
      <c r="P3058" s="7"/>
      <c r="Q3058" s="7"/>
      <c r="R3058" s="7"/>
    </row>
    <row r="3059" spans="3:18"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N3059" s="8"/>
      <c r="O3059" s="7"/>
      <c r="P3059" s="7"/>
      <c r="Q3059" s="7"/>
      <c r="R3059" s="7"/>
    </row>
    <row r="3060" spans="3:18"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N3060" s="8"/>
      <c r="O3060" s="7"/>
      <c r="P3060" s="7"/>
      <c r="Q3060" s="7"/>
      <c r="R3060" s="7"/>
    </row>
    <row r="3061" spans="3:18"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N3061" s="8"/>
      <c r="O3061" s="7"/>
      <c r="P3061" s="7"/>
      <c r="Q3061" s="7"/>
      <c r="R3061" s="7"/>
    </row>
    <row r="3062" spans="3:18"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N3062" s="8"/>
      <c r="O3062" s="7"/>
      <c r="P3062" s="7"/>
      <c r="Q3062" s="7"/>
      <c r="R3062" s="7"/>
    </row>
    <row r="3063" spans="3:18"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N3063" s="8"/>
      <c r="O3063" s="7"/>
      <c r="P3063" s="7"/>
      <c r="Q3063" s="7"/>
      <c r="R3063" s="7"/>
    </row>
    <row r="3064" spans="3:18"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N3064" s="8"/>
      <c r="O3064" s="7"/>
      <c r="P3064" s="7"/>
      <c r="Q3064" s="7"/>
      <c r="R3064" s="7"/>
    </row>
    <row r="3065" spans="3:18"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N3065" s="8"/>
      <c r="O3065" s="7"/>
      <c r="P3065" s="7"/>
      <c r="Q3065" s="7"/>
      <c r="R3065" s="7"/>
    </row>
    <row r="3066" spans="3:18"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N3066" s="8"/>
      <c r="O3066" s="7"/>
      <c r="P3066" s="7"/>
      <c r="Q3066" s="7"/>
      <c r="R3066" s="7"/>
    </row>
    <row r="3067" spans="3:18"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N3067" s="8"/>
      <c r="O3067" s="7"/>
      <c r="P3067" s="7"/>
      <c r="Q3067" s="7"/>
      <c r="R3067" s="7"/>
    </row>
    <row r="3068" spans="3:18"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N3068" s="8"/>
      <c r="O3068" s="7"/>
      <c r="P3068" s="7"/>
      <c r="Q3068" s="7"/>
      <c r="R3068" s="7"/>
    </row>
    <row r="3069" spans="3:18"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N3069" s="8"/>
      <c r="O3069" s="7"/>
      <c r="P3069" s="7"/>
      <c r="Q3069" s="7"/>
      <c r="R3069" s="7"/>
    </row>
    <row r="3070" spans="3:18"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N3070" s="8"/>
      <c r="O3070" s="7"/>
      <c r="P3070" s="7"/>
      <c r="Q3070" s="7"/>
      <c r="R3070" s="7"/>
    </row>
    <row r="3071" spans="3:18"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N3071" s="8"/>
      <c r="O3071" s="7"/>
      <c r="P3071" s="7"/>
      <c r="Q3071" s="7"/>
      <c r="R3071" s="7"/>
    </row>
    <row r="3072" spans="3:18"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N3072" s="8"/>
      <c r="O3072" s="7"/>
      <c r="P3072" s="7"/>
      <c r="Q3072" s="7"/>
      <c r="R3072" s="7"/>
    </row>
    <row r="3073" spans="3:18"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N3073" s="8"/>
      <c r="O3073" s="7"/>
      <c r="P3073" s="7"/>
      <c r="Q3073" s="7"/>
      <c r="R3073" s="7"/>
    </row>
    <row r="3074" spans="3:18"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N3074" s="8"/>
      <c r="O3074" s="7"/>
      <c r="P3074" s="7"/>
      <c r="Q3074" s="7"/>
      <c r="R3074" s="7"/>
    </row>
    <row r="3075" spans="3:18"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N3075" s="8"/>
      <c r="O3075" s="7"/>
      <c r="P3075" s="7"/>
      <c r="Q3075" s="7"/>
      <c r="R3075" s="7"/>
    </row>
    <row r="3076" spans="3:18"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N3076" s="8"/>
      <c r="O3076" s="7"/>
      <c r="P3076" s="7"/>
      <c r="Q3076" s="7"/>
      <c r="R3076" s="7"/>
    </row>
    <row r="3077" spans="3:18"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N3077" s="8"/>
      <c r="O3077" s="7"/>
      <c r="P3077" s="7"/>
      <c r="Q3077" s="7"/>
      <c r="R3077" s="7"/>
    </row>
    <row r="3078" spans="3:18"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N3078" s="8"/>
      <c r="O3078" s="7"/>
      <c r="P3078" s="7"/>
      <c r="Q3078" s="7"/>
      <c r="R3078" s="7"/>
    </row>
    <row r="3079" spans="3:18"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N3079" s="8"/>
      <c r="O3079" s="7"/>
      <c r="P3079" s="7"/>
      <c r="Q3079" s="7"/>
      <c r="R3079" s="7"/>
    </row>
    <row r="3080" spans="3:18"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N3080" s="8"/>
      <c r="O3080" s="7"/>
      <c r="P3080" s="7"/>
      <c r="Q3080" s="7"/>
      <c r="R3080" s="7"/>
    </row>
    <row r="3081" spans="3:18"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N3081" s="8"/>
      <c r="O3081" s="7"/>
      <c r="P3081" s="7"/>
      <c r="Q3081" s="7"/>
      <c r="R3081" s="7"/>
    </row>
    <row r="3082" spans="3:18"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N3082" s="8"/>
      <c r="O3082" s="7"/>
      <c r="P3082" s="7"/>
      <c r="Q3082" s="7"/>
      <c r="R3082" s="7"/>
    </row>
    <row r="3083" spans="3:18"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N3083" s="8"/>
      <c r="O3083" s="7"/>
      <c r="P3083" s="7"/>
      <c r="Q3083" s="7"/>
      <c r="R3083" s="7"/>
    </row>
    <row r="3084" spans="3:18"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N3084" s="8"/>
      <c r="O3084" s="7"/>
      <c r="P3084" s="7"/>
      <c r="Q3084" s="7"/>
      <c r="R3084" s="7"/>
    </row>
    <row r="3085" spans="3:18"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N3085" s="8"/>
      <c r="O3085" s="7"/>
      <c r="P3085" s="7"/>
      <c r="Q3085" s="7"/>
      <c r="R3085" s="7"/>
    </row>
    <row r="3086" spans="3:18"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N3086" s="8"/>
      <c r="O3086" s="7"/>
      <c r="P3086" s="7"/>
      <c r="Q3086" s="7"/>
      <c r="R3086" s="7"/>
    </row>
    <row r="3087" spans="3:18"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N3087" s="8"/>
      <c r="O3087" s="7"/>
      <c r="P3087" s="7"/>
      <c r="Q3087" s="7"/>
      <c r="R3087" s="7"/>
    </row>
    <row r="3088" spans="3:18"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N3088" s="8"/>
      <c r="O3088" s="7"/>
      <c r="P3088" s="7"/>
      <c r="Q3088" s="7"/>
      <c r="R3088" s="7"/>
    </row>
    <row r="3089" spans="3:18"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N3089" s="8"/>
      <c r="O3089" s="7"/>
      <c r="P3089" s="7"/>
      <c r="Q3089" s="7"/>
      <c r="R3089" s="7"/>
    </row>
    <row r="3090" spans="3:18"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N3090" s="8"/>
      <c r="O3090" s="7"/>
      <c r="P3090" s="7"/>
      <c r="Q3090" s="7"/>
      <c r="R3090" s="7"/>
    </row>
    <row r="3091" spans="3:18"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N3091" s="8"/>
      <c r="O3091" s="7"/>
      <c r="P3091" s="7"/>
      <c r="Q3091" s="7"/>
      <c r="R3091" s="7"/>
    </row>
    <row r="3092" spans="3:18"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N3092" s="8"/>
      <c r="O3092" s="7"/>
      <c r="P3092" s="7"/>
      <c r="Q3092" s="7"/>
      <c r="R3092" s="7"/>
    </row>
    <row r="3093" spans="3:18"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N3093" s="8"/>
      <c r="O3093" s="7"/>
      <c r="P3093" s="7"/>
      <c r="Q3093" s="7"/>
      <c r="R3093" s="7"/>
    </row>
    <row r="3094" spans="3:18"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N3094" s="8"/>
      <c r="O3094" s="7"/>
      <c r="P3094" s="7"/>
      <c r="Q3094" s="7"/>
      <c r="R3094" s="7"/>
    </row>
    <row r="3095" spans="3:18"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N3095" s="8"/>
      <c r="O3095" s="7"/>
      <c r="P3095" s="7"/>
      <c r="Q3095" s="7"/>
      <c r="R3095" s="7"/>
    </row>
    <row r="3096" spans="3:18"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N3096" s="8"/>
      <c r="O3096" s="7"/>
      <c r="P3096" s="7"/>
      <c r="Q3096" s="7"/>
      <c r="R3096" s="7"/>
    </row>
    <row r="3097" spans="3:18"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N3097" s="8"/>
      <c r="O3097" s="7"/>
      <c r="P3097" s="7"/>
      <c r="Q3097" s="7"/>
      <c r="R3097" s="7"/>
    </row>
    <row r="3098" spans="3:18"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N3098" s="8"/>
      <c r="O3098" s="7"/>
      <c r="P3098" s="7"/>
      <c r="Q3098" s="7"/>
      <c r="R3098" s="7"/>
    </row>
    <row r="3099" spans="3:18"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N3099" s="8"/>
      <c r="O3099" s="7"/>
      <c r="P3099" s="7"/>
      <c r="Q3099" s="7"/>
      <c r="R3099" s="7"/>
    </row>
    <row r="3100" spans="3:18"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N3100" s="8"/>
      <c r="O3100" s="7"/>
      <c r="P3100" s="7"/>
      <c r="Q3100" s="7"/>
      <c r="R3100" s="7"/>
    </row>
    <row r="3101" spans="3:18"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N3101" s="8"/>
      <c r="O3101" s="7"/>
      <c r="P3101" s="7"/>
      <c r="Q3101" s="7"/>
      <c r="R3101" s="7"/>
    </row>
    <row r="3102" spans="3:18"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N3102" s="8"/>
      <c r="O3102" s="7"/>
      <c r="P3102" s="7"/>
      <c r="Q3102" s="7"/>
      <c r="R3102" s="7"/>
    </row>
    <row r="3103" spans="3:18"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N3103" s="8"/>
      <c r="O3103" s="7"/>
      <c r="P3103" s="7"/>
      <c r="Q3103" s="7"/>
      <c r="R3103" s="7"/>
    </row>
    <row r="3104" spans="3:18"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N3104" s="8"/>
      <c r="O3104" s="7"/>
      <c r="P3104" s="7"/>
      <c r="Q3104" s="7"/>
      <c r="R3104" s="7"/>
    </row>
    <row r="3105" spans="3:18"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N3105" s="8"/>
      <c r="O3105" s="7"/>
      <c r="P3105" s="7"/>
      <c r="Q3105" s="7"/>
      <c r="R3105" s="7"/>
    </row>
    <row r="3106" spans="3:18"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N3106" s="8"/>
      <c r="O3106" s="7"/>
      <c r="P3106" s="7"/>
      <c r="Q3106" s="7"/>
      <c r="R3106" s="7"/>
    </row>
    <row r="3107" spans="3:18"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N3107" s="8"/>
      <c r="O3107" s="7"/>
      <c r="P3107" s="7"/>
      <c r="Q3107" s="7"/>
      <c r="R3107" s="7"/>
    </row>
    <row r="3108" spans="3:18"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N3108" s="8"/>
      <c r="O3108" s="7"/>
      <c r="P3108" s="7"/>
      <c r="Q3108" s="7"/>
      <c r="R3108" s="7"/>
    </row>
    <row r="3109" spans="3:18"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N3109" s="8"/>
      <c r="O3109" s="7"/>
      <c r="P3109" s="7"/>
      <c r="Q3109" s="7"/>
      <c r="R3109" s="7"/>
    </row>
    <row r="3110" spans="3:18"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N3110" s="8"/>
      <c r="O3110" s="7"/>
      <c r="P3110" s="7"/>
      <c r="Q3110" s="7"/>
      <c r="R3110" s="7"/>
    </row>
    <row r="3111" spans="3:18"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N3111" s="8"/>
      <c r="O3111" s="7"/>
      <c r="P3111" s="7"/>
      <c r="Q3111" s="7"/>
      <c r="R3111" s="7"/>
    </row>
    <row r="3112" spans="3:18"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N3112" s="8"/>
      <c r="O3112" s="7"/>
      <c r="P3112" s="7"/>
      <c r="Q3112" s="7"/>
      <c r="R3112" s="7"/>
    </row>
    <row r="3113" spans="3:18"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N3113" s="8"/>
      <c r="O3113" s="7"/>
      <c r="P3113" s="7"/>
      <c r="Q3113" s="7"/>
      <c r="R3113" s="7"/>
    </row>
    <row r="3114" spans="3:18"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N3114" s="8"/>
      <c r="O3114" s="7"/>
      <c r="P3114" s="7"/>
      <c r="Q3114" s="7"/>
      <c r="R3114" s="7"/>
    </row>
    <row r="3115" spans="3:18"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N3115" s="8"/>
      <c r="O3115" s="7"/>
      <c r="P3115" s="7"/>
      <c r="Q3115" s="7"/>
      <c r="R3115" s="7"/>
    </row>
    <row r="3116" spans="3:18"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N3116" s="8"/>
      <c r="O3116" s="7"/>
      <c r="P3116" s="7"/>
      <c r="Q3116" s="7"/>
      <c r="R3116" s="7"/>
    </row>
    <row r="3117" spans="3:18"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N3117" s="8"/>
      <c r="O3117" s="7"/>
      <c r="P3117" s="7"/>
      <c r="Q3117" s="7"/>
      <c r="R3117" s="7"/>
    </row>
    <row r="3118" spans="3:18"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N3118" s="8"/>
      <c r="O3118" s="7"/>
      <c r="P3118" s="7"/>
      <c r="Q3118" s="7"/>
      <c r="R3118" s="7"/>
    </row>
    <row r="3119" spans="3:18"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N3119" s="8"/>
      <c r="O3119" s="7"/>
      <c r="P3119" s="7"/>
      <c r="Q3119" s="7"/>
      <c r="R3119" s="7"/>
    </row>
    <row r="3120" spans="3:18"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N3120" s="8"/>
      <c r="O3120" s="7"/>
      <c r="P3120" s="7"/>
      <c r="Q3120" s="7"/>
      <c r="R3120" s="7"/>
    </row>
    <row r="3121" spans="3:18"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N3121" s="8"/>
      <c r="O3121" s="7"/>
      <c r="P3121" s="7"/>
      <c r="Q3121" s="7"/>
      <c r="R3121" s="7"/>
    </row>
    <row r="3122" spans="3:18"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N3122" s="8"/>
      <c r="O3122" s="7"/>
      <c r="P3122" s="7"/>
      <c r="Q3122" s="7"/>
      <c r="R3122" s="7"/>
    </row>
    <row r="3123" spans="3:18"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N3123" s="8"/>
      <c r="O3123" s="7"/>
      <c r="P3123" s="7"/>
      <c r="Q3123" s="7"/>
      <c r="R3123" s="7"/>
    </row>
    <row r="3124" spans="3:18"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N3124" s="8"/>
      <c r="O3124" s="7"/>
      <c r="P3124" s="7"/>
      <c r="Q3124" s="7"/>
      <c r="R3124" s="7"/>
    </row>
    <row r="3125" spans="3:18"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N3125" s="8"/>
      <c r="O3125" s="7"/>
      <c r="P3125" s="7"/>
      <c r="Q3125" s="7"/>
      <c r="R3125" s="7"/>
    </row>
    <row r="3126" spans="3:18"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N3126" s="8"/>
      <c r="O3126" s="7"/>
      <c r="P3126" s="7"/>
      <c r="Q3126" s="7"/>
      <c r="R3126" s="7"/>
    </row>
    <row r="3127" spans="3:18"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N3127" s="8"/>
      <c r="O3127" s="7"/>
      <c r="P3127" s="7"/>
      <c r="Q3127" s="7"/>
      <c r="R3127" s="7"/>
    </row>
    <row r="3128" spans="3:18"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N3128" s="8"/>
      <c r="O3128" s="7"/>
      <c r="P3128" s="7"/>
      <c r="Q3128" s="7"/>
      <c r="R3128" s="7"/>
    </row>
    <row r="3129" spans="3:18"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N3129" s="8"/>
      <c r="O3129" s="7"/>
      <c r="P3129" s="7"/>
      <c r="Q3129" s="7"/>
      <c r="R3129" s="7"/>
    </row>
    <row r="3130" spans="3:18"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N3130" s="8"/>
      <c r="O3130" s="7"/>
      <c r="P3130" s="7"/>
      <c r="Q3130" s="7"/>
      <c r="R3130" s="7"/>
    </row>
    <row r="3131" spans="3:18"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N3131" s="8"/>
      <c r="O3131" s="7"/>
      <c r="P3131" s="7"/>
      <c r="Q3131" s="7"/>
      <c r="R3131" s="7"/>
    </row>
    <row r="3132" spans="3:18"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N3132" s="8"/>
      <c r="O3132" s="7"/>
      <c r="P3132" s="7"/>
      <c r="Q3132" s="7"/>
      <c r="R3132" s="7"/>
    </row>
    <row r="3133" spans="3:18"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N3133" s="8"/>
      <c r="O3133" s="7"/>
      <c r="P3133" s="7"/>
      <c r="Q3133" s="7"/>
      <c r="R3133" s="7"/>
    </row>
    <row r="3134" spans="3:18"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N3134" s="8"/>
      <c r="O3134" s="7"/>
      <c r="P3134" s="7"/>
      <c r="Q3134" s="7"/>
      <c r="R3134" s="7"/>
    </row>
    <row r="3135" spans="3:18"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N3135" s="8"/>
      <c r="O3135" s="7"/>
      <c r="P3135" s="7"/>
      <c r="Q3135" s="7"/>
      <c r="R3135" s="7"/>
    </row>
    <row r="3136" spans="3:18"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N3136" s="8"/>
      <c r="O3136" s="7"/>
      <c r="P3136" s="7"/>
      <c r="Q3136" s="7"/>
      <c r="R3136" s="7"/>
    </row>
    <row r="3137" spans="3:18"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N3137" s="8"/>
      <c r="O3137" s="7"/>
      <c r="P3137" s="7"/>
      <c r="Q3137" s="7"/>
      <c r="R3137" s="7"/>
    </row>
    <row r="3138" spans="3:18"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N3138" s="8"/>
      <c r="O3138" s="7"/>
      <c r="P3138" s="7"/>
      <c r="Q3138" s="7"/>
      <c r="R3138" s="7"/>
    </row>
    <row r="3139" spans="3:18"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N3139" s="8"/>
      <c r="O3139" s="7"/>
      <c r="P3139" s="7"/>
      <c r="Q3139" s="7"/>
      <c r="R3139" s="7"/>
    </row>
    <row r="3140" spans="3:18"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N3140" s="8"/>
      <c r="O3140" s="7"/>
      <c r="P3140" s="7"/>
      <c r="Q3140" s="7"/>
      <c r="R3140" s="7"/>
    </row>
    <row r="3141" spans="3:18"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N3141" s="8"/>
      <c r="O3141" s="7"/>
      <c r="P3141" s="7"/>
      <c r="Q3141" s="7"/>
      <c r="R3141" s="7"/>
    </row>
    <row r="3142" spans="3:18"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N3142" s="8"/>
      <c r="O3142" s="7"/>
      <c r="P3142" s="7"/>
      <c r="Q3142" s="7"/>
      <c r="R3142" s="7"/>
    </row>
    <row r="3143" spans="3:18"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N3143" s="8"/>
      <c r="O3143" s="7"/>
      <c r="P3143" s="7"/>
      <c r="Q3143" s="7"/>
      <c r="R3143" s="7"/>
    </row>
    <row r="3144" spans="3:18"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N3144" s="8"/>
      <c r="O3144" s="7"/>
      <c r="P3144" s="7"/>
      <c r="Q3144" s="7"/>
      <c r="R3144" s="7"/>
    </row>
    <row r="3145" spans="3:18"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N3145" s="8"/>
      <c r="O3145" s="7"/>
      <c r="P3145" s="7"/>
      <c r="Q3145" s="7"/>
      <c r="R3145" s="7"/>
    </row>
    <row r="3146" spans="3:18"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N3146" s="8"/>
      <c r="O3146" s="7"/>
      <c r="P3146" s="7"/>
      <c r="Q3146" s="7"/>
      <c r="R3146" s="7"/>
    </row>
    <row r="3147" spans="3:18"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N3147" s="8"/>
      <c r="O3147" s="7"/>
      <c r="P3147" s="7"/>
      <c r="Q3147" s="7"/>
      <c r="R3147" s="7"/>
    </row>
    <row r="3148" spans="3:18"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N3148" s="8"/>
      <c r="O3148" s="7"/>
      <c r="P3148" s="7"/>
      <c r="Q3148" s="7"/>
      <c r="R3148" s="7"/>
    </row>
    <row r="3149" spans="3:18"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N3149" s="8"/>
      <c r="O3149" s="7"/>
      <c r="P3149" s="7"/>
      <c r="Q3149" s="7"/>
      <c r="R3149" s="7"/>
    </row>
    <row r="3150" spans="3:18"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N3150" s="8"/>
      <c r="O3150" s="7"/>
      <c r="P3150" s="7"/>
      <c r="Q3150" s="7"/>
      <c r="R3150" s="7"/>
    </row>
    <row r="3151" spans="3:18"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N3151" s="8"/>
      <c r="O3151" s="7"/>
      <c r="P3151" s="7"/>
      <c r="Q3151" s="7"/>
      <c r="R3151" s="7"/>
    </row>
    <row r="3152" spans="3:18"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N3152" s="8"/>
      <c r="O3152" s="7"/>
      <c r="P3152" s="7"/>
      <c r="Q3152" s="7"/>
      <c r="R3152" s="7"/>
    </row>
    <row r="3153" spans="3:18"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N3153" s="8"/>
      <c r="O3153" s="7"/>
      <c r="P3153" s="7"/>
      <c r="Q3153" s="7"/>
      <c r="R3153" s="7"/>
    </row>
    <row r="3154" spans="3:18"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N3154" s="8"/>
      <c r="O3154" s="7"/>
      <c r="P3154" s="7"/>
      <c r="Q3154" s="7"/>
      <c r="R3154" s="7"/>
    </row>
    <row r="3155" spans="3:18"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N3155" s="8"/>
      <c r="O3155" s="7"/>
      <c r="P3155" s="7"/>
      <c r="Q3155" s="7"/>
      <c r="R3155" s="7"/>
    </row>
    <row r="3156" spans="3:18"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N3156" s="8"/>
      <c r="O3156" s="7"/>
      <c r="P3156" s="7"/>
      <c r="Q3156" s="7"/>
      <c r="R3156" s="7"/>
    </row>
    <row r="3157" spans="3:18"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N3157" s="8"/>
      <c r="O3157" s="7"/>
      <c r="P3157" s="7"/>
      <c r="Q3157" s="7"/>
      <c r="R3157" s="7"/>
    </row>
    <row r="3158" spans="3:18"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N3158" s="8"/>
      <c r="O3158" s="7"/>
      <c r="P3158" s="7"/>
      <c r="Q3158" s="7"/>
      <c r="R3158" s="7"/>
    </row>
    <row r="3159" spans="3:18"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N3159" s="8"/>
      <c r="O3159" s="7"/>
      <c r="P3159" s="7"/>
      <c r="Q3159" s="7"/>
      <c r="R3159" s="7"/>
    </row>
    <row r="3160" spans="3:18"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N3160" s="8"/>
      <c r="O3160" s="7"/>
      <c r="P3160" s="7"/>
      <c r="Q3160" s="7"/>
      <c r="R3160" s="7"/>
    </row>
    <row r="3161" spans="3:18"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N3161" s="8"/>
      <c r="O3161" s="7"/>
      <c r="P3161" s="7"/>
      <c r="Q3161" s="7"/>
      <c r="R3161" s="7"/>
    </row>
    <row r="3162" spans="3:18"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N3162" s="8"/>
      <c r="O3162" s="7"/>
      <c r="P3162" s="7"/>
      <c r="Q3162" s="7"/>
      <c r="R3162" s="7"/>
    </row>
    <row r="3163" spans="3:18"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N3163" s="8"/>
      <c r="O3163" s="7"/>
      <c r="P3163" s="7"/>
      <c r="Q3163" s="7"/>
      <c r="R3163" s="7"/>
    </row>
    <row r="3164" spans="3:18"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N3164" s="8"/>
      <c r="O3164" s="7"/>
      <c r="P3164" s="7"/>
      <c r="Q3164" s="7"/>
      <c r="R3164" s="7"/>
    </row>
    <row r="3165" spans="3:18"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N3165" s="8"/>
      <c r="O3165" s="7"/>
      <c r="P3165" s="7"/>
      <c r="Q3165" s="7"/>
      <c r="R3165" s="7"/>
    </row>
    <row r="3166" spans="3:18"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N3166" s="8"/>
      <c r="O3166" s="7"/>
      <c r="P3166" s="7"/>
      <c r="Q3166" s="7"/>
      <c r="R3166" s="7"/>
    </row>
    <row r="3167" spans="3:18"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N3167" s="8"/>
      <c r="O3167" s="7"/>
      <c r="P3167" s="7"/>
      <c r="Q3167" s="7"/>
      <c r="R3167" s="7"/>
    </row>
    <row r="3168" spans="3:18"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N3168" s="8"/>
      <c r="O3168" s="7"/>
      <c r="P3168" s="7"/>
      <c r="Q3168" s="7"/>
      <c r="R3168" s="7"/>
    </row>
    <row r="3169" spans="3:18"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N3169" s="8"/>
      <c r="O3169" s="7"/>
      <c r="P3169" s="7"/>
      <c r="Q3169" s="7"/>
      <c r="R3169" s="7"/>
    </row>
    <row r="3170" spans="3:18"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N3170" s="8"/>
      <c r="O3170" s="7"/>
      <c r="P3170" s="7"/>
      <c r="Q3170" s="7"/>
      <c r="R3170" s="7"/>
    </row>
    <row r="3171" spans="3:18"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N3171" s="8"/>
      <c r="O3171" s="7"/>
      <c r="P3171" s="7"/>
      <c r="Q3171" s="7"/>
      <c r="R3171" s="7"/>
    </row>
    <row r="3172" spans="3:18"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N3172" s="8"/>
      <c r="O3172" s="7"/>
      <c r="P3172" s="7"/>
      <c r="Q3172" s="7"/>
      <c r="R3172" s="7"/>
    </row>
    <row r="3173" spans="3:18"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N3173" s="8"/>
      <c r="O3173" s="7"/>
      <c r="P3173" s="7"/>
      <c r="Q3173" s="7"/>
      <c r="R3173" s="7"/>
    </row>
    <row r="3174" spans="3:18"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N3174" s="8"/>
      <c r="O3174" s="7"/>
      <c r="P3174" s="7"/>
      <c r="Q3174" s="7"/>
      <c r="R3174" s="7"/>
    </row>
    <row r="3175" spans="3:18"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N3175" s="8"/>
      <c r="O3175" s="7"/>
      <c r="P3175" s="7"/>
      <c r="Q3175" s="7"/>
      <c r="R3175" s="7"/>
    </row>
    <row r="3176" spans="3:18"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N3176" s="8"/>
      <c r="O3176" s="7"/>
      <c r="P3176" s="7"/>
      <c r="Q3176" s="7"/>
      <c r="R3176" s="7"/>
    </row>
    <row r="3177" spans="3:18"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N3177" s="8"/>
      <c r="O3177" s="7"/>
      <c r="P3177" s="7"/>
      <c r="Q3177" s="7"/>
      <c r="R3177" s="7"/>
    </row>
    <row r="3178" spans="3:18"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N3178" s="8"/>
      <c r="O3178" s="7"/>
      <c r="P3178" s="7"/>
      <c r="Q3178" s="7"/>
      <c r="R3178" s="7"/>
    </row>
    <row r="3179" spans="3:18"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N3179" s="8"/>
      <c r="O3179" s="7"/>
      <c r="P3179" s="7"/>
      <c r="Q3179" s="7"/>
      <c r="R3179" s="7"/>
    </row>
    <row r="3180" spans="3:18"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N3180" s="8"/>
      <c r="O3180" s="7"/>
      <c r="P3180" s="7"/>
      <c r="Q3180" s="7"/>
      <c r="R3180" s="7"/>
    </row>
    <row r="3181" spans="3:18"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N3181" s="8"/>
      <c r="O3181" s="7"/>
      <c r="P3181" s="7"/>
      <c r="Q3181" s="7"/>
      <c r="R3181" s="7"/>
    </row>
    <row r="3182" spans="3:18"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N3182" s="8"/>
      <c r="O3182" s="7"/>
      <c r="P3182" s="7"/>
      <c r="Q3182" s="7"/>
      <c r="R3182" s="7"/>
    </row>
    <row r="3183" spans="3:18"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N3183" s="8"/>
      <c r="O3183" s="7"/>
      <c r="P3183" s="7"/>
      <c r="Q3183" s="7"/>
      <c r="R3183" s="7"/>
    </row>
    <row r="3184" spans="3:18"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N3184" s="8"/>
      <c r="O3184" s="7"/>
      <c r="P3184" s="7"/>
      <c r="Q3184" s="7"/>
      <c r="R3184" s="7"/>
    </row>
    <row r="3185" spans="3:18"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N3185" s="8"/>
      <c r="O3185" s="7"/>
      <c r="P3185" s="7"/>
      <c r="Q3185" s="7"/>
      <c r="R3185" s="7"/>
    </row>
    <row r="3186" spans="3:18"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N3186" s="8"/>
      <c r="O3186" s="7"/>
      <c r="P3186" s="7"/>
      <c r="Q3186" s="7"/>
      <c r="R3186" s="7"/>
    </row>
    <row r="3187" spans="3:18"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N3187" s="8"/>
      <c r="O3187" s="7"/>
      <c r="P3187" s="7"/>
      <c r="Q3187" s="7"/>
      <c r="R3187" s="7"/>
    </row>
    <row r="3188" spans="3:18"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N3188" s="8"/>
      <c r="O3188" s="7"/>
      <c r="P3188" s="7"/>
      <c r="Q3188" s="7"/>
      <c r="R3188" s="7"/>
    </row>
    <row r="3189" spans="3:18"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N3189" s="8"/>
      <c r="O3189" s="7"/>
      <c r="P3189" s="7"/>
      <c r="Q3189" s="7"/>
      <c r="R3189" s="7"/>
    </row>
    <row r="3190" spans="3:18"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N3190" s="8"/>
      <c r="O3190" s="7"/>
      <c r="P3190" s="7"/>
      <c r="Q3190" s="7"/>
      <c r="R3190" s="7"/>
    </row>
    <row r="3191" spans="3:18"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N3191" s="8"/>
      <c r="O3191" s="7"/>
      <c r="P3191" s="7"/>
      <c r="Q3191" s="7"/>
      <c r="R3191" s="7"/>
    </row>
    <row r="3192" spans="3:18"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N3192" s="8"/>
      <c r="O3192" s="7"/>
      <c r="P3192" s="7"/>
      <c r="Q3192" s="7"/>
      <c r="R3192" s="7"/>
    </row>
    <row r="3193" spans="3:18"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N3193" s="8"/>
      <c r="O3193" s="7"/>
      <c r="P3193" s="7"/>
      <c r="Q3193" s="7"/>
      <c r="R3193" s="7"/>
    </row>
    <row r="3194" spans="3:18"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N3194" s="8"/>
      <c r="O3194" s="7"/>
      <c r="P3194" s="7"/>
      <c r="Q3194" s="7"/>
      <c r="R3194" s="7"/>
    </row>
    <row r="3195" spans="3:18"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N3195" s="8"/>
      <c r="O3195" s="7"/>
      <c r="P3195" s="7"/>
      <c r="Q3195" s="7"/>
      <c r="R3195" s="7"/>
    </row>
    <row r="3196" spans="3:18"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N3196" s="8"/>
      <c r="O3196" s="7"/>
      <c r="P3196" s="7"/>
      <c r="Q3196" s="7"/>
      <c r="R3196" s="7"/>
    </row>
    <row r="3197" spans="3:18"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N3197" s="8"/>
      <c r="O3197" s="7"/>
      <c r="P3197" s="7"/>
      <c r="Q3197" s="7"/>
      <c r="R3197" s="7"/>
    </row>
    <row r="3198" spans="3:18"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N3198" s="8"/>
      <c r="O3198" s="7"/>
      <c r="P3198" s="7"/>
      <c r="Q3198" s="7"/>
      <c r="R3198" s="7"/>
    </row>
    <row r="3199" spans="3:18"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N3199" s="8"/>
      <c r="O3199" s="7"/>
      <c r="P3199" s="7"/>
      <c r="Q3199" s="7"/>
      <c r="R3199" s="7"/>
    </row>
    <row r="3200" spans="3:18"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N3200" s="8"/>
      <c r="O3200" s="7"/>
      <c r="P3200" s="7"/>
      <c r="Q3200" s="7"/>
      <c r="R3200" s="7"/>
    </row>
    <row r="3201" spans="3:18"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N3201" s="8"/>
      <c r="O3201" s="7"/>
      <c r="P3201" s="7"/>
      <c r="Q3201" s="7"/>
      <c r="R3201" s="7"/>
    </row>
    <row r="3202" spans="3:18"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N3202" s="8"/>
      <c r="O3202" s="7"/>
      <c r="P3202" s="7"/>
      <c r="Q3202" s="7"/>
      <c r="R3202" s="7"/>
    </row>
    <row r="3203" spans="3:18"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N3203" s="8"/>
      <c r="O3203" s="7"/>
      <c r="P3203" s="7"/>
      <c r="Q3203" s="7"/>
      <c r="R3203" s="7"/>
    </row>
    <row r="3204" spans="3:18"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N3204" s="8"/>
      <c r="O3204" s="7"/>
      <c r="P3204" s="7"/>
      <c r="Q3204" s="7"/>
      <c r="R3204" s="7"/>
    </row>
    <row r="3205" spans="3:18"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N3205" s="8"/>
      <c r="O3205" s="7"/>
      <c r="P3205" s="7"/>
      <c r="Q3205" s="7"/>
      <c r="R3205" s="7"/>
    </row>
    <row r="3206" spans="3:18"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N3206" s="8"/>
      <c r="O3206" s="7"/>
      <c r="P3206" s="7"/>
      <c r="Q3206" s="7"/>
      <c r="R3206" s="7"/>
    </row>
    <row r="3207" spans="3:18"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N3207" s="8"/>
      <c r="O3207" s="7"/>
      <c r="P3207" s="7"/>
      <c r="Q3207" s="7"/>
      <c r="R3207" s="7"/>
    </row>
    <row r="3208" spans="3:18"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N3208" s="8"/>
      <c r="O3208" s="7"/>
      <c r="P3208" s="7"/>
      <c r="Q3208" s="7"/>
      <c r="R3208" s="7"/>
    </row>
    <row r="3209" spans="3:18"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N3209" s="8"/>
      <c r="O3209" s="7"/>
      <c r="P3209" s="7"/>
      <c r="Q3209" s="7"/>
      <c r="R3209" s="7"/>
    </row>
    <row r="3210" spans="3:18"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N3210" s="8"/>
      <c r="O3210" s="7"/>
      <c r="P3210" s="7"/>
      <c r="Q3210" s="7"/>
      <c r="R3210" s="7"/>
    </row>
    <row r="3211" spans="3:18"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N3211" s="8"/>
      <c r="O3211" s="7"/>
      <c r="P3211" s="7"/>
      <c r="Q3211" s="7"/>
      <c r="R3211" s="7"/>
    </row>
    <row r="3212" spans="3:18"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N3212" s="8"/>
      <c r="O3212" s="7"/>
      <c r="P3212" s="7"/>
      <c r="Q3212" s="7"/>
      <c r="R3212" s="7"/>
    </row>
    <row r="3213" spans="3:18"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N3213" s="8"/>
      <c r="O3213" s="7"/>
      <c r="P3213" s="7"/>
      <c r="Q3213" s="7"/>
      <c r="R3213" s="7"/>
    </row>
    <row r="3214" spans="3:18"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N3214" s="8"/>
      <c r="O3214" s="7"/>
      <c r="P3214" s="7"/>
      <c r="Q3214" s="7"/>
      <c r="R3214" s="7"/>
    </row>
    <row r="3215" spans="3:18"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N3215" s="8"/>
      <c r="O3215" s="7"/>
      <c r="P3215" s="7"/>
      <c r="Q3215" s="7"/>
      <c r="R3215" s="7"/>
    </row>
    <row r="3216" spans="3:18"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N3216" s="8"/>
      <c r="O3216" s="7"/>
      <c r="P3216" s="7"/>
      <c r="Q3216" s="7"/>
      <c r="R3216" s="7"/>
    </row>
    <row r="3217" spans="3:18"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N3217" s="8"/>
      <c r="O3217" s="7"/>
      <c r="P3217" s="7"/>
      <c r="Q3217" s="7"/>
      <c r="R3217" s="7"/>
    </row>
    <row r="3218" spans="3:18"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N3218" s="8"/>
      <c r="O3218" s="7"/>
      <c r="P3218" s="7"/>
      <c r="Q3218" s="7"/>
      <c r="R3218" s="7"/>
    </row>
    <row r="3219" spans="3:18"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N3219" s="8"/>
      <c r="O3219" s="7"/>
      <c r="P3219" s="7"/>
      <c r="Q3219" s="7"/>
      <c r="R3219" s="7"/>
    </row>
    <row r="3220" spans="3:18"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N3220" s="8"/>
      <c r="O3220" s="7"/>
      <c r="P3220" s="7"/>
      <c r="Q3220" s="7"/>
      <c r="R3220" s="7"/>
    </row>
    <row r="3221" spans="3:18"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N3221" s="8"/>
      <c r="O3221" s="7"/>
      <c r="P3221" s="7"/>
      <c r="Q3221" s="7"/>
      <c r="R3221" s="7"/>
    </row>
    <row r="3222" spans="3:18"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N3222" s="8"/>
      <c r="O3222" s="7"/>
      <c r="P3222" s="7"/>
      <c r="Q3222" s="7"/>
      <c r="R3222" s="7"/>
    </row>
    <row r="3223" spans="3:18"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N3223" s="8"/>
      <c r="O3223" s="7"/>
      <c r="P3223" s="7"/>
      <c r="Q3223" s="7"/>
      <c r="R3223" s="7"/>
    </row>
    <row r="3224" spans="3:18"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N3224" s="8"/>
      <c r="O3224" s="7"/>
      <c r="P3224" s="7"/>
      <c r="Q3224" s="7"/>
      <c r="R3224" s="7"/>
    </row>
    <row r="3225" spans="3:18"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N3225" s="8"/>
      <c r="O3225" s="7"/>
      <c r="P3225" s="7"/>
      <c r="Q3225" s="7"/>
      <c r="R3225" s="7"/>
    </row>
    <row r="3226" spans="3:18"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N3226" s="8"/>
      <c r="O3226" s="7"/>
      <c r="P3226" s="7"/>
      <c r="Q3226" s="7"/>
      <c r="R3226" s="7"/>
    </row>
    <row r="3227" spans="3:18"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N3227" s="8"/>
      <c r="O3227" s="7"/>
      <c r="P3227" s="7"/>
      <c r="Q3227" s="7"/>
      <c r="R3227" s="7"/>
    </row>
    <row r="3228" spans="3:18"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N3228" s="8"/>
      <c r="O3228" s="7"/>
      <c r="P3228" s="7"/>
      <c r="Q3228" s="7"/>
      <c r="R3228" s="7"/>
    </row>
    <row r="3229" spans="3:18"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N3229" s="8"/>
      <c r="O3229" s="7"/>
      <c r="P3229" s="7"/>
      <c r="Q3229" s="7"/>
      <c r="R3229" s="7"/>
    </row>
    <row r="3230" spans="3:18"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N3230" s="8"/>
      <c r="O3230" s="7"/>
      <c r="P3230" s="7"/>
      <c r="Q3230" s="7"/>
      <c r="R3230" s="7"/>
    </row>
    <row r="3231" spans="3:18"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N3231" s="8"/>
      <c r="O3231" s="7"/>
      <c r="P3231" s="7"/>
      <c r="Q3231" s="7"/>
      <c r="R3231" s="7"/>
    </row>
    <row r="3232" spans="3:18"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N3232" s="8"/>
      <c r="O3232" s="7"/>
      <c r="P3232" s="7"/>
      <c r="Q3232" s="7"/>
      <c r="R3232" s="7"/>
    </row>
    <row r="3233" spans="3:18"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N3233" s="8"/>
      <c r="O3233" s="7"/>
      <c r="P3233" s="7"/>
      <c r="Q3233" s="7"/>
      <c r="R3233" s="7"/>
    </row>
    <row r="3234" spans="3:18"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N3234" s="8"/>
      <c r="O3234" s="7"/>
      <c r="P3234" s="7"/>
      <c r="Q3234" s="7"/>
      <c r="R3234" s="7"/>
    </row>
    <row r="3235" spans="3:18"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N3235" s="8"/>
      <c r="O3235" s="7"/>
      <c r="P3235" s="7"/>
      <c r="Q3235" s="7"/>
      <c r="R3235" s="7"/>
    </row>
    <row r="3236" spans="3:18"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N3236" s="8"/>
      <c r="O3236" s="7"/>
      <c r="P3236" s="7"/>
      <c r="Q3236" s="7"/>
      <c r="R3236" s="7"/>
    </row>
    <row r="3237" spans="3:18"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N3237" s="8"/>
      <c r="O3237" s="7"/>
      <c r="P3237" s="7"/>
      <c r="Q3237" s="7"/>
      <c r="R3237" s="7"/>
    </row>
    <row r="3238" spans="3:18"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N3238" s="8"/>
      <c r="O3238" s="7"/>
      <c r="P3238" s="7"/>
      <c r="Q3238" s="7"/>
      <c r="R3238" s="7"/>
    </row>
    <row r="3239" spans="3:18"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N3239" s="8"/>
      <c r="O3239" s="7"/>
      <c r="P3239" s="7"/>
      <c r="Q3239" s="7"/>
      <c r="R3239" s="7"/>
    </row>
    <row r="3240" spans="3:18"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N3240" s="8"/>
      <c r="O3240" s="7"/>
      <c r="P3240" s="7"/>
      <c r="Q3240" s="7"/>
      <c r="R3240" s="7"/>
    </row>
    <row r="3241" spans="3:18"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N3241" s="8"/>
      <c r="O3241" s="7"/>
      <c r="P3241" s="7"/>
      <c r="Q3241" s="7"/>
      <c r="R3241" s="7"/>
    </row>
    <row r="3242" spans="3:18"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N3242" s="8"/>
      <c r="O3242" s="7"/>
      <c r="P3242" s="7"/>
      <c r="Q3242" s="7"/>
      <c r="R3242" s="7"/>
    </row>
    <row r="3243" spans="3:18"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N3243" s="8"/>
      <c r="O3243" s="7"/>
      <c r="P3243" s="7"/>
      <c r="Q3243" s="7"/>
      <c r="R3243" s="7"/>
    </row>
    <row r="3244" spans="3:18"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N3244" s="8"/>
      <c r="O3244" s="7"/>
      <c r="P3244" s="7"/>
      <c r="Q3244" s="7"/>
      <c r="R3244" s="7"/>
    </row>
    <row r="3245" spans="3:18"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N3245" s="8"/>
      <c r="O3245" s="7"/>
      <c r="P3245" s="7"/>
      <c r="Q3245" s="7"/>
      <c r="R3245" s="7"/>
    </row>
    <row r="3246" spans="3:18"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N3246" s="8"/>
      <c r="O3246" s="7"/>
      <c r="P3246" s="7"/>
      <c r="Q3246" s="7"/>
      <c r="R3246" s="7"/>
    </row>
    <row r="3247" spans="3:18"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N3247" s="8"/>
      <c r="O3247" s="7"/>
      <c r="P3247" s="7"/>
      <c r="Q3247" s="7"/>
      <c r="R3247" s="7"/>
    </row>
    <row r="3248" spans="3:18"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N3248" s="8"/>
      <c r="O3248" s="7"/>
      <c r="P3248" s="7"/>
      <c r="Q3248" s="7"/>
      <c r="R3248" s="7"/>
    </row>
    <row r="3249" spans="3:18"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N3249" s="8"/>
      <c r="O3249" s="7"/>
      <c r="P3249" s="7"/>
      <c r="Q3249" s="7"/>
      <c r="R3249" s="7"/>
    </row>
    <row r="3250" spans="3:18"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N3250" s="8"/>
      <c r="O3250" s="7"/>
      <c r="P3250" s="7"/>
      <c r="Q3250" s="7"/>
      <c r="R3250" s="7"/>
    </row>
    <row r="3251" spans="3:18"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N3251" s="8"/>
      <c r="O3251" s="7"/>
      <c r="P3251" s="7"/>
      <c r="Q3251" s="7"/>
      <c r="R3251" s="7"/>
    </row>
    <row r="3252" spans="3:18"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N3252" s="8"/>
      <c r="O3252" s="7"/>
      <c r="P3252" s="7"/>
      <c r="Q3252" s="7"/>
      <c r="R3252" s="7"/>
    </row>
    <row r="3253" spans="3:18"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N3253" s="8"/>
      <c r="O3253" s="7"/>
      <c r="P3253" s="7"/>
      <c r="Q3253" s="7"/>
      <c r="R3253" s="7"/>
    </row>
    <row r="3254" spans="3:18"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N3254" s="8"/>
      <c r="O3254" s="7"/>
      <c r="P3254" s="7"/>
      <c r="Q3254" s="7"/>
      <c r="R3254" s="7"/>
    </row>
    <row r="3255" spans="3:18"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N3255" s="8"/>
      <c r="O3255" s="7"/>
      <c r="P3255" s="7"/>
      <c r="Q3255" s="7"/>
      <c r="R3255" s="7"/>
    </row>
    <row r="3256" spans="3:18"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N3256" s="8"/>
      <c r="O3256" s="7"/>
      <c r="P3256" s="7"/>
      <c r="Q3256" s="7"/>
      <c r="R3256" s="7"/>
    </row>
    <row r="3257" spans="3:18"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N3257" s="8"/>
      <c r="O3257" s="7"/>
      <c r="P3257" s="7"/>
      <c r="Q3257" s="7"/>
      <c r="R3257" s="7"/>
    </row>
    <row r="3258" spans="3:18"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N3258" s="8"/>
      <c r="O3258" s="7"/>
      <c r="P3258" s="7"/>
      <c r="Q3258" s="7"/>
      <c r="R3258" s="7"/>
    </row>
    <row r="3259" spans="3:18"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N3259" s="8"/>
      <c r="O3259" s="7"/>
      <c r="P3259" s="7"/>
      <c r="Q3259" s="7"/>
      <c r="R3259" s="7"/>
    </row>
    <row r="3260" spans="3:18"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N3260" s="8"/>
      <c r="O3260" s="7"/>
      <c r="P3260" s="7"/>
      <c r="Q3260" s="7"/>
      <c r="R3260" s="7"/>
    </row>
    <row r="3261" spans="3:18"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N3261" s="8"/>
      <c r="O3261" s="7"/>
      <c r="P3261" s="7"/>
      <c r="Q3261" s="7"/>
      <c r="R3261" s="7"/>
    </row>
    <row r="3262" spans="3:18"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N3262" s="8"/>
      <c r="O3262" s="7"/>
      <c r="P3262" s="7"/>
      <c r="Q3262" s="7"/>
      <c r="R3262" s="7"/>
    </row>
    <row r="3263" spans="3:18"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N3263" s="8"/>
      <c r="O3263" s="7"/>
      <c r="P3263" s="7"/>
      <c r="Q3263" s="7"/>
      <c r="R3263" s="7"/>
    </row>
    <row r="3264" spans="3:18"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N3264" s="8"/>
      <c r="O3264" s="7"/>
      <c r="P3264" s="7"/>
      <c r="Q3264" s="7"/>
      <c r="R3264" s="7"/>
    </row>
    <row r="3265" spans="3:18"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N3265" s="8"/>
      <c r="O3265" s="7"/>
      <c r="P3265" s="7"/>
      <c r="Q3265" s="7"/>
      <c r="R3265" s="7"/>
    </row>
    <row r="3266" spans="3:18"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N3266" s="8"/>
      <c r="O3266" s="7"/>
      <c r="P3266" s="7"/>
      <c r="Q3266" s="7"/>
      <c r="R3266" s="7"/>
    </row>
    <row r="3267" spans="3:18"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N3267" s="8"/>
      <c r="O3267" s="7"/>
      <c r="P3267" s="7"/>
      <c r="Q3267" s="7"/>
      <c r="R3267" s="7"/>
    </row>
    <row r="3268" spans="3:18"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N3268" s="8"/>
      <c r="O3268" s="7"/>
      <c r="P3268" s="7"/>
      <c r="Q3268" s="7"/>
      <c r="R3268" s="7"/>
    </row>
    <row r="3269" spans="3:18"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N3269" s="8"/>
      <c r="O3269" s="7"/>
      <c r="P3269" s="7"/>
      <c r="Q3269" s="7"/>
      <c r="R3269" s="7"/>
    </row>
    <row r="3270" spans="3:18"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N3270" s="8"/>
      <c r="O3270" s="7"/>
      <c r="P3270" s="7"/>
      <c r="Q3270" s="7"/>
      <c r="R3270" s="7"/>
    </row>
    <row r="3271" spans="3:18"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N3271" s="8"/>
      <c r="O3271" s="7"/>
      <c r="P3271" s="7"/>
      <c r="Q3271" s="7"/>
      <c r="R3271" s="7"/>
    </row>
    <row r="3272" spans="3:18"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N3272" s="8"/>
      <c r="O3272" s="7"/>
      <c r="P3272" s="7"/>
      <c r="Q3272" s="7"/>
      <c r="R3272" s="7"/>
    </row>
    <row r="3273" spans="3:18"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N3273" s="8"/>
      <c r="O3273" s="7"/>
      <c r="P3273" s="7"/>
      <c r="Q3273" s="7"/>
      <c r="R3273" s="7"/>
    </row>
    <row r="3274" spans="3:18"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N3274" s="8"/>
      <c r="O3274" s="7"/>
      <c r="P3274" s="7"/>
      <c r="Q3274" s="7"/>
      <c r="R3274" s="7"/>
    </row>
    <row r="3275" spans="3:18"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N3275" s="8"/>
      <c r="O3275" s="7"/>
      <c r="P3275" s="7"/>
      <c r="Q3275" s="7"/>
      <c r="R3275" s="7"/>
    </row>
    <row r="3276" spans="3:18"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N3276" s="8"/>
      <c r="O3276" s="7"/>
      <c r="P3276" s="7"/>
      <c r="Q3276" s="7"/>
      <c r="R3276" s="7"/>
    </row>
    <row r="3277" spans="3:18"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N3277" s="8"/>
      <c r="O3277" s="7"/>
      <c r="P3277" s="7"/>
      <c r="Q3277" s="7"/>
      <c r="R3277" s="7"/>
    </row>
    <row r="3278" spans="3:18"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N3278" s="8"/>
      <c r="O3278" s="7"/>
      <c r="P3278" s="7"/>
      <c r="Q3278" s="7"/>
      <c r="R3278" s="7"/>
    </row>
    <row r="3279" spans="3:18"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N3279" s="8"/>
      <c r="O3279" s="7"/>
      <c r="P3279" s="7"/>
      <c r="Q3279" s="7"/>
      <c r="R3279" s="7"/>
    </row>
    <row r="3280" spans="3:18"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N3280" s="8"/>
      <c r="O3280" s="7"/>
      <c r="P3280" s="7"/>
      <c r="Q3280" s="7"/>
      <c r="R3280" s="7"/>
    </row>
    <row r="3281" spans="3:18"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N3281" s="8"/>
      <c r="O3281" s="7"/>
      <c r="P3281" s="7"/>
      <c r="Q3281" s="7"/>
      <c r="R3281" s="7"/>
    </row>
    <row r="3282" spans="3:18"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N3282" s="8"/>
      <c r="O3282" s="7"/>
      <c r="P3282" s="7"/>
      <c r="Q3282" s="7"/>
      <c r="R3282" s="7"/>
    </row>
    <row r="3283" spans="3:18"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N3283" s="8"/>
      <c r="O3283" s="7"/>
      <c r="P3283" s="7"/>
      <c r="Q3283" s="7"/>
      <c r="R3283" s="7"/>
    </row>
    <row r="3284" spans="3:18"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N3284" s="8"/>
      <c r="O3284" s="7"/>
      <c r="P3284" s="7"/>
      <c r="Q3284" s="7"/>
      <c r="R3284" s="7"/>
    </row>
    <row r="3285" spans="3:18"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N3285" s="8"/>
      <c r="O3285" s="7"/>
      <c r="P3285" s="7"/>
      <c r="Q3285" s="7"/>
      <c r="R3285" s="7"/>
    </row>
    <row r="3286" spans="3:18"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N3286" s="8"/>
      <c r="O3286" s="7"/>
      <c r="P3286" s="7"/>
      <c r="Q3286" s="7"/>
      <c r="R3286" s="7"/>
    </row>
    <row r="3287" spans="3:18"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N3287" s="8"/>
      <c r="O3287" s="7"/>
      <c r="P3287" s="7"/>
      <c r="Q3287" s="7"/>
      <c r="R3287" s="7"/>
    </row>
    <row r="3288" spans="3:18"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N3288" s="8"/>
      <c r="O3288" s="7"/>
      <c r="P3288" s="7"/>
      <c r="Q3288" s="7"/>
      <c r="R3288" s="7"/>
    </row>
    <row r="3289" spans="3:18"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N3289" s="8"/>
      <c r="O3289" s="7"/>
      <c r="P3289" s="7"/>
      <c r="Q3289" s="7"/>
      <c r="R3289" s="7"/>
    </row>
    <row r="3290" spans="3:18"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N3290" s="8"/>
      <c r="O3290" s="7"/>
      <c r="P3290" s="7"/>
      <c r="Q3290" s="7"/>
      <c r="R3290" s="7"/>
    </row>
    <row r="3291" spans="3:18"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N3291" s="8"/>
      <c r="O3291" s="7"/>
      <c r="P3291" s="7"/>
      <c r="Q3291" s="7"/>
      <c r="R3291" s="7"/>
    </row>
    <row r="3292" spans="3:18"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N3292" s="8"/>
      <c r="O3292" s="7"/>
      <c r="P3292" s="7"/>
      <c r="Q3292" s="7"/>
      <c r="R3292" s="7"/>
    </row>
    <row r="3293" spans="3:18"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N3293" s="8"/>
      <c r="O3293" s="7"/>
      <c r="P3293" s="7"/>
      <c r="Q3293" s="7"/>
      <c r="R3293" s="7"/>
    </row>
    <row r="3294" spans="3:18"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N3294" s="8"/>
      <c r="O3294" s="7"/>
      <c r="P3294" s="7"/>
      <c r="Q3294" s="7"/>
      <c r="R3294" s="7"/>
    </row>
    <row r="3295" spans="3:18"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N3295" s="8"/>
      <c r="O3295" s="7"/>
      <c r="P3295" s="7"/>
      <c r="Q3295" s="7"/>
      <c r="R3295" s="7"/>
    </row>
    <row r="3296" spans="3:18"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N3296" s="8"/>
      <c r="O3296" s="7"/>
      <c r="P3296" s="7"/>
      <c r="Q3296" s="7"/>
      <c r="R3296" s="7"/>
    </row>
    <row r="3297" spans="3:18"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N3297" s="8"/>
      <c r="O3297" s="7"/>
      <c r="P3297" s="7"/>
      <c r="Q3297" s="7"/>
      <c r="R3297" s="7"/>
    </row>
    <row r="3298" spans="3:18"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N3298" s="8"/>
      <c r="O3298" s="7"/>
      <c r="P3298" s="7"/>
      <c r="Q3298" s="7"/>
      <c r="R3298" s="7"/>
    </row>
    <row r="3299" spans="3:18"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N3299" s="8"/>
      <c r="O3299" s="7"/>
      <c r="P3299" s="7"/>
      <c r="Q3299" s="7"/>
      <c r="R3299" s="7"/>
    </row>
    <row r="3300" spans="3:18"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N3300" s="8"/>
      <c r="O3300" s="7"/>
      <c r="P3300" s="7"/>
      <c r="Q3300" s="7"/>
      <c r="R3300" s="7"/>
    </row>
    <row r="3301" spans="3:18"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N3301" s="8"/>
      <c r="O3301" s="7"/>
      <c r="P3301" s="7"/>
      <c r="Q3301" s="7"/>
      <c r="R3301" s="7"/>
    </row>
    <row r="3302" spans="3:18"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N3302" s="8"/>
      <c r="O3302" s="7"/>
      <c r="P3302" s="7"/>
      <c r="Q3302" s="7"/>
      <c r="R3302" s="7"/>
    </row>
    <row r="3303" spans="3:18"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N3303" s="8"/>
      <c r="O3303" s="7"/>
      <c r="P3303" s="7"/>
      <c r="Q3303" s="7"/>
      <c r="R3303" s="7"/>
    </row>
    <row r="3304" spans="3:18"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N3304" s="8"/>
      <c r="O3304" s="7"/>
      <c r="P3304" s="7"/>
      <c r="Q3304" s="7"/>
      <c r="R3304" s="7"/>
    </row>
    <row r="3305" spans="3:18"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N3305" s="8"/>
      <c r="O3305" s="7"/>
      <c r="P3305" s="7"/>
      <c r="Q3305" s="7"/>
      <c r="R3305" s="7"/>
    </row>
    <row r="3306" spans="3:18"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N3306" s="8"/>
      <c r="O3306" s="7"/>
      <c r="P3306" s="7"/>
      <c r="Q3306" s="7"/>
      <c r="R3306" s="7"/>
    </row>
    <row r="3307" spans="3:18"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N3307" s="8"/>
      <c r="O3307" s="7"/>
      <c r="P3307" s="7"/>
      <c r="Q3307" s="7"/>
      <c r="R3307" s="7"/>
    </row>
    <row r="3308" spans="3:18"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N3308" s="8"/>
      <c r="O3308" s="7"/>
      <c r="P3308" s="7"/>
      <c r="Q3308" s="7"/>
      <c r="R3308" s="7"/>
    </row>
    <row r="3309" spans="3:18"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N3309" s="8"/>
      <c r="O3309" s="7"/>
      <c r="P3309" s="7"/>
      <c r="Q3309" s="7"/>
      <c r="R3309" s="7"/>
    </row>
    <row r="3310" spans="3:18"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N3310" s="8"/>
      <c r="O3310" s="7"/>
      <c r="P3310" s="7"/>
      <c r="Q3310" s="7"/>
      <c r="R3310" s="7"/>
    </row>
    <row r="3311" spans="3:18"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N3311" s="8"/>
      <c r="O3311" s="7"/>
      <c r="P3311" s="7"/>
      <c r="Q3311" s="7"/>
      <c r="R3311" s="7"/>
    </row>
    <row r="3312" spans="3:18"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N3312" s="8"/>
      <c r="O3312" s="7"/>
      <c r="P3312" s="7"/>
      <c r="Q3312" s="7"/>
      <c r="R3312" s="7"/>
    </row>
    <row r="3313" spans="3:18"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N3313" s="8"/>
      <c r="O3313" s="7"/>
      <c r="P3313" s="7"/>
      <c r="Q3313" s="7"/>
      <c r="R3313" s="7"/>
    </row>
    <row r="3314" spans="3:18"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N3314" s="8"/>
      <c r="O3314" s="7"/>
      <c r="P3314" s="7"/>
      <c r="Q3314" s="7"/>
      <c r="R3314" s="7"/>
    </row>
    <row r="3315" spans="3:18"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N3315" s="8"/>
      <c r="O3315" s="7"/>
      <c r="P3315" s="7"/>
      <c r="Q3315" s="7"/>
      <c r="R3315" s="7"/>
    </row>
    <row r="3316" spans="3:18"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N3316" s="8"/>
      <c r="O3316" s="7"/>
      <c r="P3316" s="7"/>
      <c r="Q3316" s="7"/>
      <c r="R3316" s="7"/>
    </row>
    <row r="3317" spans="3:18"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N3317" s="8"/>
      <c r="O3317" s="7"/>
      <c r="P3317" s="7"/>
      <c r="Q3317" s="7"/>
      <c r="R3317" s="7"/>
    </row>
    <row r="3318" spans="3:18"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N3318" s="8"/>
      <c r="O3318" s="7"/>
      <c r="P3318" s="7"/>
      <c r="Q3318" s="7"/>
      <c r="R3318" s="7"/>
    </row>
    <row r="3319" spans="3:18"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N3319" s="8"/>
      <c r="O3319" s="7"/>
      <c r="P3319" s="7"/>
      <c r="Q3319" s="7"/>
      <c r="R3319" s="7"/>
    </row>
    <row r="3320" spans="3:18"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N3320" s="8"/>
      <c r="O3320" s="7"/>
      <c r="P3320" s="7"/>
      <c r="Q3320" s="7"/>
      <c r="R3320" s="7"/>
    </row>
    <row r="3321" spans="3:18"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N3321" s="8"/>
      <c r="O3321" s="7"/>
      <c r="P3321" s="7"/>
      <c r="Q3321" s="7"/>
      <c r="R3321" s="7"/>
    </row>
    <row r="3322" spans="3:18"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N3322" s="8"/>
      <c r="O3322" s="7"/>
      <c r="P3322" s="7"/>
      <c r="Q3322" s="7"/>
      <c r="R3322" s="7"/>
    </row>
    <row r="3323" spans="3:18"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N3323" s="8"/>
      <c r="O3323" s="7"/>
      <c r="P3323" s="7"/>
      <c r="Q3323" s="7"/>
      <c r="R3323" s="7"/>
    </row>
    <row r="3324" spans="3:18"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N3324" s="8"/>
      <c r="O3324" s="7"/>
      <c r="P3324" s="7"/>
      <c r="Q3324" s="7"/>
      <c r="R3324" s="7"/>
    </row>
    <row r="3325" spans="3:18"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N3325" s="8"/>
      <c r="O3325" s="7"/>
      <c r="P3325" s="7"/>
      <c r="Q3325" s="7"/>
      <c r="R3325" s="7"/>
    </row>
    <row r="3326" spans="3:18"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N3326" s="8"/>
      <c r="O3326" s="7"/>
      <c r="P3326" s="7"/>
      <c r="Q3326" s="7"/>
      <c r="R3326" s="7"/>
    </row>
    <row r="3327" spans="3:18"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N3327" s="8"/>
      <c r="O3327" s="7"/>
      <c r="P3327" s="7"/>
      <c r="Q3327" s="7"/>
      <c r="R3327" s="7"/>
    </row>
    <row r="3328" spans="3:18"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N3328" s="8"/>
      <c r="O3328" s="7"/>
      <c r="P3328" s="7"/>
      <c r="Q3328" s="7"/>
      <c r="R3328" s="7"/>
    </row>
    <row r="3329" spans="3:18"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N3329" s="8"/>
      <c r="O3329" s="7"/>
      <c r="P3329" s="7"/>
      <c r="Q3329" s="7"/>
      <c r="R3329" s="7"/>
    </row>
    <row r="3330" spans="3:18"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N3330" s="8"/>
      <c r="O3330" s="7"/>
      <c r="P3330" s="7"/>
      <c r="Q3330" s="7"/>
      <c r="R3330" s="7"/>
    </row>
    <row r="3331" spans="3:18"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N3331" s="8"/>
      <c r="O3331" s="7"/>
      <c r="P3331" s="7"/>
      <c r="Q3331" s="7"/>
      <c r="R3331" s="7"/>
    </row>
    <row r="3332" spans="3:18"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N3332" s="8"/>
      <c r="O3332" s="7"/>
      <c r="P3332" s="7"/>
      <c r="Q3332" s="7"/>
      <c r="R3332" s="7"/>
    </row>
    <row r="3333" spans="3:18"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N3333" s="8"/>
      <c r="O3333" s="7"/>
      <c r="P3333" s="7"/>
      <c r="Q3333" s="7"/>
      <c r="R3333" s="7"/>
    </row>
    <row r="3334" spans="3:18"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N3334" s="8"/>
      <c r="O3334" s="7"/>
      <c r="P3334" s="7"/>
      <c r="Q3334" s="7"/>
      <c r="R3334" s="7"/>
    </row>
    <row r="3335" spans="3:18"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N3335" s="8"/>
      <c r="O3335" s="7"/>
      <c r="P3335" s="7"/>
      <c r="Q3335" s="7"/>
      <c r="R3335" s="7"/>
    </row>
    <row r="3336" spans="3:18"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N3336" s="8"/>
      <c r="O3336" s="7"/>
      <c r="P3336" s="7"/>
      <c r="Q3336" s="7"/>
      <c r="R3336" s="7"/>
    </row>
    <row r="3337" spans="3:18"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N3337" s="8"/>
      <c r="O3337" s="7"/>
      <c r="P3337" s="7"/>
      <c r="Q3337" s="7"/>
      <c r="R3337" s="7"/>
    </row>
    <row r="3338" spans="3:18"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N3338" s="8"/>
      <c r="O3338" s="7"/>
      <c r="P3338" s="7"/>
      <c r="Q3338" s="7"/>
      <c r="R3338" s="7"/>
    </row>
    <row r="3339" spans="3:18"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N3339" s="8"/>
      <c r="O3339" s="7"/>
      <c r="P3339" s="7"/>
      <c r="Q3339" s="7"/>
      <c r="R3339" s="7"/>
    </row>
    <row r="3340" spans="3:18"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N3340" s="8"/>
      <c r="O3340" s="7"/>
      <c r="P3340" s="7"/>
      <c r="Q3340" s="7"/>
      <c r="R3340" s="7"/>
    </row>
    <row r="3341" spans="3:18"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N3341" s="8"/>
      <c r="O3341" s="7"/>
      <c r="P3341" s="7"/>
      <c r="Q3341" s="7"/>
      <c r="R3341" s="7"/>
    </row>
    <row r="3342" spans="3:18"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N3342" s="8"/>
      <c r="O3342" s="7"/>
      <c r="P3342" s="7"/>
      <c r="Q3342" s="7"/>
      <c r="R3342" s="7"/>
    </row>
    <row r="3343" spans="3:18"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N3343" s="8"/>
      <c r="O3343" s="7"/>
      <c r="P3343" s="7"/>
      <c r="Q3343" s="7"/>
      <c r="R3343" s="7"/>
    </row>
    <row r="3344" spans="3:18"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N3344" s="8"/>
      <c r="O3344" s="7"/>
      <c r="P3344" s="7"/>
      <c r="Q3344" s="7"/>
      <c r="R3344" s="7"/>
    </row>
    <row r="3345" spans="3:18"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N3345" s="8"/>
      <c r="O3345" s="7"/>
      <c r="P3345" s="7"/>
      <c r="Q3345" s="7"/>
      <c r="R3345" s="7"/>
    </row>
    <row r="3346" spans="3:18"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N3346" s="8"/>
      <c r="O3346" s="7"/>
      <c r="P3346" s="7"/>
      <c r="Q3346" s="7"/>
      <c r="R3346" s="7"/>
    </row>
    <row r="3347" spans="3:18"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N3347" s="8"/>
      <c r="O3347" s="7"/>
      <c r="P3347" s="7"/>
      <c r="Q3347" s="7"/>
      <c r="R3347" s="7"/>
    </row>
    <row r="3348" spans="3:18"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N3348" s="8"/>
      <c r="O3348" s="7"/>
      <c r="P3348" s="7"/>
      <c r="Q3348" s="7"/>
      <c r="R3348" s="7"/>
    </row>
    <row r="3349" spans="3:18"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N3349" s="8"/>
      <c r="O3349" s="7"/>
      <c r="P3349" s="7"/>
      <c r="Q3349" s="7"/>
      <c r="R3349" s="7"/>
    </row>
    <row r="3350" spans="3:18"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N3350" s="8"/>
      <c r="O3350" s="7"/>
      <c r="P3350" s="7"/>
      <c r="Q3350" s="7"/>
      <c r="R3350" s="7"/>
    </row>
    <row r="3351" spans="3:18"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N3351" s="8"/>
      <c r="O3351" s="7"/>
      <c r="P3351" s="7"/>
      <c r="Q3351" s="7"/>
      <c r="R3351" s="7"/>
    </row>
    <row r="3352" spans="3:18"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N3352" s="8"/>
      <c r="O3352" s="7"/>
      <c r="P3352" s="7"/>
      <c r="Q3352" s="7"/>
      <c r="R3352" s="7"/>
    </row>
    <row r="3353" spans="3:18"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N3353" s="8"/>
      <c r="O3353" s="7"/>
      <c r="P3353" s="7"/>
      <c r="Q3353" s="7"/>
      <c r="R3353" s="7"/>
    </row>
    <row r="3354" spans="3:18"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N3354" s="8"/>
      <c r="O3354" s="7"/>
      <c r="P3354" s="7"/>
      <c r="Q3354" s="7"/>
      <c r="R3354" s="7"/>
    </row>
    <row r="3355" spans="3:18"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N3355" s="8"/>
      <c r="O3355" s="7"/>
      <c r="P3355" s="7"/>
      <c r="Q3355" s="7"/>
      <c r="R3355" s="7"/>
    </row>
    <row r="3356" spans="3:18"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N3356" s="8"/>
      <c r="O3356" s="7"/>
      <c r="P3356" s="7"/>
      <c r="Q3356" s="7"/>
      <c r="R3356" s="7"/>
    </row>
    <row r="3357" spans="3:18"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N3357" s="8"/>
      <c r="O3357" s="7"/>
      <c r="P3357" s="7"/>
      <c r="Q3357" s="7"/>
      <c r="R3357" s="7"/>
    </row>
    <row r="3358" spans="3:18"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N3358" s="8"/>
      <c r="O3358" s="7"/>
      <c r="P3358" s="7"/>
      <c r="Q3358" s="7"/>
      <c r="R3358" s="7"/>
    </row>
    <row r="3359" spans="3:18"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N3359" s="8"/>
      <c r="O3359" s="7"/>
      <c r="P3359" s="7"/>
      <c r="Q3359" s="7"/>
      <c r="R3359" s="7"/>
    </row>
    <row r="3360" spans="3:18"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N3360" s="8"/>
      <c r="O3360" s="7"/>
      <c r="P3360" s="7"/>
      <c r="Q3360" s="7"/>
      <c r="R3360" s="7"/>
    </row>
    <row r="3361" spans="3:18"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N3361" s="8"/>
      <c r="O3361" s="7"/>
      <c r="P3361" s="7"/>
      <c r="Q3361" s="7"/>
      <c r="R3361" s="7"/>
    </row>
    <row r="3362" spans="3:18"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N3362" s="8"/>
      <c r="O3362" s="7"/>
      <c r="P3362" s="7"/>
      <c r="Q3362" s="7"/>
      <c r="R3362" s="7"/>
    </row>
    <row r="3363" spans="3:18"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N3363" s="8"/>
      <c r="O3363" s="7"/>
      <c r="P3363" s="7"/>
      <c r="Q3363" s="7"/>
      <c r="R3363" s="7"/>
    </row>
    <row r="3364" spans="3:18"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N3364" s="8"/>
      <c r="O3364" s="7"/>
      <c r="P3364" s="7"/>
      <c r="Q3364" s="7"/>
      <c r="R3364" s="7"/>
    </row>
    <row r="3365" spans="3:18"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N3365" s="8"/>
      <c r="O3365" s="7"/>
      <c r="P3365" s="7"/>
      <c r="Q3365" s="7"/>
      <c r="R3365" s="7"/>
    </row>
    <row r="3366" spans="3:18"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N3366" s="8"/>
      <c r="O3366" s="7"/>
      <c r="P3366" s="7"/>
      <c r="Q3366" s="7"/>
      <c r="R3366" s="7"/>
    </row>
    <row r="3367" spans="3:18"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N3367" s="8"/>
      <c r="O3367" s="7"/>
      <c r="P3367" s="7"/>
      <c r="Q3367" s="7"/>
      <c r="R3367" s="7"/>
    </row>
    <row r="3368" spans="3:18"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N3368" s="8"/>
      <c r="O3368" s="7"/>
      <c r="P3368" s="7"/>
      <c r="Q3368" s="7"/>
      <c r="R3368" s="7"/>
    </row>
    <row r="3369" spans="3:18"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N3369" s="8"/>
      <c r="O3369" s="7"/>
      <c r="P3369" s="7"/>
      <c r="Q3369" s="7"/>
      <c r="R3369" s="7"/>
    </row>
    <row r="3370" spans="3:18"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N3370" s="8"/>
      <c r="O3370" s="7"/>
      <c r="P3370" s="7"/>
      <c r="Q3370" s="7"/>
      <c r="R3370" s="7"/>
    </row>
    <row r="3371" spans="3:18"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N3371" s="8"/>
      <c r="O3371" s="7"/>
      <c r="P3371" s="7"/>
      <c r="Q3371" s="7"/>
      <c r="R3371" s="7"/>
    </row>
    <row r="3372" spans="3:18"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N3372" s="8"/>
      <c r="O3372" s="7"/>
      <c r="P3372" s="7"/>
      <c r="Q3372" s="7"/>
      <c r="R3372" s="7"/>
    </row>
    <row r="3373" spans="3:18"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N3373" s="8"/>
      <c r="O3373" s="7"/>
      <c r="P3373" s="7"/>
      <c r="Q3373" s="7"/>
      <c r="R3373" s="7"/>
    </row>
    <row r="3374" spans="3:18"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N3374" s="8"/>
      <c r="O3374" s="7"/>
      <c r="P3374" s="7"/>
      <c r="Q3374" s="7"/>
      <c r="R3374" s="7"/>
    </row>
    <row r="3375" spans="3:18"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N3375" s="8"/>
      <c r="O3375" s="7"/>
      <c r="P3375" s="7"/>
      <c r="Q3375" s="7"/>
      <c r="R3375" s="7"/>
    </row>
    <row r="3376" spans="3:18"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N3376" s="8"/>
      <c r="O3376" s="7"/>
      <c r="P3376" s="7"/>
      <c r="Q3376" s="7"/>
      <c r="R3376" s="7"/>
    </row>
    <row r="3377" spans="3:18"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N3377" s="8"/>
      <c r="O3377" s="7"/>
      <c r="P3377" s="7"/>
      <c r="Q3377" s="7"/>
      <c r="R3377" s="7"/>
    </row>
    <row r="3378" spans="3:18"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N3378" s="8"/>
      <c r="O3378" s="7"/>
      <c r="P3378" s="7"/>
      <c r="Q3378" s="7"/>
      <c r="R3378" s="7"/>
    </row>
    <row r="3379" spans="3:18"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N3379" s="8"/>
      <c r="O3379" s="7"/>
      <c r="P3379" s="7"/>
      <c r="Q3379" s="7"/>
      <c r="R3379" s="7"/>
    </row>
    <row r="3380" spans="3:18"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N3380" s="8"/>
      <c r="O3380" s="7"/>
      <c r="P3380" s="7"/>
      <c r="Q3380" s="7"/>
      <c r="R3380" s="7"/>
    </row>
    <row r="3381" spans="3:18"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N3381" s="8"/>
      <c r="O3381" s="7"/>
      <c r="P3381" s="7"/>
      <c r="Q3381" s="7"/>
      <c r="R3381" s="7"/>
    </row>
    <row r="3382" spans="3:18"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N3382" s="8"/>
      <c r="O3382" s="7"/>
      <c r="P3382" s="7"/>
      <c r="Q3382" s="7"/>
      <c r="R3382" s="7"/>
    </row>
    <row r="3383" spans="3:18"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N3383" s="8"/>
      <c r="O3383" s="7"/>
      <c r="P3383" s="7"/>
      <c r="Q3383" s="7"/>
      <c r="R3383" s="7"/>
    </row>
    <row r="3384" spans="3:18"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N3384" s="8"/>
      <c r="O3384" s="7"/>
      <c r="P3384" s="7"/>
      <c r="Q3384" s="7"/>
      <c r="R3384" s="7"/>
    </row>
    <row r="3385" spans="3:18"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N3385" s="8"/>
      <c r="O3385" s="7"/>
      <c r="P3385" s="7"/>
      <c r="Q3385" s="7"/>
      <c r="R3385" s="7"/>
    </row>
    <row r="3386" spans="3:18"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N3386" s="8"/>
      <c r="O3386" s="7"/>
      <c r="P3386" s="7"/>
      <c r="Q3386" s="7"/>
      <c r="R3386" s="7"/>
    </row>
    <row r="3387" spans="3:18"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N3387" s="8"/>
      <c r="O3387" s="7"/>
      <c r="P3387" s="7"/>
      <c r="Q3387" s="7"/>
      <c r="R3387" s="7"/>
    </row>
    <row r="3388" spans="3:18"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N3388" s="8"/>
      <c r="O3388" s="7"/>
      <c r="P3388" s="7"/>
      <c r="Q3388" s="7"/>
      <c r="R3388" s="7"/>
    </row>
    <row r="3389" spans="3:18"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N3389" s="8"/>
      <c r="O3389" s="7"/>
      <c r="P3389" s="7"/>
      <c r="Q3389" s="7"/>
      <c r="R3389" s="7"/>
    </row>
    <row r="3390" spans="3:18"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N3390" s="8"/>
      <c r="O3390" s="7"/>
      <c r="P3390" s="7"/>
      <c r="Q3390" s="7"/>
      <c r="R3390" s="7"/>
    </row>
    <row r="3391" spans="3:18"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N3391" s="8"/>
      <c r="O3391" s="7"/>
      <c r="P3391" s="7"/>
      <c r="Q3391" s="7"/>
      <c r="R3391" s="7"/>
    </row>
    <row r="3392" spans="3:18"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N3392" s="8"/>
      <c r="O3392" s="7"/>
      <c r="P3392" s="7"/>
      <c r="Q3392" s="7"/>
      <c r="R3392" s="7"/>
    </row>
    <row r="3393" spans="3:18"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N3393" s="8"/>
      <c r="O3393" s="7"/>
      <c r="P3393" s="7"/>
      <c r="Q3393" s="7"/>
      <c r="R3393" s="7"/>
    </row>
    <row r="3394" spans="3:18"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N3394" s="8"/>
      <c r="O3394" s="7"/>
      <c r="P3394" s="7"/>
      <c r="Q3394" s="7"/>
      <c r="R3394" s="7"/>
    </row>
    <row r="3395" spans="3:18"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N3395" s="8"/>
      <c r="O3395" s="7"/>
      <c r="P3395" s="7"/>
      <c r="Q3395" s="7"/>
      <c r="R3395" s="7"/>
    </row>
    <row r="3396" spans="3:18"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N3396" s="8"/>
      <c r="O3396" s="7"/>
      <c r="P3396" s="7"/>
      <c r="Q3396" s="7"/>
      <c r="R3396" s="7"/>
    </row>
    <row r="3397" spans="3:18"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N3397" s="8"/>
      <c r="O3397" s="7"/>
      <c r="P3397" s="7"/>
      <c r="Q3397" s="7"/>
      <c r="R3397" s="7"/>
    </row>
    <row r="3398" spans="3:18"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N3398" s="8"/>
      <c r="O3398" s="7"/>
      <c r="P3398" s="7"/>
      <c r="Q3398" s="7"/>
      <c r="R3398" s="7"/>
    </row>
    <row r="3399" spans="3:18"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N3399" s="8"/>
      <c r="O3399" s="7"/>
      <c r="P3399" s="7"/>
      <c r="Q3399" s="7"/>
      <c r="R3399" s="7"/>
    </row>
    <row r="3400" spans="3:18"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N3400" s="8"/>
      <c r="O3400" s="7"/>
      <c r="P3400" s="7"/>
      <c r="Q3400" s="7"/>
      <c r="R3400" s="7"/>
    </row>
    <row r="3401" spans="3:18"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N3401" s="8"/>
      <c r="O3401" s="7"/>
      <c r="P3401" s="7"/>
      <c r="Q3401" s="7"/>
      <c r="R3401" s="7"/>
    </row>
    <row r="3402" spans="3:18"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N3402" s="8"/>
      <c r="O3402" s="7"/>
      <c r="P3402" s="7"/>
      <c r="Q3402" s="7"/>
      <c r="R3402" s="7"/>
    </row>
    <row r="3403" spans="3:18"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N3403" s="8"/>
      <c r="O3403" s="7"/>
      <c r="P3403" s="7"/>
      <c r="Q3403" s="7"/>
      <c r="R3403" s="7"/>
    </row>
    <row r="3404" spans="3:18"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N3404" s="8"/>
      <c r="O3404" s="7"/>
      <c r="P3404" s="7"/>
      <c r="Q3404" s="7"/>
      <c r="R3404" s="7"/>
    </row>
    <row r="3405" spans="3:18"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N3405" s="8"/>
      <c r="O3405" s="7"/>
      <c r="P3405" s="7"/>
      <c r="Q3405" s="7"/>
      <c r="R3405" s="7"/>
    </row>
    <row r="3406" spans="3:18"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N3406" s="8"/>
      <c r="O3406" s="7"/>
      <c r="P3406" s="7"/>
      <c r="Q3406" s="7"/>
      <c r="R3406" s="7"/>
    </row>
    <row r="3407" spans="3:18"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N3407" s="8"/>
      <c r="O3407" s="7"/>
      <c r="P3407" s="7"/>
      <c r="Q3407" s="7"/>
      <c r="R3407" s="7"/>
    </row>
    <row r="3408" spans="3:18"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N3408" s="8"/>
      <c r="O3408" s="7"/>
      <c r="P3408" s="7"/>
      <c r="Q3408" s="7"/>
      <c r="R3408" s="7"/>
    </row>
    <row r="3409" spans="3:18"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N3409" s="8"/>
      <c r="O3409" s="7"/>
      <c r="P3409" s="7"/>
      <c r="Q3409" s="7"/>
      <c r="R3409" s="7"/>
    </row>
    <row r="3410" spans="3:18"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N3410" s="8"/>
      <c r="O3410" s="7"/>
      <c r="P3410" s="7"/>
      <c r="Q3410" s="7"/>
      <c r="R3410" s="7"/>
    </row>
    <row r="3411" spans="3:18"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N3411" s="8"/>
      <c r="O3411" s="7"/>
      <c r="P3411" s="7"/>
      <c r="Q3411" s="7"/>
      <c r="R3411" s="7"/>
    </row>
    <row r="3412" spans="3:18"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N3412" s="8"/>
      <c r="O3412" s="7"/>
      <c r="P3412" s="7"/>
      <c r="Q3412" s="7"/>
      <c r="R3412" s="7"/>
    </row>
    <row r="3413" spans="3:18"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N3413" s="8"/>
      <c r="O3413" s="7"/>
      <c r="P3413" s="7"/>
      <c r="Q3413" s="7"/>
      <c r="R3413" s="7"/>
    </row>
    <row r="3414" spans="3:18"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N3414" s="8"/>
      <c r="O3414" s="7"/>
      <c r="P3414" s="7"/>
      <c r="Q3414" s="7"/>
      <c r="R3414" s="7"/>
    </row>
    <row r="3415" spans="3:18"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N3415" s="8"/>
      <c r="O3415" s="7"/>
      <c r="P3415" s="7"/>
      <c r="Q3415" s="7"/>
      <c r="R3415" s="7"/>
    </row>
    <row r="3416" spans="3:18"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N3416" s="8"/>
      <c r="O3416" s="7"/>
      <c r="P3416" s="7"/>
      <c r="Q3416" s="7"/>
      <c r="R3416" s="7"/>
    </row>
    <row r="3417" spans="3:18"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N3417" s="8"/>
      <c r="O3417" s="7"/>
      <c r="P3417" s="7"/>
      <c r="Q3417" s="7"/>
      <c r="R3417" s="7"/>
    </row>
    <row r="3418" spans="3:18"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N3418" s="8"/>
      <c r="O3418" s="7"/>
      <c r="P3418" s="7"/>
      <c r="Q3418" s="7"/>
      <c r="R3418" s="7"/>
    </row>
    <row r="3419" spans="3:18"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N3419" s="8"/>
      <c r="O3419" s="7"/>
      <c r="P3419" s="7"/>
      <c r="Q3419" s="7"/>
      <c r="R3419" s="7"/>
    </row>
    <row r="3420" spans="3:18"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N3420" s="8"/>
      <c r="O3420" s="7"/>
      <c r="P3420" s="7"/>
      <c r="Q3420" s="7"/>
      <c r="R3420" s="7"/>
    </row>
    <row r="3421" spans="3:18"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N3421" s="8"/>
      <c r="O3421" s="7"/>
      <c r="P3421" s="7"/>
      <c r="Q3421" s="7"/>
      <c r="R3421" s="7"/>
    </row>
    <row r="3422" spans="3:18"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N3422" s="8"/>
      <c r="O3422" s="7"/>
      <c r="P3422" s="7"/>
      <c r="Q3422" s="7"/>
      <c r="R3422" s="7"/>
    </row>
    <row r="3423" spans="3:18"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N3423" s="8"/>
      <c r="O3423" s="7"/>
      <c r="P3423" s="7"/>
      <c r="Q3423" s="7"/>
      <c r="R3423" s="7"/>
    </row>
    <row r="3424" spans="3:18"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N3424" s="8"/>
      <c r="O3424" s="7"/>
      <c r="P3424" s="7"/>
      <c r="Q3424" s="7"/>
      <c r="R3424" s="7"/>
    </row>
    <row r="3425" spans="3:18"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N3425" s="8"/>
      <c r="O3425" s="7"/>
      <c r="P3425" s="7"/>
      <c r="Q3425" s="7"/>
      <c r="R3425" s="7"/>
    </row>
    <row r="3426" spans="3:18"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N3426" s="8"/>
      <c r="O3426" s="7"/>
      <c r="P3426" s="7"/>
      <c r="Q3426" s="7"/>
      <c r="R3426" s="7"/>
    </row>
    <row r="3427" spans="3:18"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N3427" s="8"/>
      <c r="O3427" s="7"/>
      <c r="P3427" s="7"/>
      <c r="Q3427" s="7"/>
      <c r="R3427" s="7"/>
    </row>
    <row r="3428" spans="3:18"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N3428" s="8"/>
      <c r="O3428" s="7"/>
      <c r="P3428" s="7"/>
      <c r="Q3428" s="7"/>
      <c r="R3428" s="7"/>
    </row>
    <row r="3429" spans="3:18"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N3429" s="8"/>
      <c r="O3429" s="7"/>
      <c r="P3429" s="7"/>
      <c r="Q3429" s="7"/>
      <c r="R3429" s="7"/>
    </row>
    <row r="3430" spans="3:18"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N3430" s="8"/>
      <c r="O3430" s="7"/>
      <c r="P3430" s="7"/>
      <c r="Q3430" s="7"/>
      <c r="R3430" s="7"/>
    </row>
    <row r="3431" spans="3:18"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N3431" s="8"/>
      <c r="O3431" s="7"/>
      <c r="P3431" s="7"/>
      <c r="Q3431" s="7"/>
      <c r="R3431" s="7"/>
    </row>
    <row r="3432" spans="3:18"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N3432" s="8"/>
      <c r="O3432" s="7"/>
      <c r="P3432" s="7"/>
      <c r="Q3432" s="7"/>
      <c r="R3432" s="7"/>
    </row>
    <row r="3433" spans="3:18"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N3433" s="8"/>
      <c r="O3433" s="7"/>
      <c r="P3433" s="7"/>
      <c r="Q3433" s="7"/>
      <c r="R3433" s="7"/>
    </row>
    <row r="3434" spans="3:18"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N3434" s="8"/>
      <c r="O3434" s="7"/>
      <c r="P3434" s="7"/>
      <c r="Q3434" s="7"/>
      <c r="R3434" s="7"/>
    </row>
    <row r="3435" spans="3:18"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N3435" s="8"/>
      <c r="O3435" s="7"/>
      <c r="P3435" s="7"/>
      <c r="Q3435" s="7"/>
      <c r="R3435" s="7"/>
    </row>
    <row r="3436" spans="3:18"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N3436" s="8"/>
      <c r="O3436" s="7"/>
      <c r="P3436" s="7"/>
      <c r="Q3436" s="7"/>
      <c r="R3436" s="7"/>
    </row>
    <row r="3437" spans="3:18"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N3437" s="8"/>
      <c r="O3437" s="7"/>
      <c r="P3437" s="7"/>
      <c r="Q3437" s="7"/>
      <c r="R3437" s="7"/>
    </row>
    <row r="3438" spans="3:18"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N3438" s="8"/>
      <c r="O3438" s="7"/>
      <c r="P3438" s="7"/>
      <c r="Q3438" s="7"/>
      <c r="R3438" s="7"/>
    </row>
    <row r="3439" spans="3:18"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N3439" s="8"/>
      <c r="O3439" s="7"/>
      <c r="P3439" s="7"/>
      <c r="Q3439" s="7"/>
      <c r="R3439" s="7"/>
    </row>
    <row r="3440" spans="3:18"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N3440" s="8"/>
      <c r="O3440" s="7"/>
      <c r="P3440" s="7"/>
      <c r="Q3440" s="7"/>
      <c r="R3440" s="7"/>
    </row>
    <row r="3441" spans="3:18"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N3441" s="8"/>
      <c r="O3441" s="7"/>
      <c r="P3441" s="7"/>
      <c r="Q3441" s="7"/>
      <c r="R3441" s="7"/>
    </row>
    <row r="3442" spans="3:18"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N3442" s="8"/>
      <c r="O3442" s="7"/>
      <c r="P3442" s="7"/>
      <c r="Q3442" s="7"/>
      <c r="R3442" s="7"/>
    </row>
    <row r="3443" spans="3:18"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N3443" s="8"/>
      <c r="O3443" s="7"/>
      <c r="P3443" s="7"/>
      <c r="Q3443" s="7"/>
      <c r="R3443" s="7"/>
    </row>
    <row r="3444" spans="3:18"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N3444" s="8"/>
      <c r="O3444" s="7"/>
      <c r="P3444" s="7"/>
      <c r="Q3444" s="7"/>
      <c r="R3444" s="7"/>
    </row>
    <row r="3445" spans="3:18"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N3445" s="8"/>
      <c r="O3445" s="7"/>
      <c r="P3445" s="7"/>
      <c r="Q3445" s="7"/>
      <c r="R3445" s="7"/>
    </row>
    <row r="3446" spans="3:18"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N3446" s="8"/>
      <c r="O3446" s="7"/>
      <c r="P3446" s="7"/>
      <c r="Q3446" s="7"/>
      <c r="R3446" s="7"/>
    </row>
    <row r="3447" spans="3:18"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N3447" s="8"/>
      <c r="O3447" s="7"/>
      <c r="P3447" s="7"/>
      <c r="Q3447" s="7"/>
      <c r="R3447" s="7"/>
    </row>
    <row r="3448" spans="3:18"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N3448" s="8"/>
      <c r="O3448" s="7"/>
      <c r="P3448" s="7"/>
      <c r="Q3448" s="7"/>
      <c r="R3448" s="7"/>
    </row>
    <row r="3449" spans="3:18"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N3449" s="8"/>
      <c r="O3449" s="7"/>
      <c r="P3449" s="7"/>
      <c r="Q3449" s="7"/>
      <c r="R3449" s="7"/>
    </row>
    <row r="3450" spans="3:18"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N3450" s="8"/>
      <c r="O3450" s="7"/>
      <c r="P3450" s="7"/>
      <c r="Q3450" s="7"/>
      <c r="R3450" s="7"/>
    </row>
    <row r="3451" spans="3:18"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N3451" s="8"/>
      <c r="O3451" s="7"/>
      <c r="P3451" s="7"/>
      <c r="Q3451" s="7"/>
      <c r="R3451" s="7"/>
    </row>
    <row r="3452" spans="3:18"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N3452" s="8"/>
      <c r="O3452" s="7"/>
      <c r="P3452" s="7"/>
      <c r="Q3452" s="7"/>
      <c r="R3452" s="7"/>
    </row>
    <row r="3453" spans="3:18"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N3453" s="8"/>
      <c r="O3453" s="7"/>
      <c r="P3453" s="7"/>
      <c r="Q3453" s="7"/>
      <c r="R3453" s="7"/>
    </row>
    <row r="3454" spans="3:18"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N3454" s="8"/>
      <c r="O3454" s="7"/>
      <c r="P3454" s="7"/>
      <c r="Q3454" s="7"/>
      <c r="R3454" s="7"/>
    </row>
    <row r="3455" spans="3:18"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N3455" s="8"/>
      <c r="O3455" s="7"/>
      <c r="P3455" s="7"/>
      <c r="Q3455" s="7"/>
      <c r="R3455" s="7"/>
    </row>
    <row r="3456" spans="3:18"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N3456" s="8"/>
      <c r="O3456" s="7"/>
      <c r="P3456" s="7"/>
      <c r="Q3456" s="7"/>
      <c r="R3456" s="7"/>
    </row>
    <row r="3457" spans="3:18"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N3457" s="8"/>
      <c r="O3457" s="7"/>
      <c r="P3457" s="7"/>
      <c r="Q3457" s="7"/>
      <c r="R3457" s="7"/>
    </row>
    <row r="3458" spans="3:18"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N3458" s="8"/>
      <c r="O3458" s="7"/>
      <c r="P3458" s="7"/>
      <c r="Q3458" s="7"/>
      <c r="R3458" s="7"/>
    </row>
    <row r="3459" spans="3:18"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N3459" s="8"/>
      <c r="O3459" s="7"/>
      <c r="P3459" s="7"/>
      <c r="Q3459" s="7"/>
      <c r="R3459" s="7"/>
    </row>
    <row r="3460" spans="3:18"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N3460" s="8"/>
      <c r="O3460" s="7"/>
      <c r="P3460" s="7"/>
      <c r="Q3460" s="7"/>
      <c r="R3460" s="7"/>
    </row>
    <row r="3461" spans="3:18"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N3461" s="8"/>
      <c r="O3461" s="7"/>
      <c r="P3461" s="7"/>
      <c r="Q3461" s="7"/>
      <c r="R3461" s="7"/>
    </row>
    <row r="3462" spans="3:18"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N3462" s="8"/>
      <c r="O3462" s="7"/>
      <c r="P3462" s="7"/>
      <c r="Q3462" s="7"/>
      <c r="R3462" s="7"/>
    </row>
    <row r="3463" spans="3:18"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N3463" s="8"/>
      <c r="O3463" s="7"/>
      <c r="P3463" s="7"/>
      <c r="Q3463" s="7"/>
      <c r="R3463" s="7"/>
    </row>
    <row r="3464" spans="3:18"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N3464" s="8"/>
      <c r="O3464" s="7"/>
      <c r="P3464" s="7"/>
      <c r="Q3464" s="7"/>
      <c r="R3464" s="7"/>
    </row>
    <row r="3465" spans="3:18"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N3465" s="8"/>
      <c r="O3465" s="7"/>
      <c r="P3465" s="7"/>
      <c r="Q3465" s="7"/>
      <c r="R3465" s="7"/>
    </row>
    <row r="3466" spans="3:18"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N3466" s="8"/>
      <c r="O3466" s="7"/>
      <c r="P3466" s="7"/>
      <c r="Q3466" s="7"/>
      <c r="R3466" s="7"/>
    </row>
    <row r="3467" spans="3:18"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N3467" s="8"/>
      <c r="O3467" s="7"/>
      <c r="P3467" s="7"/>
      <c r="Q3467" s="7"/>
      <c r="R3467" s="7"/>
    </row>
    <row r="3468" spans="3:18"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N3468" s="8"/>
      <c r="O3468" s="7"/>
      <c r="P3468" s="7"/>
      <c r="Q3468" s="7"/>
      <c r="R3468" s="7"/>
    </row>
    <row r="3469" spans="3:18"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N3469" s="8"/>
      <c r="O3469" s="7"/>
      <c r="P3469" s="7"/>
      <c r="Q3469" s="7"/>
      <c r="R3469" s="7"/>
    </row>
    <row r="3470" spans="3:18"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N3470" s="8"/>
      <c r="O3470" s="7"/>
      <c r="P3470" s="7"/>
      <c r="Q3470" s="7"/>
      <c r="R3470" s="7"/>
    </row>
    <row r="3471" spans="3:18"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N3471" s="8"/>
      <c r="O3471" s="7"/>
      <c r="P3471" s="7"/>
      <c r="Q3471" s="7"/>
      <c r="R3471" s="7"/>
    </row>
    <row r="3472" spans="3:18"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N3472" s="8"/>
      <c r="O3472" s="7"/>
      <c r="P3472" s="7"/>
      <c r="Q3472" s="7"/>
      <c r="R3472" s="7"/>
    </row>
    <row r="3473" spans="3:18"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N3473" s="8"/>
      <c r="O3473" s="7"/>
      <c r="P3473" s="7"/>
      <c r="Q3473" s="7"/>
      <c r="R3473" s="7"/>
    </row>
    <row r="3474" spans="3:18"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N3474" s="8"/>
      <c r="O3474" s="7"/>
      <c r="P3474" s="7"/>
      <c r="Q3474" s="7"/>
      <c r="R3474" s="7"/>
    </row>
    <row r="3475" spans="3:18"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N3475" s="8"/>
      <c r="O3475" s="7"/>
      <c r="P3475" s="7"/>
      <c r="Q3475" s="7"/>
      <c r="R3475" s="7"/>
    </row>
    <row r="3476" spans="3:18"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N3476" s="8"/>
      <c r="O3476" s="7"/>
      <c r="P3476" s="7"/>
      <c r="Q3476" s="7"/>
      <c r="R3476" s="7"/>
    </row>
    <row r="3477" spans="3:18"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N3477" s="8"/>
      <c r="O3477" s="7"/>
      <c r="P3477" s="7"/>
      <c r="Q3477" s="7"/>
      <c r="R3477" s="7"/>
    </row>
    <row r="3478" spans="3:18"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N3478" s="8"/>
      <c r="O3478" s="7"/>
      <c r="P3478" s="7"/>
      <c r="Q3478" s="7"/>
      <c r="R3478" s="7"/>
    </row>
    <row r="3479" spans="3:18"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N3479" s="8"/>
      <c r="O3479" s="7"/>
      <c r="P3479" s="7"/>
      <c r="Q3479" s="7"/>
      <c r="R3479" s="7"/>
    </row>
    <row r="3480" spans="3:18"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N3480" s="8"/>
      <c r="O3480" s="7"/>
      <c r="P3480" s="7"/>
      <c r="Q3480" s="7"/>
      <c r="R3480" s="7"/>
    </row>
    <row r="3481" spans="3:18"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N3481" s="8"/>
      <c r="O3481" s="7"/>
      <c r="P3481" s="7"/>
      <c r="Q3481" s="7"/>
      <c r="R3481" s="7"/>
    </row>
    <row r="3482" spans="3:18"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N3482" s="8"/>
      <c r="O3482" s="7"/>
      <c r="P3482" s="7"/>
      <c r="Q3482" s="7"/>
      <c r="R3482" s="7"/>
    </row>
    <row r="3483" spans="3:18"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N3483" s="8"/>
      <c r="O3483" s="7"/>
      <c r="P3483" s="7"/>
      <c r="Q3483" s="7"/>
      <c r="R3483" s="7"/>
    </row>
    <row r="3484" spans="3:18"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N3484" s="8"/>
      <c r="O3484" s="7"/>
      <c r="P3484" s="7"/>
      <c r="Q3484" s="7"/>
      <c r="R3484" s="7"/>
    </row>
    <row r="3485" spans="3:18"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N3485" s="8"/>
      <c r="O3485" s="7"/>
      <c r="P3485" s="7"/>
      <c r="Q3485" s="7"/>
      <c r="R3485" s="7"/>
    </row>
    <row r="3486" spans="3:18"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N3486" s="8"/>
      <c r="O3486" s="7"/>
      <c r="P3486" s="7"/>
      <c r="Q3486" s="7"/>
      <c r="R3486" s="7"/>
    </row>
    <row r="3487" spans="3:18"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N3487" s="8"/>
      <c r="O3487" s="7"/>
      <c r="P3487" s="7"/>
      <c r="Q3487" s="7"/>
      <c r="R3487" s="7"/>
    </row>
    <row r="3488" spans="3:18"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N3488" s="8"/>
      <c r="O3488" s="7"/>
      <c r="P3488" s="7"/>
      <c r="Q3488" s="7"/>
      <c r="R3488" s="7"/>
    </row>
    <row r="3489" spans="3:18"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N3489" s="8"/>
      <c r="O3489" s="7"/>
      <c r="P3489" s="7"/>
      <c r="Q3489" s="7"/>
      <c r="R3489" s="7"/>
    </row>
    <row r="3490" spans="3:18"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N3490" s="8"/>
      <c r="O3490" s="7"/>
      <c r="P3490" s="7"/>
      <c r="Q3490" s="7"/>
      <c r="R3490" s="7"/>
    </row>
    <row r="3491" spans="3:18"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N3491" s="8"/>
      <c r="O3491" s="7"/>
      <c r="P3491" s="7"/>
      <c r="Q3491" s="7"/>
      <c r="R3491" s="7"/>
    </row>
    <row r="3492" spans="3:18"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N3492" s="8"/>
      <c r="O3492" s="7"/>
      <c r="P3492" s="7"/>
      <c r="Q3492" s="7"/>
      <c r="R3492" s="7"/>
    </row>
    <row r="3493" spans="3:18"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N3493" s="8"/>
      <c r="O3493" s="7"/>
      <c r="P3493" s="7"/>
      <c r="Q3493" s="7"/>
      <c r="R3493" s="7"/>
    </row>
    <row r="3494" spans="3:18"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N3494" s="8"/>
      <c r="O3494" s="7"/>
      <c r="P3494" s="7"/>
      <c r="Q3494" s="7"/>
      <c r="R3494" s="7"/>
    </row>
    <row r="3495" spans="3:18"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N3495" s="8"/>
      <c r="O3495" s="7"/>
      <c r="P3495" s="7"/>
      <c r="Q3495" s="7"/>
      <c r="R3495" s="7"/>
    </row>
    <row r="3496" spans="3:18"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N3496" s="8"/>
      <c r="O3496" s="7"/>
      <c r="P3496" s="7"/>
      <c r="Q3496" s="7"/>
      <c r="R3496" s="7"/>
    </row>
    <row r="3497" spans="3:18"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N3497" s="8"/>
      <c r="O3497" s="7"/>
      <c r="P3497" s="7"/>
      <c r="Q3497" s="7"/>
      <c r="R3497" s="7"/>
    </row>
    <row r="3498" spans="3:18"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N3498" s="8"/>
      <c r="O3498" s="7"/>
      <c r="P3498" s="7"/>
      <c r="Q3498" s="7"/>
      <c r="R3498" s="7"/>
    </row>
    <row r="3499" spans="3:18"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N3499" s="8"/>
      <c r="O3499" s="7"/>
      <c r="P3499" s="7"/>
      <c r="Q3499" s="7"/>
      <c r="R3499" s="7"/>
    </row>
    <row r="3500" spans="3:18"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N3500" s="8"/>
      <c r="O3500" s="7"/>
      <c r="P3500" s="7"/>
      <c r="Q3500" s="7"/>
      <c r="R3500" s="7"/>
    </row>
    <row r="3501" spans="3:18"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N3501" s="8"/>
      <c r="O3501" s="7"/>
      <c r="P3501" s="7"/>
      <c r="Q3501" s="7"/>
      <c r="R3501" s="7"/>
    </row>
    <row r="3502" spans="3:18"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N3502" s="8"/>
      <c r="O3502" s="7"/>
      <c r="P3502" s="7"/>
      <c r="Q3502" s="7"/>
      <c r="R3502" s="7"/>
    </row>
    <row r="3503" spans="3:18"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N3503" s="8"/>
      <c r="O3503" s="7"/>
      <c r="P3503" s="7"/>
      <c r="Q3503" s="7"/>
      <c r="R3503" s="7"/>
    </row>
    <row r="3504" spans="3:18"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N3504" s="8"/>
      <c r="O3504" s="7"/>
      <c r="P3504" s="7"/>
      <c r="Q3504" s="7"/>
      <c r="R3504" s="7"/>
    </row>
    <row r="3505" spans="3:18"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N3505" s="8"/>
      <c r="O3505" s="7"/>
      <c r="P3505" s="7"/>
      <c r="Q3505" s="7"/>
      <c r="R3505" s="7"/>
    </row>
    <row r="3506" spans="3:18"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N3506" s="8"/>
      <c r="O3506" s="7"/>
      <c r="P3506" s="7"/>
      <c r="Q3506" s="7"/>
      <c r="R3506" s="7"/>
    </row>
    <row r="3507" spans="3:18"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N3507" s="8"/>
      <c r="O3507" s="7"/>
      <c r="P3507" s="7"/>
      <c r="Q3507" s="7"/>
      <c r="R3507" s="7"/>
    </row>
    <row r="3508" spans="3:18"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N3508" s="8"/>
      <c r="O3508" s="7"/>
      <c r="P3508" s="7"/>
      <c r="Q3508" s="7"/>
      <c r="R3508" s="7"/>
    </row>
    <row r="3509" spans="3:18"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N3509" s="8"/>
      <c r="O3509" s="7"/>
      <c r="P3509" s="7"/>
      <c r="Q3509" s="7"/>
      <c r="R3509" s="7"/>
    </row>
    <row r="3510" spans="3:18"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N3510" s="8"/>
      <c r="O3510" s="7"/>
      <c r="P3510" s="7"/>
      <c r="Q3510" s="7"/>
      <c r="R3510" s="7"/>
    </row>
    <row r="3511" spans="3:18"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N3511" s="8"/>
      <c r="O3511" s="7"/>
      <c r="P3511" s="7"/>
      <c r="Q3511" s="7"/>
      <c r="R3511" s="7"/>
    </row>
    <row r="3512" spans="3:18"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N3512" s="8"/>
      <c r="O3512" s="7"/>
      <c r="P3512" s="7"/>
      <c r="Q3512" s="7"/>
      <c r="R3512" s="7"/>
    </row>
    <row r="3513" spans="3:18"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N3513" s="8"/>
      <c r="O3513" s="7"/>
      <c r="P3513" s="7"/>
      <c r="Q3513" s="7"/>
      <c r="R3513" s="7"/>
    </row>
    <row r="3514" spans="3:18"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N3514" s="8"/>
      <c r="O3514" s="7"/>
      <c r="P3514" s="7"/>
      <c r="Q3514" s="7"/>
      <c r="R3514" s="7"/>
    </row>
    <row r="3515" spans="3:18"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N3515" s="8"/>
      <c r="O3515" s="7"/>
      <c r="P3515" s="7"/>
      <c r="Q3515" s="7"/>
      <c r="R3515" s="7"/>
    </row>
    <row r="3516" spans="3:18"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N3516" s="8"/>
      <c r="O3516" s="7"/>
      <c r="P3516" s="7"/>
      <c r="Q3516" s="7"/>
      <c r="R3516" s="7"/>
    </row>
    <row r="3517" spans="3:18"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N3517" s="8"/>
      <c r="O3517" s="7"/>
      <c r="P3517" s="7"/>
      <c r="Q3517" s="7"/>
      <c r="R3517" s="7"/>
    </row>
    <row r="3518" spans="3:18"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N3518" s="8"/>
      <c r="O3518" s="7"/>
      <c r="P3518" s="7"/>
      <c r="Q3518" s="7"/>
      <c r="R3518" s="7"/>
    </row>
    <row r="3519" spans="3:18"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N3519" s="8"/>
      <c r="O3519" s="7"/>
      <c r="P3519" s="7"/>
      <c r="Q3519" s="7"/>
      <c r="R3519" s="7"/>
    </row>
    <row r="3520" spans="3:18"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N3520" s="8"/>
      <c r="O3520" s="7"/>
      <c r="P3520" s="7"/>
      <c r="Q3520" s="7"/>
      <c r="R3520" s="7"/>
    </row>
    <row r="3521" spans="3:18"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N3521" s="8"/>
      <c r="O3521" s="7"/>
      <c r="P3521" s="7"/>
      <c r="Q3521" s="7"/>
      <c r="R3521" s="7"/>
    </row>
    <row r="3522" spans="3:18"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N3522" s="8"/>
      <c r="O3522" s="7"/>
      <c r="P3522" s="7"/>
      <c r="Q3522" s="7"/>
      <c r="R3522" s="7"/>
    </row>
    <row r="3523" spans="3:18"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N3523" s="8"/>
      <c r="O3523" s="7"/>
      <c r="P3523" s="7"/>
      <c r="Q3523" s="7"/>
      <c r="R3523" s="7"/>
    </row>
    <row r="3524" spans="3:18"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N3524" s="8"/>
      <c r="O3524" s="7"/>
      <c r="P3524" s="7"/>
      <c r="Q3524" s="7"/>
      <c r="R3524" s="7"/>
    </row>
    <row r="3525" spans="3:18"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N3525" s="8"/>
      <c r="O3525" s="7"/>
      <c r="P3525" s="7"/>
      <c r="Q3525" s="7"/>
      <c r="R3525" s="7"/>
    </row>
    <row r="3526" spans="3:18"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N3526" s="8"/>
      <c r="O3526" s="7"/>
      <c r="P3526" s="7"/>
      <c r="Q3526" s="7"/>
      <c r="R3526" s="7"/>
    </row>
    <row r="3527" spans="3:18"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N3527" s="8"/>
      <c r="O3527" s="7"/>
      <c r="P3527" s="7"/>
      <c r="Q3527" s="7"/>
      <c r="R3527" s="7"/>
    </row>
    <row r="3528" spans="3:18"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N3528" s="8"/>
      <c r="O3528" s="7"/>
      <c r="P3528" s="7"/>
      <c r="Q3528" s="7"/>
      <c r="R3528" s="7"/>
    </row>
    <row r="3529" spans="3:18"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N3529" s="8"/>
      <c r="O3529" s="7"/>
      <c r="P3529" s="7"/>
      <c r="Q3529" s="7"/>
      <c r="R3529" s="7"/>
    </row>
    <row r="3530" spans="3:18"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N3530" s="8"/>
      <c r="O3530" s="7"/>
      <c r="P3530" s="7"/>
      <c r="Q3530" s="7"/>
      <c r="R3530" s="7"/>
    </row>
    <row r="3531" spans="3:18"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N3531" s="8"/>
      <c r="O3531" s="7"/>
      <c r="P3531" s="7"/>
      <c r="Q3531" s="7"/>
      <c r="R3531" s="7"/>
    </row>
    <row r="3532" spans="3:18"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N3532" s="8"/>
      <c r="O3532" s="7"/>
      <c r="P3532" s="7"/>
      <c r="Q3532" s="7"/>
      <c r="R3532" s="7"/>
    </row>
    <row r="3533" spans="3:18"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N3533" s="8"/>
      <c r="O3533" s="7"/>
      <c r="P3533" s="7"/>
      <c r="Q3533" s="7"/>
      <c r="R3533" s="7"/>
    </row>
    <row r="3534" spans="3:18"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N3534" s="8"/>
      <c r="O3534" s="7"/>
      <c r="P3534" s="7"/>
      <c r="Q3534" s="7"/>
      <c r="R3534" s="7"/>
    </row>
    <row r="3535" spans="3:18"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N3535" s="8"/>
      <c r="O3535" s="7"/>
      <c r="P3535" s="7"/>
      <c r="Q3535" s="7"/>
      <c r="R3535" s="7"/>
    </row>
    <row r="3536" spans="3:18"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N3536" s="8"/>
      <c r="O3536" s="7"/>
      <c r="P3536" s="7"/>
      <c r="Q3536" s="7"/>
      <c r="R3536" s="7"/>
    </row>
    <row r="3537" spans="3:18"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N3537" s="8"/>
      <c r="O3537" s="7"/>
      <c r="P3537" s="7"/>
      <c r="Q3537" s="7"/>
      <c r="R3537" s="7"/>
    </row>
    <row r="3538" spans="3:18"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N3538" s="8"/>
      <c r="O3538" s="7"/>
      <c r="P3538" s="7"/>
      <c r="Q3538" s="7"/>
      <c r="R3538" s="7"/>
    </row>
    <row r="3539" spans="3:18"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N3539" s="8"/>
      <c r="O3539" s="7"/>
      <c r="P3539" s="7"/>
      <c r="Q3539" s="7"/>
      <c r="R3539" s="7"/>
    </row>
    <row r="3540" spans="3:18"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N3540" s="8"/>
      <c r="O3540" s="7"/>
      <c r="P3540" s="7"/>
      <c r="Q3540" s="7"/>
      <c r="R3540" s="7"/>
    </row>
    <row r="3541" spans="3:18"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N3541" s="8"/>
      <c r="O3541" s="7"/>
      <c r="P3541" s="7"/>
      <c r="Q3541" s="7"/>
      <c r="R3541" s="7"/>
    </row>
    <row r="3542" spans="3:18"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N3542" s="8"/>
      <c r="O3542" s="7"/>
      <c r="P3542" s="7"/>
      <c r="Q3542" s="7"/>
      <c r="R3542" s="7"/>
    </row>
    <row r="3543" spans="3:18"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N3543" s="8"/>
      <c r="O3543" s="7"/>
      <c r="P3543" s="7"/>
      <c r="Q3543" s="7"/>
      <c r="R3543" s="7"/>
    </row>
    <row r="3544" spans="3:18"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N3544" s="8"/>
      <c r="O3544" s="7"/>
      <c r="P3544" s="7"/>
      <c r="Q3544" s="7"/>
      <c r="R3544" s="7"/>
    </row>
    <row r="3545" spans="3:18"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N3545" s="8"/>
      <c r="O3545" s="7"/>
      <c r="P3545" s="7"/>
      <c r="Q3545" s="7"/>
      <c r="R3545" s="7"/>
    </row>
    <row r="3546" spans="3:18"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N3546" s="8"/>
      <c r="O3546" s="7"/>
      <c r="P3546" s="7"/>
      <c r="Q3546" s="7"/>
      <c r="R3546" s="7"/>
    </row>
    <row r="3547" spans="3:18"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N3547" s="8"/>
      <c r="O3547" s="7"/>
      <c r="P3547" s="7"/>
      <c r="Q3547" s="7"/>
      <c r="R3547" s="7"/>
    </row>
    <row r="3548" spans="3:18"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N3548" s="8"/>
      <c r="O3548" s="7"/>
      <c r="P3548" s="7"/>
      <c r="Q3548" s="7"/>
      <c r="R3548" s="7"/>
    </row>
    <row r="3549" spans="3:18"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N3549" s="8"/>
      <c r="O3549" s="7"/>
      <c r="P3549" s="7"/>
      <c r="Q3549" s="7"/>
      <c r="R3549" s="7"/>
    </row>
    <row r="3550" spans="3:18"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N3550" s="8"/>
      <c r="O3550" s="7"/>
      <c r="P3550" s="7"/>
      <c r="Q3550" s="7"/>
      <c r="R3550" s="7"/>
    </row>
    <row r="3551" spans="3:18"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N3551" s="8"/>
      <c r="O3551" s="7"/>
      <c r="P3551" s="7"/>
      <c r="Q3551" s="7"/>
      <c r="R3551" s="7"/>
    </row>
    <row r="3552" spans="3:18"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N3552" s="8"/>
      <c r="O3552" s="7"/>
      <c r="P3552" s="7"/>
      <c r="Q3552" s="7"/>
      <c r="R3552" s="7"/>
    </row>
    <row r="3553" spans="3:18"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N3553" s="8"/>
      <c r="O3553" s="7"/>
      <c r="P3553" s="7"/>
      <c r="Q3553" s="7"/>
      <c r="R3553" s="7"/>
    </row>
    <row r="3554" spans="3:18"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N3554" s="8"/>
      <c r="O3554" s="7"/>
      <c r="P3554" s="7"/>
      <c r="Q3554" s="7"/>
      <c r="R3554" s="7"/>
    </row>
    <row r="3555" spans="3:18"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N3555" s="8"/>
      <c r="O3555" s="7"/>
      <c r="P3555" s="7"/>
      <c r="Q3555" s="7"/>
      <c r="R3555" s="7"/>
    </row>
    <row r="3556" spans="3:18"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N3556" s="8"/>
      <c r="O3556" s="7"/>
      <c r="P3556" s="7"/>
      <c r="Q3556" s="7"/>
      <c r="R3556" s="7"/>
    </row>
    <row r="3557" spans="3:18"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N3557" s="8"/>
      <c r="O3557" s="7"/>
      <c r="P3557" s="7"/>
      <c r="Q3557" s="7"/>
      <c r="R3557" s="7"/>
    </row>
    <row r="3558" spans="3:18"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N3558" s="8"/>
      <c r="O3558" s="7"/>
      <c r="P3558" s="7"/>
      <c r="Q3558" s="7"/>
      <c r="R3558" s="7"/>
    </row>
    <row r="3559" spans="3:18"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N3559" s="8"/>
      <c r="O3559" s="7"/>
      <c r="P3559" s="7"/>
      <c r="Q3559" s="7"/>
      <c r="R3559" s="7"/>
    </row>
    <row r="3560" spans="3:18"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N3560" s="8"/>
      <c r="O3560" s="7"/>
      <c r="P3560" s="7"/>
      <c r="Q3560" s="7"/>
      <c r="R3560" s="7"/>
    </row>
    <row r="3561" spans="3:18"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N3561" s="8"/>
      <c r="O3561" s="7"/>
      <c r="P3561" s="7"/>
      <c r="Q3561" s="7"/>
      <c r="R3561" s="7"/>
    </row>
    <row r="3562" spans="3:18"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N3562" s="8"/>
      <c r="O3562" s="7"/>
      <c r="P3562" s="7"/>
      <c r="Q3562" s="7"/>
      <c r="R3562" s="7"/>
    </row>
    <row r="3563" spans="3:18"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N3563" s="8"/>
      <c r="O3563" s="7"/>
      <c r="P3563" s="7"/>
      <c r="Q3563" s="7"/>
      <c r="R3563" s="7"/>
    </row>
    <row r="3564" spans="3:18"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N3564" s="8"/>
      <c r="O3564" s="7"/>
      <c r="P3564" s="7"/>
      <c r="Q3564" s="7"/>
      <c r="R3564" s="7"/>
    </row>
    <row r="3565" spans="3:18"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N3565" s="8"/>
      <c r="O3565" s="7"/>
      <c r="P3565" s="7"/>
      <c r="Q3565" s="7"/>
      <c r="R3565" s="7"/>
    </row>
    <row r="3566" spans="3:18"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N3566" s="8"/>
      <c r="O3566" s="7"/>
      <c r="P3566" s="7"/>
      <c r="Q3566" s="7"/>
      <c r="R3566" s="7"/>
    </row>
    <row r="3567" spans="3:18"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N3567" s="8"/>
      <c r="O3567" s="7"/>
      <c r="P3567" s="7"/>
      <c r="Q3567" s="7"/>
      <c r="R3567" s="7"/>
    </row>
    <row r="3568" spans="3:18"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N3568" s="8"/>
      <c r="O3568" s="7"/>
      <c r="P3568" s="7"/>
      <c r="Q3568" s="7"/>
      <c r="R3568" s="7"/>
    </row>
    <row r="3569" spans="3:18"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N3569" s="8"/>
      <c r="O3569" s="7"/>
      <c r="P3569" s="7"/>
      <c r="Q3569" s="7"/>
      <c r="R3569" s="7"/>
    </row>
    <row r="3570" spans="3:18"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N3570" s="8"/>
      <c r="O3570" s="7"/>
      <c r="P3570" s="7"/>
      <c r="Q3570" s="7"/>
      <c r="R3570" s="7"/>
    </row>
    <row r="3571" spans="3:18"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N3571" s="8"/>
      <c r="O3571" s="7"/>
      <c r="P3571" s="7"/>
      <c r="Q3571" s="7"/>
      <c r="R3571" s="7"/>
    </row>
    <row r="3572" spans="3:18"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N3572" s="8"/>
      <c r="O3572" s="7"/>
      <c r="P3572" s="7"/>
      <c r="Q3572" s="7"/>
      <c r="R3572" s="7"/>
    </row>
    <row r="3573" spans="3:18"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N3573" s="8"/>
      <c r="O3573" s="7"/>
      <c r="P3573" s="7"/>
      <c r="Q3573" s="7"/>
      <c r="R3573" s="7"/>
    </row>
    <row r="3574" spans="3:18"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N3574" s="8"/>
      <c r="O3574" s="7"/>
      <c r="P3574" s="7"/>
      <c r="Q3574" s="7"/>
      <c r="R3574" s="7"/>
    </row>
    <row r="3575" spans="3:18"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N3575" s="8"/>
      <c r="O3575" s="7"/>
      <c r="P3575" s="7"/>
      <c r="Q3575" s="7"/>
      <c r="R3575" s="7"/>
    </row>
    <row r="3576" spans="3:18"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N3576" s="8"/>
      <c r="O3576" s="7"/>
      <c r="P3576" s="7"/>
      <c r="Q3576" s="7"/>
      <c r="R3576" s="7"/>
    </row>
    <row r="3577" spans="3:18"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N3577" s="8"/>
      <c r="O3577" s="7"/>
      <c r="P3577" s="7"/>
      <c r="Q3577" s="7"/>
      <c r="R3577" s="7"/>
    </row>
    <row r="3578" spans="3:18"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N3578" s="8"/>
      <c r="O3578" s="7"/>
      <c r="P3578" s="7"/>
      <c r="Q3578" s="7"/>
      <c r="R3578" s="7"/>
    </row>
    <row r="3579" spans="3:18"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N3579" s="8"/>
      <c r="O3579" s="7"/>
      <c r="P3579" s="7"/>
      <c r="Q3579" s="7"/>
      <c r="R3579" s="7"/>
    </row>
    <row r="3580" spans="3:18"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N3580" s="8"/>
      <c r="O3580" s="7"/>
      <c r="P3580" s="7"/>
      <c r="Q3580" s="7"/>
      <c r="R3580" s="7"/>
    </row>
    <row r="3581" spans="3:18"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N3581" s="8"/>
      <c r="O3581" s="7"/>
      <c r="P3581" s="7"/>
      <c r="Q3581" s="7"/>
      <c r="R3581" s="7"/>
    </row>
    <row r="3582" spans="3:18"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N3582" s="8"/>
      <c r="O3582" s="7"/>
      <c r="P3582" s="7"/>
      <c r="Q3582" s="7"/>
      <c r="R3582" s="7"/>
    </row>
    <row r="3583" spans="3:18"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N3583" s="8"/>
      <c r="O3583" s="7"/>
      <c r="P3583" s="7"/>
      <c r="Q3583" s="7"/>
      <c r="R3583" s="7"/>
    </row>
    <row r="3584" spans="3:18"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N3584" s="8"/>
      <c r="O3584" s="7"/>
      <c r="P3584" s="7"/>
      <c r="Q3584" s="7"/>
      <c r="R3584" s="7"/>
    </row>
    <row r="3585" spans="3:18"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N3585" s="8"/>
      <c r="O3585" s="7"/>
      <c r="P3585" s="7"/>
      <c r="Q3585" s="7"/>
      <c r="R3585" s="7"/>
    </row>
    <row r="3586" spans="3:18"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N3586" s="8"/>
      <c r="O3586" s="7"/>
      <c r="P3586" s="7"/>
      <c r="Q3586" s="7"/>
      <c r="R3586" s="7"/>
    </row>
    <row r="3587" spans="3:18"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N3587" s="8"/>
      <c r="O3587" s="7"/>
      <c r="P3587" s="7"/>
      <c r="Q3587" s="7"/>
      <c r="R3587" s="7"/>
    </row>
    <row r="3588" spans="3:18"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N3588" s="8"/>
      <c r="O3588" s="7"/>
      <c r="P3588" s="7"/>
      <c r="Q3588" s="7"/>
      <c r="R3588" s="7"/>
    </row>
    <row r="3589" spans="3:18"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N3589" s="8"/>
      <c r="O3589" s="7"/>
      <c r="P3589" s="7"/>
      <c r="Q3589" s="7"/>
      <c r="R3589" s="7"/>
    </row>
    <row r="3590" spans="3:18"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N3590" s="8"/>
      <c r="O3590" s="7"/>
      <c r="P3590" s="7"/>
      <c r="Q3590" s="7"/>
      <c r="R3590" s="7"/>
    </row>
    <row r="3591" spans="3:18"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N3591" s="8"/>
      <c r="O3591" s="7"/>
      <c r="P3591" s="7"/>
      <c r="Q3591" s="7"/>
      <c r="R3591" s="7"/>
    </row>
    <row r="3592" spans="3:18"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N3592" s="8"/>
      <c r="O3592" s="7"/>
      <c r="P3592" s="7"/>
      <c r="Q3592" s="7"/>
      <c r="R3592" s="7"/>
    </row>
    <row r="3593" spans="3:18"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N3593" s="8"/>
      <c r="O3593" s="7"/>
      <c r="P3593" s="7"/>
      <c r="Q3593" s="7"/>
      <c r="R3593" s="7"/>
    </row>
    <row r="3594" spans="3:18"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N3594" s="8"/>
      <c r="O3594" s="7"/>
      <c r="P3594" s="7"/>
      <c r="Q3594" s="7"/>
      <c r="R3594" s="7"/>
    </row>
    <row r="3595" spans="3:18"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N3595" s="8"/>
      <c r="O3595" s="7"/>
      <c r="P3595" s="7"/>
      <c r="Q3595" s="7"/>
      <c r="R3595" s="7"/>
    </row>
    <row r="3596" spans="3:18"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N3596" s="8"/>
      <c r="O3596" s="7"/>
      <c r="P3596" s="7"/>
      <c r="Q3596" s="7"/>
      <c r="R3596" s="7"/>
    </row>
    <row r="3597" spans="3:18"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N3597" s="8"/>
      <c r="O3597" s="7"/>
      <c r="P3597" s="7"/>
      <c r="Q3597" s="7"/>
      <c r="R3597" s="7"/>
    </row>
    <row r="3598" spans="3:18"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N3598" s="8"/>
      <c r="O3598" s="7"/>
      <c r="P3598" s="7"/>
      <c r="Q3598" s="7"/>
      <c r="R3598" s="7"/>
    </row>
    <row r="3599" spans="3:18"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N3599" s="8"/>
      <c r="O3599" s="7"/>
      <c r="P3599" s="7"/>
      <c r="Q3599" s="7"/>
      <c r="R3599" s="7"/>
    </row>
    <row r="3600" spans="3:18"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N3600" s="8"/>
      <c r="O3600" s="7"/>
      <c r="P3600" s="7"/>
      <c r="Q3600" s="7"/>
      <c r="R3600" s="7"/>
    </row>
    <row r="3601" spans="3:18"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N3601" s="8"/>
      <c r="O3601" s="7"/>
      <c r="P3601" s="7"/>
      <c r="Q3601" s="7"/>
      <c r="R3601" s="7"/>
    </row>
    <row r="3602" spans="3:18"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N3602" s="8"/>
      <c r="O3602" s="7"/>
      <c r="P3602" s="7"/>
      <c r="Q3602" s="7"/>
      <c r="R3602" s="7"/>
    </row>
    <row r="3603" spans="3:18"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N3603" s="8"/>
      <c r="O3603" s="7"/>
      <c r="P3603" s="7"/>
      <c r="Q3603" s="7"/>
      <c r="R3603" s="7"/>
    </row>
    <row r="3604" spans="3:18"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N3604" s="8"/>
      <c r="O3604" s="7"/>
      <c r="P3604" s="7"/>
      <c r="Q3604" s="7"/>
      <c r="R3604" s="7"/>
    </row>
    <row r="3605" spans="3:18"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N3605" s="8"/>
      <c r="O3605" s="7"/>
      <c r="P3605" s="7"/>
      <c r="Q3605" s="7"/>
      <c r="R3605" s="7"/>
    </row>
    <row r="3606" spans="3:18"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N3606" s="8"/>
      <c r="O3606" s="7"/>
      <c r="P3606" s="7"/>
      <c r="Q3606" s="7"/>
      <c r="R3606" s="7"/>
    </row>
    <row r="3607" spans="3:18"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N3607" s="8"/>
      <c r="O3607" s="7"/>
      <c r="P3607" s="7"/>
      <c r="Q3607" s="7"/>
      <c r="R3607" s="7"/>
    </row>
    <row r="3608" spans="3:18"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N3608" s="8"/>
      <c r="O3608" s="7"/>
      <c r="P3608" s="7"/>
      <c r="Q3608" s="7"/>
      <c r="R3608" s="7"/>
    </row>
    <row r="3609" spans="3:18"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N3609" s="8"/>
      <c r="O3609" s="7"/>
      <c r="P3609" s="7"/>
      <c r="Q3609" s="7"/>
      <c r="R3609" s="7"/>
    </row>
    <row r="3610" spans="3:18"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N3610" s="8"/>
      <c r="O3610" s="7"/>
      <c r="P3610" s="7"/>
      <c r="Q3610" s="7"/>
      <c r="R3610" s="7"/>
    </row>
    <row r="3611" spans="3:18"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N3611" s="8"/>
      <c r="O3611" s="7"/>
      <c r="P3611" s="7"/>
      <c r="Q3611" s="7"/>
      <c r="R3611" s="7"/>
    </row>
    <row r="3612" spans="3:18"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N3612" s="8"/>
      <c r="O3612" s="7"/>
      <c r="P3612" s="7"/>
      <c r="Q3612" s="7"/>
      <c r="R3612" s="7"/>
    </row>
    <row r="3613" spans="3:18"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N3613" s="8"/>
      <c r="O3613" s="7"/>
      <c r="P3613" s="7"/>
      <c r="Q3613" s="7"/>
      <c r="R3613" s="7"/>
    </row>
    <row r="3614" spans="3:18"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N3614" s="8"/>
      <c r="O3614" s="7"/>
      <c r="P3614" s="7"/>
      <c r="Q3614" s="7"/>
      <c r="R3614" s="7"/>
    </row>
    <row r="3615" spans="3:18"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N3615" s="8"/>
      <c r="O3615" s="7"/>
      <c r="P3615" s="7"/>
      <c r="Q3615" s="7"/>
      <c r="R3615" s="7"/>
    </row>
    <row r="3616" spans="3:18"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N3616" s="8"/>
      <c r="O3616" s="7"/>
      <c r="P3616" s="7"/>
      <c r="Q3616" s="7"/>
      <c r="R3616" s="7"/>
    </row>
    <row r="3617" spans="3:18"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N3617" s="8"/>
      <c r="O3617" s="7"/>
      <c r="P3617" s="7"/>
      <c r="Q3617" s="7"/>
      <c r="R3617" s="7"/>
    </row>
    <row r="3618" spans="3:18"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N3618" s="8"/>
      <c r="O3618" s="7"/>
      <c r="P3618" s="7"/>
      <c r="Q3618" s="7"/>
      <c r="R3618" s="7"/>
    </row>
    <row r="3619" spans="3:18"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N3619" s="8"/>
      <c r="O3619" s="7"/>
      <c r="P3619" s="7"/>
      <c r="Q3619" s="7"/>
      <c r="R3619" s="7"/>
    </row>
    <row r="3620" spans="3:18"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N3620" s="8"/>
      <c r="O3620" s="7"/>
      <c r="P3620" s="7"/>
      <c r="Q3620" s="7"/>
      <c r="R3620" s="7"/>
    </row>
    <row r="3621" spans="3:18"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N3621" s="8"/>
      <c r="O3621" s="7"/>
      <c r="P3621" s="7"/>
      <c r="Q3621" s="7"/>
      <c r="R3621" s="7"/>
    </row>
    <row r="3622" spans="3:18"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N3622" s="8"/>
      <c r="O3622" s="7"/>
      <c r="P3622" s="7"/>
      <c r="Q3622" s="7"/>
      <c r="R3622" s="7"/>
    </row>
    <row r="3623" spans="3:18"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N3623" s="8"/>
      <c r="O3623" s="7"/>
      <c r="P3623" s="7"/>
      <c r="Q3623" s="7"/>
      <c r="R3623" s="7"/>
    </row>
    <row r="3624" spans="3:18"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N3624" s="8"/>
      <c r="O3624" s="7"/>
      <c r="P3624" s="7"/>
      <c r="Q3624" s="7"/>
      <c r="R3624" s="7"/>
    </row>
    <row r="3625" spans="3:18"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N3625" s="8"/>
      <c r="O3625" s="7"/>
      <c r="P3625" s="7"/>
      <c r="Q3625" s="7"/>
      <c r="R3625" s="7"/>
    </row>
    <row r="3626" spans="3:18"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N3626" s="8"/>
      <c r="O3626" s="7"/>
      <c r="P3626" s="7"/>
      <c r="Q3626" s="7"/>
      <c r="R3626" s="7"/>
    </row>
    <row r="3627" spans="3:18"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N3627" s="8"/>
      <c r="O3627" s="7"/>
      <c r="P3627" s="7"/>
      <c r="Q3627" s="7"/>
      <c r="R3627" s="7"/>
    </row>
    <row r="3628" spans="3:18"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N3628" s="8"/>
      <c r="O3628" s="7"/>
      <c r="P3628" s="7"/>
      <c r="Q3628" s="7"/>
      <c r="R3628" s="7"/>
    </row>
    <row r="3629" spans="3:18"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N3629" s="8"/>
      <c r="O3629" s="7"/>
      <c r="P3629" s="7"/>
      <c r="Q3629" s="7"/>
      <c r="R3629" s="7"/>
    </row>
    <row r="3630" spans="3:18"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N3630" s="8"/>
      <c r="O3630" s="7"/>
      <c r="P3630" s="7"/>
      <c r="Q3630" s="7"/>
      <c r="R3630" s="7"/>
    </row>
    <row r="3631" spans="3:18"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N3631" s="8"/>
      <c r="O3631" s="7"/>
      <c r="P3631" s="7"/>
      <c r="Q3631" s="7"/>
      <c r="R3631" s="7"/>
    </row>
    <row r="3632" spans="3:18"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N3632" s="8"/>
      <c r="O3632" s="7"/>
      <c r="P3632" s="7"/>
      <c r="Q3632" s="7"/>
      <c r="R3632" s="7"/>
    </row>
    <row r="3633" spans="3:18"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N3633" s="8"/>
      <c r="O3633" s="7"/>
      <c r="P3633" s="7"/>
      <c r="Q3633" s="7"/>
      <c r="R3633" s="7"/>
    </row>
    <row r="3634" spans="3:18"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N3634" s="8"/>
      <c r="O3634" s="7"/>
      <c r="P3634" s="7"/>
      <c r="Q3634" s="7"/>
      <c r="R3634" s="7"/>
    </row>
    <row r="3635" spans="3:18"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N3635" s="8"/>
      <c r="O3635" s="7"/>
      <c r="P3635" s="7"/>
      <c r="Q3635" s="7"/>
      <c r="R3635" s="7"/>
    </row>
    <row r="3636" spans="3:18"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N3636" s="8"/>
      <c r="O3636" s="7"/>
      <c r="P3636" s="7"/>
      <c r="Q3636" s="7"/>
      <c r="R3636" s="7"/>
    </row>
    <row r="3637" spans="3:18"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N3637" s="8"/>
      <c r="O3637" s="7"/>
      <c r="P3637" s="7"/>
      <c r="Q3637" s="7"/>
      <c r="R3637" s="7"/>
    </row>
    <row r="3638" spans="3:18"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N3638" s="8"/>
      <c r="O3638" s="7"/>
      <c r="P3638" s="7"/>
      <c r="Q3638" s="7"/>
      <c r="R3638" s="7"/>
    </row>
    <row r="3639" spans="3:18"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N3639" s="8"/>
      <c r="O3639" s="7"/>
      <c r="P3639" s="7"/>
      <c r="Q3639" s="7"/>
      <c r="R3639" s="7"/>
    </row>
    <row r="3640" spans="3:18"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N3640" s="8"/>
      <c r="O3640" s="7"/>
      <c r="P3640" s="7"/>
      <c r="Q3640" s="7"/>
      <c r="R3640" s="7"/>
    </row>
    <row r="3641" spans="3:18"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N3641" s="8"/>
      <c r="O3641" s="7"/>
      <c r="P3641" s="7"/>
      <c r="Q3641" s="7"/>
      <c r="R3641" s="7"/>
    </row>
    <row r="3642" spans="3:18"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N3642" s="8"/>
      <c r="O3642" s="7"/>
      <c r="P3642" s="7"/>
      <c r="Q3642" s="7"/>
      <c r="R3642" s="7"/>
    </row>
    <row r="3643" spans="3:18"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N3643" s="8"/>
      <c r="O3643" s="7"/>
      <c r="P3643" s="7"/>
      <c r="Q3643" s="7"/>
      <c r="R3643" s="7"/>
    </row>
    <row r="3644" spans="3:18"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N3644" s="8"/>
      <c r="O3644" s="7"/>
      <c r="P3644" s="7"/>
      <c r="Q3644" s="7"/>
      <c r="R3644" s="7"/>
    </row>
    <row r="3645" spans="3:18"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N3645" s="8"/>
      <c r="O3645" s="7"/>
      <c r="P3645" s="7"/>
      <c r="Q3645" s="7"/>
      <c r="R3645" s="7"/>
    </row>
    <row r="3646" spans="3:18"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N3646" s="8"/>
      <c r="O3646" s="7"/>
      <c r="P3646" s="7"/>
      <c r="Q3646" s="7"/>
      <c r="R3646" s="7"/>
    </row>
    <row r="3647" spans="3:18"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N3647" s="8"/>
      <c r="O3647" s="7"/>
      <c r="P3647" s="7"/>
      <c r="Q3647" s="7"/>
      <c r="R3647" s="7"/>
    </row>
    <row r="3648" spans="3:18"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N3648" s="8"/>
      <c r="O3648" s="7"/>
      <c r="P3648" s="7"/>
      <c r="Q3648" s="7"/>
      <c r="R3648" s="7"/>
    </row>
    <row r="3649" spans="3:18"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N3649" s="8"/>
      <c r="O3649" s="7"/>
      <c r="P3649" s="7"/>
      <c r="Q3649" s="7"/>
      <c r="R3649" s="7"/>
    </row>
    <row r="3650" spans="3:18"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N3650" s="8"/>
      <c r="O3650" s="7"/>
      <c r="P3650" s="7"/>
      <c r="Q3650" s="7"/>
      <c r="R3650" s="7"/>
    </row>
    <row r="3651" spans="3:18"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N3651" s="8"/>
      <c r="O3651" s="7"/>
      <c r="P3651" s="7"/>
      <c r="Q3651" s="7"/>
      <c r="R3651" s="7"/>
    </row>
    <row r="3652" spans="3:18"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N3652" s="8"/>
      <c r="O3652" s="7"/>
      <c r="P3652" s="7"/>
      <c r="Q3652" s="7"/>
      <c r="R3652" s="7"/>
    </row>
    <row r="3653" spans="3:18"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N3653" s="8"/>
      <c r="O3653" s="7"/>
      <c r="P3653" s="7"/>
      <c r="Q3653" s="7"/>
      <c r="R3653" s="7"/>
    </row>
    <row r="3654" spans="3:18"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N3654" s="8"/>
      <c r="O3654" s="7"/>
      <c r="P3654" s="7"/>
      <c r="Q3654" s="7"/>
      <c r="R3654" s="7"/>
    </row>
    <row r="3655" spans="3:18"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N3655" s="8"/>
      <c r="O3655" s="7"/>
      <c r="P3655" s="7"/>
      <c r="Q3655" s="7"/>
      <c r="R3655" s="7"/>
    </row>
    <row r="3656" spans="3:18"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N3656" s="8"/>
      <c r="O3656" s="7"/>
      <c r="P3656" s="7"/>
      <c r="Q3656" s="7"/>
      <c r="R3656" s="7"/>
    </row>
    <row r="3657" spans="3:18"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N3657" s="8"/>
      <c r="O3657" s="7"/>
      <c r="P3657" s="7"/>
      <c r="Q3657" s="7"/>
      <c r="R3657" s="7"/>
    </row>
    <row r="3658" spans="3:18"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N3658" s="8"/>
      <c r="O3658" s="7"/>
      <c r="P3658" s="7"/>
      <c r="Q3658" s="7"/>
      <c r="R3658" s="7"/>
    </row>
    <row r="3659" spans="3:18"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N3659" s="8"/>
      <c r="O3659" s="7"/>
      <c r="P3659" s="7"/>
      <c r="Q3659" s="7"/>
      <c r="R3659" s="7"/>
    </row>
    <row r="3660" spans="3:18"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N3660" s="8"/>
      <c r="O3660" s="7"/>
      <c r="P3660" s="7"/>
      <c r="Q3660" s="7"/>
      <c r="R3660" s="7"/>
    </row>
    <row r="3661" spans="3:18"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N3661" s="8"/>
      <c r="O3661" s="7"/>
      <c r="P3661" s="7"/>
      <c r="Q3661" s="7"/>
      <c r="R3661" s="7"/>
    </row>
    <row r="3662" spans="3:18"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N3662" s="8"/>
      <c r="O3662" s="7"/>
      <c r="P3662" s="7"/>
      <c r="Q3662" s="7"/>
      <c r="R3662" s="7"/>
    </row>
    <row r="3663" spans="3:18"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N3663" s="8"/>
      <c r="O3663" s="7"/>
      <c r="P3663" s="7"/>
      <c r="Q3663" s="7"/>
      <c r="R3663" s="7"/>
    </row>
    <row r="3664" spans="3:18"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N3664" s="8"/>
      <c r="O3664" s="7"/>
      <c r="P3664" s="7"/>
      <c r="Q3664" s="7"/>
      <c r="R3664" s="7"/>
    </row>
    <row r="3665" spans="3:18"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N3665" s="8"/>
      <c r="O3665" s="7"/>
      <c r="P3665" s="7"/>
      <c r="Q3665" s="7"/>
      <c r="R3665" s="7"/>
    </row>
    <row r="3666" spans="3:18"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N3666" s="8"/>
      <c r="O3666" s="7"/>
      <c r="P3666" s="7"/>
      <c r="Q3666" s="7"/>
      <c r="R3666" s="7"/>
    </row>
    <row r="3667" spans="3:18"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N3667" s="8"/>
      <c r="O3667" s="7"/>
      <c r="P3667" s="7"/>
      <c r="Q3667" s="7"/>
      <c r="R3667" s="7"/>
    </row>
    <row r="3668" spans="3:18"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N3668" s="8"/>
      <c r="O3668" s="7"/>
      <c r="P3668" s="7"/>
      <c r="Q3668" s="7"/>
      <c r="R3668" s="7"/>
    </row>
    <row r="3669" spans="3:18"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N3669" s="8"/>
      <c r="O3669" s="7"/>
      <c r="P3669" s="7"/>
      <c r="Q3669" s="7"/>
      <c r="R3669" s="7"/>
    </row>
    <row r="3670" spans="3:18"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N3670" s="8"/>
      <c r="O3670" s="7"/>
      <c r="P3670" s="7"/>
      <c r="Q3670" s="7"/>
      <c r="R3670" s="7"/>
    </row>
    <row r="3671" spans="3:18"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N3671" s="8"/>
      <c r="O3671" s="7"/>
      <c r="P3671" s="7"/>
      <c r="Q3671" s="7"/>
      <c r="R3671" s="7"/>
    </row>
    <row r="3672" spans="3:18"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N3672" s="8"/>
      <c r="O3672" s="7"/>
      <c r="P3672" s="7"/>
      <c r="Q3672" s="7"/>
      <c r="R3672" s="7"/>
    </row>
    <row r="3673" spans="3:18"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N3673" s="8"/>
      <c r="O3673" s="7"/>
      <c r="P3673" s="7"/>
      <c r="Q3673" s="7"/>
      <c r="R3673" s="7"/>
    </row>
    <row r="3674" spans="3:18"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N3674" s="8"/>
      <c r="O3674" s="7"/>
      <c r="P3674" s="7"/>
      <c r="Q3674" s="7"/>
      <c r="R3674" s="7"/>
    </row>
    <row r="3675" spans="3:18"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N3675" s="8"/>
      <c r="O3675" s="7"/>
      <c r="P3675" s="7"/>
      <c r="Q3675" s="7"/>
      <c r="R3675" s="7"/>
    </row>
    <row r="3676" spans="3:18"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N3676" s="8"/>
      <c r="O3676" s="7"/>
      <c r="P3676" s="7"/>
      <c r="Q3676" s="7"/>
      <c r="R3676" s="7"/>
    </row>
    <row r="3677" spans="3:18"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N3677" s="8"/>
      <c r="O3677" s="7"/>
      <c r="P3677" s="7"/>
      <c r="Q3677" s="7"/>
      <c r="R3677" s="7"/>
    </row>
    <row r="3678" spans="3:18"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N3678" s="8"/>
      <c r="O3678" s="7"/>
      <c r="P3678" s="7"/>
      <c r="Q3678" s="7"/>
      <c r="R3678" s="7"/>
    </row>
    <row r="3679" spans="3:18"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N3679" s="8"/>
      <c r="O3679" s="7"/>
      <c r="P3679" s="7"/>
      <c r="Q3679" s="7"/>
      <c r="R3679" s="7"/>
    </row>
    <row r="3680" spans="3:18"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N3680" s="8"/>
      <c r="O3680" s="7"/>
      <c r="P3680" s="7"/>
      <c r="Q3680" s="7"/>
      <c r="R3680" s="7"/>
    </row>
    <row r="3681" spans="3:18"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N3681" s="8"/>
      <c r="O3681" s="7"/>
      <c r="P3681" s="7"/>
      <c r="Q3681" s="7"/>
      <c r="R3681" s="7"/>
    </row>
    <row r="3682" spans="3:18"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N3682" s="8"/>
      <c r="O3682" s="7"/>
      <c r="P3682" s="7"/>
      <c r="Q3682" s="7"/>
      <c r="R3682" s="7"/>
    </row>
    <row r="3683" spans="3:18"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N3683" s="8"/>
      <c r="O3683" s="7"/>
      <c r="P3683" s="7"/>
      <c r="Q3683" s="7"/>
      <c r="R3683" s="7"/>
    </row>
    <row r="3684" spans="3:18"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N3684" s="8"/>
      <c r="O3684" s="7"/>
      <c r="P3684" s="7"/>
      <c r="Q3684" s="7"/>
      <c r="R3684" s="7"/>
    </row>
    <row r="3685" spans="3:18"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N3685" s="8"/>
      <c r="O3685" s="7"/>
      <c r="P3685" s="7"/>
      <c r="Q3685" s="7"/>
      <c r="R3685" s="7"/>
    </row>
    <row r="3686" spans="3:18"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N3686" s="8"/>
      <c r="O3686" s="7"/>
      <c r="P3686" s="7"/>
      <c r="Q3686" s="7"/>
      <c r="R3686" s="7"/>
    </row>
    <row r="3687" spans="3:18"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N3687" s="8"/>
      <c r="O3687" s="7"/>
      <c r="P3687" s="7"/>
      <c r="Q3687" s="7"/>
      <c r="R3687" s="7"/>
    </row>
    <row r="3688" spans="3:18"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N3688" s="8"/>
      <c r="O3688" s="7"/>
      <c r="P3688" s="7"/>
      <c r="Q3688" s="7"/>
      <c r="R3688" s="7"/>
    </row>
    <row r="3689" spans="3:18"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N3689" s="8"/>
      <c r="O3689" s="7"/>
      <c r="P3689" s="7"/>
      <c r="Q3689" s="7"/>
      <c r="R3689" s="7"/>
    </row>
    <row r="3690" spans="3:18"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N3690" s="8"/>
      <c r="O3690" s="7"/>
      <c r="P3690" s="7"/>
      <c r="Q3690" s="7"/>
      <c r="R3690" s="7"/>
    </row>
    <row r="3691" spans="3:18"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N3691" s="8"/>
      <c r="O3691" s="7"/>
      <c r="P3691" s="7"/>
      <c r="Q3691" s="7"/>
      <c r="R3691" s="7"/>
    </row>
    <row r="3692" spans="3:18"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N3692" s="8"/>
      <c r="O3692" s="7"/>
      <c r="P3692" s="7"/>
      <c r="Q3692" s="7"/>
      <c r="R3692" s="7"/>
    </row>
    <row r="3693" spans="3:18"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N3693" s="8"/>
      <c r="O3693" s="7"/>
      <c r="P3693" s="7"/>
      <c r="Q3693" s="7"/>
      <c r="R3693" s="7"/>
    </row>
    <row r="3694" spans="3:18"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N3694" s="8"/>
      <c r="O3694" s="7"/>
      <c r="P3694" s="7"/>
      <c r="Q3694" s="7"/>
      <c r="R3694" s="7"/>
    </row>
    <row r="3695" spans="3:18"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N3695" s="8"/>
      <c r="O3695" s="7"/>
      <c r="P3695" s="7"/>
      <c r="Q3695" s="7"/>
      <c r="R3695" s="7"/>
    </row>
    <row r="3696" spans="3:18"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N3696" s="8"/>
      <c r="O3696" s="7"/>
      <c r="P3696" s="7"/>
      <c r="Q3696" s="7"/>
      <c r="R3696" s="7"/>
    </row>
    <row r="3697" spans="3:18"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N3697" s="8"/>
      <c r="O3697" s="7"/>
      <c r="P3697" s="7"/>
      <c r="Q3697" s="7"/>
      <c r="R3697" s="7"/>
    </row>
    <row r="3698" spans="3:18"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N3698" s="8"/>
      <c r="O3698" s="7"/>
      <c r="P3698" s="7"/>
      <c r="Q3698" s="7"/>
      <c r="R3698" s="7"/>
    </row>
    <row r="3699" spans="3:18"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N3699" s="8"/>
      <c r="O3699" s="7"/>
      <c r="P3699" s="7"/>
      <c r="Q3699" s="7"/>
      <c r="R3699" s="7"/>
    </row>
    <row r="3700" spans="3:18"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N3700" s="8"/>
      <c r="O3700" s="7"/>
      <c r="P3700" s="7"/>
      <c r="Q3700" s="7"/>
      <c r="R3700" s="7"/>
    </row>
    <row r="3701" spans="3:18"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N3701" s="8"/>
      <c r="O3701" s="7"/>
      <c r="P3701" s="7"/>
      <c r="Q3701" s="7"/>
      <c r="R3701" s="7"/>
    </row>
    <row r="3702" spans="3:18"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N3702" s="8"/>
      <c r="O3702" s="7"/>
      <c r="P3702" s="7"/>
      <c r="Q3702" s="7"/>
      <c r="R3702" s="7"/>
    </row>
    <row r="3703" spans="3:18"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N3703" s="8"/>
      <c r="O3703" s="7"/>
      <c r="P3703" s="7"/>
      <c r="Q3703" s="7"/>
      <c r="R3703" s="7"/>
    </row>
    <row r="3704" spans="3:18"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N3704" s="8"/>
      <c r="O3704" s="7"/>
      <c r="P3704" s="7"/>
      <c r="Q3704" s="7"/>
      <c r="R3704" s="7"/>
    </row>
    <row r="3705" spans="3:18"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N3705" s="8"/>
      <c r="O3705" s="7"/>
      <c r="P3705" s="7"/>
      <c r="Q3705" s="7"/>
      <c r="R3705" s="7"/>
    </row>
    <row r="3706" spans="3:18"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N3706" s="8"/>
      <c r="O3706" s="7"/>
      <c r="P3706" s="7"/>
      <c r="Q3706" s="7"/>
      <c r="R3706" s="7"/>
    </row>
    <row r="3707" spans="3:18"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N3707" s="8"/>
      <c r="O3707" s="7"/>
      <c r="P3707" s="7"/>
      <c r="Q3707" s="7"/>
      <c r="R3707" s="7"/>
    </row>
    <row r="3708" spans="3:18"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N3708" s="8"/>
      <c r="O3708" s="7"/>
      <c r="P3708" s="7"/>
      <c r="Q3708" s="7"/>
      <c r="R3708" s="7"/>
    </row>
    <row r="3709" spans="3:18"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N3709" s="8"/>
      <c r="O3709" s="7"/>
      <c r="P3709" s="7"/>
      <c r="Q3709" s="7"/>
      <c r="R3709" s="7"/>
    </row>
    <row r="3710" spans="3:18"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N3710" s="8"/>
      <c r="O3710" s="7"/>
      <c r="P3710" s="7"/>
      <c r="Q3710" s="7"/>
      <c r="R3710" s="7"/>
    </row>
    <row r="3711" spans="3:18"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N3711" s="8"/>
      <c r="O3711" s="7"/>
      <c r="P3711" s="7"/>
      <c r="Q3711" s="7"/>
      <c r="R3711" s="7"/>
    </row>
    <row r="3712" spans="3:18"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N3712" s="8"/>
      <c r="O3712" s="7"/>
      <c r="P3712" s="7"/>
      <c r="Q3712" s="7"/>
      <c r="R3712" s="7"/>
    </row>
    <row r="3713" spans="3:18"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N3713" s="8"/>
      <c r="O3713" s="7"/>
      <c r="P3713" s="7"/>
      <c r="Q3713" s="7"/>
      <c r="R3713" s="7"/>
    </row>
    <row r="3714" spans="3:18"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N3714" s="8"/>
      <c r="O3714" s="7"/>
      <c r="P3714" s="7"/>
      <c r="Q3714" s="7"/>
      <c r="R3714" s="7"/>
    </row>
    <row r="3715" spans="3:18"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N3715" s="8"/>
      <c r="O3715" s="7"/>
      <c r="P3715" s="7"/>
      <c r="Q3715" s="7"/>
      <c r="R3715" s="7"/>
    </row>
    <row r="3716" spans="3:18"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N3716" s="8"/>
      <c r="O3716" s="7"/>
      <c r="P3716" s="7"/>
      <c r="Q3716" s="7"/>
      <c r="R3716" s="7"/>
    </row>
    <row r="3717" spans="3:18"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N3717" s="8"/>
      <c r="O3717" s="7"/>
      <c r="P3717" s="7"/>
      <c r="Q3717" s="7"/>
      <c r="R3717" s="7"/>
    </row>
    <row r="3718" spans="3:18"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N3718" s="8"/>
      <c r="O3718" s="7"/>
      <c r="P3718" s="7"/>
      <c r="Q3718" s="7"/>
      <c r="R3718" s="7"/>
    </row>
    <row r="3719" spans="3:18"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N3719" s="8"/>
      <c r="O3719" s="7"/>
      <c r="P3719" s="7"/>
      <c r="Q3719" s="7"/>
      <c r="R3719" s="7"/>
    </row>
    <row r="3720" spans="3:18"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N3720" s="8"/>
      <c r="O3720" s="7"/>
      <c r="P3720" s="7"/>
      <c r="Q3720" s="7"/>
      <c r="R3720" s="7"/>
    </row>
    <row r="3721" spans="3:18"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N3721" s="8"/>
      <c r="O3721" s="7"/>
      <c r="P3721" s="7"/>
      <c r="Q3721" s="7"/>
      <c r="R3721" s="7"/>
    </row>
    <row r="3722" spans="3:18"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N3722" s="8"/>
      <c r="O3722" s="7"/>
      <c r="P3722" s="7"/>
      <c r="Q3722" s="7"/>
      <c r="R3722" s="7"/>
    </row>
    <row r="3723" spans="3:18"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N3723" s="8"/>
      <c r="O3723" s="7"/>
      <c r="P3723" s="7"/>
      <c r="Q3723" s="7"/>
      <c r="R3723" s="7"/>
    </row>
    <row r="3724" spans="3:18"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N3724" s="8"/>
      <c r="O3724" s="7"/>
      <c r="P3724" s="7"/>
      <c r="Q3724" s="7"/>
      <c r="R3724" s="7"/>
    </row>
    <row r="3725" spans="3:18"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N3725" s="8"/>
      <c r="O3725" s="7"/>
      <c r="P3725" s="7"/>
      <c r="Q3725" s="7"/>
      <c r="R3725" s="7"/>
    </row>
    <row r="3726" spans="3:18"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N3726" s="8"/>
      <c r="O3726" s="7"/>
      <c r="P3726" s="7"/>
      <c r="Q3726" s="7"/>
      <c r="R3726" s="7"/>
    </row>
    <row r="3727" spans="3:18"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N3727" s="8"/>
      <c r="O3727" s="7"/>
      <c r="P3727" s="7"/>
      <c r="Q3727" s="7"/>
      <c r="R3727" s="7"/>
    </row>
    <row r="3728" spans="3:18"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N3728" s="8"/>
      <c r="O3728" s="7"/>
      <c r="P3728" s="7"/>
      <c r="Q3728" s="7"/>
      <c r="R3728" s="7"/>
    </row>
    <row r="3729" spans="3:18"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N3729" s="8"/>
      <c r="O3729" s="7"/>
      <c r="P3729" s="7"/>
      <c r="Q3729" s="7"/>
      <c r="R3729" s="7"/>
    </row>
    <row r="3730" spans="3:18"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N3730" s="8"/>
      <c r="O3730" s="7"/>
      <c r="P3730" s="7"/>
      <c r="Q3730" s="7"/>
      <c r="R3730" s="7"/>
    </row>
    <row r="3731" spans="3:18"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N3731" s="8"/>
      <c r="O3731" s="7"/>
      <c r="P3731" s="7"/>
      <c r="Q3731" s="7"/>
      <c r="R3731" s="7"/>
    </row>
    <row r="3732" spans="3:18"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N3732" s="8"/>
      <c r="O3732" s="7"/>
      <c r="P3732" s="7"/>
      <c r="Q3732" s="7"/>
      <c r="R3732" s="7"/>
    </row>
    <row r="3733" spans="3:18"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N3733" s="8"/>
      <c r="O3733" s="7"/>
      <c r="P3733" s="7"/>
      <c r="Q3733" s="7"/>
      <c r="R3733" s="7"/>
    </row>
    <row r="3734" spans="3:18"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N3734" s="8"/>
      <c r="O3734" s="7"/>
      <c r="P3734" s="7"/>
      <c r="Q3734" s="7"/>
      <c r="R3734" s="7"/>
    </row>
    <row r="3735" spans="3:18"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N3735" s="8"/>
      <c r="O3735" s="7"/>
      <c r="P3735" s="7"/>
      <c r="Q3735" s="7"/>
      <c r="R3735" s="7"/>
    </row>
    <row r="3736" spans="3:18"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N3736" s="8"/>
      <c r="O3736" s="7"/>
      <c r="P3736" s="7"/>
      <c r="Q3736" s="7"/>
      <c r="R3736" s="7"/>
    </row>
    <row r="3737" spans="3:18"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N3737" s="8"/>
      <c r="O3737" s="7"/>
      <c r="P3737" s="7"/>
      <c r="Q3737" s="7"/>
      <c r="R3737" s="7"/>
    </row>
    <row r="3738" spans="3:18"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N3738" s="8"/>
      <c r="O3738" s="7"/>
      <c r="P3738" s="7"/>
      <c r="Q3738" s="7"/>
      <c r="R3738" s="7"/>
    </row>
    <row r="3739" spans="3:18"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N3739" s="8"/>
      <c r="O3739" s="7"/>
      <c r="P3739" s="7"/>
      <c r="Q3739" s="7"/>
      <c r="R3739" s="7"/>
    </row>
    <row r="3740" spans="3:18"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N3740" s="8"/>
      <c r="O3740" s="7"/>
      <c r="P3740" s="7"/>
      <c r="Q3740" s="7"/>
      <c r="R3740" s="7"/>
    </row>
    <row r="3741" spans="3:18"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N3741" s="8"/>
      <c r="O3741" s="7"/>
      <c r="P3741" s="7"/>
      <c r="Q3741" s="7"/>
      <c r="R3741" s="7"/>
    </row>
    <row r="3742" spans="3:18"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N3742" s="8"/>
      <c r="O3742" s="7"/>
      <c r="P3742" s="7"/>
      <c r="Q3742" s="7"/>
      <c r="R3742" s="7"/>
    </row>
    <row r="3743" spans="3:18"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N3743" s="8"/>
      <c r="O3743" s="7"/>
      <c r="P3743" s="7"/>
      <c r="Q3743" s="7"/>
      <c r="R3743" s="7"/>
    </row>
    <row r="3744" spans="3:18"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N3744" s="8"/>
      <c r="O3744" s="7"/>
      <c r="P3744" s="7"/>
      <c r="Q3744" s="7"/>
      <c r="R3744" s="7"/>
    </row>
    <row r="3745" spans="3:18"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N3745" s="8"/>
      <c r="O3745" s="7"/>
      <c r="P3745" s="7"/>
      <c r="Q3745" s="7"/>
      <c r="R3745" s="7"/>
    </row>
    <row r="3746" spans="3:18"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N3746" s="8"/>
      <c r="O3746" s="7"/>
      <c r="P3746" s="7"/>
      <c r="Q3746" s="7"/>
      <c r="R3746" s="7"/>
    </row>
    <row r="3747" spans="3:18"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N3747" s="8"/>
      <c r="O3747" s="7"/>
      <c r="P3747" s="7"/>
      <c r="Q3747" s="7"/>
      <c r="R3747" s="7"/>
    </row>
    <row r="3748" spans="3:18"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N3748" s="8"/>
      <c r="O3748" s="7"/>
      <c r="P3748" s="7"/>
      <c r="Q3748" s="7"/>
      <c r="R3748" s="7"/>
    </row>
    <row r="3749" spans="3:18"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N3749" s="8"/>
      <c r="O3749" s="7"/>
      <c r="P3749" s="7"/>
      <c r="Q3749" s="7"/>
      <c r="R3749" s="7"/>
    </row>
    <row r="3750" spans="3:18"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N3750" s="8"/>
      <c r="O3750" s="7"/>
      <c r="P3750" s="7"/>
      <c r="Q3750" s="7"/>
      <c r="R3750" s="7"/>
    </row>
    <row r="3751" spans="3:18"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N3751" s="8"/>
      <c r="O3751" s="7"/>
      <c r="P3751" s="7"/>
      <c r="Q3751" s="7"/>
      <c r="R3751" s="7"/>
    </row>
    <row r="3752" spans="3:18"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N3752" s="8"/>
      <c r="O3752" s="7"/>
      <c r="P3752" s="7"/>
      <c r="Q3752" s="7"/>
      <c r="R3752" s="7"/>
    </row>
    <row r="3753" spans="3:18"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N3753" s="8"/>
      <c r="O3753" s="7"/>
      <c r="P3753" s="7"/>
      <c r="Q3753" s="7"/>
      <c r="R3753" s="7"/>
    </row>
    <row r="3754" spans="3:18"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N3754" s="8"/>
      <c r="O3754" s="7"/>
      <c r="P3754" s="7"/>
      <c r="Q3754" s="7"/>
      <c r="R3754" s="7"/>
    </row>
    <row r="3755" spans="3:18"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N3755" s="8"/>
      <c r="O3755" s="7"/>
      <c r="P3755" s="7"/>
      <c r="Q3755" s="7"/>
      <c r="R3755" s="7"/>
    </row>
    <row r="3756" spans="3:18"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N3756" s="8"/>
      <c r="O3756" s="7"/>
      <c r="P3756" s="7"/>
      <c r="Q3756" s="7"/>
      <c r="R3756" s="7"/>
    </row>
    <row r="3757" spans="3:18"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N3757" s="8"/>
      <c r="O3757" s="7"/>
      <c r="P3757" s="7"/>
      <c r="Q3757" s="7"/>
      <c r="R3757" s="7"/>
    </row>
    <row r="3758" spans="3:18"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N3758" s="8"/>
      <c r="O3758" s="7"/>
      <c r="P3758" s="7"/>
      <c r="Q3758" s="7"/>
      <c r="R3758" s="7"/>
    </row>
    <row r="3759" spans="3:18"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N3759" s="8"/>
      <c r="O3759" s="7"/>
      <c r="P3759" s="7"/>
      <c r="Q3759" s="7"/>
      <c r="R3759" s="7"/>
    </row>
    <row r="3760" spans="3:18"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N3760" s="8"/>
      <c r="O3760" s="7"/>
      <c r="P3760" s="7"/>
      <c r="Q3760" s="7"/>
      <c r="R3760" s="7"/>
    </row>
    <row r="3761" spans="3:18"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N3761" s="8"/>
      <c r="O3761" s="7"/>
      <c r="P3761" s="7"/>
      <c r="Q3761" s="7"/>
      <c r="R3761" s="7"/>
    </row>
    <row r="3762" spans="3:18"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N3762" s="8"/>
      <c r="O3762" s="7"/>
      <c r="P3762" s="7"/>
      <c r="Q3762" s="7"/>
      <c r="R3762" s="7"/>
    </row>
    <row r="3763" spans="3:18"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N3763" s="8"/>
      <c r="O3763" s="7"/>
      <c r="P3763" s="7"/>
      <c r="Q3763" s="7"/>
      <c r="R3763" s="7"/>
    </row>
    <row r="3764" spans="3:18"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N3764" s="8"/>
      <c r="O3764" s="7"/>
      <c r="P3764" s="7"/>
      <c r="Q3764" s="7"/>
      <c r="R3764" s="7"/>
    </row>
    <row r="3765" spans="3:18"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N3765" s="8"/>
      <c r="O3765" s="7"/>
      <c r="P3765" s="7"/>
      <c r="Q3765" s="7"/>
      <c r="R3765" s="7"/>
    </row>
    <row r="3766" spans="3:18"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N3766" s="8"/>
      <c r="O3766" s="7"/>
      <c r="P3766" s="7"/>
      <c r="Q3766" s="7"/>
      <c r="R3766" s="7"/>
    </row>
    <row r="3767" spans="3:18"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N3767" s="8"/>
      <c r="O3767" s="7"/>
      <c r="P3767" s="7"/>
      <c r="Q3767" s="7"/>
      <c r="R3767" s="7"/>
    </row>
    <row r="3768" spans="3:18"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N3768" s="8"/>
      <c r="O3768" s="7"/>
      <c r="P3768" s="7"/>
      <c r="Q3768" s="7"/>
      <c r="R3768" s="7"/>
    </row>
    <row r="3769" spans="3:18"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N3769" s="8"/>
      <c r="O3769" s="7"/>
      <c r="P3769" s="7"/>
      <c r="Q3769" s="7"/>
      <c r="R3769" s="7"/>
    </row>
    <row r="3770" spans="3:18"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N3770" s="8"/>
      <c r="O3770" s="7"/>
      <c r="P3770" s="7"/>
      <c r="Q3770" s="7"/>
      <c r="R3770" s="7"/>
    </row>
    <row r="3771" spans="3:18"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N3771" s="8"/>
      <c r="O3771" s="7"/>
      <c r="P3771" s="7"/>
      <c r="Q3771" s="7"/>
      <c r="R3771" s="7"/>
    </row>
    <row r="3772" spans="3:18"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N3772" s="8"/>
      <c r="O3772" s="7"/>
      <c r="P3772" s="7"/>
      <c r="Q3772" s="7"/>
      <c r="R3772" s="7"/>
    </row>
    <row r="3773" spans="3:18"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N3773" s="8"/>
      <c r="O3773" s="7"/>
      <c r="P3773" s="7"/>
      <c r="Q3773" s="7"/>
      <c r="R3773" s="7"/>
    </row>
    <row r="3774" spans="3:18"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N3774" s="8"/>
      <c r="O3774" s="7"/>
      <c r="P3774" s="7"/>
      <c r="Q3774" s="7"/>
      <c r="R3774" s="7"/>
    </row>
    <row r="3775" spans="3:18"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N3775" s="8"/>
      <c r="O3775" s="7"/>
      <c r="P3775" s="7"/>
      <c r="Q3775" s="7"/>
      <c r="R3775" s="7"/>
    </row>
    <row r="3776" spans="3:18"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N3776" s="8"/>
      <c r="O3776" s="7"/>
      <c r="P3776" s="7"/>
      <c r="Q3776" s="7"/>
      <c r="R3776" s="7"/>
    </row>
    <row r="3777" spans="3:18"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N3777" s="8"/>
      <c r="O3777" s="7"/>
      <c r="P3777" s="7"/>
      <c r="Q3777" s="7"/>
      <c r="R3777" s="7"/>
    </row>
    <row r="3778" spans="3:18"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N3778" s="8"/>
      <c r="O3778" s="7"/>
      <c r="P3778" s="7"/>
      <c r="Q3778" s="7"/>
      <c r="R3778" s="7"/>
    </row>
    <row r="3779" spans="3:18"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N3779" s="8"/>
      <c r="O3779" s="7"/>
      <c r="P3779" s="7"/>
      <c r="Q3779" s="7"/>
      <c r="R3779" s="7"/>
    </row>
    <row r="3780" spans="3:18"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N3780" s="8"/>
      <c r="O3780" s="7"/>
      <c r="P3780" s="7"/>
      <c r="Q3780" s="7"/>
      <c r="R3780" s="7"/>
    </row>
    <row r="3781" spans="3:18"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N3781" s="8"/>
      <c r="O3781" s="7"/>
      <c r="P3781" s="7"/>
      <c r="Q3781" s="7"/>
      <c r="R3781" s="7"/>
    </row>
    <row r="3782" spans="3:18"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N3782" s="8"/>
      <c r="O3782" s="7"/>
      <c r="P3782" s="7"/>
      <c r="Q3782" s="7"/>
      <c r="R3782" s="7"/>
    </row>
    <row r="3783" spans="3:18"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N3783" s="8"/>
      <c r="O3783" s="7"/>
      <c r="P3783" s="7"/>
      <c r="Q3783" s="7"/>
      <c r="R3783" s="7"/>
    </row>
    <row r="3784" spans="3:18"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N3784" s="8"/>
      <c r="O3784" s="7"/>
      <c r="P3784" s="7"/>
      <c r="Q3784" s="7"/>
      <c r="R3784" s="7"/>
    </row>
    <row r="3785" spans="3:18"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N3785" s="8"/>
      <c r="O3785" s="7"/>
      <c r="P3785" s="7"/>
      <c r="Q3785" s="7"/>
      <c r="R3785" s="7"/>
    </row>
    <row r="3786" spans="3:18"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N3786" s="8"/>
      <c r="O3786" s="7"/>
      <c r="P3786" s="7"/>
      <c r="Q3786" s="7"/>
      <c r="R3786" s="7"/>
    </row>
    <row r="3787" spans="3:18"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N3787" s="8"/>
      <c r="O3787" s="7"/>
      <c r="P3787" s="7"/>
      <c r="Q3787" s="7"/>
      <c r="R3787" s="7"/>
    </row>
    <row r="3788" spans="3:18"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N3788" s="8"/>
      <c r="O3788" s="7"/>
      <c r="P3788" s="7"/>
      <c r="Q3788" s="7"/>
      <c r="R3788" s="7"/>
    </row>
    <row r="3789" spans="3:18"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N3789" s="8"/>
      <c r="O3789" s="7"/>
      <c r="P3789" s="7"/>
      <c r="Q3789" s="7"/>
      <c r="R3789" s="7"/>
    </row>
    <row r="3790" spans="3:18"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N3790" s="8"/>
      <c r="O3790" s="7"/>
      <c r="P3790" s="7"/>
      <c r="Q3790" s="7"/>
      <c r="R3790" s="7"/>
    </row>
    <row r="3791" spans="3:18"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N3791" s="8"/>
      <c r="O3791" s="7"/>
      <c r="P3791" s="7"/>
      <c r="Q3791" s="7"/>
      <c r="R3791" s="7"/>
    </row>
    <row r="3792" spans="3:18"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N3792" s="8"/>
      <c r="O3792" s="7"/>
      <c r="P3792" s="7"/>
      <c r="Q3792" s="7"/>
      <c r="R3792" s="7"/>
    </row>
    <row r="3793" spans="3:18"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N3793" s="8"/>
      <c r="O3793" s="7"/>
      <c r="P3793" s="7"/>
      <c r="Q3793" s="7"/>
      <c r="R3793" s="7"/>
    </row>
    <row r="3794" spans="3:18"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N3794" s="8"/>
      <c r="O3794" s="7"/>
      <c r="P3794" s="7"/>
      <c r="Q3794" s="7"/>
      <c r="R3794" s="7"/>
    </row>
    <row r="3795" spans="3:18"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N3795" s="8"/>
      <c r="O3795" s="7"/>
      <c r="P3795" s="7"/>
      <c r="Q3795" s="7"/>
      <c r="R3795" s="7"/>
    </row>
    <row r="3796" spans="3:18"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N3796" s="8"/>
      <c r="O3796" s="7"/>
      <c r="P3796" s="7"/>
      <c r="Q3796" s="7"/>
      <c r="R3796" s="7"/>
    </row>
    <row r="3797" spans="3:18"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N3797" s="8"/>
      <c r="O3797" s="7"/>
      <c r="P3797" s="7"/>
      <c r="Q3797" s="7"/>
      <c r="R3797" s="7"/>
    </row>
    <row r="3798" spans="3:18"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N3798" s="8"/>
      <c r="O3798" s="7"/>
      <c r="P3798" s="7"/>
      <c r="Q3798" s="7"/>
      <c r="R3798" s="7"/>
    </row>
    <row r="3799" spans="3:18"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N3799" s="8"/>
      <c r="O3799" s="7"/>
      <c r="P3799" s="7"/>
      <c r="Q3799" s="7"/>
      <c r="R3799" s="7"/>
    </row>
    <row r="3800" spans="3:18"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N3800" s="8"/>
      <c r="O3800" s="7"/>
      <c r="P3800" s="7"/>
      <c r="Q3800" s="7"/>
      <c r="R3800" s="7"/>
    </row>
    <row r="3801" spans="3:18"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N3801" s="8"/>
      <c r="O3801" s="7"/>
      <c r="P3801" s="7"/>
      <c r="Q3801" s="7"/>
      <c r="R3801" s="7"/>
    </row>
    <row r="3802" spans="3:18"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N3802" s="8"/>
      <c r="O3802" s="7"/>
      <c r="P3802" s="7"/>
      <c r="Q3802" s="7"/>
      <c r="R3802" s="7"/>
    </row>
    <row r="3803" spans="3:18"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N3803" s="8"/>
      <c r="O3803" s="7"/>
      <c r="P3803" s="7"/>
      <c r="Q3803" s="7"/>
      <c r="R3803" s="7"/>
    </row>
    <row r="3804" spans="3:18"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N3804" s="8"/>
      <c r="O3804" s="7"/>
      <c r="P3804" s="7"/>
      <c r="Q3804" s="7"/>
      <c r="R3804" s="7"/>
    </row>
    <row r="3805" spans="3:18"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N3805" s="8"/>
      <c r="O3805" s="7"/>
      <c r="P3805" s="7"/>
      <c r="Q3805" s="7"/>
      <c r="R3805" s="7"/>
    </row>
    <row r="3806" spans="3:18"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N3806" s="8"/>
      <c r="O3806" s="7"/>
      <c r="P3806" s="7"/>
      <c r="Q3806" s="7"/>
      <c r="R3806" s="7"/>
    </row>
    <row r="3807" spans="3:18"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N3807" s="8"/>
      <c r="O3807" s="7"/>
      <c r="P3807" s="7"/>
      <c r="Q3807" s="7"/>
      <c r="R3807" s="7"/>
    </row>
    <row r="3808" spans="3:18"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N3808" s="8"/>
      <c r="O3808" s="7"/>
      <c r="P3808" s="7"/>
      <c r="Q3808" s="7"/>
      <c r="R3808" s="7"/>
    </row>
    <row r="3809" spans="3:18"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N3809" s="8"/>
      <c r="O3809" s="7"/>
      <c r="P3809" s="7"/>
      <c r="Q3809" s="7"/>
      <c r="R3809" s="7"/>
    </row>
    <row r="3810" spans="3:18"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N3810" s="8"/>
      <c r="O3810" s="7"/>
      <c r="P3810" s="7"/>
      <c r="Q3810" s="7"/>
      <c r="R3810" s="7"/>
    </row>
    <row r="3811" spans="3:18"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N3811" s="8"/>
      <c r="O3811" s="7"/>
      <c r="P3811" s="7"/>
      <c r="Q3811" s="7"/>
      <c r="R3811" s="7"/>
    </row>
    <row r="3812" spans="3:18"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N3812" s="8"/>
      <c r="O3812" s="7"/>
      <c r="P3812" s="7"/>
      <c r="Q3812" s="7"/>
      <c r="R3812" s="7"/>
    </row>
    <row r="3813" spans="3:18"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N3813" s="8"/>
      <c r="O3813" s="7"/>
      <c r="P3813" s="7"/>
      <c r="Q3813" s="7"/>
      <c r="R3813" s="7"/>
    </row>
    <row r="3814" spans="3:18"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N3814" s="8"/>
      <c r="O3814" s="7"/>
      <c r="P3814" s="7"/>
      <c r="Q3814" s="7"/>
      <c r="R3814" s="7"/>
    </row>
    <row r="3815" spans="3:18"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N3815" s="8"/>
      <c r="O3815" s="7"/>
      <c r="P3815" s="7"/>
      <c r="Q3815" s="7"/>
      <c r="R3815" s="7"/>
    </row>
    <row r="3816" spans="3:18"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N3816" s="8"/>
      <c r="O3816" s="7"/>
      <c r="P3816" s="7"/>
      <c r="Q3816" s="7"/>
      <c r="R3816" s="7"/>
    </row>
    <row r="3817" spans="3:18"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N3817" s="8"/>
      <c r="O3817" s="7"/>
      <c r="P3817" s="7"/>
      <c r="Q3817" s="7"/>
      <c r="R3817" s="7"/>
    </row>
    <row r="3818" spans="3:18"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N3818" s="8"/>
      <c r="O3818" s="7"/>
      <c r="P3818" s="7"/>
      <c r="Q3818" s="7"/>
      <c r="R3818" s="7"/>
    </row>
    <row r="3819" spans="3:18"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N3819" s="8"/>
      <c r="O3819" s="7"/>
      <c r="P3819" s="7"/>
      <c r="Q3819" s="7"/>
      <c r="R3819" s="7"/>
    </row>
    <row r="3820" spans="3:18"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N3820" s="8"/>
      <c r="O3820" s="7"/>
      <c r="P3820" s="7"/>
      <c r="Q3820" s="7"/>
      <c r="R3820" s="7"/>
    </row>
    <row r="3821" spans="3:18"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N3821" s="8"/>
      <c r="O3821" s="7"/>
      <c r="P3821" s="7"/>
      <c r="Q3821" s="7"/>
      <c r="R3821" s="7"/>
    </row>
    <row r="3822" spans="3:18"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N3822" s="8"/>
      <c r="O3822" s="7"/>
      <c r="P3822" s="7"/>
      <c r="Q3822" s="7"/>
      <c r="R3822" s="7"/>
    </row>
    <row r="3823" spans="3:18"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N3823" s="8"/>
      <c r="O3823" s="7"/>
      <c r="P3823" s="7"/>
      <c r="Q3823" s="7"/>
      <c r="R3823" s="7"/>
    </row>
    <row r="3824" spans="3:18"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N3824" s="8"/>
      <c r="O3824" s="7"/>
      <c r="P3824" s="7"/>
      <c r="Q3824" s="7"/>
      <c r="R3824" s="7"/>
    </row>
    <row r="3825" spans="3:18"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N3825" s="8"/>
      <c r="O3825" s="7"/>
      <c r="P3825" s="7"/>
      <c r="Q3825" s="7"/>
      <c r="R3825" s="7"/>
    </row>
    <row r="3826" spans="3:18"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N3826" s="8"/>
      <c r="O3826" s="7"/>
      <c r="P3826" s="7"/>
      <c r="Q3826" s="7"/>
      <c r="R3826" s="7"/>
    </row>
    <row r="3827" spans="3:18"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N3827" s="8"/>
      <c r="O3827" s="7"/>
      <c r="P3827" s="7"/>
      <c r="Q3827" s="7"/>
      <c r="R3827" s="7"/>
    </row>
    <row r="3828" spans="3:18"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N3828" s="8"/>
      <c r="O3828" s="7"/>
      <c r="P3828" s="7"/>
      <c r="Q3828" s="7"/>
      <c r="R3828" s="7"/>
    </row>
    <row r="3829" spans="3:18"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N3829" s="8"/>
      <c r="O3829" s="7"/>
      <c r="P3829" s="7"/>
      <c r="Q3829" s="7"/>
      <c r="R3829" s="7"/>
    </row>
    <row r="3830" spans="3:18"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N3830" s="8"/>
      <c r="O3830" s="7"/>
      <c r="P3830" s="7"/>
      <c r="Q3830" s="7"/>
      <c r="R3830" s="7"/>
    </row>
    <row r="3831" spans="3:18"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N3831" s="8"/>
      <c r="O3831" s="7"/>
      <c r="P3831" s="7"/>
      <c r="Q3831" s="7"/>
      <c r="R3831" s="7"/>
    </row>
    <row r="3832" spans="3:18"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N3832" s="8"/>
      <c r="O3832" s="7"/>
      <c r="P3832" s="7"/>
      <c r="Q3832" s="7"/>
      <c r="R3832" s="7"/>
    </row>
    <row r="3833" spans="3:18"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N3833" s="8"/>
      <c r="O3833" s="7"/>
      <c r="P3833" s="7"/>
      <c r="Q3833" s="7"/>
      <c r="R3833" s="7"/>
    </row>
    <row r="3834" spans="3:18"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N3834" s="8"/>
      <c r="O3834" s="7"/>
      <c r="P3834" s="7"/>
      <c r="Q3834" s="7"/>
      <c r="R3834" s="7"/>
    </row>
    <row r="3835" spans="3:18"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N3835" s="8"/>
      <c r="O3835" s="7"/>
      <c r="P3835" s="7"/>
      <c r="Q3835" s="7"/>
      <c r="R3835" s="7"/>
    </row>
    <row r="3836" spans="3:18"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N3836" s="8"/>
      <c r="O3836" s="7"/>
      <c r="P3836" s="7"/>
      <c r="Q3836" s="7"/>
      <c r="R3836" s="7"/>
    </row>
    <row r="3837" spans="3:18"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N3837" s="8"/>
      <c r="O3837" s="7"/>
      <c r="P3837" s="7"/>
      <c r="Q3837" s="7"/>
      <c r="R3837" s="7"/>
    </row>
    <row r="3838" spans="3:18"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N3838" s="8"/>
      <c r="O3838" s="7"/>
      <c r="P3838" s="7"/>
      <c r="Q3838" s="7"/>
      <c r="R3838" s="7"/>
    </row>
    <row r="3839" spans="3:18"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N3839" s="8"/>
      <c r="O3839" s="7"/>
      <c r="P3839" s="7"/>
      <c r="Q3839" s="7"/>
      <c r="R3839" s="7"/>
    </row>
    <row r="3840" spans="3:18"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N3840" s="8"/>
      <c r="O3840" s="7"/>
      <c r="P3840" s="7"/>
      <c r="Q3840" s="7"/>
      <c r="R3840" s="7"/>
    </row>
    <row r="3841" spans="3:18"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N3841" s="8"/>
      <c r="O3841" s="7"/>
      <c r="P3841" s="7"/>
      <c r="Q3841" s="7"/>
      <c r="R3841" s="7"/>
    </row>
    <row r="3842" spans="3:18"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N3842" s="8"/>
      <c r="O3842" s="7"/>
      <c r="P3842" s="7"/>
      <c r="Q3842" s="7"/>
      <c r="R3842" s="7"/>
    </row>
    <row r="3843" spans="3:18"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N3843" s="8"/>
      <c r="O3843" s="7"/>
      <c r="P3843" s="7"/>
      <c r="Q3843" s="7"/>
      <c r="R3843" s="7"/>
    </row>
    <row r="3844" spans="3:18"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N3844" s="8"/>
      <c r="O3844" s="7"/>
      <c r="P3844" s="7"/>
      <c r="Q3844" s="7"/>
      <c r="R3844" s="7"/>
    </row>
    <row r="3845" spans="3:18"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N3845" s="8"/>
      <c r="O3845" s="7"/>
      <c r="P3845" s="7"/>
      <c r="Q3845" s="7"/>
      <c r="R3845" s="7"/>
    </row>
    <row r="3846" spans="3:18"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N3846" s="8"/>
      <c r="O3846" s="7"/>
      <c r="P3846" s="7"/>
      <c r="Q3846" s="7"/>
      <c r="R3846" s="7"/>
    </row>
    <row r="3847" spans="3:18"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N3847" s="8"/>
      <c r="O3847" s="7"/>
      <c r="P3847" s="7"/>
      <c r="Q3847" s="7"/>
      <c r="R3847" s="7"/>
    </row>
    <row r="3848" spans="3:18"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N3848" s="8"/>
      <c r="O3848" s="7"/>
      <c r="P3848" s="7"/>
      <c r="Q3848" s="7"/>
      <c r="R3848" s="7"/>
    </row>
    <row r="3849" spans="3:18"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N3849" s="8"/>
      <c r="O3849" s="7"/>
      <c r="P3849" s="7"/>
      <c r="Q3849" s="7"/>
      <c r="R3849" s="7"/>
    </row>
    <row r="3850" spans="3:18"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N3850" s="8"/>
      <c r="O3850" s="7"/>
      <c r="P3850" s="7"/>
      <c r="Q3850" s="7"/>
      <c r="R3850" s="7"/>
    </row>
    <row r="3851" spans="3:18"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N3851" s="8"/>
      <c r="O3851" s="7"/>
      <c r="P3851" s="7"/>
      <c r="Q3851" s="7"/>
      <c r="R3851" s="7"/>
    </row>
    <row r="3852" spans="3:18"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N3852" s="8"/>
      <c r="O3852" s="7"/>
      <c r="P3852" s="7"/>
      <c r="Q3852" s="7"/>
      <c r="R3852" s="7"/>
    </row>
    <row r="3853" spans="3:18"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N3853" s="8"/>
      <c r="O3853" s="7"/>
      <c r="P3853" s="7"/>
      <c r="Q3853" s="7"/>
      <c r="R3853" s="7"/>
    </row>
    <row r="3854" spans="3:18"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N3854" s="8"/>
      <c r="O3854" s="7"/>
      <c r="P3854" s="7"/>
      <c r="Q3854" s="7"/>
      <c r="R3854" s="7"/>
    </row>
    <row r="3855" spans="3:18"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N3855" s="8"/>
      <c r="O3855" s="7"/>
      <c r="P3855" s="7"/>
      <c r="Q3855" s="7"/>
      <c r="R3855" s="7"/>
    </row>
    <row r="3856" spans="3:18"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N3856" s="8"/>
      <c r="O3856" s="7"/>
      <c r="P3856" s="7"/>
      <c r="Q3856" s="7"/>
      <c r="R3856" s="7"/>
    </row>
    <row r="3857" spans="3:18"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N3857" s="8"/>
      <c r="O3857" s="7"/>
      <c r="P3857" s="7"/>
      <c r="Q3857" s="7"/>
      <c r="R3857" s="7"/>
    </row>
    <row r="3858" spans="3:18"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N3858" s="8"/>
      <c r="O3858" s="7"/>
      <c r="P3858" s="7"/>
      <c r="Q3858" s="7"/>
      <c r="R3858" s="7"/>
    </row>
    <row r="3859" spans="3:18"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N3859" s="8"/>
      <c r="O3859" s="7"/>
      <c r="P3859" s="7"/>
      <c r="Q3859" s="7"/>
      <c r="R3859" s="7"/>
    </row>
    <row r="3860" spans="3:18"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N3860" s="8"/>
      <c r="O3860" s="7"/>
      <c r="P3860" s="7"/>
      <c r="Q3860" s="7"/>
      <c r="R3860" s="7"/>
    </row>
    <row r="3861" spans="3:18"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N3861" s="8"/>
      <c r="O3861" s="7"/>
      <c r="P3861" s="7"/>
      <c r="Q3861" s="7"/>
      <c r="R3861" s="7"/>
    </row>
    <row r="3862" spans="3:18"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N3862" s="8"/>
      <c r="O3862" s="7"/>
      <c r="P3862" s="7"/>
      <c r="Q3862" s="7"/>
      <c r="R3862" s="7"/>
    </row>
    <row r="3863" spans="3:18"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N3863" s="8"/>
      <c r="O3863" s="7"/>
      <c r="P3863" s="7"/>
      <c r="Q3863" s="7"/>
      <c r="R3863" s="7"/>
    </row>
    <row r="3864" spans="3:18"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N3864" s="8"/>
      <c r="O3864" s="7"/>
      <c r="P3864" s="7"/>
      <c r="Q3864" s="7"/>
      <c r="R3864" s="7"/>
    </row>
    <row r="3865" spans="3:18"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N3865" s="8"/>
      <c r="O3865" s="7"/>
      <c r="P3865" s="7"/>
      <c r="Q3865" s="7"/>
      <c r="R3865" s="7"/>
    </row>
    <row r="3866" spans="3:18"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N3866" s="8"/>
      <c r="O3866" s="7"/>
      <c r="P3866" s="7"/>
      <c r="Q3866" s="7"/>
      <c r="R3866" s="7"/>
    </row>
    <row r="3867" spans="3:18"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N3867" s="8"/>
      <c r="O3867" s="7"/>
      <c r="P3867" s="7"/>
      <c r="Q3867" s="7"/>
      <c r="R3867" s="7"/>
    </row>
    <row r="3868" spans="3:18"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N3868" s="8"/>
      <c r="O3868" s="7"/>
      <c r="P3868" s="7"/>
      <c r="Q3868" s="7"/>
      <c r="R3868" s="7"/>
    </row>
    <row r="3869" spans="3:18"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N3869" s="8"/>
      <c r="O3869" s="7"/>
      <c r="P3869" s="7"/>
      <c r="Q3869" s="7"/>
      <c r="R3869" s="7"/>
    </row>
    <row r="3870" spans="3:18"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N3870" s="8"/>
      <c r="O3870" s="7"/>
      <c r="P3870" s="7"/>
      <c r="Q3870" s="7"/>
      <c r="R3870" s="7"/>
    </row>
    <row r="3871" spans="3:18"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N3871" s="8"/>
      <c r="O3871" s="7"/>
      <c r="P3871" s="7"/>
      <c r="Q3871" s="7"/>
      <c r="R3871" s="7"/>
    </row>
    <row r="3872" spans="3:18"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N3872" s="8"/>
      <c r="O3872" s="7"/>
      <c r="P3872" s="7"/>
      <c r="Q3872" s="7"/>
      <c r="R3872" s="7"/>
    </row>
    <row r="3873" spans="3:18"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N3873" s="8"/>
      <c r="O3873" s="7"/>
      <c r="P3873" s="7"/>
      <c r="Q3873" s="7"/>
      <c r="R3873" s="7"/>
    </row>
    <row r="3874" spans="3:18"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N3874" s="8"/>
      <c r="O3874" s="7"/>
      <c r="P3874" s="7"/>
      <c r="Q3874" s="7"/>
      <c r="R3874" s="7"/>
    </row>
    <row r="3875" spans="3:18"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N3875" s="8"/>
      <c r="O3875" s="7"/>
      <c r="P3875" s="7"/>
      <c r="Q3875" s="7"/>
      <c r="R3875" s="7"/>
    </row>
    <row r="3876" spans="3:18"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N3876" s="8"/>
      <c r="O3876" s="7"/>
      <c r="P3876" s="7"/>
      <c r="Q3876" s="7"/>
      <c r="R3876" s="7"/>
    </row>
    <row r="3877" spans="3:18"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N3877" s="8"/>
      <c r="O3877" s="7"/>
      <c r="P3877" s="7"/>
      <c r="Q3877" s="7"/>
      <c r="R3877" s="7"/>
    </row>
    <row r="3878" spans="3:18"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N3878" s="8"/>
      <c r="O3878" s="7"/>
      <c r="P3878" s="7"/>
      <c r="Q3878" s="7"/>
      <c r="R3878" s="7"/>
    </row>
    <row r="3879" spans="3:18"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N3879" s="8"/>
      <c r="O3879" s="7"/>
      <c r="P3879" s="7"/>
      <c r="Q3879" s="7"/>
      <c r="R3879" s="7"/>
    </row>
    <row r="3880" spans="3:18"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N3880" s="8"/>
      <c r="O3880" s="7"/>
      <c r="P3880" s="7"/>
      <c r="Q3880" s="7"/>
      <c r="R3880" s="7"/>
    </row>
    <row r="3881" spans="3:18"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N3881" s="8"/>
      <c r="O3881" s="7"/>
      <c r="P3881" s="7"/>
      <c r="Q3881" s="7"/>
      <c r="R3881" s="7"/>
    </row>
    <row r="3882" spans="3:18"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N3882" s="8"/>
      <c r="O3882" s="7"/>
      <c r="P3882" s="7"/>
      <c r="Q3882" s="7"/>
      <c r="R3882" s="7"/>
    </row>
    <row r="3883" spans="3:18"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N3883" s="8"/>
      <c r="O3883" s="7"/>
      <c r="P3883" s="7"/>
      <c r="Q3883" s="7"/>
      <c r="R3883" s="7"/>
    </row>
    <row r="3884" spans="3:18"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N3884" s="8"/>
      <c r="O3884" s="7"/>
      <c r="P3884" s="7"/>
      <c r="Q3884" s="7"/>
      <c r="R3884" s="7"/>
    </row>
    <row r="3885" spans="3:18"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N3885" s="8"/>
      <c r="O3885" s="7"/>
      <c r="P3885" s="7"/>
      <c r="Q3885" s="7"/>
      <c r="R3885" s="7"/>
    </row>
    <row r="3886" spans="3:18"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N3886" s="8"/>
      <c r="O3886" s="7"/>
      <c r="P3886" s="7"/>
      <c r="Q3886" s="7"/>
      <c r="R3886" s="7"/>
    </row>
    <row r="3887" spans="3:18"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N3887" s="8"/>
      <c r="O3887" s="7"/>
      <c r="P3887" s="7"/>
      <c r="Q3887" s="7"/>
      <c r="R3887" s="7"/>
    </row>
    <row r="3888" spans="3:18"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N3888" s="8"/>
      <c r="O3888" s="7"/>
      <c r="P3888" s="7"/>
      <c r="Q3888" s="7"/>
      <c r="R3888" s="7"/>
    </row>
    <row r="3889" spans="3:18"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N3889" s="8"/>
      <c r="O3889" s="7"/>
      <c r="P3889" s="7"/>
      <c r="Q3889" s="7"/>
      <c r="R3889" s="7"/>
    </row>
    <row r="3890" spans="3:18"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N3890" s="8"/>
      <c r="O3890" s="7"/>
      <c r="P3890" s="7"/>
      <c r="Q3890" s="7"/>
      <c r="R3890" s="7"/>
    </row>
    <row r="3891" spans="3:18"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N3891" s="8"/>
      <c r="O3891" s="7"/>
      <c r="P3891" s="7"/>
      <c r="Q3891" s="7"/>
      <c r="R3891" s="7"/>
    </row>
    <row r="3892" spans="3:18"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N3892" s="8"/>
      <c r="O3892" s="7"/>
      <c r="P3892" s="7"/>
      <c r="Q3892" s="7"/>
      <c r="R3892" s="7"/>
    </row>
    <row r="3893" spans="3:18"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N3893" s="8"/>
      <c r="O3893" s="7"/>
      <c r="P3893" s="7"/>
      <c r="Q3893" s="7"/>
      <c r="R3893" s="7"/>
    </row>
    <row r="3894" spans="3:18"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N3894" s="8"/>
      <c r="O3894" s="7"/>
      <c r="P3894" s="7"/>
      <c r="Q3894" s="7"/>
      <c r="R3894" s="7"/>
    </row>
    <row r="3895" spans="3:18"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N3895" s="8"/>
      <c r="O3895" s="7"/>
      <c r="P3895" s="7"/>
      <c r="Q3895" s="7"/>
      <c r="R3895" s="7"/>
    </row>
    <row r="3896" spans="3:18"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N3896" s="8"/>
      <c r="O3896" s="7"/>
      <c r="P3896" s="7"/>
      <c r="Q3896" s="7"/>
      <c r="R3896" s="7"/>
    </row>
    <row r="3897" spans="3:18"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N3897" s="8"/>
      <c r="O3897" s="7"/>
      <c r="P3897" s="7"/>
      <c r="Q3897" s="7"/>
      <c r="R3897" s="7"/>
    </row>
    <row r="3898" spans="3:18"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N3898" s="8"/>
      <c r="O3898" s="7"/>
      <c r="P3898" s="7"/>
      <c r="Q3898" s="7"/>
      <c r="R3898" s="7"/>
    </row>
    <row r="3899" spans="3:18"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N3899" s="8"/>
      <c r="O3899" s="7"/>
      <c r="P3899" s="7"/>
      <c r="Q3899" s="7"/>
      <c r="R3899" s="7"/>
    </row>
    <row r="3900" spans="3:18"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N3900" s="8"/>
      <c r="O3900" s="7"/>
      <c r="P3900" s="7"/>
      <c r="Q3900" s="7"/>
      <c r="R3900" s="7"/>
    </row>
    <row r="3901" spans="3:18"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N3901" s="8"/>
      <c r="O3901" s="7"/>
      <c r="P3901" s="7"/>
      <c r="Q3901" s="7"/>
      <c r="R3901" s="7"/>
    </row>
    <row r="3902" spans="3:18"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N3902" s="8"/>
      <c r="O3902" s="7"/>
      <c r="P3902" s="7"/>
      <c r="Q3902" s="7"/>
      <c r="R3902" s="7"/>
    </row>
    <row r="3903" spans="3:18"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N3903" s="8"/>
      <c r="O3903" s="7"/>
      <c r="P3903" s="7"/>
      <c r="Q3903" s="7"/>
      <c r="R3903" s="7"/>
    </row>
    <row r="3904" spans="3:18"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N3904" s="8"/>
      <c r="O3904" s="7"/>
      <c r="P3904" s="7"/>
      <c r="Q3904" s="7"/>
      <c r="R3904" s="7"/>
    </row>
    <row r="3905" spans="3:18"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N3905" s="8"/>
      <c r="O3905" s="7"/>
      <c r="P3905" s="7"/>
      <c r="Q3905" s="7"/>
      <c r="R3905" s="7"/>
    </row>
    <row r="3906" spans="3:18"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N3906" s="8"/>
      <c r="O3906" s="7"/>
      <c r="P3906" s="7"/>
      <c r="Q3906" s="7"/>
      <c r="R3906" s="7"/>
    </row>
    <row r="3907" spans="3:18"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N3907" s="8"/>
      <c r="O3907" s="7"/>
      <c r="P3907" s="7"/>
      <c r="Q3907" s="7"/>
      <c r="R3907" s="7"/>
    </row>
    <row r="3908" spans="3:18"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N3908" s="8"/>
      <c r="O3908" s="7"/>
      <c r="P3908" s="7"/>
      <c r="Q3908" s="7"/>
      <c r="R3908" s="7"/>
    </row>
    <row r="3909" spans="3:18"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N3909" s="8"/>
      <c r="O3909" s="7"/>
      <c r="P3909" s="7"/>
      <c r="Q3909" s="7"/>
      <c r="R3909" s="7"/>
    </row>
    <row r="3910" spans="3:18"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N3910" s="8"/>
      <c r="O3910" s="7"/>
      <c r="P3910" s="7"/>
      <c r="Q3910" s="7"/>
      <c r="R3910" s="7"/>
    </row>
    <row r="3911" spans="3:18"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N3911" s="8"/>
      <c r="O3911" s="7"/>
      <c r="P3911" s="7"/>
      <c r="Q3911" s="7"/>
      <c r="R3911" s="7"/>
    </row>
    <row r="3912" spans="3:18"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N3912" s="8"/>
      <c r="O3912" s="7"/>
      <c r="P3912" s="7"/>
      <c r="Q3912" s="7"/>
      <c r="R3912" s="7"/>
    </row>
    <row r="3913" spans="3:18"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N3913" s="8"/>
      <c r="O3913" s="7"/>
      <c r="P3913" s="7"/>
      <c r="Q3913" s="7"/>
      <c r="R3913" s="7"/>
    </row>
    <row r="3914" spans="3:18"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N3914" s="8"/>
      <c r="O3914" s="7"/>
      <c r="P3914" s="7"/>
      <c r="Q3914" s="7"/>
      <c r="R3914" s="7"/>
    </row>
    <row r="3915" spans="3:18"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N3915" s="8"/>
      <c r="O3915" s="7"/>
      <c r="P3915" s="7"/>
      <c r="Q3915" s="7"/>
      <c r="R3915" s="7"/>
    </row>
    <row r="3916" spans="3:18"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N3916" s="8"/>
      <c r="O3916" s="7"/>
      <c r="P3916" s="7"/>
      <c r="Q3916" s="7"/>
      <c r="R3916" s="7"/>
    </row>
    <row r="3917" spans="3:18"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N3917" s="8"/>
      <c r="O3917" s="7"/>
      <c r="P3917" s="7"/>
      <c r="Q3917" s="7"/>
      <c r="R3917" s="7"/>
    </row>
    <row r="3918" spans="3:18"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N3918" s="8"/>
      <c r="O3918" s="7"/>
      <c r="P3918" s="7"/>
      <c r="Q3918" s="7"/>
      <c r="R3918" s="7"/>
    </row>
    <row r="3919" spans="3:18"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N3919" s="8"/>
      <c r="O3919" s="7"/>
      <c r="P3919" s="7"/>
      <c r="Q3919" s="7"/>
      <c r="R3919" s="7"/>
    </row>
    <row r="3920" spans="3:18"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N3920" s="8"/>
      <c r="O3920" s="7"/>
      <c r="P3920" s="7"/>
      <c r="Q3920" s="7"/>
      <c r="R3920" s="7"/>
    </row>
    <row r="3921" spans="3:18"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N3921" s="8"/>
      <c r="O3921" s="7"/>
      <c r="P3921" s="7"/>
      <c r="Q3921" s="7"/>
      <c r="R3921" s="7"/>
    </row>
    <row r="3922" spans="3:18"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N3922" s="8"/>
      <c r="O3922" s="7"/>
      <c r="P3922" s="7"/>
      <c r="Q3922" s="7"/>
      <c r="R3922" s="7"/>
    </row>
    <row r="3923" spans="3:18"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N3923" s="8"/>
      <c r="O3923" s="7"/>
      <c r="P3923" s="7"/>
      <c r="Q3923" s="7"/>
      <c r="R3923" s="7"/>
    </row>
    <row r="3924" spans="3:18"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N3924" s="8"/>
      <c r="O3924" s="7"/>
      <c r="P3924" s="7"/>
      <c r="Q3924" s="7"/>
      <c r="R3924" s="7"/>
    </row>
    <row r="3925" spans="3:18"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N3925" s="8"/>
      <c r="O3925" s="7"/>
      <c r="P3925" s="7"/>
      <c r="Q3925" s="7"/>
      <c r="R3925" s="7"/>
    </row>
    <row r="3926" spans="3:18"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N3926" s="8"/>
      <c r="O3926" s="7"/>
      <c r="P3926" s="7"/>
      <c r="Q3926" s="7"/>
      <c r="R3926" s="7"/>
    </row>
    <row r="3927" spans="3:18"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N3927" s="8"/>
      <c r="O3927" s="7"/>
      <c r="P3927" s="7"/>
      <c r="Q3927" s="7"/>
      <c r="R3927" s="7"/>
    </row>
    <row r="3928" spans="3:18"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N3928" s="8"/>
      <c r="O3928" s="7"/>
      <c r="P3928" s="7"/>
      <c r="Q3928" s="7"/>
      <c r="R3928" s="7"/>
    </row>
    <row r="3929" spans="3:18"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N3929" s="8"/>
      <c r="O3929" s="7"/>
      <c r="P3929" s="7"/>
      <c r="Q3929" s="7"/>
      <c r="R3929" s="7"/>
    </row>
    <row r="3930" spans="3:18"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N3930" s="8"/>
      <c r="O3930" s="7"/>
      <c r="P3930" s="7"/>
      <c r="Q3930" s="7"/>
      <c r="R3930" s="7"/>
    </row>
    <row r="3931" spans="3:18"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N3931" s="8"/>
      <c r="O3931" s="7"/>
      <c r="P3931" s="7"/>
      <c r="Q3931" s="7"/>
      <c r="R3931" s="7"/>
    </row>
    <row r="3932" spans="3:18"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N3932" s="8"/>
      <c r="O3932" s="7"/>
      <c r="P3932" s="7"/>
      <c r="Q3932" s="7"/>
      <c r="R3932" s="7"/>
    </row>
    <row r="3933" spans="3:18"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N3933" s="8"/>
      <c r="O3933" s="7"/>
      <c r="P3933" s="7"/>
      <c r="Q3933" s="7"/>
      <c r="R3933" s="7"/>
    </row>
    <row r="3934" spans="3:18"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N3934" s="8"/>
      <c r="O3934" s="7"/>
      <c r="P3934" s="7"/>
      <c r="Q3934" s="7"/>
      <c r="R3934" s="7"/>
    </row>
    <row r="3935" spans="3:18"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N3935" s="8"/>
      <c r="O3935" s="7"/>
      <c r="P3935" s="7"/>
      <c r="Q3935" s="7"/>
      <c r="R3935" s="7"/>
    </row>
    <row r="3936" spans="3:18"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N3936" s="8"/>
      <c r="O3936" s="7"/>
      <c r="P3936" s="7"/>
      <c r="Q3936" s="7"/>
      <c r="R3936" s="7"/>
    </row>
    <row r="3937" spans="3:18"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N3937" s="8"/>
      <c r="O3937" s="7"/>
      <c r="P3937" s="7"/>
      <c r="Q3937" s="7"/>
      <c r="R3937" s="7"/>
    </row>
    <row r="3938" spans="3:18"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N3938" s="8"/>
      <c r="O3938" s="7"/>
      <c r="P3938" s="7"/>
      <c r="Q3938" s="7"/>
      <c r="R3938" s="7"/>
    </row>
    <row r="3939" spans="3:18"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N3939" s="8"/>
      <c r="O3939" s="7"/>
      <c r="P3939" s="7"/>
      <c r="Q3939" s="7"/>
      <c r="R3939" s="7"/>
    </row>
    <row r="3940" spans="3:18"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N3940" s="8"/>
      <c r="O3940" s="7"/>
      <c r="P3940" s="7"/>
      <c r="Q3940" s="7"/>
      <c r="R3940" s="7"/>
    </row>
    <row r="3941" spans="3:18"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N3941" s="8"/>
      <c r="O3941" s="7"/>
      <c r="P3941" s="7"/>
      <c r="Q3941" s="7"/>
      <c r="R3941" s="7"/>
    </row>
    <row r="3942" spans="3:18"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N3942" s="8"/>
      <c r="O3942" s="7"/>
      <c r="P3942" s="7"/>
      <c r="Q3942" s="7"/>
      <c r="R3942" s="7"/>
    </row>
    <row r="3943" spans="3:18"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N3943" s="8"/>
      <c r="O3943" s="7"/>
      <c r="P3943" s="7"/>
      <c r="Q3943" s="7"/>
      <c r="R3943" s="7"/>
    </row>
    <row r="3944" spans="3:18"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N3944" s="8"/>
      <c r="O3944" s="7"/>
      <c r="P3944" s="7"/>
      <c r="Q3944" s="7"/>
      <c r="R3944" s="7"/>
    </row>
    <row r="3945" spans="3:18"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N3945" s="8"/>
      <c r="O3945" s="7"/>
      <c r="P3945" s="7"/>
      <c r="Q3945" s="7"/>
      <c r="R3945" s="7"/>
    </row>
    <row r="3946" spans="3:18"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N3946" s="8"/>
      <c r="O3946" s="7"/>
      <c r="P3946" s="7"/>
      <c r="Q3946" s="7"/>
      <c r="R3946" s="7"/>
    </row>
    <row r="3947" spans="3:18"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N3947" s="8"/>
      <c r="O3947" s="7"/>
      <c r="P3947" s="7"/>
      <c r="Q3947" s="7"/>
      <c r="R3947" s="7"/>
    </row>
    <row r="3948" spans="3:18"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N3948" s="8"/>
      <c r="O3948" s="7"/>
      <c r="P3948" s="7"/>
      <c r="Q3948" s="7"/>
      <c r="R3948" s="7"/>
    </row>
    <row r="3949" spans="3:18"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N3949" s="8"/>
      <c r="O3949" s="7"/>
      <c r="P3949" s="7"/>
      <c r="Q3949" s="7"/>
      <c r="R3949" s="7"/>
    </row>
    <row r="3950" spans="3:18"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N3950" s="8"/>
      <c r="O3950" s="7"/>
      <c r="P3950" s="7"/>
      <c r="Q3950" s="7"/>
      <c r="R3950" s="7"/>
    </row>
    <row r="3951" spans="3:18"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N3951" s="8"/>
      <c r="O3951" s="7"/>
      <c r="P3951" s="7"/>
      <c r="Q3951" s="7"/>
      <c r="R3951" s="7"/>
    </row>
    <row r="3952" spans="3:18"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N3952" s="8"/>
      <c r="O3952" s="7"/>
      <c r="P3952" s="7"/>
      <c r="Q3952" s="7"/>
      <c r="R3952" s="7"/>
    </row>
    <row r="3953" spans="3:18"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N3953" s="8"/>
      <c r="O3953" s="7"/>
      <c r="P3953" s="7"/>
      <c r="Q3953" s="7"/>
      <c r="R3953" s="7"/>
    </row>
    <row r="3954" spans="3:18"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N3954" s="8"/>
      <c r="O3954" s="7"/>
      <c r="P3954" s="7"/>
      <c r="Q3954" s="7"/>
      <c r="R3954" s="7"/>
    </row>
    <row r="3955" spans="3:18"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N3955" s="8"/>
      <c r="O3955" s="7"/>
      <c r="P3955" s="7"/>
      <c r="Q3955" s="7"/>
      <c r="R3955" s="7"/>
    </row>
    <row r="3956" spans="3:18"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N3956" s="8"/>
      <c r="O3956" s="7"/>
      <c r="P3956" s="7"/>
      <c r="Q3956" s="7"/>
      <c r="R3956" s="7"/>
    </row>
    <row r="3957" spans="3:18"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N3957" s="8"/>
      <c r="O3957" s="7"/>
      <c r="P3957" s="7"/>
      <c r="Q3957" s="7"/>
      <c r="R3957" s="7"/>
    </row>
    <row r="3958" spans="3:18"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N3958" s="8"/>
      <c r="O3958" s="7"/>
      <c r="P3958" s="7"/>
      <c r="Q3958" s="7"/>
      <c r="R3958" s="7"/>
    </row>
    <row r="3959" spans="3:18"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N3959" s="8"/>
      <c r="O3959" s="7"/>
      <c r="P3959" s="7"/>
      <c r="Q3959" s="7"/>
      <c r="R3959" s="7"/>
    </row>
    <row r="3960" spans="3:18"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N3960" s="8"/>
      <c r="O3960" s="7"/>
      <c r="P3960" s="7"/>
      <c r="Q3960" s="7"/>
      <c r="R3960" s="7"/>
    </row>
    <row r="3961" spans="3:18"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N3961" s="8"/>
      <c r="O3961" s="7"/>
      <c r="P3961" s="7"/>
      <c r="Q3961" s="7"/>
      <c r="R3961" s="7"/>
    </row>
    <row r="3962" spans="3:18"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N3962" s="8"/>
      <c r="O3962" s="7"/>
      <c r="P3962" s="7"/>
      <c r="Q3962" s="7"/>
      <c r="R3962" s="7"/>
    </row>
    <row r="3963" spans="3:18"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N3963" s="8"/>
      <c r="O3963" s="7"/>
      <c r="P3963" s="7"/>
      <c r="Q3963" s="7"/>
      <c r="R3963" s="7"/>
    </row>
    <row r="3964" spans="3:18"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N3964" s="8"/>
      <c r="O3964" s="7"/>
      <c r="P3964" s="7"/>
      <c r="Q3964" s="7"/>
      <c r="R3964" s="7"/>
    </row>
    <row r="3965" spans="3:18"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N3965" s="8"/>
      <c r="O3965" s="7"/>
      <c r="P3965" s="7"/>
      <c r="Q3965" s="7"/>
      <c r="R3965" s="7"/>
    </row>
    <row r="3966" spans="3:18"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N3966" s="8"/>
      <c r="O3966" s="7"/>
      <c r="P3966" s="7"/>
      <c r="Q3966" s="7"/>
      <c r="R3966" s="7"/>
    </row>
    <row r="3967" spans="3:18"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N3967" s="8"/>
      <c r="O3967" s="7"/>
      <c r="P3967" s="7"/>
      <c r="Q3967" s="7"/>
      <c r="R3967" s="7"/>
    </row>
    <row r="3968" spans="3:18"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N3968" s="8"/>
      <c r="O3968" s="7"/>
      <c r="P3968" s="7"/>
      <c r="Q3968" s="7"/>
      <c r="R3968" s="7"/>
    </row>
    <row r="3969" spans="3:18"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N3969" s="8"/>
      <c r="O3969" s="7"/>
      <c r="P3969" s="7"/>
      <c r="Q3969" s="7"/>
      <c r="R3969" s="7"/>
    </row>
    <row r="3970" spans="3:18"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N3970" s="8"/>
      <c r="O3970" s="7"/>
      <c r="P3970" s="7"/>
      <c r="Q3970" s="7"/>
      <c r="R3970" s="7"/>
    </row>
    <row r="3971" spans="3:18"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N3971" s="8"/>
      <c r="O3971" s="7"/>
      <c r="P3971" s="7"/>
      <c r="Q3971" s="7"/>
      <c r="R3971" s="7"/>
    </row>
    <row r="3972" spans="3:18"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N3972" s="8"/>
      <c r="O3972" s="7"/>
      <c r="P3972" s="7"/>
      <c r="Q3972" s="7"/>
      <c r="R3972" s="7"/>
    </row>
    <row r="3973" spans="3:18"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N3973" s="8"/>
      <c r="O3973" s="7"/>
      <c r="P3973" s="7"/>
      <c r="Q3973" s="7"/>
      <c r="R3973" s="7"/>
    </row>
    <row r="3974" spans="3:18"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N3974" s="8"/>
      <c r="O3974" s="7"/>
      <c r="P3974" s="7"/>
      <c r="Q3974" s="7"/>
      <c r="R3974" s="7"/>
    </row>
    <row r="3975" spans="3:18"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N3975" s="8"/>
      <c r="O3975" s="7"/>
      <c r="P3975" s="7"/>
      <c r="Q3975" s="7"/>
      <c r="R3975" s="7"/>
    </row>
    <row r="3976" spans="3:18"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N3976" s="8"/>
      <c r="O3976" s="7"/>
      <c r="P3976" s="7"/>
      <c r="Q3976" s="7"/>
      <c r="R3976" s="7"/>
    </row>
    <row r="3977" spans="3:18"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N3977" s="8"/>
      <c r="O3977" s="7"/>
      <c r="P3977" s="7"/>
      <c r="Q3977" s="7"/>
      <c r="R3977" s="7"/>
    </row>
    <row r="3978" spans="3:18"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N3978" s="8"/>
      <c r="O3978" s="7"/>
      <c r="P3978" s="7"/>
      <c r="Q3978" s="7"/>
      <c r="R3978" s="7"/>
    </row>
    <row r="3979" spans="3:18"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N3979" s="8"/>
      <c r="O3979" s="7"/>
      <c r="P3979" s="7"/>
      <c r="Q3979" s="7"/>
      <c r="R3979" s="7"/>
    </row>
    <row r="3980" spans="3:18"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N3980" s="8"/>
      <c r="O3980" s="7"/>
      <c r="P3980" s="7"/>
      <c r="Q3980" s="7"/>
      <c r="R3980" s="7"/>
    </row>
    <row r="3981" spans="3:18"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N3981" s="8"/>
      <c r="O3981" s="7"/>
      <c r="P3981" s="7"/>
      <c r="Q3981" s="7"/>
      <c r="R3981" s="7"/>
    </row>
    <row r="3982" spans="3:18"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N3982" s="8"/>
      <c r="O3982" s="7"/>
      <c r="P3982" s="7"/>
      <c r="Q3982" s="7"/>
      <c r="R3982" s="7"/>
    </row>
    <row r="3983" spans="3:18"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N3983" s="8"/>
      <c r="O3983" s="7"/>
      <c r="P3983" s="7"/>
      <c r="Q3983" s="7"/>
      <c r="R3983" s="7"/>
    </row>
    <row r="3984" spans="3:18"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N3984" s="8"/>
      <c r="O3984" s="7"/>
      <c r="P3984" s="7"/>
      <c r="Q3984" s="7"/>
      <c r="R3984" s="7"/>
    </row>
    <row r="3985" spans="3:18"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N3985" s="8"/>
      <c r="O3985" s="7"/>
      <c r="P3985" s="7"/>
      <c r="Q3985" s="7"/>
      <c r="R3985" s="7"/>
    </row>
    <row r="3986" spans="3:18"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N3986" s="8"/>
      <c r="O3986" s="7"/>
      <c r="P3986" s="7"/>
      <c r="Q3986" s="7"/>
      <c r="R3986" s="7"/>
    </row>
    <row r="3987" spans="3:18"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N3987" s="8"/>
      <c r="O3987" s="7"/>
      <c r="P3987" s="7"/>
      <c r="Q3987" s="7"/>
      <c r="R3987" s="7"/>
    </row>
    <row r="3988" spans="3:18"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N3988" s="8"/>
      <c r="O3988" s="7"/>
      <c r="P3988" s="7"/>
      <c r="Q3988" s="7"/>
      <c r="R3988" s="7"/>
    </row>
    <row r="3989" spans="3:18"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N3989" s="8"/>
      <c r="O3989" s="7"/>
      <c r="P3989" s="7"/>
      <c r="Q3989" s="7"/>
      <c r="R3989" s="7"/>
    </row>
    <row r="3990" spans="3:18"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N3990" s="8"/>
      <c r="O3990" s="7"/>
      <c r="P3990" s="7"/>
      <c r="Q3990" s="7"/>
      <c r="R3990" s="7"/>
    </row>
    <row r="3991" spans="3:18"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N3991" s="8"/>
      <c r="O3991" s="7"/>
      <c r="P3991" s="7"/>
      <c r="Q3991" s="7"/>
      <c r="R3991" s="7"/>
    </row>
    <row r="3992" spans="3:18"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N3992" s="8"/>
      <c r="O3992" s="7"/>
      <c r="P3992" s="7"/>
      <c r="Q3992" s="7"/>
      <c r="R3992" s="7"/>
    </row>
    <row r="3993" spans="3:18"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N3993" s="8"/>
      <c r="O3993" s="7"/>
      <c r="P3993" s="7"/>
      <c r="Q3993" s="7"/>
      <c r="R3993" s="7"/>
    </row>
    <row r="3994" spans="3:18"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N3994" s="8"/>
      <c r="O3994" s="7"/>
      <c r="P3994" s="7"/>
      <c r="Q3994" s="7"/>
      <c r="R3994" s="7"/>
    </row>
    <row r="3995" spans="3:18"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N3995" s="8"/>
      <c r="O3995" s="7"/>
      <c r="P3995" s="7"/>
      <c r="Q3995" s="7"/>
      <c r="R3995" s="7"/>
    </row>
    <row r="3996" spans="3:18"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N3996" s="8"/>
      <c r="O3996" s="7"/>
      <c r="P3996" s="7"/>
      <c r="Q3996" s="7"/>
      <c r="R3996" s="7"/>
    </row>
    <row r="3997" spans="3:18"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N3997" s="8"/>
      <c r="O3997" s="7"/>
      <c r="P3997" s="7"/>
      <c r="Q3997" s="7"/>
      <c r="R3997" s="7"/>
    </row>
    <row r="3998" spans="3:18"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N3998" s="8"/>
      <c r="O3998" s="7"/>
      <c r="P3998" s="7"/>
      <c r="Q3998" s="7"/>
      <c r="R3998" s="7"/>
    </row>
    <row r="3999" spans="3:18"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N3999" s="8"/>
      <c r="O3999" s="7"/>
      <c r="P3999" s="7"/>
      <c r="Q3999" s="7"/>
      <c r="R3999" s="7"/>
    </row>
    <row r="4000" spans="3:18"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N4000" s="8"/>
      <c r="O4000" s="7"/>
      <c r="P4000" s="7"/>
      <c r="Q4000" s="7"/>
      <c r="R4000" s="7"/>
    </row>
    <row r="4001" spans="3:18"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N4001" s="8"/>
      <c r="O4001" s="7"/>
      <c r="P4001" s="7"/>
      <c r="Q4001" s="7"/>
      <c r="R4001" s="7"/>
    </row>
    <row r="4002" spans="3:18"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N4002" s="8"/>
      <c r="O4002" s="7"/>
      <c r="P4002" s="7"/>
      <c r="Q4002" s="7"/>
      <c r="R4002" s="7"/>
    </row>
    <row r="4003" spans="3:18"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N4003" s="8"/>
      <c r="O4003" s="7"/>
      <c r="P4003" s="7"/>
      <c r="Q4003" s="7"/>
      <c r="R4003" s="7"/>
    </row>
    <row r="4004" spans="3:18"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N4004" s="8"/>
      <c r="O4004" s="7"/>
      <c r="P4004" s="7"/>
      <c r="Q4004" s="7"/>
      <c r="R4004" s="7"/>
    </row>
    <row r="4005" spans="3:18"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N4005" s="8"/>
      <c r="O4005" s="7"/>
      <c r="P4005" s="7"/>
      <c r="Q4005" s="7"/>
      <c r="R4005" s="7"/>
    </row>
    <row r="4006" spans="3:18"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N4006" s="8"/>
      <c r="O4006" s="7"/>
      <c r="P4006" s="7"/>
      <c r="Q4006" s="7"/>
      <c r="R4006" s="7"/>
    </row>
    <row r="4007" spans="3:18"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N4007" s="8"/>
      <c r="O4007" s="7"/>
      <c r="P4007" s="7"/>
      <c r="Q4007" s="7"/>
      <c r="R4007" s="7"/>
    </row>
    <row r="4008" spans="3:18"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N4008" s="8"/>
      <c r="O4008" s="7"/>
      <c r="P4008" s="7"/>
      <c r="Q4008" s="7"/>
      <c r="R4008" s="7"/>
    </row>
    <row r="4009" spans="3:18"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N4009" s="8"/>
      <c r="O4009" s="7"/>
      <c r="P4009" s="7"/>
      <c r="Q4009" s="7"/>
      <c r="R4009" s="7"/>
    </row>
    <row r="4010" spans="3:18"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N4010" s="8"/>
      <c r="O4010" s="7"/>
      <c r="P4010" s="7"/>
      <c r="Q4010" s="7"/>
      <c r="R4010" s="7"/>
    </row>
    <row r="4011" spans="3:18"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N4011" s="8"/>
      <c r="O4011" s="7"/>
      <c r="P4011" s="7"/>
      <c r="Q4011" s="7"/>
      <c r="R4011" s="7"/>
    </row>
    <row r="4012" spans="3:18"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N4012" s="8"/>
      <c r="O4012" s="7"/>
      <c r="P4012" s="7"/>
      <c r="Q4012" s="7"/>
      <c r="R4012" s="7"/>
    </row>
    <row r="4013" spans="3:18"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N4013" s="8"/>
      <c r="O4013" s="7"/>
      <c r="P4013" s="7"/>
      <c r="Q4013" s="7"/>
      <c r="R4013" s="7"/>
    </row>
    <row r="4014" spans="3:18"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N4014" s="8"/>
      <c r="O4014" s="7"/>
      <c r="P4014" s="7"/>
      <c r="Q4014" s="7"/>
      <c r="R4014" s="7"/>
    </row>
    <row r="4015" spans="3:18"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N4015" s="8"/>
      <c r="O4015" s="7"/>
      <c r="P4015" s="7"/>
      <c r="Q4015" s="7"/>
      <c r="R4015" s="7"/>
    </row>
    <row r="4016" spans="3:18"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N4016" s="8"/>
      <c r="O4016" s="7"/>
      <c r="P4016" s="7"/>
      <c r="Q4016" s="7"/>
      <c r="R4016" s="7"/>
    </row>
    <row r="4017" spans="3:18"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N4017" s="8"/>
      <c r="O4017" s="7"/>
      <c r="P4017" s="7"/>
      <c r="Q4017" s="7"/>
      <c r="R4017" s="7"/>
    </row>
    <row r="4018" spans="3:18"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N4018" s="8"/>
      <c r="O4018" s="7"/>
      <c r="P4018" s="7"/>
      <c r="Q4018" s="7"/>
      <c r="R4018" s="7"/>
    </row>
    <row r="4019" spans="3:18"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N4019" s="8"/>
      <c r="O4019" s="7"/>
      <c r="P4019" s="7"/>
      <c r="Q4019" s="7"/>
      <c r="R4019" s="7"/>
    </row>
    <row r="4020" spans="3:18"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N4020" s="8"/>
      <c r="O4020" s="7"/>
      <c r="P4020" s="7"/>
      <c r="Q4020" s="7"/>
      <c r="R4020" s="7"/>
    </row>
    <row r="4021" spans="3:18"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N4021" s="8"/>
      <c r="O4021" s="7"/>
      <c r="P4021" s="7"/>
      <c r="Q4021" s="7"/>
      <c r="R4021" s="7"/>
    </row>
    <row r="4022" spans="3:18"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N4022" s="8"/>
      <c r="O4022" s="7"/>
      <c r="P4022" s="7"/>
      <c r="Q4022" s="7"/>
      <c r="R4022" s="7"/>
    </row>
    <row r="4023" spans="3:18"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N4023" s="8"/>
      <c r="O4023" s="7"/>
      <c r="P4023" s="7"/>
      <c r="Q4023" s="7"/>
      <c r="R4023" s="7"/>
    </row>
    <row r="4024" spans="3:18"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N4024" s="8"/>
      <c r="O4024" s="7"/>
      <c r="P4024" s="7"/>
      <c r="Q4024" s="7"/>
      <c r="R4024" s="7"/>
    </row>
    <row r="4025" spans="3:18"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N4025" s="8"/>
      <c r="O4025" s="7"/>
      <c r="P4025" s="7"/>
      <c r="Q4025" s="7"/>
      <c r="R4025" s="7"/>
    </row>
    <row r="4026" spans="3:18"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N4026" s="8"/>
      <c r="O4026" s="7"/>
      <c r="P4026" s="7"/>
      <c r="Q4026" s="7"/>
      <c r="R4026" s="7"/>
    </row>
    <row r="4027" spans="3:18"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N4027" s="8"/>
      <c r="O4027" s="7"/>
      <c r="P4027" s="7"/>
      <c r="Q4027" s="7"/>
      <c r="R4027" s="7"/>
    </row>
    <row r="4028" spans="3:18"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N4028" s="8"/>
      <c r="O4028" s="7"/>
      <c r="P4028" s="7"/>
      <c r="Q4028" s="7"/>
      <c r="R4028" s="7"/>
    </row>
    <row r="4029" spans="3:18"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N4029" s="8"/>
      <c r="O4029" s="7"/>
      <c r="P4029" s="7"/>
      <c r="Q4029" s="7"/>
      <c r="R4029" s="7"/>
    </row>
    <row r="4030" spans="3:18"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N4030" s="8"/>
      <c r="O4030" s="7"/>
      <c r="P4030" s="7"/>
      <c r="Q4030" s="7"/>
      <c r="R4030" s="7"/>
    </row>
    <row r="4031" spans="3:18"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N4031" s="8"/>
      <c r="O4031" s="7"/>
      <c r="P4031" s="7"/>
      <c r="Q4031" s="7"/>
      <c r="R4031" s="7"/>
    </row>
    <row r="4032" spans="3:18"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N4032" s="8"/>
      <c r="O4032" s="7"/>
      <c r="P4032" s="7"/>
      <c r="Q4032" s="7"/>
      <c r="R4032" s="7"/>
    </row>
    <row r="4033" spans="3:18"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N4033" s="8"/>
      <c r="O4033" s="7"/>
      <c r="P4033" s="7"/>
      <c r="Q4033" s="7"/>
      <c r="R4033" s="7"/>
    </row>
    <row r="4034" spans="3:18"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N4034" s="8"/>
      <c r="O4034" s="7"/>
      <c r="P4034" s="7"/>
      <c r="Q4034" s="7"/>
      <c r="R4034" s="7"/>
    </row>
    <row r="4035" spans="3:18"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N4035" s="8"/>
      <c r="O4035" s="7"/>
      <c r="P4035" s="7"/>
      <c r="Q4035" s="7"/>
      <c r="R4035" s="7"/>
    </row>
    <row r="4036" spans="3:18"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N4036" s="8"/>
      <c r="O4036" s="7"/>
      <c r="P4036" s="7"/>
      <c r="Q4036" s="7"/>
      <c r="R4036" s="7"/>
    </row>
    <row r="4037" spans="3:18"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N4037" s="8"/>
      <c r="O4037" s="7"/>
      <c r="P4037" s="7"/>
      <c r="Q4037" s="7"/>
      <c r="R4037" s="7"/>
    </row>
    <row r="4038" spans="3:18"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N4038" s="8"/>
      <c r="O4038" s="7"/>
      <c r="P4038" s="7"/>
      <c r="Q4038" s="7"/>
      <c r="R4038" s="7"/>
    </row>
    <row r="4039" spans="3:18"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N4039" s="8"/>
      <c r="O4039" s="7"/>
      <c r="P4039" s="7"/>
      <c r="Q4039" s="7"/>
      <c r="R4039" s="7"/>
    </row>
    <row r="4040" spans="3:18"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N4040" s="8"/>
      <c r="O4040" s="7"/>
      <c r="P4040" s="7"/>
      <c r="Q4040" s="7"/>
      <c r="R4040" s="7"/>
    </row>
    <row r="4041" spans="3:18"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N4041" s="8"/>
      <c r="O4041" s="7"/>
      <c r="P4041" s="7"/>
      <c r="Q4041" s="7"/>
      <c r="R4041" s="7"/>
    </row>
    <row r="4042" spans="3:18"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N4042" s="8"/>
      <c r="O4042" s="7"/>
      <c r="P4042" s="7"/>
      <c r="Q4042" s="7"/>
      <c r="R4042" s="7"/>
    </row>
    <row r="4043" spans="3:18"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N4043" s="8"/>
      <c r="O4043" s="7"/>
      <c r="P4043" s="7"/>
      <c r="Q4043" s="7"/>
      <c r="R4043" s="7"/>
    </row>
    <row r="4044" spans="3:18"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N4044" s="8"/>
      <c r="O4044" s="7"/>
      <c r="P4044" s="7"/>
      <c r="Q4044" s="7"/>
      <c r="R4044" s="7"/>
    </row>
    <row r="4045" spans="3:18"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N4045" s="8"/>
      <c r="O4045" s="7"/>
      <c r="P4045" s="7"/>
      <c r="Q4045" s="7"/>
      <c r="R4045" s="7"/>
    </row>
    <row r="4046" spans="3:18"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N4046" s="8"/>
      <c r="O4046" s="7"/>
      <c r="P4046" s="7"/>
      <c r="Q4046" s="7"/>
      <c r="R4046" s="7"/>
    </row>
    <row r="4047" spans="3:18"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N4047" s="8"/>
      <c r="O4047" s="7"/>
      <c r="P4047" s="7"/>
      <c r="Q4047" s="7"/>
      <c r="R4047" s="7"/>
    </row>
    <row r="4048" spans="3:18"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N4048" s="8"/>
      <c r="O4048" s="7"/>
      <c r="P4048" s="7"/>
      <c r="Q4048" s="7"/>
      <c r="R4048" s="7"/>
    </row>
    <row r="4049" spans="3:18"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N4049" s="8"/>
      <c r="O4049" s="7"/>
      <c r="P4049" s="7"/>
      <c r="Q4049" s="7"/>
      <c r="R4049" s="7"/>
    </row>
    <row r="4050" spans="3:18"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N4050" s="8"/>
      <c r="O4050" s="7"/>
      <c r="P4050" s="7"/>
      <c r="Q4050" s="7"/>
      <c r="R4050" s="7"/>
    </row>
    <row r="4051" spans="3:18"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N4051" s="8"/>
      <c r="O4051" s="7"/>
      <c r="P4051" s="7"/>
      <c r="Q4051" s="7"/>
      <c r="R4051" s="7"/>
    </row>
    <row r="4052" spans="3:18"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N4052" s="8"/>
      <c r="O4052" s="7"/>
      <c r="P4052" s="7"/>
      <c r="Q4052" s="7"/>
      <c r="R4052" s="7"/>
    </row>
    <row r="4053" spans="3:18"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N4053" s="8"/>
      <c r="O4053" s="7"/>
      <c r="P4053" s="7"/>
      <c r="Q4053" s="7"/>
      <c r="R4053" s="7"/>
    </row>
    <row r="4054" spans="3:18"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N4054" s="8"/>
      <c r="O4054" s="7"/>
      <c r="P4054" s="7"/>
      <c r="Q4054" s="7"/>
      <c r="R4054" s="7"/>
    </row>
    <row r="4055" spans="3:18"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N4055" s="8"/>
      <c r="O4055" s="7"/>
      <c r="P4055" s="7"/>
      <c r="Q4055" s="7"/>
      <c r="R4055" s="7"/>
    </row>
    <row r="4056" spans="3:18"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N4056" s="8"/>
      <c r="O4056" s="7"/>
      <c r="P4056" s="7"/>
      <c r="Q4056" s="7"/>
      <c r="R4056" s="7"/>
    </row>
    <row r="4057" spans="3:18"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N4057" s="8"/>
      <c r="O4057" s="7"/>
      <c r="P4057" s="7"/>
      <c r="Q4057" s="7"/>
      <c r="R4057" s="7"/>
    </row>
    <row r="4058" spans="3:18"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N4058" s="8"/>
      <c r="O4058" s="7"/>
      <c r="P4058" s="7"/>
      <c r="Q4058" s="7"/>
      <c r="R4058" s="7"/>
    </row>
    <row r="4059" spans="3:18"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N4059" s="8"/>
      <c r="O4059" s="7"/>
      <c r="P4059" s="7"/>
      <c r="Q4059" s="7"/>
      <c r="R4059" s="7"/>
    </row>
    <row r="4060" spans="3:18"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N4060" s="8"/>
      <c r="O4060" s="7"/>
      <c r="P4060" s="7"/>
      <c r="Q4060" s="7"/>
      <c r="R4060" s="7"/>
    </row>
    <row r="4061" spans="3:18"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N4061" s="8"/>
      <c r="O4061" s="7"/>
      <c r="P4061" s="7"/>
      <c r="Q4061" s="7"/>
      <c r="R4061" s="7"/>
    </row>
    <row r="4062" spans="3:18"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N4062" s="8"/>
      <c r="O4062" s="7"/>
      <c r="P4062" s="7"/>
      <c r="Q4062" s="7"/>
      <c r="R4062" s="7"/>
    </row>
    <row r="4063" spans="3:18"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N4063" s="8"/>
      <c r="O4063" s="7"/>
      <c r="P4063" s="7"/>
      <c r="Q4063" s="7"/>
      <c r="R4063" s="7"/>
    </row>
    <row r="4064" spans="3:18"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N4064" s="8"/>
      <c r="O4064" s="7"/>
      <c r="P4064" s="7"/>
      <c r="Q4064" s="7"/>
      <c r="R4064" s="7"/>
    </row>
    <row r="4065" spans="3:18"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N4065" s="8"/>
      <c r="O4065" s="7"/>
      <c r="P4065" s="7"/>
      <c r="Q4065" s="7"/>
      <c r="R4065" s="7"/>
    </row>
    <row r="4066" spans="3:18"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N4066" s="8"/>
      <c r="O4066" s="7"/>
      <c r="P4066" s="7"/>
      <c r="Q4066" s="7"/>
      <c r="R4066" s="7"/>
    </row>
    <row r="4067" spans="3:18"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N4067" s="8"/>
      <c r="O4067" s="7"/>
      <c r="P4067" s="7"/>
      <c r="Q4067" s="7"/>
      <c r="R4067" s="7"/>
    </row>
    <row r="4068" spans="3:18"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N4068" s="8"/>
      <c r="O4068" s="7"/>
      <c r="P4068" s="7"/>
      <c r="Q4068" s="7"/>
      <c r="R4068" s="7"/>
    </row>
    <row r="4069" spans="3:18"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N4069" s="8"/>
      <c r="O4069" s="7"/>
      <c r="P4069" s="7"/>
      <c r="Q4069" s="7"/>
      <c r="R4069" s="7"/>
    </row>
    <row r="4070" spans="3:18"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N4070" s="8"/>
      <c r="O4070" s="7"/>
      <c r="P4070" s="7"/>
      <c r="Q4070" s="7"/>
      <c r="R4070" s="7"/>
    </row>
    <row r="4071" spans="3:18"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N4071" s="8"/>
      <c r="O4071" s="7"/>
      <c r="P4071" s="7"/>
      <c r="Q4071" s="7"/>
      <c r="R4071" s="7"/>
    </row>
    <row r="4072" spans="3:18"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N4072" s="8"/>
      <c r="O4072" s="7"/>
      <c r="P4072" s="7"/>
      <c r="Q4072" s="7"/>
      <c r="R4072" s="7"/>
    </row>
    <row r="4073" spans="3:18"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N4073" s="8"/>
      <c r="O4073" s="7"/>
      <c r="P4073" s="7"/>
      <c r="Q4073" s="7"/>
      <c r="R4073" s="7"/>
    </row>
    <row r="4074" spans="3:18"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N4074" s="8"/>
      <c r="O4074" s="7"/>
      <c r="P4074" s="7"/>
      <c r="Q4074" s="7"/>
      <c r="R4074" s="7"/>
    </row>
    <row r="4075" spans="3:18"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N4075" s="8"/>
      <c r="O4075" s="7"/>
      <c r="P4075" s="7"/>
      <c r="Q4075" s="7"/>
      <c r="R4075" s="7"/>
    </row>
    <row r="4076" spans="3:18"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N4076" s="8"/>
      <c r="O4076" s="7"/>
      <c r="P4076" s="7"/>
      <c r="Q4076" s="7"/>
      <c r="R4076" s="7"/>
    </row>
    <row r="4077" spans="3:18"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N4077" s="8"/>
      <c r="O4077" s="7"/>
      <c r="P4077" s="7"/>
      <c r="Q4077" s="7"/>
      <c r="R4077" s="7"/>
    </row>
    <row r="4078" spans="3:18"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N4078" s="8"/>
      <c r="O4078" s="7"/>
      <c r="P4078" s="7"/>
      <c r="Q4078" s="7"/>
      <c r="R4078" s="7"/>
    </row>
    <row r="4079" spans="3:18"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N4079" s="8"/>
      <c r="O4079" s="7"/>
      <c r="P4079" s="7"/>
      <c r="Q4079" s="7"/>
      <c r="R4079" s="7"/>
    </row>
    <row r="4080" spans="3:18"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N4080" s="8"/>
      <c r="O4080" s="7"/>
      <c r="P4080" s="7"/>
      <c r="Q4080" s="7"/>
      <c r="R4080" s="7"/>
    </row>
    <row r="4081" spans="3:18"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N4081" s="8"/>
      <c r="O4081" s="7"/>
      <c r="P4081" s="7"/>
      <c r="Q4081" s="7"/>
      <c r="R4081" s="7"/>
    </row>
    <row r="4082" spans="3:18"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N4082" s="8"/>
      <c r="O4082" s="7"/>
      <c r="P4082" s="7"/>
      <c r="Q4082" s="7"/>
      <c r="R4082" s="7"/>
    </row>
    <row r="4083" spans="3:18"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N4083" s="8"/>
      <c r="O4083" s="7"/>
      <c r="P4083" s="7"/>
      <c r="Q4083" s="7"/>
      <c r="R4083" s="7"/>
    </row>
    <row r="4084" spans="3:18"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N4084" s="8"/>
      <c r="O4084" s="7"/>
      <c r="P4084" s="7"/>
      <c r="Q4084" s="7"/>
      <c r="R4084" s="7"/>
    </row>
    <row r="4085" spans="3:18"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N4085" s="8"/>
      <c r="O4085" s="7"/>
      <c r="P4085" s="7"/>
      <c r="Q4085" s="7"/>
      <c r="R4085" s="7"/>
    </row>
    <row r="4086" spans="3:18"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N4086" s="8"/>
      <c r="O4086" s="7"/>
      <c r="P4086" s="7"/>
      <c r="Q4086" s="7"/>
      <c r="R4086" s="7"/>
    </row>
    <row r="4087" spans="3:18"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N4087" s="8"/>
      <c r="O4087" s="7"/>
      <c r="P4087" s="7"/>
      <c r="Q4087" s="7"/>
      <c r="R4087" s="7"/>
    </row>
    <row r="4088" spans="3:18"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N4088" s="8"/>
      <c r="O4088" s="7"/>
      <c r="P4088" s="7"/>
      <c r="Q4088" s="7"/>
      <c r="R4088" s="7"/>
    </row>
    <row r="4089" spans="3:18"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N4089" s="8"/>
      <c r="O4089" s="7"/>
      <c r="P4089" s="7"/>
      <c r="Q4089" s="7"/>
      <c r="R4089" s="7"/>
    </row>
    <row r="4090" spans="3:18"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N4090" s="8"/>
      <c r="O4090" s="7"/>
      <c r="P4090" s="7"/>
      <c r="Q4090" s="7"/>
      <c r="R4090" s="7"/>
    </row>
    <row r="4091" spans="3:18"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N4091" s="8"/>
      <c r="O4091" s="7"/>
      <c r="P4091" s="7"/>
      <c r="Q4091" s="7"/>
      <c r="R4091" s="7"/>
    </row>
    <row r="4092" spans="3:18"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N4092" s="8"/>
      <c r="O4092" s="7"/>
      <c r="P4092" s="7"/>
      <c r="Q4092" s="7"/>
      <c r="R4092" s="7"/>
    </row>
    <row r="4093" spans="3:18"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N4093" s="8"/>
      <c r="O4093" s="7"/>
      <c r="P4093" s="7"/>
      <c r="Q4093" s="7"/>
      <c r="R4093" s="7"/>
    </row>
    <row r="4094" spans="3:18"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N4094" s="8"/>
      <c r="O4094" s="7"/>
      <c r="P4094" s="7"/>
      <c r="Q4094" s="7"/>
      <c r="R4094" s="7"/>
    </row>
    <row r="4095" spans="3:18"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N4095" s="8"/>
      <c r="O4095" s="7"/>
      <c r="P4095" s="7"/>
      <c r="Q4095" s="7"/>
      <c r="R4095" s="7"/>
    </row>
    <row r="4096" spans="3:18"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N4096" s="8"/>
      <c r="O4096" s="7"/>
      <c r="P4096" s="7"/>
      <c r="Q4096" s="7"/>
      <c r="R4096" s="7"/>
    </row>
    <row r="4097" spans="3:18"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N4097" s="8"/>
      <c r="O4097" s="7"/>
      <c r="P4097" s="7"/>
      <c r="Q4097" s="7"/>
      <c r="R4097" s="7"/>
    </row>
    <row r="4098" spans="3:18"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N4098" s="8"/>
      <c r="O4098" s="7"/>
      <c r="P4098" s="7"/>
      <c r="Q4098" s="7"/>
      <c r="R4098" s="7"/>
    </row>
    <row r="4099" spans="3:18"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N4099" s="8"/>
      <c r="O4099" s="7"/>
      <c r="P4099" s="7"/>
      <c r="Q4099" s="7"/>
      <c r="R4099" s="7"/>
    </row>
    <row r="4100" spans="3:18"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N4100" s="8"/>
      <c r="O4100" s="7"/>
      <c r="P4100" s="7"/>
      <c r="Q4100" s="7"/>
      <c r="R4100" s="7"/>
    </row>
    <row r="4101" spans="3:18"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N4101" s="8"/>
      <c r="O4101" s="7"/>
      <c r="P4101" s="7"/>
      <c r="Q4101" s="7"/>
      <c r="R4101" s="7"/>
    </row>
    <row r="4102" spans="3:18"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N4102" s="8"/>
      <c r="O4102" s="7"/>
      <c r="P4102" s="7"/>
      <c r="Q4102" s="7"/>
      <c r="R4102" s="7"/>
    </row>
    <row r="4103" spans="3:18"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N4103" s="8"/>
      <c r="O4103" s="7"/>
      <c r="P4103" s="7"/>
      <c r="Q4103" s="7"/>
      <c r="R4103" s="7"/>
    </row>
    <row r="4104" spans="3:18"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N4104" s="8"/>
      <c r="O4104" s="7"/>
      <c r="P4104" s="7"/>
      <c r="Q4104" s="7"/>
      <c r="R4104" s="7"/>
    </row>
    <row r="4105" spans="3:18"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N4105" s="8"/>
      <c r="O4105" s="7"/>
      <c r="P4105" s="7"/>
      <c r="Q4105" s="7"/>
      <c r="R4105" s="7"/>
    </row>
  </sheetData>
  <autoFilter ref="A11:P179">
    <filterColumn colId="4"/>
    <filterColumn colId="5"/>
    <filterColumn colId="6"/>
    <filterColumn colId="7"/>
    <filterColumn colId="8"/>
    <filterColumn colId="9"/>
  </autoFilter>
  <mergeCells count="6">
    <mergeCell ref="A1:O1"/>
    <mergeCell ref="A8:O8"/>
    <mergeCell ref="B9:J9"/>
    <mergeCell ref="B10:D10"/>
    <mergeCell ref="E10:G10"/>
    <mergeCell ref="H10:J10"/>
  </mergeCells>
  <conditionalFormatting sqref="K12:K221">
    <cfRule type="cellIs" dxfId="286" priority="463" stopIfTrue="1" operator="equal">
      <formula>"Pass"</formula>
    </cfRule>
    <cfRule type="cellIs" dxfId="285" priority="464" stopIfTrue="1" operator="equal">
      <formula>"Fail"</formula>
    </cfRule>
  </conditionalFormatting>
  <conditionalFormatting sqref="K222">
    <cfRule type="cellIs" dxfId="284" priority="155" stopIfTrue="1" operator="equal">
      <formula>"Pass"</formula>
    </cfRule>
    <cfRule type="cellIs" dxfId="283" priority="156" stopIfTrue="1" operator="equal">
      <formula>"Fail"</formula>
    </cfRule>
  </conditionalFormatting>
  <conditionalFormatting sqref="K223">
    <cfRule type="cellIs" dxfId="282" priority="153" stopIfTrue="1" operator="equal">
      <formula>"Pass"</formula>
    </cfRule>
    <cfRule type="cellIs" dxfId="281" priority="154" stopIfTrue="1" operator="equal">
      <formula>"Fail"</formula>
    </cfRule>
  </conditionalFormatting>
  <conditionalFormatting sqref="K224:K225">
    <cfRule type="cellIs" dxfId="280" priority="151" stopIfTrue="1" operator="equal">
      <formula>"Pass"</formula>
    </cfRule>
    <cfRule type="cellIs" dxfId="279" priority="152" stopIfTrue="1" operator="equal">
      <formula>"Fail"</formula>
    </cfRule>
  </conditionalFormatting>
  <conditionalFormatting sqref="K226">
    <cfRule type="cellIs" dxfId="278" priority="149" stopIfTrue="1" operator="equal">
      <formula>"Pass"</formula>
    </cfRule>
    <cfRule type="cellIs" dxfId="277" priority="150" stopIfTrue="1" operator="equal">
      <formula>"Fail"</formula>
    </cfRule>
  </conditionalFormatting>
  <conditionalFormatting sqref="K227">
    <cfRule type="cellIs" dxfId="276" priority="147" stopIfTrue="1" operator="equal">
      <formula>"Pass"</formula>
    </cfRule>
    <cfRule type="cellIs" dxfId="275" priority="148" stopIfTrue="1" operator="equal">
      <formula>"Fail"</formula>
    </cfRule>
  </conditionalFormatting>
  <conditionalFormatting sqref="K227">
    <cfRule type="cellIs" dxfId="274" priority="145" stopIfTrue="1" operator="equal">
      <formula>"Pass"</formula>
    </cfRule>
    <cfRule type="cellIs" dxfId="273" priority="146" stopIfTrue="1" operator="equal">
      <formula>"Fail"</formula>
    </cfRule>
  </conditionalFormatting>
  <conditionalFormatting sqref="K228">
    <cfRule type="cellIs" dxfId="272" priority="143" stopIfTrue="1" operator="equal">
      <formula>"Pass"</formula>
    </cfRule>
    <cfRule type="cellIs" dxfId="271" priority="144" stopIfTrue="1" operator="equal">
      <formula>"Fail"</formula>
    </cfRule>
  </conditionalFormatting>
  <conditionalFormatting sqref="K228">
    <cfRule type="cellIs" dxfId="270" priority="141" stopIfTrue="1" operator="equal">
      <formula>"Pass"</formula>
    </cfRule>
    <cfRule type="cellIs" dxfId="269" priority="142" stopIfTrue="1" operator="equal">
      <formula>"Fail"</formula>
    </cfRule>
  </conditionalFormatting>
  <conditionalFormatting sqref="K229">
    <cfRule type="cellIs" dxfId="268" priority="139" stopIfTrue="1" operator="equal">
      <formula>"Pass"</formula>
    </cfRule>
    <cfRule type="cellIs" dxfId="267" priority="140" stopIfTrue="1" operator="equal">
      <formula>"Fail"</formula>
    </cfRule>
  </conditionalFormatting>
  <conditionalFormatting sqref="K229">
    <cfRule type="cellIs" dxfId="266" priority="137" stopIfTrue="1" operator="equal">
      <formula>"Pass"</formula>
    </cfRule>
    <cfRule type="cellIs" dxfId="265" priority="138" stopIfTrue="1" operator="equal">
      <formula>"Fail"</formula>
    </cfRule>
  </conditionalFormatting>
  <conditionalFormatting sqref="K230">
    <cfRule type="cellIs" dxfId="264" priority="135" stopIfTrue="1" operator="equal">
      <formula>"Pass"</formula>
    </cfRule>
    <cfRule type="cellIs" dxfId="263" priority="136" stopIfTrue="1" operator="equal">
      <formula>"Fail"</formula>
    </cfRule>
  </conditionalFormatting>
  <conditionalFormatting sqref="K230">
    <cfRule type="cellIs" dxfId="262" priority="133" stopIfTrue="1" operator="equal">
      <formula>"Pass"</formula>
    </cfRule>
    <cfRule type="cellIs" dxfId="261" priority="134" stopIfTrue="1" operator="equal">
      <formula>"Fail"</formula>
    </cfRule>
  </conditionalFormatting>
  <conditionalFormatting sqref="K231">
    <cfRule type="cellIs" dxfId="260" priority="131" stopIfTrue="1" operator="equal">
      <formula>"Pass"</formula>
    </cfRule>
    <cfRule type="cellIs" dxfId="259" priority="132" stopIfTrue="1" operator="equal">
      <formula>"Fail"</formula>
    </cfRule>
  </conditionalFormatting>
  <conditionalFormatting sqref="K231">
    <cfRule type="cellIs" dxfId="258" priority="129" stopIfTrue="1" operator="equal">
      <formula>"Pass"</formula>
    </cfRule>
    <cfRule type="cellIs" dxfId="257" priority="130" stopIfTrue="1" operator="equal">
      <formula>"Fail"</formula>
    </cfRule>
  </conditionalFormatting>
  <conditionalFormatting sqref="K232">
    <cfRule type="cellIs" dxfId="256" priority="127" stopIfTrue="1" operator="equal">
      <formula>"Pass"</formula>
    </cfRule>
    <cfRule type="cellIs" dxfId="255" priority="128" stopIfTrue="1" operator="equal">
      <formula>"Fail"</formula>
    </cfRule>
  </conditionalFormatting>
  <conditionalFormatting sqref="K232">
    <cfRule type="cellIs" dxfId="254" priority="125" stopIfTrue="1" operator="equal">
      <formula>"Pass"</formula>
    </cfRule>
    <cfRule type="cellIs" dxfId="253" priority="126" stopIfTrue="1" operator="equal">
      <formula>"Fail"</formula>
    </cfRule>
  </conditionalFormatting>
  <conditionalFormatting sqref="K233">
    <cfRule type="cellIs" dxfId="252" priority="123" stopIfTrue="1" operator="equal">
      <formula>"Pass"</formula>
    </cfRule>
    <cfRule type="cellIs" dxfId="251" priority="124" stopIfTrue="1" operator="equal">
      <formula>"Fail"</formula>
    </cfRule>
  </conditionalFormatting>
  <conditionalFormatting sqref="K233">
    <cfRule type="cellIs" dxfId="250" priority="121" stopIfTrue="1" operator="equal">
      <formula>"Pass"</formula>
    </cfRule>
    <cfRule type="cellIs" dxfId="249" priority="122" stopIfTrue="1" operator="equal">
      <formula>"Fail"</formula>
    </cfRule>
  </conditionalFormatting>
  <conditionalFormatting sqref="K234">
    <cfRule type="cellIs" dxfId="248" priority="119" stopIfTrue="1" operator="equal">
      <formula>"Pass"</formula>
    </cfRule>
    <cfRule type="cellIs" dxfId="247" priority="120" stopIfTrue="1" operator="equal">
      <formula>"Fail"</formula>
    </cfRule>
  </conditionalFormatting>
  <conditionalFormatting sqref="K234">
    <cfRule type="cellIs" dxfId="246" priority="117" stopIfTrue="1" operator="equal">
      <formula>"Pass"</formula>
    </cfRule>
    <cfRule type="cellIs" dxfId="245" priority="118" stopIfTrue="1" operator="equal">
      <formula>"Fail"</formula>
    </cfRule>
  </conditionalFormatting>
  <conditionalFormatting sqref="K235">
    <cfRule type="cellIs" dxfId="244" priority="115" stopIfTrue="1" operator="equal">
      <formula>"Pass"</formula>
    </cfRule>
    <cfRule type="cellIs" dxfId="243" priority="116" stopIfTrue="1" operator="equal">
      <formula>"Fail"</formula>
    </cfRule>
  </conditionalFormatting>
  <conditionalFormatting sqref="K235">
    <cfRule type="cellIs" dxfId="242" priority="113" stopIfTrue="1" operator="equal">
      <formula>"Pass"</formula>
    </cfRule>
    <cfRule type="cellIs" dxfId="241" priority="114" stopIfTrue="1" operator="equal">
      <formula>"Fail"</formula>
    </cfRule>
  </conditionalFormatting>
  <conditionalFormatting sqref="K236">
    <cfRule type="cellIs" dxfId="240" priority="111" stopIfTrue="1" operator="equal">
      <formula>"Pass"</formula>
    </cfRule>
    <cfRule type="cellIs" dxfId="239" priority="112" stopIfTrue="1" operator="equal">
      <formula>"Fail"</formula>
    </cfRule>
  </conditionalFormatting>
  <conditionalFormatting sqref="K236">
    <cfRule type="cellIs" dxfId="238" priority="109" stopIfTrue="1" operator="equal">
      <formula>"Pass"</formula>
    </cfRule>
    <cfRule type="cellIs" dxfId="237" priority="110" stopIfTrue="1" operator="equal">
      <formula>"Fail"</formula>
    </cfRule>
  </conditionalFormatting>
  <conditionalFormatting sqref="K237">
    <cfRule type="cellIs" dxfId="236" priority="107" stopIfTrue="1" operator="equal">
      <formula>"Pass"</formula>
    </cfRule>
    <cfRule type="cellIs" dxfId="235" priority="108" stopIfTrue="1" operator="equal">
      <formula>"Fail"</formula>
    </cfRule>
  </conditionalFormatting>
  <conditionalFormatting sqref="K237">
    <cfRule type="cellIs" dxfId="234" priority="105" stopIfTrue="1" operator="equal">
      <formula>"Pass"</formula>
    </cfRule>
    <cfRule type="cellIs" dxfId="233" priority="106" stopIfTrue="1" operator="equal">
      <formula>"Fail"</formula>
    </cfRule>
  </conditionalFormatting>
  <conditionalFormatting sqref="K238">
    <cfRule type="cellIs" dxfId="232" priority="103" stopIfTrue="1" operator="equal">
      <formula>"Pass"</formula>
    </cfRule>
    <cfRule type="cellIs" dxfId="231" priority="104" stopIfTrue="1" operator="equal">
      <formula>"Fail"</formula>
    </cfRule>
  </conditionalFormatting>
  <conditionalFormatting sqref="K238">
    <cfRule type="cellIs" dxfId="230" priority="101" stopIfTrue="1" operator="equal">
      <formula>"Pass"</formula>
    </cfRule>
    <cfRule type="cellIs" dxfId="229" priority="102" stopIfTrue="1" operator="equal">
      <formula>"Fail"</formula>
    </cfRule>
  </conditionalFormatting>
  <conditionalFormatting sqref="K239">
    <cfRule type="cellIs" dxfId="228" priority="99" stopIfTrue="1" operator="equal">
      <formula>"Pass"</formula>
    </cfRule>
    <cfRule type="cellIs" dxfId="227" priority="100" stopIfTrue="1" operator="equal">
      <formula>"Fail"</formula>
    </cfRule>
  </conditionalFormatting>
  <conditionalFormatting sqref="K239">
    <cfRule type="cellIs" dxfId="226" priority="97" stopIfTrue="1" operator="equal">
      <formula>"Pass"</formula>
    </cfRule>
    <cfRule type="cellIs" dxfId="225" priority="98" stopIfTrue="1" operator="equal">
      <formula>"Fail"</formula>
    </cfRule>
  </conditionalFormatting>
  <conditionalFormatting sqref="K240">
    <cfRule type="cellIs" dxfId="224" priority="95" stopIfTrue="1" operator="equal">
      <formula>"Pass"</formula>
    </cfRule>
    <cfRule type="cellIs" dxfId="223" priority="96" stopIfTrue="1" operator="equal">
      <formula>"Fail"</formula>
    </cfRule>
  </conditionalFormatting>
  <conditionalFormatting sqref="K240">
    <cfRule type="cellIs" dxfId="222" priority="93" stopIfTrue="1" operator="equal">
      <formula>"Pass"</formula>
    </cfRule>
    <cfRule type="cellIs" dxfId="221" priority="94" stopIfTrue="1" operator="equal">
      <formula>"Fail"</formula>
    </cfRule>
  </conditionalFormatting>
  <conditionalFormatting sqref="K241">
    <cfRule type="cellIs" dxfId="220" priority="91" stopIfTrue="1" operator="equal">
      <formula>"Pass"</formula>
    </cfRule>
    <cfRule type="cellIs" dxfId="219" priority="92" stopIfTrue="1" operator="equal">
      <formula>"Fail"</formula>
    </cfRule>
  </conditionalFormatting>
  <conditionalFormatting sqref="K241">
    <cfRule type="cellIs" dxfId="218" priority="89" stopIfTrue="1" operator="equal">
      <formula>"Pass"</formula>
    </cfRule>
    <cfRule type="cellIs" dxfId="217" priority="90" stopIfTrue="1" operator="equal">
      <formula>"Fail"</formula>
    </cfRule>
  </conditionalFormatting>
  <conditionalFormatting sqref="K242">
    <cfRule type="cellIs" dxfId="216" priority="87" stopIfTrue="1" operator="equal">
      <formula>"Pass"</formula>
    </cfRule>
    <cfRule type="cellIs" dxfId="215" priority="88" stopIfTrue="1" operator="equal">
      <formula>"Fail"</formula>
    </cfRule>
  </conditionalFormatting>
  <conditionalFormatting sqref="K242">
    <cfRule type="cellIs" dxfId="214" priority="85" stopIfTrue="1" operator="equal">
      <formula>"Pass"</formula>
    </cfRule>
    <cfRule type="cellIs" dxfId="213" priority="86" stopIfTrue="1" operator="equal">
      <formula>"Fail"</formula>
    </cfRule>
  </conditionalFormatting>
  <conditionalFormatting sqref="K243">
    <cfRule type="cellIs" dxfId="212" priority="83" stopIfTrue="1" operator="equal">
      <formula>"Pass"</formula>
    </cfRule>
    <cfRule type="cellIs" dxfId="211" priority="84" stopIfTrue="1" operator="equal">
      <formula>"Fail"</formula>
    </cfRule>
  </conditionalFormatting>
  <conditionalFormatting sqref="K243">
    <cfRule type="cellIs" dxfId="210" priority="81" stopIfTrue="1" operator="equal">
      <formula>"Pass"</formula>
    </cfRule>
    <cfRule type="cellIs" dxfId="209" priority="82" stopIfTrue="1" operator="equal">
      <formula>"Fail"</formula>
    </cfRule>
  </conditionalFormatting>
  <conditionalFormatting sqref="K244">
    <cfRule type="cellIs" dxfId="208" priority="79" stopIfTrue="1" operator="equal">
      <formula>"Pass"</formula>
    </cfRule>
    <cfRule type="cellIs" dxfId="207" priority="80" stopIfTrue="1" operator="equal">
      <formula>"Fail"</formula>
    </cfRule>
  </conditionalFormatting>
  <conditionalFormatting sqref="K244">
    <cfRule type="cellIs" dxfId="206" priority="77" stopIfTrue="1" operator="equal">
      <formula>"Pass"</formula>
    </cfRule>
    <cfRule type="cellIs" dxfId="205" priority="78" stopIfTrue="1" operator="equal">
      <formula>"Fail"</formula>
    </cfRule>
  </conditionalFormatting>
  <conditionalFormatting sqref="K245">
    <cfRule type="cellIs" dxfId="204" priority="75" stopIfTrue="1" operator="equal">
      <formula>"Pass"</formula>
    </cfRule>
    <cfRule type="cellIs" dxfId="203" priority="76" stopIfTrue="1" operator="equal">
      <formula>"Fail"</formula>
    </cfRule>
  </conditionalFormatting>
  <conditionalFormatting sqref="K245">
    <cfRule type="cellIs" dxfId="202" priority="73" stopIfTrue="1" operator="equal">
      <formula>"Pass"</formula>
    </cfRule>
    <cfRule type="cellIs" dxfId="201" priority="74" stopIfTrue="1" operator="equal">
      <formula>"Fail"</formula>
    </cfRule>
  </conditionalFormatting>
  <conditionalFormatting sqref="K246">
    <cfRule type="cellIs" dxfId="200" priority="71" stopIfTrue="1" operator="equal">
      <formula>"Pass"</formula>
    </cfRule>
    <cfRule type="cellIs" dxfId="199" priority="72" stopIfTrue="1" operator="equal">
      <formula>"Fail"</formula>
    </cfRule>
  </conditionalFormatting>
  <conditionalFormatting sqref="K246">
    <cfRule type="cellIs" dxfId="198" priority="69" stopIfTrue="1" operator="equal">
      <formula>"Pass"</formula>
    </cfRule>
    <cfRule type="cellIs" dxfId="197" priority="70" stopIfTrue="1" operator="equal">
      <formula>"Fail"</formula>
    </cfRule>
  </conditionalFormatting>
  <conditionalFormatting sqref="K247">
    <cfRule type="cellIs" dxfId="196" priority="67" stopIfTrue="1" operator="equal">
      <formula>"Pass"</formula>
    </cfRule>
    <cfRule type="cellIs" dxfId="195" priority="68" stopIfTrue="1" operator="equal">
      <formula>"Fail"</formula>
    </cfRule>
  </conditionalFormatting>
  <conditionalFormatting sqref="K247">
    <cfRule type="cellIs" dxfId="194" priority="65" stopIfTrue="1" operator="equal">
      <formula>"Pass"</formula>
    </cfRule>
    <cfRule type="cellIs" dxfId="193" priority="66" stopIfTrue="1" operator="equal">
      <formula>"Fail"</formula>
    </cfRule>
  </conditionalFormatting>
  <conditionalFormatting sqref="K248">
    <cfRule type="cellIs" dxfId="192" priority="63" stopIfTrue="1" operator="equal">
      <formula>"Pass"</formula>
    </cfRule>
    <cfRule type="cellIs" dxfId="191" priority="64" stopIfTrue="1" operator="equal">
      <formula>"Fail"</formula>
    </cfRule>
  </conditionalFormatting>
  <conditionalFormatting sqref="K248">
    <cfRule type="cellIs" dxfId="190" priority="61" stopIfTrue="1" operator="equal">
      <formula>"Pass"</formula>
    </cfRule>
    <cfRule type="cellIs" dxfId="189" priority="62" stopIfTrue="1" operator="equal">
      <formula>"Fail"</formula>
    </cfRule>
  </conditionalFormatting>
  <conditionalFormatting sqref="K249">
    <cfRule type="cellIs" dxfId="188" priority="59" stopIfTrue="1" operator="equal">
      <formula>"Pass"</formula>
    </cfRule>
    <cfRule type="cellIs" dxfId="187" priority="60" stopIfTrue="1" operator="equal">
      <formula>"Fail"</formula>
    </cfRule>
  </conditionalFormatting>
  <conditionalFormatting sqref="K249">
    <cfRule type="cellIs" dxfId="186" priority="57" stopIfTrue="1" operator="equal">
      <formula>"Pass"</formula>
    </cfRule>
    <cfRule type="cellIs" dxfId="185" priority="58" stopIfTrue="1" operator="equal">
      <formula>"Fail"</formula>
    </cfRule>
  </conditionalFormatting>
  <conditionalFormatting sqref="K250">
    <cfRule type="cellIs" dxfId="184" priority="55" stopIfTrue="1" operator="equal">
      <formula>"Pass"</formula>
    </cfRule>
    <cfRule type="cellIs" dxfId="183" priority="56" stopIfTrue="1" operator="equal">
      <formula>"Fail"</formula>
    </cfRule>
  </conditionalFormatting>
  <conditionalFormatting sqref="K250">
    <cfRule type="cellIs" dxfId="182" priority="53" stopIfTrue="1" operator="equal">
      <formula>"Pass"</formula>
    </cfRule>
    <cfRule type="cellIs" dxfId="181" priority="54" stopIfTrue="1" operator="equal">
      <formula>"Fail"</formula>
    </cfRule>
  </conditionalFormatting>
  <conditionalFormatting sqref="K251">
    <cfRule type="cellIs" dxfId="180" priority="51" stopIfTrue="1" operator="equal">
      <formula>"Pass"</formula>
    </cfRule>
    <cfRule type="cellIs" dxfId="179" priority="52" stopIfTrue="1" operator="equal">
      <formula>"Fail"</formula>
    </cfRule>
  </conditionalFormatting>
  <conditionalFormatting sqref="K251">
    <cfRule type="cellIs" dxfId="178" priority="49" stopIfTrue="1" operator="equal">
      <formula>"Pass"</formula>
    </cfRule>
    <cfRule type="cellIs" dxfId="177" priority="50" stopIfTrue="1" operator="equal">
      <formula>"Fail"</formula>
    </cfRule>
  </conditionalFormatting>
  <conditionalFormatting sqref="K252">
    <cfRule type="cellIs" dxfId="176" priority="47" stopIfTrue="1" operator="equal">
      <formula>"Pass"</formula>
    </cfRule>
    <cfRule type="cellIs" dxfId="175" priority="48" stopIfTrue="1" operator="equal">
      <formula>"Fail"</formula>
    </cfRule>
  </conditionalFormatting>
  <conditionalFormatting sqref="K252">
    <cfRule type="cellIs" dxfId="174" priority="45" stopIfTrue="1" operator="equal">
      <formula>"Pass"</formula>
    </cfRule>
    <cfRule type="cellIs" dxfId="173" priority="46" stopIfTrue="1" operator="equal">
      <formula>"Fail"</formula>
    </cfRule>
  </conditionalFormatting>
  <conditionalFormatting sqref="K253">
    <cfRule type="cellIs" dxfId="172" priority="43" stopIfTrue="1" operator="equal">
      <formula>"Pass"</formula>
    </cfRule>
    <cfRule type="cellIs" dxfId="171" priority="44" stopIfTrue="1" operator="equal">
      <formula>"Fail"</formula>
    </cfRule>
  </conditionalFormatting>
  <conditionalFormatting sqref="K253">
    <cfRule type="cellIs" dxfId="170" priority="41" stopIfTrue="1" operator="equal">
      <formula>"Pass"</formula>
    </cfRule>
    <cfRule type="cellIs" dxfId="169" priority="42" stopIfTrue="1" operator="equal">
      <formula>"Fail"</formula>
    </cfRule>
  </conditionalFormatting>
  <conditionalFormatting sqref="K254">
    <cfRule type="cellIs" dxfId="168" priority="39" stopIfTrue="1" operator="equal">
      <formula>"Pass"</formula>
    </cfRule>
    <cfRule type="cellIs" dxfId="167" priority="40" stopIfTrue="1" operator="equal">
      <formula>"Fail"</formula>
    </cfRule>
  </conditionalFormatting>
  <conditionalFormatting sqref="K254">
    <cfRule type="cellIs" dxfId="166" priority="37" stopIfTrue="1" operator="equal">
      <formula>"Pass"</formula>
    </cfRule>
    <cfRule type="cellIs" dxfId="165" priority="38" stopIfTrue="1" operator="equal">
      <formula>"Fail"</formula>
    </cfRule>
  </conditionalFormatting>
  <conditionalFormatting sqref="K255">
    <cfRule type="cellIs" dxfId="164" priority="35" stopIfTrue="1" operator="equal">
      <formula>"Pass"</formula>
    </cfRule>
    <cfRule type="cellIs" dxfId="163" priority="36" stopIfTrue="1" operator="equal">
      <formula>"Fail"</formula>
    </cfRule>
  </conditionalFormatting>
  <conditionalFormatting sqref="K255">
    <cfRule type="cellIs" dxfId="162" priority="33" stopIfTrue="1" operator="equal">
      <formula>"Pass"</formula>
    </cfRule>
    <cfRule type="cellIs" dxfId="161" priority="34" stopIfTrue="1" operator="equal">
      <formula>"Fail"</formula>
    </cfRule>
  </conditionalFormatting>
  <conditionalFormatting sqref="K256">
    <cfRule type="cellIs" dxfId="160" priority="31" stopIfTrue="1" operator="equal">
      <formula>"Pass"</formula>
    </cfRule>
    <cfRule type="cellIs" dxfId="159" priority="32" stopIfTrue="1" operator="equal">
      <formula>"Fail"</formula>
    </cfRule>
  </conditionalFormatting>
  <conditionalFormatting sqref="K256">
    <cfRule type="cellIs" dxfId="158" priority="29" stopIfTrue="1" operator="equal">
      <formula>"Pass"</formula>
    </cfRule>
    <cfRule type="cellIs" dxfId="157" priority="30" stopIfTrue="1" operator="equal">
      <formula>"Fail"</formula>
    </cfRule>
  </conditionalFormatting>
  <conditionalFormatting sqref="K257">
    <cfRule type="cellIs" dxfId="156" priority="27" stopIfTrue="1" operator="equal">
      <formula>"Pass"</formula>
    </cfRule>
    <cfRule type="cellIs" dxfId="155" priority="28" stopIfTrue="1" operator="equal">
      <formula>"Fail"</formula>
    </cfRule>
  </conditionalFormatting>
  <conditionalFormatting sqref="K257">
    <cfRule type="cellIs" dxfId="154" priority="25" stopIfTrue="1" operator="equal">
      <formula>"Pass"</formula>
    </cfRule>
    <cfRule type="cellIs" dxfId="153" priority="26" stopIfTrue="1" operator="equal">
      <formula>"Fail"</formula>
    </cfRule>
  </conditionalFormatting>
  <conditionalFormatting sqref="K258">
    <cfRule type="cellIs" dxfId="152" priority="23" stopIfTrue="1" operator="equal">
      <formula>"Pass"</formula>
    </cfRule>
    <cfRule type="cellIs" dxfId="151" priority="24" stopIfTrue="1" operator="equal">
      <formula>"Fail"</formula>
    </cfRule>
  </conditionalFormatting>
  <conditionalFormatting sqref="K258">
    <cfRule type="cellIs" dxfId="150" priority="21" stopIfTrue="1" operator="equal">
      <formula>"Pass"</formula>
    </cfRule>
    <cfRule type="cellIs" dxfId="149" priority="22" stopIfTrue="1" operator="equal">
      <formula>"Fail"</formula>
    </cfRule>
  </conditionalFormatting>
  <conditionalFormatting sqref="K259">
    <cfRule type="cellIs" dxfId="148" priority="19" stopIfTrue="1" operator="equal">
      <formula>"Pass"</formula>
    </cfRule>
    <cfRule type="cellIs" dxfId="147" priority="20" stopIfTrue="1" operator="equal">
      <formula>"Fail"</formula>
    </cfRule>
  </conditionalFormatting>
  <conditionalFormatting sqref="K259">
    <cfRule type="cellIs" dxfId="146" priority="17" stopIfTrue="1" operator="equal">
      <formula>"Pass"</formula>
    </cfRule>
    <cfRule type="cellIs" dxfId="145" priority="18" stopIfTrue="1" operator="equal">
      <formula>"Fail"</formula>
    </cfRule>
  </conditionalFormatting>
  <conditionalFormatting sqref="K260">
    <cfRule type="cellIs" dxfId="144" priority="15" stopIfTrue="1" operator="equal">
      <formula>"Pass"</formula>
    </cfRule>
    <cfRule type="cellIs" dxfId="143" priority="16" stopIfTrue="1" operator="equal">
      <formula>"Fail"</formula>
    </cfRule>
  </conditionalFormatting>
  <conditionalFormatting sqref="K260">
    <cfRule type="cellIs" dxfId="142" priority="13" stopIfTrue="1" operator="equal">
      <formula>"Pass"</formula>
    </cfRule>
    <cfRule type="cellIs" dxfId="141" priority="14" stopIfTrue="1" operator="equal">
      <formula>"Fail"</formula>
    </cfRule>
  </conditionalFormatting>
  <conditionalFormatting sqref="K261">
    <cfRule type="cellIs" dxfId="140" priority="11" stopIfTrue="1" operator="equal">
      <formula>"Pass"</formula>
    </cfRule>
    <cfRule type="cellIs" dxfId="139" priority="12" stopIfTrue="1" operator="equal">
      <formula>"Fail"</formula>
    </cfRule>
  </conditionalFormatting>
  <conditionalFormatting sqref="K261">
    <cfRule type="cellIs" dxfId="138" priority="9" stopIfTrue="1" operator="equal">
      <formula>"Pass"</formula>
    </cfRule>
    <cfRule type="cellIs" dxfId="137" priority="10" stopIfTrue="1" operator="equal">
      <formula>"Fail"</formula>
    </cfRule>
  </conditionalFormatting>
  <conditionalFormatting sqref="K262">
    <cfRule type="cellIs" dxfId="136" priority="7" stopIfTrue="1" operator="equal">
      <formula>"Pass"</formula>
    </cfRule>
    <cfRule type="cellIs" dxfId="135" priority="8" stopIfTrue="1" operator="equal">
      <formula>"Fail"</formula>
    </cfRule>
  </conditionalFormatting>
  <conditionalFormatting sqref="K262">
    <cfRule type="cellIs" dxfId="134" priority="5" stopIfTrue="1" operator="equal">
      <formula>"Pass"</formula>
    </cfRule>
    <cfRule type="cellIs" dxfId="133" priority="6" stopIfTrue="1" operator="equal">
      <formula>"Fail"</formula>
    </cfRule>
  </conditionalFormatting>
  <conditionalFormatting sqref="K263">
    <cfRule type="cellIs" dxfId="17" priority="3" stopIfTrue="1" operator="equal">
      <formula>"Pass"</formula>
    </cfRule>
    <cfRule type="cellIs" dxfId="16" priority="4" stopIfTrue="1" operator="equal">
      <formula>"Fail"</formula>
    </cfRule>
  </conditionalFormatting>
  <conditionalFormatting sqref="K263">
    <cfRule type="cellIs" dxfId="13" priority="1" stopIfTrue="1" operator="equal">
      <formula>"Pass"</formula>
    </cfRule>
    <cfRule type="cellIs" dxfId="12" priority="2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A1071"/>
  <sheetViews>
    <sheetView topLeftCell="A4" zoomScale="80" zoomScaleNormal="80" workbookViewId="0">
      <pane ySplit="8" topLeftCell="A1053" activePane="bottomLeft" state="frozen"/>
      <selection activeCell="A4" sqref="A4"/>
      <selection pane="bottomLeft" activeCell="T1073" sqref="T1073"/>
    </sheetView>
  </sheetViews>
  <sheetFormatPr defaultColWidth="9" defaultRowHeight="12.75"/>
  <cols>
    <col min="1" max="1" width="11.375" style="26" customWidth="1"/>
    <col min="2" max="2" width="12.25" style="87" customWidth="1"/>
    <col min="3" max="3" width="9" style="9"/>
    <col min="4" max="12" width="9.125" style="28" bestFit="1" customWidth="1"/>
    <col min="13" max="13" width="9" style="28"/>
    <col min="14" max="15" width="9.125" style="9" bestFit="1" customWidth="1"/>
    <col min="16" max="16" width="10.875" style="9" bestFit="1" customWidth="1"/>
    <col min="17" max="17" width="10.875" style="157" bestFit="1" customWidth="1"/>
    <col min="18" max="18" width="9" style="9"/>
    <col min="19" max="19" width="9.125" style="28" bestFit="1" customWidth="1"/>
    <col min="20" max="21" width="27.375" style="9" customWidth="1"/>
    <col min="22" max="27" width="9.125" style="9" bestFit="1" customWidth="1"/>
    <col min="28" max="16384" width="9" style="9"/>
  </cols>
  <sheetData>
    <row r="1" spans="1:27" s="6" customFormat="1">
      <c r="A1" s="34" t="s">
        <v>11</v>
      </c>
      <c r="B1" s="116"/>
      <c r="C1" s="35"/>
      <c r="D1" s="37"/>
      <c r="E1" s="37"/>
      <c r="F1" s="37"/>
      <c r="G1" s="37"/>
      <c r="H1" s="37"/>
      <c r="I1" s="37"/>
      <c r="J1" s="37"/>
      <c r="K1" s="37"/>
      <c r="L1" s="79"/>
      <c r="M1" s="37"/>
      <c r="N1" s="35"/>
      <c r="O1" s="35"/>
      <c r="P1" s="35"/>
      <c r="Q1" s="152"/>
      <c r="R1" s="35"/>
      <c r="S1" s="37"/>
      <c r="T1" s="36"/>
      <c r="U1" s="39"/>
    </row>
    <row r="2" spans="1:27">
      <c r="A2" s="38" t="s">
        <v>194</v>
      </c>
      <c r="B2" s="115"/>
      <c r="C2" s="39"/>
      <c r="D2" s="80"/>
      <c r="E2" s="80"/>
      <c r="F2" s="80"/>
      <c r="G2" s="80"/>
      <c r="H2" s="80"/>
      <c r="I2" s="80"/>
      <c r="J2" s="80"/>
      <c r="K2" s="80"/>
      <c r="L2" s="81"/>
      <c r="M2" s="80"/>
      <c r="N2" s="40"/>
      <c r="O2" s="41"/>
      <c r="P2" s="39"/>
      <c r="Q2" s="153"/>
      <c r="R2" s="42"/>
      <c r="S2" s="43"/>
      <c r="T2" s="44" t="s">
        <v>200</v>
      </c>
      <c r="U2" s="107"/>
    </row>
    <row r="3" spans="1:27">
      <c r="A3" s="45" t="s">
        <v>201</v>
      </c>
      <c r="B3" s="115"/>
      <c r="C3" s="46"/>
      <c r="D3" s="48"/>
      <c r="E3" s="48"/>
      <c r="F3" s="48"/>
      <c r="G3" s="48"/>
      <c r="H3" s="48"/>
      <c r="I3" s="48"/>
      <c r="J3" s="48"/>
      <c r="K3" s="48"/>
      <c r="L3" s="82"/>
      <c r="M3" s="48"/>
      <c r="N3" s="47"/>
      <c r="O3" s="47"/>
      <c r="P3" s="42"/>
      <c r="Q3" s="154"/>
      <c r="R3" s="42"/>
      <c r="S3" s="48"/>
      <c r="T3" s="49"/>
      <c r="U3" s="42"/>
    </row>
    <row r="4" spans="1:27">
      <c r="A4" s="38" t="s">
        <v>202</v>
      </c>
      <c r="B4" s="115"/>
      <c r="C4" s="39"/>
      <c r="D4" s="80"/>
      <c r="E4" s="83"/>
      <c r="F4" s="84"/>
      <c r="G4" s="84" t="s">
        <v>203</v>
      </c>
      <c r="H4" s="48"/>
      <c r="I4" s="48"/>
      <c r="J4" s="48"/>
      <c r="K4" s="48"/>
      <c r="L4" s="82"/>
      <c r="M4" s="48"/>
      <c r="N4" s="40"/>
      <c r="O4" s="40"/>
      <c r="P4" s="42"/>
      <c r="Q4" s="154"/>
      <c r="R4" s="42"/>
      <c r="S4" s="48"/>
      <c r="T4" s="49"/>
      <c r="U4" s="42"/>
    </row>
    <row r="5" spans="1:27">
      <c r="A5" s="38" t="s">
        <v>73</v>
      </c>
      <c r="B5" s="115"/>
      <c r="C5" s="42"/>
      <c r="D5" s="48"/>
      <c r="E5" s="48"/>
      <c r="F5" s="48"/>
      <c r="G5" s="84" t="s">
        <v>204</v>
      </c>
      <c r="H5" s="48"/>
      <c r="I5" s="48"/>
      <c r="J5" s="48"/>
      <c r="K5" s="48"/>
      <c r="L5" s="82"/>
      <c r="M5" s="48"/>
      <c r="N5" s="29"/>
      <c r="O5" s="40"/>
      <c r="P5" s="42"/>
      <c r="Q5" s="154"/>
      <c r="R5" s="42"/>
      <c r="S5" s="48"/>
      <c r="T5" s="49"/>
      <c r="U5" s="42"/>
    </row>
    <row r="6" spans="1:27">
      <c r="A6" s="38" t="s">
        <v>205</v>
      </c>
      <c r="B6" s="115"/>
      <c r="C6" s="39"/>
      <c r="D6" s="80"/>
      <c r="E6" s="80"/>
      <c r="F6" s="80"/>
      <c r="G6" s="80"/>
      <c r="H6" s="80"/>
      <c r="I6" s="80"/>
      <c r="J6" s="80"/>
      <c r="K6" s="80"/>
      <c r="L6" s="81"/>
      <c r="M6" s="80"/>
      <c r="N6" s="40"/>
      <c r="O6" s="40"/>
      <c r="P6" s="42"/>
      <c r="Q6" s="155"/>
      <c r="R6" s="50"/>
      <c r="S6" s="30"/>
      <c r="T6" s="31"/>
      <c r="U6" s="108"/>
    </row>
    <row r="7" spans="1:27">
      <c r="A7" s="51" t="s">
        <v>74</v>
      </c>
      <c r="B7" s="117"/>
      <c r="C7" s="42"/>
      <c r="D7" s="80"/>
      <c r="E7" s="80"/>
      <c r="F7" s="80"/>
      <c r="G7" s="80"/>
      <c r="H7" s="80"/>
      <c r="I7" s="80"/>
      <c r="J7" s="80"/>
      <c r="K7" s="80"/>
      <c r="L7" s="81"/>
      <c r="M7" s="80"/>
      <c r="N7" s="40"/>
      <c r="O7" s="40"/>
      <c r="P7" s="42"/>
      <c r="Q7" s="154"/>
      <c r="R7" s="42"/>
      <c r="S7" s="48"/>
      <c r="T7" s="49"/>
      <c r="U7" s="42"/>
    </row>
    <row r="8" spans="1:27">
      <c r="A8" s="52"/>
      <c r="B8" s="118"/>
      <c r="D8" s="172" t="s">
        <v>223</v>
      </c>
      <c r="E8" s="173"/>
      <c r="F8" s="173"/>
      <c r="G8" s="173"/>
      <c r="H8" s="173"/>
      <c r="I8" s="173"/>
      <c r="J8" s="173"/>
      <c r="K8" s="173"/>
      <c r="L8" s="173"/>
      <c r="M8" s="55"/>
      <c r="N8" s="55"/>
      <c r="O8" s="55"/>
      <c r="P8" s="55"/>
      <c r="Q8" s="150"/>
      <c r="R8" s="56"/>
      <c r="S8" s="55"/>
      <c r="T8" s="56"/>
      <c r="U8" s="56"/>
    </row>
    <row r="9" spans="1:27">
      <c r="A9" s="52"/>
      <c r="B9" s="118"/>
      <c r="C9" s="18" t="s">
        <v>346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-85</v>
      </c>
      <c r="J9" s="57">
        <v>-42.5</v>
      </c>
      <c r="K9" s="57">
        <v>42.5</v>
      </c>
      <c r="L9" s="57">
        <v>85</v>
      </c>
      <c r="M9" s="55"/>
      <c r="N9" s="55"/>
      <c r="O9" s="55"/>
      <c r="P9" s="55"/>
      <c r="Q9" s="150"/>
      <c r="R9" s="56"/>
      <c r="S9" s="55"/>
      <c r="T9" s="56"/>
      <c r="U9" s="56"/>
    </row>
    <row r="10" spans="1:27" ht="13.5" thickBot="1">
      <c r="A10" s="52"/>
      <c r="B10" s="118"/>
      <c r="C10" s="114" t="s">
        <v>345</v>
      </c>
      <c r="D10" s="59">
        <v>85</v>
      </c>
      <c r="E10" s="59">
        <v>42.5</v>
      </c>
      <c r="F10" s="59">
        <v>0</v>
      </c>
      <c r="G10" s="59">
        <v>-42.5</v>
      </c>
      <c r="H10" s="59">
        <v>-85</v>
      </c>
      <c r="I10" s="59">
        <v>0</v>
      </c>
      <c r="J10" s="59">
        <v>0</v>
      </c>
      <c r="K10" s="59">
        <v>0</v>
      </c>
      <c r="L10" s="59">
        <v>0</v>
      </c>
      <c r="M10" s="55"/>
      <c r="N10" s="55"/>
      <c r="O10" s="55"/>
      <c r="P10" s="55"/>
      <c r="Q10" s="150"/>
      <c r="R10" s="56"/>
      <c r="S10" s="55"/>
      <c r="T10" s="56"/>
      <c r="U10" s="56"/>
    </row>
    <row r="11" spans="1:27" s="25" customFormat="1" ht="39" customHeight="1" thickBot="1">
      <c r="A11" s="10" t="s">
        <v>206</v>
      </c>
      <c r="B11" s="119" t="s">
        <v>347</v>
      </c>
      <c r="C11" s="97" t="s">
        <v>78</v>
      </c>
      <c r="D11" s="11">
        <v>1</v>
      </c>
      <c r="E11" s="11">
        <v>2</v>
      </c>
      <c r="F11" s="11">
        <v>3</v>
      </c>
      <c r="G11" s="11">
        <v>4</v>
      </c>
      <c r="H11" s="11">
        <v>5</v>
      </c>
      <c r="I11" s="11">
        <v>6</v>
      </c>
      <c r="J11" s="11">
        <v>7</v>
      </c>
      <c r="K11" s="11">
        <v>8</v>
      </c>
      <c r="L11" s="11">
        <v>9</v>
      </c>
      <c r="M11" s="11" t="s">
        <v>75</v>
      </c>
      <c r="N11" s="11" t="s">
        <v>76</v>
      </c>
      <c r="O11" s="11" t="s">
        <v>77</v>
      </c>
      <c r="P11" s="11" t="s">
        <v>192</v>
      </c>
      <c r="Q11" s="151" t="s">
        <v>207</v>
      </c>
      <c r="R11" s="12" t="s">
        <v>12</v>
      </c>
      <c r="S11" s="11" t="s">
        <v>13</v>
      </c>
      <c r="T11" s="12" t="s">
        <v>246</v>
      </c>
      <c r="U11" s="12" t="s">
        <v>19</v>
      </c>
      <c r="V11" s="13" t="s">
        <v>15</v>
      </c>
      <c r="W11" s="13" t="s">
        <v>14</v>
      </c>
      <c r="X11" s="12" t="s">
        <v>322</v>
      </c>
      <c r="Y11" s="12" t="s">
        <v>191</v>
      </c>
      <c r="Z11" s="14" t="s">
        <v>332</v>
      </c>
      <c r="AA11" s="14" t="s">
        <v>323</v>
      </c>
    </row>
    <row r="12" spans="1:27">
      <c r="A12" s="96">
        <v>41312</v>
      </c>
      <c r="B12" s="120" t="s">
        <v>348</v>
      </c>
      <c r="C12" s="65" t="s">
        <v>79</v>
      </c>
      <c r="D12" s="58">
        <v>29336.06</v>
      </c>
      <c r="E12" s="58">
        <v>29226</v>
      </c>
      <c r="F12" s="58">
        <v>29231.39</v>
      </c>
      <c r="G12" s="58">
        <v>29211.119999999999</v>
      </c>
      <c r="H12" s="58">
        <v>29329.87</v>
      </c>
      <c r="I12" s="58">
        <v>29337.57</v>
      </c>
      <c r="J12" s="58">
        <v>29217.16</v>
      </c>
      <c r="K12" s="58">
        <v>29225.7</v>
      </c>
      <c r="L12" s="58">
        <v>29303.67</v>
      </c>
      <c r="M12" s="15">
        <f>SUM(D12:L12)/9</f>
        <v>29268.726666666669</v>
      </c>
      <c r="N12" s="53">
        <f>IF((L13=""),"",MAX(D14:L14))</f>
        <v>15332.010000000006</v>
      </c>
      <c r="O12" s="53">
        <f>IF(L13="","",MIN(D14:L14))</f>
        <v>11800.71</v>
      </c>
      <c r="P12" s="63">
        <f>IF((L14=""),"",AVERAGE(D14:L14))</f>
        <v>12763.310000000001</v>
      </c>
      <c r="Q12" s="156">
        <f>IF((L13=""),"",((N12-O12)/(N12+O12)*100))</f>
        <v>13.014913359220918</v>
      </c>
      <c r="R12" s="61" t="str">
        <f>IF(L13="","",IF(Q12&lt;Z12,IF(O12&gt;V12,IF(N12&lt;W12,"PASS","FAIL"),"FAIL"),"FAIL"))</f>
        <v>PASS</v>
      </c>
      <c r="S12" s="54">
        <v>1400</v>
      </c>
      <c r="T12" s="64"/>
      <c r="U12" s="64"/>
      <c r="V12" s="110">
        <v>9000</v>
      </c>
      <c r="W12" s="110">
        <v>25000</v>
      </c>
      <c r="X12" s="111">
        <v>8090</v>
      </c>
      <c r="Y12" s="111">
        <v>12070</v>
      </c>
      <c r="Z12" s="112">
        <v>15</v>
      </c>
      <c r="AA12" s="112">
        <v>6</v>
      </c>
    </row>
    <row r="13" spans="1:27" ht="15.75">
      <c r="A13"/>
      <c r="B13" s="121"/>
      <c r="C13" s="57" t="s">
        <v>80</v>
      </c>
      <c r="D13" s="16">
        <v>25139</v>
      </c>
      <c r="E13" s="16">
        <v>24973.89</v>
      </c>
      <c r="F13" s="16">
        <v>24954.84</v>
      </c>
      <c r="G13" s="16">
        <v>25147.75</v>
      </c>
      <c r="H13" s="16">
        <v>25396.3</v>
      </c>
      <c r="I13" s="16">
        <v>25087.7</v>
      </c>
      <c r="J13" s="16">
        <v>24994.6</v>
      </c>
      <c r="K13" s="16">
        <v>24115.03</v>
      </c>
      <c r="L13" s="16">
        <v>25319.5</v>
      </c>
      <c r="M13" s="16">
        <f t="shared" ref="M13:M76" si="0">SUM(D13:L13)/9</f>
        <v>25014.29</v>
      </c>
      <c r="N13" s="53"/>
      <c r="O13" s="53"/>
      <c r="P13" s="63"/>
      <c r="Q13" s="53"/>
      <c r="R13" s="64"/>
      <c r="S13" s="54"/>
      <c r="T13" s="64"/>
      <c r="U13" s="64"/>
      <c r="V13" s="110"/>
      <c r="W13" s="110"/>
      <c r="X13" s="111"/>
      <c r="Y13" s="111"/>
      <c r="Z13" s="112"/>
      <c r="AA13" s="112"/>
    </row>
    <row r="14" spans="1:27" ht="28.5" customHeight="1">
      <c r="A14"/>
      <c r="B14" s="121"/>
      <c r="C14" s="57" t="s">
        <v>81</v>
      </c>
      <c r="D14" s="16">
        <f>IF(((D12="")*AND(D13="")),"",(D12-D13)*3)</f>
        <v>12591.180000000004</v>
      </c>
      <c r="E14" s="16">
        <f t="shared" ref="E14:L14" si="1">IF(((E12="")*AND(E13="")),"",(E12-E13)*3)</f>
        <v>12756.330000000002</v>
      </c>
      <c r="F14" s="16">
        <f t="shared" si="1"/>
        <v>12829.649999999998</v>
      </c>
      <c r="G14" s="16">
        <f t="shared" si="1"/>
        <v>12190.109999999997</v>
      </c>
      <c r="H14" s="16">
        <f t="shared" si="1"/>
        <v>11800.71</v>
      </c>
      <c r="I14" s="16">
        <f t="shared" si="1"/>
        <v>12749.609999999997</v>
      </c>
      <c r="J14" s="16">
        <f t="shared" si="1"/>
        <v>12667.680000000004</v>
      </c>
      <c r="K14" s="16">
        <f t="shared" si="1"/>
        <v>15332.010000000006</v>
      </c>
      <c r="L14" s="16">
        <f t="shared" si="1"/>
        <v>11952.509999999995</v>
      </c>
      <c r="M14" s="16">
        <f t="shared" si="0"/>
        <v>12763.310000000001</v>
      </c>
      <c r="N14" s="65"/>
      <c r="O14" s="65"/>
      <c r="P14" s="66"/>
      <c r="Q14" s="65"/>
      <c r="R14" s="67"/>
      <c r="S14" s="58"/>
      <c r="T14" s="67"/>
      <c r="U14" s="67"/>
      <c r="V14" s="110"/>
      <c r="W14" s="110"/>
      <c r="X14" s="111"/>
      <c r="Y14" s="111"/>
      <c r="Z14" s="112"/>
      <c r="AA14" s="112"/>
    </row>
    <row r="15" spans="1:27">
      <c r="A15" s="86">
        <v>41312</v>
      </c>
      <c r="B15" s="120" t="s">
        <v>348</v>
      </c>
      <c r="C15" s="57" t="s">
        <v>79</v>
      </c>
      <c r="D15" s="58">
        <v>29387.13</v>
      </c>
      <c r="E15" s="58">
        <v>29231.5</v>
      </c>
      <c r="F15" s="58">
        <v>29219.3</v>
      </c>
      <c r="G15" s="58">
        <v>29209.1</v>
      </c>
      <c r="H15" s="58">
        <v>29318.2</v>
      </c>
      <c r="I15" s="58">
        <v>29318.400000000001</v>
      </c>
      <c r="J15" s="58">
        <v>29193.3</v>
      </c>
      <c r="K15" s="58">
        <v>29199.599999999999</v>
      </c>
      <c r="L15" s="58">
        <v>29303.7</v>
      </c>
      <c r="M15" s="16">
        <f t="shared" si="0"/>
        <v>29264.469999999998</v>
      </c>
      <c r="N15" s="59">
        <f>IF((L16=""),"",MAX(D17:L17))</f>
        <v>13747.799999999996</v>
      </c>
      <c r="O15" s="59">
        <f>IF(L16="","",MIN(D17:L17))</f>
        <v>12380.189999999999</v>
      </c>
      <c r="P15" s="60">
        <f>IF((L17=""),"",AVERAGE(D17:L17))</f>
        <v>13199.21</v>
      </c>
      <c r="Q15" s="156">
        <f>IF((L16=""),"",((N15-O15)/(N15+O15)*100))</f>
        <v>5.2342717522472926</v>
      </c>
      <c r="R15" s="61" t="str">
        <f>IF(L16="","",IF(Q15&lt;Z15,IF(O15&gt;V15,IF(N15&lt;W15,"PASS","FAIL"),"FAIL"),"FAIL"))</f>
        <v>PASS</v>
      </c>
      <c r="S15" s="62"/>
      <c r="T15" s="61"/>
      <c r="U15" s="61"/>
      <c r="V15" s="110">
        <v>9000</v>
      </c>
      <c r="W15" s="110">
        <v>25000</v>
      </c>
      <c r="X15" s="111">
        <v>8090</v>
      </c>
      <c r="Y15" s="111">
        <v>12070</v>
      </c>
      <c r="Z15" s="112">
        <v>15</v>
      </c>
      <c r="AA15" s="112">
        <v>6</v>
      </c>
    </row>
    <row r="16" spans="1:27" ht="15.75">
      <c r="A16"/>
      <c r="B16" s="121"/>
      <c r="C16" s="57" t="s">
        <v>80</v>
      </c>
      <c r="D16" s="16">
        <v>25260.400000000001</v>
      </c>
      <c r="E16" s="16">
        <v>24864.1</v>
      </c>
      <c r="F16" s="16">
        <v>24703.9</v>
      </c>
      <c r="G16" s="16">
        <v>24626.5</v>
      </c>
      <c r="H16" s="16">
        <v>24832.3</v>
      </c>
      <c r="I16" s="16">
        <v>25103.7</v>
      </c>
      <c r="J16" s="16">
        <v>24719.200000000001</v>
      </c>
      <c r="K16" s="16">
        <v>24740.7</v>
      </c>
      <c r="L16" s="16">
        <v>24931.8</v>
      </c>
      <c r="M16" s="16">
        <f t="shared" si="0"/>
        <v>24864.733333333334</v>
      </c>
      <c r="N16" s="53"/>
      <c r="O16" s="53"/>
      <c r="P16" s="63"/>
      <c r="Q16" s="53"/>
      <c r="R16" s="64"/>
      <c r="S16" s="54"/>
      <c r="T16" s="64"/>
      <c r="U16" s="64"/>
      <c r="V16" s="110"/>
      <c r="W16" s="110"/>
      <c r="X16" s="111"/>
      <c r="Y16" s="111"/>
      <c r="Z16" s="112"/>
      <c r="AA16" s="112"/>
    </row>
    <row r="17" spans="1:27" ht="28.5" customHeight="1">
      <c r="A17"/>
      <c r="B17" s="121"/>
      <c r="C17" s="57" t="s">
        <v>82</v>
      </c>
      <c r="D17" s="16">
        <f t="shared" ref="D17:L17" si="2">IF(((D15="")*AND(D16="")),"",(D15-D16)*3)</f>
        <v>12380.189999999999</v>
      </c>
      <c r="E17" s="16">
        <f t="shared" si="2"/>
        <v>13102.200000000004</v>
      </c>
      <c r="F17" s="16">
        <f t="shared" si="2"/>
        <v>13546.199999999993</v>
      </c>
      <c r="G17" s="16">
        <f t="shared" si="2"/>
        <v>13747.799999999996</v>
      </c>
      <c r="H17" s="16">
        <f t="shared" si="2"/>
        <v>13457.700000000004</v>
      </c>
      <c r="I17" s="16">
        <f t="shared" si="2"/>
        <v>12644.100000000002</v>
      </c>
      <c r="J17" s="16">
        <f t="shared" si="2"/>
        <v>13422.299999999996</v>
      </c>
      <c r="K17" s="16">
        <f t="shared" si="2"/>
        <v>13376.699999999993</v>
      </c>
      <c r="L17" s="16">
        <f t="shared" si="2"/>
        <v>13115.700000000004</v>
      </c>
      <c r="M17" s="16">
        <f t="shared" si="0"/>
        <v>13199.21</v>
      </c>
      <c r="N17" s="65"/>
      <c r="O17" s="65"/>
      <c r="P17" s="66"/>
      <c r="Q17" s="65"/>
      <c r="R17" s="67"/>
      <c r="S17" s="58"/>
      <c r="T17" s="67"/>
      <c r="U17" s="67"/>
      <c r="V17" s="110"/>
      <c r="W17" s="110"/>
      <c r="X17" s="111"/>
      <c r="Y17" s="111"/>
      <c r="Z17" s="112"/>
      <c r="AA17" s="112"/>
    </row>
    <row r="18" spans="1:27">
      <c r="A18" s="86">
        <v>41312</v>
      </c>
      <c r="B18" s="120" t="s">
        <v>348</v>
      </c>
      <c r="C18" s="57" t="s">
        <v>79</v>
      </c>
      <c r="D18" s="58">
        <v>29343.4</v>
      </c>
      <c r="E18" s="58">
        <v>29169.8</v>
      </c>
      <c r="F18" s="58">
        <v>29181.3</v>
      </c>
      <c r="G18" s="58">
        <v>29169.200000000001</v>
      </c>
      <c r="H18" s="58">
        <v>29317</v>
      </c>
      <c r="I18" s="58">
        <v>29273.7</v>
      </c>
      <c r="J18" s="58">
        <v>29151.9</v>
      </c>
      <c r="K18" s="58">
        <v>29145.9</v>
      </c>
      <c r="L18" s="58">
        <v>29262.2</v>
      </c>
      <c r="M18" s="16">
        <f t="shared" si="0"/>
        <v>29223.822222222225</v>
      </c>
      <c r="N18" s="59">
        <f>IF((L19=""),"",MAX(D20:L20))</f>
        <v>15324</v>
      </c>
      <c r="O18" s="59">
        <f>IF(L19="","",MIN(D20:L20))</f>
        <v>13445.100000000002</v>
      </c>
      <c r="P18" s="60">
        <f>IF((L20=""),"",AVERAGE(D20:L20))</f>
        <v>14638.466666666667</v>
      </c>
      <c r="Q18" s="156">
        <f>IF((L19=""),"",((N18-O18)/(N18+O18)*100))</f>
        <v>6.5309655150838832</v>
      </c>
      <c r="R18" s="61" t="str">
        <f>IF(L19="","",IF(Q18&lt;Z18,IF(O18&gt;V18,IF(N18&lt;W18,"PASS","FAIL"),"FAIL"),"FAIL"))</f>
        <v>PASS</v>
      </c>
      <c r="S18" s="62">
        <v>1400</v>
      </c>
      <c r="T18" s="61"/>
      <c r="U18" s="61"/>
      <c r="V18" s="110">
        <v>9000</v>
      </c>
      <c r="W18" s="110">
        <v>25000</v>
      </c>
      <c r="X18" s="111">
        <v>8090</v>
      </c>
      <c r="Y18" s="111">
        <v>12070</v>
      </c>
      <c r="Z18" s="112">
        <v>15</v>
      </c>
      <c r="AA18" s="112">
        <v>6</v>
      </c>
    </row>
    <row r="19" spans="1:27" ht="15.75">
      <c r="A19"/>
      <c r="B19" s="121"/>
      <c r="C19" s="57" t="s">
        <v>80</v>
      </c>
      <c r="D19" s="16">
        <v>24861.7</v>
      </c>
      <c r="E19" s="16">
        <v>24367.200000000001</v>
      </c>
      <c r="F19" s="16">
        <v>24123.5</v>
      </c>
      <c r="G19" s="16">
        <v>24061.200000000001</v>
      </c>
      <c r="H19" s="16">
        <v>24285.7</v>
      </c>
      <c r="I19" s="16">
        <v>24620.3</v>
      </c>
      <c r="J19" s="16">
        <v>24213.200000000001</v>
      </c>
      <c r="K19" s="16">
        <v>24181.7</v>
      </c>
      <c r="L19" s="16">
        <v>24384.5</v>
      </c>
      <c r="M19" s="16">
        <f t="shared" si="0"/>
        <v>24344.333333333332</v>
      </c>
      <c r="N19" s="53"/>
      <c r="O19" s="53"/>
      <c r="P19" s="63"/>
      <c r="Q19" s="53"/>
      <c r="R19" s="64"/>
      <c r="S19" s="54"/>
      <c r="T19" s="64"/>
      <c r="U19" s="64"/>
      <c r="V19" s="110"/>
      <c r="W19" s="110"/>
      <c r="X19" s="111"/>
      <c r="Y19" s="111"/>
      <c r="Z19" s="112"/>
      <c r="AA19" s="112"/>
    </row>
    <row r="20" spans="1:27" ht="28.5" customHeight="1">
      <c r="A20"/>
      <c r="B20" s="121"/>
      <c r="C20" s="57" t="s">
        <v>82</v>
      </c>
      <c r="D20" s="16">
        <f t="shared" ref="D20:L20" si="3">IF(((D18="")*AND(D19="")),"",(D18-D19)*3)</f>
        <v>13445.100000000002</v>
      </c>
      <c r="E20" s="16">
        <f t="shared" si="3"/>
        <v>14407.799999999996</v>
      </c>
      <c r="F20" s="16">
        <f t="shared" si="3"/>
        <v>15173.399999999998</v>
      </c>
      <c r="G20" s="16">
        <f t="shared" si="3"/>
        <v>15324</v>
      </c>
      <c r="H20" s="16">
        <f t="shared" si="3"/>
        <v>15093.899999999998</v>
      </c>
      <c r="I20" s="16">
        <f t="shared" si="3"/>
        <v>13960.200000000004</v>
      </c>
      <c r="J20" s="16">
        <f t="shared" si="3"/>
        <v>14816.100000000002</v>
      </c>
      <c r="K20" s="16">
        <f t="shared" si="3"/>
        <v>14892.600000000002</v>
      </c>
      <c r="L20" s="16">
        <f t="shared" si="3"/>
        <v>14633.100000000002</v>
      </c>
      <c r="M20" s="16">
        <f t="shared" si="0"/>
        <v>14638.466666666667</v>
      </c>
      <c r="N20" s="65"/>
      <c r="O20" s="65"/>
      <c r="P20" s="66"/>
      <c r="Q20" s="65"/>
      <c r="R20" s="67"/>
      <c r="S20" s="58"/>
      <c r="T20" s="67"/>
      <c r="U20" s="67"/>
      <c r="V20" s="110"/>
      <c r="W20" s="110"/>
      <c r="X20" s="111"/>
      <c r="Y20" s="111"/>
      <c r="Z20" s="112"/>
      <c r="AA20" s="112"/>
    </row>
    <row r="21" spans="1:27">
      <c r="A21" s="86">
        <v>41316</v>
      </c>
      <c r="B21" s="120" t="s">
        <v>348</v>
      </c>
      <c r="C21" s="57" t="s">
        <v>79</v>
      </c>
      <c r="D21" s="58">
        <v>29342.7</v>
      </c>
      <c r="E21" s="58">
        <v>29215.8</v>
      </c>
      <c r="F21" s="58">
        <v>29198.799999999999</v>
      </c>
      <c r="G21" s="58">
        <v>29189.4</v>
      </c>
      <c r="H21" s="58">
        <v>29304.400000000001</v>
      </c>
      <c r="I21" s="58">
        <v>29309.3</v>
      </c>
      <c r="J21" s="58">
        <v>29196.9</v>
      </c>
      <c r="K21" s="58">
        <v>29205.3</v>
      </c>
      <c r="L21" s="58">
        <v>29302.6</v>
      </c>
      <c r="M21" s="16">
        <f t="shared" si="0"/>
        <v>29251.688888888883</v>
      </c>
      <c r="N21" s="59">
        <f>IF((L22=""),"",MAX(D23:L23))</f>
        <v>15166.5</v>
      </c>
      <c r="O21" s="59">
        <f>IF(L22="","",MIN(D23:L23))</f>
        <v>13331.700000000004</v>
      </c>
      <c r="P21" s="60">
        <f>IF((L23=""),"",AVERAGE(D23:L23))</f>
        <v>14486.099999999999</v>
      </c>
      <c r="Q21" s="156">
        <f>IF((L22=""),"",((N21-O21)/(N21+O21)*100))</f>
        <v>6.4383013664020714</v>
      </c>
      <c r="R21" s="61" t="str">
        <f>IF(L22="","",IF(Q21&lt;Z21,IF(O21&gt;V21,IF(N21&lt;W21,"PASS","FAIL"),"FAIL"),"FAIL"))</f>
        <v>PASS</v>
      </c>
      <c r="S21" s="62"/>
      <c r="T21" s="61"/>
      <c r="U21" s="61"/>
      <c r="V21" s="110">
        <v>9000</v>
      </c>
      <c r="W21" s="110">
        <v>25000</v>
      </c>
      <c r="X21" s="111">
        <v>8090</v>
      </c>
      <c r="Y21" s="111">
        <v>12070</v>
      </c>
      <c r="Z21" s="112">
        <v>15</v>
      </c>
      <c r="AA21" s="112">
        <v>6</v>
      </c>
    </row>
    <row r="22" spans="1:27" ht="15.75">
      <c r="A22"/>
      <c r="B22" s="121"/>
      <c r="C22" s="57" t="s">
        <v>80</v>
      </c>
      <c r="D22" s="16">
        <v>24389.7</v>
      </c>
      <c r="E22" s="16">
        <v>24160.3</v>
      </c>
      <c r="F22" s="16">
        <v>24216</v>
      </c>
      <c r="G22" s="16">
        <v>24430.3</v>
      </c>
      <c r="H22" s="16">
        <v>24860.5</v>
      </c>
      <c r="I22" s="16">
        <v>24528.5</v>
      </c>
      <c r="J22" s="16">
        <v>24307.5</v>
      </c>
      <c r="K22" s="16">
        <v>24264.3</v>
      </c>
      <c r="L22" s="16">
        <v>24649.8</v>
      </c>
      <c r="M22" s="16">
        <f t="shared" si="0"/>
        <v>24422.988888888885</v>
      </c>
      <c r="N22" s="53"/>
      <c r="O22" s="53"/>
      <c r="P22" s="63"/>
      <c r="Q22" s="53"/>
      <c r="R22" s="64"/>
      <c r="S22" s="54"/>
      <c r="T22" s="64"/>
      <c r="U22" s="64"/>
      <c r="V22" s="110"/>
      <c r="W22" s="110"/>
      <c r="X22" s="111"/>
      <c r="Y22" s="111"/>
      <c r="Z22" s="112"/>
      <c r="AA22" s="112"/>
    </row>
    <row r="23" spans="1:27" ht="28.5" customHeight="1">
      <c r="A23"/>
      <c r="B23" s="121"/>
      <c r="C23" s="57" t="s">
        <v>82</v>
      </c>
      <c r="D23" s="16">
        <f t="shared" ref="D23:L23" si="4">IF(((D21="")*AND(D22="")),"",(D21-D22)*3)</f>
        <v>14859</v>
      </c>
      <c r="E23" s="16">
        <f t="shared" si="4"/>
        <v>15166.5</v>
      </c>
      <c r="F23" s="16">
        <f t="shared" si="4"/>
        <v>14948.399999999998</v>
      </c>
      <c r="G23" s="16">
        <f t="shared" si="4"/>
        <v>14277.300000000007</v>
      </c>
      <c r="H23" s="16">
        <f t="shared" si="4"/>
        <v>13331.700000000004</v>
      </c>
      <c r="I23" s="16">
        <f t="shared" si="4"/>
        <v>14342.399999999998</v>
      </c>
      <c r="J23" s="16">
        <f t="shared" si="4"/>
        <v>14668.200000000004</v>
      </c>
      <c r="K23" s="16">
        <f t="shared" si="4"/>
        <v>14823</v>
      </c>
      <c r="L23" s="16">
        <f t="shared" si="4"/>
        <v>13958.399999999998</v>
      </c>
      <c r="M23" s="16">
        <f t="shared" si="0"/>
        <v>14486.099999999999</v>
      </c>
      <c r="N23" s="65"/>
      <c r="O23" s="65"/>
      <c r="P23" s="66"/>
      <c r="Q23" s="65"/>
      <c r="R23" s="67"/>
      <c r="S23" s="58"/>
      <c r="T23" s="67"/>
      <c r="U23" s="67"/>
      <c r="V23" s="110"/>
      <c r="W23" s="110"/>
      <c r="X23" s="111"/>
      <c r="Y23" s="111"/>
      <c r="Z23" s="112"/>
      <c r="AA23" s="112"/>
    </row>
    <row r="24" spans="1:27">
      <c r="A24" s="86">
        <v>41316</v>
      </c>
      <c r="B24" s="120" t="s">
        <v>348</v>
      </c>
      <c r="C24" s="57" t="s">
        <v>79</v>
      </c>
      <c r="D24" s="58">
        <v>29228.73</v>
      </c>
      <c r="E24" s="58">
        <v>29101.43</v>
      </c>
      <c r="F24" s="58">
        <v>29106.22</v>
      </c>
      <c r="G24" s="58">
        <v>29104.12</v>
      </c>
      <c r="H24" s="58">
        <v>29231.43</v>
      </c>
      <c r="I24" s="58">
        <v>29206.99</v>
      </c>
      <c r="J24" s="58">
        <v>29086.05</v>
      </c>
      <c r="K24" s="58">
        <v>29095.34</v>
      </c>
      <c r="L24" s="58">
        <v>29185.49</v>
      </c>
      <c r="M24" s="16">
        <f t="shared" si="0"/>
        <v>29149.533333333333</v>
      </c>
      <c r="N24" s="59">
        <f>IF((L25=""),"",MAX(D26:L26))</f>
        <v>14627.910000000003</v>
      </c>
      <c r="O24" s="59">
        <f>IF(L25="","",MIN(D26:L26))</f>
        <v>12945.810000000001</v>
      </c>
      <c r="P24" s="60">
        <f>IF((L26=""),"",AVERAGE(D26:L26))</f>
        <v>14003.04</v>
      </c>
      <c r="Q24" s="156">
        <f>IF((L25=""),"",((N24-O24)/(N24+O24)*100))</f>
        <v>6.1003738342160645</v>
      </c>
      <c r="R24" s="61" t="str">
        <f>IF(L25="","",IF(Q24&lt;Z24,IF(O24&gt;V24,IF(N24&lt;W24,"PASS","FAIL"),"FAIL"),"FAIL"))</f>
        <v>PASS</v>
      </c>
      <c r="S24" s="62">
        <v>1400</v>
      </c>
      <c r="T24" s="61"/>
      <c r="U24" s="61"/>
      <c r="V24" s="110">
        <v>9000</v>
      </c>
      <c r="W24" s="110">
        <v>25000</v>
      </c>
      <c r="X24" s="111">
        <v>8090</v>
      </c>
      <c r="Y24" s="111">
        <v>12070</v>
      </c>
      <c r="Z24" s="112">
        <v>15</v>
      </c>
      <c r="AA24" s="112">
        <v>6</v>
      </c>
    </row>
    <row r="25" spans="1:27" ht="15.75">
      <c r="A25"/>
      <c r="B25" s="121"/>
      <c r="C25" s="57" t="s">
        <v>80</v>
      </c>
      <c r="D25" s="16">
        <v>24446.03</v>
      </c>
      <c r="E25" s="16">
        <v>24225.46</v>
      </c>
      <c r="F25" s="16">
        <v>24287.4</v>
      </c>
      <c r="G25" s="16">
        <v>24482.02</v>
      </c>
      <c r="H25" s="16">
        <v>24916.16</v>
      </c>
      <c r="I25" s="16">
        <v>24653.39</v>
      </c>
      <c r="J25" s="16">
        <v>24401.45</v>
      </c>
      <c r="K25" s="16">
        <v>24293.86</v>
      </c>
      <c r="L25" s="16">
        <v>24630.91</v>
      </c>
      <c r="M25" s="16">
        <f t="shared" si="0"/>
        <v>24481.853333333336</v>
      </c>
      <c r="N25" s="53"/>
      <c r="O25" s="53"/>
      <c r="P25" s="63"/>
      <c r="Q25" s="53"/>
      <c r="R25" s="64"/>
      <c r="S25" s="54"/>
      <c r="T25" s="64"/>
      <c r="U25" s="64"/>
      <c r="V25" s="110"/>
      <c r="W25" s="110"/>
      <c r="X25" s="111"/>
      <c r="Y25" s="111"/>
      <c r="Z25" s="112"/>
      <c r="AA25" s="112"/>
    </row>
    <row r="26" spans="1:27" ht="28.5" customHeight="1">
      <c r="A26"/>
      <c r="B26" s="121"/>
      <c r="C26" s="57" t="s">
        <v>82</v>
      </c>
      <c r="D26" s="16">
        <f t="shared" ref="D26:L26" si="5">IF(((D24="")*AND(D25="")),"",(D24-D25)*3)</f>
        <v>14348.100000000002</v>
      </c>
      <c r="E26" s="16">
        <f t="shared" si="5"/>
        <v>14627.910000000003</v>
      </c>
      <c r="F26" s="16">
        <f t="shared" si="5"/>
        <v>14456.46</v>
      </c>
      <c r="G26" s="16">
        <f t="shared" si="5"/>
        <v>13866.299999999996</v>
      </c>
      <c r="H26" s="16">
        <f t="shared" si="5"/>
        <v>12945.810000000001</v>
      </c>
      <c r="I26" s="16">
        <f t="shared" si="5"/>
        <v>13660.800000000007</v>
      </c>
      <c r="J26" s="16">
        <f t="shared" si="5"/>
        <v>14053.799999999996</v>
      </c>
      <c r="K26" s="16">
        <f t="shared" si="5"/>
        <v>14404.439999999999</v>
      </c>
      <c r="L26" s="16">
        <f t="shared" si="5"/>
        <v>13663.740000000005</v>
      </c>
      <c r="M26" s="16">
        <f t="shared" si="0"/>
        <v>14003.04</v>
      </c>
      <c r="N26" s="65"/>
      <c r="O26" s="65"/>
      <c r="P26" s="66"/>
      <c r="Q26" s="65"/>
      <c r="R26" s="67"/>
      <c r="S26" s="58"/>
      <c r="T26" s="67"/>
      <c r="U26" s="67"/>
      <c r="V26" s="110"/>
      <c r="W26" s="110"/>
      <c r="X26" s="111"/>
      <c r="Y26" s="111"/>
      <c r="Z26" s="112"/>
      <c r="AA26" s="112"/>
    </row>
    <row r="27" spans="1:27">
      <c r="A27" s="86">
        <v>41318</v>
      </c>
      <c r="B27" s="120" t="s">
        <v>348</v>
      </c>
      <c r="C27" s="57" t="s">
        <v>79</v>
      </c>
      <c r="D27" s="58">
        <v>29403.95</v>
      </c>
      <c r="E27" s="58">
        <v>29294.44</v>
      </c>
      <c r="F27" s="58">
        <v>29287.84</v>
      </c>
      <c r="G27" s="58">
        <v>29292.87</v>
      </c>
      <c r="H27" s="58">
        <v>29407.759999999998</v>
      </c>
      <c r="I27" s="58">
        <v>28167.200000000001</v>
      </c>
      <c r="J27" s="58">
        <v>29290.94</v>
      </c>
      <c r="K27" s="58">
        <v>29283.72</v>
      </c>
      <c r="L27" s="58">
        <v>29374.92</v>
      </c>
      <c r="M27" s="16">
        <f t="shared" si="0"/>
        <v>29200.404444444444</v>
      </c>
      <c r="N27" s="59">
        <f>IF((L28=""),"",MAX(D29:L29))</f>
        <v>17851.23</v>
      </c>
      <c r="O27" s="59">
        <f>IF(L28="","",MIN(D29:L29))</f>
        <v>12611.310000000001</v>
      </c>
      <c r="P27" s="60">
        <f>IF((L29=""),"",AVERAGE(D29:L29))</f>
        <v>16339.953333333331</v>
      </c>
      <c r="Q27" s="156">
        <f>IF((L28=""),"",((N27-O27)/(N27+O27)*100))</f>
        <v>17.201192021413835</v>
      </c>
      <c r="R27" s="61" t="str">
        <f>IF(L28="","",IF(Q27&lt;Z27,IF(O27&gt;V27,IF(N27&lt;W27,"PASS","FAIL"),"FAIL"),"FAIL"))</f>
        <v>FAIL</v>
      </c>
      <c r="S27" s="62"/>
      <c r="T27" s="61"/>
      <c r="U27" s="61"/>
      <c r="V27" s="110">
        <v>9000</v>
      </c>
      <c r="W27" s="110">
        <v>25000</v>
      </c>
      <c r="X27" s="111">
        <v>8090</v>
      </c>
      <c r="Y27" s="111">
        <v>12070</v>
      </c>
      <c r="Z27" s="112">
        <v>15</v>
      </c>
      <c r="AA27" s="112">
        <v>6</v>
      </c>
    </row>
    <row r="28" spans="1:27" ht="15.75">
      <c r="A28"/>
      <c r="B28" s="121"/>
      <c r="C28" s="57" t="s">
        <v>80</v>
      </c>
      <c r="D28" s="16">
        <v>23661.46</v>
      </c>
      <c r="E28" s="16">
        <v>23344.03</v>
      </c>
      <c r="F28" s="16">
        <v>23365.21</v>
      </c>
      <c r="G28" s="16">
        <v>23810.6</v>
      </c>
      <c r="H28" s="16">
        <v>24481.82</v>
      </c>
      <c r="I28" s="16">
        <v>23963.43</v>
      </c>
      <c r="J28" s="16">
        <v>23609.91</v>
      </c>
      <c r="K28" s="16">
        <v>23510.15</v>
      </c>
      <c r="L28" s="16">
        <v>24037.17</v>
      </c>
      <c r="M28" s="16">
        <f t="shared" si="0"/>
        <v>23753.75333333333</v>
      </c>
      <c r="N28" s="53"/>
      <c r="O28" s="53"/>
      <c r="P28" s="63"/>
      <c r="Q28" s="53"/>
      <c r="R28" s="64"/>
      <c r="S28" s="54"/>
      <c r="T28" s="64"/>
      <c r="U28" s="64"/>
      <c r="V28" s="110"/>
      <c r="W28" s="110"/>
      <c r="X28" s="111"/>
      <c r="Y28" s="111"/>
      <c r="Z28" s="112"/>
      <c r="AA28" s="112"/>
    </row>
    <row r="29" spans="1:27" ht="28.5" customHeight="1">
      <c r="A29"/>
      <c r="B29" s="121"/>
      <c r="C29" s="57" t="s">
        <v>82</v>
      </c>
      <c r="D29" s="16">
        <f t="shared" ref="D29:L29" si="6">IF(((D27="")*AND(D28="")),"",(D27-D28)*3)</f>
        <v>17227.470000000005</v>
      </c>
      <c r="E29" s="16">
        <f t="shared" si="6"/>
        <v>17851.23</v>
      </c>
      <c r="F29" s="16">
        <f t="shared" si="6"/>
        <v>17767.890000000003</v>
      </c>
      <c r="G29" s="16">
        <f t="shared" si="6"/>
        <v>16446.810000000001</v>
      </c>
      <c r="H29" s="16">
        <f t="shared" si="6"/>
        <v>14777.819999999996</v>
      </c>
      <c r="I29" s="16">
        <f t="shared" si="6"/>
        <v>12611.310000000001</v>
      </c>
      <c r="J29" s="16">
        <f t="shared" si="6"/>
        <v>17043.089999999997</v>
      </c>
      <c r="K29" s="16">
        <f t="shared" si="6"/>
        <v>17320.71</v>
      </c>
      <c r="L29" s="16">
        <f t="shared" si="6"/>
        <v>16013.25</v>
      </c>
      <c r="M29" s="16">
        <f t="shared" si="0"/>
        <v>16339.953333333331</v>
      </c>
      <c r="N29" s="65"/>
      <c r="O29" s="65"/>
      <c r="P29" s="66"/>
      <c r="Q29" s="65"/>
      <c r="R29" s="67"/>
      <c r="S29" s="58"/>
      <c r="T29" s="67"/>
      <c r="U29" s="67"/>
      <c r="V29" s="110"/>
      <c r="W29" s="110"/>
      <c r="X29" s="111"/>
      <c r="Y29" s="111"/>
      <c r="Z29" s="112"/>
      <c r="AA29" s="112"/>
    </row>
    <row r="30" spans="1:27">
      <c r="A30" s="86">
        <v>41323</v>
      </c>
      <c r="B30" s="120" t="s">
        <v>348</v>
      </c>
      <c r="C30" s="57" t="s">
        <v>79</v>
      </c>
      <c r="D30" s="58">
        <v>30520.71</v>
      </c>
      <c r="E30" s="58">
        <v>30306.41</v>
      </c>
      <c r="F30" s="58">
        <v>29124.38</v>
      </c>
      <c r="G30" s="58">
        <v>29131.56</v>
      </c>
      <c r="H30" s="58">
        <v>29209.61</v>
      </c>
      <c r="I30" s="58">
        <v>29272.79</v>
      </c>
      <c r="J30" s="58">
        <v>29040</v>
      </c>
      <c r="K30" s="58">
        <v>29134.91</v>
      </c>
      <c r="L30" s="58">
        <v>30424.19</v>
      </c>
      <c r="M30" s="16">
        <f t="shared" si="0"/>
        <v>29573.84</v>
      </c>
      <c r="N30" s="59">
        <f>IF((L31=""),"",MAX(D32:L32))</f>
        <v>17291.279999999995</v>
      </c>
      <c r="O30" s="59">
        <f>IF(L31="","",MIN(D32:L32))</f>
        <v>9972.6299999999974</v>
      </c>
      <c r="P30" s="60">
        <f>IF((L32=""),"",AVERAGE(D32:L32))</f>
        <v>13676.276666666668</v>
      </c>
      <c r="Q30" s="156">
        <f>IF((L31=""),"",((N30-O30)/(N30+O30)*100))</f>
        <v>26.843728577449088</v>
      </c>
      <c r="R30" s="61" t="str">
        <f>IF(L31="","",IF(Q30&lt;Z30,IF(O30&gt;V30,IF(N30&lt;W30,"PASS","FAIL"),"FAIL"),"FAIL"))</f>
        <v>FAIL</v>
      </c>
      <c r="S30" s="62">
        <v>1400</v>
      </c>
      <c r="T30" s="61"/>
      <c r="U30" s="61"/>
      <c r="V30" s="110">
        <v>9000</v>
      </c>
      <c r="W30" s="110">
        <v>25000</v>
      </c>
      <c r="X30" s="111">
        <v>8090</v>
      </c>
      <c r="Y30" s="111">
        <v>12070</v>
      </c>
      <c r="Z30" s="112">
        <v>15</v>
      </c>
      <c r="AA30" s="112">
        <v>6</v>
      </c>
    </row>
    <row r="31" spans="1:27" ht="15.75">
      <c r="A31"/>
      <c r="B31" s="121"/>
      <c r="C31" s="57" t="s">
        <v>80</v>
      </c>
      <c r="D31" s="16">
        <v>25906.76</v>
      </c>
      <c r="E31" s="16">
        <v>24542.65</v>
      </c>
      <c r="F31" s="16">
        <v>24545.25</v>
      </c>
      <c r="G31" s="16">
        <v>24670.98</v>
      </c>
      <c r="H31" s="16">
        <v>25268.46</v>
      </c>
      <c r="I31" s="16">
        <v>24759.99</v>
      </c>
      <c r="J31" s="16">
        <v>24601.1</v>
      </c>
      <c r="K31" s="16">
        <v>25810.7</v>
      </c>
      <c r="L31" s="16">
        <v>25029.84</v>
      </c>
      <c r="M31" s="16">
        <f t="shared" si="0"/>
        <v>25015.081111111111</v>
      </c>
      <c r="N31" s="53"/>
      <c r="O31" s="53"/>
      <c r="P31" s="63"/>
      <c r="Q31" s="53"/>
      <c r="R31" s="64"/>
      <c r="S31" s="54"/>
      <c r="T31" s="64"/>
      <c r="U31" s="64"/>
      <c r="V31" s="110"/>
      <c r="W31" s="110"/>
      <c r="X31" s="111"/>
      <c r="Y31" s="111"/>
      <c r="Z31" s="112"/>
      <c r="AA31" s="112"/>
    </row>
    <row r="32" spans="1:27" ht="28.5" customHeight="1">
      <c r="A32"/>
      <c r="B32" s="121"/>
      <c r="C32" s="57" t="s">
        <v>82</v>
      </c>
      <c r="D32" s="16">
        <f t="shared" ref="D32:L32" si="7">IF(((D30="")*AND(D31="")),"",(D30-D31)*3)</f>
        <v>13841.850000000002</v>
      </c>
      <c r="E32" s="16">
        <f t="shared" si="7"/>
        <v>17291.279999999995</v>
      </c>
      <c r="F32" s="16">
        <f t="shared" si="7"/>
        <v>13737.390000000003</v>
      </c>
      <c r="G32" s="16">
        <f t="shared" si="7"/>
        <v>13381.740000000005</v>
      </c>
      <c r="H32" s="16">
        <f t="shared" si="7"/>
        <v>11823.450000000004</v>
      </c>
      <c r="I32" s="16">
        <f t="shared" si="7"/>
        <v>13538.399999999998</v>
      </c>
      <c r="J32" s="16">
        <f t="shared" si="7"/>
        <v>13316.700000000004</v>
      </c>
      <c r="K32" s="16">
        <f t="shared" si="7"/>
        <v>9972.6299999999974</v>
      </c>
      <c r="L32" s="16">
        <f t="shared" si="7"/>
        <v>16183.049999999996</v>
      </c>
      <c r="M32" s="16">
        <f t="shared" si="0"/>
        <v>13676.276666666668</v>
      </c>
      <c r="N32" s="65"/>
      <c r="O32" s="65"/>
      <c r="P32" s="66"/>
      <c r="Q32" s="65"/>
      <c r="R32" s="67"/>
      <c r="S32" s="58"/>
      <c r="T32" s="67"/>
      <c r="U32" s="67"/>
      <c r="V32" s="110"/>
      <c r="W32" s="110"/>
      <c r="X32" s="111"/>
      <c r="Y32" s="111"/>
      <c r="Z32" s="112"/>
      <c r="AA32" s="112"/>
    </row>
    <row r="33" spans="1:27">
      <c r="A33" s="86">
        <v>41325</v>
      </c>
      <c r="B33" s="120" t="s">
        <v>348</v>
      </c>
      <c r="C33" s="57" t="s">
        <v>79</v>
      </c>
      <c r="D33" s="58">
        <v>29350.799999999999</v>
      </c>
      <c r="E33" s="58">
        <v>29179.08</v>
      </c>
      <c r="F33" s="58">
        <v>29178.79</v>
      </c>
      <c r="G33" s="58">
        <v>29168.18</v>
      </c>
      <c r="H33" s="58">
        <v>29303.45</v>
      </c>
      <c r="I33" s="58">
        <v>29324.46</v>
      </c>
      <c r="J33" s="58">
        <v>29170.58</v>
      </c>
      <c r="K33" s="58">
        <v>29162.09</v>
      </c>
      <c r="L33" s="58">
        <v>29254.48</v>
      </c>
      <c r="M33" s="16">
        <f t="shared" si="0"/>
        <v>29232.434444444447</v>
      </c>
      <c r="N33" s="59">
        <f>IF((L34=""),"",MAX(D35:L35))</f>
        <v>14597.640000000003</v>
      </c>
      <c r="O33" s="59">
        <f>IF(L34="","",MIN(D35:L35))</f>
        <v>12747</v>
      </c>
      <c r="P33" s="60">
        <f>IF((L35=""),"",AVERAGE(D35:L35))</f>
        <v>13909.623333333337</v>
      </c>
      <c r="Q33" s="156">
        <f>IF((L34=""),"",((N33-O33)/(N33+O33)*100))</f>
        <v>6.7678345737958248</v>
      </c>
      <c r="R33" s="61" t="str">
        <f>IF(L34="","",IF(Q33&lt;Z33,IF(O33&gt;V33,IF(N33&lt;W33,"PASS","FAIL"),"FAIL"),"FAIL"))</f>
        <v>PASS</v>
      </c>
      <c r="S33" s="62">
        <v>1400</v>
      </c>
      <c r="T33" s="61"/>
      <c r="U33" s="61"/>
      <c r="V33" s="110">
        <v>9000</v>
      </c>
      <c r="W33" s="110">
        <v>25000</v>
      </c>
      <c r="X33" s="111">
        <v>8090</v>
      </c>
      <c r="Y33" s="111">
        <v>12070</v>
      </c>
      <c r="Z33" s="112">
        <v>15</v>
      </c>
      <c r="AA33" s="112">
        <v>6</v>
      </c>
    </row>
    <row r="34" spans="1:27" ht="15.75">
      <c r="A34"/>
      <c r="B34" s="121"/>
      <c r="C34" s="57" t="s">
        <v>80</v>
      </c>
      <c r="D34" s="16">
        <v>25101.8</v>
      </c>
      <c r="E34" s="16">
        <v>24611.49</v>
      </c>
      <c r="F34" s="16">
        <v>24387.09</v>
      </c>
      <c r="G34" s="16">
        <v>24302.3</v>
      </c>
      <c r="H34" s="16">
        <v>24529.360000000001</v>
      </c>
      <c r="I34" s="16">
        <v>24867.85</v>
      </c>
      <c r="J34" s="16">
        <v>24446.94</v>
      </c>
      <c r="K34" s="16">
        <v>24453.63</v>
      </c>
      <c r="L34" s="16">
        <v>24662.58</v>
      </c>
      <c r="M34" s="16">
        <f t="shared" si="0"/>
        <v>24595.893333333337</v>
      </c>
      <c r="N34" s="53"/>
      <c r="O34" s="53"/>
      <c r="P34" s="63"/>
      <c r="Q34" s="53"/>
      <c r="R34" s="64"/>
      <c r="S34" s="54"/>
      <c r="T34" s="64"/>
      <c r="U34" s="64"/>
      <c r="V34" s="110"/>
      <c r="W34" s="110"/>
      <c r="X34" s="111"/>
      <c r="Y34" s="111"/>
      <c r="Z34" s="112"/>
      <c r="AA34" s="112"/>
    </row>
    <row r="35" spans="1:27" ht="28.5" customHeight="1">
      <c r="A35"/>
      <c r="B35" s="121"/>
      <c r="C35" s="57" t="s">
        <v>82</v>
      </c>
      <c r="D35" s="16">
        <f t="shared" ref="D35:L35" si="8">IF(((D33="")*AND(D34="")),"",(D33-D34)*3)</f>
        <v>12747</v>
      </c>
      <c r="E35" s="16">
        <f t="shared" si="8"/>
        <v>13702.77</v>
      </c>
      <c r="F35" s="16">
        <f t="shared" si="8"/>
        <v>14375.100000000002</v>
      </c>
      <c r="G35" s="16">
        <f t="shared" si="8"/>
        <v>14597.640000000003</v>
      </c>
      <c r="H35" s="16">
        <f t="shared" si="8"/>
        <v>14322.27</v>
      </c>
      <c r="I35" s="16">
        <f t="shared" si="8"/>
        <v>13369.830000000002</v>
      </c>
      <c r="J35" s="16">
        <f t="shared" si="8"/>
        <v>14170.920000000009</v>
      </c>
      <c r="K35" s="16">
        <f t="shared" si="8"/>
        <v>14125.379999999997</v>
      </c>
      <c r="L35" s="16">
        <f t="shared" si="8"/>
        <v>13775.699999999993</v>
      </c>
      <c r="M35" s="16">
        <f t="shared" si="0"/>
        <v>13909.623333333337</v>
      </c>
      <c r="N35" s="65"/>
      <c r="O35" s="65"/>
      <c r="P35" s="66"/>
      <c r="Q35" s="65"/>
      <c r="R35" s="67"/>
      <c r="S35" s="58"/>
      <c r="T35" s="67"/>
      <c r="U35" s="67"/>
      <c r="V35" s="110"/>
      <c r="W35" s="110"/>
      <c r="X35" s="111"/>
      <c r="Y35" s="111"/>
      <c r="Z35" s="112"/>
      <c r="AA35" s="112"/>
    </row>
    <row r="36" spans="1:27">
      <c r="A36" s="86">
        <v>41331</v>
      </c>
      <c r="B36" s="120" t="s">
        <v>348</v>
      </c>
      <c r="C36" s="57" t="s">
        <v>79</v>
      </c>
      <c r="D36" s="58">
        <v>29239.599999999999</v>
      </c>
      <c r="E36" s="58">
        <v>29081.3</v>
      </c>
      <c r="F36" s="58">
        <v>29080.400000000001</v>
      </c>
      <c r="G36" s="58">
        <v>29075.599999999999</v>
      </c>
      <c r="H36" s="58">
        <v>29195.5</v>
      </c>
      <c r="I36" s="58">
        <v>29238.2</v>
      </c>
      <c r="J36" s="58">
        <v>29066.5</v>
      </c>
      <c r="K36" s="58">
        <v>29064.2</v>
      </c>
      <c r="L36" s="58">
        <v>29218.400000000001</v>
      </c>
      <c r="M36" s="16">
        <f t="shared" si="0"/>
        <v>29139.966666666667</v>
      </c>
      <c r="N36" s="59">
        <f>IF((L37=""),"",MAX(D38:L38))</f>
        <v>13497.299999999996</v>
      </c>
      <c r="O36" s="59">
        <f>IF(L37="","",MIN(D38:L38))</f>
        <v>11928</v>
      </c>
      <c r="P36" s="60">
        <f>IF((L38=""),"",AVERAGE(D38:L38))</f>
        <v>12907.766666666666</v>
      </c>
      <c r="Q36" s="156">
        <f>IF((L37=""),"",((N36-O36)/(N36+O36)*100))</f>
        <v>6.1721985581290921</v>
      </c>
      <c r="R36" s="61" t="str">
        <f>IF(L37="","",IF(Q36&lt;Z36,IF(O36&gt;V36,IF(N36&lt;W36,"PASS","FAIL"),"FAIL"),"FAIL"))</f>
        <v>PASS</v>
      </c>
      <c r="S36" s="62">
        <v>1159</v>
      </c>
      <c r="T36" s="61"/>
      <c r="U36" s="61"/>
      <c r="V36" s="110">
        <v>9000</v>
      </c>
      <c r="W36" s="110">
        <v>25000</v>
      </c>
      <c r="X36" s="111">
        <v>8090</v>
      </c>
      <c r="Y36" s="111">
        <v>12070</v>
      </c>
      <c r="Z36" s="112">
        <v>15</v>
      </c>
      <c r="AA36" s="112">
        <v>6</v>
      </c>
    </row>
    <row r="37" spans="1:27" ht="15.75">
      <c r="A37"/>
      <c r="B37" s="121"/>
      <c r="C37" s="57" t="s">
        <v>80</v>
      </c>
      <c r="D37" s="16">
        <v>25263.599999999999</v>
      </c>
      <c r="E37" s="16">
        <v>24845.9</v>
      </c>
      <c r="F37" s="16">
        <v>24622</v>
      </c>
      <c r="G37" s="16">
        <v>24576.5</v>
      </c>
      <c r="H37" s="16">
        <v>24783.5</v>
      </c>
      <c r="I37" s="16">
        <v>25076.400000000001</v>
      </c>
      <c r="J37" s="16">
        <v>24688.2</v>
      </c>
      <c r="K37" s="16">
        <v>24715.7</v>
      </c>
      <c r="L37" s="16">
        <v>24964.6</v>
      </c>
      <c r="M37" s="16">
        <f t="shared" si="0"/>
        <v>24837.37777777778</v>
      </c>
      <c r="N37" s="53"/>
      <c r="O37" s="53"/>
      <c r="P37" s="63"/>
      <c r="Q37" s="53"/>
      <c r="R37" s="64"/>
      <c r="S37" s="54"/>
      <c r="T37" s="64"/>
      <c r="U37" s="64"/>
      <c r="V37" s="110"/>
      <c r="W37" s="110"/>
      <c r="X37" s="111"/>
      <c r="Y37" s="111"/>
      <c r="Z37" s="112"/>
      <c r="AA37" s="112"/>
    </row>
    <row r="38" spans="1:27" ht="28.5" customHeight="1">
      <c r="A38"/>
      <c r="B38" s="121"/>
      <c r="C38" s="57" t="s">
        <v>82</v>
      </c>
      <c r="D38" s="16">
        <f t="shared" ref="D38:L38" si="9">IF(((D36="")*AND(D37="")),"",(D36-D37)*3)</f>
        <v>11928</v>
      </c>
      <c r="E38" s="16">
        <f t="shared" si="9"/>
        <v>12706.199999999993</v>
      </c>
      <c r="F38" s="16">
        <f t="shared" si="9"/>
        <v>13375.200000000004</v>
      </c>
      <c r="G38" s="16">
        <f t="shared" si="9"/>
        <v>13497.299999999996</v>
      </c>
      <c r="H38" s="16">
        <f t="shared" si="9"/>
        <v>13236</v>
      </c>
      <c r="I38" s="16">
        <f t="shared" si="9"/>
        <v>12485.399999999998</v>
      </c>
      <c r="J38" s="16">
        <f t="shared" si="9"/>
        <v>13134.899999999998</v>
      </c>
      <c r="K38" s="16">
        <f t="shared" si="9"/>
        <v>13045.5</v>
      </c>
      <c r="L38" s="16">
        <f t="shared" si="9"/>
        <v>12761.400000000009</v>
      </c>
      <c r="M38" s="16">
        <f t="shared" si="0"/>
        <v>12907.766666666666</v>
      </c>
      <c r="N38" s="65"/>
      <c r="O38" s="65"/>
      <c r="P38" s="66"/>
      <c r="Q38" s="65"/>
      <c r="R38" s="67"/>
      <c r="S38" s="58"/>
      <c r="T38" s="67"/>
      <c r="U38" s="67"/>
      <c r="V38" s="110"/>
      <c r="W38" s="110"/>
      <c r="X38" s="111"/>
      <c r="Y38" s="111"/>
      <c r="Z38" s="112"/>
      <c r="AA38" s="112"/>
    </row>
    <row r="39" spans="1:27">
      <c r="A39" s="86">
        <v>41339</v>
      </c>
      <c r="B39" s="120" t="s">
        <v>348</v>
      </c>
      <c r="C39" s="57" t="s">
        <v>79</v>
      </c>
      <c r="D39" s="58">
        <v>30458.18</v>
      </c>
      <c r="E39" s="58">
        <v>29156.38</v>
      </c>
      <c r="F39" s="58">
        <v>29186.27</v>
      </c>
      <c r="G39" s="58">
        <v>30365.919999999998</v>
      </c>
      <c r="H39" s="58">
        <v>29304.38</v>
      </c>
      <c r="I39" s="58">
        <v>29356.84</v>
      </c>
      <c r="J39" s="58">
        <v>30353.88</v>
      </c>
      <c r="K39" s="58">
        <v>30370.7</v>
      </c>
      <c r="L39" s="58">
        <v>30418.1</v>
      </c>
      <c r="M39" s="16">
        <f t="shared" si="0"/>
        <v>29885.62777777778</v>
      </c>
      <c r="N39" s="59">
        <f>IF((L40=""),"",MAX(D41:L41))</f>
        <v>17603.310000000001</v>
      </c>
      <c r="O39" s="59">
        <f>IF(L40="","",MIN(D41:L41))</f>
        <v>12318.810000000001</v>
      </c>
      <c r="P39" s="60">
        <f>IF((L41=""),"",AVERAGE(D41:L41))</f>
        <v>14849.326666666668</v>
      </c>
      <c r="Q39" s="156">
        <f>IF((L40=""),"",((N39-O39)/(N39+O39)*100))</f>
        <v>17.660847560266451</v>
      </c>
      <c r="R39" s="61" t="str">
        <f>IF(L40="","",IF(Q39&lt;Z39,IF(O39&gt;V39,IF(N39&lt;W39,"PASS","FAIL"),"FAIL"),"FAIL"))</f>
        <v>FAIL</v>
      </c>
      <c r="S39" s="62">
        <v>1159</v>
      </c>
      <c r="T39" s="61"/>
      <c r="U39" s="61"/>
      <c r="V39" s="110">
        <v>9000</v>
      </c>
      <c r="W39" s="110">
        <v>25000</v>
      </c>
      <c r="X39" s="111">
        <v>8090</v>
      </c>
      <c r="Y39" s="111">
        <v>12070</v>
      </c>
      <c r="Z39" s="112">
        <v>15</v>
      </c>
      <c r="AA39" s="112">
        <v>6</v>
      </c>
    </row>
    <row r="40" spans="1:27" ht="15.75">
      <c r="A40"/>
      <c r="B40" s="121"/>
      <c r="C40" s="57" t="s">
        <v>80</v>
      </c>
      <c r="D40" s="16">
        <v>24616.93</v>
      </c>
      <c r="E40" s="16">
        <v>24434.23</v>
      </c>
      <c r="F40" s="16">
        <v>24419.200000000001</v>
      </c>
      <c r="G40" s="16">
        <v>24591.71</v>
      </c>
      <c r="H40" s="16">
        <v>25198.11</v>
      </c>
      <c r="I40" s="16">
        <v>24736.91</v>
      </c>
      <c r="J40" s="16">
        <v>25829.9</v>
      </c>
      <c r="K40" s="16">
        <v>24502.93</v>
      </c>
      <c r="L40" s="16">
        <v>26092.75</v>
      </c>
      <c r="M40" s="16">
        <f t="shared" si="0"/>
        <v>24935.85222222222</v>
      </c>
      <c r="N40" s="53"/>
      <c r="O40" s="53"/>
      <c r="P40" s="63"/>
      <c r="Q40" s="53"/>
      <c r="R40" s="64"/>
      <c r="S40" s="54"/>
      <c r="T40" s="64"/>
      <c r="U40" s="64"/>
      <c r="V40" s="110"/>
      <c r="W40" s="110"/>
      <c r="X40" s="111"/>
      <c r="Y40" s="111"/>
      <c r="Z40" s="112"/>
      <c r="AA40" s="112"/>
    </row>
    <row r="41" spans="1:27" ht="28.5" customHeight="1">
      <c r="A41"/>
      <c r="B41" s="121"/>
      <c r="C41" s="57" t="s">
        <v>82</v>
      </c>
      <c r="D41" s="16">
        <f t="shared" ref="D41:L41" si="10">IF(((D39="")*AND(D40="")),"",(D39-D40)*3)</f>
        <v>17523.75</v>
      </c>
      <c r="E41" s="16">
        <f t="shared" si="10"/>
        <v>14166.450000000004</v>
      </c>
      <c r="F41" s="16">
        <f t="shared" si="10"/>
        <v>14301.21</v>
      </c>
      <c r="G41" s="16">
        <f t="shared" si="10"/>
        <v>17322.629999999997</v>
      </c>
      <c r="H41" s="16">
        <f t="shared" si="10"/>
        <v>12318.810000000001</v>
      </c>
      <c r="I41" s="16">
        <f t="shared" si="10"/>
        <v>13859.79</v>
      </c>
      <c r="J41" s="16">
        <f t="shared" si="10"/>
        <v>13571.939999999999</v>
      </c>
      <c r="K41" s="16">
        <f t="shared" si="10"/>
        <v>17603.310000000001</v>
      </c>
      <c r="L41" s="16">
        <f t="shared" si="10"/>
        <v>12976.049999999996</v>
      </c>
      <c r="M41" s="16">
        <f t="shared" si="0"/>
        <v>14849.326666666668</v>
      </c>
      <c r="N41" s="65"/>
      <c r="O41" s="65"/>
      <c r="P41" s="66"/>
      <c r="Q41" s="65"/>
      <c r="R41" s="67"/>
      <c r="S41" s="58"/>
      <c r="T41" s="67"/>
      <c r="U41" s="67"/>
      <c r="V41" s="110"/>
      <c r="W41" s="110"/>
      <c r="X41" s="111"/>
      <c r="Y41" s="111"/>
      <c r="Z41" s="112"/>
      <c r="AA41" s="112"/>
    </row>
    <row r="42" spans="1:27">
      <c r="A42" s="86">
        <v>41345</v>
      </c>
      <c r="B42" s="120" t="s">
        <v>348</v>
      </c>
      <c r="C42" s="57" t="s">
        <v>79</v>
      </c>
      <c r="D42" s="58">
        <v>29575.51</v>
      </c>
      <c r="E42" s="58">
        <v>29256.62</v>
      </c>
      <c r="F42" s="58">
        <v>29258.76</v>
      </c>
      <c r="G42" s="58">
        <v>29253.85</v>
      </c>
      <c r="H42" s="58">
        <v>29451.87</v>
      </c>
      <c r="I42" s="58">
        <v>29562.95</v>
      </c>
      <c r="J42" s="58">
        <v>29256.62</v>
      </c>
      <c r="K42" s="58">
        <v>29251.13</v>
      </c>
      <c r="L42" s="58">
        <v>29463.79</v>
      </c>
      <c r="M42" s="16">
        <f t="shared" si="0"/>
        <v>29370.12222222222</v>
      </c>
      <c r="N42" s="59">
        <f>IF((L43=""),"",MAX(D44:L44))</f>
        <v>14805.839999999997</v>
      </c>
      <c r="O42" s="59">
        <f>IF(L43="","",MIN(D44:L44))</f>
        <v>12758.939999999999</v>
      </c>
      <c r="P42" s="60">
        <f>IF((L44=""),"",AVERAGE(D44:L44))</f>
        <v>14090.716666666665</v>
      </c>
      <c r="Q42" s="156">
        <f>IF((L43=""),"",((N42-O42)/(N42+O42)*100))</f>
        <v>7.425780289195119</v>
      </c>
      <c r="R42" s="61" t="str">
        <f>IF(L43="","",IF(Q42&lt;Z42,IF(O42&gt;V42,IF(N42&lt;W42,"PASS","FAIL"),"FAIL"),"FAIL"))</f>
        <v>PASS</v>
      </c>
      <c r="S42" s="62">
        <v>1159</v>
      </c>
      <c r="T42" s="61" t="s">
        <v>83</v>
      </c>
      <c r="U42" s="61"/>
      <c r="V42" s="110">
        <v>9000</v>
      </c>
      <c r="W42" s="110">
        <v>25000</v>
      </c>
      <c r="X42" s="111">
        <v>8090</v>
      </c>
      <c r="Y42" s="111">
        <v>12070</v>
      </c>
      <c r="Z42" s="112">
        <v>15</v>
      </c>
      <c r="AA42" s="112">
        <v>6</v>
      </c>
    </row>
    <row r="43" spans="1:27" ht="15.75">
      <c r="A43"/>
      <c r="B43" s="121"/>
      <c r="C43" s="57" t="s">
        <v>80</v>
      </c>
      <c r="D43" s="16">
        <v>24763.94</v>
      </c>
      <c r="E43" s="16">
        <v>24363.14</v>
      </c>
      <c r="F43" s="16">
        <v>24323.48</v>
      </c>
      <c r="G43" s="16">
        <v>24650.28</v>
      </c>
      <c r="H43" s="16">
        <v>25198.89</v>
      </c>
      <c r="I43" s="16">
        <v>24855.86</v>
      </c>
      <c r="J43" s="16">
        <v>24482.68</v>
      </c>
      <c r="K43" s="16">
        <v>24472.86</v>
      </c>
      <c r="L43" s="16">
        <v>24947.82</v>
      </c>
      <c r="M43" s="16">
        <f t="shared" si="0"/>
        <v>24673.216666666667</v>
      </c>
      <c r="N43" s="53"/>
      <c r="O43" s="53"/>
      <c r="P43" s="63"/>
      <c r="Q43" s="53"/>
      <c r="R43" s="64"/>
      <c r="S43" s="54"/>
      <c r="T43" s="64"/>
      <c r="U43" s="64"/>
      <c r="V43" s="110"/>
      <c r="W43" s="110"/>
      <c r="X43" s="111"/>
      <c r="Y43" s="111"/>
      <c r="Z43" s="112"/>
      <c r="AA43" s="112"/>
    </row>
    <row r="44" spans="1:27" ht="28.5" customHeight="1">
      <c r="A44"/>
      <c r="B44" s="121"/>
      <c r="C44" s="57" t="s">
        <v>82</v>
      </c>
      <c r="D44" s="16">
        <f t="shared" ref="D44:L44" si="11">IF(((D42="")*AND(D43="")),"",(D42-D43)*3)</f>
        <v>14434.71</v>
      </c>
      <c r="E44" s="16">
        <f t="shared" si="11"/>
        <v>14680.439999999999</v>
      </c>
      <c r="F44" s="16">
        <f t="shared" si="11"/>
        <v>14805.839999999997</v>
      </c>
      <c r="G44" s="16">
        <f t="shared" si="11"/>
        <v>13810.71</v>
      </c>
      <c r="H44" s="16">
        <f t="shared" si="11"/>
        <v>12758.939999999999</v>
      </c>
      <c r="I44" s="16">
        <f t="shared" si="11"/>
        <v>14121.27</v>
      </c>
      <c r="J44" s="16">
        <f t="shared" si="11"/>
        <v>14321.819999999996</v>
      </c>
      <c r="K44" s="16">
        <f t="shared" si="11"/>
        <v>14334.810000000001</v>
      </c>
      <c r="L44" s="16">
        <f t="shared" si="11"/>
        <v>13547.910000000003</v>
      </c>
      <c r="M44" s="16">
        <f t="shared" si="0"/>
        <v>14090.716666666665</v>
      </c>
      <c r="N44" s="65"/>
      <c r="O44" s="65"/>
      <c r="P44" s="66"/>
      <c r="Q44" s="65"/>
      <c r="R44" s="67"/>
      <c r="S44" s="58"/>
      <c r="T44" s="67"/>
      <c r="U44" s="67"/>
      <c r="V44" s="110"/>
      <c r="W44" s="110"/>
      <c r="X44" s="111"/>
      <c r="Y44" s="111"/>
      <c r="Z44" s="112"/>
      <c r="AA44" s="112"/>
    </row>
    <row r="45" spans="1:27">
      <c r="A45" s="86">
        <v>41347</v>
      </c>
      <c r="B45" s="120" t="s">
        <v>348</v>
      </c>
      <c r="C45" s="57" t="s">
        <v>79</v>
      </c>
      <c r="D45" s="58">
        <v>29625.38</v>
      </c>
      <c r="E45" s="58">
        <v>29334.15</v>
      </c>
      <c r="F45" s="58">
        <v>29341.11</v>
      </c>
      <c r="G45" s="58">
        <v>29328.68</v>
      </c>
      <c r="H45" s="58">
        <v>29510.43</v>
      </c>
      <c r="I45" s="58">
        <v>29635.24</v>
      </c>
      <c r="J45" s="58">
        <v>29324.14</v>
      </c>
      <c r="K45" s="58">
        <v>29317.17</v>
      </c>
      <c r="L45" s="58">
        <v>29526</v>
      </c>
      <c r="M45" s="16">
        <f t="shared" si="0"/>
        <v>29438.033333333333</v>
      </c>
      <c r="N45" s="59">
        <f>IF((L46=""),"",MAX(D47:L47))</f>
        <v>17646.810000000001</v>
      </c>
      <c r="O45" s="59">
        <f>IF(L46="","",MIN(D47:L47))</f>
        <v>15200.609999999997</v>
      </c>
      <c r="P45" s="60">
        <f>IF((L47=""),"",AVERAGE(D47:L47))</f>
        <v>16851.896666666667</v>
      </c>
      <c r="Q45" s="156">
        <f>IF((L46=""),"",((N45-O45)/(N45+O45)*100))</f>
        <v>7.4471602335891358</v>
      </c>
      <c r="R45" s="61" t="str">
        <f>IF(L46="","",IF(Q45&lt;Z45,IF(O45&gt;V45,IF(N45&lt;W45,"PASS","FAIL"),"FAIL"),"FAIL"))</f>
        <v>PASS</v>
      </c>
      <c r="S45" s="62">
        <v>1159</v>
      </c>
      <c r="T45" s="61" t="s">
        <v>84</v>
      </c>
      <c r="U45" s="61"/>
      <c r="V45" s="110">
        <v>9000</v>
      </c>
      <c r="W45" s="110">
        <v>25000</v>
      </c>
      <c r="X45" s="111">
        <v>8090</v>
      </c>
      <c r="Y45" s="111">
        <v>12070</v>
      </c>
      <c r="Z45" s="112">
        <v>15</v>
      </c>
      <c r="AA45" s="112">
        <v>6</v>
      </c>
    </row>
    <row r="46" spans="1:27" ht="15.75">
      <c r="A46"/>
      <c r="B46" s="121"/>
      <c r="C46" s="57" t="s">
        <v>80</v>
      </c>
      <c r="D46" s="16">
        <v>23800.46</v>
      </c>
      <c r="E46" s="16">
        <v>23481.46</v>
      </c>
      <c r="F46" s="16">
        <v>23458.84</v>
      </c>
      <c r="G46" s="16">
        <v>23871.55</v>
      </c>
      <c r="H46" s="16">
        <v>24443.56</v>
      </c>
      <c r="I46" s="16">
        <v>24029.48</v>
      </c>
      <c r="J46" s="16">
        <v>23701</v>
      </c>
      <c r="K46" s="16">
        <v>23585.35</v>
      </c>
      <c r="L46" s="16">
        <v>24014.91</v>
      </c>
      <c r="M46" s="16">
        <f t="shared" si="0"/>
        <v>23820.734444444446</v>
      </c>
      <c r="N46" s="53"/>
      <c r="O46" s="53"/>
      <c r="P46" s="63"/>
      <c r="Q46" s="53"/>
      <c r="R46" s="64"/>
      <c r="S46" s="54"/>
      <c r="T46" s="64"/>
      <c r="U46" s="64"/>
      <c r="V46" s="110"/>
      <c r="W46" s="110"/>
      <c r="X46" s="111"/>
      <c r="Y46" s="111"/>
      <c r="Z46" s="112"/>
      <c r="AA46" s="112"/>
    </row>
    <row r="47" spans="1:27" ht="28.5" customHeight="1">
      <c r="A47"/>
      <c r="B47" s="121"/>
      <c r="C47" s="57" t="s">
        <v>82</v>
      </c>
      <c r="D47" s="16">
        <f t="shared" ref="D47:L47" si="12">IF(((D45="")*AND(D46="")),"",(D45-D46)*3)</f>
        <v>17474.760000000006</v>
      </c>
      <c r="E47" s="16">
        <f t="shared" si="12"/>
        <v>17558.070000000007</v>
      </c>
      <c r="F47" s="16">
        <f t="shared" si="12"/>
        <v>17646.810000000001</v>
      </c>
      <c r="G47" s="16">
        <f t="shared" si="12"/>
        <v>16371.390000000003</v>
      </c>
      <c r="H47" s="16">
        <f t="shared" si="12"/>
        <v>15200.609999999997</v>
      </c>
      <c r="I47" s="16">
        <f t="shared" si="12"/>
        <v>16817.280000000006</v>
      </c>
      <c r="J47" s="16">
        <f t="shared" si="12"/>
        <v>16869.419999999998</v>
      </c>
      <c r="K47" s="16">
        <f t="shared" si="12"/>
        <v>17195.46</v>
      </c>
      <c r="L47" s="16">
        <f t="shared" si="12"/>
        <v>16533.27</v>
      </c>
      <c r="M47" s="16">
        <f t="shared" si="0"/>
        <v>16851.896666666667</v>
      </c>
      <c r="N47" s="65"/>
      <c r="O47" s="65"/>
      <c r="P47" s="66"/>
      <c r="Q47" s="65"/>
      <c r="R47" s="67"/>
      <c r="S47" s="58"/>
      <c r="T47" s="67"/>
      <c r="U47" s="67"/>
      <c r="V47" s="110"/>
      <c r="W47" s="110"/>
      <c r="X47" s="111"/>
      <c r="Y47" s="111"/>
      <c r="Z47" s="112"/>
      <c r="AA47" s="112"/>
    </row>
    <row r="48" spans="1:27">
      <c r="A48" s="86">
        <v>41347</v>
      </c>
      <c r="B48" s="120" t="s">
        <v>348</v>
      </c>
      <c r="C48" s="57" t="s">
        <v>79</v>
      </c>
      <c r="D48" s="58">
        <v>29572.62</v>
      </c>
      <c r="E48" s="58">
        <v>29211.18</v>
      </c>
      <c r="F48" s="58">
        <v>29183.759999999998</v>
      </c>
      <c r="G48" s="58">
        <v>29172.74</v>
      </c>
      <c r="H48" s="58">
        <v>29370.2</v>
      </c>
      <c r="I48" s="58">
        <v>29457.48</v>
      </c>
      <c r="J48" s="58">
        <v>29174.81</v>
      </c>
      <c r="K48" s="58">
        <v>29202.92</v>
      </c>
      <c r="L48" s="58">
        <v>29386.79</v>
      </c>
      <c r="M48" s="16">
        <f t="shared" si="0"/>
        <v>29303.611111111109</v>
      </c>
      <c r="N48" s="59">
        <f>IF((L49=""),"",MAX(D50:L50))</f>
        <v>13707.090000000007</v>
      </c>
      <c r="O48" s="59">
        <f>IF(L49="","",MIN(D50:L50))</f>
        <v>12279.899999999998</v>
      </c>
      <c r="P48" s="60">
        <f>IF((L50=""),"",AVERAGE(D50:L50))</f>
        <v>13137.343333333332</v>
      </c>
      <c r="Q48" s="156">
        <f>IF((L49=""),"",((N48-O48)/(N48+O48)*100))</f>
        <v>5.4919403901721955</v>
      </c>
      <c r="R48" s="61" t="str">
        <f>IF(L49="","",IF(Q48&lt;Z48,IF(O48&gt;V48,IF(N48&lt;W48,"PASS","FAIL"),"FAIL"),"FAIL"))</f>
        <v>PASS</v>
      </c>
      <c r="S48" s="62"/>
      <c r="T48" s="61" t="s">
        <v>85</v>
      </c>
      <c r="U48" s="61"/>
      <c r="V48" s="110">
        <v>9000</v>
      </c>
      <c r="W48" s="110">
        <v>25000</v>
      </c>
      <c r="X48" s="111">
        <v>8090</v>
      </c>
      <c r="Y48" s="111">
        <v>12070</v>
      </c>
      <c r="Z48" s="112">
        <v>15</v>
      </c>
      <c r="AA48" s="112">
        <v>6</v>
      </c>
    </row>
    <row r="49" spans="1:27" ht="15.75">
      <c r="A49"/>
      <c r="B49" s="121"/>
      <c r="C49" s="57" t="s">
        <v>80</v>
      </c>
      <c r="D49" s="16">
        <v>25479.32</v>
      </c>
      <c r="E49" s="16">
        <v>24910.04</v>
      </c>
      <c r="F49" s="16">
        <v>24682.02</v>
      </c>
      <c r="G49" s="16">
        <v>24603.71</v>
      </c>
      <c r="H49" s="16">
        <v>24887.47</v>
      </c>
      <c r="I49" s="16">
        <v>25297.26</v>
      </c>
      <c r="J49" s="16">
        <v>24763.3</v>
      </c>
      <c r="K49" s="16">
        <v>24723.08</v>
      </c>
      <c r="L49" s="16">
        <v>24974.27</v>
      </c>
      <c r="M49" s="16">
        <f t="shared" si="0"/>
        <v>24924.496666666666</v>
      </c>
      <c r="N49" s="53"/>
      <c r="O49" s="53"/>
      <c r="P49" s="63"/>
      <c r="Q49" s="53"/>
      <c r="R49" s="64"/>
      <c r="S49" s="54"/>
      <c r="T49" s="64"/>
      <c r="U49" s="64"/>
      <c r="V49" s="110"/>
      <c r="W49" s="110"/>
      <c r="X49" s="111"/>
      <c r="Y49" s="111"/>
      <c r="Z49" s="112"/>
      <c r="AA49" s="112"/>
    </row>
    <row r="50" spans="1:27" ht="28.5" customHeight="1">
      <c r="A50"/>
      <c r="B50" s="121"/>
      <c r="C50" s="57" t="s">
        <v>82</v>
      </c>
      <c r="D50" s="16">
        <f t="shared" ref="D50:L50" si="13">IF(((D48="")*AND(D49="")),"",(D48-D49)*3)</f>
        <v>12279.899999999998</v>
      </c>
      <c r="E50" s="16">
        <f t="shared" si="13"/>
        <v>12903.419999999998</v>
      </c>
      <c r="F50" s="16">
        <f t="shared" si="13"/>
        <v>13505.219999999994</v>
      </c>
      <c r="G50" s="16">
        <f t="shared" si="13"/>
        <v>13707.090000000007</v>
      </c>
      <c r="H50" s="16">
        <f t="shared" si="13"/>
        <v>13448.189999999999</v>
      </c>
      <c r="I50" s="16">
        <f t="shared" si="13"/>
        <v>12480.660000000003</v>
      </c>
      <c r="J50" s="16">
        <f t="shared" si="13"/>
        <v>13234.530000000006</v>
      </c>
      <c r="K50" s="16">
        <f t="shared" si="13"/>
        <v>13439.51999999999</v>
      </c>
      <c r="L50" s="16">
        <f t="shared" si="13"/>
        <v>13237.560000000001</v>
      </c>
      <c r="M50" s="16">
        <f t="shared" si="0"/>
        <v>13137.343333333332</v>
      </c>
      <c r="N50" s="65"/>
      <c r="O50" s="65"/>
      <c r="P50" s="66"/>
      <c r="Q50" s="65"/>
      <c r="R50" s="67"/>
      <c r="S50" s="58"/>
      <c r="T50" s="67"/>
      <c r="U50" s="67"/>
      <c r="V50" s="110"/>
      <c r="W50" s="110"/>
      <c r="X50" s="111"/>
      <c r="Y50" s="111"/>
      <c r="Z50" s="112"/>
      <c r="AA50" s="112"/>
    </row>
    <row r="51" spans="1:27">
      <c r="A51" s="86">
        <v>41348</v>
      </c>
      <c r="B51" s="120" t="s">
        <v>348</v>
      </c>
      <c r="C51" s="57" t="s">
        <v>79</v>
      </c>
      <c r="D51" s="58">
        <v>29626.560000000001</v>
      </c>
      <c r="E51" s="58">
        <v>29239.37</v>
      </c>
      <c r="F51" s="58">
        <v>29230.87</v>
      </c>
      <c r="G51" s="58">
        <v>29224.15</v>
      </c>
      <c r="H51" s="58">
        <v>29514.29</v>
      </c>
      <c r="I51" s="58">
        <v>29541.29</v>
      </c>
      <c r="J51" s="58">
        <v>29202.16</v>
      </c>
      <c r="K51" s="58">
        <v>29242.560000000001</v>
      </c>
      <c r="L51" s="58">
        <v>29475.03</v>
      </c>
      <c r="M51" s="16">
        <f t="shared" si="0"/>
        <v>29366.253333333338</v>
      </c>
      <c r="N51" s="59">
        <f>IF((L52=""),"",MAX(D53:L53))</f>
        <v>13938.96</v>
      </c>
      <c r="O51" s="59">
        <f>IF(L52="","",MIN(D53:L53))</f>
        <v>12250.140000000003</v>
      </c>
      <c r="P51" s="60">
        <f>IF((L53=""),"",AVERAGE(D53:L53))</f>
        <v>13144.393333333333</v>
      </c>
      <c r="Q51" s="156">
        <f>IF((L52=""),"",((N51-O51)/(N51+O51)*100))</f>
        <v>6.4485606607328858</v>
      </c>
      <c r="R51" s="61" t="str">
        <f>IF(L52="","",IF(Q51&lt;Z51,IF(O51&gt;V51,IF(N51&lt;W51,"PASS","FAIL"),"FAIL"),"FAIL"))</f>
        <v>PASS</v>
      </c>
      <c r="S51" s="62">
        <v>1159</v>
      </c>
      <c r="T51" s="61" t="s">
        <v>86</v>
      </c>
      <c r="U51" s="61"/>
      <c r="V51" s="110">
        <v>9000</v>
      </c>
      <c r="W51" s="110">
        <v>25000</v>
      </c>
      <c r="X51" s="111">
        <v>8090</v>
      </c>
      <c r="Y51" s="111">
        <v>12070</v>
      </c>
      <c r="Z51" s="112">
        <v>15</v>
      </c>
      <c r="AA51" s="112">
        <v>6</v>
      </c>
    </row>
    <row r="52" spans="1:27" ht="15.75">
      <c r="A52"/>
      <c r="B52" s="121"/>
      <c r="C52" s="57" t="s">
        <v>80</v>
      </c>
      <c r="D52" s="16">
        <v>25145.05</v>
      </c>
      <c r="E52" s="16">
        <v>24699.96</v>
      </c>
      <c r="F52" s="16">
        <v>24827.52</v>
      </c>
      <c r="G52" s="16">
        <v>24913.89</v>
      </c>
      <c r="H52" s="16">
        <v>25430.91</v>
      </c>
      <c r="I52" s="16">
        <v>24894.97</v>
      </c>
      <c r="J52" s="16">
        <v>24686.63</v>
      </c>
      <c r="K52" s="16">
        <v>24892.19</v>
      </c>
      <c r="L52" s="16">
        <v>25371.98</v>
      </c>
      <c r="M52" s="16">
        <f t="shared" si="0"/>
        <v>24984.788888888888</v>
      </c>
      <c r="N52" s="53"/>
      <c r="O52" s="53"/>
      <c r="P52" s="63"/>
      <c r="Q52" s="53"/>
      <c r="R52" s="64"/>
      <c r="S52" s="54"/>
      <c r="T52" s="64"/>
      <c r="U52" s="64"/>
      <c r="V52" s="110"/>
      <c r="W52" s="110"/>
      <c r="X52" s="111"/>
      <c r="Y52" s="111"/>
      <c r="Z52" s="112"/>
      <c r="AA52" s="112"/>
    </row>
    <row r="53" spans="1:27" ht="28.5" customHeight="1">
      <c r="A53"/>
      <c r="B53" s="121"/>
      <c r="C53" s="57" t="s">
        <v>82</v>
      </c>
      <c r="D53" s="16">
        <f t="shared" ref="D53:L53" si="14">IF(((D51="")*AND(D52="")),"",(D51-D52)*3)</f>
        <v>13444.530000000006</v>
      </c>
      <c r="E53" s="16">
        <f t="shared" si="14"/>
        <v>13618.23</v>
      </c>
      <c r="F53" s="16">
        <f t="shared" si="14"/>
        <v>13210.049999999996</v>
      </c>
      <c r="G53" s="16">
        <f t="shared" si="14"/>
        <v>12930.780000000006</v>
      </c>
      <c r="H53" s="16">
        <f t="shared" si="14"/>
        <v>12250.140000000003</v>
      </c>
      <c r="I53" s="16">
        <f t="shared" si="14"/>
        <v>13938.96</v>
      </c>
      <c r="J53" s="16">
        <f t="shared" si="14"/>
        <v>13546.589999999997</v>
      </c>
      <c r="K53" s="16">
        <f t="shared" si="14"/>
        <v>13051.110000000008</v>
      </c>
      <c r="L53" s="16">
        <f t="shared" si="14"/>
        <v>12309.149999999998</v>
      </c>
      <c r="M53" s="16">
        <f t="shared" si="0"/>
        <v>13144.393333333333</v>
      </c>
      <c r="N53" s="65"/>
      <c r="O53" s="65"/>
      <c r="P53" s="66"/>
      <c r="Q53" s="65"/>
      <c r="R53" s="67"/>
      <c r="S53" s="58"/>
      <c r="T53" s="67"/>
      <c r="U53" s="67"/>
      <c r="V53" s="110"/>
      <c r="W53" s="110"/>
      <c r="X53" s="111"/>
      <c r="Y53" s="111"/>
      <c r="Z53" s="112"/>
      <c r="AA53" s="112"/>
    </row>
    <row r="54" spans="1:27">
      <c r="A54" s="86">
        <v>41352</v>
      </c>
      <c r="B54" s="120" t="s">
        <v>348</v>
      </c>
      <c r="C54" s="57" t="s">
        <v>79</v>
      </c>
      <c r="D54" s="58">
        <v>29572.62</v>
      </c>
      <c r="E54" s="58">
        <v>29211.18</v>
      </c>
      <c r="F54" s="58">
        <v>29183.759999999998</v>
      </c>
      <c r="G54" s="58">
        <v>29172.74</v>
      </c>
      <c r="H54" s="58">
        <v>29370.2</v>
      </c>
      <c r="I54" s="58">
        <v>29457.48</v>
      </c>
      <c r="J54" s="58">
        <v>29174.81</v>
      </c>
      <c r="K54" s="58">
        <v>29202.92</v>
      </c>
      <c r="L54" s="58">
        <v>29386.79</v>
      </c>
      <c r="M54" s="16">
        <f t="shared" si="0"/>
        <v>29303.611111111109</v>
      </c>
      <c r="N54" s="59">
        <f>IF((L55=""),"",MAX(D56:L56))</f>
        <v>13707.090000000007</v>
      </c>
      <c r="O54" s="59">
        <f>IF(L55="","",MIN(D56:L56))</f>
        <v>12279.899999999998</v>
      </c>
      <c r="P54" s="60">
        <f>IF((L56=""),"",AVERAGE(D56:L56))</f>
        <v>13137.343333333332</v>
      </c>
      <c r="Q54" s="156">
        <f>IF((L55=""),"",((N54-O54)/(N54+O54)*100))</f>
        <v>5.4919403901721955</v>
      </c>
      <c r="R54" s="61" t="str">
        <f>IF(L55="","",IF(Q54&lt;Z54,IF(O54&gt;V54,IF(N54&lt;W54,"PASS","FAIL"),"FAIL"),"FAIL"))</f>
        <v>PASS</v>
      </c>
      <c r="S54" s="62">
        <v>1159</v>
      </c>
      <c r="T54" s="61" t="s">
        <v>87</v>
      </c>
      <c r="U54" s="61"/>
      <c r="V54" s="110">
        <v>9000</v>
      </c>
      <c r="W54" s="110">
        <v>25000</v>
      </c>
      <c r="X54" s="111">
        <v>8090</v>
      </c>
      <c r="Y54" s="111">
        <v>12070</v>
      </c>
      <c r="Z54" s="112">
        <v>15</v>
      </c>
      <c r="AA54" s="112">
        <v>6</v>
      </c>
    </row>
    <row r="55" spans="1:27" ht="15.75">
      <c r="A55"/>
      <c r="B55" s="121"/>
      <c r="C55" s="57" t="s">
        <v>80</v>
      </c>
      <c r="D55" s="16">
        <v>25479.32</v>
      </c>
      <c r="E55" s="16">
        <v>24910.04</v>
      </c>
      <c r="F55" s="16">
        <v>24682.02</v>
      </c>
      <c r="G55" s="16">
        <v>24603.71</v>
      </c>
      <c r="H55" s="16">
        <v>24887.47</v>
      </c>
      <c r="I55" s="16">
        <v>25297.26</v>
      </c>
      <c r="J55" s="16">
        <v>24763.3</v>
      </c>
      <c r="K55" s="16">
        <v>24723.08</v>
      </c>
      <c r="L55" s="16">
        <v>24974.27</v>
      </c>
      <c r="M55" s="16">
        <f t="shared" si="0"/>
        <v>24924.496666666666</v>
      </c>
      <c r="N55" s="53"/>
      <c r="O55" s="53"/>
      <c r="P55" s="63"/>
      <c r="Q55" s="53"/>
      <c r="R55" s="64"/>
      <c r="S55" s="54"/>
      <c r="T55" s="64"/>
      <c r="U55" s="64"/>
      <c r="V55" s="110"/>
      <c r="W55" s="110"/>
      <c r="X55" s="111"/>
      <c r="Y55" s="111"/>
      <c r="Z55" s="112"/>
      <c r="AA55" s="112"/>
    </row>
    <row r="56" spans="1:27" ht="28.5" customHeight="1">
      <c r="A56"/>
      <c r="B56" s="121"/>
      <c r="C56" s="57" t="s">
        <v>82</v>
      </c>
      <c r="D56" s="16">
        <f t="shared" ref="D56:L56" si="15">IF(((D54="")*AND(D55="")),"",(D54-D55)*3)</f>
        <v>12279.899999999998</v>
      </c>
      <c r="E56" s="16">
        <f t="shared" si="15"/>
        <v>12903.419999999998</v>
      </c>
      <c r="F56" s="16">
        <f t="shared" si="15"/>
        <v>13505.219999999994</v>
      </c>
      <c r="G56" s="16">
        <f t="shared" si="15"/>
        <v>13707.090000000007</v>
      </c>
      <c r="H56" s="16">
        <f t="shared" si="15"/>
        <v>13448.189999999999</v>
      </c>
      <c r="I56" s="16">
        <f t="shared" si="15"/>
        <v>12480.660000000003</v>
      </c>
      <c r="J56" s="16">
        <f t="shared" si="15"/>
        <v>13234.530000000006</v>
      </c>
      <c r="K56" s="16">
        <f t="shared" si="15"/>
        <v>13439.51999999999</v>
      </c>
      <c r="L56" s="16">
        <f t="shared" si="15"/>
        <v>13237.560000000001</v>
      </c>
      <c r="M56" s="16">
        <f t="shared" si="0"/>
        <v>13137.343333333332</v>
      </c>
      <c r="N56" s="65"/>
      <c r="O56" s="65"/>
      <c r="P56" s="66"/>
      <c r="Q56" s="65"/>
      <c r="R56" s="67"/>
      <c r="S56" s="58"/>
      <c r="T56" s="67"/>
      <c r="U56" s="67"/>
      <c r="V56" s="110"/>
      <c r="W56" s="110"/>
      <c r="X56" s="111"/>
      <c r="Y56" s="111"/>
      <c r="Z56" s="112"/>
      <c r="AA56" s="112"/>
    </row>
    <row r="57" spans="1:27">
      <c r="A57" s="86">
        <v>41356</v>
      </c>
      <c r="B57" s="120" t="s">
        <v>348</v>
      </c>
      <c r="C57" s="57" t="s">
        <v>79</v>
      </c>
      <c r="D57" s="58">
        <v>29571.66</v>
      </c>
      <c r="E57" s="58">
        <v>29285.62</v>
      </c>
      <c r="F57" s="58">
        <v>29277.87</v>
      </c>
      <c r="G57" s="58">
        <v>29271.919999999998</v>
      </c>
      <c r="H57" s="58">
        <v>29455.65</v>
      </c>
      <c r="I57" s="58">
        <v>29630.83</v>
      </c>
      <c r="J57" s="58">
        <v>29293.99</v>
      </c>
      <c r="K57" s="58">
        <v>29272.3</v>
      </c>
      <c r="L57" s="58">
        <v>29504.43</v>
      </c>
      <c r="M57" s="16">
        <f t="shared" si="0"/>
        <v>29396.029999999995</v>
      </c>
      <c r="N57" s="59">
        <f>IF((L58=""),"",MAX(D59:L59))</f>
        <v>14638.589999999997</v>
      </c>
      <c r="O57" s="59">
        <f>IF(L58="","",MIN(D59:L59))</f>
        <v>12741.96</v>
      </c>
      <c r="P57" s="60">
        <f>IF((L59=""),"",AVERAGE(D59:L59))</f>
        <v>13961.819999999998</v>
      </c>
      <c r="Q57" s="156">
        <f>IF((L58=""),"",((N57-O57)/(N57+O57)*100))</f>
        <v>6.926924404367325</v>
      </c>
      <c r="R57" s="61" t="str">
        <f>IF(L58="","",IF(Q57&lt;Z57,IF(O57&gt;V57,IF(N57&lt;W57,"PASS","FAIL"),"FAIL"),"FAIL"))</f>
        <v>PASS</v>
      </c>
      <c r="S57" s="62">
        <v>1159</v>
      </c>
      <c r="T57" s="61" t="s">
        <v>88</v>
      </c>
      <c r="U57" s="61"/>
      <c r="V57" s="110">
        <v>9000</v>
      </c>
      <c r="W57" s="110">
        <v>25000</v>
      </c>
      <c r="X57" s="111">
        <v>8090</v>
      </c>
      <c r="Y57" s="111">
        <v>12070</v>
      </c>
      <c r="Z57" s="112">
        <v>15</v>
      </c>
      <c r="AA57" s="112">
        <v>6</v>
      </c>
    </row>
    <row r="58" spans="1:27" ht="15.75">
      <c r="A58"/>
      <c r="B58" s="121"/>
      <c r="C58" s="57" t="s">
        <v>80</v>
      </c>
      <c r="D58" s="16">
        <v>25324.34</v>
      </c>
      <c r="E58" s="16">
        <v>24720.04</v>
      </c>
      <c r="F58" s="16">
        <v>24455.360000000001</v>
      </c>
      <c r="G58" s="16">
        <v>24392.39</v>
      </c>
      <c r="H58" s="16">
        <v>24693.01</v>
      </c>
      <c r="I58" s="16">
        <v>25126.54</v>
      </c>
      <c r="J58" s="16">
        <v>24546.23</v>
      </c>
      <c r="K58" s="16">
        <v>24545.07</v>
      </c>
      <c r="L58" s="16">
        <v>24875.83</v>
      </c>
      <c r="M58" s="16">
        <f t="shared" si="0"/>
        <v>24742.09</v>
      </c>
      <c r="N58" s="53"/>
      <c r="O58" s="53"/>
      <c r="P58" s="63"/>
      <c r="Q58" s="53"/>
      <c r="R58" s="64"/>
      <c r="S58" s="54"/>
      <c r="T58" s="64"/>
      <c r="U58" s="64"/>
      <c r="V58" s="110"/>
      <c r="W58" s="110"/>
      <c r="X58" s="111"/>
      <c r="Y58" s="111"/>
      <c r="Z58" s="112"/>
      <c r="AA58" s="112"/>
    </row>
    <row r="59" spans="1:27" ht="28.5" customHeight="1">
      <c r="A59"/>
      <c r="B59" s="121"/>
      <c r="C59" s="57" t="s">
        <v>82</v>
      </c>
      <c r="D59" s="16">
        <f t="shared" ref="D59:L59" si="16">IF(((D57="")*AND(D58="")),"",(D57-D58)*3)</f>
        <v>12741.96</v>
      </c>
      <c r="E59" s="16">
        <f t="shared" si="16"/>
        <v>13696.739999999994</v>
      </c>
      <c r="F59" s="16">
        <f t="shared" si="16"/>
        <v>14467.529999999995</v>
      </c>
      <c r="G59" s="16">
        <f t="shared" si="16"/>
        <v>14638.589999999997</v>
      </c>
      <c r="H59" s="16">
        <f t="shared" si="16"/>
        <v>14287.920000000009</v>
      </c>
      <c r="I59" s="16">
        <f t="shared" si="16"/>
        <v>13512.870000000003</v>
      </c>
      <c r="J59" s="16">
        <f t="shared" si="16"/>
        <v>14243.280000000006</v>
      </c>
      <c r="K59" s="16">
        <f t="shared" si="16"/>
        <v>14181.689999999999</v>
      </c>
      <c r="L59" s="16">
        <f t="shared" si="16"/>
        <v>13885.799999999996</v>
      </c>
      <c r="M59" s="16">
        <f t="shared" si="0"/>
        <v>13961.819999999998</v>
      </c>
      <c r="N59" s="65"/>
      <c r="O59" s="65"/>
      <c r="P59" s="66"/>
      <c r="Q59" s="65"/>
      <c r="R59" s="67"/>
      <c r="S59" s="58"/>
      <c r="T59" s="67"/>
      <c r="U59" s="67"/>
      <c r="V59" s="110"/>
      <c r="W59" s="110"/>
      <c r="X59" s="111"/>
      <c r="Y59" s="111"/>
      <c r="Z59" s="112"/>
      <c r="AA59" s="112"/>
    </row>
    <row r="60" spans="1:27">
      <c r="A60" s="86">
        <v>41366</v>
      </c>
      <c r="B60" s="120" t="s">
        <v>348</v>
      </c>
      <c r="C60" s="57" t="s">
        <v>79</v>
      </c>
      <c r="D60" s="58">
        <v>28111.919999999998</v>
      </c>
      <c r="E60" s="58">
        <v>28015.79</v>
      </c>
      <c r="F60" s="58">
        <v>28021.65</v>
      </c>
      <c r="G60" s="58">
        <v>28019.19</v>
      </c>
      <c r="H60" s="58">
        <v>28116.23</v>
      </c>
      <c r="I60" s="58">
        <v>28099.599999999999</v>
      </c>
      <c r="J60" s="58">
        <v>28013.03</v>
      </c>
      <c r="K60" s="58">
        <v>28022.33</v>
      </c>
      <c r="L60" s="58">
        <v>28103.22</v>
      </c>
      <c r="M60" s="16">
        <f t="shared" si="0"/>
        <v>28058.106666666667</v>
      </c>
      <c r="N60" s="59">
        <f>IF((L61=""),"",MAX(D62:L62))</f>
        <v>14237.79</v>
      </c>
      <c r="O60" s="59">
        <f>IF(L61="","",MIN(D62:L62))</f>
        <v>12683.910000000003</v>
      </c>
      <c r="P60" s="60">
        <f>IF((L62=""),"",AVERAGE(D62:L62))</f>
        <v>13541.82</v>
      </c>
      <c r="Q60" s="156">
        <f>IF((L61=""),"",((N60-O60)/(N60+O60)*100))</f>
        <v>5.7718494745874036</v>
      </c>
      <c r="R60" s="61" t="str">
        <f>IF(L61="","",IF(Q60&lt;Z60,IF(O60&gt;V60,IF(N60&lt;W60,"PASS","FAIL"),"FAIL"),"FAIL"))</f>
        <v>PASS</v>
      </c>
      <c r="S60" s="62">
        <v>1159</v>
      </c>
      <c r="T60" s="61" t="s">
        <v>89</v>
      </c>
      <c r="U60" s="61"/>
      <c r="V60" s="110">
        <v>9000</v>
      </c>
      <c r="W60" s="110">
        <v>25000</v>
      </c>
      <c r="X60" s="111">
        <v>8090</v>
      </c>
      <c r="Y60" s="111">
        <v>12070</v>
      </c>
      <c r="Z60" s="112">
        <v>15</v>
      </c>
      <c r="AA60" s="112">
        <v>6</v>
      </c>
    </row>
    <row r="61" spans="1:27" ht="15.75">
      <c r="A61"/>
      <c r="B61" s="121"/>
      <c r="C61" s="57" t="s">
        <v>80</v>
      </c>
      <c r="D61" s="16">
        <v>23582.57</v>
      </c>
      <c r="E61" s="16">
        <v>23269.86</v>
      </c>
      <c r="F61" s="16">
        <v>23357.32</v>
      </c>
      <c r="G61" s="16">
        <v>23548.68</v>
      </c>
      <c r="H61" s="16">
        <v>23888.26</v>
      </c>
      <c r="I61" s="16">
        <v>23689.759999999998</v>
      </c>
      <c r="J61" s="16">
        <v>23423.22</v>
      </c>
      <c r="K61" s="16">
        <v>23395.33</v>
      </c>
      <c r="L61" s="16">
        <v>23742.5</v>
      </c>
      <c r="M61" s="16">
        <f t="shared" si="0"/>
        <v>23544.166666666668</v>
      </c>
      <c r="N61" s="53"/>
      <c r="O61" s="53"/>
      <c r="P61" s="63"/>
      <c r="Q61" s="53"/>
      <c r="R61" s="64"/>
      <c r="S61" s="54"/>
      <c r="T61" s="64"/>
      <c r="U61" s="64"/>
      <c r="V61" s="110"/>
      <c r="W61" s="110"/>
      <c r="X61" s="111"/>
      <c r="Y61" s="111"/>
      <c r="Z61" s="112"/>
      <c r="AA61" s="112"/>
    </row>
    <row r="62" spans="1:27" ht="28.5" customHeight="1">
      <c r="A62"/>
      <c r="B62" s="121"/>
      <c r="C62" s="57" t="s">
        <v>82</v>
      </c>
      <c r="D62" s="16">
        <f t="shared" ref="D62:L62" si="17">IF(((D60="")*AND(D61="")),"",(D60-D61)*3)</f>
        <v>13588.049999999996</v>
      </c>
      <c r="E62" s="16">
        <f t="shared" si="17"/>
        <v>14237.79</v>
      </c>
      <c r="F62" s="16">
        <f t="shared" si="17"/>
        <v>13992.990000000005</v>
      </c>
      <c r="G62" s="16">
        <f t="shared" si="17"/>
        <v>13411.529999999995</v>
      </c>
      <c r="H62" s="16">
        <f t="shared" si="17"/>
        <v>12683.910000000003</v>
      </c>
      <c r="I62" s="16">
        <f t="shared" si="17"/>
        <v>13229.52</v>
      </c>
      <c r="J62" s="16">
        <f t="shared" si="17"/>
        <v>13769.429999999993</v>
      </c>
      <c r="K62" s="16">
        <f t="shared" si="17"/>
        <v>13881</v>
      </c>
      <c r="L62" s="16">
        <f t="shared" si="17"/>
        <v>13082.160000000003</v>
      </c>
      <c r="M62" s="16">
        <f t="shared" si="0"/>
        <v>13541.82</v>
      </c>
      <c r="N62" s="65"/>
      <c r="O62" s="65"/>
      <c r="P62" s="66"/>
      <c r="Q62" s="65"/>
      <c r="R62" s="67"/>
      <c r="S62" s="58"/>
      <c r="T62" s="67"/>
      <c r="U62" s="67"/>
      <c r="V62" s="110"/>
      <c r="W62" s="110"/>
      <c r="X62" s="111"/>
      <c r="Y62" s="111"/>
      <c r="Z62" s="112"/>
      <c r="AA62" s="112"/>
    </row>
    <row r="63" spans="1:27">
      <c r="A63" s="86">
        <v>41369</v>
      </c>
      <c r="B63" s="120" t="s">
        <v>348</v>
      </c>
      <c r="C63" s="57" t="s">
        <v>79</v>
      </c>
      <c r="D63" s="58">
        <v>29413.84</v>
      </c>
      <c r="E63" s="58">
        <v>29213.91</v>
      </c>
      <c r="F63" s="58">
        <v>29214.7</v>
      </c>
      <c r="G63" s="58">
        <v>29236.57</v>
      </c>
      <c r="H63" s="58">
        <v>29551.61</v>
      </c>
      <c r="I63" s="58">
        <v>29493.66</v>
      </c>
      <c r="J63" s="58">
        <v>29224.58</v>
      </c>
      <c r="K63" s="58">
        <v>29219.52</v>
      </c>
      <c r="L63" s="58">
        <v>29399.22</v>
      </c>
      <c r="M63" s="16">
        <f t="shared" si="0"/>
        <v>29329.734444444442</v>
      </c>
      <c r="N63" s="59">
        <f>IF((L64=""),"",MAX(D65:L65))</f>
        <v>17472.930000000004</v>
      </c>
      <c r="O63" s="59">
        <f>IF(L64="","",MIN(D65:L65))</f>
        <v>15367.350000000002</v>
      </c>
      <c r="P63" s="60">
        <f>IF((L65=""),"",AVERAGE(D65:L65))</f>
        <v>16739.59</v>
      </c>
      <c r="Q63" s="156">
        <f>IF((L64=""),"",((N63-O63)/(N63+O63)*100))</f>
        <v>6.4115774895950999</v>
      </c>
      <c r="R63" s="61" t="str">
        <f>IF(L64="","",IF(Q63&lt;Z63,IF(O63&gt;V63,IF(N63&lt;W63,"PASS","FAIL"),"FAIL"),"FAIL"))</f>
        <v>PASS</v>
      </c>
      <c r="S63" s="62">
        <v>1159</v>
      </c>
      <c r="T63" s="61" t="s">
        <v>90</v>
      </c>
      <c r="U63" s="61"/>
      <c r="V63" s="110">
        <v>9000</v>
      </c>
      <c r="W63" s="110">
        <v>25000</v>
      </c>
      <c r="X63" s="111">
        <v>8090</v>
      </c>
      <c r="Y63" s="111">
        <v>12070</v>
      </c>
      <c r="Z63" s="112">
        <v>15</v>
      </c>
      <c r="AA63" s="112">
        <v>6</v>
      </c>
    </row>
    <row r="64" spans="1:27" ht="15.75">
      <c r="A64"/>
      <c r="B64" s="121"/>
      <c r="C64" s="57" t="s">
        <v>80</v>
      </c>
      <c r="D64" s="16">
        <v>23668.31</v>
      </c>
      <c r="E64" s="16">
        <v>23391.66</v>
      </c>
      <c r="F64" s="16">
        <v>23390.39</v>
      </c>
      <c r="G64" s="16">
        <v>23815.23</v>
      </c>
      <c r="H64" s="16">
        <v>24429.16</v>
      </c>
      <c r="I64" s="16">
        <v>23931.279999999999</v>
      </c>
      <c r="J64" s="16">
        <v>23626.95</v>
      </c>
      <c r="K64" s="16">
        <v>23539.96</v>
      </c>
      <c r="L64" s="16">
        <v>23955.9</v>
      </c>
      <c r="M64" s="16">
        <f t="shared" si="0"/>
        <v>23749.871111111112</v>
      </c>
      <c r="N64" s="53"/>
      <c r="O64" s="53"/>
      <c r="P64" s="63"/>
      <c r="Q64" s="53"/>
      <c r="R64" s="64"/>
      <c r="S64" s="54"/>
      <c r="T64" s="64"/>
      <c r="U64" s="64"/>
      <c r="V64" s="110"/>
      <c r="W64" s="110"/>
      <c r="X64" s="111"/>
      <c r="Y64" s="111"/>
      <c r="Z64" s="112"/>
      <c r="AA64" s="112"/>
    </row>
    <row r="65" spans="1:27" ht="28.5" customHeight="1">
      <c r="A65"/>
      <c r="B65" s="121"/>
      <c r="C65" s="57" t="s">
        <v>82</v>
      </c>
      <c r="D65" s="16">
        <f t="shared" ref="D65:L65" si="18">IF(((D63="")*AND(D64="")),"",(D63-D64)*3)</f>
        <v>17236.589999999997</v>
      </c>
      <c r="E65" s="16">
        <f t="shared" si="18"/>
        <v>17466.75</v>
      </c>
      <c r="F65" s="16">
        <f t="shared" si="18"/>
        <v>17472.930000000004</v>
      </c>
      <c r="G65" s="16">
        <f t="shared" si="18"/>
        <v>16264.02</v>
      </c>
      <c r="H65" s="16">
        <f t="shared" si="18"/>
        <v>15367.350000000002</v>
      </c>
      <c r="I65" s="16">
        <f t="shared" si="18"/>
        <v>16687.140000000003</v>
      </c>
      <c r="J65" s="16">
        <f t="shared" si="18"/>
        <v>16792.890000000003</v>
      </c>
      <c r="K65" s="16">
        <f t="shared" si="18"/>
        <v>17038.680000000004</v>
      </c>
      <c r="L65" s="16">
        <f t="shared" si="18"/>
        <v>16329.96</v>
      </c>
      <c r="M65" s="16">
        <f t="shared" si="0"/>
        <v>16739.59</v>
      </c>
      <c r="N65" s="65"/>
      <c r="O65" s="65"/>
      <c r="P65" s="66"/>
      <c r="Q65" s="65"/>
      <c r="R65" s="67"/>
      <c r="S65" s="58"/>
      <c r="T65" s="67"/>
      <c r="U65" s="67"/>
      <c r="V65" s="110"/>
      <c r="W65" s="110"/>
      <c r="X65" s="111"/>
      <c r="Y65" s="111"/>
      <c r="Z65" s="112"/>
      <c r="AA65" s="112"/>
    </row>
    <row r="66" spans="1:27">
      <c r="A66" s="86">
        <v>41372</v>
      </c>
      <c r="B66" s="120" t="s">
        <v>348</v>
      </c>
      <c r="C66" s="57" t="s">
        <v>79</v>
      </c>
      <c r="D66" s="58">
        <v>29428.51</v>
      </c>
      <c r="E66" s="58">
        <v>29092.68</v>
      </c>
      <c r="F66" s="58">
        <v>29082.69</v>
      </c>
      <c r="G66" s="58">
        <v>29106.95</v>
      </c>
      <c r="H66" s="58">
        <v>29248.12</v>
      </c>
      <c r="I66" s="58">
        <v>29336.63</v>
      </c>
      <c r="J66" s="58">
        <v>29032.2</v>
      </c>
      <c r="K66" s="58">
        <v>29060.51</v>
      </c>
      <c r="L66" s="58">
        <v>29322.880000000001</v>
      </c>
      <c r="M66" s="16">
        <f t="shared" si="0"/>
        <v>29190.130000000005</v>
      </c>
      <c r="N66" s="59">
        <f>IF((L67=""),"",MAX(D68:L68))</f>
        <v>17435.25</v>
      </c>
      <c r="O66" s="59">
        <f>IF(L67="","",MIN(D68:L68))</f>
        <v>15183.779999999995</v>
      </c>
      <c r="P66" s="60">
        <f>IF((L68=""),"",AVERAGE(D68:L68))</f>
        <v>16690.490000000002</v>
      </c>
      <c r="Q66" s="156">
        <f>IF((L67=""),"",((N66-O66)/(N66+O66)*100))</f>
        <v>6.9023205165819004</v>
      </c>
      <c r="R66" s="61" t="str">
        <f>IF(L67="","",IF(Q66&lt;Z66,IF(O66&gt;V66,IF(N66&lt;W66,"PASS","FAIL"),"FAIL"),"FAIL"))</f>
        <v>PASS</v>
      </c>
      <c r="S66" s="62">
        <v>1159</v>
      </c>
      <c r="T66" s="61" t="s">
        <v>91</v>
      </c>
      <c r="U66" s="61"/>
      <c r="V66" s="110">
        <v>9000</v>
      </c>
      <c r="W66" s="110">
        <v>25000</v>
      </c>
      <c r="X66" s="111">
        <v>8090</v>
      </c>
      <c r="Y66" s="111">
        <v>12070</v>
      </c>
      <c r="Z66" s="112">
        <v>15</v>
      </c>
      <c r="AA66" s="112">
        <v>6</v>
      </c>
    </row>
    <row r="67" spans="1:27" ht="15.75">
      <c r="A67"/>
      <c r="B67" s="121"/>
      <c r="C67" s="57" t="s">
        <v>80</v>
      </c>
      <c r="D67" s="16">
        <v>23616.76</v>
      </c>
      <c r="E67" s="16">
        <v>23293.63</v>
      </c>
      <c r="F67" s="16">
        <v>23274.02</v>
      </c>
      <c r="G67" s="16">
        <v>23663.78</v>
      </c>
      <c r="H67" s="16">
        <v>24186.86</v>
      </c>
      <c r="I67" s="16">
        <v>23793.64</v>
      </c>
      <c r="J67" s="16">
        <v>23506.67</v>
      </c>
      <c r="K67" s="16">
        <v>23421.42</v>
      </c>
      <c r="L67" s="16">
        <v>23882.92</v>
      </c>
      <c r="M67" s="16">
        <f t="shared" si="0"/>
        <v>23626.633333333328</v>
      </c>
      <c r="N67" s="53"/>
      <c r="O67" s="53"/>
      <c r="P67" s="63"/>
      <c r="Q67" s="53"/>
      <c r="R67" s="64"/>
      <c r="S67" s="54"/>
      <c r="T67" s="64"/>
      <c r="U67" s="64"/>
      <c r="V67" s="110"/>
      <c r="W67" s="110"/>
      <c r="X67" s="111"/>
      <c r="Y67" s="111"/>
      <c r="Z67" s="112"/>
      <c r="AA67" s="112"/>
    </row>
    <row r="68" spans="1:27" ht="28.5" customHeight="1">
      <c r="A68"/>
      <c r="B68" s="121"/>
      <c r="C68" s="57" t="s">
        <v>82</v>
      </c>
      <c r="D68" s="16">
        <f t="shared" ref="D68:L68" si="19">IF(((D66="")*AND(D67="")),"",(D66-D67)*3)</f>
        <v>17435.25</v>
      </c>
      <c r="E68" s="16">
        <f t="shared" si="19"/>
        <v>17397.149999999998</v>
      </c>
      <c r="F68" s="16">
        <f t="shared" si="19"/>
        <v>17426.009999999995</v>
      </c>
      <c r="G68" s="16">
        <f t="shared" si="19"/>
        <v>16329.510000000006</v>
      </c>
      <c r="H68" s="16">
        <f t="shared" si="19"/>
        <v>15183.779999999995</v>
      </c>
      <c r="I68" s="16">
        <f t="shared" si="19"/>
        <v>16628.970000000005</v>
      </c>
      <c r="J68" s="16">
        <f t="shared" si="19"/>
        <v>16576.590000000007</v>
      </c>
      <c r="K68" s="16">
        <f t="shared" si="19"/>
        <v>16917.27</v>
      </c>
      <c r="L68" s="16">
        <f t="shared" si="19"/>
        <v>16319.880000000008</v>
      </c>
      <c r="M68" s="16">
        <f t="shared" si="0"/>
        <v>16690.490000000002</v>
      </c>
      <c r="N68" s="65"/>
      <c r="O68" s="65"/>
      <c r="P68" s="66"/>
      <c r="Q68" s="65"/>
      <c r="R68" s="67"/>
      <c r="S68" s="58"/>
      <c r="T68" s="67"/>
      <c r="U68" s="67"/>
      <c r="V68" s="110"/>
      <c r="W68" s="110"/>
      <c r="X68" s="111"/>
      <c r="Y68" s="111"/>
      <c r="Z68" s="112"/>
      <c r="AA68" s="112"/>
    </row>
    <row r="69" spans="1:27">
      <c r="A69" s="86">
        <v>41375</v>
      </c>
      <c r="B69" s="120" t="s">
        <v>348</v>
      </c>
      <c r="C69" s="57" t="s">
        <v>79</v>
      </c>
      <c r="D69" s="58">
        <v>29367.439999999999</v>
      </c>
      <c r="E69" s="58">
        <v>29053.360000000001</v>
      </c>
      <c r="F69" s="58">
        <v>29046.63</v>
      </c>
      <c r="G69" s="58">
        <v>29079.63</v>
      </c>
      <c r="H69" s="58">
        <v>29273.360000000001</v>
      </c>
      <c r="I69" s="58">
        <v>29378.99</v>
      </c>
      <c r="J69" s="58">
        <v>29038.78</v>
      </c>
      <c r="K69" s="58">
        <v>26880.93</v>
      </c>
      <c r="L69" s="58">
        <v>29266.42</v>
      </c>
      <c r="M69" s="16">
        <f t="shared" si="0"/>
        <v>28931.726666666666</v>
      </c>
      <c r="N69" s="59">
        <f>IF((L70=""),"",MAX(D71:L71))</f>
        <v>14402.010000000006</v>
      </c>
      <c r="O69" s="59">
        <f>IF(L70="","",MIN(D71:L71))</f>
        <v>7422.5699999999961</v>
      </c>
      <c r="P69" s="60">
        <f>IF((L71=""),"",AVERAGE(D71:L71))</f>
        <v>13149.933333333332</v>
      </c>
      <c r="Q69" s="156">
        <f>IF((L70=""),"",((N69-O69)/(N69+O69)*100))</f>
        <v>31.979721946539218</v>
      </c>
      <c r="R69" s="61" t="str">
        <f>IF(L70="","",IF(Q69&lt;Z69,IF(O69&gt;V69,IF(N69&lt;W69,"PASS","FAIL"),"FAIL"),"FAIL"))</f>
        <v>FAIL</v>
      </c>
      <c r="S69" s="62">
        <v>1159</v>
      </c>
      <c r="T69" s="61" t="s">
        <v>92</v>
      </c>
      <c r="U69" s="61"/>
      <c r="V69" s="110">
        <v>9000</v>
      </c>
      <c r="W69" s="110">
        <v>25000</v>
      </c>
      <c r="X69" s="111">
        <v>8090</v>
      </c>
      <c r="Y69" s="111">
        <v>12070</v>
      </c>
      <c r="Z69" s="112">
        <v>15</v>
      </c>
      <c r="AA69" s="112">
        <v>6</v>
      </c>
    </row>
    <row r="70" spans="1:27" ht="15.75">
      <c r="A70"/>
      <c r="B70" s="121"/>
      <c r="C70" s="57" t="s">
        <v>80</v>
      </c>
      <c r="D70" s="16">
        <v>24641.3</v>
      </c>
      <c r="E70" s="16">
        <v>24253.57</v>
      </c>
      <c r="F70" s="16">
        <v>24276.61</v>
      </c>
      <c r="G70" s="16">
        <v>24537.79</v>
      </c>
      <c r="H70" s="16">
        <v>25067.53</v>
      </c>
      <c r="I70" s="16">
        <v>24578.32</v>
      </c>
      <c r="J70" s="16">
        <v>24374.7</v>
      </c>
      <c r="K70" s="16">
        <v>24406.74</v>
      </c>
      <c r="L70" s="16">
        <v>24799.18</v>
      </c>
      <c r="M70" s="16">
        <f t="shared" si="0"/>
        <v>24548.415555555555</v>
      </c>
      <c r="N70" s="53"/>
      <c r="O70" s="53"/>
      <c r="P70" s="63"/>
      <c r="Q70" s="53"/>
      <c r="R70" s="64"/>
      <c r="S70" s="54"/>
      <c r="T70" s="64"/>
      <c r="U70" s="64"/>
      <c r="V70" s="110"/>
      <c r="W70" s="110"/>
      <c r="X70" s="111"/>
      <c r="Y70" s="111"/>
      <c r="Z70" s="112"/>
      <c r="AA70" s="112"/>
    </row>
    <row r="71" spans="1:27" ht="28.5" customHeight="1">
      <c r="A71"/>
      <c r="B71" s="121"/>
      <c r="C71" s="57" t="s">
        <v>82</v>
      </c>
      <c r="D71" s="16">
        <f t="shared" ref="D71:L71" si="20">IF(((D69="")*AND(D70="")),"",(D69-D70)*3)</f>
        <v>14178.419999999998</v>
      </c>
      <c r="E71" s="16">
        <f t="shared" si="20"/>
        <v>14399.370000000003</v>
      </c>
      <c r="F71" s="16">
        <f t="shared" si="20"/>
        <v>14310.060000000001</v>
      </c>
      <c r="G71" s="16">
        <f t="shared" si="20"/>
        <v>13625.52</v>
      </c>
      <c r="H71" s="16">
        <f t="shared" si="20"/>
        <v>12617.490000000005</v>
      </c>
      <c r="I71" s="16">
        <f t="shared" si="20"/>
        <v>14402.010000000006</v>
      </c>
      <c r="J71" s="16">
        <f t="shared" si="20"/>
        <v>13992.239999999994</v>
      </c>
      <c r="K71" s="16">
        <f t="shared" si="20"/>
        <v>7422.5699999999961</v>
      </c>
      <c r="L71" s="16">
        <f t="shared" si="20"/>
        <v>13401.719999999994</v>
      </c>
      <c r="M71" s="16">
        <f t="shared" si="0"/>
        <v>13149.933333333332</v>
      </c>
      <c r="N71" s="65"/>
      <c r="O71" s="65"/>
      <c r="P71" s="66"/>
      <c r="Q71" s="65"/>
      <c r="R71" s="67"/>
      <c r="S71" s="58"/>
      <c r="T71" s="67"/>
      <c r="U71" s="67"/>
      <c r="V71" s="110"/>
      <c r="W71" s="110"/>
      <c r="X71" s="111"/>
      <c r="Y71" s="111"/>
      <c r="Z71" s="112"/>
      <c r="AA71" s="112"/>
    </row>
    <row r="72" spans="1:27">
      <c r="A72" s="86">
        <v>41380</v>
      </c>
      <c r="B72" s="120" t="s">
        <v>348</v>
      </c>
      <c r="C72" s="57" t="s">
        <v>79</v>
      </c>
      <c r="D72" s="58">
        <v>29374.66</v>
      </c>
      <c r="E72" s="58">
        <v>29066.33</v>
      </c>
      <c r="F72" s="58">
        <v>29070</v>
      </c>
      <c r="G72" s="58">
        <v>29087.07</v>
      </c>
      <c r="H72" s="58">
        <v>29256.97</v>
      </c>
      <c r="I72" s="58">
        <v>29320.37</v>
      </c>
      <c r="J72" s="58">
        <v>29073.66</v>
      </c>
      <c r="K72" s="58">
        <v>29063.94</v>
      </c>
      <c r="L72" s="58">
        <v>29258.37</v>
      </c>
      <c r="M72" s="16">
        <f t="shared" si="0"/>
        <v>29174.596666666665</v>
      </c>
      <c r="N72" s="59">
        <f>IF((L73=""),"",MAX(D74:L74))</f>
        <v>17370.48</v>
      </c>
      <c r="O72" s="59">
        <f>IF(L73="","",MIN(D74:L74))</f>
        <v>14944.23</v>
      </c>
      <c r="P72" s="60">
        <f>IF((L74=""),"",AVERAGE(D74:L74))</f>
        <v>16432.386666666665</v>
      </c>
      <c r="Q72" s="156">
        <f>IF((L73=""),"",((N72-O72)/(N72+O72)*100))</f>
        <v>7.5081905423257709</v>
      </c>
      <c r="R72" s="61" t="str">
        <f>IF(L73="","",IF(Q72&lt;Z72,IF(O72&gt;V72,IF(N72&lt;W72,"PASS","FAIL"),"FAIL"),"FAIL"))</f>
        <v>PASS</v>
      </c>
      <c r="S72" s="62">
        <v>1159</v>
      </c>
      <c r="T72" s="61" t="s">
        <v>93</v>
      </c>
      <c r="U72" s="61"/>
      <c r="V72" s="110">
        <v>9000</v>
      </c>
      <c r="W72" s="110">
        <v>25000</v>
      </c>
      <c r="X72" s="111">
        <v>8090</v>
      </c>
      <c r="Y72" s="111">
        <v>12070</v>
      </c>
      <c r="Z72" s="112">
        <v>15</v>
      </c>
      <c r="AA72" s="112">
        <v>6</v>
      </c>
    </row>
    <row r="73" spans="1:27" ht="15.75">
      <c r="A73"/>
      <c r="B73" s="121"/>
      <c r="C73" s="57" t="s">
        <v>80</v>
      </c>
      <c r="D73" s="16">
        <v>23584.5</v>
      </c>
      <c r="E73" s="16">
        <v>23385.54</v>
      </c>
      <c r="F73" s="16">
        <v>23374.31</v>
      </c>
      <c r="G73" s="16">
        <v>23757.13</v>
      </c>
      <c r="H73" s="16">
        <v>24275.56</v>
      </c>
      <c r="I73" s="16">
        <v>23853.21</v>
      </c>
      <c r="J73" s="16">
        <v>23576.57</v>
      </c>
      <c r="K73" s="16">
        <v>23511.52</v>
      </c>
      <c r="L73" s="16">
        <v>23955.87</v>
      </c>
      <c r="M73" s="16">
        <f t="shared" si="0"/>
        <v>23697.134444444444</v>
      </c>
      <c r="N73" s="53"/>
      <c r="O73" s="53"/>
      <c r="P73" s="63"/>
      <c r="Q73" s="53"/>
      <c r="R73" s="64"/>
      <c r="S73" s="54"/>
      <c r="T73" s="64"/>
      <c r="U73" s="64"/>
      <c r="V73" s="110"/>
      <c r="W73" s="110"/>
      <c r="X73" s="111"/>
      <c r="Y73" s="111"/>
      <c r="Z73" s="112"/>
      <c r="AA73" s="112"/>
    </row>
    <row r="74" spans="1:27" ht="28.5" customHeight="1">
      <c r="A74"/>
      <c r="B74" s="121"/>
      <c r="C74" s="57" t="s">
        <v>82</v>
      </c>
      <c r="D74" s="16">
        <f t="shared" ref="D74:L74" si="21">IF(((D72="")*AND(D73="")),"",(D72-D73)*3)</f>
        <v>17370.48</v>
      </c>
      <c r="E74" s="16">
        <f t="shared" si="21"/>
        <v>17042.370000000003</v>
      </c>
      <c r="F74" s="16">
        <f t="shared" si="21"/>
        <v>17087.069999999996</v>
      </c>
      <c r="G74" s="16">
        <f t="shared" si="21"/>
        <v>15989.819999999996</v>
      </c>
      <c r="H74" s="16">
        <f t="shared" si="21"/>
        <v>14944.23</v>
      </c>
      <c r="I74" s="16">
        <f t="shared" si="21"/>
        <v>16401.48</v>
      </c>
      <c r="J74" s="16">
        <f t="shared" si="21"/>
        <v>16491.27</v>
      </c>
      <c r="K74" s="16">
        <f t="shared" si="21"/>
        <v>16657.259999999995</v>
      </c>
      <c r="L74" s="16">
        <f t="shared" si="21"/>
        <v>15907.5</v>
      </c>
      <c r="M74" s="16">
        <f>SUM(D74:L74)/9</f>
        <v>16432.386666666665</v>
      </c>
      <c r="N74" s="65"/>
      <c r="O74" s="65"/>
      <c r="P74" s="66"/>
      <c r="Q74" s="65"/>
      <c r="R74" s="67"/>
      <c r="S74" s="58"/>
      <c r="T74" s="67"/>
      <c r="U74" s="67"/>
      <c r="V74" s="110"/>
      <c r="W74" s="110"/>
      <c r="X74" s="111"/>
      <c r="Y74" s="111"/>
      <c r="Z74" s="112"/>
      <c r="AA74" s="112"/>
    </row>
    <row r="75" spans="1:27">
      <c r="A75" s="86">
        <v>41382</v>
      </c>
      <c r="B75" s="120" t="s">
        <v>348</v>
      </c>
      <c r="C75" s="57" t="s">
        <v>79</v>
      </c>
      <c r="D75" s="58">
        <v>29374.28</v>
      </c>
      <c r="E75" s="58">
        <v>29045.32</v>
      </c>
      <c r="F75" s="58">
        <v>29003.1</v>
      </c>
      <c r="G75" s="58">
        <v>29010.09</v>
      </c>
      <c r="H75" s="58">
        <v>29187.98</v>
      </c>
      <c r="I75" s="58">
        <v>29290.66</v>
      </c>
      <c r="J75" s="58">
        <v>29030.17</v>
      </c>
      <c r="K75" s="58">
        <v>29001.51</v>
      </c>
      <c r="L75" s="58">
        <v>29176.94</v>
      </c>
      <c r="M75" s="16">
        <f>SUM(D75:L75)/9</f>
        <v>29124.449999999997</v>
      </c>
      <c r="N75" s="59">
        <f>IF((L76=""),"",MAX(D77:L77))</f>
        <v>12533.79</v>
      </c>
      <c r="O75" s="59">
        <f>IF(L76="","",MIN(D77:L77))</f>
        <v>11220.359999999997</v>
      </c>
      <c r="P75" s="60">
        <f>IF((L77=""),"",AVERAGE(D77:L77))</f>
        <v>12053.776666666665</v>
      </c>
      <c r="Q75" s="156">
        <f>IF((L76=""),"",((N75-O75)/(N75+O75)*100))</f>
        <v>5.5292654125700311</v>
      </c>
      <c r="R75" s="61" t="str">
        <f>IF(L76="","",IF(Q75&lt;Z75,IF(O75&gt;V75,IF(N75&lt;W75,"PASS","FAIL"),"FAIL"),"FAIL"))</f>
        <v>PASS</v>
      </c>
      <c r="S75" s="62">
        <v>1159</v>
      </c>
      <c r="T75" s="61" t="s">
        <v>255</v>
      </c>
      <c r="U75" s="61"/>
      <c r="V75" s="110">
        <v>9000</v>
      </c>
      <c r="W75" s="110">
        <v>25000</v>
      </c>
      <c r="X75" s="111">
        <v>8090</v>
      </c>
      <c r="Y75" s="111">
        <v>12070</v>
      </c>
      <c r="Z75" s="112">
        <v>15</v>
      </c>
      <c r="AA75" s="112">
        <v>6</v>
      </c>
    </row>
    <row r="76" spans="1:27" ht="15.75">
      <c r="A76"/>
      <c r="B76" s="121"/>
      <c r="C76" s="57" t="s">
        <v>80</v>
      </c>
      <c r="D76" s="16">
        <v>25219.46</v>
      </c>
      <c r="E76" s="16">
        <v>24867.39</v>
      </c>
      <c r="F76" s="16">
        <v>24905.1</v>
      </c>
      <c r="G76" s="16">
        <v>25060.32</v>
      </c>
      <c r="H76" s="16">
        <v>25447.86</v>
      </c>
      <c r="I76" s="16">
        <v>25264.94</v>
      </c>
      <c r="J76" s="16">
        <v>24947.26</v>
      </c>
      <c r="K76" s="16">
        <v>24943.34</v>
      </c>
      <c r="L76" s="16">
        <v>25303.05</v>
      </c>
      <c r="M76" s="16">
        <f t="shared" si="0"/>
        <v>25106.52444444444</v>
      </c>
      <c r="N76" s="53"/>
      <c r="O76" s="53"/>
      <c r="P76" s="63"/>
      <c r="Q76" s="53"/>
      <c r="R76" s="64"/>
      <c r="S76" s="54"/>
      <c r="T76" s="64"/>
      <c r="U76" s="64"/>
      <c r="V76" s="110"/>
      <c r="W76" s="110"/>
      <c r="X76" s="111"/>
      <c r="Y76" s="111"/>
      <c r="Z76" s="112"/>
      <c r="AA76" s="112"/>
    </row>
    <row r="77" spans="1:27" ht="28.5" customHeight="1">
      <c r="A77"/>
      <c r="B77" s="121"/>
      <c r="C77" s="57" t="s">
        <v>82</v>
      </c>
      <c r="D77" s="16">
        <f t="shared" ref="D77:L77" si="22">IF(((D75="")*AND(D76="")),"",(D75-D76)*3)</f>
        <v>12464.46</v>
      </c>
      <c r="E77" s="16">
        <f t="shared" si="22"/>
        <v>12533.79</v>
      </c>
      <c r="F77" s="16">
        <f t="shared" si="22"/>
        <v>12294</v>
      </c>
      <c r="G77" s="16">
        <f t="shared" si="22"/>
        <v>11849.310000000001</v>
      </c>
      <c r="H77" s="16">
        <f t="shared" si="22"/>
        <v>11220.359999999997</v>
      </c>
      <c r="I77" s="16">
        <f t="shared" si="22"/>
        <v>12077.160000000003</v>
      </c>
      <c r="J77" s="16">
        <f t="shared" si="22"/>
        <v>12248.73</v>
      </c>
      <c r="K77" s="16">
        <f t="shared" si="22"/>
        <v>12174.509999999995</v>
      </c>
      <c r="L77" s="16">
        <f t="shared" si="22"/>
        <v>11621.669999999998</v>
      </c>
      <c r="M77" s="16">
        <f>SUM(D77:L77)/9</f>
        <v>12053.776666666665</v>
      </c>
      <c r="N77" s="65"/>
      <c r="O77" s="65"/>
      <c r="P77" s="66"/>
      <c r="Q77" s="65"/>
      <c r="R77" s="67"/>
      <c r="S77" s="58"/>
      <c r="T77" s="67"/>
      <c r="U77" s="67"/>
      <c r="V77" s="110"/>
      <c r="W77" s="110"/>
      <c r="X77" s="111"/>
      <c r="Y77" s="111"/>
      <c r="Z77" s="112"/>
      <c r="AA77" s="112"/>
    </row>
    <row r="78" spans="1:27">
      <c r="A78" s="86">
        <v>41386</v>
      </c>
      <c r="B78" s="120" t="s">
        <v>348</v>
      </c>
      <c r="C78" s="57" t="s">
        <v>79</v>
      </c>
      <c r="D78" s="58">
        <v>29342.41</v>
      </c>
      <c r="E78" s="58">
        <v>29125.1</v>
      </c>
      <c r="F78" s="58">
        <v>29126.41</v>
      </c>
      <c r="G78" s="58">
        <v>29144.58</v>
      </c>
      <c r="H78" s="58">
        <v>29425.32</v>
      </c>
      <c r="I78" s="58">
        <v>29410.81</v>
      </c>
      <c r="J78" s="58">
        <v>29142.15</v>
      </c>
      <c r="K78" s="58">
        <v>29127.99</v>
      </c>
      <c r="L78" s="58">
        <v>29302.94</v>
      </c>
      <c r="M78" s="16">
        <f t="shared" ref="M78:M119" si="23">SUM(D78:L78)/9</f>
        <v>29238.63444444444</v>
      </c>
      <c r="N78" s="59">
        <f>IF((L79=""),"",MAX(D80:L80))</f>
        <v>17271.359999999997</v>
      </c>
      <c r="O78" s="59">
        <f>IF(L79="","",MIN(D80:L80))</f>
        <v>14717.25</v>
      </c>
      <c r="P78" s="60">
        <f>IF((L80=""),"",AVERAGE(D80:L80))</f>
        <v>16520.300000000003</v>
      </c>
      <c r="Q78" s="156">
        <f>IF((L79=""),"",((N78-O78)/(N78+O78)*100))</f>
        <v>7.9844357100855499</v>
      </c>
      <c r="R78" s="61" t="str">
        <f>IF(L79="","",IF(Q78&lt;Z78,IF(O78&gt;V78,IF(N78&lt;W78,"PASS","FAIL"),"FAIL"),"FAIL"))</f>
        <v>PASS</v>
      </c>
      <c r="S78" s="62">
        <v>1159</v>
      </c>
      <c r="T78" s="61" t="s">
        <v>94</v>
      </c>
      <c r="U78" s="61"/>
      <c r="V78" s="110">
        <v>9000</v>
      </c>
      <c r="W78" s="110">
        <v>25000</v>
      </c>
      <c r="X78" s="111">
        <v>8090</v>
      </c>
      <c r="Y78" s="111">
        <v>12070</v>
      </c>
      <c r="Z78" s="112">
        <v>15</v>
      </c>
      <c r="AA78" s="112">
        <v>6</v>
      </c>
    </row>
    <row r="79" spans="1:27" ht="15.75">
      <c r="A79"/>
      <c r="B79" s="121"/>
      <c r="C79" s="57" t="s">
        <v>80</v>
      </c>
      <c r="D79" s="16">
        <v>23666.68</v>
      </c>
      <c r="E79" s="16">
        <v>23369.72</v>
      </c>
      <c r="F79" s="16">
        <v>23369.29</v>
      </c>
      <c r="G79" s="16">
        <v>23766.6</v>
      </c>
      <c r="H79" s="16">
        <v>24519.57</v>
      </c>
      <c r="I79" s="16">
        <v>23865.61</v>
      </c>
      <c r="J79" s="16">
        <v>23567.5</v>
      </c>
      <c r="K79" s="16">
        <v>23521.9</v>
      </c>
      <c r="L79" s="16">
        <v>23939.94</v>
      </c>
      <c r="M79" s="16">
        <f t="shared" si="23"/>
        <v>23731.867777777781</v>
      </c>
      <c r="N79" s="53"/>
      <c r="O79" s="53"/>
      <c r="P79" s="63"/>
      <c r="Q79" s="53"/>
      <c r="R79" s="64"/>
      <c r="S79" s="54"/>
      <c r="T79" s="64"/>
      <c r="U79" s="64"/>
      <c r="V79" s="110"/>
      <c r="W79" s="110"/>
      <c r="X79" s="111"/>
      <c r="Y79" s="111"/>
      <c r="Z79" s="112"/>
      <c r="AA79" s="112"/>
    </row>
    <row r="80" spans="1:27" ht="28.5" customHeight="1">
      <c r="A80"/>
      <c r="B80" s="121"/>
      <c r="C80" s="57" t="s">
        <v>82</v>
      </c>
      <c r="D80" s="16">
        <f t="shared" ref="D80:L80" si="24">IF(((D78="")*AND(D79="")),"",(D78-D79)*3)</f>
        <v>17027.189999999999</v>
      </c>
      <c r="E80" s="16">
        <f t="shared" si="24"/>
        <v>17266.139999999992</v>
      </c>
      <c r="F80" s="16">
        <f t="shared" si="24"/>
        <v>17271.359999999997</v>
      </c>
      <c r="G80" s="16">
        <f t="shared" si="24"/>
        <v>16133.94000000001</v>
      </c>
      <c r="H80" s="16">
        <f t="shared" si="24"/>
        <v>14717.25</v>
      </c>
      <c r="I80" s="16">
        <f t="shared" si="24"/>
        <v>16635.600000000002</v>
      </c>
      <c r="J80" s="16">
        <f t="shared" si="24"/>
        <v>16723.950000000004</v>
      </c>
      <c r="K80" s="16">
        <f t="shared" si="24"/>
        <v>16818.27</v>
      </c>
      <c r="L80" s="16">
        <f t="shared" si="24"/>
        <v>16089</v>
      </c>
      <c r="M80" s="16">
        <f t="shared" si="23"/>
        <v>16520.300000000003</v>
      </c>
      <c r="N80" s="65"/>
      <c r="O80" s="65"/>
      <c r="P80" s="66"/>
      <c r="Q80" s="65"/>
      <c r="R80" s="67"/>
      <c r="S80" s="58"/>
      <c r="T80" s="67"/>
      <c r="U80" s="67"/>
      <c r="V80" s="110"/>
      <c r="W80" s="110"/>
      <c r="X80" s="111"/>
      <c r="Y80" s="111"/>
      <c r="Z80" s="112"/>
      <c r="AA80" s="112"/>
    </row>
    <row r="81" spans="1:27">
      <c r="A81" s="86">
        <v>41389</v>
      </c>
      <c r="B81" s="120" t="s">
        <v>348</v>
      </c>
      <c r="C81" s="57" t="s">
        <v>79</v>
      </c>
      <c r="D81" s="58">
        <v>29302.26</v>
      </c>
      <c r="E81" s="58">
        <v>29075.599999999999</v>
      </c>
      <c r="F81" s="58">
        <v>29066.11</v>
      </c>
      <c r="G81" s="58">
        <v>29069.37</v>
      </c>
      <c r="H81" s="58">
        <v>29339.64</v>
      </c>
      <c r="I81" s="58">
        <v>29315.07</v>
      </c>
      <c r="J81" s="58">
        <v>29049.97</v>
      </c>
      <c r="K81" s="58">
        <v>29088.73</v>
      </c>
      <c r="L81" s="58">
        <v>29272.81</v>
      </c>
      <c r="M81" s="16">
        <f t="shared" si="23"/>
        <v>29175.506666666668</v>
      </c>
      <c r="N81" s="59">
        <f>IF((L82=""),"",MAX(D83:L83))</f>
        <v>14866.98</v>
      </c>
      <c r="O81" s="59">
        <f>IF(L82="","",MIN(D83:L83))</f>
        <v>12937.350000000002</v>
      </c>
      <c r="P81" s="60">
        <f>IF((L83=""),"",AVERAGE(D83:L83))</f>
        <v>14181.980000000001</v>
      </c>
      <c r="Q81" s="156">
        <f>IF((L82=""),"",((N81-O81)/(N81+O81)*100))</f>
        <v>6.9400341601469888</v>
      </c>
      <c r="R81" s="61" t="str">
        <f>IF(L82="","",IF(Q81&lt;Z81,IF(O81&gt;V81,IF(N81&lt;W81,"PASS","FAIL"),"FAIL"),"FAIL"))</f>
        <v>PASS</v>
      </c>
      <c r="S81" s="62">
        <v>1159</v>
      </c>
      <c r="T81" s="61" t="s">
        <v>95</v>
      </c>
      <c r="U81" s="61"/>
      <c r="V81" s="110">
        <v>9000</v>
      </c>
      <c r="W81" s="110">
        <v>25000</v>
      </c>
      <c r="X81" s="111">
        <v>8090</v>
      </c>
      <c r="Y81" s="111">
        <v>12070</v>
      </c>
      <c r="Z81" s="112">
        <v>15</v>
      </c>
      <c r="AA81" s="112">
        <v>6</v>
      </c>
    </row>
    <row r="82" spans="1:27" ht="15.75">
      <c r="A82"/>
      <c r="B82" s="121"/>
      <c r="C82" s="57" t="s">
        <v>80</v>
      </c>
      <c r="D82" s="16">
        <v>24470.1</v>
      </c>
      <c r="E82" s="16">
        <v>24119.94</v>
      </c>
      <c r="F82" s="16">
        <v>24150.54</v>
      </c>
      <c r="G82" s="16">
        <v>24420.94</v>
      </c>
      <c r="H82" s="16">
        <v>25027.19</v>
      </c>
      <c r="I82" s="16">
        <v>24638.91</v>
      </c>
      <c r="J82" s="16">
        <v>24274.21</v>
      </c>
      <c r="K82" s="16">
        <v>24240.84</v>
      </c>
      <c r="L82" s="16">
        <v>24690.95</v>
      </c>
      <c r="M82" s="16">
        <f t="shared" si="23"/>
        <v>24448.18</v>
      </c>
      <c r="N82" s="53"/>
      <c r="O82" s="53"/>
      <c r="P82" s="63"/>
      <c r="Q82" s="53"/>
      <c r="R82" s="64"/>
      <c r="S82" s="54"/>
      <c r="T82" s="64"/>
      <c r="U82" s="64"/>
      <c r="V82" s="110"/>
      <c r="W82" s="110"/>
      <c r="X82" s="111"/>
      <c r="Y82" s="111"/>
      <c r="Z82" s="112"/>
      <c r="AA82" s="112"/>
    </row>
    <row r="83" spans="1:27" ht="28.5" customHeight="1">
      <c r="A83"/>
      <c r="B83" s="121"/>
      <c r="C83" s="57" t="s">
        <v>82</v>
      </c>
      <c r="D83" s="16">
        <f t="shared" ref="D83:L83" si="25">IF(((D81="")*AND(D82="")),"",(D81-D82)*3)</f>
        <v>14496.48</v>
      </c>
      <c r="E83" s="16">
        <f t="shared" si="25"/>
        <v>14866.98</v>
      </c>
      <c r="F83" s="16">
        <f t="shared" si="25"/>
        <v>14746.71</v>
      </c>
      <c r="G83" s="16">
        <f t="shared" si="25"/>
        <v>13945.29</v>
      </c>
      <c r="H83" s="16">
        <f t="shared" si="25"/>
        <v>12937.350000000002</v>
      </c>
      <c r="I83" s="16">
        <f t="shared" si="25"/>
        <v>14028.48</v>
      </c>
      <c r="J83" s="16">
        <f t="shared" si="25"/>
        <v>14327.280000000006</v>
      </c>
      <c r="K83" s="16">
        <f t="shared" si="25"/>
        <v>14543.669999999998</v>
      </c>
      <c r="L83" s="16">
        <f t="shared" si="25"/>
        <v>13745.580000000002</v>
      </c>
      <c r="M83" s="16">
        <f t="shared" si="23"/>
        <v>14181.980000000001</v>
      </c>
      <c r="N83" s="65"/>
      <c r="O83" s="65"/>
      <c r="P83" s="66"/>
      <c r="Q83" s="65"/>
      <c r="R83" s="67"/>
      <c r="S83" s="58"/>
      <c r="T83" s="67"/>
      <c r="U83" s="67"/>
      <c r="V83" s="33"/>
      <c r="W83" s="29"/>
    </row>
    <row r="84" spans="1:27">
      <c r="A84" s="86">
        <v>41393</v>
      </c>
      <c r="B84" s="120" t="s">
        <v>348</v>
      </c>
      <c r="C84" s="57" t="s">
        <v>79</v>
      </c>
      <c r="D84" s="58">
        <v>29356.23</v>
      </c>
      <c r="E84" s="58">
        <v>29027.34</v>
      </c>
      <c r="F84" s="58">
        <v>29023.78</v>
      </c>
      <c r="G84" s="58">
        <v>29035.32</v>
      </c>
      <c r="H84" s="58">
        <v>29209.96</v>
      </c>
      <c r="I84" s="58">
        <v>29344.43</v>
      </c>
      <c r="J84" s="58">
        <v>29037.51</v>
      </c>
      <c r="K84" s="58">
        <v>29015.07</v>
      </c>
      <c r="L84" s="58">
        <v>29207.25</v>
      </c>
      <c r="M84" s="16">
        <f t="shared" si="23"/>
        <v>29139.654444444444</v>
      </c>
      <c r="N84" s="59">
        <f>IF((L85=""),"",MAX(D86:L86))</f>
        <v>17003.310000000001</v>
      </c>
      <c r="O84" s="59">
        <f>IF(L85="","",MIN(D86:L86))</f>
        <v>14853.390000000003</v>
      </c>
      <c r="P84" s="60">
        <f>IF((L86=""),"",AVERAGE(D86:L86))</f>
        <v>16225.139999999998</v>
      </c>
      <c r="Q84" s="156">
        <f>IF((L85=""),"",((N84-O84)/(N84+O84)*100))</f>
        <v>6.7487216190000785</v>
      </c>
      <c r="R84" s="61" t="str">
        <f>IF(L85="","",IF(Q84&lt;Z84,IF(O84&gt;V84,IF(N84&lt;W84,"PASS","FAIL"),"FAIL"),"FAIL"))</f>
        <v>PASS</v>
      </c>
      <c r="S84" s="62">
        <v>1159</v>
      </c>
      <c r="T84" s="61" t="s">
        <v>96</v>
      </c>
      <c r="U84" s="61"/>
      <c r="V84" s="110">
        <v>9000</v>
      </c>
      <c r="W84" s="110">
        <v>25000</v>
      </c>
      <c r="X84" s="111">
        <v>8090</v>
      </c>
      <c r="Y84" s="111">
        <v>12070</v>
      </c>
      <c r="Z84" s="112">
        <v>15</v>
      </c>
      <c r="AA84" s="112">
        <v>6</v>
      </c>
    </row>
    <row r="85" spans="1:27" ht="15.75">
      <c r="A85"/>
      <c r="B85" s="121"/>
      <c r="C85" s="57" t="s">
        <v>80</v>
      </c>
      <c r="D85" s="16">
        <v>24405.1</v>
      </c>
      <c r="E85" s="16">
        <v>23774.61</v>
      </c>
      <c r="F85" s="16">
        <v>23365.4</v>
      </c>
      <c r="G85" s="16">
        <v>23367.55</v>
      </c>
      <c r="H85" s="16">
        <v>23668.99</v>
      </c>
      <c r="I85" s="16">
        <v>24084.2</v>
      </c>
      <c r="J85" s="16">
        <v>23577.9</v>
      </c>
      <c r="K85" s="16">
        <v>23534.43</v>
      </c>
      <c r="L85" s="16">
        <v>23803.29</v>
      </c>
      <c r="M85" s="16">
        <f t="shared" si="23"/>
        <v>23731.274444444443</v>
      </c>
      <c r="N85" s="53"/>
      <c r="O85" s="53"/>
      <c r="P85" s="63"/>
      <c r="Q85" s="53"/>
      <c r="R85" s="64"/>
      <c r="S85" s="54"/>
      <c r="T85" s="64"/>
      <c r="U85" s="64"/>
      <c r="V85" s="32"/>
      <c r="W85" s="29"/>
    </row>
    <row r="86" spans="1:27" ht="28.5" customHeight="1">
      <c r="A86"/>
      <c r="B86" s="121"/>
      <c r="C86" s="57" t="s">
        <v>82</v>
      </c>
      <c r="D86" s="16">
        <f t="shared" ref="D86:L86" si="26">IF(((D84="")*AND(D85="")),"",(D84-D85)*3)</f>
        <v>14853.390000000003</v>
      </c>
      <c r="E86" s="16">
        <f t="shared" si="26"/>
        <v>15758.189999999999</v>
      </c>
      <c r="F86" s="16">
        <f t="shared" si="26"/>
        <v>16975.139999999992</v>
      </c>
      <c r="G86" s="16">
        <f t="shared" si="26"/>
        <v>17003.310000000001</v>
      </c>
      <c r="H86" s="16">
        <f t="shared" si="26"/>
        <v>16622.909999999993</v>
      </c>
      <c r="I86" s="16">
        <f t="shared" si="26"/>
        <v>15780.689999999999</v>
      </c>
      <c r="J86" s="16">
        <f t="shared" si="26"/>
        <v>16378.829999999991</v>
      </c>
      <c r="K86" s="16">
        <f t="shared" si="26"/>
        <v>16441.919999999998</v>
      </c>
      <c r="L86" s="16">
        <f t="shared" si="26"/>
        <v>16211.879999999997</v>
      </c>
      <c r="M86" s="16">
        <f t="shared" si="23"/>
        <v>16225.139999999998</v>
      </c>
      <c r="N86" s="65"/>
      <c r="O86" s="65"/>
      <c r="P86" s="66"/>
      <c r="Q86" s="65"/>
      <c r="R86" s="67"/>
      <c r="S86" s="58"/>
      <c r="T86" s="67"/>
      <c r="U86" s="67"/>
      <c r="V86" s="33"/>
      <c r="W86" s="29"/>
    </row>
    <row r="87" spans="1:27">
      <c r="A87" s="86">
        <v>41396</v>
      </c>
      <c r="B87" s="120" t="s">
        <v>348</v>
      </c>
      <c r="C87" s="57" t="s">
        <v>79</v>
      </c>
      <c r="D87" s="58">
        <v>29329.06</v>
      </c>
      <c r="E87" s="58">
        <v>28989.69</v>
      </c>
      <c r="F87" s="58">
        <v>28971.93</v>
      </c>
      <c r="G87" s="58">
        <v>28988.39</v>
      </c>
      <c r="H87" s="58">
        <v>29163.95</v>
      </c>
      <c r="I87" s="58">
        <v>29253.61</v>
      </c>
      <c r="J87" s="58">
        <v>28967.34</v>
      </c>
      <c r="K87" s="58">
        <v>28990.74</v>
      </c>
      <c r="L87" s="58">
        <v>29171.26</v>
      </c>
      <c r="M87" s="16">
        <f t="shared" si="23"/>
        <v>29091.774444444443</v>
      </c>
      <c r="N87" s="59">
        <f>IF((L88=""),"",MAX(D89:L89))</f>
        <v>15623.669999999998</v>
      </c>
      <c r="O87" s="59">
        <f>IF(L88="","",MIN(D89:L89))</f>
        <v>13490.220000000005</v>
      </c>
      <c r="P87" s="60">
        <f>IF((L89=""),"",AVERAGE(D89:L89))</f>
        <v>14944.516666666666</v>
      </c>
      <c r="Q87" s="156">
        <f>IF((L88=""),"",((N87-O87)/(N87+O87)*100))</f>
        <v>7.3279455270319191</v>
      </c>
      <c r="R87" s="61" t="str">
        <f>IF(L88="","",IF(Q87&lt;Z87,IF(O87&gt;V87,IF(N87&lt;W87,"PASS","FAIL"),"FAIL"),"FAIL"))</f>
        <v>PASS</v>
      </c>
      <c r="S87" s="62">
        <v>1159</v>
      </c>
      <c r="T87" s="61" t="s">
        <v>97</v>
      </c>
      <c r="U87" s="61"/>
      <c r="V87" s="110">
        <v>9000</v>
      </c>
      <c r="W87" s="110">
        <v>25000</v>
      </c>
      <c r="X87" s="111">
        <v>8090</v>
      </c>
      <c r="Y87" s="111">
        <v>12070</v>
      </c>
      <c r="Z87" s="112">
        <v>15</v>
      </c>
      <c r="AA87" s="112">
        <v>6</v>
      </c>
    </row>
    <row r="88" spans="1:27" ht="15.75">
      <c r="A88"/>
      <c r="B88" s="121"/>
      <c r="C88" s="57" t="s">
        <v>80</v>
      </c>
      <c r="D88" s="16">
        <v>24197.61</v>
      </c>
      <c r="E88" s="16">
        <v>23800.22</v>
      </c>
      <c r="F88" s="16">
        <v>23764.04</v>
      </c>
      <c r="G88" s="16">
        <v>24107.01</v>
      </c>
      <c r="H88" s="16">
        <v>24667.21</v>
      </c>
      <c r="I88" s="16">
        <v>24267.17</v>
      </c>
      <c r="J88" s="16">
        <v>23929.85</v>
      </c>
      <c r="K88" s="16">
        <v>23930.58</v>
      </c>
      <c r="L88" s="16">
        <v>24328.73</v>
      </c>
      <c r="M88" s="16">
        <f t="shared" si="23"/>
        <v>24110.268888888892</v>
      </c>
      <c r="N88" s="53"/>
      <c r="O88" s="53"/>
      <c r="P88" s="63"/>
      <c r="Q88" s="53"/>
      <c r="R88" s="64"/>
      <c r="S88" s="54"/>
      <c r="T88" s="64"/>
      <c r="U88" s="64"/>
      <c r="V88" s="32"/>
      <c r="W88" s="29"/>
    </row>
    <row r="89" spans="1:27" ht="28.5" customHeight="1">
      <c r="A89"/>
      <c r="B89" s="121"/>
      <c r="C89" s="57" t="s">
        <v>82</v>
      </c>
      <c r="D89" s="16">
        <f t="shared" ref="D89:L89" si="27">IF(((D87="")*AND(D88="")),"",(D87-D88)*3)</f>
        <v>15394.350000000002</v>
      </c>
      <c r="E89" s="16">
        <f t="shared" si="27"/>
        <v>15568.409999999993</v>
      </c>
      <c r="F89" s="16">
        <f t="shared" si="27"/>
        <v>15623.669999999998</v>
      </c>
      <c r="G89" s="16">
        <f t="shared" si="27"/>
        <v>14644.140000000003</v>
      </c>
      <c r="H89" s="16">
        <f t="shared" si="27"/>
        <v>13490.220000000005</v>
      </c>
      <c r="I89" s="16">
        <f t="shared" si="27"/>
        <v>14959.320000000007</v>
      </c>
      <c r="J89" s="16">
        <f t="shared" si="27"/>
        <v>15112.470000000005</v>
      </c>
      <c r="K89" s="16">
        <f t="shared" si="27"/>
        <v>15180.48</v>
      </c>
      <c r="L89" s="16">
        <f t="shared" si="27"/>
        <v>14527.589999999997</v>
      </c>
      <c r="M89" s="16">
        <f t="shared" si="23"/>
        <v>14944.516666666666</v>
      </c>
      <c r="N89" s="65"/>
      <c r="O89" s="65"/>
      <c r="P89" s="66"/>
      <c r="Q89" s="65"/>
      <c r="R89" s="67"/>
      <c r="S89" s="58"/>
      <c r="T89" s="67"/>
      <c r="U89" s="67"/>
      <c r="V89" s="33"/>
      <c r="W89" s="29"/>
    </row>
    <row r="90" spans="1:27">
      <c r="A90" s="86">
        <v>41400</v>
      </c>
      <c r="B90" s="120" t="s">
        <v>348</v>
      </c>
      <c r="C90" s="57" t="s">
        <v>79</v>
      </c>
      <c r="D90" s="58">
        <v>29428.23</v>
      </c>
      <c r="E90" s="58">
        <v>29105.040000000001</v>
      </c>
      <c r="F90" s="58">
        <v>29108.61</v>
      </c>
      <c r="G90" s="58">
        <v>29096.54</v>
      </c>
      <c r="H90" s="58">
        <v>29268.01</v>
      </c>
      <c r="I90" s="58">
        <v>29413.49</v>
      </c>
      <c r="J90" s="58">
        <v>29104.07</v>
      </c>
      <c r="K90" s="58">
        <v>29087.75</v>
      </c>
      <c r="L90" s="58">
        <v>29280.02</v>
      </c>
      <c r="M90" s="16">
        <f t="shared" si="23"/>
        <v>29210.195555555558</v>
      </c>
      <c r="N90" s="59">
        <f>IF((L91=""),"",MAX(D92:L92))</f>
        <v>14788.950000000004</v>
      </c>
      <c r="O90" s="59">
        <f>IF(L91="","",MIN(D92:L92))</f>
        <v>12926.189999999999</v>
      </c>
      <c r="P90" s="60">
        <f>IF((L92=""),"",AVERAGE(D92:L92))</f>
        <v>14198.520000000002</v>
      </c>
      <c r="Q90" s="156">
        <f>IF((L91=""),"",((N90-O90)/(N90+O90)*100))</f>
        <v>6.7210917931499008</v>
      </c>
      <c r="R90" s="61" t="str">
        <f>IF(L91="","",IF(Q90&lt;Z90,IF(O90&gt;V90,IF(N90&lt;W90,"PASS","FAIL"),"FAIL"),"FAIL"))</f>
        <v>PASS</v>
      </c>
      <c r="S90" s="62">
        <v>1159</v>
      </c>
      <c r="T90" s="61" t="s">
        <v>98</v>
      </c>
      <c r="U90" s="61"/>
      <c r="V90" s="110">
        <v>9000</v>
      </c>
      <c r="W90" s="110">
        <v>25000</v>
      </c>
      <c r="X90" s="111">
        <v>8090</v>
      </c>
      <c r="Y90" s="111">
        <v>12070</v>
      </c>
      <c r="Z90" s="112">
        <v>15</v>
      </c>
      <c r="AA90" s="112">
        <v>6</v>
      </c>
    </row>
    <row r="91" spans="1:27" ht="15.75">
      <c r="A91"/>
      <c r="B91" s="121"/>
      <c r="C91" s="57" t="s">
        <v>80</v>
      </c>
      <c r="D91" s="16">
        <v>24558.63</v>
      </c>
      <c r="E91" s="16">
        <v>24175.39</v>
      </c>
      <c r="F91" s="16">
        <v>24198.19</v>
      </c>
      <c r="G91" s="16">
        <v>24441.86</v>
      </c>
      <c r="H91" s="16">
        <v>24959.279999999999</v>
      </c>
      <c r="I91" s="16">
        <v>24607.57</v>
      </c>
      <c r="J91" s="16">
        <v>24261.23</v>
      </c>
      <c r="K91" s="16">
        <v>24327.61</v>
      </c>
      <c r="L91" s="16">
        <v>24766.44</v>
      </c>
      <c r="M91" s="16">
        <f t="shared" si="23"/>
        <v>24477.355555555558</v>
      </c>
      <c r="N91" s="53"/>
      <c r="O91" s="53"/>
      <c r="P91" s="63"/>
      <c r="Q91" s="53"/>
      <c r="R91" s="64"/>
      <c r="S91" s="54"/>
      <c r="T91" s="64"/>
      <c r="U91" s="64"/>
      <c r="V91" s="32"/>
      <c r="W91" s="29"/>
    </row>
    <row r="92" spans="1:27" ht="28.5" customHeight="1">
      <c r="A92"/>
      <c r="B92" s="121"/>
      <c r="C92" s="57" t="s">
        <v>82</v>
      </c>
      <c r="D92" s="16">
        <f t="shared" ref="D92:L92" si="28">IF(((D90="")*AND(D91="")),"",(D90-D91)*3)</f>
        <v>14608.799999999996</v>
      </c>
      <c r="E92" s="16">
        <f t="shared" si="28"/>
        <v>14788.950000000004</v>
      </c>
      <c r="F92" s="16">
        <f t="shared" si="28"/>
        <v>14731.260000000006</v>
      </c>
      <c r="G92" s="16">
        <f t="shared" si="28"/>
        <v>13964.04</v>
      </c>
      <c r="H92" s="16">
        <f t="shared" si="28"/>
        <v>12926.189999999999</v>
      </c>
      <c r="I92" s="16">
        <f t="shared" si="28"/>
        <v>14417.760000000006</v>
      </c>
      <c r="J92" s="16">
        <f t="shared" si="28"/>
        <v>14528.52</v>
      </c>
      <c r="K92" s="16">
        <f t="shared" si="28"/>
        <v>14280.419999999998</v>
      </c>
      <c r="L92" s="16">
        <f t="shared" si="28"/>
        <v>13540.740000000005</v>
      </c>
      <c r="M92" s="16">
        <f t="shared" si="23"/>
        <v>14198.520000000002</v>
      </c>
      <c r="N92" s="65"/>
      <c r="O92" s="65"/>
      <c r="P92" s="66"/>
      <c r="Q92" s="65"/>
      <c r="R92" s="67"/>
      <c r="S92" s="58"/>
      <c r="T92" s="67"/>
      <c r="U92" s="67"/>
      <c r="V92" s="33"/>
      <c r="W92" s="29"/>
    </row>
    <row r="93" spans="1:27">
      <c r="A93" s="86">
        <v>41403</v>
      </c>
      <c r="B93" s="120" t="s">
        <v>348</v>
      </c>
      <c r="C93" s="57" t="s">
        <v>79</v>
      </c>
      <c r="D93" s="58">
        <v>29425.88</v>
      </c>
      <c r="E93" s="58">
        <v>29099.59</v>
      </c>
      <c r="F93" s="58">
        <v>29097.51</v>
      </c>
      <c r="G93" s="58">
        <v>29086.880000000001</v>
      </c>
      <c r="H93" s="58">
        <v>29276.98</v>
      </c>
      <c r="I93" s="58">
        <v>29424.07</v>
      </c>
      <c r="J93" s="58">
        <v>29101.89</v>
      </c>
      <c r="K93" s="58">
        <v>29081.85</v>
      </c>
      <c r="L93" s="58">
        <v>29290.16</v>
      </c>
      <c r="M93" s="16">
        <f t="shared" si="23"/>
        <v>29209.423333333332</v>
      </c>
      <c r="N93" s="59">
        <f>IF((L94=""),"",MAX(D95:L95))</f>
        <v>14324.220000000005</v>
      </c>
      <c r="O93" s="59">
        <f>IF(L94="","",MIN(D95:L95))</f>
        <v>12603.779999999995</v>
      </c>
      <c r="P93" s="60">
        <f>IF((L95=""),"",AVERAGE(D95:L95))</f>
        <v>13780.439999999995</v>
      </c>
      <c r="Q93" s="156">
        <f>IF((L94=""),"",((N93-O93)/(N93+O93)*100))</f>
        <v>6.3890374331551163</v>
      </c>
      <c r="R93" s="61" t="str">
        <f>IF(L94="","",IF(Q93&lt;Z93,IF(O93&gt;V93,IF(N93&lt;W93,"PASS","FAIL"),"FAIL"),"FAIL"))</f>
        <v>PASS</v>
      </c>
      <c r="S93" s="62">
        <v>1159</v>
      </c>
      <c r="T93" s="61" t="s">
        <v>99</v>
      </c>
      <c r="U93" s="61"/>
      <c r="V93" s="110">
        <v>9000</v>
      </c>
      <c r="W93" s="110">
        <v>25000</v>
      </c>
      <c r="X93" s="111">
        <v>8090</v>
      </c>
      <c r="Y93" s="111">
        <v>12070</v>
      </c>
      <c r="Z93" s="112">
        <v>15</v>
      </c>
      <c r="AA93" s="112">
        <v>6</v>
      </c>
    </row>
    <row r="94" spans="1:27" ht="15.75">
      <c r="A94"/>
      <c r="B94" s="121"/>
      <c r="C94" s="57" t="s">
        <v>80</v>
      </c>
      <c r="D94" s="16">
        <v>24737</v>
      </c>
      <c r="E94" s="16">
        <v>24324.85</v>
      </c>
      <c r="F94" s="16">
        <v>24330.22</v>
      </c>
      <c r="G94" s="16">
        <v>24536.2</v>
      </c>
      <c r="H94" s="16">
        <v>25075.72</v>
      </c>
      <c r="I94" s="16">
        <v>24776.41</v>
      </c>
      <c r="J94" s="16">
        <v>24387.99</v>
      </c>
      <c r="K94" s="16">
        <v>24447.38</v>
      </c>
      <c r="L94" s="16">
        <v>24927.72</v>
      </c>
      <c r="M94" s="16">
        <f t="shared" si="23"/>
        <v>24615.943333333333</v>
      </c>
      <c r="N94" s="53"/>
      <c r="O94" s="53"/>
      <c r="P94" s="63"/>
      <c r="Q94" s="53"/>
      <c r="R94" s="64"/>
      <c r="S94" s="54"/>
      <c r="T94" s="64"/>
      <c r="U94" s="64"/>
      <c r="V94" s="32"/>
      <c r="W94" s="29"/>
    </row>
    <row r="95" spans="1:27" ht="28.5" customHeight="1">
      <c r="A95"/>
      <c r="B95" s="121"/>
      <c r="C95" s="57" t="s">
        <v>82</v>
      </c>
      <c r="D95" s="16">
        <f t="shared" ref="D95:L95" si="29">IF(((D93="")*AND(D94="")),"",(D93-D94)*3)</f>
        <v>14066.640000000003</v>
      </c>
      <c r="E95" s="16">
        <f t="shared" si="29"/>
        <v>14324.220000000005</v>
      </c>
      <c r="F95" s="16">
        <f t="shared" si="29"/>
        <v>14301.869999999992</v>
      </c>
      <c r="G95" s="16">
        <f t="shared" si="29"/>
        <v>13652.04</v>
      </c>
      <c r="H95" s="16">
        <f t="shared" si="29"/>
        <v>12603.779999999995</v>
      </c>
      <c r="I95" s="16">
        <f t="shared" si="29"/>
        <v>13942.98</v>
      </c>
      <c r="J95" s="16">
        <f t="shared" si="29"/>
        <v>14141.699999999993</v>
      </c>
      <c r="K95" s="16">
        <f t="shared" si="29"/>
        <v>13903.409999999993</v>
      </c>
      <c r="L95" s="16">
        <f t="shared" si="29"/>
        <v>13087.319999999996</v>
      </c>
      <c r="M95" s="16">
        <f t="shared" si="23"/>
        <v>13780.439999999995</v>
      </c>
      <c r="N95" s="65"/>
      <c r="O95" s="65"/>
      <c r="P95" s="66"/>
      <c r="Q95" s="65"/>
      <c r="R95" s="67"/>
      <c r="S95" s="58"/>
      <c r="T95" s="67"/>
      <c r="U95" s="67"/>
      <c r="V95" s="33"/>
      <c r="W95" s="29"/>
    </row>
    <row r="96" spans="1:27">
      <c r="A96" s="86">
        <v>41407</v>
      </c>
      <c r="B96" s="120" t="s">
        <v>348</v>
      </c>
      <c r="C96" s="57" t="s">
        <v>79</v>
      </c>
      <c r="D96" s="58">
        <v>29379.45</v>
      </c>
      <c r="E96" s="58">
        <v>29057.42</v>
      </c>
      <c r="F96" s="58">
        <v>29045.9</v>
      </c>
      <c r="G96" s="58">
        <v>29051.23</v>
      </c>
      <c r="H96" s="58">
        <v>29225.16</v>
      </c>
      <c r="I96" s="58">
        <v>29311.75</v>
      </c>
      <c r="J96" s="58">
        <v>29030.62</v>
      </c>
      <c r="K96" s="58">
        <v>29061.51</v>
      </c>
      <c r="L96" s="58">
        <v>29240.91</v>
      </c>
      <c r="M96" s="16">
        <f t="shared" si="23"/>
        <v>29155.994444444441</v>
      </c>
      <c r="N96" s="59">
        <f>IF((L97=""),"",MAX(D98:L98))</f>
        <v>14277.090000000007</v>
      </c>
      <c r="O96" s="59">
        <f>IF(L97="","",MIN(D98:L98))</f>
        <v>12560.46</v>
      </c>
      <c r="P96" s="60">
        <f>IF((L98=""),"",AVERAGE(D98:L98))</f>
        <v>13724.119999999999</v>
      </c>
      <c r="Q96" s="156">
        <f>IF((L97=""),"",((N96-O96)/(N96+O96)*100))</f>
        <v>6.3963737375431355</v>
      </c>
      <c r="R96" s="61" t="str">
        <f>IF(L97="","",IF(Q96&lt;Z96,IF(O96&gt;V96,IF(N96&lt;W96,"PASS","FAIL"),"FAIL"),"FAIL"))</f>
        <v>PASS</v>
      </c>
      <c r="S96" s="62">
        <v>1159</v>
      </c>
      <c r="T96" s="61" t="s">
        <v>100</v>
      </c>
      <c r="U96" s="61"/>
      <c r="V96" s="110">
        <v>9000</v>
      </c>
      <c r="W96" s="110">
        <v>25000</v>
      </c>
      <c r="X96" s="111">
        <v>8090</v>
      </c>
      <c r="Y96" s="111">
        <v>12070</v>
      </c>
      <c r="Z96" s="112">
        <v>15</v>
      </c>
      <c r="AA96" s="112">
        <v>6</v>
      </c>
    </row>
    <row r="97" spans="1:27" ht="15.75">
      <c r="A97"/>
      <c r="B97" s="121"/>
      <c r="C97" s="57" t="s">
        <v>80</v>
      </c>
      <c r="D97" s="16">
        <v>24687.77</v>
      </c>
      <c r="E97" s="16">
        <v>24299.15</v>
      </c>
      <c r="F97" s="16">
        <v>24286.87</v>
      </c>
      <c r="G97" s="16">
        <v>24542.89</v>
      </c>
      <c r="H97" s="16">
        <v>25038.34</v>
      </c>
      <c r="I97" s="16">
        <v>24732.46</v>
      </c>
      <c r="J97" s="16">
        <v>24387.24</v>
      </c>
      <c r="K97" s="16">
        <v>24432.09</v>
      </c>
      <c r="L97" s="16">
        <v>24824.78</v>
      </c>
      <c r="M97" s="16">
        <f t="shared" si="23"/>
        <v>24581.287777777776</v>
      </c>
      <c r="N97" s="53"/>
      <c r="O97" s="53"/>
      <c r="P97" s="63"/>
      <c r="Q97" s="53"/>
      <c r="R97" s="64"/>
      <c r="S97" s="54"/>
      <c r="T97" s="64"/>
      <c r="U97" s="64"/>
      <c r="V97" s="32"/>
      <c r="W97" s="29"/>
    </row>
    <row r="98" spans="1:27" ht="28.5" customHeight="1">
      <c r="A98"/>
      <c r="B98" s="121"/>
      <c r="C98" s="57" t="s">
        <v>82</v>
      </c>
      <c r="D98" s="16">
        <f t="shared" ref="D98:L98" si="30">IF(((D96="")*AND(D97="")),"",(D96-D97)*3)</f>
        <v>14075.04</v>
      </c>
      <c r="E98" s="16">
        <f t="shared" si="30"/>
        <v>14274.80999999999</v>
      </c>
      <c r="F98" s="16">
        <f t="shared" si="30"/>
        <v>14277.090000000007</v>
      </c>
      <c r="G98" s="16">
        <f t="shared" si="30"/>
        <v>13525.02</v>
      </c>
      <c r="H98" s="16">
        <f t="shared" si="30"/>
        <v>12560.46</v>
      </c>
      <c r="I98" s="16">
        <f t="shared" si="30"/>
        <v>13737.870000000003</v>
      </c>
      <c r="J98" s="16">
        <f t="shared" si="30"/>
        <v>13930.139999999992</v>
      </c>
      <c r="K98" s="16">
        <f t="shared" si="30"/>
        <v>13888.259999999995</v>
      </c>
      <c r="L98" s="16">
        <f t="shared" si="30"/>
        <v>13248.390000000003</v>
      </c>
      <c r="M98" s="16">
        <f t="shared" si="23"/>
        <v>13724.119999999999</v>
      </c>
      <c r="N98" s="65"/>
      <c r="O98" s="65"/>
      <c r="P98" s="66"/>
      <c r="Q98" s="65"/>
      <c r="R98" s="67"/>
      <c r="S98" s="58"/>
      <c r="T98" s="67"/>
      <c r="U98" s="67"/>
      <c r="V98" s="33"/>
      <c r="W98" s="29"/>
    </row>
    <row r="99" spans="1:27">
      <c r="A99" s="86">
        <v>41410</v>
      </c>
      <c r="B99" s="120" t="s">
        <v>348</v>
      </c>
      <c r="C99" s="57" t="s">
        <v>79</v>
      </c>
      <c r="D99" s="58">
        <v>29335.040000000001</v>
      </c>
      <c r="E99" s="58">
        <v>29023.18</v>
      </c>
      <c r="F99" s="58">
        <v>29014.94</v>
      </c>
      <c r="G99" s="58">
        <v>29021.88</v>
      </c>
      <c r="H99" s="58">
        <v>29190.560000000001</v>
      </c>
      <c r="I99" s="58">
        <v>29325.31</v>
      </c>
      <c r="J99" s="58">
        <v>29028.2</v>
      </c>
      <c r="K99" s="58">
        <v>29008.560000000001</v>
      </c>
      <c r="L99" s="58">
        <v>29166.13</v>
      </c>
      <c r="M99" s="16">
        <f t="shared" si="23"/>
        <v>29123.755555555559</v>
      </c>
      <c r="N99" s="59">
        <f>IF((L100=""),"",MAX(D101:L101))</f>
        <v>14067.419999999998</v>
      </c>
      <c r="O99" s="59">
        <f>IF(L100="","",MIN(D101:L101))</f>
        <v>12276.030000000006</v>
      </c>
      <c r="P99" s="60">
        <f>IF((L101=""),"",AVERAGE(D101:L101))</f>
        <v>13536.94666666667</v>
      </c>
      <c r="Q99" s="156">
        <f>IF((L100=""),"",((N99-O99)/(N99+O99)*100))</f>
        <v>6.8001343787544606</v>
      </c>
      <c r="R99" s="61" t="str">
        <f>IF(L100="","",IF(Q99&lt;Z99,IF(O99&gt;V99,IF(N99&lt;W99,"PASS","FAIL"),"FAIL"),"FAIL"))</f>
        <v>PASS</v>
      </c>
      <c r="S99" s="62">
        <v>1159</v>
      </c>
      <c r="T99" s="61" t="s">
        <v>101</v>
      </c>
      <c r="U99" s="61"/>
      <c r="V99" s="110">
        <v>9000</v>
      </c>
      <c r="W99" s="110">
        <v>25000</v>
      </c>
      <c r="X99" s="111">
        <v>8090</v>
      </c>
      <c r="Y99" s="111">
        <v>12070</v>
      </c>
      <c r="Z99" s="112">
        <v>15</v>
      </c>
      <c r="AA99" s="112">
        <v>6</v>
      </c>
    </row>
    <row r="100" spans="1:27" ht="15.75">
      <c r="A100"/>
      <c r="B100" s="121"/>
      <c r="C100" s="57" t="s">
        <v>80</v>
      </c>
      <c r="D100" s="16">
        <v>24753.23</v>
      </c>
      <c r="E100" s="16">
        <v>24339.83</v>
      </c>
      <c r="F100" s="16">
        <v>24325.8</v>
      </c>
      <c r="G100" s="16">
        <v>24556.71</v>
      </c>
      <c r="H100" s="16">
        <v>25098.55</v>
      </c>
      <c r="I100" s="16">
        <v>24686.53</v>
      </c>
      <c r="J100" s="16">
        <v>24387.53</v>
      </c>
      <c r="K100" s="16">
        <v>24478.71</v>
      </c>
      <c r="L100" s="16">
        <v>24876.07</v>
      </c>
      <c r="M100" s="16">
        <f t="shared" si="23"/>
        <v>24611.440000000002</v>
      </c>
      <c r="N100" s="53"/>
      <c r="O100" s="53"/>
      <c r="P100" s="63"/>
      <c r="Q100" s="53"/>
      <c r="R100" s="64"/>
      <c r="S100" s="54"/>
      <c r="T100" s="64"/>
      <c r="U100" s="64"/>
      <c r="V100" s="32"/>
      <c r="W100" s="29"/>
    </row>
    <row r="101" spans="1:27" ht="28.5" customHeight="1">
      <c r="A101"/>
      <c r="B101" s="121"/>
      <c r="C101" s="57" t="s">
        <v>82</v>
      </c>
      <c r="D101" s="16">
        <f t="shared" ref="D101:L101" si="31">IF(((D99="")*AND(D100="")),"",(D99-D100)*3)</f>
        <v>13745.430000000004</v>
      </c>
      <c r="E101" s="16">
        <f t="shared" si="31"/>
        <v>14050.049999999996</v>
      </c>
      <c r="F101" s="16">
        <f t="shared" si="31"/>
        <v>14067.419999999998</v>
      </c>
      <c r="G101" s="16">
        <f t="shared" si="31"/>
        <v>13395.510000000006</v>
      </c>
      <c r="H101" s="16">
        <f t="shared" si="31"/>
        <v>12276.030000000006</v>
      </c>
      <c r="I101" s="16">
        <f t="shared" si="31"/>
        <v>13916.340000000007</v>
      </c>
      <c r="J101" s="16">
        <f t="shared" si="31"/>
        <v>13922.010000000006</v>
      </c>
      <c r="K101" s="16">
        <f t="shared" si="31"/>
        <v>13589.550000000007</v>
      </c>
      <c r="L101" s="16">
        <f t="shared" si="31"/>
        <v>12870.180000000004</v>
      </c>
      <c r="M101" s="16">
        <f t="shared" si="23"/>
        <v>13536.94666666667</v>
      </c>
      <c r="N101" s="65"/>
      <c r="O101" s="65"/>
      <c r="P101" s="66"/>
      <c r="Q101" s="65"/>
      <c r="R101" s="67"/>
      <c r="S101" s="58"/>
      <c r="T101" s="67"/>
      <c r="U101" s="67"/>
      <c r="V101" s="33"/>
      <c r="W101" s="29"/>
    </row>
    <row r="102" spans="1:27">
      <c r="A102" s="86">
        <v>41414</v>
      </c>
      <c r="B102" s="120" t="s">
        <v>348</v>
      </c>
      <c r="C102" s="57" t="s">
        <v>79</v>
      </c>
      <c r="D102" s="58">
        <v>29339.200000000001</v>
      </c>
      <c r="E102" s="58">
        <v>29045.97</v>
      </c>
      <c r="F102" s="58">
        <v>29036.78</v>
      </c>
      <c r="G102" s="58">
        <v>29042.68</v>
      </c>
      <c r="H102" s="58">
        <v>29237.599999999999</v>
      </c>
      <c r="I102" s="58">
        <v>29347.89</v>
      </c>
      <c r="J102" s="58">
        <v>29049.55</v>
      </c>
      <c r="K102" s="58">
        <v>29022.93</v>
      </c>
      <c r="L102" s="58">
        <v>29208.400000000001</v>
      </c>
      <c r="M102" s="16">
        <f t="shared" si="23"/>
        <v>29147.888888888891</v>
      </c>
      <c r="N102" s="59">
        <f>IF((L103=""),"",MAX(D104:L104))</f>
        <v>16757.399999999998</v>
      </c>
      <c r="O102" s="59">
        <f>IF(L103="","",MIN(D104:L104))</f>
        <v>14513.129999999997</v>
      </c>
      <c r="P102" s="60">
        <f>IF((L104=""),"",AVERAGE(D104:L104))</f>
        <v>15969.356666666668</v>
      </c>
      <c r="Q102" s="156">
        <f>IF((L103=""),"",((N102-O102)/(N102+O102)*100))</f>
        <v>7.1769490315642264</v>
      </c>
      <c r="R102" s="61" t="str">
        <f>IF(L103="","",IF(Q102&lt;Z102,IF(O102&gt;V102,IF(N102&lt;W102,"PASS","FAIL"),"FAIL"),"FAIL"))</f>
        <v>PASS</v>
      </c>
      <c r="S102" s="62">
        <v>1159</v>
      </c>
      <c r="T102" s="61" t="s">
        <v>102</v>
      </c>
      <c r="U102" s="61"/>
      <c r="V102" s="110">
        <v>9000</v>
      </c>
      <c r="W102" s="110">
        <v>25000</v>
      </c>
      <c r="X102" s="111">
        <v>8090</v>
      </c>
      <c r="Y102" s="111">
        <v>12070</v>
      </c>
      <c r="Z102" s="112">
        <v>15</v>
      </c>
      <c r="AA102" s="112">
        <v>6</v>
      </c>
    </row>
    <row r="103" spans="1:27" ht="15.75">
      <c r="A103"/>
      <c r="B103" s="121"/>
      <c r="C103" s="57" t="s">
        <v>80</v>
      </c>
      <c r="D103" s="16">
        <v>23826.3</v>
      </c>
      <c r="E103" s="16">
        <v>23522.53</v>
      </c>
      <c r="F103" s="16">
        <v>23450.98</v>
      </c>
      <c r="G103" s="16">
        <v>23829.87</v>
      </c>
      <c r="H103" s="16">
        <v>24399.89</v>
      </c>
      <c r="I103" s="16">
        <v>23935.27</v>
      </c>
      <c r="J103" s="16">
        <v>23626.13</v>
      </c>
      <c r="K103" s="16">
        <v>23709.55</v>
      </c>
      <c r="L103" s="16">
        <v>24122.41</v>
      </c>
      <c r="M103" s="16">
        <f t="shared" si="23"/>
        <v>23824.77</v>
      </c>
      <c r="N103" s="53"/>
      <c r="O103" s="53"/>
      <c r="P103" s="63"/>
      <c r="Q103" s="53"/>
      <c r="R103" s="64"/>
      <c r="S103" s="54"/>
      <c r="T103" s="64"/>
      <c r="U103" s="64"/>
      <c r="V103" s="32"/>
      <c r="W103" s="29"/>
    </row>
    <row r="104" spans="1:27" ht="28.5" customHeight="1">
      <c r="A104"/>
      <c r="B104" s="121"/>
      <c r="C104" s="57" t="s">
        <v>82</v>
      </c>
      <c r="D104" s="16">
        <f t="shared" ref="D104:L104" si="32">IF(((D102="")*AND(D103="")),"",(D102-D103)*3)</f>
        <v>16538.700000000004</v>
      </c>
      <c r="E104" s="16">
        <f t="shared" si="32"/>
        <v>16570.320000000007</v>
      </c>
      <c r="F104" s="16">
        <f t="shared" si="32"/>
        <v>16757.399999999998</v>
      </c>
      <c r="G104" s="16">
        <f t="shared" si="32"/>
        <v>15638.430000000004</v>
      </c>
      <c r="H104" s="16">
        <f t="shared" si="32"/>
        <v>14513.129999999997</v>
      </c>
      <c r="I104" s="16">
        <f t="shared" si="32"/>
        <v>16237.859999999997</v>
      </c>
      <c r="J104" s="16">
        <f t="shared" si="32"/>
        <v>16270.259999999995</v>
      </c>
      <c r="K104" s="16">
        <f t="shared" si="32"/>
        <v>15940.140000000003</v>
      </c>
      <c r="L104" s="16">
        <f t="shared" si="32"/>
        <v>15257.970000000005</v>
      </c>
      <c r="M104" s="16">
        <f t="shared" si="23"/>
        <v>15969.356666666668</v>
      </c>
      <c r="N104" s="65"/>
      <c r="O104" s="65"/>
      <c r="P104" s="66"/>
      <c r="Q104" s="65"/>
      <c r="R104" s="67"/>
      <c r="S104" s="58"/>
      <c r="T104" s="67"/>
      <c r="U104" s="67"/>
      <c r="V104" s="33"/>
      <c r="W104" s="29"/>
    </row>
    <row r="105" spans="1:27">
      <c r="A105" s="86">
        <v>41417</v>
      </c>
      <c r="B105" s="120" t="s">
        <v>348</v>
      </c>
      <c r="C105" s="57" t="s">
        <v>79</v>
      </c>
      <c r="D105" s="58">
        <v>29358.83</v>
      </c>
      <c r="E105" s="58">
        <v>29065.09</v>
      </c>
      <c r="F105" s="58">
        <v>29053.93</v>
      </c>
      <c r="G105" s="58">
        <v>29051.61</v>
      </c>
      <c r="H105" s="58">
        <v>29198.25</v>
      </c>
      <c r="I105" s="58">
        <v>29298.39</v>
      </c>
      <c r="J105" s="58">
        <v>29041.439999999999</v>
      </c>
      <c r="K105" s="58">
        <v>29039.9</v>
      </c>
      <c r="L105" s="58">
        <v>29194.33</v>
      </c>
      <c r="M105" s="16">
        <f t="shared" si="23"/>
        <v>29144.641111111112</v>
      </c>
      <c r="N105" s="59">
        <f>IF((L106=""),"",MAX(D107:L107))</f>
        <v>16501.319999999996</v>
      </c>
      <c r="O105" s="59">
        <f>IF(L106="","",MIN(D107:L107))</f>
        <v>14645.070000000007</v>
      </c>
      <c r="P105" s="60">
        <f>IF((L107=""),"",AVERAGE(D107:L107))</f>
        <v>15771.676666666666</v>
      </c>
      <c r="Q105" s="156">
        <f>IF((L106=""),"",((N105-O105)/(N105+O105)*100))</f>
        <v>5.9597597024887605</v>
      </c>
      <c r="R105" s="61" t="str">
        <f>IF(L106="","",IF(Q105&lt;Z105,IF(O105&gt;V105,IF(N105&lt;W105,"PASS","FAIL"),"FAIL"),"FAIL"))</f>
        <v>PASS</v>
      </c>
      <c r="S105" s="62">
        <v>1159</v>
      </c>
      <c r="T105" s="61" t="s">
        <v>103</v>
      </c>
      <c r="U105" s="61"/>
      <c r="V105" s="110">
        <v>9000</v>
      </c>
      <c r="W105" s="110">
        <v>25000</v>
      </c>
      <c r="X105" s="111">
        <v>8090</v>
      </c>
      <c r="Y105" s="111">
        <v>12070</v>
      </c>
      <c r="Z105" s="112">
        <v>15</v>
      </c>
      <c r="AA105" s="112">
        <v>6</v>
      </c>
    </row>
    <row r="106" spans="1:27" ht="15.75">
      <c r="A106"/>
      <c r="B106" s="121"/>
      <c r="C106" s="57" t="s">
        <v>80</v>
      </c>
      <c r="D106" s="16">
        <v>24477.14</v>
      </c>
      <c r="E106" s="16">
        <v>23936.29</v>
      </c>
      <c r="F106" s="16">
        <v>23553.49</v>
      </c>
      <c r="G106" s="16">
        <v>23576</v>
      </c>
      <c r="H106" s="16">
        <v>23796.23</v>
      </c>
      <c r="I106" s="16">
        <v>24271.88</v>
      </c>
      <c r="J106" s="16">
        <v>23822.91</v>
      </c>
      <c r="K106" s="16">
        <v>23666</v>
      </c>
      <c r="L106" s="16">
        <v>23886.799999999999</v>
      </c>
      <c r="M106" s="16">
        <f t="shared" si="23"/>
        <v>23887.415555555555</v>
      </c>
      <c r="N106" s="53"/>
      <c r="O106" s="53"/>
      <c r="P106" s="63"/>
      <c r="Q106" s="53"/>
      <c r="R106" s="64"/>
      <c r="S106" s="54"/>
      <c r="T106" s="64"/>
      <c r="U106" s="64"/>
      <c r="V106" s="32"/>
      <c r="W106" s="29"/>
    </row>
    <row r="107" spans="1:27" ht="28.5" customHeight="1">
      <c r="A107"/>
      <c r="B107" s="121"/>
      <c r="C107" s="57" t="s">
        <v>82</v>
      </c>
      <c r="D107" s="16">
        <f t="shared" ref="D107:L107" si="33">IF(((D105="")*AND(D106="")),"",(D105-D106)*3)</f>
        <v>14645.070000000007</v>
      </c>
      <c r="E107" s="16">
        <f t="shared" si="33"/>
        <v>15386.399999999998</v>
      </c>
      <c r="F107" s="16">
        <f t="shared" si="33"/>
        <v>16501.319999999996</v>
      </c>
      <c r="G107" s="16">
        <f t="shared" si="33"/>
        <v>16426.830000000002</v>
      </c>
      <c r="H107" s="16">
        <f t="shared" si="33"/>
        <v>16206.060000000001</v>
      </c>
      <c r="I107" s="16">
        <f t="shared" si="33"/>
        <v>15079.529999999995</v>
      </c>
      <c r="J107" s="16">
        <f t="shared" si="33"/>
        <v>15655.589999999997</v>
      </c>
      <c r="K107" s="16">
        <f t="shared" si="33"/>
        <v>16121.700000000004</v>
      </c>
      <c r="L107" s="16">
        <f t="shared" si="33"/>
        <v>15922.590000000007</v>
      </c>
      <c r="M107" s="16">
        <f t="shared" si="23"/>
        <v>15771.676666666666</v>
      </c>
      <c r="N107" s="65"/>
      <c r="O107" s="65"/>
      <c r="P107" s="66"/>
      <c r="Q107" s="65"/>
      <c r="R107" s="67"/>
      <c r="S107" s="58"/>
      <c r="T107" s="67"/>
      <c r="U107" s="67"/>
      <c r="V107" s="33"/>
      <c r="W107" s="29"/>
    </row>
    <row r="108" spans="1:27">
      <c r="A108" s="86">
        <v>41421</v>
      </c>
      <c r="B108" s="120" t="s">
        <v>348</v>
      </c>
      <c r="C108" s="57" t="s">
        <v>79</v>
      </c>
      <c r="D108" s="58">
        <v>29286.98</v>
      </c>
      <c r="E108" s="58">
        <v>28964.959999999999</v>
      </c>
      <c r="F108" s="58">
        <v>28954.6</v>
      </c>
      <c r="G108" s="58">
        <v>28972.09</v>
      </c>
      <c r="H108" s="58">
        <v>29167.09</v>
      </c>
      <c r="I108" s="58">
        <v>29258.68</v>
      </c>
      <c r="J108" s="58">
        <v>28961.33</v>
      </c>
      <c r="K108" s="58">
        <v>28970.400000000001</v>
      </c>
      <c r="L108" s="58">
        <v>29180.35</v>
      </c>
      <c r="M108" s="16">
        <f t="shared" si="23"/>
        <v>29079.608888888888</v>
      </c>
      <c r="N108" s="59">
        <f>IF((L109=""),"",MAX(D110:L110))</f>
        <v>13555.049999999996</v>
      </c>
      <c r="O108" s="59">
        <f>IF(L109="","",MIN(D110:L110))</f>
        <v>12024.029999999995</v>
      </c>
      <c r="P108" s="60">
        <f>IF((L110=""),"",AVERAGE(D110:L110))</f>
        <v>13072.93</v>
      </c>
      <c r="Q108" s="156">
        <f>IF((L109=""),"",((N108-O108)/(N108+O108)*100))</f>
        <v>5.9854381001975092</v>
      </c>
      <c r="R108" s="61" t="str">
        <f>IF(L109="","",IF(Q108&lt;Z108,IF(O108&gt;V108,IF(N108&lt;W108,"PASS","FAIL"),"FAIL"),"FAIL"))</f>
        <v>PASS</v>
      </c>
      <c r="S108" s="62">
        <v>1159</v>
      </c>
      <c r="T108" s="61" t="s">
        <v>104</v>
      </c>
      <c r="U108" s="61"/>
      <c r="V108" s="110">
        <v>9000</v>
      </c>
      <c r="W108" s="110">
        <v>25000</v>
      </c>
      <c r="X108" s="111">
        <v>8090</v>
      </c>
      <c r="Y108" s="111">
        <v>12070</v>
      </c>
      <c r="Z108" s="112">
        <v>15</v>
      </c>
      <c r="AA108" s="112">
        <v>6</v>
      </c>
    </row>
    <row r="109" spans="1:27" ht="15.75">
      <c r="A109"/>
      <c r="B109" s="121"/>
      <c r="C109" s="57" t="s">
        <v>80</v>
      </c>
      <c r="D109" s="16">
        <v>24804.48</v>
      </c>
      <c r="E109" s="16">
        <v>24446.61</v>
      </c>
      <c r="F109" s="16">
        <v>24439.279999999999</v>
      </c>
      <c r="G109" s="16">
        <v>24663.38</v>
      </c>
      <c r="H109" s="16">
        <v>25159.08</v>
      </c>
      <c r="I109" s="16">
        <v>24845.35</v>
      </c>
      <c r="J109" s="16">
        <v>24493.4</v>
      </c>
      <c r="K109" s="16">
        <v>24605.78</v>
      </c>
      <c r="L109" s="16">
        <v>25040.33</v>
      </c>
      <c r="M109" s="16">
        <f t="shared" si="23"/>
        <v>24721.965555555555</v>
      </c>
      <c r="N109" s="53"/>
      <c r="O109" s="53"/>
      <c r="P109" s="63"/>
      <c r="Q109" s="53"/>
      <c r="R109" s="64"/>
      <c r="S109" s="54"/>
      <c r="T109" s="64"/>
      <c r="U109" s="64"/>
      <c r="V109" s="32"/>
      <c r="W109" s="29"/>
    </row>
    <row r="110" spans="1:27" ht="28.5" customHeight="1">
      <c r="A110"/>
      <c r="B110" s="121"/>
      <c r="C110" s="57" t="s">
        <v>82</v>
      </c>
      <c r="D110" s="16">
        <f t="shared" ref="D110:L110" si="34">IF(((D108="")*AND(D109="")),"",(D108-D109)*3)</f>
        <v>13447.5</v>
      </c>
      <c r="E110" s="16">
        <f t="shared" si="34"/>
        <v>13555.049999999996</v>
      </c>
      <c r="F110" s="16">
        <f t="shared" si="34"/>
        <v>13545.96</v>
      </c>
      <c r="G110" s="16">
        <f t="shared" si="34"/>
        <v>12926.129999999997</v>
      </c>
      <c r="H110" s="16">
        <f t="shared" si="34"/>
        <v>12024.029999999995</v>
      </c>
      <c r="I110" s="16">
        <f t="shared" si="34"/>
        <v>13239.990000000005</v>
      </c>
      <c r="J110" s="16">
        <f t="shared" si="34"/>
        <v>13403.79</v>
      </c>
      <c r="K110" s="16">
        <f t="shared" si="34"/>
        <v>13093.860000000008</v>
      </c>
      <c r="L110" s="16">
        <f t="shared" si="34"/>
        <v>12420.05999999999</v>
      </c>
      <c r="M110" s="16">
        <f t="shared" si="23"/>
        <v>13072.93</v>
      </c>
      <c r="N110" s="65"/>
      <c r="O110" s="65"/>
      <c r="P110" s="66"/>
      <c r="Q110" s="65"/>
      <c r="R110" s="67"/>
      <c r="S110" s="58"/>
      <c r="T110" s="67"/>
      <c r="U110" s="67"/>
      <c r="V110" s="33"/>
      <c r="W110" s="29"/>
    </row>
    <row r="111" spans="1:27">
      <c r="A111" s="86">
        <v>41424</v>
      </c>
      <c r="B111" s="120" t="s">
        <v>348</v>
      </c>
      <c r="C111" s="57" t="s">
        <v>79</v>
      </c>
      <c r="D111" s="58">
        <v>29268.54</v>
      </c>
      <c r="E111" s="58">
        <v>28946.959999999999</v>
      </c>
      <c r="F111" s="58">
        <v>28934.12</v>
      </c>
      <c r="G111" s="58">
        <v>28939.51</v>
      </c>
      <c r="H111" s="58">
        <v>29126.74</v>
      </c>
      <c r="I111" s="58">
        <v>29257.48</v>
      </c>
      <c r="J111" s="58">
        <v>28935.31</v>
      </c>
      <c r="K111" s="58">
        <v>28925.17</v>
      </c>
      <c r="L111" s="58">
        <v>29080</v>
      </c>
      <c r="M111" s="16">
        <f t="shared" si="23"/>
        <v>29045.981111111112</v>
      </c>
      <c r="N111" s="59">
        <f>IF((L112=""),"",MAX(D113:L113))</f>
        <v>11934.899999999998</v>
      </c>
      <c r="O111" s="59">
        <f>IF(L112="","",MIN(D113:L113))</f>
        <v>11231.700000000004</v>
      </c>
      <c r="P111" s="60">
        <f>IF((L113=""),"",AVERAGE(D113:L113))</f>
        <v>11647.349999999999</v>
      </c>
      <c r="Q111" s="156">
        <f>IF((L112=""),"",((N111-O111)/(N111+O111)*100))</f>
        <v>3.0354044184299522</v>
      </c>
      <c r="R111" s="61" t="str">
        <f>IF(L112="","",IF(Q111&lt;Z111,IF(O111&gt;V111,IF(N111&lt;W111,"PASS","FAIL"),"FAIL"),"FAIL"))</f>
        <v>PASS</v>
      </c>
      <c r="S111" s="62">
        <v>1159</v>
      </c>
      <c r="T111" s="61" t="s">
        <v>105</v>
      </c>
      <c r="U111" s="61"/>
      <c r="V111" s="110">
        <v>9000</v>
      </c>
      <c r="W111" s="110">
        <v>25000</v>
      </c>
      <c r="X111" s="111">
        <v>8090</v>
      </c>
      <c r="Y111" s="111">
        <v>12070</v>
      </c>
      <c r="Z111" s="112">
        <v>15</v>
      </c>
      <c r="AA111" s="112">
        <v>6</v>
      </c>
    </row>
    <row r="112" spans="1:27" ht="15.75">
      <c r="A112"/>
      <c r="B112" s="121"/>
      <c r="C112" s="57" t="s">
        <v>80</v>
      </c>
      <c r="D112" s="16">
        <v>25290.240000000002</v>
      </c>
      <c r="E112" s="16">
        <v>24984.06</v>
      </c>
      <c r="F112" s="16">
        <v>25064.3</v>
      </c>
      <c r="G112" s="16">
        <v>25066.78</v>
      </c>
      <c r="H112" s="16">
        <v>25382.84</v>
      </c>
      <c r="I112" s="16">
        <v>25294.67</v>
      </c>
      <c r="J112" s="16">
        <v>25015.39</v>
      </c>
      <c r="K112" s="16">
        <v>25046.32</v>
      </c>
      <c r="L112" s="16">
        <v>25327.18</v>
      </c>
      <c r="M112" s="16">
        <f t="shared" si="23"/>
        <v>25163.531111111115</v>
      </c>
      <c r="N112" s="53"/>
      <c r="O112" s="53"/>
      <c r="P112" s="63"/>
      <c r="Q112" s="53"/>
      <c r="R112" s="64"/>
      <c r="S112" s="54"/>
      <c r="T112" s="64"/>
      <c r="U112" s="64"/>
      <c r="V112" s="32"/>
      <c r="W112" s="29"/>
    </row>
    <row r="113" spans="1:27" ht="28.5" customHeight="1">
      <c r="A113"/>
      <c r="B113" s="121"/>
      <c r="C113" s="57" t="s">
        <v>82</v>
      </c>
      <c r="D113" s="16">
        <f t="shared" ref="D113:L113" si="35">IF(((D111="")*AND(D112="")),"",(D111-D112)*3)</f>
        <v>11934.899999999998</v>
      </c>
      <c r="E113" s="16">
        <f t="shared" si="35"/>
        <v>11888.699999999993</v>
      </c>
      <c r="F113" s="16">
        <f t="shared" si="35"/>
        <v>11609.46</v>
      </c>
      <c r="G113" s="16">
        <f t="shared" si="35"/>
        <v>11618.189999999999</v>
      </c>
      <c r="H113" s="16">
        <f t="shared" si="35"/>
        <v>11231.700000000004</v>
      </c>
      <c r="I113" s="16">
        <f t="shared" si="35"/>
        <v>11888.430000000004</v>
      </c>
      <c r="J113" s="16">
        <f t="shared" si="35"/>
        <v>11759.760000000006</v>
      </c>
      <c r="K113" s="16">
        <f t="shared" si="35"/>
        <v>11636.549999999996</v>
      </c>
      <c r="L113" s="16">
        <f t="shared" si="35"/>
        <v>11258.46</v>
      </c>
      <c r="M113" s="16">
        <f t="shared" si="23"/>
        <v>11647.349999999999</v>
      </c>
      <c r="N113" s="65"/>
      <c r="O113" s="65"/>
      <c r="P113" s="66"/>
      <c r="Q113" s="65"/>
      <c r="R113" s="67"/>
      <c r="S113" s="58"/>
      <c r="T113" s="67"/>
      <c r="U113" s="67"/>
      <c r="V113" s="33"/>
      <c r="W113" s="29"/>
    </row>
    <row r="114" spans="1:27">
      <c r="A114" s="86">
        <v>41431</v>
      </c>
      <c r="B114" s="120" t="s">
        <v>348</v>
      </c>
      <c r="C114" s="57" t="s">
        <v>79</v>
      </c>
      <c r="D114" s="58">
        <v>29292.240000000002</v>
      </c>
      <c r="E114" s="58">
        <v>28935.97</v>
      </c>
      <c r="F114" s="58">
        <v>28973.32</v>
      </c>
      <c r="G114" s="58">
        <v>28911.94</v>
      </c>
      <c r="H114" s="58">
        <v>29097.79</v>
      </c>
      <c r="I114" s="58">
        <v>29247.52</v>
      </c>
      <c r="J114" s="58">
        <v>28915.66</v>
      </c>
      <c r="K114" s="58">
        <v>28900.13</v>
      </c>
      <c r="L114" s="58">
        <v>29076.959999999999</v>
      </c>
      <c r="M114" s="16">
        <f t="shared" si="23"/>
        <v>29039.058888888889</v>
      </c>
      <c r="N114" s="59">
        <f>IF((L115=""),"",MAX(D116:L116))</f>
        <v>13294.5</v>
      </c>
      <c r="O114" s="59">
        <f>IF(L115="","",MIN(D116:L116))</f>
        <v>12113.129999999997</v>
      </c>
      <c r="P114" s="60">
        <f>IF((L116=""),"",AVERAGE(D116:L116))</f>
        <v>12865.893333333333</v>
      </c>
      <c r="Q114" s="156">
        <f>IF((L115=""),"",((N114-O114)/(N114+O114)*100))</f>
        <v>4.6496662616702249</v>
      </c>
      <c r="R114" s="61" t="str">
        <f>IF(L115="","",IF(Q114&lt;Z114,IF(O114&gt;V114,IF(N114&lt;W114,"PASS","FAIL"),"FAIL"),"FAIL"))</f>
        <v>PASS</v>
      </c>
      <c r="S114" s="62">
        <v>1159</v>
      </c>
      <c r="T114" s="61" t="s">
        <v>106</v>
      </c>
      <c r="U114" s="61"/>
      <c r="V114" s="110">
        <v>9000</v>
      </c>
      <c r="W114" s="110">
        <v>25000</v>
      </c>
      <c r="X114" s="111">
        <v>8090</v>
      </c>
      <c r="Y114" s="111">
        <v>12070</v>
      </c>
      <c r="Z114" s="112">
        <v>15</v>
      </c>
      <c r="AA114" s="112">
        <v>6</v>
      </c>
    </row>
    <row r="115" spans="1:27" ht="15.75">
      <c r="A115"/>
      <c r="B115" s="121"/>
      <c r="C115" s="57" t="s">
        <v>80</v>
      </c>
      <c r="D115" s="16">
        <v>24860.74</v>
      </c>
      <c r="E115" s="16">
        <v>24506.16</v>
      </c>
      <c r="F115" s="16">
        <v>24610.63</v>
      </c>
      <c r="G115" s="16">
        <v>24656.39</v>
      </c>
      <c r="H115" s="16">
        <v>25060.080000000002</v>
      </c>
      <c r="I115" s="16">
        <v>24872.1</v>
      </c>
      <c r="J115" s="16">
        <v>24535.63</v>
      </c>
      <c r="K115" s="16">
        <v>24638.25</v>
      </c>
      <c r="L115" s="16">
        <v>25013.87</v>
      </c>
      <c r="M115" s="16">
        <f t="shared" si="23"/>
        <v>24750.427777777779</v>
      </c>
      <c r="N115" s="53"/>
      <c r="O115" s="53"/>
      <c r="P115" s="63"/>
      <c r="Q115" s="53"/>
      <c r="R115" s="64"/>
      <c r="S115" s="54"/>
      <c r="T115" s="64"/>
      <c r="U115" s="64"/>
      <c r="V115" s="32"/>
      <c r="W115" s="29"/>
    </row>
    <row r="116" spans="1:27" ht="28.5" customHeight="1">
      <c r="A116"/>
      <c r="B116" s="121"/>
      <c r="C116" s="57" t="s">
        <v>82</v>
      </c>
      <c r="D116" s="16">
        <f t="shared" ref="D116:L116" si="36">IF(((D114="")*AND(D115="")),"",(D114-D115)*3)</f>
        <v>13294.5</v>
      </c>
      <c r="E116" s="16">
        <f t="shared" si="36"/>
        <v>13289.430000000004</v>
      </c>
      <c r="F116" s="16">
        <f t="shared" si="36"/>
        <v>13088.069999999996</v>
      </c>
      <c r="G116" s="16">
        <f t="shared" si="36"/>
        <v>12766.649999999998</v>
      </c>
      <c r="H116" s="16">
        <f t="shared" si="36"/>
        <v>12113.129999999997</v>
      </c>
      <c r="I116" s="16">
        <f t="shared" si="36"/>
        <v>13126.260000000006</v>
      </c>
      <c r="J116" s="16">
        <f t="shared" si="36"/>
        <v>13140.089999999997</v>
      </c>
      <c r="K116" s="16">
        <f t="shared" si="36"/>
        <v>12785.640000000003</v>
      </c>
      <c r="L116" s="16">
        <f t="shared" si="36"/>
        <v>12189.27</v>
      </c>
      <c r="M116" s="16">
        <f t="shared" si="23"/>
        <v>12865.893333333333</v>
      </c>
      <c r="N116" s="65"/>
      <c r="O116" s="65"/>
      <c r="P116" s="66"/>
      <c r="Q116" s="65"/>
      <c r="R116" s="67"/>
      <c r="S116" s="58"/>
      <c r="T116" s="67"/>
      <c r="U116" s="67"/>
      <c r="V116" s="33"/>
      <c r="W116" s="29"/>
    </row>
    <row r="117" spans="1:27">
      <c r="A117" s="86">
        <v>41435</v>
      </c>
      <c r="B117" s="120" t="s">
        <v>348</v>
      </c>
      <c r="C117" s="57" t="s">
        <v>79</v>
      </c>
      <c r="D117" s="58">
        <v>29392.68</v>
      </c>
      <c r="E117" s="58">
        <v>29017.55</v>
      </c>
      <c r="F117" s="58">
        <v>29054.959999999999</v>
      </c>
      <c r="G117" s="58">
        <v>28999.7</v>
      </c>
      <c r="H117" s="58">
        <v>29197.57</v>
      </c>
      <c r="I117" s="58">
        <v>29304.06</v>
      </c>
      <c r="J117" s="58">
        <v>28999.5</v>
      </c>
      <c r="K117" s="58">
        <v>28993.439999999999</v>
      </c>
      <c r="L117" s="58">
        <v>29191.75</v>
      </c>
      <c r="M117" s="16">
        <f t="shared" si="23"/>
        <v>29127.912222222218</v>
      </c>
      <c r="N117" s="59">
        <f>IF((L118=""),"",MAX(D119:L119))</f>
        <v>15029.25</v>
      </c>
      <c r="O117" s="59">
        <f>IF(L118="","",MIN(D119:L119))</f>
        <v>13332.839999999997</v>
      </c>
      <c r="P117" s="60">
        <f>IF((L119=""),"",AVERAGE(D119:L119))</f>
        <v>14397.353333333333</v>
      </c>
      <c r="Q117" s="156">
        <f>IF((L118=""),"",((N117-O117)/(N117+O117)*100))</f>
        <v>5.9812587859357462</v>
      </c>
      <c r="R117" s="61" t="str">
        <f>IF(L118="","",IF(Q117&lt;Z117,IF(O117&gt;V117,IF(N117&lt;W117,"PASS","FAIL"),"FAIL"),"FAIL"))</f>
        <v>PASS</v>
      </c>
      <c r="S117" s="62">
        <v>1159</v>
      </c>
      <c r="T117" s="61" t="s">
        <v>107</v>
      </c>
      <c r="U117" s="61"/>
      <c r="V117" s="110">
        <v>9000</v>
      </c>
      <c r="W117" s="110">
        <v>25000</v>
      </c>
      <c r="X117" s="111">
        <v>8090</v>
      </c>
      <c r="Y117" s="111">
        <v>12070</v>
      </c>
      <c r="Z117" s="112">
        <v>15</v>
      </c>
      <c r="AA117" s="112">
        <v>6</v>
      </c>
    </row>
    <row r="118" spans="1:27" ht="15.75">
      <c r="A118"/>
      <c r="B118" s="121"/>
      <c r="C118" s="57" t="s">
        <v>80</v>
      </c>
      <c r="D118" s="16">
        <v>24948.400000000001</v>
      </c>
      <c r="E118" s="16">
        <v>24302.98</v>
      </c>
      <c r="F118" s="16">
        <v>24198.05</v>
      </c>
      <c r="G118" s="16">
        <v>24004.61</v>
      </c>
      <c r="H118" s="16">
        <v>24187.82</v>
      </c>
      <c r="I118" s="16">
        <v>24716.17</v>
      </c>
      <c r="J118" s="16">
        <v>24179.98</v>
      </c>
      <c r="K118" s="16">
        <v>24109.99</v>
      </c>
      <c r="L118" s="16">
        <v>24311.15</v>
      </c>
      <c r="M118" s="16">
        <f t="shared" si="23"/>
        <v>24328.794444444447</v>
      </c>
      <c r="N118" s="53"/>
      <c r="O118" s="53"/>
      <c r="P118" s="63"/>
      <c r="Q118" s="53"/>
      <c r="R118" s="64"/>
      <c r="S118" s="54"/>
      <c r="T118" s="64"/>
      <c r="U118" s="64"/>
      <c r="V118" s="32"/>
      <c r="W118" s="29"/>
    </row>
    <row r="119" spans="1:27" ht="28.5" customHeight="1">
      <c r="A119"/>
      <c r="B119" s="121"/>
      <c r="C119" s="57" t="s">
        <v>82</v>
      </c>
      <c r="D119" s="16">
        <f t="shared" ref="D119:L119" si="37">IF(((D117="")*AND(D118="")),"",(D117-D118)*3)</f>
        <v>13332.839999999997</v>
      </c>
      <c r="E119" s="16">
        <f t="shared" si="37"/>
        <v>14143.71</v>
      </c>
      <c r="F119" s="16">
        <f t="shared" si="37"/>
        <v>14570.73</v>
      </c>
      <c r="G119" s="16">
        <f t="shared" si="37"/>
        <v>14985.27</v>
      </c>
      <c r="H119" s="16">
        <f t="shared" si="37"/>
        <v>15029.25</v>
      </c>
      <c r="I119" s="16">
        <f t="shared" si="37"/>
        <v>13763.670000000009</v>
      </c>
      <c r="J119" s="16">
        <f t="shared" si="37"/>
        <v>14458.560000000001</v>
      </c>
      <c r="K119" s="16">
        <f t="shared" si="37"/>
        <v>14650.349999999991</v>
      </c>
      <c r="L119" s="16">
        <f t="shared" si="37"/>
        <v>14641.799999999996</v>
      </c>
      <c r="M119" s="16">
        <f t="shared" si="23"/>
        <v>14397.353333333333</v>
      </c>
      <c r="N119" s="65"/>
      <c r="O119" s="65"/>
      <c r="P119" s="66"/>
      <c r="Q119" s="65"/>
      <c r="R119" s="67"/>
      <c r="S119" s="58"/>
      <c r="T119" s="67"/>
      <c r="U119" s="67"/>
      <c r="V119" s="33"/>
      <c r="W119" s="29"/>
    </row>
    <row r="120" spans="1:27">
      <c r="A120" s="86">
        <v>41451</v>
      </c>
      <c r="B120" s="120" t="s">
        <v>348</v>
      </c>
      <c r="C120" s="57" t="s">
        <v>79</v>
      </c>
      <c r="D120" s="58">
        <v>29539.72</v>
      </c>
      <c r="E120" s="58">
        <v>29206.94</v>
      </c>
      <c r="F120" s="58">
        <v>29229.33</v>
      </c>
      <c r="G120" s="58">
        <v>29198.73</v>
      </c>
      <c r="H120" s="58">
        <v>29367.55</v>
      </c>
      <c r="I120" s="58">
        <v>29463.919999999998</v>
      </c>
      <c r="J120" s="58">
        <v>29187.82</v>
      </c>
      <c r="K120" s="58">
        <v>29190.03</v>
      </c>
      <c r="L120" s="58">
        <v>29341.87</v>
      </c>
      <c r="M120" s="16"/>
      <c r="N120" s="59">
        <f>IF((L121=""),"",MAX(D122:L122))</f>
        <v>17284.319999999996</v>
      </c>
      <c r="O120" s="59">
        <f>IF(L121="","",MIN(D122:L122))</f>
        <v>15716.189999999999</v>
      </c>
      <c r="P120" s="60">
        <f>IF((L122=""),"",AVERAGE(D122:L122))</f>
        <v>16543.703333333331</v>
      </c>
      <c r="Q120" s="156">
        <f>IF((L121=""),"",((N120-O120)/(N120+O120)*100))</f>
        <v>4.7518356534489854</v>
      </c>
      <c r="R120" s="61" t="str">
        <f>IF(L121="","",IF(Q120&lt;Z120,IF(O120&gt;V120,IF(N120&lt;W120,"PASS","FAIL"),"FAIL"),"FAIL"))</f>
        <v>PASS</v>
      </c>
      <c r="S120" s="62">
        <v>1159</v>
      </c>
      <c r="T120" s="61"/>
      <c r="U120" s="61"/>
      <c r="V120" s="110">
        <v>9000</v>
      </c>
      <c r="W120" s="110">
        <v>25000</v>
      </c>
      <c r="X120" s="111">
        <v>8090</v>
      </c>
      <c r="Y120" s="111">
        <v>12070</v>
      </c>
      <c r="Z120" s="112">
        <v>15</v>
      </c>
      <c r="AA120" s="112">
        <v>6</v>
      </c>
    </row>
    <row r="121" spans="1:27" ht="15.75">
      <c r="A121"/>
      <c r="B121" s="121"/>
      <c r="C121" s="57" t="s">
        <v>80</v>
      </c>
      <c r="D121" s="16">
        <v>24112.05</v>
      </c>
      <c r="E121" s="16">
        <v>23642.33</v>
      </c>
      <c r="F121" s="16">
        <v>23630.09</v>
      </c>
      <c r="G121" s="16">
        <v>23749.81</v>
      </c>
      <c r="H121" s="16">
        <v>23858.55</v>
      </c>
      <c r="I121" s="16">
        <v>24225.19</v>
      </c>
      <c r="J121" s="16">
        <v>23826.42</v>
      </c>
      <c r="K121" s="16">
        <v>23469.93</v>
      </c>
      <c r="L121" s="16">
        <v>23580.43</v>
      </c>
      <c r="M121" s="16"/>
      <c r="N121" s="53"/>
      <c r="O121" s="53"/>
      <c r="P121" s="63"/>
      <c r="Q121" s="53"/>
      <c r="R121" s="64"/>
      <c r="S121" s="54"/>
      <c r="T121" s="64"/>
      <c r="U121" s="64"/>
      <c r="V121" s="32"/>
      <c r="W121" s="29"/>
    </row>
    <row r="122" spans="1:27" ht="28.5" customHeight="1">
      <c r="A122"/>
      <c r="B122" s="121"/>
      <c r="C122" s="57" t="s">
        <v>82</v>
      </c>
      <c r="D122" s="16">
        <f t="shared" ref="D122:L122" si="38">IF(((D120="")*AND(D121="")),"",(D120-D121)*3)</f>
        <v>16283.010000000006</v>
      </c>
      <c r="E122" s="16">
        <f t="shared" si="38"/>
        <v>16693.829999999991</v>
      </c>
      <c r="F122" s="16">
        <f t="shared" si="38"/>
        <v>16797.720000000005</v>
      </c>
      <c r="G122" s="16">
        <f t="shared" si="38"/>
        <v>16346.759999999995</v>
      </c>
      <c r="H122" s="16">
        <f t="shared" si="38"/>
        <v>16527</v>
      </c>
      <c r="I122" s="16">
        <f t="shared" si="38"/>
        <v>15716.189999999999</v>
      </c>
      <c r="J122" s="16">
        <f t="shared" si="38"/>
        <v>16084.200000000004</v>
      </c>
      <c r="K122" s="16">
        <f t="shared" si="38"/>
        <v>17160.299999999996</v>
      </c>
      <c r="L122" s="16">
        <f t="shared" si="38"/>
        <v>17284.319999999996</v>
      </c>
      <c r="M122" s="16">
        <f>SUM(D122:L122)/9</f>
        <v>16543.703333333331</v>
      </c>
      <c r="N122" s="65"/>
      <c r="O122" s="65"/>
      <c r="P122" s="66"/>
      <c r="Q122" s="65"/>
      <c r="R122" s="67"/>
      <c r="S122" s="58"/>
      <c r="T122" s="67"/>
      <c r="U122" s="67"/>
      <c r="V122" s="33"/>
      <c r="W122" s="29"/>
    </row>
    <row r="123" spans="1:27">
      <c r="A123" s="86">
        <v>41456</v>
      </c>
      <c r="B123" s="120" t="s">
        <v>348</v>
      </c>
      <c r="C123" s="57" t="s">
        <v>79</v>
      </c>
      <c r="D123" s="58">
        <v>29476.57</v>
      </c>
      <c r="E123" s="58">
        <v>29119.35</v>
      </c>
      <c r="F123" s="58">
        <v>29132.01</v>
      </c>
      <c r="G123" s="58">
        <v>29074.74</v>
      </c>
      <c r="H123" s="58">
        <v>29254.5</v>
      </c>
      <c r="I123" s="58">
        <v>29370.65</v>
      </c>
      <c r="J123" s="58">
        <v>29078.63</v>
      </c>
      <c r="K123" s="58">
        <v>29099.439999999999</v>
      </c>
      <c r="L123" s="58">
        <v>29314.240000000002</v>
      </c>
      <c r="M123" s="16"/>
      <c r="N123" s="59">
        <f>IF((L124=""),"",MAX(D125:L125))</f>
        <v>13727.099999999991</v>
      </c>
      <c r="O123" s="59">
        <f>IF(L124="","",MIN(D125:L125))</f>
        <v>12345.420000000009</v>
      </c>
      <c r="P123" s="60">
        <f>IF((L125=""),"",AVERAGE(D125:L125))</f>
        <v>13135.276666666668</v>
      </c>
      <c r="Q123" s="156">
        <f>IF((L124=""),"",((N123-O123)/(N123+O123)*100))</f>
        <v>5.2993726728370794</v>
      </c>
      <c r="R123" s="61" t="str">
        <f>IF(L124="","",IF(Q123&lt;Z123,IF(O123&gt;V123,IF(N123&lt;W123,"PASS","FAIL"),"FAIL"),"FAIL"))</f>
        <v>PASS</v>
      </c>
      <c r="S123" s="62">
        <v>1159</v>
      </c>
      <c r="T123" s="61"/>
      <c r="U123" s="61"/>
      <c r="V123" s="110">
        <v>9000</v>
      </c>
      <c r="W123" s="110">
        <v>25000</v>
      </c>
      <c r="X123" s="111">
        <v>8090</v>
      </c>
      <c r="Y123" s="111">
        <v>12070</v>
      </c>
      <c r="Z123" s="112">
        <v>15</v>
      </c>
      <c r="AA123" s="112">
        <v>6</v>
      </c>
    </row>
    <row r="124" spans="1:27" ht="15.75">
      <c r="A124"/>
      <c r="B124" s="121"/>
      <c r="C124" s="57" t="s">
        <v>80</v>
      </c>
      <c r="D124" s="16">
        <v>25174.47</v>
      </c>
      <c r="E124" s="16">
        <v>24650.400000000001</v>
      </c>
      <c r="F124" s="16">
        <v>24692.9</v>
      </c>
      <c r="G124" s="16">
        <v>24728.04</v>
      </c>
      <c r="H124" s="16">
        <v>24947.05</v>
      </c>
      <c r="I124" s="16">
        <v>25255.51</v>
      </c>
      <c r="J124" s="16">
        <v>24797.51</v>
      </c>
      <c r="K124" s="16">
        <v>24523.74</v>
      </c>
      <c r="L124" s="16">
        <v>24744.68</v>
      </c>
      <c r="M124" s="16"/>
      <c r="N124" s="53"/>
      <c r="O124" s="53"/>
      <c r="P124" s="63"/>
      <c r="Q124" s="53"/>
      <c r="R124" s="64"/>
      <c r="S124" s="54"/>
      <c r="T124" s="64"/>
      <c r="U124" s="64"/>
      <c r="V124" s="32"/>
      <c r="W124" s="29"/>
    </row>
    <row r="125" spans="1:27" ht="28.5" customHeight="1">
      <c r="A125"/>
      <c r="B125" s="121"/>
      <c r="C125" s="57" t="s">
        <v>82</v>
      </c>
      <c r="D125" s="16">
        <f t="shared" ref="D125:L125" si="39">IF(((D123="")*AND(D124="")),"",(D123-D124)*3)</f>
        <v>12906.299999999996</v>
      </c>
      <c r="E125" s="16">
        <f t="shared" si="39"/>
        <v>13406.849999999991</v>
      </c>
      <c r="F125" s="16">
        <f t="shared" si="39"/>
        <v>13317.329999999991</v>
      </c>
      <c r="G125" s="16">
        <f t="shared" si="39"/>
        <v>13040.100000000002</v>
      </c>
      <c r="H125" s="16">
        <f t="shared" si="39"/>
        <v>12922.350000000002</v>
      </c>
      <c r="I125" s="16">
        <f t="shared" si="39"/>
        <v>12345.420000000009</v>
      </c>
      <c r="J125" s="16">
        <f t="shared" si="39"/>
        <v>12843.360000000008</v>
      </c>
      <c r="K125" s="16">
        <f t="shared" si="39"/>
        <v>13727.099999999991</v>
      </c>
      <c r="L125" s="16">
        <f t="shared" si="39"/>
        <v>13708.680000000004</v>
      </c>
      <c r="M125" s="16">
        <f>SUM(D125:L125)/9</f>
        <v>13135.276666666668</v>
      </c>
      <c r="N125" s="65"/>
      <c r="O125" s="65"/>
      <c r="P125" s="66"/>
      <c r="Q125" s="65"/>
      <c r="R125" s="67"/>
      <c r="S125" s="58"/>
      <c r="T125" s="67"/>
      <c r="U125" s="67"/>
      <c r="V125" s="33"/>
      <c r="W125" s="29"/>
    </row>
    <row r="126" spans="1:27">
      <c r="A126" s="86">
        <v>41461</v>
      </c>
      <c r="B126" s="120" t="s">
        <v>348</v>
      </c>
      <c r="C126" s="57" t="s">
        <v>79</v>
      </c>
      <c r="D126" s="58">
        <v>29434.39</v>
      </c>
      <c r="E126" s="58">
        <v>29077.93</v>
      </c>
      <c r="F126" s="58">
        <v>29097.98</v>
      </c>
      <c r="G126" s="58">
        <v>29074.400000000001</v>
      </c>
      <c r="H126" s="58">
        <v>29276.81</v>
      </c>
      <c r="I126" s="58">
        <v>29344.38</v>
      </c>
      <c r="J126" s="58">
        <v>29060.85</v>
      </c>
      <c r="K126" s="58">
        <v>29058.81</v>
      </c>
      <c r="L126" s="58">
        <v>29291.87</v>
      </c>
      <c r="M126" s="16"/>
      <c r="N126" s="59">
        <f>IF((L127=""),"",MAX(D128:L128))</f>
        <v>16389.150000000009</v>
      </c>
      <c r="O126" s="59">
        <f>IF(L127="","",MIN(D128:L128))</f>
        <v>14622.720000000005</v>
      </c>
      <c r="P126" s="60">
        <f>IF((L128=""),"",AVERAGE(D128:L128))</f>
        <v>15738.109999999999</v>
      </c>
      <c r="Q126" s="156">
        <f>IF((L127=""),"",((N126-O126)/(N126+O126)*100))</f>
        <v>5.6959802810988283</v>
      </c>
      <c r="R126" s="61" t="str">
        <f>IF(L127="","",IF(Q126&lt;Z126,IF(O126&gt;V126,IF(N126&lt;W126,"PASS","FAIL"),"FAIL"),"FAIL"))</f>
        <v>PASS</v>
      </c>
      <c r="S126" s="62">
        <v>1159</v>
      </c>
      <c r="T126" s="61"/>
      <c r="U126" s="61"/>
      <c r="V126" s="110">
        <v>9000</v>
      </c>
      <c r="W126" s="110">
        <v>25000</v>
      </c>
      <c r="X126" s="111">
        <v>8090</v>
      </c>
      <c r="Y126" s="111">
        <v>12070</v>
      </c>
      <c r="Z126" s="112">
        <v>15</v>
      </c>
      <c r="AA126" s="112">
        <v>6</v>
      </c>
    </row>
    <row r="127" spans="1:27" ht="15.75">
      <c r="A127"/>
      <c r="B127" s="121"/>
      <c r="C127" s="57" t="s">
        <v>80</v>
      </c>
      <c r="D127" s="16">
        <v>24347.15</v>
      </c>
      <c r="E127" s="16">
        <v>23761.79</v>
      </c>
      <c r="F127" s="16">
        <v>23719.49</v>
      </c>
      <c r="G127" s="16">
        <v>23785.119999999999</v>
      </c>
      <c r="H127" s="16">
        <v>24059.52</v>
      </c>
      <c r="I127" s="16">
        <v>24470.14</v>
      </c>
      <c r="J127" s="16">
        <v>23890.29</v>
      </c>
      <c r="K127" s="16">
        <v>23595.759999999998</v>
      </c>
      <c r="L127" s="16">
        <v>23873.83</v>
      </c>
      <c r="M127" s="16"/>
      <c r="N127" s="53"/>
      <c r="O127" s="53"/>
      <c r="P127" s="63"/>
      <c r="Q127" s="53"/>
      <c r="R127" s="64"/>
      <c r="S127" s="54"/>
      <c r="T127" s="64"/>
      <c r="U127" s="64"/>
      <c r="V127" s="32"/>
      <c r="W127" s="29"/>
    </row>
    <row r="128" spans="1:27" ht="28.5" customHeight="1">
      <c r="A128"/>
      <c r="B128" s="121"/>
      <c r="C128" s="57" t="s">
        <v>82</v>
      </c>
      <c r="D128" s="16">
        <f t="shared" ref="D128:L128" si="40">IF(((D126="")*AND(D127="")),"",(D126-D127)*3)</f>
        <v>15261.719999999994</v>
      </c>
      <c r="E128" s="16">
        <f t="shared" si="40"/>
        <v>15948.419999999998</v>
      </c>
      <c r="F128" s="16">
        <f t="shared" si="40"/>
        <v>16135.469999999994</v>
      </c>
      <c r="G128" s="16">
        <f t="shared" si="40"/>
        <v>15867.840000000007</v>
      </c>
      <c r="H128" s="16">
        <f t="shared" si="40"/>
        <v>15651.870000000003</v>
      </c>
      <c r="I128" s="16">
        <f t="shared" si="40"/>
        <v>14622.720000000005</v>
      </c>
      <c r="J128" s="16">
        <f t="shared" si="40"/>
        <v>15511.679999999993</v>
      </c>
      <c r="K128" s="16">
        <f t="shared" si="40"/>
        <v>16389.150000000009</v>
      </c>
      <c r="L128" s="16">
        <f t="shared" si="40"/>
        <v>16254.119999999992</v>
      </c>
      <c r="M128" s="16">
        <f>SUM(D128:L128)/9</f>
        <v>15738.109999999999</v>
      </c>
      <c r="N128" s="65"/>
      <c r="O128" s="65"/>
      <c r="P128" s="66"/>
      <c r="Q128" s="65"/>
      <c r="R128" s="67"/>
      <c r="S128" s="58"/>
      <c r="T128" s="67"/>
      <c r="U128" s="67"/>
      <c r="V128" s="33"/>
      <c r="W128" s="29"/>
    </row>
    <row r="129" spans="1:27">
      <c r="A129" s="86">
        <v>41465</v>
      </c>
      <c r="B129" s="120" t="s">
        <v>348</v>
      </c>
      <c r="C129" s="57" t="s">
        <v>79</v>
      </c>
      <c r="D129" s="58">
        <v>29066.39</v>
      </c>
      <c r="E129" s="58">
        <v>28816.82</v>
      </c>
      <c r="F129" s="58">
        <v>28809.68</v>
      </c>
      <c r="G129" s="58">
        <v>28786.61</v>
      </c>
      <c r="H129" s="58">
        <v>29043.59</v>
      </c>
      <c r="I129" s="58">
        <v>29090.86</v>
      </c>
      <c r="J129" s="58">
        <v>28797.15</v>
      </c>
      <c r="K129" s="58">
        <v>28799.8</v>
      </c>
      <c r="L129" s="58">
        <v>29001.95</v>
      </c>
      <c r="M129" s="16"/>
      <c r="N129" s="59">
        <f>IF((L130=""),"",MAX(D131:L131))</f>
        <v>15506.550000000007</v>
      </c>
      <c r="O129" s="59">
        <f>IF(L130="","",MIN(D131:L131))</f>
        <v>13785.810000000001</v>
      </c>
      <c r="P129" s="60">
        <f>IF((L131=""),"",AVERAGE(D131:L131))</f>
        <v>14842.246666666666</v>
      </c>
      <c r="Q129" s="156">
        <f>IF((L130=""),"",((N129-O129)/(N129+O129)*100))</f>
        <v>5.8743645100633914</v>
      </c>
      <c r="R129" s="61" t="str">
        <f>IF(L130="","",IF(Q129&lt;Z129,IF(O129&gt;V129,IF(N129&lt;W129,"PASS","FAIL"),"FAIL"),"FAIL"))</f>
        <v>PASS</v>
      </c>
      <c r="S129" s="62">
        <v>1159</v>
      </c>
      <c r="T129" s="61"/>
      <c r="U129" s="61"/>
      <c r="V129" s="110">
        <v>9000</v>
      </c>
      <c r="W129" s="110">
        <v>25000</v>
      </c>
      <c r="X129" s="111">
        <v>8090</v>
      </c>
      <c r="Y129" s="111">
        <v>12070</v>
      </c>
      <c r="Z129" s="112">
        <v>15</v>
      </c>
      <c r="AA129" s="112">
        <v>6</v>
      </c>
    </row>
    <row r="130" spans="1:27" ht="15.75">
      <c r="A130"/>
      <c r="B130" s="121"/>
      <c r="C130" s="57" t="s">
        <v>80</v>
      </c>
      <c r="D130" s="16">
        <v>24113.78</v>
      </c>
      <c r="E130" s="16">
        <v>23789.45</v>
      </c>
      <c r="F130" s="16">
        <v>23741.21</v>
      </c>
      <c r="G130" s="16">
        <v>23783.99</v>
      </c>
      <c r="H130" s="16">
        <v>24367.83</v>
      </c>
      <c r="I130" s="16">
        <v>23955.01</v>
      </c>
      <c r="J130" s="16">
        <v>23628.3</v>
      </c>
      <c r="K130" s="16">
        <v>23899.86</v>
      </c>
      <c r="L130" s="16">
        <v>24406.68</v>
      </c>
      <c r="M130" s="16"/>
      <c r="N130" s="53"/>
      <c r="O130" s="53"/>
      <c r="P130" s="63"/>
      <c r="Q130" s="53"/>
      <c r="R130" s="64"/>
      <c r="S130" s="54"/>
      <c r="T130" s="64"/>
      <c r="U130" s="64"/>
      <c r="V130" s="32"/>
      <c r="W130" s="29"/>
    </row>
    <row r="131" spans="1:27" ht="28.5" customHeight="1">
      <c r="A131"/>
      <c r="B131" s="121"/>
      <c r="C131" s="57" t="s">
        <v>82</v>
      </c>
      <c r="D131" s="16">
        <f t="shared" ref="D131:L131" si="41">IF(((D129="")*AND(D130="")),"",(D129-D130)*3)</f>
        <v>14857.830000000002</v>
      </c>
      <c r="E131" s="16">
        <f t="shared" si="41"/>
        <v>15082.109999999997</v>
      </c>
      <c r="F131" s="16">
        <f t="shared" si="41"/>
        <v>15205.410000000003</v>
      </c>
      <c r="G131" s="16">
        <f t="shared" si="41"/>
        <v>15007.859999999997</v>
      </c>
      <c r="H131" s="16">
        <f t="shared" si="41"/>
        <v>14027.279999999995</v>
      </c>
      <c r="I131" s="16">
        <f t="shared" si="41"/>
        <v>15407.550000000007</v>
      </c>
      <c r="J131" s="16">
        <f t="shared" si="41"/>
        <v>15506.550000000007</v>
      </c>
      <c r="K131" s="16">
        <f t="shared" si="41"/>
        <v>14699.819999999996</v>
      </c>
      <c r="L131" s="16">
        <f t="shared" si="41"/>
        <v>13785.810000000001</v>
      </c>
      <c r="M131" s="16">
        <f>SUM(D131:L131)/9</f>
        <v>14842.246666666666</v>
      </c>
      <c r="N131" s="65"/>
      <c r="O131" s="65"/>
      <c r="P131" s="66"/>
      <c r="Q131" s="65"/>
      <c r="R131" s="67"/>
      <c r="S131" s="58"/>
      <c r="T131" s="67"/>
      <c r="U131" s="67"/>
      <c r="V131" s="33"/>
      <c r="W131" s="29"/>
    </row>
    <row r="132" spans="1:27">
      <c r="A132" s="86">
        <v>41470</v>
      </c>
      <c r="B132" s="120" t="s">
        <v>348</v>
      </c>
      <c r="C132" s="57" t="s">
        <v>79</v>
      </c>
      <c r="D132" s="58">
        <v>29349.94</v>
      </c>
      <c r="E132" s="58">
        <v>29117.65</v>
      </c>
      <c r="F132" s="58">
        <v>29168.23</v>
      </c>
      <c r="G132" s="58">
        <v>29122.09</v>
      </c>
      <c r="H132" s="58">
        <v>29350.639999999999</v>
      </c>
      <c r="I132" s="58">
        <v>29396.09</v>
      </c>
      <c r="J132" s="58">
        <v>29133.58</v>
      </c>
      <c r="K132" s="58">
        <v>29123.08</v>
      </c>
      <c r="L132" s="58">
        <v>29339.39</v>
      </c>
      <c r="M132" s="16">
        <f t="shared" ref="M132:M152" si="42">SUM(D132:L132)/9</f>
        <v>29233.41</v>
      </c>
      <c r="N132" s="59">
        <f>IF((L133=""),"",MAX(D134:L134))</f>
        <v>15562.02</v>
      </c>
      <c r="O132" s="59">
        <f>IF(L133="","",MIN(D134:L134))</f>
        <v>13839.839999999997</v>
      </c>
      <c r="P132" s="60">
        <f>IF((L134=""),"",AVERAGE(D134:L134))</f>
        <v>14894.216666666667</v>
      </c>
      <c r="Q132" s="156">
        <f>IF((L133=""),"",((N132-O132)/(N132+O132)*100))</f>
        <v>5.8573845328152849</v>
      </c>
      <c r="R132" s="61" t="str">
        <f>IF(L133="","",IF(Q132&lt;Z132,IF(O132&gt;V132,IF(N132&lt;W132,"PASS","FAIL"),"FAIL"),"FAIL"))</f>
        <v>PASS</v>
      </c>
      <c r="S132" s="62">
        <v>1159</v>
      </c>
      <c r="T132" s="61"/>
      <c r="U132" s="61"/>
      <c r="V132" s="110">
        <v>9000</v>
      </c>
      <c r="W132" s="110">
        <v>25000</v>
      </c>
      <c r="X132" s="111">
        <v>8090</v>
      </c>
      <c r="Y132" s="111">
        <v>12070</v>
      </c>
      <c r="Z132" s="112">
        <v>15</v>
      </c>
      <c r="AA132" s="112">
        <v>6</v>
      </c>
    </row>
    <row r="133" spans="1:27" ht="15.75">
      <c r="A133"/>
      <c r="B133" s="121"/>
      <c r="C133" s="57" t="s">
        <v>80</v>
      </c>
      <c r="D133" s="16">
        <v>24393.93</v>
      </c>
      <c r="E133" s="16">
        <v>24070.51</v>
      </c>
      <c r="F133" s="16">
        <v>24110.97</v>
      </c>
      <c r="G133" s="16">
        <v>24104.04</v>
      </c>
      <c r="H133" s="16">
        <v>24634.66</v>
      </c>
      <c r="I133" s="16">
        <v>24208.75</v>
      </c>
      <c r="J133" s="16">
        <v>23955.46</v>
      </c>
      <c r="K133" s="16">
        <v>24213.61</v>
      </c>
      <c r="L133" s="16">
        <v>24726.11</v>
      </c>
      <c r="M133" s="16">
        <f t="shared" si="42"/>
        <v>24268.671111111107</v>
      </c>
      <c r="N133" s="53"/>
      <c r="O133" s="53"/>
      <c r="P133" s="63"/>
      <c r="Q133" s="53"/>
      <c r="R133" s="64"/>
      <c r="S133" s="54"/>
      <c r="T133" s="64"/>
      <c r="U133" s="64"/>
      <c r="V133" s="32"/>
      <c r="W133" s="29"/>
    </row>
    <row r="134" spans="1:27" ht="28.5" customHeight="1">
      <c r="A134"/>
      <c r="B134" s="121"/>
      <c r="C134" s="57" t="s">
        <v>82</v>
      </c>
      <c r="D134" s="16">
        <f t="shared" ref="D134:L134" si="43">IF(((D132="")*AND(D133="")),"",(D132-D133)*3)</f>
        <v>14868.029999999995</v>
      </c>
      <c r="E134" s="16">
        <f t="shared" si="43"/>
        <v>15141.420000000009</v>
      </c>
      <c r="F134" s="16">
        <f t="shared" si="43"/>
        <v>15171.779999999995</v>
      </c>
      <c r="G134" s="16">
        <f t="shared" si="43"/>
        <v>15054.149999999998</v>
      </c>
      <c r="H134" s="16">
        <f t="shared" si="43"/>
        <v>14147.939999999999</v>
      </c>
      <c r="I134" s="16">
        <f t="shared" si="43"/>
        <v>15562.02</v>
      </c>
      <c r="J134" s="16">
        <f t="shared" si="43"/>
        <v>15534.360000000008</v>
      </c>
      <c r="K134" s="16">
        <f t="shared" si="43"/>
        <v>14728.410000000003</v>
      </c>
      <c r="L134" s="16">
        <f t="shared" si="43"/>
        <v>13839.839999999997</v>
      </c>
      <c r="M134" s="16">
        <f t="shared" si="42"/>
        <v>14894.216666666667</v>
      </c>
      <c r="N134" s="65"/>
      <c r="O134" s="65"/>
      <c r="P134" s="66"/>
      <c r="Q134" s="65"/>
      <c r="R134" s="67"/>
      <c r="S134" s="58"/>
      <c r="T134" s="67"/>
      <c r="U134" s="67"/>
      <c r="V134" s="33"/>
      <c r="W134" s="29"/>
    </row>
    <row r="135" spans="1:27">
      <c r="A135" s="86">
        <v>41474</v>
      </c>
      <c r="B135" s="120" t="s">
        <v>348</v>
      </c>
      <c r="C135" s="57" t="s">
        <v>79</v>
      </c>
      <c r="D135" s="58">
        <v>26972.02</v>
      </c>
      <c r="E135" s="58">
        <v>26873.5</v>
      </c>
      <c r="F135" s="58">
        <v>26920.83</v>
      </c>
      <c r="G135" s="58">
        <v>26881.439999999999</v>
      </c>
      <c r="H135" s="58">
        <v>27143.85</v>
      </c>
      <c r="I135" s="58">
        <v>27056.82</v>
      </c>
      <c r="J135" s="58">
        <v>26888.27</v>
      </c>
      <c r="K135" s="58">
        <v>26866.33</v>
      </c>
      <c r="L135" s="58">
        <v>26970.04</v>
      </c>
      <c r="M135" s="16">
        <f t="shared" si="42"/>
        <v>26952.566666666666</v>
      </c>
      <c r="N135" s="59">
        <f>IF((L136=""),"",MAX(D137:L137))</f>
        <v>14273.669999999998</v>
      </c>
      <c r="O135" s="59">
        <f>IF(L136="","",MIN(D137:L137))</f>
        <v>12283.5</v>
      </c>
      <c r="P135" s="60">
        <f>IF((L137=""),"",AVERAGE(D137:L137))</f>
        <v>13547.629999999997</v>
      </c>
      <c r="Q135" s="156">
        <f>IF((L136=""),"",((N135-O135)/(N135+O135)*100))</f>
        <v>7.4939084247304901</v>
      </c>
      <c r="R135" s="61" t="str">
        <f>IF(L136="","",IF(Q135&lt;Z135,IF(O135&gt;V135,IF(N135&lt;W135,"PASS","FAIL"),"FAIL"),"FAIL"))</f>
        <v>PASS</v>
      </c>
      <c r="S135" s="62">
        <v>1159</v>
      </c>
      <c r="T135" s="61"/>
      <c r="U135" s="61"/>
      <c r="V135" s="110">
        <v>9000</v>
      </c>
      <c r="W135" s="110">
        <v>25000</v>
      </c>
      <c r="X135" s="111">
        <v>8090</v>
      </c>
      <c r="Y135" s="111">
        <v>12070</v>
      </c>
      <c r="Z135" s="112">
        <v>15</v>
      </c>
      <c r="AA135" s="112">
        <v>6</v>
      </c>
    </row>
    <row r="136" spans="1:27" ht="15.75">
      <c r="A136"/>
      <c r="B136" s="121"/>
      <c r="C136" s="57" t="s">
        <v>80</v>
      </c>
      <c r="D136" s="16">
        <v>22530.639999999999</v>
      </c>
      <c r="E136" s="16">
        <v>22298.18</v>
      </c>
      <c r="F136" s="16">
        <v>22339.79</v>
      </c>
      <c r="G136" s="16">
        <v>22276.53</v>
      </c>
      <c r="H136" s="16">
        <v>22744.84</v>
      </c>
      <c r="I136" s="16">
        <v>22302.99</v>
      </c>
      <c r="J136" s="16">
        <v>22130.38</v>
      </c>
      <c r="K136" s="16">
        <v>22431.32</v>
      </c>
      <c r="L136" s="16">
        <v>22875.54</v>
      </c>
      <c r="M136" s="16">
        <f t="shared" si="42"/>
        <v>22436.690000000002</v>
      </c>
      <c r="N136" s="53"/>
      <c r="O136" s="53"/>
      <c r="P136" s="63"/>
      <c r="Q136" s="53"/>
      <c r="R136" s="64"/>
      <c r="S136" s="54"/>
      <c r="T136" s="64"/>
      <c r="U136" s="64"/>
      <c r="V136" s="32"/>
      <c r="W136" s="29"/>
    </row>
    <row r="137" spans="1:27" ht="28.5" customHeight="1">
      <c r="A137"/>
      <c r="B137" s="121"/>
      <c r="C137" s="57" t="s">
        <v>82</v>
      </c>
      <c r="D137" s="16">
        <f t="shared" ref="D137:L137" si="44">IF(((D135="")*AND(D136="")),"",(D135-D136)*3)</f>
        <v>13324.140000000003</v>
      </c>
      <c r="E137" s="16">
        <f t="shared" si="44"/>
        <v>13725.96</v>
      </c>
      <c r="F137" s="16">
        <f t="shared" si="44"/>
        <v>13743.120000000003</v>
      </c>
      <c r="G137" s="16">
        <f t="shared" si="44"/>
        <v>13814.73</v>
      </c>
      <c r="H137" s="16">
        <f t="shared" si="44"/>
        <v>13197.029999999995</v>
      </c>
      <c r="I137" s="16">
        <f t="shared" si="44"/>
        <v>14261.489999999994</v>
      </c>
      <c r="J137" s="16">
        <f t="shared" si="44"/>
        <v>14273.669999999998</v>
      </c>
      <c r="K137" s="16">
        <f t="shared" si="44"/>
        <v>13305.030000000006</v>
      </c>
      <c r="L137" s="16">
        <f t="shared" si="44"/>
        <v>12283.5</v>
      </c>
      <c r="M137" s="16">
        <f t="shared" si="42"/>
        <v>13547.629999999997</v>
      </c>
      <c r="N137" s="65"/>
      <c r="O137" s="65"/>
      <c r="P137" s="66"/>
      <c r="Q137" s="65"/>
      <c r="R137" s="67"/>
      <c r="S137" s="58"/>
      <c r="T137" s="67"/>
      <c r="U137" s="67"/>
      <c r="V137" s="33"/>
      <c r="W137" s="29"/>
    </row>
    <row r="138" spans="1:27">
      <c r="A138" s="86">
        <v>41478</v>
      </c>
      <c r="B138" s="120" t="s">
        <v>348</v>
      </c>
      <c r="C138" s="57" t="s">
        <v>79</v>
      </c>
      <c r="D138" s="58">
        <v>27008.57</v>
      </c>
      <c r="E138" s="58">
        <v>26891.29</v>
      </c>
      <c r="F138" s="58">
        <v>26927.97</v>
      </c>
      <c r="G138" s="58">
        <v>26884.880000000001</v>
      </c>
      <c r="H138" s="58">
        <v>27024.11</v>
      </c>
      <c r="I138" s="58">
        <v>27041.62</v>
      </c>
      <c r="J138" s="58">
        <v>26891.7</v>
      </c>
      <c r="K138" s="58">
        <v>26900.57</v>
      </c>
      <c r="L138" s="58">
        <v>27045.23</v>
      </c>
      <c r="M138" s="16">
        <f t="shared" si="42"/>
        <v>26957.326666666671</v>
      </c>
      <c r="N138" s="59">
        <f>IF((L139=""),"",MAX(D140:L140))</f>
        <v>17444.73</v>
      </c>
      <c r="O138" s="59">
        <f>IF(L139="","",MIN(D140:L140))</f>
        <v>15646.949999999993</v>
      </c>
      <c r="P138" s="60">
        <f>IF((L140=""),"",AVERAGE(D140:L140))</f>
        <v>16687.789999999997</v>
      </c>
      <c r="Q138" s="156">
        <f>IF((L139=""),"",((N138-O138)/(N138+O138)*100))</f>
        <v>5.4327250837672985</v>
      </c>
      <c r="R138" s="61" t="str">
        <f>IF(L139="","",IF(Q138&lt;Z138,IF(O138&gt;V138,IF(N138&lt;W138,"PASS","FAIL"),"FAIL"),"FAIL"))</f>
        <v>PASS</v>
      </c>
      <c r="S138" s="62">
        <v>1159</v>
      </c>
      <c r="T138" s="61"/>
      <c r="U138" s="61"/>
      <c r="V138" s="110">
        <v>9000</v>
      </c>
      <c r="W138" s="110">
        <v>25000</v>
      </c>
      <c r="X138" s="111">
        <v>8090</v>
      </c>
      <c r="Y138" s="111">
        <v>12070</v>
      </c>
      <c r="Z138" s="112">
        <v>15</v>
      </c>
      <c r="AA138" s="112">
        <v>6</v>
      </c>
    </row>
    <row r="139" spans="1:27" ht="15.75">
      <c r="A139"/>
      <c r="B139" s="121"/>
      <c r="C139" s="57" t="s">
        <v>80</v>
      </c>
      <c r="D139" s="16">
        <v>21515.15</v>
      </c>
      <c r="E139" s="16">
        <v>21287.94</v>
      </c>
      <c r="F139" s="16">
        <v>21217.38</v>
      </c>
      <c r="G139" s="16">
        <v>21243.919999999998</v>
      </c>
      <c r="H139" s="16">
        <v>21732.02</v>
      </c>
      <c r="I139" s="16">
        <v>21226.71</v>
      </c>
      <c r="J139" s="16">
        <v>21105.37</v>
      </c>
      <c r="K139" s="16">
        <v>21394.5</v>
      </c>
      <c r="L139" s="16">
        <v>21829.58</v>
      </c>
      <c r="M139" s="16">
        <f t="shared" si="42"/>
        <v>21394.73</v>
      </c>
      <c r="N139" s="53"/>
      <c r="O139" s="53"/>
      <c r="P139" s="63"/>
      <c r="Q139" s="53"/>
      <c r="R139" s="64"/>
      <c r="S139" s="54"/>
      <c r="T139" s="64"/>
      <c r="U139" s="64"/>
      <c r="V139" s="32"/>
      <c r="W139" s="29"/>
    </row>
    <row r="140" spans="1:27" ht="28.5" customHeight="1">
      <c r="A140"/>
      <c r="B140" s="121"/>
      <c r="C140" s="57" t="s">
        <v>82</v>
      </c>
      <c r="D140" s="16">
        <f t="shared" ref="D140:L140" si="45">IF(((D138="")*AND(D139="")),"",(D138-D139)*3)</f>
        <v>16480.259999999995</v>
      </c>
      <c r="E140" s="16">
        <f t="shared" si="45"/>
        <v>16810.050000000007</v>
      </c>
      <c r="F140" s="16">
        <f t="shared" si="45"/>
        <v>17131.77</v>
      </c>
      <c r="G140" s="16">
        <f t="shared" si="45"/>
        <v>16922.880000000008</v>
      </c>
      <c r="H140" s="16">
        <f t="shared" si="45"/>
        <v>15876.27</v>
      </c>
      <c r="I140" s="16">
        <f t="shared" si="45"/>
        <v>17444.73</v>
      </c>
      <c r="J140" s="16">
        <f t="shared" si="45"/>
        <v>17358.990000000005</v>
      </c>
      <c r="K140" s="16">
        <f t="shared" si="45"/>
        <v>16518.21</v>
      </c>
      <c r="L140" s="16">
        <f t="shared" si="45"/>
        <v>15646.949999999993</v>
      </c>
      <c r="M140" s="16">
        <f t="shared" si="42"/>
        <v>16687.789999999997</v>
      </c>
      <c r="N140" s="65"/>
      <c r="O140" s="65"/>
      <c r="P140" s="66"/>
      <c r="Q140" s="65"/>
      <c r="R140" s="67"/>
      <c r="S140" s="58"/>
      <c r="T140" s="67"/>
      <c r="U140" s="67"/>
      <c r="V140" s="33"/>
      <c r="W140" s="29"/>
    </row>
    <row r="141" spans="1:27">
      <c r="A141" s="86">
        <v>41481</v>
      </c>
      <c r="B141" s="120" t="s">
        <v>348</v>
      </c>
      <c r="C141" s="57" t="s">
        <v>79</v>
      </c>
      <c r="D141" s="58">
        <v>27004.41</v>
      </c>
      <c r="E141" s="58">
        <v>26893.4</v>
      </c>
      <c r="F141" s="58">
        <v>26930.97</v>
      </c>
      <c r="G141" s="58">
        <v>26882.65</v>
      </c>
      <c r="H141" s="58">
        <v>27020.34</v>
      </c>
      <c r="I141" s="58">
        <v>27001.09</v>
      </c>
      <c r="J141" s="58">
        <v>26883.84</v>
      </c>
      <c r="K141" s="58">
        <v>26897.49</v>
      </c>
      <c r="L141" s="58">
        <v>27012.79</v>
      </c>
      <c r="M141" s="16">
        <f t="shared" si="42"/>
        <v>26947.44222222222</v>
      </c>
      <c r="N141" s="59">
        <f>IF((L142=""),"",MAX(D143:L143))</f>
        <v>14274.629999999997</v>
      </c>
      <c r="O141" s="59">
        <f>IF(L142="","",MIN(D143:L143))</f>
        <v>12790.200000000004</v>
      </c>
      <c r="P141" s="60">
        <f>IF((L143=""),"",AVERAGE(D143:L143))</f>
        <v>13745.560000000001</v>
      </c>
      <c r="Q141" s="156">
        <f>IF((L142=""),"",((N141-O141)/(N141+O141)*100))</f>
        <v>5.484719468032841</v>
      </c>
      <c r="R141" s="61" t="str">
        <f>IF(L142="","",IF(Q141&lt;Z141,IF(O141&gt;V141,IF(N141&lt;W141,"PASS","FAIL"),"FAIL"),"FAIL"))</f>
        <v>PASS</v>
      </c>
      <c r="S141" s="62">
        <v>1159</v>
      </c>
      <c r="T141" s="61"/>
      <c r="U141" s="61"/>
      <c r="V141" s="110">
        <v>9000</v>
      </c>
      <c r="W141" s="110">
        <v>25000</v>
      </c>
      <c r="X141" s="111">
        <v>8090</v>
      </c>
      <c r="Y141" s="111">
        <v>12070</v>
      </c>
      <c r="Z141" s="112">
        <v>15</v>
      </c>
      <c r="AA141" s="112">
        <v>6</v>
      </c>
    </row>
    <row r="142" spans="1:27" ht="15.75">
      <c r="A142"/>
      <c r="B142" s="121"/>
      <c r="C142" s="57" t="s">
        <v>80</v>
      </c>
      <c r="D142" s="16">
        <v>22452.95</v>
      </c>
      <c r="E142" s="16">
        <v>22248.02</v>
      </c>
      <c r="F142" s="16">
        <v>22262.59</v>
      </c>
      <c r="G142" s="16">
        <v>22226.36</v>
      </c>
      <c r="H142" s="16">
        <v>22629.7</v>
      </c>
      <c r="I142" s="16">
        <v>22269.78</v>
      </c>
      <c r="J142" s="16">
        <v>22125.63</v>
      </c>
      <c r="K142" s="16">
        <v>22325.88</v>
      </c>
      <c r="L142" s="16">
        <v>22749.39</v>
      </c>
      <c r="M142" s="16">
        <f t="shared" si="42"/>
        <v>22365.588888888888</v>
      </c>
      <c r="N142" s="53"/>
      <c r="O142" s="53"/>
      <c r="P142" s="63"/>
      <c r="Q142" s="53"/>
      <c r="R142" s="64"/>
      <c r="S142" s="54"/>
      <c r="T142" s="64"/>
      <c r="U142" s="64"/>
      <c r="V142" s="32"/>
      <c r="W142" s="29"/>
    </row>
    <row r="143" spans="1:27" ht="28.5" customHeight="1">
      <c r="A143"/>
      <c r="B143" s="121"/>
      <c r="C143" s="57" t="s">
        <v>82</v>
      </c>
      <c r="D143" s="16">
        <f t="shared" ref="D143:L143" si="46">IF(((D141="")*AND(D142="")),"",(D141-D142)*3)</f>
        <v>13654.379999999997</v>
      </c>
      <c r="E143" s="16">
        <f t="shared" si="46"/>
        <v>13936.140000000003</v>
      </c>
      <c r="F143" s="16">
        <f t="shared" si="46"/>
        <v>14005.140000000003</v>
      </c>
      <c r="G143" s="16">
        <f t="shared" si="46"/>
        <v>13968.870000000003</v>
      </c>
      <c r="H143" s="16">
        <f t="shared" si="46"/>
        <v>13171.919999999998</v>
      </c>
      <c r="I143" s="16">
        <f t="shared" si="46"/>
        <v>14193.930000000004</v>
      </c>
      <c r="J143" s="16">
        <f t="shared" si="46"/>
        <v>14274.629999999997</v>
      </c>
      <c r="K143" s="16">
        <f t="shared" si="46"/>
        <v>13714.830000000002</v>
      </c>
      <c r="L143" s="16">
        <f t="shared" si="46"/>
        <v>12790.200000000004</v>
      </c>
      <c r="M143" s="16">
        <f t="shared" si="42"/>
        <v>13745.560000000001</v>
      </c>
      <c r="N143" s="65"/>
      <c r="O143" s="65"/>
      <c r="P143" s="66"/>
      <c r="Q143" s="65"/>
      <c r="R143" s="67"/>
      <c r="S143" s="58"/>
      <c r="T143" s="67"/>
      <c r="U143" s="67"/>
      <c r="V143" s="33"/>
      <c r="W143" s="29"/>
    </row>
    <row r="144" spans="1:27">
      <c r="A144" s="86">
        <v>41485</v>
      </c>
      <c r="B144" s="120" t="s">
        <v>348</v>
      </c>
      <c r="C144" s="57" t="s">
        <v>79</v>
      </c>
      <c r="D144" s="58">
        <v>29398.54</v>
      </c>
      <c r="E144" s="58">
        <v>29183.46</v>
      </c>
      <c r="F144" s="58">
        <v>29235.9</v>
      </c>
      <c r="G144" s="58">
        <v>29204.63</v>
      </c>
      <c r="H144" s="58">
        <v>29461.81</v>
      </c>
      <c r="I144" s="58">
        <v>29409.96</v>
      </c>
      <c r="J144" s="58">
        <v>29176.26</v>
      </c>
      <c r="K144" s="58">
        <v>29205.83</v>
      </c>
      <c r="L144" s="58">
        <v>29430.61</v>
      </c>
      <c r="M144" s="16">
        <f t="shared" si="42"/>
        <v>29300.777777777777</v>
      </c>
      <c r="N144" s="59">
        <f>IF((L145=""),"",MAX(D146:L146))</f>
        <v>15536.009999999995</v>
      </c>
      <c r="O144" s="59">
        <f>IF(L145="","",MIN(D146:L146))</f>
        <v>13968.899999999998</v>
      </c>
      <c r="P144" s="60">
        <f>IF((L146=""),"",AVERAGE(D146:L146))</f>
        <v>14983.133333333335</v>
      </c>
      <c r="Q144" s="156">
        <f>IF((L145=""),"",((N144-O144)/(N144+O144)*100))</f>
        <v>5.3113532628975895</v>
      </c>
      <c r="R144" s="61" t="str">
        <f>IF(L145="","",IF(Q144&lt;Z144,IF(O144&gt;V144,IF(N144&lt;W144,"PASS","FAIL"),"FAIL"),"FAIL"))</f>
        <v>PASS</v>
      </c>
      <c r="S144" s="62">
        <v>1159</v>
      </c>
      <c r="T144" s="61"/>
      <c r="U144" s="61"/>
      <c r="V144" s="110">
        <v>9000</v>
      </c>
      <c r="W144" s="110">
        <v>25000</v>
      </c>
      <c r="X144" s="111">
        <v>8090</v>
      </c>
      <c r="Y144" s="111">
        <v>12070</v>
      </c>
      <c r="Z144" s="112">
        <v>15</v>
      </c>
      <c r="AA144" s="112">
        <v>6</v>
      </c>
    </row>
    <row r="145" spans="1:27" ht="15.75">
      <c r="A145"/>
      <c r="B145" s="121"/>
      <c r="C145" s="57" t="s">
        <v>80</v>
      </c>
      <c r="D145" s="16">
        <v>24444.959999999999</v>
      </c>
      <c r="E145" s="16">
        <v>24118.31</v>
      </c>
      <c r="F145" s="16">
        <v>24152.92</v>
      </c>
      <c r="G145" s="16">
        <v>24119.599999999999</v>
      </c>
      <c r="H145" s="16">
        <v>24667.54</v>
      </c>
      <c r="I145" s="16">
        <v>24260.26</v>
      </c>
      <c r="J145" s="16">
        <v>23997.59</v>
      </c>
      <c r="K145" s="16">
        <v>24222.11</v>
      </c>
      <c r="L145" s="16">
        <v>24774.31</v>
      </c>
      <c r="M145" s="16">
        <f t="shared" si="42"/>
        <v>24306.400000000005</v>
      </c>
      <c r="N145" s="53"/>
      <c r="O145" s="53"/>
      <c r="P145" s="63"/>
      <c r="Q145" s="53"/>
      <c r="R145" s="64"/>
      <c r="S145" s="54"/>
      <c r="T145" s="64"/>
      <c r="U145" s="64"/>
      <c r="V145" s="32"/>
      <c r="W145" s="29"/>
    </row>
    <row r="146" spans="1:27" ht="28.5" customHeight="1">
      <c r="A146"/>
      <c r="B146" s="121"/>
      <c r="C146" s="57" t="s">
        <v>82</v>
      </c>
      <c r="D146" s="16">
        <f t="shared" ref="D146:L146" si="47">IF(((D144="")*AND(D145="")),"",(D144-D145)*3)</f>
        <v>14860.740000000005</v>
      </c>
      <c r="E146" s="16">
        <f t="shared" si="47"/>
        <v>15195.449999999993</v>
      </c>
      <c r="F146" s="16">
        <f t="shared" si="47"/>
        <v>15248.94000000001</v>
      </c>
      <c r="G146" s="16">
        <f t="shared" si="47"/>
        <v>15255.090000000007</v>
      </c>
      <c r="H146" s="16">
        <f t="shared" si="47"/>
        <v>14382.810000000001</v>
      </c>
      <c r="I146" s="16">
        <f t="shared" si="47"/>
        <v>15449.100000000002</v>
      </c>
      <c r="J146" s="16">
        <f t="shared" si="47"/>
        <v>15536.009999999995</v>
      </c>
      <c r="K146" s="16">
        <f t="shared" si="47"/>
        <v>14951.160000000003</v>
      </c>
      <c r="L146" s="16">
        <f t="shared" si="47"/>
        <v>13968.899999999998</v>
      </c>
      <c r="M146" s="16">
        <f t="shared" si="42"/>
        <v>14983.133333333335</v>
      </c>
      <c r="N146" s="65"/>
      <c r="O146" s="65"/>
      <c r="P146" s="66"/>
      <c r="Q146" s="65"/>
      <c r="R146" s="67"/>
      <c r="S146" s="58"/>
      <c r="T146" s="67"/>
      <c r="U146" s="67"/>
      <c r="V146" s="33"/>
      <c r="W146" s="29"/>
    </row>
    <row r="147" spans="1:27">
      <c r="A147" s="86">
        <v>41489</v>
      </c>
      <c r="B147" s="120" t="s">
        <v>348</v>
      </c>
      <c r="C147" s="57" t="s">
        <v>79</v>
      </c>
      <c r="D147" s="58">
        <v>29232.81</v>
      </c>
      <c r="E147" s="58">
        <v>28999.37</v>
      </c>
      <c r="F147" s="58">
        <v>29031.23</v>
      </c>
      <c r="G147" s="58">
        <v>28980.61</v>
      </c>
      <c r="H147" s="58">
        <v>29239.599999999999</v>
      </c>
      <c r="I147" s="58">
        <v>29199.05</v>
      </c>
      <c r="J147" s="58">
        <v>28975.65</v>
      </c>
      <c r="K147" s="58">
        <v>28999.67</v>
      </c>
      <c r="L147" s="58">
        <v>29196.89</v>
      </c>
      <c r="M147" s="16">
        <f t="shared" si="42"/>
        <v>29094.986666666668</v>
      </c>
      <c r="N147" s="59">
        <f>IF((L148=""),"",MAX(D149:L149))</f>
        <v>16131.96</v>
      </c>
      <c r="O147" s="59">
        <f>IF(L148="","",MIN(D149:L149))</f>
        <v>13978.23</v>
      </c>
      <c r="P147" s="60">
        <f>IF((L149=""),"",AVERAGE(D149:L149))</f>
        <v>15304.436666666666</v>
      </c>
      <c r="Q147" s="156">
        <f>IF((L148=""),"",((N147-O147)/(N147+O147)*100))</f>
        <v>7.1528276639901636</v>
      </c>
      <c r="R147" s="61" t="str">
        <f>IF(L148="","",IF(Q147&lt;Z147,IF(O147&gt;V147,IF(N147&lt;W147,"PASS","FAIL"),"FAIL"),"FAIL"))</f>
        <v>PASS</v>
      </c>
      <c r="S147" s="62">
        <v>1159</v>
      </c>
      <c r="T147" s="61"/>
      <c r="U147" s="61"/>
      <c r="V147" s="110">
        <v>9000</v>
      </c>
      <c r="W147" s="110">
        <v>25000</v>
      </c>
      <c r="X147" s="111">
        <v>8090</v>
      </c>
      <c r="Y147" s="111">
        <v>12070</v>
      </c>
      <c r="Z147" s="112">
        <v>15</v>
      </c>
      <c r="AA147" s="112">
        <v>6</v>
      </c>
    </row>
    <row r="148" spans="1:27" ht="15.75">
      <c r="A148"/>
      <c r="B148" s="121"/>
      <c r="C148" s="57" t="s">
        <v>80</v>
      </c>
      <c r="D148" s="16">
        <v>23891.62</v>
      </c>
      <c r="E148" s="16">
        <v>23622.05</v>
      </c>
      <c r="F148" s="16">
        <v>23802.51</v>
      </c>
      <c r="G148" s="16">
        <v>23890.1</v>
      </c>
      <c r="H148" s="16">
        <v>24580.19</v>
      </c>
      <c r="I148" s="16">
        <v>24162.47</v>
      </c>
      <c r="J148" s="16">
        <v>23749.439999999999</v>
      </c>
      <c r="K148" s="16">
        <v>23915.69</v>
      </c>
      <c r="L148" s="16">
        <v>24327.5</v>
      </c>
      <c r="M148" s="16">
        <f t="shared" si="42"/>
        <v>23993.507777777777</v>
      </c>
      <c r="N148" s="53"/>
      <c r="O148" s="53"/>
      <c r="P148" s="63"/>
      <c r="Q148" s="53"/>
      <c r="R148" s="64"/>
      <c r="S148" s="54"/>
      <c r="T148" s="64"/>
      <c r="U148" s="64"/>
      <c r="V148" s="32"/>
      <c r="W148" s="29"/>
    </row>
    <row r="149" spans="1:27" ht="28.5" customHeight="1">
      <c r="A149"/>
      <c r="B149" s="121"/>
      <c r="C149" s="57" t="s">
        <v>82</v>
      </c>
      <c r="D149" s="16">
        <f t="shared" ref="D149:L149" si="48">IF(((D147="")*AND(D148="")),"",(D147-D148)*3)</f>
        <v>16023.570000000007</v>
      </c>
      <c r="E149" s="16">
        <f t="shared" si="48"/>
        <v>16131.96</v>
      </c>
      <c r="F149" s="16">
        <f t="shared" si="48"/>
        <v>15686.160000000003</v>
      </c>
      <c r="G149" s="16">
        <f t="shared" si="48"/>
        <v>15271.530000000006</v>
      </c>
      <c r="H149" s="16">
        <f t="shared" si="48"/>
        <v>13978.23</v>
      </c>
      <c r="I149" s="16">
        <f t="shared" si="48"/>
        <v>15109.739999999994</v>
      </c>
      <c r="J149" s="16">
        <f t="shared" si="48"/>
        <v>15678.630000000008</v>
      </c>
      <c r="K149" s="16">
        <f t="shared" si="48"/>
        <v>15251.939999999999</v>
      </c>
      <c r="L149" s="16">
        <f t="shared" si="48"/>
        <v>14608.169999999998</v>
      </c>
      <c r="M149" s="16">
        <f t="shared" si="42"/>
        <v>15304.436666666666</v>
      </c>
      <c r="N149" s="65"/>
      <c r="O149" s="65"/>
      <c r="P149" s="66"/>
      <c r="Q149" s="65"/>
      <c r="R149" s="67"/>
      <c r="S149" s="58"/>
      <c r="T149" s="67"/>
      <c r="U149" s="67"/>
      <c r="V149" s="33"/>
      <c r="W149" s="29"/>
    </row>
    <row r="150" spans="1:27">
      <c r="A150" s="86">
        <v>41502</v>
      </c>
      <c r="B150" s="120" t="s">
        <v>348</v>
      </c>
      <c r="C150" s="57" t="s">
        <v>79</v>
      </c>
      <c r="D150" s="58">
        <v>29298.73</v>
      </c>
      <c r="E150" s="58">
        <v>29080.43</v>
      </c>
      <c r="F150" s="58">
        <v>29126.87</v>
      </c>
      <c r="G150" s="58">
        <v>29092.43</v>
      </c>
      <c r="H150" s="58">
        <v>29283.98</v>
      </c>
      <c r="I150" s="58">
        <v>29364.48</v>
      </c>
      <c r="J150" s="58">
        <v>29107.16</v>
      </c>
      <c r="K150" s="58">
        <v>29092.01</v>
      </c>
      <c r="L150" s="58">
        <v>29310.6</v>
      </c>
      <c r="M150" s="16">
        <f t="shared" si="42"/>
        <v>29195.187777777777</v>
      </c>
      <c r="N150" s="59">
        <f>IF((L151=""),"",MAX(D152:L152))</f>
        <v>18698.819999999996</v>
      </c>
      <c r="O150" s="59">
        <f>IF(L151="","",MIN(D152:L152))</f>
        <v>16611.330000000002</v>
      </c>
      <c r="P150" s="60">
        <f>IF((L152=""),"",AVERAGE(D152:L152))</f>
        <v>17748.36</v>
      </c>
      <c r="Q150" s="156">
        <f>IF((L151=""),"",((N150-O150)/(N150+O150)*100))</f>
        <v>5.9118695332644995</v>
      </c>
      <c r="R150" s="61" t="str">
        <f>IF(L151="","",IF(Q150&lt;Z150,IF(O150&gt;V150,IF(N150&lt;W150,"PASS","FAIL"),"FAIL"),"FAIL"))</f>
        <v>PASS</v>
      </c>
      <c r="S150" s="62">
        <v>1159</v>
      </c>
      <c r="T150" s="61"/>
      <c r="U150" s="61"/>
      <c r="V150" s="110">
        <v>9000</v>
      </c>
      <c r="W150" s="110">
        <v>25000</v>
      </c>
      <c r="X150" s="111">
        <v>8090</v>
      </c>
      <c r="Y150" s="111">
        <v>12070</v>
      </c>
      <c r="Z150" s="112">
        <v>15</v>
      </c>
      <c r="AA150" s="112">
        <v>6</v>
      </c>
    </row>
    <row r="151" spans="1:27" ht="15.75">
      <c r="A151"/>
      <c r="B151" s="121"/>
      <c r="C151" s="57" t="s">
        <v>80</v>
      </c>
      <c r="D151" s="16">
        <v>23342.91</v>
      </c>
      <c r="E151" s="16">
        <v>23088.799999999999</v>
      </c>
      <c r="F151" s="16">
        <v>23094.959999999999</v>
      </c>
      <c r="G151" s="16">
        <v>23159.759999999998</v>
      </c>
      <c r="H151" s="16">
        <v>23746.87</v>
      </c>
      <c r="I151" s="16">
        <v>23131.54</v>
      </c>
      <c r="J151" s="16">
        <v>22942.75</v>
      </c>
      <c r="K151" s="16">
        <v>23265.55</v>
      </c>
      <c r="L151" s="16">
        <v>23738.47</v>
      </c>
      <c r="M151" s="16">
        <f t="shared" si="42"/>
        <v>23279.067777777775</v>
      </c>
      <c r="N151" s="53"/>
      <c r="O151" s="53"/>
      <c r="P151" s="63"/>
      <c r="Q151" s="53"/>
      <c r="R151" s="64"/>
      <c r="S151" s="54"/>
      <c r="T151" s="64"/>
      <c r="U151" s="64"/>
      <c r="V151" s="32"/>
      <c r="W151" s="29"/>
    </row>
    <row r="152" spans="1:27" ht="28.5" customHeight="1">
      <c r="A152"/>
      <c r="B152" s="121"/>
      <c r="C152" s="57" t="s">
        <v>82</v>
      </c>
      <c r="D152" s="16">
        <f t="shared" ref="D152:L152" si="49">IF(((D150="")*AND(D151="")),"",(D150-D151)*3)</f>
        <v>17867.46</v>
      </c>
      <c r="E152" s="16">
        <f t="shared" si="49"/>
        <v>17974.890000000003</v>
      </c>
      <c r="F152" s="16">
        <f t="shared" si="49"/>
        <v>18095.73</v>
      </c>
      <c r="G152" s="16">
        <f t="shared" si="49"/>
        <v>17798.010000000006</v>
      </c>
      <c r="H152" s="16">
        <f t="shared" si="49"/>
        <v>16611.330000000002</v>
      </c>
      <c r="I152" s="16">
        <f t="shared" si="49"/>
        <v>18698.819999999996</v>
      </c>
      <c r="J152" s="16">
        <f t="shared" si="49"/>
        <v>18493.23</v>
      </c>
      <c r="K152" s="16">
        <f t="shared" si="49"/>
        <v>17479.379999999997</v>
      </c>
      <c r="L152" s="16">
        <f t="shared" si="49"/>
        <v>16716.389999999992</v>
      </c>
      <c r="M152" s="16">
        <f t="shared" si="42"/>
        <v>17748.36</v>
      </c>
      <c r="N152" s="65"/>
      <c r="O152" s="65"/>
      <c r="P152" s="66"/>
      <c r="Q152" s="65"/>
      <c r="R152" s="67"/>
      <c r="S152" s="58"/>
      <c r="T152" s="67"/>
      <c r="U152" s="67"/>
      <c r="V152" s="33"/>
      <c r="W152" s="29"/>
    </row>
    <row r="153" spans="1:27">
      <c r="A153" s="86">
        <v>41506</v>
      </c>
      <c r="B153" s="120" t="s">
        <v>348</v>
      </c>
      <c r="C153" s="57" t="s">
        <v>79</v>
      </c>
      <c r="D153" s="58">
        <v>29288.63</v>
      </c>
      <c r="E153" s="58">
        <v>29056.16</v>
      </c>
      <c r="F153" s="58">
        <v>29100.57</v>
      </c>
      <c r="G153" s="58">
        <v>29068.21</v>
      </c>
      <c r="H153" s="58">
        <v>29306.51</v>
      </c>
      <c r="I153" s="58">
        <v>29299.15</v>
      </c>
      <c r="J153" s="58">
        <v>29050.28</v>
      </c>
      <c r="K153" s="58">
        <v>29076.85</v>
      </c>
      <c r="L153" s="58">
        <v>29296.75</v>
      </c>
      <c r="M153" s="16">
        <v>29171.46</v>
      </c>
      <c r="N153" s="59">
        <f>IF((L154=""),"",MAX(D155:L155))</f>
        <v>16644.990000000005</v>
      </c>
      <c r="O153" s="59">
        <f>IF(L154="","",MIN(D155:L155))</f>
        <v>15087.299999999996</v>
      </c>
      <c r="P153" s="60">
        <f>IF((L155=""),"",AVERAGE(D155:L155))</f>
        <v>15919.933333333329</v>
      </c>
      <c r="Q153" s="156">
        <f>IF((L154=""),"",((N153-O153)/(N153+O153)*100))</f>
        <v>4.9088483686491253</v>
      </c>
      <c r="R153" s="61" t="str">
        <f>IF(L154="","",IF(Q153&lt;Z153,IF(O153&gt;V153,IF(N153&lt;W153,"PASS","FAIL"),"FAIL"),"FAIL"))</f>
        <v>PASS</v>
      </c>
      <c r="S153" s="62">
        <v>1159</v>
      </c>
      <c r="T153" s="61"/>
      <c r="U153" s="61"/>
      <c r="V153" s="110">
        <v>9000</v>
      </c>
      <c r="W153" s="110">
        <v>25000</v>
      </c>
      <c r="X153" s="111">
        <v>8090</v>
      </c>
      <c r="Y153" s="111">
        <v>12070</v>
      </c>
      <c r="Z153" s="112">
        <v>15</v>
      </c>
      <c r="AA153" s="112">
        <v>6</v>
      </c>
    </row>
    <row r="154" spans="1:27" ht="15.75">
      <c r="A154"/>
      <c r="B154" s="121"/>
      <c r="C154" s="57" t="s">
        <v>80</v>
      </c>
      <c r="D154" s="16">
        <v>23950.52</v>
      </c>
      <c r="E154" s="16">
        <v>23666.38</v>
      </c>
      <c r="F154" s="16">
        <v>23745.75</v>
      </c>
      <c r="G154" s="16">
        <v>23748.23</v>
      </c>
      <c r="H154" s="16">
        <v>24273.52</v>
      </c>
      <c r="I154" s="16">
        <v>23750.82</v>
      </c>
      <c r="J154" s="16">
        <v>23539.06</v>
      </c>
      <c r="K154" s="16">
        <v>23841.38</v>
      </c>
      <c r="L154" s="16">
        <v>24267.65</v>
      </c>
      <c r="M154" s="16">
        <v>23864.81</v>
      </c>
      <c r="N154" s="53"/>
      <c r="O154" s="53"/>
      <c r="P154" s="63"/>
      <c r="Q154" s="53"/>
      <c r="R154" s="64"/>
      <c r="S154" s="54"/>
      <c r="T154" s="64"/>
      <c r="U154" s="64"/>
      <c r="V154" s="32"/>
      <c r="W154" s="29"/>
    </row>
    <row r="155" spans="1:27" ht="28.5" customHeight="1">
      <c r="A155"/>
      <c r="B155" s="121"/>
      <c r="C155" s="57" t="s">
        <v>82</v>
      </c>
      <c r="D155" s="16">
        <f t="shared" ref="D155:M155" si="50">IF(((D153="")*AND(D154="")),"",(D153-D154)*3)</f>
        <v>16014.330000000002</v>
      </c>
      <c r="E155" s="16">
        <f t="shared" si="50"/>
        <v>16169.339999999997</v>
      </c>
      <c r="F155" s="16">
        <f t="shared" si="50"/>
        <v>16064.46</v>
      </c>
      <c r="G155" s="16">
        <f t="shared" si="50"/>
        <v>15959.939999999999</v>
      </c>
      <c r="H155" s="16">
        <f t="shared" si="50"/>
        <v>15098.969999999994</v>
      </c>
      <c r="I155" s="16">
        <f t="shared" si="50"/>
        <v>16644.990000000005</v>
      </c>
      <c r="J155" s="16">
        <f t="shared" si="50"/>
        <v>16533.659999999993</v>
      </c>
      <c r="K155" s="16">
        <f t="shared" si="50"/>
        <v>15706.409999999993</v>
      </c>
      <c r="L155" s="16">
        <f t="shared" si="50"/>
        <v>15087.299999999996</v>
      </c>
      <c r="M155" s="16">
        <f t="shared" si="50"/>
        <v>15919.949999999993</v>
      </c>
      <c r="N155" s="65"/>
      <c r="O155" s="65"/>
      <c r="P155" s="66"/>
      <c r="Q155" s="65"/>
      <c r="R155" s="67"/>
      <c r="S155" s="58"/>
      <c r="T155" s="67"/>
      <c r="U155" s="67"/>
      <c r="V155" s="33"/>
      <c r="W155" s="29"/>
    </row>
    <row r="156" spans="1:27">
      <c r="A156" s="86">
        <v>41510</v>
      </c>
      <c r="B156" s="120" t="s">
        <v>348</v>
      </c>
      <c r="C156" s="57" t="s">
        <v>79</v>
      </c>
      <c r="D156" s="58">
        <v>29307.71</v>
      </c>
      <c r="E156" s="58">
        <v>29076.35</v>
      </c>
      <c r="F156" s="58">
        <v>29117.9</v>
      </c>
      <c r="G156" s="58">
        <v>29075.22</v>
      </c>
      <c r="H156" s="58">
        <v>29295.85</v>
      </c>
      <c r="I156" s="58">
        <v>29290.26</v>
      </c>
      <c r="J156" s="58">
        <v>29077.23</v>
      </c>
      <c r="K156" s="58">
        <v>29070.93</v>
      </c>
      <c r="L156" s="58">
        <v>29238.37</v>
      </c>
      <c r="M156" s="16">
        <f t="shared" ref="M156:M219" si="51">SUM(D156:L156)/9</f>
        <v>29172.202222222222</v>
      </c>
      <c r="N156" s="59">
        <f>IF((L157=""),"",MAX(D158:L158))</f>
        <v>17628.599999999991</v>
      </c>
      <c r="O156" s="59">
        <f>IF(L157="","",MIN(D158:L158))</f>
        <v>15255.869999999992</v>
      </c>
      <c r="P156" s="60">
        <f>IF((L158=""),"",AVERAGE(D158:L158))</f>
        <v>16645.62</v>
      </c>
      <c r="Q156" s="156">
        <f>IF((L157=""),"",((N156-O156)/(N156+O156)*100))</f>
        <v>7.2153511976930167</v>
      </c>
      <c r="R156" s="61" t="str">
        <f>IF(L157="","",IF(Q156&lt;Z156,IF(O156&gt;V156,IF(N156&lt;W156,"PASS","FAIL"),"FAIL"),"FAIL"))</f>
        <v>PASS</v>
      </c>
      <c r="S156" s="62">
        <v>1159</v>
      </c>
      <c r="T156" s="61"/>
      <c r="U156" s="61"/>
      <c r="V156" s="110">
        <v>9000</v>
      </c>
      <c r="W156" s="110">
        <v>25000</v>
      </c>
      <c r="X156" s="111">
        <v>8090</v>
      </c>
      <c r="Y156" s="111">
        <v>12070</v>
      </c>
      <c r="Z156" s="112">
        <v>15</v>
      </c>
      <c r="AA156" s="112">
        <v>6</v>
      </c>
    </row>
    <row r="157" spans="1:27" ht="15.75">
      <c r="A157"/>
      <c r="B157" s="121"/>
      <c r="C157" s="57" t="s">
        <v>80</v>
      </c>
      <c r="D157" s="16">
        <v>23676.15</v>
      </c>
      <c r="E157" s="16">
        <v>23451.02</v>
      </c>
      <c r="F157" s="16">
        <v>23556.84</v>
      </c>
      <c r="G157" s="16">
        <v>23602.03</v>
      </c>
      <c r="H157" s="16">
        <v>24210.560000000001</v>
      </c>
      <c r="I157" s="16">
        <v>23414.06</v>
      </c>
      <c r="J157" s="16">
        <v>23407.16</v>
      </c>
      <c r="K157" s="16">
        <v>23572.71</v>
      </c>
      <c r="L157" s="16">
        <v>23722.43</v>
      </c>
      <c r="M157" s="16">
        <f t="shared" si="51"/>
        <v>23623.662222222221</v>
      </c>
      <c r="N157" s="53"/>
      <c r="O157" s="53"/>
      <c r="P157" s="63"/>
      <c r="Q157" s="53"/>
      <c r="R157" s="64"/>
      <c r="S157" s="54"/>
      <c r="T157" s="64"/>
      <c r="U157" s="64"/>
      <c r="V157" s="32"/>
      <c r="W157" s="29"/>
    </row>
    <row r="158" spans="1:27" ht="28.5" customHeight="1">
      <c r="A158"/>
      <c r="B158" s="121"/>
      <c r="C158" s="57" t="s">
        <v>82</v>
      </c>
      <c r="D158" s="16">
        <f t="shared" ref="D158:L158" si="52">IF(((D156="")*AND(D157="")),"",(D156-D157)*3)</f>
        <v>16894.679999999993</v>
      </c>
      <c r="E158" s="16">
        <f t="shared" si="52"/>
        <v>16875.989999999994</v>
      </c>
      <c r="F158" s="16">
        <f t="shared" si="52"/>
        <v>16683.180000000004</v>
      </c>
      <c r="G158" s="16">
        <f t="shared" si="52"/>
        <v>16419.570000000007</v>
      </c>
      <c r="H158" s="16">
        <f t="shared" si="52"/>
        <v>15255.869999999992</v>
      </c>
      <c r="I158" s="16">
        <f t="shared" si="52"/>
        <v>17628.599999999991</v>
      </c>
      <c r="J158" s="16">
        <f t="shared" si="52"/>
        <v>17010.21</v>
      </c>
      <c r="K158" s="16">
        <f t="shared" si="52"/>
        <v>16494.660000000003</v>
      </c>
      <c r="L158" s="16">
        <f t="shared" si="52"/>
        <v>16547.819999999996</v>
      </c>
      <c r="M158" s="16">
        <f t="shared" si="51"/>
        <v>16645.62</v>
      </c>
      <c r="N158" s="65"/>
      <c r="O158" s="65"/>
      <c r="P158" s="66"/>
      <c r="Q158" s="65"/>
      <c r="R158" s="67"/>
      <c r="S158" s="58"/>
      <c r="T158" s="67"/>
      <c r="U158" s="67"/>
      <c r="V158" s="33"/>
      <c r="W158" s="29"/>
    </row>
    <row r="159" spans="1:27">
      <c r="A159" s="86">
        <v>41519</v>
      </c>
      <c r="B159" s="120" t="s">
        <v>348</v>
      </c>
      <c r="C159" s="57" t="s">
        <v>79</v>
      </c>
      <c r="D159" s="58">
        <v>29408.16</v>
      </c>
      <c r="E159" s="58">
        <v>29215.64</v>
      </c>
      <c r="F159" s="58">
        <v>29235.52</v>
      </c>
      <c r="G159" s="58">
        <v>29259.16</v>
      </c>
      <c r="H159" s="58">
        <v>30815.87</v>
      </c>
      <c r="I159" s="58">
        <v>29426.55</v>
      </c>
      <c r="J159" s="58">
        <v>29237.74</v>
      </c>
      <c r="K159" s="58">
        <v>29230.81</v>
      </c>
      <c r="L159" s="58">
        <v>29414.49</v>
      </c>
      <c r="M159" s="16">
        <f t="shared" si="51"/>
        <v>29471.54888888889</v>
      </c>
      <c r="N159" s="59">
        <f>IF((L160=""),"",MAX(D161:L161))</f>
        <v>17340.149999999998</v>
      </c>
      <c r="O159" s="59">
        <f>IF(L160="","",MIN(D161:L161))</f>
        <v>13017.060000000001</v>
      </c>
      <c r="P159" s="60">
        <f>IF((L161=""),"",AVERAGE(D161:L161))</f>
        <v>14378.233333333334</v>
      </c>
      <c r="Q159" s="156">
        <f>IF((L160=""),"",((N159-O159)/(N159+O159)*100))</f>
        <v>14.240735561667217</v>
      </c>
      <c r="R159" s="61" t="str">
        <f>IF(L160="","",IF(Q159&lt;Z159,IF(O159&gt;V159,IF(N159&lt;W159,"PASS","FAIL"),"FAIL"),"FAIL"))</f>
        <v>PASS</v>
      </c>
      <c r="S159" s="62">
        <v>1159</v>
      </c>
      <c r="T159" s="61"/>
      <c r="U159" s="61"/>
      <c r="V159" s="110">
        <v>9000</v>
      </c>
      <c r="W159" s="110">
        <v>25000</v>
      </c>
      <c r="X159" s="111">
        <v>8090</v>
      </c>
      <c r="Y159" s="111">
        <v>12070</v>
      </c>
      <c r="Z159" s="112">
        <v>15</v>
      </c>
      <c r="AA159" s="112">
        <v>6</v>
      </c>
    </row>
    <row r="160" spans="1:27" ht="15.75">
      <c r="A160"/>
      <c r="B160" s="121"/>
      <c r="C160" s="57" t="s">
        <v>80</v>
      </c>
      <c r="D160" s="16">
        <v>24832.13</v>
      </c>
      <c r="E160" s="16">
        <v>24535.51</v>
      </c>
      <c r="F160" s="16">
        <v>24548.93</v>
      </c>
      <c r="G160" s="16">
        <v>24554.05</v>
      </c>
      <c r="H160" s="16">
        <v>25035.82</v>
      </c>
      <c r="I160" s="16">
        <v>24479.89</v>
      </c>
      <c r="J160" s="16">
        <v>24377.27</v>
      </c>
      <c r="K160" s="16">
        <v>24670.17</v>
      </c>
      <c r="L160" s="16">
        <v>25075.47</v>
      </c>
      <c r="M160" s="16">
        <f t="shared" si="51"/>
        <v>24678.804444444446</v>
      </c>
      <c r="N160" s="53"/>
      <c r="O160" s="53"/>
      <c r="P160" s="63"/>
      <c r="Q160" s="53"/>
      <c r="R160" s="64"/>
      <c r="S160" s="54"/>
      <c r="T160" s="64"/>
      <c r="U160" s="64"/>
      <c r="V160" s="32"/>
      <c r="W160" s="29"/>
    </row>
    <row r="161" spans="1:27" ht="28.5" customHeight="1">
      <c r="A161"/>
      <c r="B161" s="121"/>
      <c r="C161" s="57" t="s">
        <v>82</v>
      </c>
      <c r="D161" s="16">
        <f t="shared" ref="D161:L161" si="53">IF(((D159="")*AND(D160="")),"",(D159-D160)*3)</f>
        <v>13728.089999999997</v>
      </c>
      <c r="E161" s="16">
        <f t="shared" si="53"/>
        <v>14040.390000000003</v>
      </c>
      <c r="F161" s="16">
        <f t="shared" si="53"/>
        <v>14059.77</v>
      </c>
      <c r="G161" s="16">
        <f t="shared" si="53"/>
        <v>14115.330000000002</v>
      </c>
      <c r="H161" s="16">
        <f t="shared" si="53"/>
        <v>17340.149999999998</v>
      </c>
      <c r="I161" s="16">
        <f t="shared" si="53"/>
        <v>14839.98</v>
      </c>
      <c r="J161" s="16">
        <f t="shared" si="53"/>
        <v>14581.410000000003</v>
      </c>
      <c r="K161" s="16">
        <f t="shared" si="53"/>
        <v>13681.920000000009</v>
      </c>
      <c r="L161" s="16">
        <f t="shared" si="53"/>
        <v>13017.060000000001</v>
      </c>
      <c r="M161" s="16">
        <f t="shared" si="51"/>
        <v>14378.233333333334</v>
      </c>
      <c r="N161" s="65"/>
      <c r="O161" s="65"/>
      <c r="P161" s="66"/>
      <c r="Q161" s="65"/>
      <c r="R161" s="67"/>
      <c r="S161" s="58"/>
      <c r="T161" s="67"/>
      <c r="U161" s="67"/>
      <c r="V161" s="33"/>
      <c r="W161" s="29"/>
    </row>
    <row r="162" spans="1:27">
      <c r="A162" s="86">
        <v>41526</v>
      </c>
      <c r="B162" s="120" t="s">
        <v>348</v>
      </c>
      <c r="C162" s="57" t="s">
        <v>79</v>
      </c>
      <c r="D162" s="58">
        <v>29373.82</v>
      </c>
      <c r="E162" s="58">
        <v>29154.38</v>
      </c>
      <c r="F162" s="58">
        <v>29159.89</v>
      </c>
      <c r="G162" s="58">
        <v>29156.18</v>
      </c>
      <c r="H162" s="58">
        <v>29376.41</v>
      </c>
      <c r="I162" s="58">
        <v>29418.09</v>
      </c>
      <c r="J162" s="58">
        <v>29163.32</v>
      </c>
      <c r="K162" s="58">
        <v>29158.23</v>
      </c>
      <c r="L162" s="58">
        <v>29372.880000000001</v>
      </c>
      <c r="M162" s="16">
        <f t="shared" si="51"/>
        <v>29259.244444444445</v>
      </c>
      <c r="N162" s="59">
        <f>IF((L163=""),"",MAX(D164:L164))</f>
        <v>14038.109999999997</v>
      </c>
      <c r="O162" s="59">
        <f>IF(L163="","",MIN(D164:L164))</f>
        <v>12559.950000000004</v>
      </c>
      <c r="P162" s="60">
        <f>IF((L164=""),"",AVERAGE(D164:L164))</f>
        <v>13349.886666666667</v>
      </c>
      <c r="Q162" s="156">
        <f>IF((L163=""),"",((N162-O162)/(N162+O162)*100))</f>
        <v>5.5573977951775149</v>
      </c>
      <c r="R162" s="61" t="str">
        <f>IF(L163="","",IF(Q162&lt;Z162,IF(O162&gt;V162,IF(N162&lt;W162,"PASS","FAIL"),"FAIL"),"FAIL"))</f>
        <v>PASS</v>
      </c>
      <c r="S162" s="62">
        <v>1159</v>
      </c>
      <c r="T162" s="61"/>
      <c r="U162" s="61"/>
      <c r="V162" s="110">
        <v>9000</v>
      </c>
      <c r="W162" s="110">
        <v>25000</v>
      </c>
      <c r="X162" s="111">
        <v>8090</v>
      </c>
      <c r="Y162" s="111">
        <v>12070</v>
      </c>
      <c r="Z162" s="112">
        <v>15</v>
      </c>
      <c r="AA162" s="112">
        <v>6</v>
      </c>
    </row>
    <row r="163" spans="1:27" ht="15.75">
      <c r="A163"/>
      <c r="B163" s="121"/>
      <c r="C163" s="57" t="s">
        <v>80</v>
      </c>
      <c r="D163" s="16">
        <v>24923.54</v>
      </c>
      <c r="E163" s="16">
        <v>24646.61</v>
      </c>
      <c r="F163" s="16">
        <v>24708.58</v>
      </c>
      <c r="G163" s="16">
        <v>24674.67</v>
      </c>
      <c r="H163" s="16">
        <v>25127.39</v>
      </c>
      <c r="I163" s="16">
        <v>24738.720000000001</v>
      </c>
      <c r="J163" s="16">
        <v>24516.26</v>
      </c>
      <c r="K163" s="16">
        <v>24761.54</v>
      </c>
      <c r="L163" s="16">
        <v>25186.23</v>
      </c>
      <c r="M163" s="16">
        <f t="shared" si="51"/>
        <v>24809.282222222228</v>
      </c>
      <c r="N163" s="53"/>
      <c r="O163" s="53"/>
      <c r="P163" s="63"/>
      <c r="Q163" s="53"/>
      <c r="R163" s="64"/>
      <c r="S163" s="54"/>
      <c r="T163" s="64"/>
      <c r="U163" s="64"/>
      <c r="V163" s="32"/>
      <c r="W163" s="29"/>
    </row>
    <row r="164" spans="1:27" ht="28.5" customHeight="1">
      <c r="A164"/>
      <c r="B164" s="121"/>
      <c r="C164" s="57" t="s">
        <v>82</v>
      </c>
      <c r="D164" s="16">
        <f t="shared" ref="D164:L164" si="54">IF(((D162="")*AND(D163="")),"",(D162-D163)*3)</f>
        <v>13350.839999999997</v>
      </c>
      <c r="E164" s="16">
        <f t="shared" si="54"/>
        <v>13523.310000000001</v>
      </c>
      <c r="F164" s="16">
        <f t="shared" si="54"/>
        <v>13353.929999999993</v>
      </c>
      <c r="G164" s="16">
        <f t="shared" si="54"/>
        <v>13444.530000000006</v>
      </c>
      <c r="H164" s="16">
        <f t="shared" si="54"/>
        <v>12747.060000000001</v>
      </c>
      <c r="I164" s="16">
        <f t="shared" si="54"/>
        <v>14038.109999999997</v>
      </c>
      <c r="J164" s="16">
        <f t="shared" si="54"/>
        <v>13941.180000000004</v>
      </c>
      <c r="K164" s="16">
        <f t="shared" si="54"/>
        <v>13190.069999999996</v>
      </c>
      <c r="L164" s="16">
        <f t="shared" si="54"/>
        <v>12559.950000000004</v>
      </c>
      <c r="M164" s="16">
        <f t="shared" si="51"/>
        <v>13349.886666666667</v>
      </c>
      <c r="N164" s="65"/>
      <c r="O164" s="65"/>
      <c r="P164" s="66"/>
      <c r="Q164" s="65"/>
      <c r="R164" s="67"/>
      <c r="S164" s="58"/>
      <c r="T164" s="67"/>
      <c r="U164" s="67"/>
      <c r="V164" s="33"/>
      <c r="W164" s="29"/>
    </row>
    <row r="165" spans="1:27">
      <c r="A165" s="86">
        <v>41533</v>
      </c>
      <c r="B165" s="120" t="s">
        <v>348</v>
      </c>
      <c r="C165" s="57" t="s">
        <v>79</v>
      </c>
      <c r="D165" s="58">
        <v>29277.49</v>
      </c>
      <c r="E165" s="58">
        <v>29064.2</v>
      </c>
      <c r="F165" s="58">
        <v>29059.62</v>
      </c>
      <c r="G165" s="58">
        <v>29079.040000000001</v>
      </c>
      <c r="H165" s="58">
        <v>29305.65</v>
      </c>
      <c r="I165" s="58">
        <v>29269.46</v>
      </c>
      <c r="J165" s="58">
        <v>29054.94</v>
      </c>
      <c r="K165" s="58">
        <v>29085.21</v>
      </c>
      <c r="L165" s="58">
        <v>29285.77</v>
      </c>
      <c r="M165" s="16">
        <f t="shared" si="51"/>
        <v>29164.597777777777</v>
      </c>
      <c r="N165" s="59">
        <f>IF((L166=""),"",MAX(D167:L167))</f>
        <v>14845.71</v>
      </c>
      <c r="O165" s="59">
        <f>IF(L166="","",MIN(D167:L167))</f>
        <v>12939.330000000002</v>
      </c>
      <c r="P165" s="60">
        <f>IF((L167=""),"",AVERAGE(D167:L167))</f>
        <v>14081.836666666664</v>
      </c>
      <c r="Q165" s="156">
        <f>IF((L166=""),"",((N165-O165)/(N165+O165)*100))</f>
        <v>6.8611742146133219</v>
      </c>
      <c r="R165" s="61" t="str">
        <f>IF(L166="","",IF(Q165&lt;Z165,IF(O165&gt;V165,IF(N165&lt;W165,"PASS","FAIL"),"FAIL"),"FAIL"))</f>
        <v>PASS</v>
      </c>
      <c r="S165" s="62">
        <v>1159</v>
      </c>
      <c r="T165" s="61"/>
      <c r="U165" s="61"/>
      <c r="V165" s="110">
        <v>9000</v>
      </c>
      <c r="W165" s="110">
        <v>25000</v>
      </c>
      <c r="X165" s="111">
        <v>8090</v>
      </c>
      <c r="Y165" s="111">
        <v>12070</v>
      </c>
      <c r="Z165" s="112">
        <v>15</v>
      </c>
      <c r="AA165" s="112">
        <v>6</v>
      </c>
    </row>
    <row r="166" spans="1:27" ht="15.75">
      <c r="A166"/>
      <c r="B166" s="121"/>
      <c r="C166" s="57" t="s">
        <v>80</v>
      </c>
      <c r="D166" s="16">
        <v>24548.29</v>
      </c>
      <c r="E166" s="16">
        <v>24254.13</v>
      </c>
      <c r="F166" s="16">
        <v>24323.42</v>
      </c>
      <c r="G166" s="16">
        <v>24360.25</v>
      </c>
      <c r="H166" s="16">
        <v>24874.74</v>
      </c>
      <c r="I166" s="16">
        <v>24320.89</v>
      </c>
      <c r="J166" s="16">
        <v>24136.61</v>
      </c>
      <c r="K166" s="16">
        <v>24444.880000000001</v>
      </c>
      <c r="L166" s="16">
        <v>24972.66</v>
      </c>
      <c r="M166" s="16">
        <f t="shared" si="51"/>
        <v>24470.652222222227</v>
      </c>
      <c r="N166" s="53"/>
      <c r="O166" s="53"/>
      <c r="P166" s="63"/>
      <c r="Q166" s="53"/>
      <c r="R166" s="64"/>
      <c r="S166" s="54"/>
      <c r="T166" s="64"/>
      <c r="U166" s="64"/>
      <c r="V166" s="32"/>
      <c r="W166" s="29"/>
    </row>
    <row r="167" spans="1:27" ht="28.5" customHeight="1">
      <c r="A167"/>
      <c r="B167" s="121"/>
      <c r="C167" s="57" t="s">
        <v>82</v>
      </c>
      <c r="D167" s="16">
        <f t="shared" ref="D167:L167" si="55">IF(((D165="")*AND(D166="")),"",(D165-D166)*3)</f>
        <v>14187.600000000002</v>
      </c>
      <c r="E167" s="16">
        <f t="shared" si="55"/>
        <v>14430.21</v>
      </c>
      <c r="F167" s="16">
        <f t="shared" si="55"/>
        <v>14208.600000000002</v>
      </c>
      <c r="G167" s="16">
        <f t="shared" si="55"/>
        <v>14156.370000000003</v>
      </c>
      <c r="H167" s="16">
        <f t="shared" si="55"/>
        <v>13292.73</v>
      </c>
      <c r="I167" s="16">
        <f t="shared" si="55"/>
        <v>14845.71</v>
      </c>
      <c r="J167" s="16">
        <f t="shared" si="55"/>
        <v>14754.989999999994</v>
      </c>
      <c r="K167" s="16">
        <f t="shared" si="55"/>
        <v>13920.989999999994</v>
      </c>
      <c r="L167" s="16">
        <f t="shared" si="55"/>
        <v>12939.330000000002</v>
      </c>
      <c r="M167" s="16">
        <f t="shared" si="51"/>
        <v>14081.836666666664</v>
      </c>
      <c r="N167" s="65"/>
      <c r="O167" s="65"/>
      <c r="P167" s="66"/>
      <c r="Q167" s="65"/>
      <c r="R167" s="67"/>
      <c r="S167" s="58"/>
      <c r="T167" s="67"/>
      <c r="U167" s="67"/>
      <c r="V167" s="33"/>
      <c r="W167" s="29"/>
    </row>
    <row r="168" spans="1:27">
      <c r="A168" s="86">
        <v>41540</v>
      </c>
      <c r="B168" s="120" t="s">
        <v>348</v>
      </c>
      <c r="C168" s="57" t="s">
        <v>79</v>
      </c>
      <c r="D168" s="58">
        <v>29343.11</v>
      </c>
      <c r="E168" s="58">
        <v>29122.37</v>
      </c>
      <c r="F168" s="58">
        <v>29116.47</v>
      </c>
      <c r="G168" s="58">
        <v>29116.95</v>
      </c>
      <c r="H168" s="58">
        <v>29364.35</v>
      </c>
      <c r="I168" s="58">
        <v>29325.03</v>
      </c>
      <c r="J168" s="58">
        <v>29115.71</v>
      </c>
      <c r="K168" s="58">
        <v>29123.68</v>
      </c>
      <c r="L168" s="58">
        <v>29295.75</v>
      </c>
      <c r="M168" s="16">
        <f t="shared" si="51"/>
        <v>29213.713333333333</v>
      </c>
      <c r="N168" s="59">
        <f>IF((L169=""),"",MAX(D170:L170))</f>
        <v>18470.699999999993</v>
      </c>
      <c r="O168" s="59">
        <f>IF(L169="","",MIN(D170:L170))</f>
        <v>15412.379999999997</v>
      </c>
      <c r="P168" s="60">
        <f>IF((L170=""),"",AVERAGE(D170:L170))</f>
        <v>17099.583333333332</v>
      </c>
      <c r="Q168" s="156">
        <f>IF((L169=""),"",((N168-O168)/(N168+O168)*100))</f>
        <v>9.0260979816474691</v>
      </c>
      <c r="R168" s="61" t="str">
        <f>IF(L169="","",IF(Q168&lt;Z168,IF(O168&gt;V168,IF(N168&lt;W168,"PASS","FAIL"),"FAIL"),"FAIL"))</f>
        <v>PASS</v>
      </c>
      <c r="S168" s="62">
        <v>1159</v>
      </c>
      <c r="T168" s="61"/>
      <c r="U168" s="61"/>
      <c r="V168" s="110">
        <v>9000</v>
      </c>
      <c r="W168" s="110">
        <v>25000</v>
      </c>
      <c r="X168" s="111">
        <v>8090</v>
      </c>
      <c r="Y168" s="111">
        <v>12070</v>
      </c>
      <c r="Z168" s="112">
        <v>15</v>
      </c>
      <c r="AA168" s="112">
        <v>6</v>
      </c>
    </row>
    <row r="169" spans="1:27" ht="15.75">
      <c r="A169"/>
      <c r="B169" s="121"/>
      <c r="C169" s="57" t="s">
        <v>80</v>
      </c>
      <c r="D169" s="16">
        <v>23556.94</v>
      </c>
      <c r="E169" s="16">
        <v>23245.83</v>
      </c>
      <c r="F169" s="16">
        <v>23303.25</v>
      </c>
      <c r="G169" s="16">
        <v>23439.23</v>
      </c>
      <c r="H169" s="16">
        <v>24110.58</v>
      </c>
      <c r="I169" s="16">
        <v>23168.13</v>
      </c>
      <c r="J169" s="16">
        <v>23103.18</v>
      </c>
      <c r="K169" s="16">
        <v>23539.24</v>
      </c>
      <c r="L169" s="16">
        <v>24158.29</v>
      </c>
      <c r="M169" s="16">
        <f t="shared" si="51"/>
        <v>23513.85222222222</v>
      </c>
      <c r="N169" s="53"/>
      <c r="O169" s="53"/>
      <c r="P169" s="63"/>
      <c r="Q169" s="53"/>
      <c r="R169" s="64"/>
      <c r="S169" s="54"/>
      <c r="T169" s="64"/>
      <c r="U169" s="64"/>
      <c r="V169" s="32"/>
      <c r="W169" s="29"/>
    </row>
    <row r="170" spans="1:27" ht="28.5" customHeight="1">
      <c r="A170"/>
      <c r="B170" s="121"/>
      <c r="C170" s="57" t="s">
        <v>82</v>
      </c>
      <c r="D170" s="16">
        <f t="shared" ref="D170:L170" si="56">IF(((D168="")*AND(D169="")),"",(D168-D169)*3)</f>
        <v>17358.510000000006</v>
      </c>
      <c r="E170" s="16">
        <f t="shared" si="56"/>
        <v>17629.619999999992</v>
      </c>
      <c r="F170" s="16">
        <f t="shared" si="56"/>
        <v>17439.660000000003</v>
      </c>
      <c r="G170" s="16">
        <f t="shared" si="56"/>
        <v>17033.160000000003</v>
      </c>
      <c r="H170" s="16">
        <f t="shared" si="56"/>
        <v>15761.30999999999</v>
      </c>
      <c r="I170" s="16">
        <f t="shared" si="56"/>
        <v>18470.699999999993</v>
      </c>
      <c r="J170" s="16">
        <f t="shared" si="56"/>
        <v>18037.589999999997</v>
      </c>
      <c r="K170" s="16">
        <f t="shared" si="56"/>
        <v>16753.319999999996</v>
      </c>
      <c r="L170" s="16">
        <f t="shared" si="56"/>
        <v>15412.379999999997</v>
      </c>
      <c r="M170" s="16">
        <f t="shared" si="51"/>
        <v>17099.583333333332</v>
      </c>
      <c r="N170" s="65"/>
      <c r="O170" s="65"/>
      <c r="P170" s="66"/>
      <c r="Q170" s="65"/>
      <c r="R170" s="67"/>
      <c r="S170" s="58"/>
      <c r="T170" s="67"/>
      <c r="U170" s="67"/>
      <c r="V170" s="33"/>
      <c r="W170" s="29"/>
    </row>
    <row r="171" spans="1:27">
      <c r="A171" s="86">
        <v>41543</v>
      </c>
      <c r="B171" s="120" t="s">
        <v>348</v>
      </c>
      <c r="C171" s="57" t="s">
        <v>79</v>
      </c>
      <c r="D171" s="58">
        <v>29529.14</v>
      </c>
      <c r="E171" s="58">
        <v>29191.7</v>
      </c>
      <c r="F171" s="58">
        <v>29223.08</v>
      </c>
      <c r="G171" s="58">
        <v>29187.88</v>
      </c>
      <c r="H171" s="58">
        <v>29407.34</v>
      </c>
      <c r="I171" s="58">
        <v>29512.28</v>
      </c>
      <c r="J171" s="58">
        <v>29183.200000000001</v>
      </c>
      <c r="K171" s="58">
        <v>29183.9</v>
      </c>
      <c r="L171" s="58">
        <v>29426.44</v>
      </c>
      <c r="M171" s="16">
        <f>SUM(D171:L171)/9</f>
        <v>29316.10666666667</v>
      </c>
      <c r="N171" s="59">
        <f>IF((L172=""),"",MAX(D173:L173))</f>
        <v>15231.629999999997</v>
      </c>
      <c r="O171" s="59">
        <f>IF(L172="","",MIN(D173:L173))</f>
        <v>13241.52</v>
      </c>
      <c r="P171" s="60">
        <f>IF((L173=""),"",AVERAGE(D173:L173))</f>
        <v>14365.576666666671</v>
      </c>
      <c r="Q171" s="156">
        <f>IF((L172=""),"",((N171-O171)/(N171+O171)*100))</f>
        <v>6.9894268811143023</v>
      </c>
      <c r="R171" s="61" t="str">
        <f>IF(L172="","",IF(Q171&lt;Z171,IF(O171&gt;V171,IF(N171&lt;W171,"PASS","FAIL"),"FAIL"),"FAIL"))</f>
        <v>PASS</v>
      </c>
      <c r="S171" s="62">
        <v>1159</v>
      </c>
      <c r="T171" s="61"/>
      <c r="U171" s="61"/>
      <c r="V171" s="110">
        <v>9000</v>
      </c>
      <c r="W171" s="110">
        <v>25000</v>
      </c>
      <c r="X171" s="111">
        <v>8090</v>
      </c>
      <c r="Y171" s="111">
        <v>12070</v>
      </c>
      <c r="Z171" s="112">
        <v>15</v>
      </c>
      <c r="AA171" s="112">
        <v>6</v>
      </c>
    </row>
    <row r="172" spans="1:27" ht="15.75">
      <c r="A172"/>
      <c r="B172" s="121"/>
      <c r="C172" s="57" t="s">
        <v>80</v>
      </c>
      <c r="D172" s="16">
        <v>24679.94</v>
      </c>
      <c r="E172" s="16">
        <v>24297.07</v>
      </c>
      <c r="F172" s="16">
        <v>24387</v>
      </c>
      <c r="G172" s="16">
        <v>24401.32</v>
      </c>
      <c r="H172" s="16">
        <v>24890.799999999999</v>
      </c>
      <c r="I172" s="16">
        <v>24435.07</v>
      </c>
      <c r="J172" s="16">
        <v>24175.22</v>
      </c>
      <c r="K172" s="16">
        <v>24469.21</v>
      </c>
      <c r="L172" s="16">
        <v>25012.6</v>
      </c>
      <c r="M172" s="16">
        <f>SUM(D172:L172)/9</f>
        <v>24527.581111111111</v>
      </c>
      <c r="N172" s="53"/>
      <c r="O172" s="53"/>
      <c r="P172" s="63"/>
      <c r="Q172" s="53"/>
      <c r="R172" s="64"/>
      <c r="S172" s="54"/>
      <c r="T172" s="64"/>
      <c r="U172" s="64"/>
      <c r="V172" s="32"/>
      <c r="W172" s="29"/>
    </row>
    <row r="173" spans="1:27" ht="28.5" customHeight="1">
      <c r="A173"/>
      <c r="B173" s="121"/>
      <c r="C173" s="57" t="s">
        <v>82</v>
      </c>
      <c r="D173" s="16">
        <f t="shared" ref="D173:L173" si="57">IF(((D171="")*AND(D172="")),"",(D171-D172)*3)</f>
        <v>14547.600000000002</v>
      </c>
      <c r="E173" s="16">
        <f t="shared" si="57"/>
        <v>14683.890000000003</v>
      </c>
      <c r="F173" s="16">
        <f t="shared" si="57"/>
        <v>14508.240000000005</v>
      </c>
      <c r="G173" s="16">
        <f t="shared" si="57"/>
        <v>14359.680000000004</v>
      </c>
      <c r="H173" s="16">
        <f t="shared" si="57"/>
        <v>13549.620000000003</v>
      </c>
      <c r="I173" s="16">
        <f t="shared" si="57"/>
        <v>15231.629999999997</v>
      </c>
      <c r="J173" s="16">
        <f t="shared" si="57"/>
        <v>15023.939999999999</v>
      </c>
      <c r="K173" s="16">
        <f t="shared" si="57"/>
        <v>14144.070000000007</v>
      </c>
      <c r="L173" s="16">
        <f t="shared" si="57"/>
        <v>13241.52</v>
      </c>
      <c r="M173" s="16">
        <f>SUM(D173:L173)/9</f>
        <v>14365.576666666671</v>
      </c>
      <c r="N173" s="65"/>
      <c r="O173" s="65"/>
      <c r="P173" s="66"/>
      <c r="Q173" s="65"/>
      <c r="R173" s="67"/>
      <c r="S173" s="58"/>
      <c r="T173" s="67"/>
      <c r="U173" s="67"/>
      <c r="V173" s="33"/>
      <c r="W173" s="29"/>
    </row>
    <row r="174" spans="1:27">
      <c r="A174" s="86">
        <v>41547</v>
      </c>
      <c r="B174" s="120" t="s">
        <v>348</v>
      </c>
      <c r="C174" s="57" t="s">
        <v>79</v>
      </c>
      <c r="D174" s="58">
        <v>29369.119999999999</v>
      </c>
      <c r="E174" s="58">
        <v>29162.51</v>
      </c>
      <c r="F174" s="58">
        <v>29150.55</v>
      </c>
      <c r="G174" s="58">
        <v>29165.29</v>
      </c>
      <c r="H174" s="58">
        <v>29365.45</v>
      </c>
      <c r="I174" s="58">
        <v>29402.38</v>
      </c>
      <c r="J174" s="58">
        <v>29179.72</v>
      </c>
      <c r="K174" s="58">
        <v>29168.92</v>
      </c>
      <c r="L174" s="58">
        <v>29358.29</v>
      </c>
      <c r="M174" s="16">
        <f t="shared" si="51"/>
        <v>29258.025555555552</v>
      </c>
      <c r="N174" s="59">
        <f>IF((L175=""),"",MAX(D176:L176))</f>
        <v>14954.820000000007</v>
      </c>
      <c r="O174" s="59">
        <f>IF(L175="","",MIN(D176:L176))</f>
        <v>12989.490000000005</v>
      </c>
      <c r="P174" s="60">
        <f>IF((L176=""),"",AVERAGE(D176:L176))</f>
        <v>14088.613333333335</v>
      </c>
      <c r="Q174" s="156">
        <f>IF((L175=""),"",((N174-O174)/(N174+O174)*100))</f>
        <v>7.0330238964569203</v>
      </c>
      <c r="R174" s="61" t="str">
        <f>IF(L175="","",IF(Q174&lt;Z174,IF(O174&gt;V174,IF(N174&lt;W174,"PASS","FAIL"),"FAIL"),"FAIL"))</f>
        <v>PASS</v>
      </c>
      <c r="S174" s="62">
        <v>1159</v>
      </c>
      <c r="T174" s="61"/>
      <c r="U174" s="61"/>
      <c r="V174" s="110">
        <v>9000</v>
      </c>
      <c r="W174" s="110">
        <v>25000</v>
      </c>
      <c r="X174" s="111">
        <v>8090</v>
      </c>
      <c r="Y174" s="111">
        <v>12070</v>
      </c>
      <c r="Z174" s="112">
        <v>15</v>
      </c>
      <c r="AA174" s="112">
        <v>6</v>
      </c>
    </row>
    <row r="175" spans="1:27" ht="15.75">
      <c r="A175"/>
      <c r="B175" s="121"/>
      <c r="C175" s="57" t="s">
        <v>80</v>
      </c>
      <c r="D175" s="16">
        <v>24614.03</v>
      </c>
      <c r="E175" s="16">
        <v>24349.82</v>
      </c>
      <c r="F175" s="16">
        <v>24438.31</v>
      </c>
      <c r="G175" s="16">
        <v>24474.71</v>
      </c>
      <c r="H175" s="16">
        <v>24955.05</v>
      </c>
      <c r="I175" s="16">
        <v>24417.439999999999</v>
      </c>
      <c r="J175" s="16">
        <v>24250.26</v>
      </c>
      <c r="K175" s="16">
        <v>24528.31</v>
      </c>
      <c r="L175" s="16">
        <v>25028.46</v>
      </c>
      <c r="M175" s="16">
        <f t="shared" si="51"/>
        <v>24561.821111111109</v>
      </c>
      <c r="N175" s="53"/>
      <c r="O175" s="53"/>
      <c r="P175" s="63"/>
      <c r="Q175" s="53"/>
      <c r="R175" s="64"/>
      <c r="S175" s="54"/>
      <c r="T175" s="64"/>
      <c r="U175" s="64"/>
      <c r="V175" s="32"/>
      <c r="W175" s="29"/>
    </row>
    <row r="176" spans="1:27" ht="28.5" customHeight="1">
      <c r="A176"/>
      <c r="B176" s="121"/>
      <c r="C176" s="57" t="s">
        <v>82</v>
      </c>
      <c r="D176" s="16">
        <f t="shared" ref="D176:L176" si="58">IF(((D174="")*AND(D175="")),"",(D174-D175)*3)</f>
        <v>14265.27</v>
      </c>
      <c r="E176" s="16">
        <f t="shared" si="58"/>
        <v>14438.069999999996</v>
      </c>
      <c r="F176" s="16">
        <f t="shared" si="58"/>
        <v>14136.719999999994</v>
      </c>
      <c r="G176" s="16">
        <f t="shared" si="58"/>
        <v>14071.740000000005</v>
      </c>
      <c r="H176" s="16">
        <f t="shared" si="58"/>
        <v>13231.200000000004</v>
      </c>
      <c r="I176" s="16">
        <f t="shared" si="58"/>
        <v>14954.820000000007</v>
      </c>
      <c r="J176" s="16">
        <f t="shared" si="58"/>
        <v>14788.380000000008</v>
      </c>
      <c r="K176" s="16">
        <f t="shared" si="58"/>
        <v>13921.829999999991</v>
      </c>
      <c r="L176" s="16">
        <f t="shared" si="58"/>
        <v>12989.490000000005</v>
      </c>
      <c r="M176" s="16">
        <f t="shared" si="51"/>
        <v>14088.613333333335</v>
      </c>
      <c r="N176" s="65"/>
      <c r="O176" s="65"/>
      <c r="P176" s="66"/>
      <c r="Q176" s="65"/>
      <c r="R176" s="67"/>
      <c r="S176" s="58"/>
      <c r="T176" s="67"/>
      <c r="U176" s="67"/>
      <c r="V176" s="33"/>
      <c r="W176" s="29"/>
    </row>
    <row r="177" spans="1:27">
      <c r="A177" s="86">
        <v>41555</v>
      </c>
      <c r="B177" s="120" t="s">
        <v>348</v>
      </c>
      <c r="C177" s="57" t="s">
        <v>79</v>
      </c>
      <c r="D177" s="58">
        <v>29263.88</v>
      </c>
      <c r="E177" s="58">
        <v>29041.42</v>
      </c>
      <c r="F177" s="58">
        <v>29023.91</v>
      </c>
      <c r="G177" s="58">
        <v>29036.959999999999</v>
      </c>
      <c r="H177" s="58">
        <v>29256.95</v>
      </c>
      <c r="I177" s="58">
        <v>29251.88</v>
      </c>
      <c r="J177" s="58">
        <v>29033.32</v>
      </c>
      <c r="K177" s="58">
        <v>29041.07</v>
      </c>
      <c r="L177" s="58">
        <v>29223.99</v>
      </c>
      <c r="M177" s="16">
        <f t="shared" si="51"/>
        <v>29130.375555555562</v>
      </c>
      <c r="N177" s="59">
        <f>IF((L178=""),"",MAX(D179:L179))</f>
        <v>14364.930000000004</v>
      </c>
      <c r="O177" s="59">
        <f>IF(L178="","",MIN(D179:L179))</f>
        <v>12735.75</v>
      </c>
      <c r="P177" s="60">
        <f>IF((L179=""),"",AVERAGE(D179:L179))</f>
        <v>13742.67666666667</v>
      </c>
      <c r="Q177" s="156">
        <f>IF((L178=""),"",((N177-O177)/(N177+O177)*100))</f>
        <v>6.0115834731822364</v>
      </c>
      <c r="R177" s="61" t="str">
        <f>IF(L178="","",IF(Q177&lt;Z177,IF(O177&gt;V177,IF(N177&lt;W177,"PASS","FAIL"),"FAIL"),"FAIL"))</f>
        <v>PASS</v>
      </c>
      <c r="S177" s="62">
        <v>1159</v>
      </c>
      <c r="T177" s="61"/>
      <c r="U177" s="61"/>
      <c r="V177" s="110">
        <v>9000</v>
      </c>
      <c r="W177" s="110">
        <v>25000</v>
      </c>
      <c r="X177" s="111">
        <v>8090</v>
      </c>
      <c r="Y177" s="111">
        <v>12070</v>
      </c>
      <c r="Z177" s="112">
        <v>15</v>
      </c>
      <c r="AA177" s="112">
        <v>6</v>
      </c>
    </row>
    <row r="178" spans="1:27" ht="15.75">
      <c r="A178"/>
      <c r="B178" s="121"/>
      <c r="C178" s="57" t="s">
        <v>80</v>
      </c>
      <c r="D178" s="16">
        <v>24644.16</v>
      </c>
      <c r="E178" s="16">
        <v>24341.67</v>
      </c>
      <c r="F178" s="16">
        <v>24398.45</v>
      </c>
      <c r="G178" s="16">
        <v>24426.14</v>
      </c>
      <c r="H178" s="16">
        <v>24942.05</v>
      </c>
      <c r="I178" s="16">
        <v>24463.57</v>
      </c>
      <c r="J178" s="16">
        <v>24270.45</v>
      </c>
      <c r="K178" s="16">
        <v>24480.12</v>
      </c>
      <c r="L178" s="16">
        <v>24978.74</v>
      </c>
      <c r="M178" s="16">
        <f t="shared" si="51"/>
        <v>24549.483333333334</v>
      </c>
      <c r="N178" s="53"/>
      <c r="O178" s="53"/>
      <c r="P178" s="63"/>
      <c r="Q178" s="53"/>
      <c r="R178" s="64"/>
      <c r="S178" s="54"/>
      <c r="T178" s="64"/>
      <c r="U178" s="64"/>
      <c r="V178" s="32"/>
      <c r="W178" s="29"/>
    </row>
    <row r="179" spans="1:27" ht="28.5" customHeight="1">
      <c r="A179"/>
      <c r="B179" s="121"/>
      <c r="C179" s="57" t="s">
        <v>82</v>
      </c>
      <c r="D179" s="16">
        <f t="shared" ref="D179:L179" si="59">IF(((D177="")*AND(D178="")),"",(D177-D178)*3)</f>
        <v>13859.160000000003</v>
      </c>
      <c r="E179" s="16">
        <f t="shared" si="59"/>
        <v>14099.25</v>
      </c>
      <c r="F179" s="16">
        <f t="shared" si="59"/>
        <v>13876.379999999997</v>
      </c>
      <c r="G179" s="16">
        <f t="shared" si="59"/>
        <v>13832.46</v>
      </c>
      <c r="H179" s="16">
        <f t="shared" si="59"/>
        <v>12944.700000000004</v>
      </c>
      <c r="I179" s="16">
        <f t="shared" si="59"/>
        <v>14364.930000000004</v>
      </c>
      <c r="J179" s="16">
        <f t="shared" si="59"/>
        <v>14288.609999999997</v>
      </c>
      <c r="K179" s="16">
        <f t="shared" si="59"/>
        <v>13682.850000000002</v>
      </c>
      <c r="L179" s="16">
        <f t="shared" si="59"/>
        <v>12735.75</v>
      </c>
      <c r="M179" s="16">
        <f t="shared" si="51"/>
        <v>13742.67666666667</v>
      </c>
      <c r="N179" s="65"/>
      <c r="O179" s="65"/>
      <c r="P179" s="66"/>
      <c r="Q179" s="65"/>
      <c r="R179" s="67"/>
      <c r="S179" s="58"/>
      <c r="T179" s="67"/>
      <c r="U179" s="67"/>
      <c r="V179" s="33"/>
      <c r="W179" s="29"/>
    </row>
    <row r="180" spans="1:27">
      <c r="A180" s="86">
        <v>41561</v>
      </c>
      <c r="B180" s="120" t="s">
        <v>348</v>
      </c>
      <c r="C180" s="57" t="s">
        <v>79</v>
      </c>
      <c r="D180" s="58">
        <v>29306.38</v>
      </c>
      <c r="E180" s="58">
        <v>29103.08</v>
      </c>
      <c r="F180" s="58">
        <v>29090.74</v>
      </c>
      <c r="G180" s="58">
        <v>29094.84</v>
      </c>
      <c r="H180" s="58">
        <v>29321.32</v>
      </c>
      <c r="I180" s="58">
        <v>29270.98</v>
      </c>
      <c r="J180" s="58">
        <v>29079.360000000001</v>
      </c>
      <c r="K180" s="58">
        <v>29110.16</v>
      </c>
      <c r="L180" s="58">
        <v>29296.89</v>
      </c>
      <c r="M180" s="16">
        <f t="shared" si="51"/>
        <v>29185.972222222223</v>
      </c>
      <c r="N180" s="59">
        <f>IF((L181=""),"",MAX(D182:L182))</f>
        <v>14216.25</v>
      </c>
      <c r="O180" s="59">
        <f>IF(L181="","",MIN(D182:L182))</f>
        <v>12120.899999999998</v>
      </c>
      <c r="P180" s="60">
        <f>IF((L182=""),"",AVERAGE(D182:L182))</f>
        <v>13243.586666666666</v>
      </c>
      <c r="Q180" s="156">
        <f>IF((L181=""),"",((N180-O180)/(N180+O180)*100))</f>
        <v>7.9558722185202368</v>
      </c>
      <c r="R180" s="61" t="str">
        <f>IF(L181="","",IF(Q180&lt;Z180,IF(O180&gt;V180,IF(N180&lt;W180,"PASS","FAIL"),"FAIL"),"FAIL"))</f>
        <v>PASS</v>
      </c>
      <c r="S180" s="62">
        <v>1159</v>
      </c>
      <c r="T180" s="61"/>
      <c r="U180" s="61"/>
      <c r="V180" s="110">
        <v>9000</v>
      </c>
      <c r="W180" s="110">
        <v>25000</v>
      </c>
      <c r="X180" s="111">
        <v>8090</v>
      </c>
      <c r="Y180" s="111">
        <v>12070</v>
      </c>
      <c r="Z180" s="112">
        <v>15</v>
      </c>
      <c r="AA180" s="112">
        <v>6</v>
      </c>
    </row>
    <row r="181" spans="1:27" ht="15.75">
      <c r="A181"/>
      <c r="B181" s="121"/>
      <c r="C181" s="57" t="s">
        <v>80</v>
      </c>
      <c r="D181" s="16">
        <v>24567.63</v>
      </c>
      <c r="E181" s="16">
        <v>24429.16</v>
      </c>
      <c r="F181" s="16">
        <v>24668.38</v>
      </c>
      <c r="G181" s="16">
        <v>24743.8</v>
      </c>
      <c r="H181" s="16">
        <v>25281.02</v>
      </c>
      <c r="I181" s="16">
        <v>25019.52</v>
      </c>
      <c r="J181" s="16">
        <v>24620.79</v>
      </c>
      <c r="K181" s="16">
        <v>24645.34</v>
      </c>
      <c r="L181" s="16">
        <v>24967.35</v>
      </c>
      <c r="M181" s="16">
        <f t="shared" si="51"/>
        <v>24771.443333333336</v>
      </c>
      <c r="N181" s="53"/>
      <c r="O181" s="53"/>
      <c r="P181" s="63"/>
      <c r="Q181" s="53"/>
      <c r="R181" s="64"/>
      <c r="S181" s="54"/>
      <c r="T181" s="64"/>
      <c r="U181" s="64"/>
      <c r="V181" s="32"/>
      <c r="W181" s="29"/>
    </row>
    <row r="182" spans="1:27" ht="28.5" customHeight="1">
      <c r="A182"/>
      <c r="B182" s="121"/>
      <c r="C182" s="57" t="s">
        <v>82</v>
      </c>
      <c r="D182" s="16">
        <f t="shared" ref="D182:L182" si="60">IF(((D180="")*AND(D181="")),"",(D180-D181)*3)</f>
        <v>14216.25</v>
      </c>
      <c r="E182" s="16">
        <f t="shared" si="60"/>
        <v>14021.760000000006</v>
      </c>
      <c r="F182" s="16">
        <f t="shared" si="60"/>
        <v>13267.080000000002</v>
      </c>
      <c r="G182" s="16">
        <f t="shared" si="60"/>
        <v>13053.120000000003</v>
      </c>
      <c r="H182" s="16">
        <f t="shared" si="60"/>
        <v>12120.899999999998</v>
      </c>
      <c r="I182" s="16">
        <f t="shared" si="60"/>
        <v>12754.379999999997</v>
      </c>
      <c r="J182" s="16">
        <f t="shared" si="60"/>
        <v>13375.71</v>
      </c>
      <c r="K182" s="16">
        <f t="shared" si="60"/>
        <v>13394.46</v>
      </c>
      <c r="L182" s="16">
        <f t="shared" si="60"/>
        <v>12988.620000000003</v>
      </c>
      <c r="M182" s="16">
        <f t="shared" si="51"/>
        <v>13243.586666666666</v>
      </c>
      <c r="N182" s="65"/>
      <c r="O182" s="65"/>
      <c r="P182" s="66"/>
      <c r="Q182" s="65"/>
      <c r="R182" s="67"/>
      <c r="S182" s="58"/>
      <c r="T182" s="67"/>
      <c r="U182" s="67"/>
      <c r="V182" s="33"/>
      <c r="W182" s="29"/>
    </row>
    <row r="183" spans="1:27">
      <c r="A183" s="86">
        <v>41561</v>
      </c>
      <c r="B183" s="120" t="s">
        <v>348</v>
      </c>
      <c r="C183" s="57" t="s">
        <v>79</v>
      </c>
      <c r="D183" s="58">
        <v>29282.93</v>
      </c>
      <c r="E183" s="58">
        <v>29077.360000000001</v>
      </c>
      <c r="F183" s="58">
        <v>29085.05</v>
      </c>
      <c r="G183" s="58">
        <v>29081.3</v>
      </c>
      <c r="H183" s="58">
        <v>29577.83</v>
      </c>
      <c r="I183" s="58">
        <v>29371.360000000001</v>
      </c>
      <c r="J183" s="58">
        <v>29092.42</v>
      </c>
      <c r="K183" s="58">
        <v>29080.01</v>
      </c>
      <c r="L183" s="58">
        <v>29335.89</v>
      </c>
      <c r="M183" s="16">
        <f t="shared" si="51"/>
        <v>29220.461111111115</v>
      </c>
      <c r="N183" s="59">
        <f>IF((L184=""),"",MAX(D185:L185))</f>
        <v>18485</v>
      </c>
      <c r="O183" s="59">
        <f>IF(L184="","",MIN(D185:L185))</f>
        <v>13677.68</v>
      </c>
      <c r="P183" s="60">
        <f>IF((L185=""),"",AVERAGE(D185:L185))</f>
        <v>15316.786666666665</v>
      </c>
      <c r="Q183" s="156">
        <f>IF((L184=""),"",((N183-O183)/(N183+O183)*100))</f>
        <v>14.946888754295351</v>
      </c>
      <c r="R183" s="61" t="str">
        <f>IF(L184="","",IF(Q183&lt;Z183,IF(O183&gt;V183,IF(N183&lt;W183,"PASS","FAIL"),"FAIL"),"FAIL"))</f>
        <v>PASS</v>
      </c>
      <c r="S183" s="62">
        <v>1159</v>
      </c>
      <c r="U183" s="61" t="s">
        <v>108</v>
      </c>
      <c r="V183" s="110">
        <v>9000</v>
      </c>
      <c r="W183" s="110">
        <v>25000</v>
      </c>
      <c r="X183" s="111">
        <v>8090</v>
      </c>
      <c r="Y183" s="111">
        <v>12070</v>
      </c>
      <c r="Z183" s="112">
        <v>15</v>
      </c>
      <c r="AA183" s="112">
        <v>6</v>
      </c>
    </row>
    <row r="184" spans="1:27" ht="15.75">
      <c r="A184"/>
      <c r="B184" s="121"/>
      <c r="C184" s="57" t="s">
        <v>80</v>
      </c>
      <c r="D184" s="16">
        <v>13034.09</v>
      </c>
      <c r="E184" s="16">
        <v>14212.57</v>
      </c>
      <c r="F184" s="16">
        <v>14512.44</v>
      </c>
      <c r="G184" s="16">
        <v>14256.09</v>
      </c>
      <c r="H184" s="16">
        <v>14268.28</v>
      </c>
      <c r="I184" s="16">
        <v>10886.36</v>
      </c>
      <c r="J184" s="16">
        <v>13519.3</v>
      </c>
      <c r="K184" s="16">
        <v>14785.73</v>
      </c>
      <c r="L184" s="16">
        <v>15658.21</v>
      </c>
      <c r="M184" s="16">
        <f t="shared" si="51"/>
        <v>13903.674444444445</v>
      </c>
      <c r="N184" s="53"/>
      <c r="O184" s="53"/>
      <c r="P184" s="63"/>
      <c r="Q184" s="53"/>
      <c r="R184" s="64"/>
      <c r="S184" s="54"/>
      <c r="T184" s="64"/>
      <c r="U184" s="64"/>
      <c r="V184" s="32"/>
      <c r="W184" s="29"/>
    </row>
    <row r="185" spans="1:27" ht="28.5" customHeight="1">
      <c r="A185"/>
      <c r="B185" s="121"/>
      <c r="C185" s="57" t="s">
        <v>82</v>
      </c>
      <c r="D185" s="16">
        <f>IF(((D183="")*AND(D184="")),"",(D183-D184))</f>
        <v>16248.84</v>
      </c>
      <c r="E185" s="16">
        <f t="shared" ref="E185:L185" si="61">IF(((E183="")*AND(E184="")),"",(E183-E184))</f>
        <v>14864.79</v>
      </c>
      <c r="F185" s="16">
        <f t="shared" si="61"/>
        <v>14572.609999999999</v>
      </c>
      <c r="G185" s="16">
        <f t="shared" si="61"/>
        <v>14825.21</v>
      </c>
      <c r="H185" s="16">
        <f t="shared" si="61"/>
        <v>15309.550000000001</v>
      </c>
      <c r="I185" s="16">
        <f t="shared" si="61"/>
        <v>18485</v>
      </c>
      <c r="J185" s="16">
        <f t="shared" si="61"/>
        <v>15573.119999999999</v>
      </c>
      <c r="K185" s="16">
        <f t="shared" si="61"/>
        <v>14294.279999999999</v>
      </c>
      <c r="L185" s="16">
        <f t="shared" si="61"/>
        <v>13677.68</v>
      </c>
      <c r="M185" s="16">
        <f t="shared" si="51"/>
        <v>15316.786666666665</v>
      </c>
      <c r="N185" s="65"/>
      <c r="O185" s="65"/>
      <c r="P185" s="66"/>
      <c r="Q185" s="65"/>
      <c r="R185" s="67"/>
      <c r="S185" s="58"/>
      <c r="T185" s="67"/>
      <c r="U185" s="67"/>
      <c r="V185" s="33"/>
      <c r="W185" s="29"/>
    </row>
    <row r="186" spans="1:27">
      <c r="A186" s="86">
        <v>41568</v>
      </c>
      <c r="B186" s="120" t="s">
        <v>348</v>
      </c>
      <c r="C186" s="57" t="s">
        <v>79</v>
      </c>
      <c r="D186" s="58">
        <v>29332.18</v>
      </c>
      <c r="E186" s="58">
        <v>29093.65</v>
      </c>
      <c r="F186" s="58">
        <v>29155.71</v>
      </c>
      <c r="G186" s="58">
        <v>29119.93</v>
      </c>
      <c r="H186" s="58">
        <v>29410.89</v>
      </c>
      <c r="I186" s="58">
        <v>29359.05</v>
      </c>
      <c r="J186" s="58">
        <v>29091.54</v>
      </c>
      <c r="K186" s="58">
        <v>29124.09</v>
      </c>
      <c r="L186" s="58">
        <v>29374.79</v>
      </c>
      <c r="M186" s="16">
        <f t="shared" si="51"/>
        <v>29229.092222222218</v>
      </c>
      <c r="N186" s="59">
        <f>IF((L187=""),"",MAX(D188:L188))</f>
        <v>13952.399999999998</v>
      </c>
      <c r="O186" s="59">
        <f>IF(L187="","",MIN(D188:L188))</f>
        <v>12046.350000000002</v>
      </c>
      <c r="P186" s="60">
        <f>IF((L188=""),"",AVERAGE(D188:L188))</f>
        <v>13254.876666666671</v>
      </c>
      <c r="Q186" s="156">
        <f>IF((L187=""),"",((N186-O186)/(N186+O186)*100))</f>
        <v>7.3313140054810155</v>
      </c>
      <c r="R186" s="61" t="str">
        <f>IF(L187="","",IF(Q186&lt;Z186,IF(O186&gt;V186,IF(N186&lt;W186,"PASS","FAIL"),"FAIL"),"FAIL"))</f>
        <v>PASS</v>
      </c>
      <c r="S186" s="62">
        <v>1159</v>
      </c>
      <c r="T186" s="61"/>
      <c r="U186" s="61"/>
      <c r="V186" s="110">
        <v>9000</v>
      </c>
      <c r="W186" s="110">
        <v>25000</v>
      </c>
      <c r="X186" s="111">
        <v>8090</v>
      </c>
      <c r="Y186" s="111">
        <v>12070</v>
      </c>
      <c r="Z186" s="112">
        <v>15</v>
      </c>
      <c r="AA186" s="112">
        <v>6</v>
      </c>
    </row>
    <row r="187" spans="1:27" ht="15.75">
      <c r="A187"/>
      <c r="B187" s="121"/>
      <c r="C187" s="57" t="s">
        <v>80</v>
      </c>
      <c r="D187" s="16">
        <v>24887.67</v>
      </c>
      <c r="E187" s="16">
        <v>24568.41</v>
      </c>
      <c r="F187" s="16">
        <v>24665.18</v>
      </c>
      <c r="G187" s="16">
        <v>24645.85</v>
      </c>
      <c r="H187" s="16">
        <v>25395.439999999999</v>
      </c>
      <c r="I187" s="16">
        <v>24708.25</v>
      </c>
      <c r="J187" s="16">
        <v>24451.26</v>
      </c>
      <c r="K187" s="16">
        <v>24723.35</v>
      </c>
      <c r="L187" s="16">
        <v>25251.79</v>
      </c>
      <c r="M187" s="16">
        <f t="shared" si="51"/>
        <v>24810.800000000003</v>
      </c>
      <c r="N187" s="53"/>
      <c r="O187" s="53"/>
      <c r="P187" s="63"/>
      <c r="Q187" s="53"/>
      <c r="R187" s="64"/>
      <c r="S187" s="54"/>
      <c r="T187" s="64"/>
      <c r="U187" s="64"/>
      <c r="V187" s="32"/>
      <c r="W187" s="29"/>
    </row>
    <row r="188" spans="1:27" ht="28.5" customHeight="1">
      <c r="A188"/>
      <c r="B188" s="121"/>
      <c r="C188" s="57" t="s">
        <v>82</v>
      </c>
      <c r="D188" s="16">
        <f t="shared" ref="D188:L188" si="62">IF(((D186="")*AND(D187="")),"",(D186-D187)*3)</f>
        <v>13333.530000000006</v>
      </c>
      <c r="E188" s="16">
        <f t="shared" si="62"/>
        <v>13575.720000000005</v>
      </c>
      <c r="F188" s="16">
        <f t="shared" si="62"/>
        <v>13471.589999999997</v>
      </c>
      <c r="G188" s="16">
        <f t="shared" si="62"/>
        <v>13422.240000000005</v>
      </c>
      <c r="H188" s="16">
        <f t="shared" si="62"/>
        <v>12046.350000000002</v>
      </c>
      <c r="I188" s="16">
        <f t="shared" si="62"/>
        <v>13952.399999999998</v>
      </c>
      <c r="J188" s="16">
        <f t="shared" si="62"/>
        <v>13920.840000000007</v>
      </c>
      <c r="K188" s="16">
        <f t="shared" si="62"/>
        <v>13202.220000000005</v>
      </c>
      <c r="L188" s="16">
        <f t="shared" si="62"/>
        <v>12369</v>
      </c>
      <c r="M188" s="16">
        <f t="shared" si="51"/>
        <v>13254.876666666671</v>
      </c>
      <c r="N188" s="65"/>
      <c r="O188" s="65"/>
      <c r="P188" s="66"/>
      <c r="Q188" s="65"/>
      <c r="R188" s="67"/>
      <c r="S188" s="58"/>
      <c r="T188" s="67"/>
      <c r="U188" s="67"/>
      <c r="V188" s="33"/>
      <c r="W188" s="29"/>
    </row>
    <row r="189" spans="1:27">
      <c r="A189" s="86">
        <v>41598</v>
      </c>
      <c r="B189" s="120" t="s">
        <v>348</v>
      </c>
      <c r="C189" s="57" t="s">
        <v>79</v>
      </c>
      <c r="D189" s="58">
        <v>29367.21</v>
      </c>
      <c r="E189" s="58">
        <v>29030.720000000001</v>
      </c>
      <c r="F189" s="58">
        <v>29037.82</v>
      </c>
      <c r="G189" s="58">
        <v>29031.32</v>
      </c>
      <c r="H189" s="58">
        <v>29169.23</v>
      </c>
      <c r="I189" s="58">
        <v>29309.93</v>
      </c>
      <c r="J189" s="58">
        <v>29036.67</v>
      </c>
      <c r="K189" s="58">
        <v>29022.38</v>
      </c>
      <c r="L189" s="58">
        <v>29224.720000000001</v>
      </c>
      <c r="M189" s="16">
        <f t="shared" si="51"/>
        <v>29136.666666666668</v>
      </c>
      <c r="N189" s="59">
        <f>IF((L190=""),"",MAX(D191:L191))</f>
        <v>15390.689999999999</v>
      </c>
      <c r="O189" s="59">
        <f>IF(L190="","",MIN(D191:L191))</f>
        <v>13352.669999999998</v>
      </c>
      <c r="P189" s="60">
        <f>IF((L191=""),"",AVERAGE(D191:L191))</f>
        <v>14503.69</v>
      </c>
      <c r="Q189" s="156">
        <f>IF((L190=""),"",((N189-O189)/(N189+O189)*100))</f>
        <v>7.0904027921579127</v>
      </c>
      <c r="R189" s="61" t="str">
        <f>IF(L190="","",IF(Q189&lt;Z189,IF(O189&gt;V189,IF(N189&lt;W189,"PASS","FAIL"),"FAIL"),"FAIL"))</f>
        <v>PASS</v>
      </c>
      <c r="S189" s="62">
        <v>1400</v>
      </c>
      <c r="T189" s="61"/>
      <c r="U189" s="61"/>
      <c r="V189" s="110">
        <v>9000</v>
      </c>
      <c r="W189" s="110">
        <v>25000</v>
      </c>
      <c r="X189" s="111">
        <v>8090</v>
      </c>
      <c r="Y189" s="111">
        <v>12070</v>
      </c>
      <c r="Z189" s="112">
        <v>15</v>
      </c>
      <c r="AA189" s="112">
        <v>6</v>
      </c>
    </row>
    <row r="190" spans="1:27" ht="15.75">
      <c r="A190"/>
      <c r="B190" s="121"/>
      <c r="C190" s="57" t="s">
        <v>80</v>
      </c>
      <c r="D190" s="16">
        <v>24493.14</v>
      </c>
      <c r="E190" s="16">
        <v>24094.080000000002</v>
      </c>
      <c r="F190" s="16">
        <v>24164.98</v>
      </c>
      <c r="G190" s="16">
        <v>24184.26</v>
      </c>
      <c r="H190" s="16">
        <v>24609.439999999999</v>
      </c>
      <c r="I190" s="16">
        <v>24179.7</v>
      </c>
      <c r="J190" s="16">
        <v>23962.38</v>
      </c>
      <c r="K190" s="16">
        <v>24257.119999999999</v>
      </c>
      <c r="L190" s="16">
        <v>24773.83</v>
      </c>
      <c r="M190" s="16">
        <f t="shared" si="51"/>
        <v>24302.103333333333</v>
      </c>
      <c r="N190" s="53"/>
      <c r="O190" s="53"/>
      <c r="P190" s="63"/>
      <c r="Q190" s="53"/>
      <c r="R190" s="64"/>
      <c r="S190" s="54"/>
      <c r="T190" s="64"/>
      <c r="U190" s="64"/>
      <c r="V190" s="32"/>
      <c r="W190" s="29"/>
    </row>
    <row r="191" spans="1:27" ht="28.5" customHeight="1">
      <c r="A191"/>
      <c r="B191" s="121"/>
      <c r="C191" s="57" t="s">
        <v>82</v>
      </c>
      <c r="D191" s="16">
        <f t="shared" ref="D191:L191" si="63">IF(((D189="")*AND(D190="")),"",(D189-D190)*3)</f>
        <v>14622.21</v>
      </c>
      <c r="E191" s="16">
        <f t="shared" si="63"/>
        <v>14809.919999999998</v>
      </c>
      <c r="F191" s="16">
        <f t="shared" si="63"/>
        <v>14618.52</v>
      </c>
      <c r="G191" s="16">
        <f t="shared" si="63"/>
        <v>14541.180000000004</v>
      </c>
      <c r="H191" s="16">
        <f t="shared" si="63"/>
        <v>13679.370000000003</v>
      </c>
      <c r="I191" s="16">
        <f t="shared" si="63"/>
        <v>15390.689999999999</v>
      </c>
      <c r="J191" s="16">
        <f t="shared" si="63"/>
        <v>15222.869999999992</v>
      </c>
      <c r="K191" s="16">
        <f t="shared" si="63"/>
        <v>14295.780000000006</v>
      </c>
      <c r="L191" s="16">
        <f t="shared" si="63"/>
        <v>13352.669999999998</v>
      </c>
      <c r="M191" s="16">
        <f t="shared" si="51"/>
        <v>14503.69</v>
      </c>
      <c r="N191" s="65"/>
      <c r="O191" s="65"/>
      <c r="P191" s="66"/>
      <c r="Q191" s="65"/>
      <c r="R191" s="67"/>
      <c r="S191" s="58"/>
      <c r="T191" s="67"/>
      <c r="U191" s="67"/>
      <c r="V191" s="33"/>
      <c r="W191" s="29"/>
    </row>
    <row r="192" spans="1:27">
      <c r="A192" s="86">
        <v>41603</v>
      </c>
      <c r="B192" s="120" t="s">
        <v>348</v>
      </c>
      <c r="C192" s="57" t="s">
        <v>79</v>
      </c>
      <c r="D192" s="58">
        <v>29319.279999999999</v>
      </c>
      <c r="E192" s="58">
        <v>28971.88</v>
      </c>
      <c r="F192" s="58">
        <v>28972.19</v>
      </c>
      <c r="G192" s="58">
        <v>28963.52</v>
      </c>
      <c r="H192" s="58">
        <v>29121.66</v>
      </c>
      <c r="I192" s="58">
        <v>29235.9</v>
      </c>
      <c r="J192" s="58">
        <v>28967.14</v>
      </c>
      <c r="K192" s="58">
        <v>28967.05</v>
      </c>
      <c r="L192" s="58">
        <v>29158.23</v>
      </c>
      <c r="M192" s="16">
        <f t="shared" si="51"/>
        <v>29075.205555555556</v>
      </c>
      <c r="N192" s="59">
        <f>IF((L193=""),"",MAX(D194:L194))</f>
        <v>15043.29</v>
      </c>
      <c r="O192" s="59">
        <f>IF(L193="","",MIN(D194:L194))</f>
        <v>12859.140000000003</v>
      </c>
      <c r="P192" s="60">
        <f>IF((L194=""),"",AVERAGE(D194:L194))</f>
        <v>14059.210000000001</v>
      </c>
      <c r="Q192" s="156">
        <f>IF((L193=""),"",((N192-O192)/(N192+O192)*100))</f>
        <v>7.8278128464079915</v>
      </c>
      <c r="R192" s="61" t="str">
        <f>IF(L193="","",IF(Q192&lt;Z192,IF(O192&gt;V192,IF(N192&lt;W192,"PASS","FAIL"),"FAIL"),"FAIL"))</f>
        <v>PASS</v>
      </c>
      <c r="S192" s="62">
        <v>1400</v>
      </c>
      <c r="T192" s="61"/>
      <c r="U192" s="61"/>
      <c r="V192" s="110">
        <v>9000</v>
      </c>
      <c r="W192" s="110">
        <v>25000</v>
      </c>
      <c r="X192" s="111">
        <v>8090</v>
      </c>
      <c r="Y192" s="111">
        <v>12070</v>
      </c>
      <c r="Z192" s="112">
        <v>15</v>
      </c>
      <c r="AA192" s="112">
        <v>6</v>
      </c>
    </row>
    <row r="193" spans="1:27" ht="15.75">
      <c r="A193"/>
      <c r="B193" s="121"/>
      <c r="C193" s="57" t="s">
        <v>80</v>
      </c>
      <c r="D193" s="16">
        <v>24853.41</v>
      </c>
      <c r="E193" s="16">
        <v>24255.41</v>
      </c>
      <c r="F193" s="16">
        <v>24254.67</v>
      </c>
      <c r="G193" s="16">
        <v>24199.51</v>
      </c>
      <c r="H193" s="16">
        <v>24444.38</v>
      </c>
      <c r="I193" s="16">
        <v>24949.52</v>
      </c>
      <c r="J193" s="16">
        <v>24378.43</v>
      </c>
      <c r="K193" s="16">
        <v>24020.09</v>
      </c>
      <c r="L193" s="16">
        <v>24143.8</v>
      </c>
      <c r="M193" s="16">
        <f t="shared" si="51"/>
        <v>24388.802222222221</v>
      </c>
      <c r="N193" s="53"/>
      <c r="O193" s="53"/>
      <c r="P193" s="63"/>
      <c r="Q193" s="53"/>
      <c r="R193" s="64"/>
      <c r="S193" s="54"/>
      <c r="T193" s="64"/>
      <c r="U193" s="64"/>
      <c r="V193" s="32"/>
      <c r="W193" s="29"/>
    </row>
    <row r="194" spans="1:27" ht="28.5" customHeight="1">
      <c r="A194"/>
      <c r="B194" s="121"/>
      <c r="C194" s="57" t="s">
        <v>82</v>
      </c>
      <c r="D194" s="16">
        <f t="shared" ref="D194:L194" si="64">IF(((D192="")*AND(D193="")),"",(D192-D193)*3)</f>
        <v>13397.609999999997</v>
      </c>
      <c r="E194" s="16">
        <f t="shared" si="64"/>
        <v>14149.410000000003</v>
      </c>
      <c r="F194" s="16">
        <f t="shared" si="64"/>
        <v>14152.560000000001</v>
      </c>
      <c r="G194" s="16">
        <f t="shared" si="64"/>
        <v>14292.030000000006</v>
      </c>
      <c r="H194" s="16">
        <f t="shared" si="64"/>
        <v>14031.839999999997</v>
      </c>
      <c r="I194" s="16">
        <f t="shared" si="64"/>
        <v>12859.140000000003</v>
      </c>
      <c r="J194" s="16">
        <f t="shared" si="64"/>
        <v>13766.129999999997</v>
      </c>
      <c r="K194" s="16">
        <f t="shared" si="64"/>
        <v>14840.879999999997</v>
      </c>
      <c r="L194" s="16">
        <f t="shared" si="64"/>
        <v>15043.29</v>
      </c>
      <c r="M194" s="16">
        <f t="shared" si="51"/>
        <v>14059.210000000001</v>
      </c>
      <c r="N194" s="65"/>
      <c r="O194" s="65"/>
      <c r="P194" s="66"/>
      <c r="Q194" s="65"/>
      <c r="R194" s="67"/>
      <c r="S194" s="58"/>
      <c r="T194" s="67"/>
      <c r="U194" s="67"/>
      <c r="V194" s="33"/>
      <c r="W194" s="29"/>
    </row>
    <row r="195" spans="1:27">
      <c r="A195" s="86">
        <v>41612</v>
      </c>
      <c r="B195" s="120" t="s">
        <v>348</v>
      </c>
      <c r="C195" s="57" t="s">
        <v>79</v>
      </c>
      <c r="D195" s="58">
        <v>27140.9</v>
      </c>
      <c r="E195" s="58">
        <v>28983.5</v>
      </c>
      <c r="F195" s="58">
        <v>29041.18</v>
      </c>
      <c r="G195" s="58">
        <v>28976.48</v>
      </c>
      <c r="H195" s="58">
        <v>29281.360000000001</v>
      </c>
      <c r="I195" s="58">
        <v>29240.01</v>
      </c>
      <c r="J195" s="58">
        <v>28990.12</v>
      </c>
      <c r="K195" s="58">
        <v>29011.7</v>
      </c>
      <c r="L195" s="58">
        <v>29246.880000000001</v>
      </c>
      <c r="M195" s="16">
        <f t="shared" si="51"/>
        <v>28879.125555555554</v>
      </c>
      <c r="N195" s="59">
        <f>IF((L196=""),"",MAX(D197:L197))</f>
        <v>13656.779999999995</v>
      </c>
      <c r="O195" s="59">
        <f>IF(L196="","",MIN(D197:L197))</f>
        <v>6885.3600000000079</v>
      </c>
      <c r="P195" s="60">
        <f>IF((L197=""),"",AVERAGE(D197:L197))</f>
        <v>12444.116666666669</v>
      </c>
      <c r="Q195" s="156">
        <f>IF((L196=""),"",((N195-O195)/(N195+O195)*100))</f>
        <v>32.963556864085177</v>
      </c>
      <c r="R195" s="61" t="str">
        <f>IF(L196="","",IF(Q195&lt;Z195,IF(O195&gt;V195,IF(N195&lt;W195,"PASS","FAIL"),"FAIL"),"FAIL"))</f>
        <v>FAIL</v>
      </c>
      <c r="S195" s="62">
        <v>1159</v>
      </c>
      <c r="T195" s="61"/>
      <c r="U195" s="61"/>
      <c r="V195" s="110">
        <v>9000</v>
      </c>
      <c r="W195" s="110">
        <v>25000</v>
      </c>
      <c r="X195" s="111">
        <v>8090</v>
      </c>
      <c r="Y195" s="111">
        <v>12070</v>
      </c>
      <c r="Z195" s="112">
        <v>15</v>
      </c>
      <c r="AA195" s="112">
        <v>6</v>
      </c>
    </row>
    <row r="196" spans="1:27" ht="15.75">
      <c r="A196"/>
      <c r="B196" s="121"/>
      <c r="C196" s="57" t="s">
        <v>80</v>
      </c>
      <c r="D196" s="16">
        <v>24845.78</v>
      </c>
      <c r="E196" s="16">
        <v>24440.51</v>
      </c>
      <c r="F196" s="16">
        <v>24655.59</v>
      </c>
      <c r="G196" s="16">
        <v>24615.24</v>
      </c>
      <c r="H196" s="16">
        <v>25118.17</v>
      </c>
      <c r="I196" s="16">
        <v>24687.75</v>
      </c>
      <c r="J196" s="16">
        <v>24450.31</v>
      </c>
      <c r="K196" s="16">
        <v>24550.77</v>
      </c>
      <c r="L196" s="16">
        <v>25215.66</v>
      </c>
      <c r="M196" s="16">
        <f t="shared" si="51"/>
        <v>24731.086666666662</v>
      </c>
      <c r="N196" s="53"/>
      <c r="O196" s="53"/>
      <c r="P196" s="63"/>
      <c r="Q196" s="53"/>
      <c r="R196" s="64"/>
      <c r="S196" s="54"/>
      <c r="T196" s="64"/>
      <c r="U196" s="64"/>
      <c r="V196" s="32"/>
      <c r="W196" s="29"/>
    </row>
    <row r="197" spans="1:27" ht="28.5" customHeight="1">
      <c r="A197"/>
      <c r="B197" s="121"/>
      <c r="C197" s="57" t="s">
        <v>82</v>
      </c>
      <c r="D197" s="16">
        <f t="shared" ref="D197:L197" si="65">IF(((D195="")*AND(D196="")),"",(D195-D196)*3)</f>
        <v>6885.3600000000079</v>
      </c>
      <c r="E197" s="16">
        <f t="shared" si="65"/>
        <v>13628.970000000005</v>
      </c>
      <c r="F197" s="16">
        <f t="shared" si="65"/>
        <v>13156.77</v>
      </c>
      <c r="G197" s="16">
        <f t="shared" si="65"/>
        <v>13083.719999999994</v>
      </c>
      <c r="H197" s="16">
        <f t="shared" si="65"/>
        <v>12489.570000000007</v>
      </c>
      <c r="I197" s="16">
        <f t="shared" si="65"/>
        <v>13656.779999999995</v>
      </c>
      <c r="J197" s="16">
        <f t="shared" si="65"/>
        <v>13619.429999999993</v>
      </c>
      <c r="K197" s="16">
        <f t="shared" si="65"/>
        <v>13382.79</v>
      </c>
      <c r="L197" s="16">
        <f t="shared" si="65"/>
        <v>12093.660000000003</v>
      </c>
      <c r="M197" s="16">
        <f t="shared" si="51"/>
        <v>12444.116666666669</v>
      </c>
      <c r="N197" s="65"/>
      <c r="O197" s="65"/>
      <c r="P197" s="66"/>
      <c r="Q197" s="65"/>
      <c r="R197" s="67"/>
      <c r="S197" s="58"/>
      <c r="T197" s="67"/>
      <c r="U197" s="67"/>
      <c r="V197" s="33"/>
      <c r="W197" s="29"/>
    </row>
    <row r="198" spans="1:27">
      <c r="A198" s="86">
        <v>41626</v>
      </c>
      <c r="B198" s="120" t="s">
        <v>348</v>
      </c>
      <c r="C198" s="57" t="s">
        <v>79</v>
      </c>
      <c r="D198" s="58">
        <v>29167.82</v>
      </c>
      <c r="E198" s="58">
        <v>28956.52</v>
      </c>
      <c r="F198" s="58">
        <v>28995.279999999999</v>
      </c>
      <c r="G198" s="58">
        <v>28955.89</v>
      </c>
      <c r="H198" s="58">
        <v>29241.119999999999</v>
      </c>
      <c r="I198" s="58">
        <v>29226.28</v>
      </c>
      <c r="J198" s="58">
        <v>28968.34</v>
      </c>
      <c r="K198" s="58">
        <v>28949.25</v>
      </c>
      <c r="L198" s="58">
        <v>29143.5</v>
      </c>
      <c r="M198" s="16">
        <f t="shared" si="51"/>
        <v>29067.111111111109</v>
      </c>
      <c r="N198" s="59">
        <f>IF((L199=""),"",MAX(D200:L200))</f>
        <v>14074.23</v>
      </c>
      <c r="O198" s="59">
        <f>IF(L199="","",MIN(D200:L200))</f>
        <v>12234.359999999997</v>
      </c>
      <c r="P198" s="60">
        <f>IF((L200=""),"",AVERAGE(D200:L200))</f>
        <v>13047.529999999999</v>
      </c>
      <c r="Q198" s="156">
        <f>IF((L199=""),"",((N198-O198)/(N198+O198)*100))</f>
        <v>6.9934192596410636</v>
      </c>
      <c r="R198" s="61" t="str">
        <f>IF(L199="","",IF(Q198&lt;Z198,IF(O198&gt;V198,IF(N198&lt;W198,"PASS","FAIL"),"FAIL"),"FAIL"))</f>
        <v>PASS</v>
      </c>
      <c r="S198" s="62">
        <v>1159</v>
      </c>
      <c r="T198" s="61"/>
      <c r="U198" s="61"/>
      <c r="V198" s="110">
        <v>9000</v>
      </c>
      <c r="W198" s="110">
        <v>25000</v>
      </c>
      <c r="X198" s="111">
        <v>8090</v>
      </c>
      <c r="Y198" s="111">
        <v>12070</v>
      </c>
      <c r="Z198" s="112">
        <v>15</v>
      </c>
      <c r="AA198" s="112">
        <v>6</v>
      </c>
    </row>
    <row r="199" spans="1:27" ht="15.75">
      <c r="A199"/>
      <c r="B199" s="121"/>
      <c r="C199" s="57" t="s">
        <v>80</v>
      </c>
      <c r="D199" s="16">
        <v>24755.57</v>
      </c>
      <c r="E199" s="16">
        <v>24550.22</v>
      </c>
      <c r="F199" s="16">
        <v>24697.75</v>
      </c>
      <c r="G199" s="16">
        <v>24630.86</v>
      </c>
      <c r="H199" s="16">
        <v>25083.439999999999</v>
      </c>
      <c r="I199" s="16">
        <v>24534.87</v>
      </c>
      <c r="J199" s="16">
        <v>24461.79</v>
      </c>
      <c r="K199" s="16">
        <v>24681.53</v>
      </c>
      <c r="L199" s="16">
        <v>25065.38</v>
      </c>
      <c r="M199" s="16">
        <f t="shared" si="51"/>
        <v>24717.934444444447</v>
      </c>
      <c r="N199" s="53"/>
      <c r="O199" s="53"/>
      <c r="P199" s="63"/>
      <c r="Q199" s="53"/>
      <c r="R199" s="64"/>
      <c r="S199" s="54"/>
      <c r="T199" s="64"/>
      <c r="U199" s="64"/>
      <c r="V199" s="32"/>
      <c r="W199" s="29"/>
    </row>
    <row r="200" spans="1:27" ht="28.5" customHeight="1">
      <c r="A200"/>
      <c r="B200" s="121"/>
      <c r="C200" s="57" t="s">
        <v>82</v>
      </c>
      <c r="D200" s="16">
        <f t="shared" ref="D200:L200" si="66">IF(((D198="")*AND(D199="")),"",(D198-D199)*3)</f>
        <v>13236.75</v>
      </c>
      <c r="E200" s="16">
        <f t="shared" si="66"/>
        <v>13218.899999999998</v>
      </c>
      <c r="F200" s="16">
        <f t="shared" si="66"/>
        <v>12892.589999999997</v>
      </c>
      <c r="G200" s="16">
        <f t="shared" si="66"/>
        <v>12975.089999999997</v>
      </c>
      <c r="H200" s="16">
        <f t="shared" si="66"/>
        <v>12473.04</v>
      </c>
      <c r="I200" s="16">
        <f t="shared" si="66"/>
        <v>14074.23</v>
      </c>
      <c r="J200" s="16">
        <f t="shared" si="66"/>
        <v>13519.649999999998</v>
      </c>
      <c r="K200" s="16">
        <f t="shared" si="66"/>
        <v>12803.160000000003</v>
      </c>
      <c r="L200" s="16">
        <f t="shared" si="66"/>
        <v>12234.359999999997</v>
      </c>
      <c r="M200" s="16">
        <f t="shared" si="51"/>
        <v>13047.529999999999</v>
      </c>
      <c r="N200" s="65"/>
      <c r="O200" s="65"/>
      <c r="P200" s="66"/>
      <c r="Q200" s="65"/>
      <c r="R200" s="67"/>
      <c r="S200" s="58"/>
      <c r="T200" s="67"/>
      <c r="U200" s="67"/>
      <c r="V200" s="33"/>
      <c r="W200" s="29"/>
    </row>
    <row r="201" spans="1:27">
      <c r="A201" s="86">
        <v>41781</v>
      </c>
      <c r="B201" s="120" t="s">
        <v>348</v>
      </c>
      <c r="C201" s="57" t="s">
        <v>79</v>
      </c>
      <c r="D201" s="58">
        <v>29234.35</v>
      </c>
      <c r="E201" s="58">
        <v>28777.23</v>
      </c>
      <c r="F201" s="58">
        <v>28818.799999999999</v>
      </c>
      <c r="G201" s="58">
        <v>28780.62</v>
      </c>
      <c r="H201" s="58">
        <v>29039.38</v>
      </c>
      <c r="I201" s="58">
        <v>29169.84</v>
      </c>
      <c r="J201" s="58">
        <v>28789.64</v>
      </c>
      <c r="K201" s="58">
        <v>28792.27</v>
      </c>
      <c r="L201" s="58">
        <v>29025.63</v>
      </c>
      <c r="M201" s="16">
        <f t="shared" si="51"/>
        <v>28936.417777777777</v>
      </c>
      <c r="N201" s="59">
        <f>IF((L202=""),"",MAX(D203:L203))</f>
        <v>18232.469999999994</v>
      </c>
      <c r="O201" s="59">
        <f>IF(L202="","",MIN(D203:L203))</f>
        <v>10494.600000000002</v>
      </c>
      <c r="P201" s="60">
        <f>IF((L203=""),"",AVERAGE(D203:L203))</f>
        <v>12185.689999999999</v>
      </c>
      <c r="Q201" s="156">
        <f>IF((L202=""),"",((N201-O201)/(N201+O201)*100))</f>
        <v>26.935813502734501</v>
      </c>
      <c r="R201" s="61" t="str">
        <f>IF(L202="","",IF(Q201&lt;Z201,IF(O201&gt;V201,IF(N201&lt;W201,"PASS","FAIL"),"FAIL"),"FAIL"))</f>
        <v>FAIL</v>
      </c>
      <c r="S201" s="62"/>
      <c r="T201" s="61"/>
      <c r="U201" s="61"/>
      <c r="V201" s="110">
        <v>9000</v>
      </c>
      <c r="W201" s="110">
        <v>25000</v>
      </c>
      <c r="X201" s="111">
        <v>8090</v>
      </c>
      <c r="Y201" s="111">
        <v>12070</v>
      </c>
      <c r="Z201" s="112">
        <v>15</v>
      </c>
      <c r="AA201" s="112">
        <v>6</v>
      </c>
    </row>
    <row r="202" spans="1:27" ht="15.75">
      <c r="A202"/>
      <c r="B202" s="121"/>
      <c r="C202" s="57" t="s">
        <v>80</v>
      </c>
      <c r="D202" s="16">
        <v>25395.33</v>
      </c>
      <c r="E202" s="16">
        <v>25029.52</v>
      </c>
      <c r="F202" s="16">
        <v>22741.31</v>
      </c>
      <c r="G202" s="16">
        <v>24891.45</v>
      </c>
      <c r="H202" s="16">
        <v>25323.73</v>
      </c>
      <c r="I202" s="16">
        <v>25100.85</v>
      </c>
      <c r="J202" s="16">
        <v>24709.119999999999</v>
      </c>
      <c r="K202" s="16">
        <v>25151.95</v>
      </c>
      <c r="L202" s="16">
        <v>25527.43</v>
      </c>
      <c r="M202" s="16">
        <f t="shared" si="51"/>
        <v>24874.521111111113</v>
      </c>
      <c r="N202" s="53"/>
      <c r="O202" s="53"/>
      <c r="P202" s="63"/>
      <c r="Q202" s="53"/>
      <c r="R202" s="64"/>
      <c r="S202" s="54">
        <v>1428</v>
      </c>
      <c r="T202" s="64"/>
      <c r="U202" s="64"/>
      <c r="V202" s="32"/>
      <c r="W202" s="29"/>
    </row>
    <row r="203" spans="1:27" ht="28.5" customHeight="1">
      <c r="A203"/>
      <c r="B203" s="121"/>
      <c r="C203" s="57" t="s">
        <v>82</v>
      </c>
      <c r="D203" s="16">
        <f t="shared" ref="D203:L203" si="67">IF(((D201="")*AND(D202="")),"",(D201-D202)*3)</f>
        <v>11517.05999999999</v>
      </c>
      <c r="E203" s="16">
        <f t="shared" si="67"/>
        <v>11243.129999999997</v>
      </c>
      <c r="F203" s="16">
        <f t="shared" si="67"/>
        <v>18232.469999999994</v>
      </c>
      <c r="G203" s="16">
        <f t="shared" si="67"/>
        <v>11667.509999999995</v>
      </c>
      <c r="H203" s="16">
        <f t="shared" si="67"/>
        <v>11146.950000000004</v>
      </c>
      <c r="I203" s="16">
        <f t="shared" si="67"/>
        <v>12206.970000000005</v>
      </c>
      <c r="J203" s="16">
        <f t="shared" si="67"/>
        <v>12241.560000000001</v>
      </c>
      <c r="K203" s="16">
        <f t="shared" si="67"/>
        <v>10920.96</v>
      </c>
      <c r="L203" s="16">
        <f t="shared" si="67"/>
        <v>10494.600000000002</v>
      </c>
      <c r="M203" s="16">
        <f>SUM(D203:L203)/9</f>
        <v>12185.689999999999</v>
      </c>
      <c r="N203" s="65"/>
      <c r="O203" s="65"/>
      <c r="P203" s="66"/>
      <c r="Q203" s="65"/>
      <c r="R203" s="67"/>
      <c r="S203" s="58"/>
      <c r="T203" s="67"/>
      <c r="U203" s="67"/>
      <c r="V203" s="33"/>
      <c r="W203" s="29"/>
    </row>
    <row r="204" spans="1:27">
      <c r="A204" s="86">
        <v>41785</v>
      </c>
      <c r="B204" s="120" t="s">
        <v>348</v>
      </c>
      <c r="C204" s="57" t="s">
        <v>79</v>
      </c>
      <c r="D204" s="58">
        <v>29164.45</v>
      </c>
      <c r="E204" s="58">
        <v>28728.82</v>
      </c>
      <c r="F204" s="58">
        <v>28702.53</v>
      </c>
      <c r="G204" s="58">
        <v>28689.39</v>
      </c>
      <c r="H204" s="58">
        <v>28934.57</v>
      </c>
      <c r="I204" s="58">
        <v>29019.94</v>
      </c>
      <c r="J204" s="58">
        <v>28692.49</v>
      </c>
      <c r="K204" s="58">
        <v>28699.61</v>
      </c>
      <c r="L204" s="58">
        <v>28982.69</v>
      </c>
      <c r="M204" s="16">
        <f t="shared" si="51"/>
        <v>28846.054444444442</v>
      </c>
      <c r="N204" s="59">
        <f>IF((L205=""),"",MAX(D206:L206))</f>
        <v>14129.699999999993</v>
      </c>
      <c r="O204" s="59">
        <f>IF(L205="","",MIN(D206:L206))</f>
        <v>11518.23</v>
      </c>
      <c r="P204" s="60">
        <f>IF((L206=""),"",AVERAGE(D206:L206))</f>
        <v>12955.23</v>
      </c>
      <c r="Q204" s="156">
        <f>IF((L205=""),"",((N204-O204)/(N204+O204)*100))</f>
        <v>10.18199129520392</v>
      </c>
      <c r="R204" s="61" t="str">
        <f>IF(L205="","",IF(Q204&lt;Z204,IF(O204&gt;V204,IF(N204&lt;W204,"PASS","FAIL"),"FAIL"),"FAIL"))</f>
        <v>PASS</v>
      </c>
      <c r="S204" s="62"/>
      <c r="T204" s="61"/>
      <c r="U204" s="61"/>
      <c r="V204" s="110">
        <v>9000</v>
      </c>
      <c r="W204" s="110">
        <v>25000</v>
      </c>
      <c r="X204" s="111">
        <v>8090</v>
      </c>
      <c r="Y204" s="111">
        <v>12070</v>
      </c>
      <c r="Z204" s="112">
        <v>15</v>
      </c>
      <c r="AA204" s="112">
        <v>6</v>
      </c>
    </row>
    <row r="205" spans="1:27" ht="15.75">
      <c r="A205"/>
      <c r="B205" s="121"/>
      <c r="C205" s="57" t="s">
        <v>80</v>
      </c>
      <c r="D205" s="16">
        <v>25035.56</v>
      </c>
      <c r="E205" s="16">
        <v>24318.720000000001</v>
      </c>
      <c r="F205" s="16">
        <v>24352.09</v>
      </c>
      <c r="G205" s="16">
        <v>24351.040000000001</v>
      </c>
      <c r="H205" s="16">
        <v>24658.17</v>
      </c>
      <c r="I205" s="16">
        <v>25180.53</v>
      </c>
      <c r="J205" s="16">
        <v>24562.58</v>
      </c>
      <c r="K205" s="16">
        <v>24017.32</v>
      </c>
      <c r="L205" s="16">
        <v>24272.79</v>
      </c>
      <c r="M205" s="16">
        <f t="shared" si="51"/>
        <v>24527.644444444446</v>
      </c>
      <c r="N205" s="53"/>
      <c r="O205" s="53"/>
      <c r="P205" s="63"/>
      <c r="Q205" s="53"/>
      <c r="R205" s="64"/>
      <c r="S205" s="54">
        <v>1159</v>
      </c>
      <c r="T205" s="64"/>
      <c r="U205" s="64"/>
      <c r="V205" s="32"/>
      <c r="W205" s="29"/>
    </row>
    <row r="206" spans="1:27" ht="28.5" customHeight="1">
      <c r="A206"/>
      <c r="B206" s="121"/>
      <c r="C206" s="57" t="s">
        <v>82</v>
      </c>
      <c r="D206" s="16">
        <f t="shared" ref="D206:L206" si="68">IF(((D204="")*AND(D205="")),"",(D204-D205)*3)</f>
        <v>12386.669999999998</v>
      </c>
      <c r="E206" s="16">
        <f t="shared" si="68"/>
        <v>13230.299999999996</v>
      </c>
      <c r="F206" s="16">
        <f t="shared" si="68"/>
        <v>13051.319999999996</v>
      </c>
      <c r="G206" s="16">
        <f t="shared" si="68"/>
        <v>13015.049999999996</v>
      </c>
      <c r="H206" s="16">
        <f t="shared" si="68"/>
        <v>12829.200000000004</v>
      </c>
      <c r="I206" s="16">
        <f t="shared" si="68"/>
        <v>11518.23</v>
      </c>
      <c r="J206" s="16">
        <f t="shared" si="68"/>
        <v>12389.73</v>
      </c>
      <c r="K206" s="16">
        <f t="shared" si="68"/>
        <v>14046.870000000003</v>
      </c>
      <c r="L206" s="16">
        <f t="shared" si="68"/>
        <v>14129.699999999993</v>
      </c>
      <c r="M206" s="16">
        <f t="shared" si="51"/>
        <v>12955.23</v>
      </c>
      <c r="N206" s="65"/>
      <c r="O206" s="65"/>
      <c r="P206" s="66"/>
      <c r="Q206" s="65"/>
      <c r="R206" s="67"/>
      <c r="S206" s="58"/>
      <c r="T206" s="67"/>
      <c r="U206" s="67"/>
      <c r="V206" s="33"/>
      <c r="W206" s="29"/>
    </row>
    <row r="207" spans="1:27">
      <c r="A207" s="86">
        <v>41794</v>
      </c>
      <c r="B207" s="120" t="s">
        <v>348</v>
      </c>
      <c r="C207" s="57" t="s">
        <v>79</v>
      </c>
      <c r="D207" s="58">
        <v>29602.95</v>
      </c>
      <c r="E207" s="58">
        <v>29253.87</v>
      </c>
      <c r="F207" s="58">
        <v>29233.24</v>
      </c>
      <c r="G207" s="58">
        <v>29247.03</v>
      </c>
      <c r="H207" s="58">
        <v>29406.71</v>
      </c>
      <c r="I207" s="58">
        <v>29525.24</v>
      </c>
      <c r="J207" s="58">
        <v>29234.38</v>
      </c>
      <c r="K207" s="58">
        <v>29235.26</v>
      </c>
      <c r="L207" s="58">
        <v>29394.29</v>
      </c>
      <c r="M207" s="16">
        <f t="shared" si="51"/>
        <v>29348.107777777775</v>
      </c>
      <c r="N207" s="59">
        <f>IF((L208=""),"",MAX(D209:L209))</f>
        <v>18446.04</v>
      </c>
      <c r="O207" s="59">
        <f>IF(L208="","",MIN(D209:L209))</f>
        <v>14875.740000000005</v>
      </c>
      <c r="P207" s="60">
        <f>IF((L209=""),"",AVERAGE(D209:L209))</f>
        <v>17024.873333333333</v>
      </c>
      <c r="Q207" s="156">
        <f>IF((L208=""),"",((N207-O207)/(N207+O207)*100))</f>
        <v>10.714613685103242</v>
      </c>
      <c r="R207" s="61" t="str">
        <f>IF(L208="","",IF(Q207&lt;Z207,IF(O207&gt;V207,IF(N207&lt;W207,"PASS","FAIL"),"FAIL"),"FAIL"))</f>
        <v>PASS</v>
      </c>
      <c r="S207" s="62">
        <v>1159</v>
      </c>
      <c r="T207" s="61"/>
      <c r="U207" s="61"/>
      <c r="V207" s="110">
        <v>9000</v>
      </c>
      <c r="W207" s="110">
        <v>25000</v>
      </c>
      <c r="X207" s="111">
        <v>8090</v>
      </c>
      <c r="Y207" s="111">
        <v>12070</v>
      </c>
      <c r="Z207" s="112">
        <v>15</v>
      </c>
      <c r="AA207" s="112">
        <v>6</v>
      </c>
    </row>
    <row r="208" spans="1:27" ht="15.75">
      <c r="A208"/>
      <c r="B208" s="121"/>
      <c r="C208" s="57" t="s">
        <v>80</v>
      </c>
      <c r="D208" s="16">
        <v>24156.77</v>
      </c>
      <c r="E208" s="16">
        <v>23455.88</v>
      </c>
      <c r="F208" s="16">
        <v>23473.200000000001</v>
      </c>
      <c r="G208" s="16">
        <v>23489.05</v>
      </c>
      <c r="H208" s="16">
        <v>23748.31</v>
      </c>
      <c r="I208" s="16">
        <v>24566.66</v>
      </c>
      <c r="J208" s="16">
        <v>23805.26</v>
      </c>
      <c r="K208" s="16">
        <v>23117.61</v>
      </c>
      <c r="L208" s="16">
        <v>23245.61</v>
      </c>
      <c r="M208" s="16">
        <f t="shared" si="51"/>
        <v>23673.149999999998</v>
      </c>
      <c r="N208" s="53"/>
      <c r="O208" s="53"/>
      <c r="P208" s="63"/>
      <c r="Q208" s="53"/>
      <c r="R208" s="64"/>
      <c r="S208" s="54"/>
      <c r="T208" s="64"/>
      <c r="U208" s="64"/>
      <c r="V208" s="32"/>
      <c r="W208" s="29"/>
    </row>
    <row r="209" spans="1:27" ht="28.5" customHeight="1">
      <c r="A209"/>
      <c r="B209" s="121"/>
      <c r="C209" s="57" t="s">
        <v>82</v>
      </c>
      <c r="D209" s="16">
        <f t="shared" ref="D209:L209" si="69">IF(((D207="")*AND(D208="")),"",(D207-D208)*3)</f>
        <v>16338.54</v>
      </c>
      <c r="E209" s="16">
        <f t="shared" si="69"/>
        <v>17393.969999999994</v>
      </c>
      <c r="F209" s="16">
        <f t="shared" si="69"/>
        <v>17280.120000000003</v>
      </c>
      <c r="G209" s="16">
        <f t="shared" si="69"/>
        <v>17273.939999999999</v>
      </c>
      <c r="H209" s="16">
        <f t="shared" si="69"/>
        <v>16975.199999999993</v>
      </c>
      <c r="I209" s="16">
        <f t="shared" si="69"/>
        <v>14875.740000000005</v>
      </c>
      <c r="J209" s="16">
        <f t="shared" si="69"/>
        <v>16287.360000000008</v>
      </c>
      <c r="K209" s="16">
        <f t="shared" si="69"/>
        <v>18352.949999999993</v>
      </c>
      <c r="L209" s="16">
        <f t="shared" si="69"/>
        <v>18446.04</v>
      </c>
      <c r="M209" s="16">
        <f t="shared" si="51"/>
        <v>17024.873333333333</v>
      </c>
      <c r="N209" s="65"/>
      <c r="O209" s="65"/>
      <c r="P209" s="66"/>
      <c r="Q209" s="65"/>
      <c r="R209" s="67"/>
      <c r="S209" s="58"/>
      <c r="T209" s="67"/>
      <c r="U209" s="67"/>
      <c r="V209" s="33"/>
      <c r="W209" s="29"/>
    </row>
    <row r="210" spans="1:27">
      <c r="A210" s="86">
        <v>41802</v>
      </c>
      <c r="B210" s="120" t="s">
        <v>348</v>
      </c>
      <c r="C210" s="57" t="s">
        <v>79</v>
      </c>
      <c r="D210" s="58">
        <v>29326.080000000002</v>
      </c>
      <c r="E210" s="58">
        <v>28949.85</v>
      </c>
      <c r="F210" s="58">
        <v>28918.6</v>
      </c>
      <c r="G210" s="58">
        <v>28934.07</v>
      </c>
      <c r="H210" s="58">
        <v>29111.75</v>
      </c>
      <c r="I210" s="58">
        <v>29267.98</v>
      </c>
      <c r="J210" s="58">
        <v>28934.85</v>
      </c>
      <c r="K210" s="58">
        <v>28927.05</v>
      </c>
      <c r="L210" s="58">
        <v>29116.47</v>
      </c>
      <c r="M210" s="16">
        <f t="shared" si="51"/>
        <v>29054.07777777778</v>
      </c>
      <c r="N210" s="59">
        <f>IF((L211=""),"",MAX(D212:L212))</f>
        <v>13614.659999999993</v>
      </c>
      <c r="O210" s="59">
        <f>IF(L211="","",MIN(D212:L212))</f>
        <v>11771.46</v>
      </c>
      <c r="P210" s="60">
        <f>IF((L212=""),"",AVERAGE(D212:L212))</f>
        <v>12844.54</v>
      </c>
      <c r="Q210" s="156">
        <f>IF((L211=""),"",((N210-O210)/(N210+O210)*100))</f>
        <v>7.2606605499382884</v>
      </c>
      <c r="R210" s="61" t="str">
        <f>IF(L211="","",IF(Q210&lt;Z210,IF(O210&gt;V210,IF(N210&lt;W210,"PASS","FAIL"),"FAIL"),"FAIL"))</f>
        <v>PASS</v>
      </c>
      <c r="S210" s="62">
        <v>1400</v>
      </c>
      <c r="T210" s="61" t="s">
        <v>109</v>
      </c>
      <c r="U210" s="61"/>
      <c r="V210" s="110">
        <v>9000</v>
      </c>
      <c r="W210" s="110">
        <v>25000</v>
      </c>
      <c r="X210" s="111">
        <v>8090</v>
      </c>
      <c r="Y210" s="111">
        <v>12070</v>
      </c>
      <c r="Z210" s="112">
        <v>15</v>
      </c>
      <c r="AA210" s="112">
        <v>6</v>
      </c>
    </row>
    <row r="211" spans="1:27" ht="15.75">
      <c r="A211"/>
      <c r="B211" s="121"/>
      <c r="C211" s="57" t="s">
        <v>80</v>
      </c>
      <c r="D211" s="16">
        <v>25216.67</v>
      </c>
      <c r="E211" s="16">
        <v>24595.59</v>
      </c>
      <c r="F211" s="16">
        <v>24580.84</v>
      </c>
      <c r="G211" s="16">
        <v>24594.92</v>
      </c>
      <c r="H211" s="16">
        <v>24834.5</v>
      </c>
      <c r="I211" s="16">
        <v>25344.16</v>
      </c>
      <c r="J211" s="16">
        <v>24770.09</v>
      </c>
      <c r="K211" s="16">
        <v>24388.83</v>
      </c>
      <c r="L211" s="16">
        <v>24627.48</v>
      </c>
      <c r="M211" s="16">
        <f t="shared" si="51"/>
        <v>24772.564444444444</v>
      </c>
      <c r="N211" s="53"/>
      <c r="O211" s="53"/>
      <c r="P211" s="63"/>
      <c r="Q211" s="53"/>
      <c r="R211" s="64"/>
      <c r="S211" s="54"/>
      <c r="T211" s="64"/>
      <c r="U211" s="64"/>
      <c r="V211" s="32"/>
      <c r="W211" s="29"/>
    </row>
    <row r="212" spans="1:27" ht="28.5" customHeight="1">
      <c r="A212"/>
      <c r="B212" s="121"/>
      <c r="C212" s="57" t="s">
        <v>82</v>
      </c>
      <c r="D212" s="16">
        <f t="shared" ref="D212:L212" si="70">IF(((D210="")*AND(D211="")),"",(D210-D211)*3)</f>
        <v>12328.23000000001</v>
      </c>
      <c r="E212" s="16">
        <f t="shared" si="70"/>
        <v>13062.779999999995</v>
      </c>
      <c r="F212" s="16">
        <f t="shared" si="70"/>
        <v>13013.279999999995</v>
      </c>
      <c r="G212" s="16">
        <f t="shared" si="70"/>
        <v>13017.450000000004</v>
      </c>
      <c r="H212" s="16">
        <f t="shared" si="70"/>
        <v>12831.75</v>
      </c>
      <c r="I212" s="16">
        <f t="shared" si="70"/>
        <v>11771.46</v>
      </c>
      <c r="J212" s="16">
        <f t="shared" si="70"/>
        <v>12494.279999999995</v>
      </c>
      <c r="K212" s="16">
        <f t="shared" si="70"/>
        <v>13614.659999999993</v>
      </c>
      <c r="L212" s="16">
        <f t="shared" si="70"/>
        <v>13466.970000000005</v>
      </c>
      <c r="M212" s="16">
        <f t="shared" si="51"/>
        <v>12844.54</v>
      </c>
      <c r="N212" s="65"/>
      <c r="O212" s="65"/>
      <c r="P212" s="66"/>
      <c r="Q212" s="65"/>
      <c r="R212" s="67"/>
      <c r="S212" s="58"/>
      <c r="T212" s="67"/>
      <c r="U212" s="67"/>
      <c r="V212" s="33"/>
      <c r="W212" s="29"/>
    </row>
    <row r="213" spans="1:27">
      <c r="A213" s="86">
        <v>41806</v>
      </c>
      <c r="B213" s="120" t="s">
        <v>348</v>
      </c>
      <c r="C213" s="57" t="s">
        <v>79</v>
      </c>
      <c r="D213" s="58">
        <v>29640.3</v>
      </c>
      <c r="E213" s="58">
        <v>29241.47</v>
      </c>
      <c r="F213" s="58">
        <v>29430.33</v>
      </c>
      <c r="G213" s="58">
        <v>29304.14</v>
      </c>
      <c r="H213" s="58">
        <v>29480.02</v>
      </c>
      <c r="I213" s="58">
        <v>29590.6</v>
      </c>
      <c r="J213" s="58">
        <v>29305.72</v>
      </c>
      <c r="K213" s="58">
        <v>29288.81</v>
      </c>
      <c r="L213" s="58">
        <v>29477.5</v>
      </c>
      <c r="M213" s="16">
        <f t="shared" si="51"/>
        <v>29417.654444444444</v>
      </c>
      <c r="N213" s="59">
        <f>IF((L214=""),"",MAX(D215:L215))</f>
        <v>12514.050000000007</v>
      </c>
      <c r="O213" s="59">
        <f>IF(L214="","",MIN(D215:L215))</f>
        <v>11136.029999999995</v>
      </c>
      <c r="P213" s="60">
        <f>IF((L215=""),"",AVERAGE(D215:L215))</f>
        <v>11869.736666666666</v>
      </c>
      <c r="Q213" s="156">
        <f>IF((L214=""),"",((N213-O213)/(N213+O213)*100))</f>
        <v>5.8267033346187889</v>
      </c>
      <c r="R213" s="61" t="str">
        <f>IF(L214="","",IF(Q213&lt;Z213,IF(O213&gt;V213,IF(N213&lt;W213,"PASS","FAIL"),"FAIL"),"FAIL"))</f>
        <v>PASS</v>
      </c>
      <c r="S213" s="62">
        <v>1159</v>
      </c>
      <c r="T213" s="61" t="s">
        <v>110</v>
      </c>
      <c r="U213" s="61"/>
      <c r="V213" s="110">
        <v>9000</v>
      </c>
      <c r="W213" s="110">
        <v>25000</v>
      </c>
      <c r="X213" s="111">
        <v>8090</v>
      </c>
      <c r="Y213" s="111">
        <v>12070</v>
      </c>
      <c r="Z213" s="112">
        <v>15</v>
      </c>
      <c r="AA213" s="112">
        <v>6</v>
      </c>
    </row>
    <row r="214" spans="1:27" ht="15.75">
      <c r="A214"/>
      <c r="B214" s="121"/>
      <c r="C214" s="57" t="s">
        <v>80</v>
      </c>
      <c r="D214" s="16">
        <v>25780.34</v>
      </c>
      <c r="E214" s="16">
        <v>25277.45</v>
      </c>
      <c r="F214" s="16">
        <v>25258.98</v>
      </c>
      <c r="G214" s="16">
        <v>25352.880000000001</v>
      </c>
      <c r="H214" s="16">
        <v>25479.51</v>
      </c>
      <c r="I214" s="16">
        <v>25878.59</v>
      </c>
      <c r="J214" s="16">
        <v>25480.79</v>
      </c>
      <c r="K214" s="16">
        <v>25242.799999999999</v>
      </c>
      <c r="L214" s="16">
        <v>25398.34</v>
      </c>
      <c r="M214" s="16">
        <f t="shared" si="51"/>
        <v>25461.075555555555</v>
      </c>
      <c r="N214" s="53"/>
      <c r="O214" s="53"/>
      <c r="P214" s="63"/>
      <c r="Q214" s="53"/>
      <c r="R214" s="64"/>
      <c r="S214" s="54"/>
      <c r="T214" s="64"/>
      <c r="U214" s="64"/>
      <c r="V214" s="32"/>
      <c r="W214" s="29"/>
    </row>
    <row r="215" spans="1:27" ht="28.5" customHeight="1">
      <c r="A215"/>
      <c r="B215" s="121"/>
      <c r="C215" s="57" t="s">
        <v>82</v>
      </c>
      <c r="D215" s="16">
        <f t="shared" ref="D215:L215" si="71">IF(((D213="")*AND(D214="")),"",(D213-D214)*3)</f>
        <v>11579.879999999997</v>
      </c>
      <c r="E215" s="16">
        <f t="shared" si="71"/>
        <v>11892.060000000001</v>
      </c>
      <c r="F215" s="16">
        <f t="shared" si="71"/>
        <v>12514.050000000007</v>
      </c>
      <c r="G215" s="16">
        <f t="shared" si="71"/>
        <v>11853.779999999995</v>
      </c>
      <c r="H215" s="16">
        <f t="shared" si="71"/>
        <v>12001.530000000006</v>
      </c>
      <c r="I215" s="16">
        <f t="shared" si="71"/>
        <v>11136.029999999995</v>
      </c>
      <c r="J215" s="16">
        <f t="shared" si="71"/>
        <v>11474.79</v>
      </c>
      <c r="K215" s="16">
        <f t="shared" si="71"/>
        <v>12138.030000000006</v>
      </c>
      <c r="L215" s="16">
        <f t="shared" si="71"/>
        <v>12237.48</v>
      </c>
      <c r="M215" s="16">
        <f t="shared" si="51"/>
        <v>11869.736666666666</v>
      </c>
      <c r="N215" s="65"/>
      <c r="O215" s="65"/>
      <c r="P215" s="66"/>
      <c r="Q215" s="65"/>
      <c r="R215" s="67"/>
      <c r="S215" s="58"/>
      <c r="T215" s="67"/>
      <c r="U215" s="67"/>
      <c r="V215" s="33"/>
      <c r="W215" s="29"/>
    </row>
    <row r="216" spans="1:27">
      <c r="A216" s="86">
        <v>41810</v>
      </c>
      <c r="B216" s="120" t="s">
        <v>348</v>
      </c>
      <c r="C216" s="57" t="s">
        <v>79</v>
      </c>
      <c r="D216" s="58">
        <v>29514.61</v>
      </c>
      <c r="E216" s="58">
        <v>29255.49</v>
      </c>
      <c r="F216" s="58">
        <v>29300.46</v>
      </c>
      <c r="G216" s="58">
        <v>29220.16</v>
      </c>
      <c r="H216" s="58">
        <v>29490.41</v>
      </c>
      <c r="I216" s="58">
        <v>29498.080000000002</v>
      </c>
      <c r="J216" s="58">
        <v>29249.200000000001</v>
      </c>
      <c r="K216" s="58">
        <v>29216.61</v>
      </c>
      <c r="L216" s="58">
        <v>29464.32</v>
      </c>
      <c r="M216" s="16">
        <f t="shared" si="51"/>
        <v>29356.593333333338</v>
      </c>
      <c r="N216" s="59">
        <f>IF((L217=""),"",MAX(D218:L218))</f>
        <v>13322.669999999998</v>
      </c>
      <c r="O216" s="59">
        <f>IF(L217="","",MIN(D218:L218))</f>
        <v>11482.380000000008</v>
      </c>
      <c r="P216" s="60">
        <f>IF((L218=""),"",AVERAGE(D218:L218))</f>
        <v>12510.460000000001</v>
      </c>
      <c r="Q216" s="156">
        <f>IF((L217=""),"",((N216-O216)/(N216+O216)*100))</f>
        <v>7.4190134670157466</v>
      </c>
      <c r="R216" s="61" t="str">
        <f>IF(L217="","",IF(Q216&lt;Z216,IF(O216&gt;V216,IF(N216&lt;W216,"PASS","FAIL"),"FAIL"),"FAIL"))</f>
        <v>PASS</v>
      </c>
      <c r="S216" s="62">
        <v>1159</v>
      </c>
      <c r="T216" s="61" t="s">
        <v>111</v>
      </c>
      <c r="U216" s="61"/>
      <c r="V216" s="110">
        <v>9000</v>
      </c>
      <c r="W216" s="110">
        <v>25000</v>
      </c>
      <c r="X216" s="111">
        <v>8090</v>
      </c>
      <c r="Y216" s="111">
        <v>12070</v>
      </c>
      <c r="Z216" s="112">
        <v>15</v>
      </c>
      <c r="AA216" s="112">
        <v>6</v>
      </c>
    </row>
    <row r="217" spans="1:27" ht="15.75">
      <c r="A217"/>
      <c r="B217" s="121"/>
      <c r="C217" s="57" t="s">
        <v>80</v>
      </c>
      <c r="D217" s="16">
        <v>25466.38</v>
      </c>
      <c r="E217" s="16">
        <v>25036.22</v>
      </c>
      <c r="F217" s="16">
        <v>25081.99</v>
      </c>
      <c r="G217" s="16">
        <v>25073.19</v>
      </c>
      <c r="H217" s="16">
        <v>25297.59</v>
      </c>
      <c r="I217" s="16">
        <v>25670.62</v>
      </c>
      <c r="J217" s="16">
        <v>25180.52</v>
      </c>
      <c r="K217" s="16">
        <v>24848.02</v>
      </c>
      <c r="L217" s="16">
        <v>25023.43</v>
      </c>
      <c r="M217" s="16">
        <f t="shared" si="51"/>
        <v>25186.44</v>
      </c>
      <c r="N217" s="53"/>
      <c r="O217" s="53"/>
      <c r="P217" s="63"/>
      <c r="Q217" s="53"/>
      <c r="R217" s="64"/>
      <c r="S217" s="54"/>
      <c r="T217" s="64"/>
      <c r="U217" s="64"/>
      <c r="V217" s="32"/>
      <c r="W217" s="29"/>
    </row>
    <row r="218" spans="1:27" ht="28.5" customHeight="1">
      <c r="A218"/>
      <c r="B218" s="121"/>
      <c r="C218" s="57" t="s">
        <v>82</v>
      </c>
      <c r="D218" s="16">
        <f t="shared" ref="D218:L218" si="72">IF(((D216="")*AND(D217="")),"",(D216-D217)*3)</f>
        <v>12144.689999999999</v>
      </c>
      <c r="E218" s="16">
        <f t="shared" si="72"/>
        <v>12657.810000000001</v>
      </c>
      <c r="F218" s="16">
        <f t="shared" si="72"/>
        <v>12655.409999999993</v>
      </c>
      <c r="G218" s="16">
        <f t="shared" si="72"/>
        <v>12440.910000000003</v>
      </c>
      <c r="H218" s="16">
        <f t="shared" si="72"/>
        <v>12578.46</v>
      </c>
      <c r="I218" s="16">
        <f t="shared" si="72"/>
        <v>11482.380000000008</v>
      </c>
      <c r="J218" s="16">
        <f t="shared" si="72"/>
        <v>12206.04</v>
      </c>
      <c r="K218" s="16">
        <f t="shared" si="72"/>
        <v>13105.77</v>
      </c>
      <c r="L218" s="16">
        <f t="shared" si="72"/>
        <v>13322.669999999998</v>
      </c>
      <c r="M218" s="16">
        <f t="shared" si="51"/>
        <v>12510.460000000001</v>
      </c>
      <c r="N218" s="65"/>
      <c r="O218" s="65"/>
      <c r="P218" s="66"/>
      <c r="Q218" s="65"/>
      <c r="R218" s="67"/>
      <c r="S218" s="58"/>
      <c r="T218" s="67"/>
      <c r="U218" s="67"/>
      <c r="V218" s="33"/>
      <c r="W218" s="29"/>
    </row>
    <row r="219" spans="1:27">
      <c r="A219" s="86">
        <v>41814</v>
      </c>
      <c r="B219" s="120" t="s">
        <v>348</v>
      </c>
      <c r="C219" s="57" t="s">
        <v>79</v>
      </c>
      <c r="D219" s="58">
        <v>29580.12</v>
      </c>
      <c r="E219" s="58">
        <v>29209.96</v>
      </c>
      <c r="F219" s="58">
        <v>29204.16</v>
      </c>
      <c r="G219" s="58">
        <v>29215.45</v>
      </c>
      <c r="H219" s="58">
        <v>29399.11</v>
      </c>
      <c r="I219" s="58">
        <v>29495.23</v>
      </c>
      <c r="J219" s="58">
        <v>29196.11</v>
      </c>
      <c r="K219" s="58">
        <v>29200.720000000001</v>
      </c>
      <c r="L219" s="58">
        <v>29361.9</v>
      </c>
      <c r="M219" s="16">
        <f t="shared" si="51"/>
        <v>29318.084444444445</v>
      </c>
      <c r="N219" s="59">
        <f>IF((L220=""),"",MAX(D221:L221))</f>
        <v>14148.150000000009</v>
      </c>
      <c r="O219" s="59">
        <f>IF(L220="","",MIN(D221:L221))</f>
        <v>11816.399999999998</v>
      </c>
      <c r="P219" s="60">
        <f>IF((L221=""),"",AVERAGE(D221:L221))</f>
        <v>13050.543333333337</v>
      </c>
      <c r="Q219" s="156">
        <f>IF((L220=""),"",((N219-O219)/(N219+O219)*100))</f>
        <v>8.9805138159529445</v>
      </c>
      <c r="R219" s="61" t="str">
        <f>IF(L220="","",IF(Q219&lt;Z219,IF(O219&gt;V219,IF(N219&lt;W219,"PASS","FAIL"),"FAIL"),"FAIL"))</f>
        <v>PASS</v>
      </c>
      <c r="S219" s="62">
        <v>1400</v>
      </c>
      <c r="T219" s="61" t="s">
        <v>112</v>
      </c>
      <c r="U219" s="61"/>
      <c r="V219" s="110">
        <v>9000</v>
      </c>
      <c r="W219" s="110">
        <v>25000</v>
      </c>
      <c r="X219" s="111">
        <v>8090</v>
      </c>
      <c r="Y219" s="111">
        <v>12070</v>
      </c>
      <c r="Z219" s="112">
        <v>15</v>
      </c>
      <c r="AA219" s="112">
        <v>6</v>
      </c>
    </row>
    <row r="220" spans="1:27" ht="15.75">
      <c r="A220"/>
      <c r="B220" s="121"/>
      <c r="C220" s="57" t="s">
        <v>80</v>
      </c>
      <c r="D220" s="16">
        <v>25399.77</v>
      </c>
      <c r="E220" s="16">
        <v>24796.01</v>
      </c>
      <c r="F220" s="16">
        <v>24850.78</v>
      </c>
      <c r="G220" s="16">
        <v>24844.21</v>
      </c>
      <c r="H220" s="16">
        <v>25084.25</v>
      </c>
      <c r="I220" s="16">
        <v>25556.43</v>
      </c>
      <c r="J220" s="16">
        <v>25009.07</v>
      </c>
      <c r="K220" s="16">
        <v>24524.76</v>
      </c>
      <c r="L220" s="16">
        <v>24645.85</v>
      </c>
      <c r="M220" s="16">
        <f t="shared" ref="M220:M227" si="73">SUM(D220:L220)/9</f>
        <v>24967.903333333335</v>
      </c>
      <c r="N220" s="53"/>
      <c r="O220" s="53"/>
      <c r="P220" s="63"/>
      <c r="Q220" s="53"/>
      <c r="R220" s="64"/>
      <c r="S220" s="54"/>
      <c r="T220" s="64"/>
      <c r="U220" s="64"/>
      <c r="V220" s="32"/>
      <c r="W220" s="29"/>
    </row>
    <row r="221" spans="1:27" ht="28.5" customHeight="1">
      <c r="A221"/>
      <c r="B221" s="121"/>
      <c r="C221" s="57" t="s">
        <v>82</v>
      </c>
      <c r="D221" s="16">
        <f t="shared" ref="D221:L221" si="74">IF(((D219="")*AND(D220="")),"",(D219-D220)*3)</f>
        <v>12541.049999999996</v>
      </c>
      <c r="E221" s="16">
        <f t="shared" si="74"/>
        <v>13241.850000000002</v>
      </c>
      <c r="F221" s="16">
        <f t="shared" si="74"/>
        <v>13060.140000000003</v>
      </c>
      <c r="G221" s="16">
        <f t="shared" si="74"/>
        <v>13113.720000000005</v>
      </c>
      <c r="H221" s="16">
        <f t="shared" si="74"/>
        <v>12944.580000000002</v>
      </c>
      <c r="I221" s="16">
        <f t="shared" si="74"/>
        <v>11816.399999999998</v>
      </c>
      <c r="J221" s="16">
        <f t="shared" si="74"/>
        <v>12561.120000000003</v>
      </c>
      <c r="K221" s="16">
        <f t="shared" si="74"/>
        <v>14027.880000000008</v>
      </c>
      <c r="L221" s="16">
        <f t="shared" si="74"/>
        <v>14148.150000000009</v>
      </c>
      <c r="M221" s="16">
        <f t="shared" si="73"/>
        <v>13050.543333333337</v>
      </c>
      <c r="N221" s="65"/>
      <c r="O221" s="65"/>
      <c r="P221" s="66"/>
      <c r="Q221" s="65"/>
      <c r="R221" s="67"/>
      <c r="S221" s="58"/>
      <c r="T221" s="67"/>
      <c r="U221" s="67"/>
      <c r="V221" s="33"/>
      <c r="W221" s="29"/>
    </row>
    <row r="222" spans="1:27">
      <c r="A222" s="86">
        <v>41822</v>
      </c>
      <c r="B222" s="120" t="s">
        <v>348</v>
      </c>
      <c r="C222" s="57" t="s">
        <v>79</v>
      </c>
      <c r="D222" s="58">
        <v>29468.86</v>
      </c>
      <c r="E222" s="58">
        <v>29243.8</v>
      </c>
      <c r="F222" s="58">
        <v>29236.68</v>
      </c>
      <c r="G222" s="58">
        <v>29244.86</v>
      </c>
      <c r="H222" s="58">
        <v>29406.560000000001</v>
      </c>
      <c r="I222" s="58">
        <v>29507.45</v>
      </c>
      <c r="J222" s="58">
        <v>29250.16</v>
      </c>
      <c r="K222" s="58">
        <v>29224.94</v>
      </c>
      <c r="L222" s="58">
        <v>29365.56</v>
      </c>
      <c r="M222" s="16">
        <f t="shared" si="73"/>
        <v>29327.652222222227</v>
      </c>
      <c r="N222" s="59">
        <f>IF((L223=""),"",MAX(D224:L224))</f>
        <v>13882.109999999997</v>
      </c>
      <c r="O222" s="59">
        <f>IF(L223="","",MIN(D224:L224))</f>
        <v>12026.070000000007</v>
      </c>
      <c r="P222" s="60">
        <f>IF((L224=""),"",AVERAGE(D224:L224))</f>
        <v>13066.15</v>
      </c>
      <c r="Q222" s="156">
        <f>IF((L223=""),"",((N222-O222)/(N222+O222)*100))</f>
        <v>7.1639150260650872</v>
      </c>
      <c r="R222" s="61" t="str">
        <f>IF(L223="","",IF(Q222&lt;Z222,IF(O222&gt;V222,IF(N222&lt;W222,"PASS","FAIL"),"FAIL"),"FAIL"))</f>
        <v>PASS</v>
      </c>
      <c r="S222" s="62">
        <v>1400</v>
      </c>
      <c r="T222" s="61" t="s">
        <v>113</v>
      </c>
      <c r="U222" s="61"/>
      <c r="V222" s="110">
        <v>9000</v>
      </c>
      <c r="W222" s="110">
        <v>25000</v>
      </c>
      <c r="X222" s="111">
        <v>8090</v>
      </c>
      <c r="Y222" s="111">
        <v>12070</v>
      </c>
      <c r="Z222" s="112">
        <v>15</v>
      </c>
      <c r="AA222" s="112">
        <v>6</v>
      </c>
    </row>
    <row r="223" spans="1:27" ht="15.75">
      <c r="A223"/>
      <c r="B223" s="121"/>
      <c r="C223" s="57" t="s">
        <v>80</v>
      </c>
      <c r="D223" s="16">
        <v>25275.65</v>
      </c>
      <c r="E223" s="16">
        <v>24786.99</v>
      </c>
      <c r="F223" s="16">
        <v>24831.37</v>
      </c>
      <c r="G223" s="16">
        <v>24872.25</v>
      </c>
      <c r="H223" s="16">
        <v>25121.43</v>
      </c>
      <c r="I223" s="16">
        <v>25498.76</v>
      </c>
      <c r="J223" s="16">
        <v>25003.72</v>
      </c>
      <c r="K223" s="16">
        <v>24597.57</v>
      </c>
      <c r="L223" s="16">
        <v>24762.68</v>
      </c>
      <c r="M223" s="16">
        <f t="shared" si="73"/>
        <v>24972.268888888892</v>
      </c>
      <c r="N223" s="53"/>
      <c r="O223" s="53"/>
      <c r="P223" s="63"/>
      <c r="Q223" s="53"/>
      <c r="R223" s="64"/>
      <c r="S223" s="54"/>
      <c r="T223" s="64"/>
      <c r="U223" s="64"/>
      <c r="V223" s="32"/>
      <c r="W223" s="29"/>
    </row>
    <row r="224" spans="1:27" ht="28.5" customHeight="1">
      <c r="A224"/>
      <c r="B224" s="121"/>
      <c r="C224" s="57" t="s">
        <v>82</v>
      </c>
      <c r="D224" s="16">
        <f t="shared" ref="D224:L224" si="75">IF(((D222="")*AND(D223="")),"",(D222-D223)*3)</f>
        <v>12579.629999999997</v>
      </c>
      <c r="E224" s="16">
        <f t="shared" si="75"/>
        <v>13370.429999999993</v>
      </c>
      <c r="F224" s="16">
        <f t="shared" si="75"/>
        <v>13215.930000000004</v>
      </c>
      <c r="G224" s="16">
        <f t="shared" si="75"/>
        <v>13117.830000000002</v>
      </c>
      <c r="H224" s="16">
        <f t="shared" si="75"/>
        <v>12855.390000000003</v>
      </c>
      <c r="I224" s="16">
        <f t="shared" si="75"/>
        <v>12026.070000000007</v>
      </c>
      <c r="J224" s="16">
        <f t="shared" si="75"/>
        <v>12739.319999999996</v>
      </c>
      <c r="K224" s="16">
        <f t="shared" si="75"/>
        <v>13882.109999999997</v>
      </c>
      <c r="L224" s="16">
        <f t="shared" si="75"/>
        <v>13808.640000000003</v>
      </c>
      <c r="M224" s="16">
        <f t="shared" si="73"/>
        <v>13066.15</v>
      </c>
      <c r="N224" s="65"/>
      <c r="O224" s="65"/>
      <c r="P224" s="66"/>
      <c r="Q224" s="65"/>
      <c r="R224" s="67"/>
      <c r="S224" s="58"/>
      <c r="T224" s="67"/>
      <c r="U224" s="67"/>
      <c r="V224" s="33"/>
      <c r="W224" s="29"/>
    </row>
    <row r="225" spans="1:27">
      <c r="A225" s="86">
        <v>41828</v>
      </c>
      <c r="B225" s="120" t="s">
        <v>348</v>
      </c>
      <c r="C225" s="57" t="s">
        <v>79</v>
      </c>
      <c r="D225" s="58">
        <v>29533.66</v>
      </c>
      <c r="E225" s="58">
        <v>29260.1</v>
      </c>
      <c r="F225" s="58">
        <v>29247.66</v>
      </c>
      <c r="G225" s="58">
        <v>29250.52</v>
      </c>
      <c r="H225" s="58">
        <v>29390.53</v>
      </c>
      <c r="I225" s="58">
        <v>29507.16</v>
      </c>
      <c r="J225" s="58">
        <v>29243.82</v>
      </c>
      <c r="K225" s="58">
        <v>29249.8</v>
      </c>
      <c r="L225" s="58">
        <v>29367.54</v>
      </c>
      <c r="M225" s="16">
        <f t="shared" si="73"/>
        <v>29338.976666666666</v>
      </c>
      <c r="N225" s="59">
        <f>IF((L226=""),"",MAX(D227:L227))</f>
        <v>31411.320000000007</v>
      </c>
      <c r="O225" s="59">
        <f>IF(L226="","",MIN(D227:L227))</f>
        <v>24704.399999999998</v>
      </c>
      <c r="P225" s="60">
        <f>IF((L227=""),"",AVERAGE(D227:L227))</f>
        <v>27448.726666666666</v>
      </c>
      <c r="Q225" s="156">
        <f>IF((L226=""),"",((N225-O225)/(N225+O225)*100))</f>
        <v>11.951945016476682</v>
      </c>
      <c r="R225" s="61" t="str">
        <f>IF(L226="","",IF(Q225&lt;Z225,IF(O225&gt;V225,IF(N225&lt;W225,"PASS","FAIL"),"FAIL"),"FAIL"))</f>
        <v>FAIL</v>
      </c>
      <c r="S225" s="62">
        <v>1159</v>
      </c>
      <c r="T225" s="61" t="s">
        <v>114</v>
      </c>
      <c r="U225" s="61"/>
      <c r="V225" s="110">
        <v>9000</v>
      </c>
      <c r="W225" s="110">
        <v>25000</v>
      </c>
      <c r="X225" s="111">
        <v>8090</v>
      </c>
      <c r="Y225" s="111">
        <v>12070</v>
      </c>
      <c r="Z225" s="112">
        <v>15</v>
      </c>
      <c r="AA225" s="112">
        <v>6</v>
      </c>
    </row>
    <row r="226" spans="1:27" ht="15.75">
      <c r="A226"/>
      <c r="B226" s="121"/>
      <c r="C226" s="57" t="s">
        <v>80</v>
      </c>
      <c r="D226" s="16">
        <v>19764.04</v>
      </c>
      <c r="E226" s="16">
        <v>19949.689999999999</v>
      </c>
      <c r="F226" s="16">
        <v>20821.759999999998</v>
      </c>
      <c r="G226" s="16">
        <v>20478.47</v>
      </c>
      <c r="H226" s="16">
        <v>20157.009999999998</v>
      </c>
      <c r="I226" s="16">
        <v>21272.36</v>
      </c>
      <c r="J226" s="16">
        <v>20682.53</v>
      </c>
      <c r="K226" s="16">
        <v>19681.650000000001</v>
      </c>
      <c r="L226" s="16">
        <v>18897.099999999999</v>
      </c>
      <c r="M226" s="16">
        <f t="shared" si="73"/>
        <v>20189.40111111111</v>
      </c>
      <c r="N226" s="53"/>
      <c r="O226" s="53"/>
      <c r="P226" s="63"/>
      <c r="Q226" s="53"/>
      <c r="R226" s="64"/>
      <c r="S226" s="54"/>
      <c r="T226" s="64"/>
      <c r="U226" s="64"/>
      <c r="V226" s="32"/>
      <c r="W226" s="29"/>
    </row>
    <row r="227" spans="1:27" ht="28.5" customHeight="1">
      <c r="A227"/>
      <c r="B227" s="121"/>
      <c r="C227" s="57" t="s">
        <v>82</v>
      </c>
      <c r="D227" s="16">
        <f t="shared" ref="D227:L227" si="76">IF(((D225="")*AND(D226="")),"",(D225-D226)*3)</f>
        <v>29308.859999999997</v>
      </c>
      <c r="E227" s="16">
        <f t="shared" si="76"/>
        <v>27931.23</v>
      </c>
      <c r="F227" s="16">
        <f t="shared" si="76"/>
        <v>25277.700000000004</v>
      </c>
      <c r="G227" s="16">
        <f t="shared" si="76"/>
        <v>26316.149999999998</v>
      </c>
      <c r="H227" s="16">
        <f t="shared" si="76"/>
        <v>27700.560000000001</v>
      </c>
      <c r="I227" s="16">
        <f t="shared" si="76"/>
        <v>24704.399999999998</v>
      </c>
      <c r="J227" s="16">
        <f t="shared" si="76"/>
        <v>25683.870000000003</v>
      </c>
      <c r="K227" s="16">
        <f t="shared" si="76"/>
        <v>28704.449999999993</v>
      </c>
      <c r="L227" s="16">
        <f t="shared" si="76"/>
        <v>31411.320000000007</v>
      </c>
      <c r="M227" s="16">
        <f t="shared" si="73"/>
        <v>27448.726666666666</v>
      </c>
      <c r="N227" s="65"/>
      <c r="O227" s="65"/>
      <c r="P227" s="66"/>
      <c r="Q227" s="65"/>
      <c r="R227" s="67"/>
      <c r="S227" s="58"/>
      <c r="T227" s="67"/>
      <c r="U227" s="67"/>
      <c r="V227" s="33"/>
      <c r="W227" s="29"/>
    </row>
    <row r="228" spans="1:27">
      <c r="A228" s="86">
        <v>41828</v>
      </c>
      <c r="B228" s="120" t="s">
        <v>348</v>
      </c>
      <c r="C228" s="57" t="s">
        <v>79</v>
      </c>
      <c r="D228" s="58">
        <v>29560.11</v>
      </c>
      <c r="E228" s="58">
        <v>29270.47</v>
      </c>
      <c r="F228" s="58">
        <v>29261.81</v>
      </c>
      <c r="G228" s="58">
        <v>29225.26</v>
      </c>
      <c r="H228" s="58">
        <v>29390.68</v>
      </c>
      <c r="I228" s="58">
        <v>29454.04</v>
      </c>
      <c r="J228" s="58">
        <v>29225.88</v>
      </c>
      <c r="K228" s="58">
        <v>29244.959999999999</v>
      </c>
      <c r="L228" s="58">
        <v>29423.13</v>
      </c>
      <c r="M228" s="16">
        <f>SUM(D228:L228)/9</f>
        <v>29339.593333333331</v>
      </c>
      <c r="N228" s="59">
        <f>IF((L229=""),"",MAX(D230:L230))</f>
        <v>13902.180000000004</v>
      </c>
      <c r="O228" s="59">
        <f>IF(L229="","",MIN(D230:L230))</f>
        <v>11860.470000000005</v>
      </c>
      <c r="P228" s="60">
        <f>IF((L230=""),"",AVERAGE(D230:L230))</f>
        <v>13008.876666666669</v>
      </c>
      <c r="Q228" s="156">
        <f>IF((L229=""),"",((N228-O228)/(N228+O228)*100))</f>
        <v>7.925077583245506</v>
      </c>
      <c r="R228" s="61" t="str">
        <f>IF(L229="","",IF(Q228&lt;Z228,IF(O228&gt;V228,IF(N228&lt;W228,"PASS","FAIL"),"FAIL"),"FAIL"))</f>
        <v>PASS</v>
      </c>
      <c r="S228" s="62">
        <v>1159</v>
      </c>
      <c r="T228" s="61" t="s">
        <v>115</v>
      </c>
      <c r="U228" s="61"/>
      <c r="V228" s="110">
        <v>9000</v>
      </c>
      <c r="W228" s="110">
        <v>25000</v>
      </c>
      <c r="X228" s="111">
        <v>8090</v>
      </c>
      <c r="Y228" s="111">
        <v>12070</v>
      </c>
      <c r="Z228" s="112">
        <v>15</v>
      </c>
      <c r="AA228" s="112">
        <v>6</v>
      </c>
    </row>
    <row r="229" spans="1:27" ht="15.75">
      <c r="A229"/>
      <c r="B229" s="121"/>
      <c r="C229" s="57" t="s">
        <v>80</v>
      </c>
      <c r="D229" s="16">
        <v>25335.52</v>
      </c>
      <c r="E229" s="16">
        <v>24832.14</v>
      </c>
      <c r="F229" s="16">
        <v>24905.89</v>
      </c>
      <c r="G229" s="16">
        <v>24889.33</v>
      </c>
      <c r="H229" s="16">
        <v>25112.85</v>
      </c>
      <c r="I229" s="16">
        <v>25500.55</v>
      </c>
      <c r="J229" s="16">
        <v>25030.240000000002</v>
      </c>
      <c r="K229" s="16">
        <v>24634.12</v>
      </c>
      <c r="L229" s="16">
        <v>24789.07</v>
      </c>
      <c r="M229" s="16">
        <f>SUM(D229:L229)/9</f>
        <v>25003.301111111112</v>
      </c>
      <c r="N229" s="53"/>
      <c r="O229" s="53"/>
      <c r="P229" s="63"/>
      <c r="Q229" s="53"/>
      <c r="R229" s="64"/>
      <c r="S229" s="54"/>
      <c r="T229" s="64"/>
      <c r="U229" s="64"/>
      <c r="V229" s="32"/>
      <c r="W229" s="29"/>
    </row>
    <row r="230" spans="1:27" ht="28.5" customHeight="1">
      <c r="A230"/>
      <c r="B230" s="121"/>
      <c r="C230" s="57" t="s">
        <v>82</v>
      </c>
      <c r="D230" s="16">
        <f t="shared" ref="D230:L230" si="77">IF(((D228="")*AND(D229="")),"",(D228-D229)*3)</f>
        <v>12673.77</v>
      </c>
      <c r="E230" s="16">
        <f t="shared" si="77"/>
        <v>13314.990000000005</v>
      </c>
      <c r="F230" s="16">
        <f t="shared" si="77"/>
        <v>13067.760000000006</v>
      </c>
      <c r="G230" s="16">
        <f t="shared" si="77"/>
        <v>13007.78999999999</v>
      </c>
      <c r="H230" s="16">
        <f t="shared" si="77"/>
        <v>12833.490000000005</v>
      </c>
      <c r="I230" s="16">
        <f t="shared" si="77"/>
        <v>11860.470000000005</v>
      </c>
      <c r="J230" s="16">
        <f t="shared" si="77"/>
        <v>12586.919999999998</v>
      </c>
      <c r="K230" s="16">
        <f t="shared" si="77"/>
        <v>13832.52</v>
      </c>
      <c r="L230" s="16">
        <f t="shared" si="77"/>
        <v>13902.180000000004</v>
      </c>
      <c r="M230" s="16">
        <f>SUM(D230:L230)/9</f>
        <v>13008.876666666669</v>
      </c>
      <c r="N230" s="65"/>
      <c r="O230" s="65"/>
      <c r="P230" s="66"/>
      <c r="Q230" s="65"/>
      <c r="R230" s="67"/>
      <c r="S230" s="58"/>
      <c r="T230" s="67"/>
      <c r="U230" s="67"/>
      <c r="V230" s="33"/>
      <c r="W230" s="29"/>
    </row>
    <row r="231" spans="1:27">
      <c r="A231" s="86">
        <v>41831</v>
      </c>
      <c r="B231" s="120" t="s">
        <v>348</v>
      </c>
      <c r="C231" s="57" t="s">
        <v>79</v>
      </c>
      <c r="D231" s="58">
        <v>29438.87</v>
      </c>
      <c r="E231" s="58">
        <v>29194.27</v>
      </c>
      <c r="F231" s="58">
        <v>29176.11</v>
      </c>
      <c r="G231" s="58">
        <v>29195.15</v>
      </c>
      <c r="H231" s="58">
        <v>29320.62</v>
      </c>
      <c r="I231" s="58">
        <v>29412.06</v>
      </c>
      <c r="J231" s="58">
        <v>29193.759999999998</v>
      </c>
      <c r="K231" s="58">
        <v>29169.94</v>
      </c>
      <c r="L231" s="58">
        <v>29362.3</v>
      </c>
      <c r="M231" s="16">
        <f t="shared" ref="M231:M294" si="78">SUM(D231:L231)/9</f>
        <v>29273.675555555557</v>
      </c>
      <c r="N231" s="59">
        <f>IF((L232=""),"",MAX(D233:L233))</f>
        <v>12739.620000000003</v>
      </c>
      <c r="O231" s="59">
        <f>IF(L232="","",MIN(D233:L233))</f>
        <v>11413.680000000004</v>
      </c>
      <c r="P231" s="60">
        <f>IF((L233=""),"",AVERAGE(D233:L233))</f>
        <v>12153.103333333333</v>
      </c>
      <c r="Q231" s="156">
        <f>IF((L232=""),"",((N231-O231)/(N231+O231)*100))</f>
        <v>5.4896846393660423</v>
      </c>
      <c r="R231" s="61" t="str">
        <f>IF(L232="","",IF(Q231&lt;Z231,IF(O231&gt;V231,IF(N231&lt;W231,"PASS","FAIL"),"FAIL"),"FAIL"))</f>
        <v>PASS</v>
      </c>
      <c r="S231" s="62">
        <v>1159</v>
      </c>
      <c r="T231" s="61" t="s">
        <v>116</v>
      </c>
      <c r="U231" s="61"/>
      <c r="V231" s="110">
        <v>9000</v>
      </c>
      <c r="W231" s="110">
        <v>25000</v>
      </c>
      <c r="X231" s="111">
        <v>8090</v>
      </c>
      <c r="Y231" s="111">
        <v>12070</v>
      </c>
      <c r="Z231" s="112">
        <v>15</v>
      </c>
      <c r="AA231" s="112">
        <v>6</v>
      </c>
    </row>
    <row r="232" spans="1:27" ht="15.75">
      <c r="A232"/>
      <c r="B232" s="121"/>
      <c r="C232" s="57" t="s">
        <v>80</v>
      </c>
      <c r="D232" s="16">
        <v>25495.65</v>
      </c>
      <c r="E232" s="16">
        <v>25077.1</v>
      </c>
      <c r="F232" s="16">
        <v>25126.79</v>
      </c>
      <c r="G232" s="16">
        <v>25126.43</v>
      </c>
      <c r="H232" s="16">
        <v>25300.04</v>
      </c>
      <c r="I232" s="16">
        <v>25607.5</v>
      </c>
      <c r="J232" s="16">
        <v>25207.13</v>
      </c>
      <c r="K232" s="16">
        <v>24947.37</v>
      </c>
      <c r="L232" s="16">
        <v>25115.759999999998</v>
      </c>
      <c r="M232" s="16">
        <f t="shared" si="78"/>
        <v>25222.641111111112</v>
      </c>
      <c r="N232" s="53"/>
      <c r="O232" s="53"/>
      <c r="P232" s="63"/>
      <c r="Q232" s="53"/>
      <c r="R232" s="64"/>
      <c r="S232" s="54"/>
      <c r="T232" s="64"/>
      <c r="U232" s="64"/>
      <c r="V232" s="32"/>
      <c r="W232" s="29"/>
    </row>
    <row r="233" spans="1:27" ht="28.5" customHeight="1">
      <c r="A233"/>
      <c r="B233" s="121"/>
      <c r="C233" s="57" t="s">
        <v>82</v>
      </c>
      <c r="D233" s="16">
        <f t="shared" ref="D233:L233" si="79">IF(((D231="")*AND(D232="")),"",(D231-D232)*3)</f>
        <v>11829.659999999993</v>
      </c>
      <c r="E233" s="16">
        <f t="shared" si="79"/>
        <v>12351.510000000006</v>
      </c>
      <c r="F233" s="16">
        <f t="shared" si="79"/>
        <v>12147.96</v>
      </c>
      <c r="G233" s="16">
        <f t="shared" si="79"/>
        <v>12206.160000000003</v>
      </c>
      <c r="H233" s="16">
        <f t="shared" si="79"/>
        <v>12061.739999999994</v>
      </c>
      <c r="I233" s="16">
        <f t="shared" si="79"/>
        <v>11413.680000000004</v>
      </c>
      <c r="J233" s="16">
        <f t="shared" si="79"/>
        <v>11959.889999999992</v>
      </c>
      <c r="K233" s="16">
        <f t="shared" si="79"/>
        <v>12667.71</v>
      </c>
      <c r="L233" s="16">
        <f t="shared" si="79"/>
        <v>12739.620000000003</v>
      </c>
      <c r="M233" s="16">
        <f t="shared" si="78"/>
        <v>12153.103333333333</v>
      </c>
      <c r="N233" s="65"/>
      <c r="O233" s="65"/>
      <c r="P233" s="66"/>
      <c r="Q233" s="65"/>
      <c r="R233" s="67"/>
      <c r="S233" s="58"/>
      <c r="T233" s="67"/>
      <c r="U233" s="67"/>
      <c r="V233" s="33"/>
      <c r="W233" s="29"/>
    </row>
    <row r="234" spans="1:27">
      <c r="A234" s="86">
        <v>41835</v>
      </c>
      <c r="B234" s="120" t="s">
        <v>348</v>
      </c>
      <c r="C234" s="57" t="s">
        <v>79</v>
      </c>
      <c r="D234" s="58">
        <v>29575.15</v>
      </c>
      <c r="E234" s="58">
        <v>29139.119999999999</v>
      </c>
      <c r="F234" s="58">
        <v>29150.17</v>
      </c>
      <c r="G234" s="58">
        <v>29136</v>
      </c>
      <c r="H234" s="58">
        <v>29334.400000000001</v>
      </c>
      <c r="I234" s="58">
        <v>29381.99</v>
      </c>
      <c r="J234" s="58">
        <v>29147.48</v>
      </c>
      <c r="K234" s="58">
        <v>29206.1</v>
      </c>
      <c r="L234" s="58">
        <v>29385.95</v>
      </c>
      <c r="M234" s="16">
        <f t="shared" si="78"/>
        <v>29272.928888888888</v>
      </c>
      <c r="N234" s="59">
        <f>IF((L235=""),"",MAX(D236:L236))</f>
        <v>13704.929999999993</v>
      </c>
      <c r="O234" s="59">
        <f>IF(L235="","",MIN(D236:L236))</f>
        <v>11814.390000000003</v>
      </c>
      <c r="P234" s="60">
        <f>IF((L236=""),"",AVERAGE(D236:L236))</f>
        <v>12804.646666666664</v>
      </c>
      <c r="Q234" s="156">
        <f>IF((L235=""),"",((N234-O234)/(N234+O234)*100))</f>
        <v>7.4082694993439873</v>
      </c>
      <c r="R234" s="61" t="str">
        <f>IF(L235="","",IF(Q234&lt;Z234,IF(O234&gt;V234,IF(N234&lt;W234,"PASS","FAIL"),"FAIL"),"FAIL"))</f>
        <v>PASS</v>
      </c>
      <c r="S234" s="62">
        <v>1400</v>
      </c>
      <c r="T234" s="61" t="s">
        <v>117</v>
      </c>
      <c r="U234" s="61"/>
      <c r="V234" s="110">
        <v>9000</v>
      </c>
      <c r="W234" s="110">
        <v>25000</v>
      </c>
      <c r="X234" s="111">
        <v>8090</v>
      </c>
      <c r="Y234" s="111">
        <v>12070</v>
      </c>
      <c r="Z234" s="112">
        <v>15</v>
      </c>
      <c r="AA234" s="112">
        <v>6</v>
      </c>
    </row>
    <row r="235" spans="1:27" ht="15.75">
      <c r="A235"/>
      <c r="B235" s="121"/>
      <c r="C235" s="57" t="s">
        <v>80</v>
      </c>
      <c r="D235" s="16">
        <v>25437</v>
      </c>
      <c r="E235" s="16">
        <v>24836.639999999999</v>
      </c>
      <c r="F235" s="16">
        <v>24889.81</v>
      </c>
      <c r="G235" s="16">
        <v>24917.63</v>
      </c>
      <c r="H235" s="16">
        <v>25076.11</v>
      </c>
      <c r="I235" s="16">
        <v>25443.86</v>
      </c>
      <c r="J235" s="16">
        <v>24954.93</v>
      </c>
      <c r="K235" s="16">
        <v>24637.79</v>
      </c>
      <c r="L235" s="16">
        <v>24848.65</v>
      </c>
      <c r="M235" s="16">
        <f t="shared" si="78"/>
        <v>25004.713333333333</v>
      </c>
      <c r="N235" s="53"/>
      <c r="O235" s="53"/>
      <c r="P235" s="63"/>
      <c r="Q235" s="53"/>
      <c r="R235" s="64"/>
      <c r="S235" s="54"/>
      <c r="T235" s="64"/>
      <c r="U235" s="64"/>
      <c r="V235" s="32"/>
      <c r="W235" s="29"/>
    </row>
    <row r="236" spans="1:27" ht="28.5" customHeight="1">
      <c r="A236"/>
      <c r="B236" s="121"/>
      <c r="C236" s="57" t="s">
        <v>82</v>
      </c>
      <c r="D236" s="16">
        <f t="shared" ref="D236:L236" si="80">IF(((D234="")*AND(D235="")),"",(D234-D235)*3)</f>
        <v>12414.450000000004</v>
      </c>
      <c r="E236" s="16">
        <f t="shared" si="80"/>
        <v>12907.439999999999</v>
      </c>
      <c r="F236" s="16">
        <f t="shared" si="80"/>
        <v>12781.079999999991</v>
      </c>
      <c r="G236" s="16">
        <f t="shared" si="80"/>
        <v>12655.109999999997</v>
      </c>
      <c r="H236" s="16">
        <f t="shared" si="80"/>
        <v>12774.870000000003</v>
      </c>
      <c r="I236" s="16">
        <f t="shared" si="80"/>
        <v>11814.390000000003</v>
      </c>
      <c r="J236" s="16">
        <f t="shared" si="80"/>
        <v>12577.649999999998</v>
      </c>
      <c r="K236" s="16">
        <f t="shared" si="80"/>
        <v>13704.929999999993</v>
      </c>
      <c r="L236" s="16">
        <f t="shared" si="80"/>
        <v>13611.899999999998</v>
      </c>
      <c r="M236" s="16">
        <f t="shared" si="78"/>
        <v>12804.646666666664</v>
      </c>
      <c r="N236" s="65"/>
      <c r="O236" s="65"/>
      <c r="P236" s="66"/>
      <c r="Q236" s="65"/>
      <c r="R236" s="67"/>
      <c r="S236" s="58"/>
      <c r="T236" s="67"/>
      <c r="U236" s="67"/>
      <c r="V236" s="33"/>
      <c r="W236" s="29"/>
    </row>
    <row r="237" spans="1:27">
      <c r="A237" s="86">
        <v>41844</v>
      </c>
      <c r="B237" s="120" t="s">
        <v>348</v>
      </c>
      <c r="C237" s="57" t="s">
        <v>79</v>
      </c>
      <c r="D237" s="58">
        <v>29415.3</v>
      </c>
      <c r="E237" s="58">
        <v>29125.05</v>
      </c>
      <c r="F237" s="58">
        <v>29146.51</v>
      </c>
      <c r="G237" s="58">
        <v>29125.27</v>
      </c>
      <c r="H237" s="58">
        <v>29298.31</v>
      </c>
      <c r="I237" s="58">
        <v>29339.73</v>
      </c>
      <c r="J237" s="58">
        <v>29107.439999999999</v>
      </c>
      <c r="K237" s="58">
        <v>29120.45</v>
      </c>
      <c r="L237" s="58">
        <v>29320.93</v>
      </c>
      <c r="M237" s="16">
        <f t="shared" si="78"/>
        <v>29222.110000000004</v>
      </c>
      <c r="N237" s="59">
        <f>IF((L238=""),"",MAX(D239:L239))</f>
        <v>13772.189999999999</v>
      </c>
      <c r="O237" s="59">
        <f>IF(L238="","",MIN(D239:L239))</f>
        <v>11668.560000000001</v>
      </c>
      <c r="P237" s="60">
        <f>IF((L239=""),"",AVERAGE(D239:L239))</f>
        <v>12830.139999999998</v>
      </c>
      <c r="Q237" s="156">
        <f>IF((L238=""),"",((N237-O237)/(N237+O237)*100))</f>
        <v>8.2687420771793185</v>
      </c>
      <c r="R237" s="61" t="str">
        <f>IF(L238="","",IF(Q237&lt;Z237,IF(O237&gt;V237,IF(N237&lt;W237,"PASS","FAIL"),"FAIL"),"FAIL"))</f>
        <v>PASS</v>
      </c>
      <c r="S237" s="62">
        <v>1159</v>
      </c>
      <c r="T237" s="61" t="s">
        <v>118</v>
      </c>
      <c r="U237" s="61"/>
      <c r="V237" s="110">
        <v>9000</v>
      </c>
      <c r="W237" s="110">
        <v>25000</v>
      </c>
      <c r="X237" s="111">
        <v>8090</v>
      </c>
      <c r="Y237" s="111">
        <v>12070</v>
      </c>
      <c r="Z237" s="112">
        <v>15</v>
      </c>
      <c r="AA237" s="112">
        <v>6</v>
      </c>
    </row>
    <row r="238" spans="1:27" ht="15.75">
      <c r="A238"/>
      <c r="B238" s="121"/>
      <c r="C238" s="57" t="s">
        <v>80</v>
      </c>
      <c r="D238" s="16">
        <v>25328.84</v>
      </c>
      <c r="E238" s="16">
        <v>24769.41</v>
      </c>
      <c r="F238" s="16">
        <v>24815.29</v>
      </c>
      <c r="G238" s="16">
        <v>24833.97</v>
      </c>
      <c r="H238" s="16">
        <v>25078.07</v>
      </c>
      <c r="I238" s="16">
        <v>25450.21</v>
      </c>
      <c r="J238" s="16">
        <v>24967.11</v>
      </c>
      <c r="K238" s="16">
        <v>24535.47</v>
      </c>
      <c r="L238" s="16">
        <v>24730.2</v>
      </c>
      <c r="M238" s="16">
        <f t="shared" si="78"/>
        <v>24945.396666666671</v>
      </c>
      <c r="N238" s="53"/>
      <c r="O238" s="53"/>
      <c r="P238" s="63"/>
      <c r="Q238" s="53"/>
      <c r="R238" s="64"/>
      <c r="S238" s="54"/>
      <c r="T238" s="64"/>
      <c r="U238" s="64"/>
      <c r="V238" s="32"/>
      <c r="W238" s="29"/>
    </row>
    <row r="239" spans="1:27" ht="28.5" customHeight="1">
      <c r="A239"/>
      <c r="B239" s="121"/>
      <c r="C239" s="57" t="s">
        <v>82</v>
      </c>
      <c r="D239" s="16">
        <f t="shared" ref="D239:L239" si="81">IF(((D237="")*AND(D238="")),"",(D237-D238)*3)</f>
        <v>12259.379999999997</v>
      </c>
      <c r="E239" s="16">
        <f t="shared" si="81"/>
        <v>13066.919999999998</v>
      </c>
      <c r="F239" s="16">
        <f t="shared" si="81"/>
        <v>12993.659999999993</v>
      </c>
      <c r="G239" s="16">
        <f t="shared" si="81"/>
        <v>12873.899999999998</v>
      </c>
      <c r="H239" s="16">
        <f t="shared" si="81"/>
        <v>12660.720000000005</v>
      </c>
      <c r="I239" s="16">
        <f t="shared" si="81"/>
        <v>11668.560000000001</v>
      </c>
      <c r="J239" s="16">
        <f t="shared" si="81"/>
        <v>12420.989999999994</v>
      </c>
      <c r="K239" s="16">
        <f t="shared" si="81"/>
        <v>13754.939999999999</v>
      </c>
      <c r="L239" s="16">
        <f t="shared" si="81"/>
        <v>13772.189999999999</v>
      </c>
      <c r="M239" s="16">
        <f t="shared" si="78"/>
        <v>12830.139999999998</v>
      </c>
      <c r="N239" s="65"/>
      <c r="O239" s="65"/>
      <c r="P239" s="66"/>
      <c r="Q239" s="65"/>
      <c r="R239" s="67"/>
      <c r="S239" s="58"/>
      <c r="T239" s="67"/>
      <c r="U239" s="67"/>
      <c r="V239" s="33"/>
      <c r="W239" s="29"/>
    </row>
    <row r="240" spans="1:27">
      <c r="A240" s="86">
        <v>41851</v>
      </c>
      <c r="B240" s="120" t="s">
        <v>348</v>
      </c>
      <c r="C240" s="57" t="s">
        <v>79</v>
      </c>
      <c r="D240" s="58">
        <v>29997.69</v>
      </c>
      <c r="E240" s="58">
        <v>29741.9</v>
      </c>
      <c r="F240" s="58">
        <v>29724.06</v>
      </c>
      <c r="G240" s="58">
        <v>29740.78</v>
      </c>
      <c r="H240" s="58">
        <v>29865.29</v>
      </c>
      <c r="I240" s="58">
        <v>29960.15</v>
      </c>
      <c r="J240" s="58">
        <v>29747.21</v>
      </c>
      <c r="K240" s="58">
        <v>29743.94</v>
      </c>
      <c r="L240" s="58">
        <v>29906.44</v>
      </c>
      <c r="M240" s="16">
        <f t="shared" si="78"/>
        <v>29825.273333333331</v>
      </c>
      <c r="N240" s="59">
        <f>IF((L241=""),"",MAX(D242:L242))</f>
        <v>20002.29</v>
      </c>
      <c r="O240" s="59">
        <f>IF(L241="","",MIN(D242:L242))</f>
        <v>16363.5</v>
      </c>
      <c r="P240" s="60">
        <f>IF((L242=""),"",AVERAGE(D242:L242))</f>
        <v>18489.023333333331</v>
      </c>
      <c r="Q240" s="156">
        <f>IF((L241=""),"",((N240-O240)/(N240+O240)*100))</f>
        <v>10.006079889918523</v>
      </c>
      <c r="R240" s="61" t="str">
        <f>IF(L241="","",IF(Q240&lt;Z240,IF(O240&gt;V240,IF(N240&lt;W240,"PASS","FAIL"),"FAIL"),"FAIL"))</f>
        <v>PASS</v>
      </c>
      <c r="S240" s="62">
        <v>1400</v>
      </c>
      <c r="T240" s="61" t="s">
        <v>119</v>
      </c>
      <c r="U240" s="61"/>
      <c r="V240" s="110">
        <v>9000</v>
      </c>
      <c r="W240" s="110">
        <v>25000</v>
      </c>
      <c r="X240" s="111">
        <v>8090</v>
      </c>
      <c r="Y240" s="111">
        <v>12070</v>
      </c>
      <c r="Z240" s="112">
        <v>15</v>
      </c>
      <c r="AA240" s="112">
        <v>6</v>
      </c>
    </row>
    <row r="241" spans="1:27" ht="15.75">
      <c r="A241"/>
      <c r="B241" s="121"/>
      <c r="C241" s="57" t="s">
        <v>80</v>
      </c>
      <c r="D241" s="16">
        <v>24169.93</v>
      </c>
      <c r="E241" s="16">
        <v>23475.23</v>
      </c>
      <c r="F241" s="16">
        <v>23381.4</v>
      </c>
      <c r="G241" s="16">
        <v>23514.78</v>
      </c>
      <c r="H241" s="16">
        <v>23783.47</v>
      </c>
      <c r="I241" s="16">
        <v>24505.65</v>
      </c>
      <c r="J241" s="16">
        <v>23788.99</v>
      </c>
      <c r="K241" s="16">
        <v>23101.93</v>
      </c>
      <c r="L241" s="16">
        <v>23239.01</v>
      </c>
      <c r="M241" s="16">
        <f t="shared" si="78"/>
        <v>23662.265555555554</v>
      </c>
      <c r="N241" s="53"/>
      <c r="O241" s="53"/>
      <c r="P241" s="63"/>
      <c r="Q241" s="53"/>
      <c r="R241" s="64"/>
      <c r="S241" s="54"/>
      <c r="T241" s="64"/>
      <c r="U241" s="64"/>
      <c r="V241" s="32"/>
      <c r="W241" s="29"/>
    </row>
    <row r="242" spans="1:27" ht="28.5" customHeight="1">
      <c r="A242"/>
      <c r="B242" s="121"/>
      <c r="C242" s="57" t="s">
        <v>82</v>
      </c>
      <c r="D242" s="16">
        <f t="shared" ref="D242:L242" si="82">IF(((D240="")*AND(D241="")),"",(D240-D241)*3)</f>
        <v>17483.279999999995</v>
      </c>
      <c r="E242" s="16">
        <f t="shared" si="82"/>
        <v>18800.010000000006</v>
      </c>
      <c r="F242" s="16">
        <f t="shared" si="82"/>
        <v>19027.98</v>
      </c>
      <c r="G242" s="16">
        <f t="shared" si="82"/>
        <v>18678</v>
      </c>
      <c r="H242" s="16">
        <f t="shared" si="82"/>
        <v>18245.46</v>
      </c>
      <c r="I242" s="16">
        <f t="shared" si="82"/>
        <v>16363.5</v>
      </c>
      <c r="J242" s="16">
        <f t="shared" si="82"/>
        <v>17874.659999999993</v>
      </c>
      <c r="K242" s="16">
        <f t="shared" si="82"/>
        <v>19926.029999999995</v>
      </c>
      <c r="L242" s="16">
        <f t="shared" si="82"/>
        <v>20002.29</v>
      </c>
      <c r="M242" s="16">
        <f t="shared" si="78"/>
        <v>18489.023333333331</v>
      </c>
      <c r="N242" s="65"/>
      <c r="O242" s="65"/>
      <c r="P242" s="66"/>
      <c r="Q242" s="65"/>
      <c r="R242" s="67"/>
      <c r="S242" s="58"/>
      <c r="T242" s="67"/>
      <c r="U242" s="67"/>
      <c r="V242" s="33"/>
      <c r="W242" s="29"/>
    </row>
    <row r="243" spans="1:27">
      <c r="A243" s="86">
        <v>41862</v>
      </c>
      <c r="B243" s="120" t="s">
        <v>348</v>
      </c>
      <c r="C243" s="57" t="s">
        <v>79</v>
      </c>
      <c r="D243" s="58">
        <v>29506.15</v>
      </c>
      <c r="E243" s="58">
        <v>29255.759999999998</v>
      </c>
      <c r="F243" s="58">
        <v>29238.04</v>
      </c>
      <c r="G243" s="58">
        <v>29261.07</v>
      </c>
      <c r="H243" s="58">
        <v>29380.38</v>
      </c>
      <c r="I243" s="58">
        <v>29471.17</v>
      </c>
      <c r="J243" s="58">
        <v>29240.85</v>
      </c>
      <c r="K243" s="58">
        <v>29248.84</v>
      </c>
      <c r="L243" s="58">
        <v>29388.91</v>
      </c>
      <c r="M243" s="16">
        <f t="shared" si="78"/>
        <v>29332.35222222222</v>
      </c>
      <c r="N243" s="59">
        <f>IF((L244=""),"",MAX(D245:L245))</f>
        <v>17608.890000000003</v>
      </c>
      <c r="O243" s="59">
        <f>IF(L244="","",MIN(D245:L245))</f>
        <v>14186.219999999994</v>
      </c>
      <c r="P243" s="60">
        <f>IF((L245=""),"",AVERAGE(D245:L245))</f>
        <v>16129.539999999995</v>
      </c>
      <c r="Q243" s="156">
        <f>IF((L244=""),"",((N243-O243)/(N243+O243)*100))</f>
        <v>10.764768544596983</v>
      </c>
      <c r="R243" s="61" t="str">
        <f>IF(L244="","",IF(Q243&lt;Z243,IF(O243&gt;V243,IF(N243&lt;W243,"PASS","FAIL"),"FAIL"),"FAIL"))</f>
        <v>PASS</v>
      </c>
      <c r="S243" s="62">
        <v>1159</v>
      </c>
      <c r="T243" s="61" t="s">
        <v>120</v>
      </c>
      <c r="U243" s="61"/>
      <c r="V243" s="110">
        <v>9000</v>
      </c>
      <c r="W243" s="110">
        <v>25000</v>
      </c>
      <c r="X243" s="111">
        <v>8090</v>
      </c>
      <c r="Y243" s="111">
        <v>12070</v>
      </c>
      <c r="Z243" s="112">
        <v>15</v>
      </c>
      <c r="AA243" s="112">
        <v>6</v>
      </c>
    </row>
    <row r="244" spans="1:27" ht="15.75">
      <c r="A244"/>
      <c r="B244" s="121"/>
      <c r="C244" s="57" t="s">
        <v>80</v>
      </c>
      <c r="D244" s="16">
        <v>24499.79</v>
      </c>
      <c r="E244" s="16">
        <v>23753.15</v>
      </c>
      <c r="F244" s="16">
        <v>23694.240000000002</v>
      </c>
      <c r="G244" s="16">
        <v>23809.7</v>
      </c>
      <c r="H244" s="16">
        <v>24096</v>
      </c>
      <c r="I244" s="16">
        <v>24742.43</v>
      </c>
      <c r="J244" s="16">
        <v>24069.93</v>
      </c>
      <c r="K244" s="16">
        <v>23379.21</v>
      </c>
      <c r="L244" s="16">
        <v>23558.1</v>
      </c>
      <c r="M244" s="16">
        <f t="shared" si="78"/>
        <v>23955.838888888888</v>
      </c>
      <c r="N244" s="53"/>
      <c r="O244" s="53"/>
      <c r="P244" s="63"/>
      <c r="Q244" s="53"/>
      <c r="R244" s="64"/>
      <c r="S244" s="54"/>
      <c r="T244" s="64"/>
      <c r="U244" s="64"/>
      <c r="V244" s="32"/>
      <c r="W244" s="29"/>
    </row>
    <row r="245" spans="1:27" ht="28.5" customHeight="1">
      <c r="A245"/>
      <c r="B245" s="121"/>
      <c r="C245" s="57" t="s">
        <v>82</v>
      </c>
      <c r="D245" s="16">
        <f t="shared" ref="D245:L245" si="83">IF(((D243="")*AND(D244="")),"",(D243-D244)*3)</f>
        <v>15019.080000000002</v>
      </c>
      <c r="E245" s="16">
        <f t="shared" si="83"/>
        <v>16507.829999999991</v>
      </c>
      <c r="F245" s="16">
        <f t="shared" si="83"/>
        <v>16631.399999999998</v>
      </c>
      <c r="G245" s="16">
        <f t="shared" si="83"/>
        <v>16354.109999999997</v>
      </c>
      <c r="H245" s="16">
        <f t="shared" si="83"/>
        <v>15853.140000000003</v>
      </c>
      <c r="I245" s="16">
        <f t="shared" si="83"/>
        <v>14186.219999999994</v>
      </c>
      <c r="J245" s="16">
        <f t="shared" si="83"/>
        <v>15512.759999999995</v>
      </c>
      <c r="K245" s="16">
        <f t="shared" si="83"/>
        <v>17608.890000000003</v>
      </c>
      <c r="L245" s="16">
        <f t="shared" si="83"/>
        <v>17492.430000000004</v>
      </c>
      <c r="M245" s="16">
        <f t="shared" si="78"/>
        <v>16129.539999999995</v>
      </c>
      <c r="N245" s="65"/>
      <c r="O245" s="65"/>
      <c r="P245" s="66"/>
      <c r="Q245" s="65"/>
      <c r="R245" s="67"/>
      <c r="S245" s="58"/>
      <c r="T245" s="67"/>
      <c r="U245" s="67"/>
      <c r="V245" s="33"/>
      <c r="W245" s="29"/>
    </row>
    <row r="246" spans="1:27">
      <c r="A246" s="86">
        <v>41870</v>
      </c>
      <c r="B246" s="120" t="s">
        <v>348</v>
      </c>
      <c r="C246" s="57" t="s">
        <v>79</v>
      </c>
      <c r="D246" s="58">
        <v>29431.06</v>
      </c>
      <c r="E246" s="58">
        <v>29145.15</v>
      </c>
      <c r="F246" s="58">
        <v>29127.21</v>
      </c>
      <c r="G246" s="58">
        <v>29128.57</v>
      </c>
      <c r="H246" s="58">
        <v>29248.11</v>
      </c>
      <c r="I246" s="58">
        <v>29373</v>
      </c>
      <c r="J246" s="58">
        <v>29119.34</v>
      </c>
      <c r="K246" s="58">
        <v>29139.599999999999</v>
      </c>
      <c r="L246" s="58">
        <v>29289.69</v>
      </c>
      <c r="M246" s="16">
        <f t="shared" si="78"/>
        <v>29222.41444444445</v>
      </c>
      <c r="N246" s="59">
        <f>IF((L247=""),"",MAX(D248:L248))</f>
        <v>13442.159999999993</v>
      </c>
      <c r="O246" s="59">
        <f>IF(L247="","",MIN(D248:L248))</f>
        <v>11399.46</v>
      </c>
      <c r="P246" s="60">
        <f>IF((L248=""),"",AVERAGE(D248:L248))</f>
        <v>12523.82</v>
      </c>
      <c r="Q246" s="156">
        <f>IF((L247=""),"",((N246-O246)/(N246+O246)*100))</f>
        <v>8.222893676016275</v>
      </c>
      <c r="R246" s="61" t="str">
        <f>IF(L247="","",IF(Q246&lt;Z246,IF(O246&gt;V246,IF(N246&lt;W246,"PASS","FAIL"),"FAIL"),"FAIL"))</f>
        <v>PASS</v>
      </c>
      <c r="S246" s="62">
        <v>1159</v>
      </c>
      <c r="T246" s="61" t="s">
        <v>121</v>
      </c>
      <c r="U246" s="61"/>
      <c r="V246" s="110">
        <v>9000</v>
      </c>
      <c r="W246" s="110">
        <v>25000</v>
      </c>
      <c r="X246" s="111">
        <v>8090</v>
      </c>
      <c r="Y246" s="111">
        <v>12070</v>
      </c>
      <c r="Z246" s="112">
        <v>15</v>
      </c>
      <c r="AA246" s="112">
        <v>6</v>
      </c>
    </row>
    <row r="247" spans="1:27" ht="15.75">
      <c r="A247"/>
      <c r="B247" s="121"/>
      <c r="C247" s="57" t="s">
        <v>80</v>
      </c>
      <c r="D247" s="16">
        <v>25406.45</v>
      </c>
      <c r="E247" s="16">
        <v>24857.96</v>
      </c>
      <c r="F247" s="16">
        <v>24913.59</v>
      </c>
      <c r="G247" s="16">
        <v>24930.959999999999</v>
      </c>
      <c r="H247" s="16">
        <v>25161.94</v>
      </c>
      <c r="I247" s="16">
        <v>25573.18</v>
      </c>
      <c r="J247" s="16">
        <v>25082.32</v>
      </c>
      <c r="K247" s="16">
        <v>24658.880000000001</v>
      </c>
      <c r="L247" s="16">
        <v>24844.99</v>
      </c>
      <c r="M247" s="16">
        <f t="shared" si="78"/>
        <v>25047.807777777776</v>
      </c>
      <c r="N247" s="53"/>
      <c r="O247" s="53"/>
      <c r="P247" s="63"/>
      <c r="Q247" s="53"/>
      <c r="R247" s="64"/>
      <c r="S247" s="54"/>
      <c r="T247" s="64"/>
      <c r="U247" s="64"/>
      <c r="V247" s="32"/>
      <c r="W247" s="29"/>
    </row>
    <row r="248" spans="1:27" ht="28.5" customHeight="1">
      <c r="A248"/>
      <c r="B248" s="121"/>
      <c r="C248" s="57" t="s">
        <v>82</v>
      </c>
      <c r="D248" s="16">
        <f t="shared" ref="D248:L248" si="84">IF(((D246="")*AND(D247="")),"",(D246-D247)*3)</f>
        <v>12073.830000000002</v>
      </c>
      <c r="E248" s="16">
        <f t="shared" si="84"/>
        <v>12861.570000000007</v>
      </c>
      <c r="F248" s="16">
        <f t="shared" si="84"/>
        <v>12640.859999999997</v>
      </c>
      <c r="G248" s="16">
        <f t="shared" si="84"/>
        <v>12592.830000000002</v>
      </c>
      <c r="H248" s="16">
        <f t="shared" si="84"/>
        <v>12258.510000000006</v>
      </c>
      <c r="I248" s="16">
        <f t="shared" si="84"/>
        <v>11399.46</v>
      </c>
      <c r="J248" s="16">
        <f t="shared" si="84"/>
        <v>12111.060000000001</v>
      </c>
      <c r="K248" s="16">
        <f t="shared" si="84"/>
        <v>13442.159999999993</v>
      </c>
      <c r="L248" s="16">
        <f t="shared" si="84"/>
        <v>13334.099999999991</v>
      </c>
      <c r="M248" s="16">
        <f t="shared" si="78"/>
        <v>12523.82</v>
      </c>
      <c r="N248" s="65"/>
      <c r="O248" s="65"/>
      <c r="P248" s="66"/>
      <c r="Q248" s="65"/>
      <c r="R248" s="67"/>
      <c r="S248" s="58"/>
      <c r="T248" s="67"/>
      <c r="U248" s="67"/>
      <c r="V248" s="33"/>
      <c r="W248" s="29"/>
    </row>
    <row r="249" spans="1:27">
      <c r="A249" s="86">
        <v>41876</v>
      </c>
      <c r="B249" s="120" t="s">
        <v>348</v>
      </c>
      <c r="C249" s="57" t="s">
        <v>79</v>
      </c>
      <c r="D249" s="58">
        <v>29969.360000000001</v>
      </c>
      <c r="E249" s="58">
        <v>29659.95</v>
      </c>
      <c r="F249" s="58">
        <v>29657.42</v>
      </c>
      <c r="G249" s="58">
        <v>29641.86</v>
      </c>
      <c r="H249" s="58">
        <v>29805.82</v>
      </c>
      <c r="I249" s="58">
        <v>29887.759999999998</v>
      </c>
      <c r="J249" s="58">
        <v>29653.91</v>
      </c>
      <c r="K249" s="58">
        <v>29653.07</v>
      </c>
      <c r="L249" s="58">
        <v>29839.43</v>
      </c>
      <c r="M249" s="16">
        <f t="shared" si="78"/>
        <v>29752.064444444448</v>
      </c>
      <c r="N249" s="59">
        <f>IF((L250=""),"",MAX(D251:L251))</f>
        <v>19119.990000000005</v>
      </c>
      <c r="O249" s="59">
        <f>IF(L250="","",MIN(D251:L251))</f>
        <v>14953.439999999999</v>
      </c>
      <c r="P249" s="60">
        <f>IF((L251=""),"",AVERAGE(D251:L251))</f>
        <v>17277.61</v>
      </c>
      <c r="Q249" s="156">
        <f>IF((L250=""),"",((N249-O249)/(N249+O249)*100))</f>
        <v>12.22814961687158</v>
      </c>
      <c r="R249" s="61" t="str">
        <f>IF(L250="","",IF(Q249&lt;Z249,IF(O249&gt;V249,IF(N249&lt;W249,"PASS","FAIL"),"FAIL"),"FAIL"))</f>
        <v>PASS</v>
      </c>
      <c r="S249" s="62">
        <v>1400</v>
      </c>
      <c r="T249" s="61" t="s">
        <v>122</v>
      </c>
      <c r="U249" s="61"/>
      <c r="V249" s="110">
        <v>9000</v>
      </c>
      <c r="W249" s="110">
        <v>25000</v>
      </c>
      <c r="X249" s="111">
        <v>8090</v>
      </c>
      <c r="Y249" s="111">
        <v>12070</v>
      </c>
      <c r="Z249" s="112">
        <v>15</v>
      </c>
      <c r="AA249" s="112">
        <v>6</v>
      </c>
    </row>
    <row r="250" spans="1:27" ht="15.75">
      <c r="A250"/>
      <c r="B250" s="121"/>
      <c r="C250" s="57" t="s">
        <v>80</v>
      </c>
      <c r="D250" s="16">
        <v>24501.72</v>
      </c>
      <c r="E250" s="16">
        <v>23726.65</v>
      </c>
      <c r="F250" s="16">
        <v>23749.56</v>
      </c>
      <c r="G250" s="16">
        <v>23877.33</v>
      </c>
      <c r="H250" s="16">
        <v>24199.759999999998</v>
      </c>
      <c r="I250" s="16">
        <v>24903.279999999999</v>
      </c>
      <c r="J250" s="16">
        <v>24159.22</v>
      </c>
      <c r="K250" s="16">
        <v>23352.13</v>
      </c>
      <c r="L250" s="16">
        <v>23466.1</v>
      </c>
      <c r="M250" s="16">
        <f t="shared" si="78"/>
        <v>23992.861111111109</v>
      </c>
      <c r="N250" s="53"/>
      <c r="O250" s="53"/>
      <c r="P250" s="63"/>
      <c r="Q250" s="53"/>
      <c r="R250" s="64"/>
      <c r="S250" s="54"/>
      <c r="T250" s="64"/>
      <c r="U250" s="64"/>
      <c r="V250" s="32"/>
      <c r="W250" s="29"/>
    </row>
    <row r="251" spans="1:27" ht="28.5" customHeight="1">
      <c r="A251"/>
      <c r="B251" s="121"/>
      <c r="C251" s="57" t="s">
        <v>82</v>
      </c>
      <c r="D251" s="16">
        <f t="shared" ref="D251:L251" si="85">IF(((D249="")*AND(D250="")),"",(D249-D250)*3)</f>
        <v>16402.919999999998</v>
      </c>
      <c r="E251" s="16">
        <f t="shared" si="85"/>
        <v>17799.899999999998</v>
      </c>
      <c r="F251" s="16">
        <f t="shared" si="85"/>
        <v>17723.579999999991</v>
      </c>
      <c r="G251" s="16">
        <f t="shared" si="85"/>
        <v>17293.589999999997</v>
      </c>
      <c r="H251" s="16">
        <f t="shared" si="85"/>
        <v>16818.180000000004</v>
      </c>
      <c r="I251" s="16">
        <f t="shared" si="85"/>
        <v>14953.439999999999</v>
      </c>
      <c r="J251" s="16">
        <f t="shared" si="85"/>
        <v>16484.069999999996</v>
      </c>
      <c r="K251" s="16">
        <f t="shared" si="85"/>
        <v>18902.819999999996</v>
      </c>
      <c r="L251" s="16">
        <f t="shared" si="85"/>
        <v>19119.990000000005</v>
      </c>
      <c r="M251" s="16">
        <f t="shared" si="78"/>
        <v>17277.61</v>
      </c>
      <c r="N251" s="65"/>
      <c r="O251" s="65"/>
      <c r="P251" s="66"/>
      <c r="Q251" s="65"/>
      <c r="R251" s="67"/>
      <c r="S251" s="58"/>
      <c r="T251" s="67"/>
      <c r="U251" s="67"/>
      <c r="V251" s="33"/>
      <c r="W251" s="29"/>
    </row>
    <row r="252" spans="1:27">
      <c r="A252" s="86">
        <v>41883</v>
      </c>
      <c r="B252" s="120" t="s">
        <v>348</v>
      </c>
      <c r="C252" s="57" t="s">
        <v>79</v>
      </c>
      <c r="D252" s="58">
        <v>29557.16</v>
      </c>
      <c r="E252" s="58">
        <v>29297.06</v>
      </c>
      <c r="F252" s="58">
        <v>29284.57</v>
      </c>
      <c r="G252" s="58">
        <v>29287.24</v>
      </c>
      <c r="H252" s="58">
        <v>29418.6</v>
      </c>
      <c r="I252" s="58">
        <v>29489.7</v>
      </c>
      <c r="J252" s="58">
        <v>29287.200000000001</v>
      </c>
      <c r="K252" s="58">
        <v>29288.18</v>
      </c>
      <c r="L252" s="58">
        <v>29463.75</v>
      </c>
      <c r="M252" s="16">
        <f t="shared" si="78"/>
        <v>29374.828888888893</v>
      </c>
      <c r="N252" s="59">
        <f>IF((L253=""),"",MAX(D254:L254))</f>
        <v>15150.96</v>
      </c>
      <c r="O252" s="59">
        <f>IF(L253="","",MIN(D254:L254))</f>
        <v>12780.720000000005</v>
      </c>
      <c r="P252" s="60">
        <f>IF((L254=""),"",AVERAGE(D254:L254))</f>
        <v>14113.219999999998</v>
      </c>
      <c r="Q252" s="156">
        <f>IF((L253=""),"",((N252-O252)/(N252+O252)*100))</f>
        <v>8.4858483270608644</v>
      </c>
      <c r="R252" s="61" t="str">
        <f>IF(L253="","",IF(Q252&lt;Z252,IF(O252&gt;V252,IF(N252&lt;W252,"PASS","FAIL"),"FAIL"),"FAIL"))</f>
        <v>PASS</v>
      </c>
      <c r="S252" s="62">
        <v>1159</v>
      </c>
      <c r="T252" s="61" t="s">
        <v>123</v>
      </c>
      <c r="U252" s="61"/>
      <c r="V252" s="110">
        <v>9000</v>
      </c>
      <c r="W252" s="110">
        <v>25000</v>
      </c>
      <c r="X252" s="111">
        <v>8090</v>
      </c>
      <c r="Y252" s="111">
        <v>12070</v>
      </c>
      <c r="Z252" s="112">
        <v>15</v>
      </c>
      <c r="AA252" s="112">
        <v>6</v>
      </c>
    </row>
    <row r="253" spans="1:27" ht="15.75">
      <c r="A253"/>
      <c r="B253" s="121"/>
      <c r="C253" s="57" t="s">
        <v>80</v>
      </c>
      <c r="D253" s="16">
        <v>25102.31</v>
      </c>
      <c r="E253" s="16">
        <v>24505.22</v>
      </c>
      <c r="F253" s="16">
        <v>24512.33</v>
      </c>
      <c r="G253" s="16">
        <v>24533.33</v>
      </c>
      <c r="H253" s="16">
        <v>24756.54</v>
      </c>
      <c r="I253" s="16">
        <v>25229.46</v>
      </c>
      <c r="J253" s="16">
        <v>24722.75</v>
      </c>
      <c r="K253" s="16">
        <v>24237.86</v>
      </c>
      <c r="L253" s="16">
        <v>24434</v>
      </c>
      <c r="M253" s="16">
        <f t="shared" si="78"/>
        <v>24670.42222222222</v>
      </c>
      <c r="N253" s="53"/>
      <c r="O253" s="53"/>
      <c r="P253" s="63"/>
      <c r="Q253" s="53"/>
      <c r="R253" s="64"/>
      <c r="S253" s="54"/>
      <c r="T253" s="64"/>
      <c r="U253" s="64"/>
      <c r="V253" s="32"/>
      <c r="W253" s="29"/>
    </row>
    <row r="254" spans="1:27" ht="28.5" customHeight="1">
      <c r="A254"/>
      <c r="B254" s="121"/>
      <c r="C254" s="57" t="s">
        <v>82</v>
      </c>
      <c r="D254" s="16">
        <f t="shared" ref="D254:L254" si="86">IF(((D252="")*AND(D253="")),"",(D252-D253)*3)</f>
        <v>13364.549999999996</v>
      </c>
      <c r="E254" s="16">
        <f t="shared" si="86"/>
        <v>14375.52</v>
      </c>
      <c r="F254" s="16">
        <f t="shared" si="86"/>
        <v>14316.719999999994</v>
      </c>
      <c r="G254" s="16">
        <f t="shared" si="86"/>
        <v>14261.73</v>
      </c>
      <c r="H254" s="16">
        <f t="shared" si="86"/>
        <v>13986.179999999993</v>
      </c>
      <c r="I254" s="16">
        <f t="shared" si="86"/>
        <v>12780.720000000005</v>
      </c>
      <c r="J254" s="16">
        <f t="shared" si="86"/>
        <v>13693.350000000002</v>
      </c>
      <c r="K254" s="16">
        <f t="shared" si="86"/>
        <v>15150.96</v>
      </c>
      <c r="L254" s="16">
        <f t="shared" si="86"/>
        <v>15089.25</v>
      </c>
      <c r="M254" s="16">
        <f t="shared" si="78"/>
        <v>14113.219999999998</v>
      </c>
      <c r="N254" s="65"/>
      <c r="O254" s="65"/>
      <c r="P254" s="66"/>
      <c r="Q254" s="65"/>
      <c r="R254" s="67"/>
      <c r="S254" s="58"/>
      <c r="T254" s="67"/>
      <c r="U254" s="67"/>
      <c r="V254" s="33"/>
      <c r="W254" s="29"/>
    </row>
    <row r="255" spans="1:27">
      <c r="A255" s="86">
        <v>41890</v>
      </c>
      <c r="B255" s="120" t="s">
        <v>348</v>
      </c>
      <c r="C255" s="57" t="s">
        <v>79</v>
      </c>
      <c r="D255" s="58">
        <v>29394.03</v>
      </c>
      <c r="E255" s="58">
        <v>26924.89</v>
      </c>
      <c r="F255" s="58">
        <v>29137.87</v>
      </c>
      <c r="G255" s="58">
        <v>29114.68</v>
      </c>
      <c r="H255" s="58">
        <v>29307.67</v>
      </c>
      <c r="I255" s="58">
        <v>29337.88</v>
      </c>
      <c r="J255" s="58">
        <v>29131.59</v>
      </c>
      <c r="K255" s="58">
        <v>29127.59</v>
      </c>
      <c r="L255" s="58">
        <v>27110.54</v>
      </c>
      <c r="M255" s="16">
        <f t="shared" si="78"/>
        <v>28731.86</v>
      </c>
      <c r="N255" s="59">
        <f>IF((L256=""),"",MAX(D257:L257))</f>
        <v>17506.830000000002</v>
      </c>
      <c r="O255" s="59">
        <f>IF(L256="","",MIN(D257:L257))</f>
        <v>9868.6499999999978</v>
      </c>
      <c r="P255" s="60">
        <f>IF((L257=""),"",AVERAGE(D257:L257))</f>
        <v>14518.996666666666</v>
      </c>
      <c r="Q255" s="156">
        <f>IF((L256=""),"",((N255-O255)/(N255+O255)*100))</f>
        <v>27.901538164810276</v>
      </c>
      <c r="R255" s="61" t="str">
        <f>IF(L256="","",IF(Q255&lt;Z255,IF(O255&gt;V255,IF(N255&lt;W255,"PASS","FAIL"),"FAIL"),"FAIL"))</f>
        <v>FAIL</v>
      </c>
      <c r="S255" s="62">
        <v>1400</v>
      </c>
      <c r="T255" s="61" t="s">
        <v>124</v>
      </c>
      <c r="U255" s="61"/>
      <c r="V255" s="110">
        <v>9000</v>
      </c>
      <c r="W255" s="110">
        <v>25000</v>
      </c>
      <c r="X255" s="111">
        <v>8090</v>
      </c>
      <c r="Y255" s="111">
        <v>12070</v>
      </c>
      <c r="Z255" s="112">
        <v>15</v>
      </c>
      <c r="AA255" s="112">
        <v>6</v>
      </c>
    </row>
    <row r="256" spans="1:27" ht="15.75">
      <c r="A256"/>
      <c r="B256" s="121"/>
      <c r="C256" s="57" t="s">
        <v>80</v>
      </c>
      <c r="D256" s="16">
        <v>24360.11</v>
      </c>
      <c r="E256" s="16">
        <v>23635.34</v>
      </c>
      <c r="F256" s="16">
        <v>23638.95</v>
      </c>
      <c r="G256" s="16">
        <v>23764.19</v>
      </c>
      <c r="H256" s="16">
        <v>24083.26</v>
      </c>
      <c r="I256" s="16">
        <v>24721.81</v>
      </c>
      <c r="J256" s="16">
        <v>24038.21</v>
      </c>
      <c r="K256" s="16">
        <v>23291.98</v>
      </c>
      <c r="L256" s="16">
        <v>23495.9</v>
      </c>
      <c r="M256" s="16">
        <f t="shared" si="78"/>
        <v>23892.194444444445</v>
      </c>
      <c r="N256" s="53"/>
      <c r="O256" s="53"/>
      <c r="P256" s="63"/>
      <c r="Q256" s="53"/>
      <c r="R256" s="64"/>
      <c r="S256" s="54"/>
      <c r="T256" s="64"/>
      <c r="U256" s="64"/>
      <c r="V256" s="32"/>
      <c r="W256" s="29"/>
    </row>
    <row r="257" spans="1:27" ht="28.5" customHeight="1">
      <c r="A257"/>
      <c r="B257" s="121"/>
      <c r="C257" s="57" t="s">
        <v>82</v>
      </c>
      <c r="D257" s="16">
        <f t="shared" ref="D257:L257" si="87">IF(((D255="")*AND(D256="")),"",(D255-D256)*3)</f>
        <v>15101.759999999995</v>
      </c>
      <c r="E257" s="16">
        <f t="shared" si="87"/>
        <v>9868.6499999999978</v>
      </c>
      <c r="F257" s="16">
        <f t="shared" si="87"/>
        <v>16496.759999999995</v>
      </c>
      <c r="G257" s="16">
        <f t="shared" si="87"/>
        <v>16051.470000000005</v>
      </c>
      <c r="H257" s="16">
        <f t="shared" si="87"/>
        <v>15673.23</v>
      </c>
      <c r="I257" s="16">
        <f t="shared" si="87"/>
        <v>13848.21</v>
      </c>
      <c r="J257" s="16">
        <f t="shared" si="87"/>
        <v>15280.140000000003</v>
      </c>
      <c r="K257" s="16">
        <f t="shared" si="87"/>
        <v>17506.830000000002</v>
      </c>
      <c r="L257" s="16">
        <f t="shared" si="87"/>
        <v>10843.919999999998</v>
      </c>
      <c r="M257" s="16">
        <f t="shared" si="78"/>
        <v>14518.996666666666</v>
      </c>
      <c r="N257" s="65"/>
      <c r="O257" s="65"/>
      <c r="P257" s="66"/>
      <c r="Q257" s="65"/>
      <c r="R257" s="67"/>
      <c r="S257" s="58"/>
      <c r="T257" s="67"/>
      <c r="U257" s="67"/>
      <c r="V257" s="33"/>
      <c r="W257" s="29"/>
    </row>
    <row r="258" spans="1:27">
      <c r="A258" s="86">
        <v>41955</v>
      </c>
      <c r="B258" s="120" t="s">
        <v>348</v>
      </c>
      <c r="C258" s="57" t="s">
        <v>79</v>
      </c>
      <c r="D258" s="58">
        <v>29259.22</v>
      </c>
      <c r="E258" s="58">
        <v>28992.720000000001</v>
      </c>
      <c r="F258" s="58">
        <v>28969.18</v>
      </c>
      <c r="G258" s="58">
        <v>28970.83</v>
      </c>
      <c r="H258" s="58">
        <v>29216.9</v>
      </c>
      <c r="I258" s="58">
        <v>29219.119999999999</v>
      </c>
      <c r="J258" s="58">
        <v>28970.46</v>
      </c>
      <c r="K258" s="58">
        <v>28983.58</v>
      </c>
      <c r="L258" s="58">
        <v>29175.47</v>
      </c>
      <c r="M258" s="16">
        <f t="shared" si="78"/>
        <v>29084.164444444446</v>
      </c>
      <c r="N258" s="59">
        <f>IF((L259=""),"",MAX(D260:L260))</f>
        <v>19284.330000000002</v>
      </c>
      <c r="O258" s="59">
        <f>IF(L259="","",MIN(D260:L260))</f>
        <v>16504.650000000009</v>
      </c>
      <c r="P258" s="60">
        <f>IF((L260=""),"",AVERAGE(D260:L260))</f>
        <v>18089.866666666672</v>
      </c>
      <c r="Q258" s="156">
        <f>IF((L259=""),"",((N258-O258)/(N258+O258)*100))</f>
        <v>7.766860078158115</v>
      </c>
      <c r="R258" s="61" t="str">
        <f>IF(L259="","",IF(Q258&lt;Z258,IF(O258&gt;V258,IF(N258&lt;W258,"PASS","FAIL"),"FAIL"),"FAIL"))</f>
        <v>PASS</v>
      </c>
      <c r="S258" s="62">
        <v>1400</v>
      </c>
      <c r="T258" s="61" t="s">
        <v>125</v>
      </c>
      <c r="U258" s="61"/>
      <c r="V258" s="110">
        <v>9000</v>
      </c>
      <c r="W258" s="110">
        <v>25000</v>
      </c>
      <c r="X258" s="111">
        <v>8090</v>
      </c>
      <c r="Y258" s="111">
        <v>12070</v>
      </c>
      <c r="Z258" s="112">
        <v>15</v>
      </c>
      <c r="AA258" s="112">
        <v>6</v>
      </c>
    </row>
    <row r="259" spans="1:27" ht="15.75">
      <c r="A259"/>
      <c r="B259" s="121"/>
      <c r="C259" s="57" t="s">
        <v>80</v>
      </c>
      <c r="D259" s="16">
        <v>23050.42</v>
      </c>
      <c r="E259" s="16">
        <v>22862.720000000001</v>
      </c>
      <c r="F259" s="16">
        <v>22917</v>
      </c>
      <c r="G259" s="16">
        <v>22880.91</v>
      </c>
      <c r="H259" s="16">
        <v>23540.73</v>
      </c>
      <c r="I259" s="16">
        <v>22791.01</v>
      </c>
      <c r="J259" s="16">
        <v>22647.56</v>
      </c>
      <c r="K259" s="16">
        <v>23123.61</v>
      </c>
      <c r="L259" s="16">
        <v>23673.919999999998</v>
      </c>
      <c r="M259" s="16">
        <f t="shared" si="78"/>
        <v>23054.20888888889</v>
      </c>
      <c r="N259" s="53"/>
      <c r="O259" s="53"/>
      <c r="P259" s="63"/>
      <c r="Q259" s="53"/>
      <c r="R259" s="64"/>
      <c r="S259" s="54"/>
      <c r="T259" s="64"/>
      <c r="U259" s="64"/>
      <c r="V259" s="32"/>
      <c r="W259" s="29"/>
    </row>
    <row r="260" spans="1:27" ht="28.5" customHeight="1">
      <c r="A260"/>
      <c r="B260" s="121"/>
      <c r="C260" s="57" t="s">
        <v>82</v>
      </c>
      <c r="D260" s="16">
        <f t="shared" ref="D260:L260" si="88">IF(((D258="")*AND(D259="")),"",(D258-D259)*3)</f>
        <v>18626.400000000009</v>
      </c>
      <c r="E260" s="16">
        <f t="shared" si="88"/>
        <v>18390</v>
      </c>
      <c r="F260" s="16">
        <f t="shared" si="88"/>
        <v>18156.54</v>
      </c>
      <c r="G260" s="16">
        <f t="shared" si="88"/>
        <v>18269.760000000006</v>
      </c>
      <c r="H260" s="16">
        <f t="shared" si="88"/>
        <v>17028.510000000006</v>
      </c>
      <c r="I260" s="16">
        <f t="shared" si="88"/>
        <v>19284.330000000002</v>
      </c>
      <c r="J260" s="16">
        <f t="shared" si="88"/>
        <v>18968.699999999993</v>
      </c>
      <c r="K260" s="16">
        <f t="shared" si="88"/>
        <v>17579.910000000003</v>
      </c>
      <c r="L260" s="16">
        <f t="shared" si="88"/>
        <v>16504.650000000009</v>
      </c>
      <c r="M260" s="16">
        <f t="shared" si="78"/>
        <v>18089.866666666672</v>
      </c>
      <c r="N260" s="65"/>
      <c r="O260" s="65"/>
      <c r="P260" s="66"/>
      <c r="Q260" s="65"/>
      <c r="R260" s="67"/>
      <c r="S260" s="58"/>
      <c r="T260" s="67"/>
      <c r="U260" s="67"/>
      <c r="V260" s="33"/>
      <c r="W260" s="29"/>
    </row>
    <row r="261" spans="1:27">
      <c r="A261" s="86">
        <v>41960</v>
      </c>
      <c r="B261" s="120" t="s">
        <v>348</v>
      </c>
      <c r="C261" s="57" t="s">
        <v>79</v>
      </c>
      <c r="D261" s="58">
        <v>29605.919999999998</v>
      </c>
      <c r="E261" s="58">
        <v>29303.65</v>
      </c>
      <c r="F261" s="58">
        <v>29267.200000000001</v>
      </c>
      <c r="G261" s="58">
        <v>29295.02</v>
      </c>
      <c r="H261" s="58">
        <v>29629.82</v>
      </c>
      <c r="I261" s="58">
        <v>29530.13</v>
      </c>
      <c r="J261" s="58">
        <v>29283.4</v>
      </c>
      <c r="K261" s="58">
        <v>29282.95</v>
      </c>
      <c r="L261" s="58">
        <v>29426.639999999999</v>
      </c>
      <c r="M261" s="16">
        <f t="shared" si="78"/>
        <v>29402.747777777782</v>
      </c>
      <c r="N261" s="59">
        <f>IF((L262=""),"",MAX(D263:L263))</f>
        <v>13830.989999999994</v>
      </c>
      <c r="O261" s="59">
        <f>IF(L262="","",MIN(D263:L263))</f>
        <v>12913.169999999998</v>
      </c>
      <c r="P261" s="60">
        <f>IF((L263=""),"",AVERAGE(D263:L263))</f>
        <v>13337.319999999998</v>
      </c>
      <c r="Q261" s="156">
        <f>IF((L262=""),"",((N261-O261)/(N261+O261)*100))</f>
        <v>3.4318520379776229</v>
      </c>
      <c r="R261" s="61" t="str">
        <f>IF(L262="","",IF(Q261&lt;Z261,IF(O261&gt;V261,IF(N261&lt;W261,"PASS","FAIL"),"FAIL"),"FAIL"))</f>
        <v>PASS</v>
      </c>
      <c r="S261" s="62">
        <v>1400</v>
      </c>
      <c r="T261" s="61" t="s">
        <v>126</v>
      </c>
      <c r="U261" s="61"/>
      <c r="V261" s="110">
        <v>9000</v>
      </c>
      <c r="W261" s="110">
        <v>25000</v>
      </c>
      <c r="X261" s="111">
        <v>8090</v>
      </c>
      <c r="Y261" s="111">
        <v>12070</v>
      </c>
      <c r="Z261" s="112">
        <v>15</v>
      </c>
      <c r="AA261" s="112">
        <v>6</v>
      </c>
    </row>
    <row r="262" spans="1:27" ht="15.75">
      <c r="A262"/>
      <c r="B262" s="121"/>
      <c r="C262" s="57" t="s">
        <v>80</v>
      </c>
      <c r="D262" s="16">
        <v>25231.61</v>
      </c>
      <c r="E262" s="16">
        <v>24884.74</v>
      </c>
      <c r="F262" s="16">
        <v>24925.75</v>
      </c>
      <c r="G262" s="16">
        <v>24809.8</v>
      </c>
      <c r="H262" s="16">
        <v>25019.49</v>
      </c>
      <c r="I262" s="16">
        <v>25225.74</v>
      </c>
      <c r="J262" s="16">
        <v>24921.33</v>
      </c>
      <c r="K262" s="16">
        <v>24770.33</v>
      </c>
      <c r="L262" s="16">
        <v>24823.98</v>
      </c>
      <c r="M262" s="16">
        <f t="shared" si="78"/>
        <v>24956.974444444451</v>
      </c>
      <c r="N262" s="53"/>
      <c r="O262" s="53"/>
      <c r="P262" s="63"/>
      <c r="Q262" s="53"/>
      <c r="R262" s="64"/>
      <c r="S262" s="54"/>
      <c r="T262" s="64"/>
      <c r="U262" s="64"/>
      <c r="V262" s="32"/>
      <c r="W262" s="29"/>
    </row>
    <row r="263" spans="1:27" ht="28.5" customHeight="1">
      <c r="A263"/>
      <c r="B263" s="121"/>
      <c r="C263" s="57" t="s">
        <v>82</v>
      </c>
      <c r="D263" s="16">
        <f t="shared" ref="D263:L263" si="89">IF(((D261="")*AND(D262="")),"",(D261-D262)*3)</f>
        <v>13122.929999999993</v>
      </c>
      <c r="E263" s="16">
        <f t="shared" si="89"/>
        <v>13256.73</v>
      </c>
      <c r="F263" s="16">
        <f t="shared" si="89"/>
        <v>13024.350000000002</v>
      </c>
      <c r="G263" s="16">
        <f t="shared" si="89"/>
        <v>13455.660000000003</v>
      </c>
      <c r="H263" s="16">
        <f t="shared" si="89"/>
        <v>13830.989999999994</v>
      </c>
      <c r="I263" s="16">
        <f t="shared" si="89"/>
        <v>12913.169999999998</v>
      </c>
      <c r="J263" s="16">
        <f t="shared" si="89"/>
        <v>13086.21</v>
      </c>
      <c r="K263" s="16">
        <f t="shared" si="89"/>
        <v>13537.859999999997</v>
      </c>
      <c r="L263" s="16">
        <f t="shared" si="89"/>
        <v>13807.98</v>
      </c>
      <c r="M263" s="16">
        <f t="shared" si="78"/>
        <v>13337.319999999998</v>
      </c>
      <c r="N263" s="65"/>
      <c r="O263" s="65"/>
      <c r="P263" s="66"/>
      <c r="Q263" s="65"/>
      <c r="R263" s="67"/>
      <c r="S263" s="58"/>
      <c r="T263" s="67"/>
      <c r="U263" s="67"/>
      <c r="V263" s="33"/>
      <c r="W263" s="29"/>
    </row>
    <row r="264" spans="1:27">
      <c r="A264" s="86">
        <v>41968</v>
      </c>
      <c r="B264" s="120" t="s">
        <v>348</v>
      </c>
      <c r="C264" s="57" t="s">
        <v>79</v>
      </c>
      <c r="D264" s="58">
        <v>29472.97</v>
      </c>
      <c r="E264" s="58">
        <v>29165.71</v>
      </c>
      <c r="F264" s="58">
        <v>29173.07</v>
      </c>
      <c r="G264" s="58">
        <v>29129.49</v>
      </c>
      <c r="H264" s="58">
        <v>29294.799999999999</v>
      </c>
      <c r="I264" s="58">
        <v>29373.45</v>
      </c>
      <c r="J264" s="58">
        <v>29128.93</v>
      </c>
      <c r="K264" s="58">
        <v>29141.07</v>
      </c>
      <c r="L264" s="58">
        <v>29357.67</v>
      </c>
      <c r="M264" s="16">
        <f t="shared" si="78"/>
        <v>29248.573333333337</v>
      </c>
      <c r="N264" s="59">
        <f>IF((L265=""),"",MAX(D266:L266))</f>
        <v>12834.359999999997</v>
      </c>
      <c r="O264" s="59">
        <f>IF(L265="","",MIN(D266:L266))</f>
        <v>11876.79</v>
      </c>
      <c r="P264" s="60">
        <f>IF((L266=""),"",AVERAGE(D266:L266))</f>
        <v>12285.800000000001</v>
      </c>
      <c r="Q264" s="156">
        <f>IF((L265=""),"",((N264-O264)/(N264+O264)*100))</f>
        <v>3.8750523549085987</v>
      </c>
      <c r="R264" s="61" t="str">
        <f>IF(L265="","",IF(Q264&lt;Z264,IF(O264&gt;V264,IF(N264&lt;W264,"PASS","FAIL"),"FAIL"),"FAIL"))</f>
        <v>PASS</v>
      </c>
      <c r="S264" s="62">
        <v>1400</v>
      </c>
      <c r="T264" s="61" t="s">
        <v>127</v>
      </c>
      <c r="U264" s="61"/>
      <c r="V264" s="110">
        <v>9000</v>
      </c>
      <c r="W264" s="110">
        <v>25000</v>
      </c>
      <c r="X264" s="111">
        <v>8090</v>
      </c>
      <c r="Y264" s="111">
        <v>12070</v>
      </c>
      <c r="Z264" s="112">
        <v>15</v>
      </c>
      <c r="AA264" s="112">
        <v>6</v>
      </c>
    </row>
    <row r="265" spans="1:27" ht="15.75">
      <c r="A265"/>
      <c r="B265" s="121"/>
      <c r="C265" s="57" t="s">
        <v>80</v>
      </c>
      <c r="D265" s="16">
        <v>25337.88</v>
      </c>
      <c r="E265" s="16">
        <v>25120.51</v>
      </c>
      <c r="F265" s="16">
        <v>25214.14</v>
      </c>
      <c r="G265" s="16">
        <v>25073.8</v>
      </c>
      <c r="H265" s="16">
        <v>25020.02</v>
      </c>
      <c r="I265" s="16">
        <v>25355.119999999999</v>
      </c>
      <c r="J265" s="16">
        <v>25136.34</v>
      </c>
      <c r="K265" s="16">
        <v>25042.400000000001</v>
      </c>
      <c r="L265" s="16">
        <v>25079.55</v>
      </c>
      <c r="M265" s="16">
        <f t="shared" si="78"/>
        <v>25153.306666666664</v>
      </c>
      <c r="N265" s="53"/>
      <c r="O265" s="53"/>
      <c r="P265" s="63"/>
      <c r="Q265" s="53"/>
      <c r="R265" s="64"/>
      <c r="S265" s="54"/>
      <c r="T265" s="64"/>
      <c r="U265" s="64"/>
      <c r="V265" s="32"/>
      <c r="W265" s="29"/>
    </row>
    <row r="266" spans="1:27" ht="28.5" customHeight="1">
      <c r="A266"/>
      <c r="B266" s="121"/>
      <c r="C266" s="57" t="s">
        <v>82</v>
      </c>
      <c r="D266" s="16">
        <f t="shared" ref="D266:L266" si="90">IF(((D264="")*AND(D265="")),"",(D264-D265)*3)</f>
        <v>12405.27</v>
      </c>
      <c r="E266" s="16">
        <f t="shared" si="90"/>
        <v>12135.600000000002</v>
      </c>
      <c r="F266" s="16">
        <f t="shared" si="90"/>
        <v>11876.79</v>
      </c>
      <c r="G266" s="16">
        <f t="shared" si="90"/>
        <v>12167.070000000007</v>
      </c>
      <c r="H266" s="16">
        <f t="shared" si="90"/>
        <v>12824.339999999997</v>
      </c>
      <c r="I266" s="16">
        <f t="shared" si="90"/>
        <v>12054.990000000005</v>
      </c>
      <c r="J266" s="16">
        <f t="shared" si="90"/>
        <v>11977.77</v>
      </c>
      <c r="K266" s="16">
        <f t="shared" si="90"/>
        <v>12296.009999999995</v>
      </c>
      <c r="L266" s="16">
        <f t="shared" si="90"/>
        <v>12834.359999999997</v>
      </c>
      <c r="M266" s="16">
        <f t="shared" si="78"/>
        <v>12285.800000000001</v>
      </c>
      <c r="N266" s="65"/>
      <c r="O266" s="65"/>
      <c r="P266" s="66"/>
      <c r="Q266" s="65"/>
      <c r="R266" s="67"/>
      <c r="S266" s="58"/>
      <c r="T266" s="67"/>
      <c r="U266" s="67"/>
      <c r="V266" s="33"/>
      <c r="W266" s="29"/>
    </row>
    <row r="267" spans="1:27">
      <c r="A267" s="86">
        <v>41974</v>
      </c>
      <c r="B267" s="120" t="s">
        <v>348</v>
      </c>
      <c r="C267" s="57" t="s">
        <v>79</v>
      </c>
      <c r="D267" s="58">
        <v>29349.13</v>
      </c>
      <c r="E267" s="58">
        <v>29081.06</v>
      </c>
      <c r="F267" s="58">
        <v>29088.65</v>
      </c>
      <c r="G267" s="58">
        <v>29073.21</v>
      </c>
      <c r="H267" s="58">
        <v>29258.84</v>
      </c>
      <c r="I267" s="58">
        <v>29339.01</v>
      </c>
      <c r="J267" s="58">
        <v>29069.599999999999</v>
      </c>
      <c r="K267" s="58">
        <v>29069.19</v>
      </c>
      <c r="L267" s="58">
        <v>29281.360000000001</v>
      </c>
      <c r="M267" s="16">
        <f t="shared" si="78"/>
        <v>29178.894444444442</v>
      </c>
      <c r="N267" s="59">
        <f>IF((L268=""),"",MAX(D269:L269))</f>
        <v>12842.640000000003</v>
      </c>
      <c r="O267" s="59">
        <f>IF(L268="","",MIN(D269:L269))</f>
        <v>11860.350000000002</v>
      </c>
      <c r="P267" s="60">
        <f>IF((L269=""),"",AVERAGE(D269:L269))</f>
        <v>12213.403333333334</v>
      </c>
      <c r="Q267" s="156">
        <f>IF((L268=""),"",((N267-O267)/(N267+O267)*100))</f>
        <v>3.976401237259136</v>
      </c>
      <c r="R267" s="61" t="str">
        <f>IF(L268="","",IF(Q267&lt;Z267,IF(O267&gt;V267,IF(N267&lt;W267,"PASS","FAIL"),"FAIL"),"FAIL"))</f>
        <v>PASS</v>
      </c>
      <c r="S267" s="62">
        <v>1159</v>
      </c>
      <c r="T267" s="61" t="s">
        <v>128</v>
      </c>
      <c r="U267" s="61"/>
      <c r="V267" s="110">
        <v>9000</v>
      </c>
      <c r="W267" s="110">
        <v>25000</v>
      </c>
      <c r="X267" s="111">
        <v>8090</v>
      </c>
      <c r="Y267" s="111">
        <v>12070</v>
      </c>
      <c r="Z267" s="112">
        <v>15</v>
      </c>
      <c r="AA267" s="112">
        <v>6</v>
      </c>
    </row>
    <row r="268" spans="1:27" ht="15.75">
      <c r="A268"/>
      <c r="B268" s="121"/>
      <c r="C268" s="57" t="s">
        <v>80</v>
      </c>
      <c r="D268" s="16">
        <v>25312.09</v>
      </c>
      <c r="E268" s="16">
        <v>25066.9</v>
      </c>
      <c r="F268" s="16">
        <v>25135.200000000001</v>
      </c>
      <c r="G268" s="16">
        <v>25028.36</v>
      </c>
      <c r="H268" s="16">
        <v>25040.16</v>
      </c>
      <c r="I268" s="16">
        <v>25318.46</v>
      </c>
      <c r="J268" s="16">
        <v>25092.14</v>
      </c>
      <c r="K268" s="16">
        <v>24976.05</v>
      </c>
      <c r="L268" s="16">
        <v>25000.48</v>
      </c>
      <c r="M268" s="16">
        <f t="shared" si="78"/>
        <v>25107.759999999998</v>
      </c>
      <c r="N268" s="53"/>
      <c r="O268" s="53"/>
      <c r="P268" s="63"/>
      <c r="Q268" s="53"/>
      <c r="R268" s="64"/>
      <c r="S268" s="54"/>
      <c r="T268" s="64"/>
      <c r="U268" s="64"/>
      <c r="V268" s="32"/>
      <c r="W268" s="29"/>
    </row>
    <row r="269" spans="1:27" ht="28.5" customHeight="1">
      <c r="A269"/>
      <c r="B269" s="121"/>
      <c r="C269" s="57" t="s">
        <v>82</v>
      </c>
      <c r="D269" s="16">
        <f t="shared" ref="D269:L269" si="91">IF(((D267="")*AND(D268="")),"",(D267-D268)*3)</f>
        <v>12111.120000000003</v>
      </c>
      <c r="E269" s="16">
        <f t="shared" si="91"/>
        <v>12042.48</v>
      </c>
      <c r="F269" s="16">
        <f t="shared" si="91"/>
        <v>11860.350000000002</v>
      </c>
      <c r="G269" s="16">
        <f t="shared" si="91"/>
        <v>12134.549999999996</v>
      </c>
      <c r="H269" s="16">
        <f t="shared" si="91"/>
        <v>12656.04</v>
      </c>
      <c r="I269" s="16">
        <f t="shared" si="91"/>
        <v>12061.649999999998</v>
      </c>
      <c r="J269" s="16">
        <f t="shared" si="91"/>
        <v>11932.379999999997</v>
      </c>
      <c r="K269" s="16">
        <f t="shared" si="91"/>
        <v>12279.419999999998</v>
      </c>
      <c r="L269" s="16">
        <f t="shared" si="91"/>
        <v>12842.640000000003</v>
      </c>
      <c r="M269" s="16">
        <f t="shared" si="78"/>
        <v>12213.403333333334</v>
      </c>
      <c r="N269" s="65"/>
      <c r="O269" s="65"/>
      <c r="P269" s="66"/>
      <c r="Q269" s="65"/>
      <c r="R269" s="67"/>
      <c r="S269" s="58"/>
      <c r="T269" s="67"/>
      <c r="U269" s="67"/>
      <c r="V269" s="33"/>
      <c r="W269" s="29"/>
    </row>
    <row r="270" spans="1:27">
      <c r="A270" s="86">
        <v>41984</v>
      </c>
      <c r="B270" s="120" t="s">
        <v>348</v>
      </c>
      <c r="C270" s="57" t="s">
        <v>79</v>
      </c>
      <c r="D270" s="58">
        <v>29446.5</v>
      </c>
      <c r="E270" s="58">
        <v>29213.09</v>
      </c>
      <c r="F270" s="58">
        <v>29228.2</v>
      </c>
      <c r="G270" s="58">
        <v>29242.63</v>
      </c>
      <c r="H270" s="58">
        <v>29406.25</v>
      </c>
      <c r="I270" s="58">
        <v>29517.360000000001</v>
      </c>
      <c r="J270" s="58">
        <v>29270.07</v>
      </c>
      <c r="K270" s="58">
        <v>29229.83</v>
      </c>
      <c r="L270" s="58">
        <v>29365.8</v>
      </c>
      <c r="M270" s="16">
        <f t="shared" si="78"/>
        <v>29324.414444444443</v>
      </c>
      <c r="N270" s="59">
        <f>IF((L271=""),"",MAX(D272:L272))</f>
        <v>11460.510000000006</v>
      </c>
      <c r="O270" s="59">
        <f>IF(L271="","",MIN(D272:L272))</f>
        <v>10792.859999999997</v>
      </c>
      <c r="P270" s="60">
        <f>IF((L272=""),"",AVERAGE(D272:L272))</f>
        <v>11175.886666666667</v>
      </c>
      <c r="Q270" s="156">
        <f>IF((L271=""),"",((N270-O270)/(N270+O270)*100))</f>
        <v>3.0002197419986665</v>
      </c>
      <c r="R270" s="61" t="str">
        <f>IF(L271="","",IF(Q270&lt;Z270,IF(O270&gt;V270,IF(N270&lt;W270,"PASS","FAIL"),"FAIL"),"FAIL"))</f>
        <v>PASS</v>
      </c>
      <c r="S270" s="62">
        <v>1159</v>
      </c>
      <c r="T270" s="61" t="s">
        <v>129</v>
      </c>
      <c r="U270" s="61"/>
      <c r="V270" s="110">
        <v>9000</v>
      </c>
      <c r="W270" s="110">
        <v>25000</v>
      </c>
      <c r="X270" s="111">
        <v>8090</v>
      </c>
      <c r="Y270" s="111">
        <v>12070</v>
      </c>
      <c r="Z270" s="112">
        <v>15</v>
      </c>
      <c r="AA270" s="112">
        <v>6</v>
      </c>
    </row>
    <row r="271" spans="1:27" ht="15.75">
      <c r="A271"/>
      <c r="B271" s="121"/>
      <c r="C271" s="57" t="s">
        <v>80</v>
      </c>
      <c r="D271" s="16">
        <v>25848.880000000001</v>
      </c>
      <c r="E271" s="16">
        <v>25577.62</v>
      </c>
      <c r="F271" s="16">
        <v>25464.31</v>
      </c>
      <c r="G271" s="16">
        <v>25422.46</v>
      </c>
      <c r="H271" s="16">
        <v>25617.61</v>
      </c>
      <c r="I271" s="16">
        <v>25835.18</v>
      </c>
      <c r="J271" s="16">
        <v>25568.71</v>
      </c>
      <c r="K271" s="16">
        <v>25447.18</v>
      </c>
      <c r="L271" s="16">
        <v>25610.12</v>
      </c>
      <c r="M271" s="16">
        <f t="shared" si="78"/>
        <v>25599.118888888886</v>
      </c>
      <c r="N271" s="53"/>
      <c r="O271" s="53"/>
      <c r="P271" s="63"/>
      <c r="Q271" s="53"/>
      <c r="R271" s="64"/>
      <c r="S271" s="54"/>
      <c r="T271" s="64"/>
      <c r="U271" s="64"/>
      <c r="V271" s="32"/>
      <c r="W271" s="29"/>
    </row>
    <row r="272" spans="1:27" ht="28.5" customHeight="1">
      <c r="A272"/>
      <c r="B272" s="121"/>
      <c r="C272" s="57" t="s">
        <v>82</v>
      </c>
      <c r="D272" s="16">
        <f t="shared" ref="D272:L272" si="92">IF(((D270="")*AND(D271="")),"",(D270-D271)*3)</f>
        <v>10792.859999999997</v>
      </c>
      <c r="E272" s="16">
        <f t="shared" si="92"/>
        <v>10906.410000000003</v>
      </c>
      <c r="F272" s="16">
        <f t="shared" si="92"/>
        <v>11291.669999999998</v>
      </c>
      <c r="G272" s="16">
        <f t="shared" si="92"/>
        <v>11460.510000000006</v>
      </c>
      <c r="H272" s="16">
        <f t="shared" si="92"/>
        <v>11365.919999999998</v>
      </c>
      <c r="I272" s="16">
        <f t="shared" si="92"/>
        <v>11046.54</v>
      </c>
      <c r="J272" s="16">
        <f t="shared" si="92"/>
        <v>11104.080000000002</v>
      </c>
      <c r="K272" s="16">
        <f t="shared" si="92"/>
        <v>11347.950000000004</v>
      </c>
      <c r="L272" s="16">
        <f t="shared" si="92"/>
        <v>11267.04</v>
      </c>
      <c r="M272" s="16">
        <f t="shared" si="78"/>
        <v>11175.886666666667</v>
      </c>
      <c r="N272" s="65"/>
      <c r="O272" s="65"/>
      <c r="P272" s="66"/>
      <c r="Q272" s="65"/>
      <c r="R272" s="67"/>
      <c r="S272" s="58"/>
      <c r="T272" s="67"/>
      <c r="U272" s="67"/>
      <c r="V272" s="33"/>
      <c r="W272" s="29"/>
    </row>
    <row r="273" spans="1:27">
      <c r="A273" s="86">
        <v>42016</v>
      </c>
      <c r="B273" s="120" t="s">
        <v>348</v>
      </c>
      <c r="C273" s="57" t="s">
        <v>79</v>
      </c>
      <c r="D273" s="58">
        <v>29420.93</v>
      </c>
      <c r="E273" s="58">
        <v>29205.26</v>
      </c>
      <c r="F273" s="58">
        <v>29231.24</v>
      </c>
      <c r="G273" s="58">
        <v>29228.19</v>
      </c>
      <c r="H273" s="58">
        <v>29359.55</v>
      </c>
      <c r="I273" s="58">
        <v>29409.85</v>
      </c>
      <c r="J273" s="58">
        <v>29171.96</v>
      </c>
      <c r="K273" s="58">
        <v>29181.66</v>
      </c>
      <c r="L273" s="58">
        <v>29389.29</v>
      </c>
      <c r="M273" s="16">
        <f t="shared" si="78"/>
        <v>29288.658888888887</v>
      </c>
      <c r="N273" s="59">
        <f>IF((L274=""),"",MAX(D275:L275))</f>
        <v>16285.200000000004</v>
      </c>
      <c r="O273" s="59">
        <f>IF(L274="","",MIN(D275:L275))</f>
        <v>14399.430000000004</v>
      </c>
      <c r="P273" s="60">
        <f>IF((L275=""),"",AVERAGE(D275:L275))</f>
        <v>15560.056666666667</v>
      </c>
      <c r="Q273" s="156">
        <f>IF((L274=""),"",((N273-O273)/(N273+O273)*100))</f>
        <v>6.1456501186424601</v>
      </c>
      <c r="R273" s="61" t="str">
        <f>IF(L274="","",IF(Q273&lt;Z273,IF(O273&gt;V273,IF(N273&lt;W273,"PASS","FAIL"),"FAIL"),"FAIL"))</f>
        <v>PASS</v>
      </c>
      <c r="S273" s="62">
        <v>1400</v>
      </c>
      <c r="T273" s="61" t="s">
        <v>130</v>
      </c>
      <c r="U273" s="61"/>
      <c r="V273" s="110">
        <v>9000</v>
      </c>
      <c r="W273" s="110">
        <v>25000</v>
      </c>
      <c r="X273" s="111">
        <v>8090</v>
      </c>
      <c r="Y273" s="111">
        <v>12070</v>
      </c>
      <c r="Z273" s="112">
        <v>15</v>
      </c>
      <c r="AA273" s="112">
        <v>6</v>
      </c>
    </row>
    <row r="274" spans="1:27" ht="15.75">
      <c r="A274"/>
      <c r="B274" s="121"/>
      <c r="C274" s="57" t="s">
        <v>80</v>
      </c>
      <c r="D274" s="16">
        <v>24621.119999999999</v>
      </c>
      <c r="E274" s="16">
        <v>24112.78</v>
      </c>
      <c r="F274" s="16">
        <v>24021.89</v>
      </c>
      <c r="G274" s="16">
        <v>23841.09</v>
      </c>
      <c r="H274" s="16">
        <v>23931.67</v>
      </c>
      <c r="I274" s="16">
        <v>24536.32</v>
      </c>
      <c r="J274" s="16">
        <v>24105.91</v>
      </c>
      <c r="K274" s="16">
        <v>23786.09</v>
      </c>
      <c r="L274" s="16">
        <v>23960.89</v>
      </c>
      <c r="M274" s="16">
        <f t="shared" si="78"/>
        <v>24101.973333333335</v>
      </c>
      <c r="N274" s="53"/>
      <c r="O274" s="53"/>
      <c r="P274" s="63"/>
      <c r="Q274" s="53"/>
      <c r="R274" s="64"/>
      <c r="S274" s="54"/>
      <c r="T274" s="64"/>
      <c r="U274" s="64"/>
      <c r="V274" s="32"/>
      <c r="W274" s="29"/>
    </row>
    <row r="275" spans="1:27" ht="28.5" customHeight="1">
      <c r="A275"/>
      <c r="B275" s="121"/>
      <c r="C275" s="57" t="s">
        <v>82</v>
      </c>
      <c r="D275" s="16">
        <f t="shared" ref="D275:L275" si="93">IF(((D273="")*AND(D274="")),"",(D273-D274)*3)</f>
        <v>14399.430000000004</v>
      </c>
      <c r="E275" s="16">
        <f t="shared" si="93"/>
        <v>15277.439999999999</v>
      </c>
      <c r="F275" s="16">
        <f t="shared" si="93"/>
        <v>15628.050000000007</v>
      </c>
      <c r="G275" s="16">
        <f t="shared" si="93"/>
        <v>16161.299999999996</v>
      </c>
      <c r="H275" s="16">
        <f t="shared" si="93"/>
        <v>16283.640000000003</v>
      </c>
      <c r="I275" s="16">
        <f t="shared" si="93"/>
        <v>14620.589999999997</v>
      </c>
      <c r="J275" s="16">
        <f t="shared" si="93"/>
        <v>15198.149999999998</v>
      </c>
      <c r="K275" s="16">
        <f t="shared" si="93"/>
        <v>16186.71</v>
      </c>
      <c r="L275" s="16">
        <f t="shared" si="93"/>
        <v>16285.200000000004</v>
      </c>
      <c r="M275" s="16">
        <f t="shared" si="78"/>
        <v>15560.056666666667</v>
      </c>
      <c r="N275" s="65"/>
      <c r="O275" s="65"/>
      <c r="P275" s="66"/>
      <c r="Q275" s="65"/>
      <c r="R275" s="67"/>
      <c r="S275" s="58"/>
      <c r="T275" s="67"/>
      <c r="U275" s="67"/>
      <c r="V275" s="33"/>
      <c r="W275" s="29"/>
    </row>
    <row r="276" spans="1:27">
      <c r="A276" s="86">
        <v>42051</v>
      </c>
      <c r="B276" s="120" t="s">
        <v>348</v>
      </c>
      <c r="C276" s="57" t="s">
        <v>79</v>
      </c>
      <c r="D276" s="58">
        <v>29471.72</v>
      </c>
      <c r="E276" s="58">
        <v>29234.400000000001</v>
      </c>
      <c r="F276" s="58">
        <v>29212.25</v>
      </c>
      <c r="G276" s="58">
        <v>29282.65</v>
      </c>
      <c r="H276" s="58">
        <v>29392.59</v>
      </c>
      <c r="I276" s="58">
        <v>29492.62</v>
      </c>
      <c r="J276" s="58">
        <v>29272.52</v>
      </c>
      <c r="K276" s="58">
        <v>29282.63</v>
      </c>
      <c r="L276" s="58">
        <v>29409.58</v>
      </c>
      <c r="M276" s="16">
        <f t="shared" si="78"/>
        <v>29338.99555555555</v>
      </c>
      <c r="N276" s="59">
        <f>IF((L277=""),"",MAX(D278:L278))</f>
        <v>10627.889999999992</v>
      </c>
      <c r="O276" s="59">
        <f>IF(L277="","",MIN(D278:L278))</f>
        <v>9236.4300000000039</v>
      </c>
      <c r="P276" s="60">
        <f>IF((L278=""),"",AVERAGE(D278:L278))</f>
        <v>9882.9833333333336</v>
      </c>
      <c r="Q276" s="156">
        <f>IF((L277=""),"",((N276-O276)/(N276+O276)*100))</f>
        <v>7.0048207036535279</v>
      </c>
      <c r="R276" s="61" t="str">
        <f>IF(L277="","",IF(Q276&lt;Z276,IF(O276&gt;V276,IF(N276&lt;W276,"PASS","FAIL"),"FAIL"),"FAIL"))</f>
        <v>PASS</v>
      </c>
      <c r="S276" s="62">
        <v>1159</v>
      </c>
      <c r="T276" s="61" t="s">
        <v>131</v>
      </c>
      <c r="U276" s="61"/>
      <c r="V276" s="110">
        <v>9000</v>
      </c>
      <c r="W276" s="110">
        <v>25000</v>
      </c>
      <c r="X276" s="111">
        <v>8090</v>
      </c>
      <c r="Y276" s="111">
        <v>12070</v>
      </c>
      <c r="Z276" s="112">
        <v>15</v>
      </c>
      <c r="AA276" s="112">
        <v>6</v>
      </c>
    </row>
    <row r="277" spans="1:27" ht="15.75">
      <c r="A277"/>
      <c r="B277" s="121"/>
      <c r="C277" s="57" t="s">
        <v>80</v>
      </c>
      <c r="D277" s="16">
        <v>26332.95</v>
      </c>
      <c r="E277" s="16">
        <v>25977.51</v>
      </c>
      <c r="F277" s="16">
        <v>25926.12</v>
      </c>
      <c r="G277" s="16">
        <v>25903.65</v>
      </c>
      <c r="H277" s="16">
        <v>26144.77</v>
      </c>
      <c r="I277" s="16">
        <v>25949.99</v>
      </c>
      <c r="J277" s="16">
        <v>25753.64</v>
      </c>
      <c r="K277" s="16">
        <v>26082.61</v>
      </c>
      <c r="L277" s="16">
        <v>26330.77</v>
      </c>
      <c r="M277" s="16">
        <f t="shared" si="78"/>
        <v>26044.667777777777</v>
      </c>
      <c r="N277" s="53"/>
      <c r="O277" s="53"/>
      <c r="P277" s="63"/>
      <c r="Q277" s="53"/>
      <c r="R277" s="64"/>
      <c r="S277" s="54"/>
      <c r="T277" s="64"/>
      <c r="U277" s="64"/>
      <c r="V277" s="32"/>
      <c r="W277" s="29"/>
    </row>
    <row r="278" spans="1:27" ht="28.5" customHeight="1">
      <c r="A278"/>
      <c r="B278" s="121"/>
      <c r="C278" s="57" t="s">
        <v>82</v>
      </c>
      <c r="D278" s="16">
        <f t="shared" ref="D278:L278" si="94">IF(((D276="")*AND(D277="")),"",(D276-D277)*3)</f>
        <v>9416.3100000000013</v>
      </c>
      <c r="E278" s="16">
        <f t="shared" si="94"/>
        <v>9770.6700000000092</v>
      </c>
      <c r="F278" s="16">
        <f t="shared" si="94"/>
        <v>9858.3900000000031</v>
      </c>
      <c r="G278" s="16">
        <f t="shared" si="94"/>
        <v>10137</v>
      </c>
      <c r="H278" s="16">
        <f t="shared" si="94"/>
        <v>9743.4599999999991</v>
      </c>
      <c r="I278" s="16">
        <f t="shared" si="94"/>
        <v>10627.889999999992</v>
      </c>
      <c r="J278" s="16">
        <f t="shared" si="94"/>
        <v>10556.640000000003</v>
      </c>
      <c r="K278" s="16">
        <f t="shared" si="94"/>
        <v>9600.0600000000013</v>
      </c>
      <c r="L278" s="16">
        <f t="shared" si="94"/>
        <v>9236.4300000000039</v>
      </c>
      <c r="M278" s="16">
        <f t="shared" si="78"/>
        <v>9882.9833333333336</v>
      </c>
      <c r="N278" s="65"/>
      <c r="O278" s="65"/>
      <c r="P278" s="66"/>
      <c r="Q278" s="65"/>
      <c r="R278" s="67"/>
      <c r="S278" s="58"/>
      <c r="T278" s="67"/>
      <c r="U278" s="67"/>
      <c r="V278" s="33"/>
      <c r="W278" s="29"/>
    </row>
    <row r="279" spans="1:27">
      <c r="A279" s="86">
        <v>42060</v>
      </c>
      <c r="B279" s="120" t="s">
        <v>348</v>
      </c>
      <c r="C279" s="57" t="s">
        <v>79</v>
      </c>
      <c r="D279" s="58">
        <v>22642.91</v>
      </c>
      <c r="E279" s="58">
        <v>22275.55</v>
      </c>
      <c r="F279" s="58">
        <v>22167.1</v>
      </c>
      <c r="G279" s="58">
        <v>22187.78</v>
      </c>
      <c r="H279" s="58">
        <v>22620.720000000001</v>
      </c>
      <c r="I279" s="58">
        <v>22587.25</v>
      </c>
      <c r="J279" s="58">
        <v>22186.86</v>
      </c>
      <c r="K279" s="58">
        <v>22283.7</v>
      </c>
      <c r="L279" s="58">
        <v>22703.78</v>
      </c>
      <c r="M279" s="16">
        <f t="shared" si="78"/>
        <v>22406.183333333334</v>
      </c>
      <c r="N279" s="59">
        <f>IF((L280=""),"",MAX(D281:L281))</f>
        <v>8086.77</v>
      </c>
      <c r="O279" s="59">
        <f>IF(L280="","",MIN(D281:L281))</f>
        <v>7195.98</v>
      </c>
      <c r="P279" s="60">
        <f>IF((L281=""),"",AVERAGE(D281:L281))</f>
        <v>7650.866666666665</v>
      </c>
      <c r="Q279" s="156">
        <f>IF((L280=""),"",((N279-O279)/(N279+O279)*100))</f>
        <v>5.8287284683712093</v>
      </c>
      <c r="R279" s="61" t="str">
        <f>IF(L280="","",IF(Q279&lt;Z279,IF(O279&gt;V279,IF(N279&lt;W279,"PASS","FAIL"),"FAIL"),"FAIL"))</f>
        <v>FAIL</v>
      </c>
      <c r="S279" s="62">
        <v>1428</v>
      </c>
      <c r="T279" s="61"/>
      <c r="U279" s="61"/>
      <c r="V279" s="110">
        <v>9000</v>
      </c>
      <c r="W279" s="110">
        <v>25000</v>
      </c>
      <c r="X279" s="111">
        <v>8090</v>
      </c>
      <c r="Y279" s="111">
        <v>12070</v>
      </c>
      <c r="Z279" s="112">
        <v>15</v>
      </c>
      <c r="AA279" s="112">
        <v>6</v>
      </c>
    </row>
    <row r="280" spans="1:27" ht="15.75">
      <c r="A280"/>
      <c r="B280" s="121"/>
      <c r="C280" s="57" t="s">
        <v>80</v>
      </c>
      <c r="D280" s="16">
        <v>20244.25</v>
      </c>
      <c r="E280" s="16">
        <v>19763.830000000002</v>
      </c>
      <c r="F280" s="16">
        <v>19645.64</v>
      </c>
      <c r="G280" s="16">
        <v>19611.43</v>
      </c>
      <c r="H280" s="16">
        <v>19925.13</v>
      </c>
      <c r="I280" s="16">
        <v>20122.04</v>
      </c>
      <c r="J280" s="16">
        <v>19676.61</v>
      </c>
      <c r="K280" s="16">
        <v>19661.189999999999</v>
      </c>
      <c r="L280" s="16">
        <v>20052.93</v>
      </c>
      <c r="M280" s="16">
        <f t="shared" si="78"/>
        <v>19855.894444444442</v>
      </c>
      <c r="N280" s="53"/>
      <c r="O280" s="53"/>
      <c r="P280" s="63"/>
      <c r="Q280" s="53"/>
      <c r="R280" s="64"/>
      <c r="S280" s="54"/>
      <c r="T280" s="64"/>
      <c r="U280" s="64"/>
      <c r="V280" s="32"/>
      <c r="W280" s="29"/>
    </row>
    <row r="281" spans="1:27" ht="28.5" customHeight="1">
      <c r="A281"/>
      <c r="B281" s="121"/>
      <c r="C281" s="57" t="s">
        <v>82</v>
      </c>
      <c r="D281" s="16">
        <f t="shared" ref="D281:L281" si="95">IF(((D279="")*AND(D280="")),"",(D279-D280)*3)</f>
        <v>7195.98</v>
      </c>
      <c r="E281" s="16">
        <f t="shared" si="95"/>
        <v>7535.1599999999926</v>
      </c>
      <c r="F281" s="16">
        <f t="shared" si="95"/>
        <v>7564.3799999999974</v>
      </c>
      <c r="G281" s="16">
        <f t="shared" si="95"/>
        <v>7729.0499999999956</v>
      </c>
      <c r="H281" s="16">
        <f t="shared" si="95"/>
        <v>8086.77</v>
      </c>
      <c r="I281" s="16">
        <f t="shared" si="95"/>
        <v>7395.6299999999974</v>
      </c>
      <c r="J281" s="16">
        <f t="shared" si="95"/>
        <v>7530.75</v>
      </c>
      <c r="K281" s="16">
        <f t="shared" si="95"/>
        <v>7867.5300000000061</v>
      </c>
      <c r="L281" s="16">
        <f t="shared" si="95"/>
        <v>7952.5499999999956</v>
      </c>
      <c r="M281" s="16">
        <f t="shared" si="78"/>
        <v>7650.866666666665</v>
      </c>
      <c r="N281" s="65"/>
      <c r="O281" s="65"/>
      <c r="P281" s="66"/>
      <c r="Q281" s="65"/>
      <c r="R281" s="67"/>
      <c r="S281" s="58"/>
      <c r="T281" s="67"/>
      <c r="U281" s="67"/>
      <c r="V281" s="33"/>
      <c r="W281" s="29"/>
    </row>
    <row r="282" spans="1:27">
      <c r="A282" s="86">
        <v>42060</v>
      </c>
      <c r="B282" s="120" t="s">
        <v>348</v>
      </c>
      <c r="C282" s="57" t="s">
        <v>79</v>
      </c>
      <c r="D282" s="58">
        <v>29434.34</v>
      </c>
      <c r="E282" s="58">
        <v>29174.84</v>
      </c>
      <c r="F282" s="58">
        <v>29134.32</v>
      </c>
      <c r="G282" s="58">
        <v>29197.41</v>
      </c>
      <c r="H282" s="58">
        <v>29296.639999999999</v>
      </c>
      <c r="I282" s="58">
        <v>29388.42</v>
      </c>
      <c r="J282" s="58">
        <v>29139.8</v>
      </c>
      <c r="K282" s="58">
        <v>29167.41</v>
      </c>
      <c r="L282" s="58">
        <v>29336.6</v>
      </c>
      <c r="M282" s="16">
        <f t="shared" si="78"/>
        <v>29252.197777777776</v>
      </c>
      <c r="N282" s="59">
        <f>IF((L283=""),"",MAX(D284:L284))</f>
        <v>11178.720000000005</v>
      </c>
      <c r="O282" s="59">
        <f>IF(L283="","",MIN(D284:L284))</f>
        <v>10458.930000000004</v>
      </c>
      <c r="P282" s="60">
        <f>IF((L284=""),"",AVERAGE(D284:L284))</f>
        <v>10786.900000000001</v>
      </c>
      <c r="Q282" s="156">
        <f>IF((L283=""),"",((N282-O282)/(N282+O282)*100))</f>
        <v>3.3265627274680964</v>
      </c>
      <c r="R282" s="61" t="str">
        <f>IF(L283="","",IF(Q282&lt;Z282,IF(O282&gt;V282,IF(N282&lt;W282,"PASS","FAIL"),"FAIL"),"FAIL"))</f>
        <v>PASS</v>
      </c>
      <c r="S282" s="62" t="s">
        <v>132</v>
      </c>
      <c r="T282" s="61" t="s">
        <v>133</v>
      </c>
      <c r="U282" s="61"/>
      <c r="V282" s="110">
        <v>9000</v>
      </c>
      <c r="W282" s="110">
        <v>25000</v>
      </c>
      <c r="X282" s="111">
        <v>8090</v>
      </c>
      <c r="Y282" s="111">
        <v>12070</v>
      </c>
      <c r="Z282" s="112">
        <v>15</v>
      </c>
      <c r="AA282" s="112">
        <v>6</v>
      </c>
    </row>
    <row r="283" spans="1:27" ht="15.75">
      <c r="A283"/>
      <c r="B283" s="121"/>
      <c r="C283" s="57" t="s">
        <v>80</v>
      </c>
      <c r="D283" s="16">
        <v>25708.1</v>
      </c>
      <c r="E283" s="16">
        <v>25569.03</v>
      </c>
      <c r="F283" s="16">
        <v>25648.01</v>
      </c>
      <c r="G283" s="16">
        <v>25638.080000000002</v>
      </c>
      <c r="H283" s="16">
        <v>25768.42</v>
      </c>
      <c r="I283" s="16">
        <v>25683.439999999999</v>
      </c>
      <c r="J283" s="16">
        <v>25480.78</v>
      </c>
      <c r="K283" s="16">
        <v>25639.22</v>
      </c>
      <c r="L283" s="16">
        <v>25774</v>
      </c>
      <c r="M283" s="16">
        <f t="shared" si="78"/>
        <v>25656.564444444444</v>
      </c>
      <c r="N283" s="53"/>
      <c r="O283" s="53"/>
      <c r="P283" s="63"/>
      <c r="Q283" s="53"/>
      <c r="R283" s="64"/>
      <c r="S283" s="54"/>
      <c r="T283" s="64"/>
      <c r="U283" s="64"/>
      <c r="V283" s="32"/>
      <c r="W283" s="29"/>
    </row>
    <row r="284" spans="1:27" ht="28.5" customHeight="1">
      <c r="A284"/>
      <c r="B284" s="121"/>
      <c r="C284" s="57" t="s">
        <v>82</v>
      </c>
      <c r="D284" s="16">
        <f t="shared" ref="D284:L284" si="96">IF(((D282="")*AND(D283="")),"",(D282-D283)*3)</f>
        <v>11178.720000000005</v>
      </c>
      <c r="E284" s="16">
        <f t="shared" si="96"/>
        <v>10817.430000000004</v>
      </c>
      <c r="F284" s="16">
        <f t="shared" si="96"/>
        <v>10458.930000000004</v>
      </c>
      <c r="G284" s="16">
        <f t="shared" si="96"/>
        <v>10677.989999999994</v>
      </c>
      <c r="H284" s="16">
        <f t="shared" si="96"/>
        <v>10584.660000000003</v>
      </c>
      <c r="I284" s="16">
        <f t="shared" si="96"/>
        <v>11114.939999999999</v>
      </c>
      <c r="J284" s="16">
        <f t="shared" si="96"/>
        <v>10977.060000000001</v>
      </c>
      <c r="K284" s="16">
        <f t="shared" si="96"/>
        <v>10584.569999999996</v>
      </c>
      <c r="L284" s="16">
        <f t="shared" si="96"/>
        <v>10687.799999999996</v>
      </c>
      <c r="M284" s="16">
        <f t="shared" si="78"/>
        <v>10786.900000000001</v>
      </c>
      <c r="N284" s="65"/>
      <c r="O284" s="65"/>
      <c r="P284" s="66"/>
      <c r="Q284" s="65"/>
      <c r="R284" s="67"/>
      <c r="S284" s="58"/>
      <c r="T284" s="67"/>
      <c r="U284" s="67"/>
      <c r="V284" s="33"/>
      <c r="W284" s="29"/>
    </row>
    <row r="285" spans="1:27">
      <c r="A285" s="86">
        <v>42066</v>
      </c>
      <c r="B285" s="120" t="s">
        <v>348</v>
      </c>
      <c r="C285" s="57" t="s">
        <v>79</v>
      </c>
      <c r="D285" s="58">
        <v>29545.29</v>
      </c>
      <c r="E285" s="58">
        <v>29259.39</v>
      </c>
      <c r="F285" s="58">
        <v>29247.17</v>
      </c>
      <c r="G285" s="58">
        <v>29244.22</v>
      </c>
      <c r="H285" s="58">
        <v>29437.759999999998</v>
      </c>
      <c r="I285" s="58">
        <v>29500.52</v>
      </c>
      <c r="J285" s="58">
        <v>29246.63</v>
      </c>
      <c r="K285" s="58">
        <v>29242.92</v>
      </c>
      <c r="L285" s="58">
        <v>29416.240000000002</v>
      </c>
      <c r="M285" s="16">
        <f t="shared" si="78"/>
        <v>29348.904444444444</v>
      </c>
      <c r="N285" s="59">
        <f>IF((L286=""),"",MAX(D287:L287))</f>
        <v>11503.920000000009</v>
      </c>
      <c r="O285" s="59">
        <f>IF(L286="","",MIN(D287:L287))</f>
        <v>10689.390000000003</v>
      </c>
      <c r="P285" s="60">
        <f>IF((L287=""),"",AVERAGE(D287:L287))</f>
        <v>11004.9</v>
      </c>
      <c r="Q285" s="156">
        <f>IF((L286=""),"",((N285-O285)/(N285+O285)*100))</f>
        <v>3.6701600617483634</v>
      </c>
      <c r="R285" s="61" t="str">
        <f>IF(L286="","",IF(Q285&lt;Z285,IF(O285&gt;V285,IF(N285&lt;W285,"PASS","FAIL"),"FAIL"),"FAIL"))</f>
        <v>PASS</v>
      </c>
      <c r="S285" s="62">
        <v>1159</v>
      </c>
      <c r="T285" s="61" t="s">
        <v>134</v>
      </c>
      <c r="U285" s="61"/>
      <c r="V285" s="110">
        <v>9000</v>
      </c>
      <c r="W285" s="110">
        <v>25000</v>
      </c>
      <c r="X285" s="111">
        <v>8090</v>
      </c>
      <c r="Y285" s="111">
        <v>12070</v>
      </c>
      <c r="Z285" s="112">
        <v>15</v>
      </c>
      <c r="AA285" s="112">
        <v>6</v>
      </c>
    </row>
    <row r="286" spans="1:27" ht="15.75">
      <c r="A286"/>
      <c r="B286" s="121"/>
      <c r="C286" s="57" t="s">
        <v>80</v>
      </c>
      <c r="D286" s="16">
        <v>25982.16</v>
      </c>
      <c r="E286" s="16">
        <v>25607.57</v>
      </c>
      <c r="F286" s="16">
        <v>25659.14</v>
      </c>
      <c r="G286" s="16">
        <v>25538.9</v>
      </c>
      <c r="H286" s="16">
        <v>25676.89</v>
      </c>
      <c r="I286" s="16">
        <v>25921.72</v>
      </c>
      <c r="J286" s="16">
        <v>25643.22</v>
      </c>
      <c r="K286" s="16">
        <v>25514.240000000002</v>
      </c>
      <c r="L286" s="16">
        <v>25581.599999999999</v>
      </c>
      <c r="M286" s="16">
        <f t="shared" si="78"/>
        <v>25680.604444444445</v>
      </c>
      <c r="N286" s="53"/>
      <c r="O286" s="53"/>
      <c r="P286" s="63"/>
      <c r="Q286" s="53"/>
      <c r="R286" s="64"/>
      <c r="S286" s="54"/>
      <c r="T286" s="64"/>
      <c r="U286" s="64"/>
      <c r="V286" s="32"/>
      <c r="W286" s="29"/>
    </row>
    <row r="287" spans="1:27" ht="28.5" customHeight="1">
      <c r="A287"/>
      <c r="B287" s="121"/>
      <c r="C287" s="57" t="s">
        <v>82</v>
      </c>
      <c r="D287" s="16">
        <f t="shared" ref="D287:L287" si="97">IF(((D285="")*AND(D286="")),"",(D285-D286)*3)</f>
        <v>10689.390000000003</v>
      </c>
      <c r="E287" s="16">
        <f t="shared" si="97"/>
        <v>10955.46</v>
      </c>
      <c r="F287" s="16">
        <f t="shared" si="97"/>
        <v>10764.089999999997</v>
      </c>
      <c r="G287" s="16">
        <f t="shared" si="97"/>
        <v>11115.96</v>
      </c>
      <c r="H287" s="16">
        <f t="shared" si="97"/>
        <v>11282.609999999997</v>
      </c>
      <c r="I287" s="16">
        <f t="shared" si="97"/>
        <v>10736.399999999998</v>
      </c>
      <c r="J287" s="16">
        <f t="shared" si="97"/>
        <v>10810.23</v>
      </c>
      <c r="K287" s="16">
        <f t="shared" si="97"/>
        <v>11186.03999999999</v>
      </c>
      <c r="L287" s="16">
        <f t="shared" si="97"/>
        <v>11503.920000000009</v>
      </c>
      <c r="M287" s="16">
        <f t="shared" si="78"/>
        <v>11004.9</v>
      </c>
      <c r="N287" s="65"/>
      <c r="O287" s="65"/>
      <c r="P287" s="66"/>
      <c r="Q287" s="65"/>
      <c r="R287" s="67"/>
      <c r="S287" s="58"/>
      <c r="T287" s="67"/>
      <c r="U287" s="67"/>
      <c r="V287" s="33"/>
      <c r="W287" s="29"/>
    </row>
    <row r="288" spans="1:27">
      <c r="A288" s="86">
        <v>42080</v>
      </c>
      <c r="B288" s="120" t="s">
        <v>348</v>
      </c>
      <c r="C288" s="57" t="s">
        <v>79</v>
      </c>
      <c r="D288" s="58">
        <v>29305.32</v>
      </c>
      <c r="E288" s="58">
        <v>29023.99</v>
      </c>
      <c r="F288" s="58">
        <v>29028.39</v>
      </c>
      <c r="G288" s="58">
        <v>29051.71</v>
      </c>
      <c r="H288" s="58">
        <v>29179.23</v>
      </c>
      <c r="I288" s="58">
        <v>29231.34</v>
      </c>
      <c r="J288" s="58">
        <v>29018.53</v>
      </c>
      <c r="K288" s="58">
        <v>29016.35</v>
      </c>
      <c r="L288" s="58">
        <v>29174.7</v>
      </c>
      <c r="M288" s="16">
        <f t="shared" si="78"/>
        <v>29114.395555555559</v>
      </c>
      <c r="N288" s="59">
        <f>IF((L289=""),"",MAX(D290:L290))</f>
        <v>15154.98</v>
      </c>
      <c r="O288" s="59">
        <f>IF(L289="","",MIN(D290:L290))</f>
        <v>13378.680000000004</v>
      </c>
      <c r="P288" s="60">
        <f>IF((L290=""),"",AVERAGE(D290:L290))</f>
        <v>14430.016666666665</v>
      </c>
      <c r="Q288" s="156">
        <f>IF((L289=""),"",((N288-O288)/(N288+O288)*100))</f>
        <v>6.2252791965699297</v>
      </c>
      <c r="R288" s="61" t="str">
        <f>IF(L289="","",IF(Q288&lt;Z288,IF(O288&gt;V288,IF(N288&lt;W288,"PASS","FAIL"),"FAIL"),"FAIL"))</f>
        <v>PASS</v>
      </c>
      <c r="S288" s="62">
        <v>1400</v>
      </c>
      <c r="T288" s="61" t="s">
        <v>135</v>
      </c>
      <c r="U288" s="61"/>
      <c r="V288" s="110">
        <v>9000</v>
      </c>
      <c r="W288" s="110">
        <v>25000</v>
      </c>
      <c r="X288" s="111">
        <v>8090</v>
      </c>
      <c r="Y288" s="111">
        <v>12070</v>
      </c>
      <c r="Z288" s="112">
        <v>15</v>
      </c>
      <c r="AA288" s="112">
        <v>6</v>
      </c>
    </row>
    <row r="289" spans="1:27" ht="15.75">
      <c r="A289"/>
      <c r="B289" s="121"/>
      <c r="C289" s="57" t="s">
        <v>80</v>
      </c>
      <c r="D289" s="16">
        <v>24845.759999999998</v>
      </c>
      <c r="E289" s="16">
        <v>24351.41</v>
      </c>
      <c r="F289" s="16">
        <v>24127.08</v>
      </c>
      <c r="G289" s="16">
        <v>24084.94</v>
      </c>
      <c r="H289" s="16">
        <v>24218.080000000002</v>
      </c>
      <c r="I289" s="16">
        <v>24683.74</v>
      </c>
      <c r="J289" s="16">
        <v>24329.68</v>
      </c>
      <c r="K289" s="16">
        <v>23975.78</v>
      </c>
      <c r="L289" s="16">
        <v>24123.040000000001</v>
      </c>
      <c r="M289" s="16">
        <f t="shared" si="78"/>
        <v>24304.39</v>
      </c>
      <c r="N289" s="53"/>
      <c r="O289" s="53"/>
      <c r="P289" s="63"/>
      <c r="Q289" s="53"/>
      <c r="R289" s="64"/>
      <c r="S289" s="54"/>
      <c r="T289" s="64"/>
      <c r="U289" s="64"/>
      <c r="V289" s="32"/>
      <c r="W289" s="29"/>
    </row>
    <row r="290" spans="1:27" ht="28.5" customHeight="1">
      <c r="A290"/>
      <c r="B290" s="121"/>
      <c r="C290" s="57" t="s">
        <v>82</v>
      </c>
      <c r="D290" s="16">
        <f t="shared" ref="D290:L290" si="98">IF(((D288="")*AND(D289="")),"",(D288-D289)*3)</f>
        <v>13378.680000000004</v>
      </c>
      <c r="E290" s="16">
        <f t="shared" si="98"/>
        <v>14017.740000000005</v>
      </c>
      <c r="F290" s="16">
        <f t="shared" si="98"/>
        <v>14703.929999999993</v>
      </c>
      <c r="G290" s="16">
        <f t="shared" si="98"/>
        <v>14900.310000000001</v>
      </c>
      <c r="H290" s="16">
        <f t="shared" si="98"/>
        <v>14883.449999999993</v>
      </c>
      <c r="I290" s="16">
        <f t="shared" si="98"/>
        <v>13642.799999999996</v>
      </c>
      <c r="J290" s="16">
        <f t="shared" si="98"/>
        <v>14066.549999999996</v>
      </c>
      <c r="K290" s="16">
        <f t="shared" si="98"/>
        <v>15121.71</v>
      </c>
      <c r="L290" s="16">
        <f t="shared" si="98"/>
        <v>15154.98</v>
      </c>
      <c r="M290" s="16">
        <f t="shared" si="78"/>
        <v>14430.016666666665</v>
      </c>
      <c r="N290" s="65"/>
      <c r="O290" s="65"/>
      <c r="P290" s="66"/>
      <c r="Q290" s="65"/>
      <c r="R290" s="67"/>
      <c r="S290" s="58"/>
      <c r="T290" s="67"/>
      <c r="U290" s="67"/>
      <c r="V290" s="33"/>
      <c r="W290" s="29"/>
    </row>
    <row r="291" spans="1:27">
      <c r="A291" s="86">
        <v>42086</v>
      </c>
      <c r="B291" s="120" t="s">
        <v>348</v>
      </c>
      <c r="C291" s="57" t="s">
        <v>79</v>
      </c>
      <c r="D291" s="58">
        <v>29292.61</v>
      </c>
      <c r="E291" s="58">
        <v>29069.18</v>
      </c>
      <c r="F291" s="58">
        <v>29010.57</v>
      </c>
      <c r="G291" s="58">
        <v>29060.46</v>
      </c>
      <c r="H291" s="58">
        <v>29183.85</v>
      </c>
      <c r="I291" s="58">
        <v>29292.29</v>
      </c>
      <c r="J291" s="58">
        <v>29051.64</v>
      </c>
      <c r="K291" s="58">
        <v>29024.13</v>
      </c>
      <c r="L291" s="58">
        <v>29161.37</v>
      </c>
      <c r="M291" s="16">
        <f t="shared" si="78"/>
        <v>29127.344444444447</v>
      </c>
      <c r="N291" s="59">
        <f>IF((L292=""),"",MAX(D293:L293))</f>
        <v>13627.860000000008</v>
      </c>
      <c r="O291" s="59">
        <f>IF(L292="","",MIN(D293:L293))</f>
        <v>11928.48</v>
      </c>
      <c r="P291" s="60">
        <f>IF((L293=""),"",AVERAGE(D293:L293))</f>
        <v>12932.686666666666</v>
      </c>
      <c r="Q291" s="156">
        <f>IF((L292=""),"",((N291-O291)/(N291+O291)*100))</f>
        <v>6.6495437140060272</v>
      </c>
      <c r="R291" s="61" t="str">
        <f>IF(L292="","",IF(Q291&lt;Z291,IF(O291&gt;V291,IF(N291&lt;W291,"PASS","FAIL"),"FAIL"),"FAIL"))</f>
        <v>PASS</v>
      </c>
      <c r="S291" s="62">
        <v>1400</v>
      </c>
      <c r="T291" s="61" t="s">
        <v>136</v>
      </c>
      <c r="U291" s="61"/>
      <c r="V291" s="110">
        <v>9000</v>
      </c>
      <c r="W291" s="110">
        <v>25000</v>
      </c>
      <c r="X291" s="111">
        <v>8090</v>
      </c>
      <c r="Y291" s="111">
        <v>12070</v>
      </c>
      <c r="Z291" s="112">
        <v>15</v>
      </c>
      <c r="AA291" s="112">
        <v>6</v>
      </c>
    </row>
    <row r="292" spans="1:27" ht="15.75">
      <c r="A292"/>
      <c r="B292" s="121"/>
      <c r="C292" s="57" t="s">
        <v>80</v>
      </c>
      <c r="D292" s="16">
        <v>25228.16</v>
      </c>
      <c r="E292" s="16">
        <v>24698.7</v>
      </c>
      <c r="F292" s="16">
        <v>24627.35</v>
      </c>
      <c r="G292" s="16">
        <v>24637.09</v>
      </c>
      <c r="H292" s="16">
        <v>24832.79</v>
      </c>
      <c r="I292" s="16">
        <v>25316.13</v>
      </c>
      <c r="J292" s="16">
        <v>24789.39</v>
      </c>
      <c r="K292" s="16">
        <v>24481.51</v>
      </c>
      <c r="L292" s="16">
        <v>24736.92</v>
      </c>
      <c r="M292" s="16">
        <f t="shared" si="78"/>
        <v>24816.448888888888</v>
      </c>
      <c r="N292" s="53"/>
      <c r="O292" s="53"/>
      <c r="P292" s="63"/>
      <c r="Q292" s="53"/>
      <c r="R292" s="64"/>
      <c r="S292" s="54"/>
      <c r="T292" s="64"/>
      <c r="U292" s="64"/>
      <c r="V292" s="32"/>
      <c r="W292" s="29"/>
    </row>
    <row r="293" spans="1:27" ht="28.5" customHeight="1">
      <c r="A293"/>
      <c r="B293" s="121"/>
      <c r="C293" s="57" t="s">
        <v>82</v>
      </c>
      <c r="D293" s="16">
        <f t="shared" ref="D293:L293" si="99">IF(((D291="")*AND(D292="")),"",(D291-D292)*3)</f>
        <v>12193.350000000002</v>
      </c>
      <c r="E293" s="16">
        <f t="shared" si="99"/>
        <v>13111.439999999999</v>
      </c>
      <c r="F293" s="16">
        <f t="shared" si="99"/>
        <v>13149.660000000003</v>
      </c>
      <c r="G293" s="16">
        <f t="shared" si="99"/>
        <v>13270.109999999997</v>
      </c>
      <c r="H293" s="16">
        <f t="shared" si="99"/>
        <v>13053.179999999993</v>
      </c>
      <c r="I293" s="16">
        <f t="shared" si="99"/>
        <v>11928.48</v>
      </c>
      <c r="J293" s="16">
        <f t="shared" si="99"/>
        <v>12786.75</v>
      </c>
      <c r="K293" s="16">
        <f t="shared" si="99"/>
        <v>13627.860000000008</v>
      </c>
      <c r="L293" s="16">
        <f t="shared" si="99"/>
        <v>13273.350000000002</v>
      </c>
      <c r="M293" s="16">
        <f t="shared" si="78"/>
        <v>12932.686666666666</v>
      </c>
      <c r="N293" s="65"/>
      <c r="O293" s="65"/>
      <c r="P293" s="66"/>
      <c r="Q293" s="65"/>
      <c r="R293" s="67"/>
      <c r="S293" s="58"/>
      <c r="T293" s="67"/>
      <c r="U293" s="67"/>
      <c r="V293" s="33"/>
      <c r="W293" s="29"/>
    </row>
    <row r="294" spans="1:27">
      <c r="A294" s="86">
        <v>42093</v>
      </c>
      <c r="B294" s="120" t="s">
        <v>348</v>
      </c>
      <c r="C294" s="57" t="s">
        <v>79</v>
      </c>
      <c r="D294" s="58">
        <v>29159.89</v>
      </c>
      <c r="E294" s="58">
        <v>28950.63</v>
      </c>
      <c r="F294" s="58">
        <v>28924.17</v>
      </c>
      <c r="G294" s="58">
        <v>28941.61</v>
      </c>
      <c r="H294" s="58">
        <v>29073.67</v>
      </c>
      <c r="I294" s="58">
        <v>29139.14</v>
      </c>
      <c r="J294" s="58">
        <v>28946</v>
      </c>
      <c r="K294" s="58">
        <v>28949.81</v>
      </c>
      <c r="L294" s="58">
        <v>29057.17</v>
      </c>
      <c r="M294" s="16">
        <f t="shared" si="78"/>
        <v>29015.787777777776</v>
      </c>
      <c r="N294" s="59">
        <f>IF((L295=""),"",MAX(D296:L296))</f>
        <v>13715.369999999992</v>
      </c>
      <c r="O294" s="59">
        <f>IF(L295="","",MIN(D296:L296))</f>
        <v>11827.5</v>
      </c>
      <c r="P294" s="60">
        <f>IF((L296=""),"",AVERAGE(D296:L296))</f>
        <v>12599.75</v>
      </c>
      <c r="Q294" s="156">
        <f>IF((L295=""),"",((N294-O294)/(N294+O294)*100))</f>
        <v>7.3909862125908026</v>
      </c>
      <c r="R294" s="61" t="str">
        <f>IF(L295="","",IF(Q294&lt;Z294,IF(O294&gt;V294,IF(N294&lt;W294,"PASS","FAIL"),"FAIL"),"FAIL"))</f>
        <v>PASS</v>
      </c>
      <c r="S294" s="62">
        <v>1400</v>
      </c>
      <c r="T294" s="61" t="s">
        <v>137</v>
      </c>
      <c r="U294" s="61"/>
      <c r="V294" s="110">
        <v>9000</v>
      </c>
      <c r="W294" s="110">
        <v>25000</v>
      </c>
      <c r="X294" s="111">
        <v>8090</v>
      </c>
      <c r="Y294" s="111">
        <v>12070</v>
      </c>
      <c r="Z294" s="112">
        <v>15</v>
      </c>
      <c r="AA294" s="112">
        <v>6</v>
      </c>
    </row>
    <row r="295" spans="1:27" ht="15.75">
      <c r="A295"/>
      <c r="B295" s="121"/>
      <c r="C295" s="57" t="s">
        <v>80</v>
      </c>
      <c r="D295" s="16">
        <v>25217.39</v>
      </c>
      <c r="E295" s="16">
        <v>24850.82</v>
      </c>
      <c r="F295" s="16">
        <v>24763.69</v>
      </c>
      <c r="G295" s="16">
        <v>24719.84</v>
      </c>
      <c r="H295" s="16">
        <v>24802.07</v>
      </c>
      <c r="I295" s="16">
        <v>25023.81</v>
      </c>
      <c r="J295" s="16">
        <v>24869.87</v>
      </c>
      <c r="K295" s="16">
        <v>24609.97</v>
      </c>
      <c r="L295" s="16">
        <v>24485.38</v>
      </c>
      <c r="M295" s="16">
        <f t="shared" ref="M295:M358" si="100">SUM(D295:L295)/9</f>
        <v>24815.871111111112</v>
      </c>
      <c r="N295" s="53"/>
      <c r="O295" s="53"/>
      <c r="P295" s="63"/>
      <c r="Q295" s="53"/>
      <c r="R295" s="64"/>
      <c r="S295" s="54"/>
      <c r="T295" s="64"/>
      <c r="U295" s="64"/>
      <c r="V295" s="32"/>
      <c r="W295" s="29"/>
    </row>
    <row r="296" spans="1:27" ht="28.5" customHeight="1">
      <c r="A296"/>
      <c r="B296" s="121"/>
      <c r="C296" s="57" t="s">
        <v>82</v>
      </c>
      <c r="D296" s="16">
        <f t="shared" ref="D296:L296" si="101">IF(((D294="")*AND(D295="")),"",(D294-D295)*3)</f>
        <v>11827.5</v>
      </c>
      <c r="E296" s="16">
        <f t="shared" si="101"/>
        <v>12299.430000000004</v>
      </c>
      <c r="F296" s="16">
        <f t="shared" si="101"/>
        <v>12481.439999999999</v>
      </c>
      <c r="G296" s="16">
        <f t="shared" si="101"/>
        <v>12665.310000000001</v>
      </c>
      <c r="H296" s="16">
        <f t="shared" si="101"/>
        <v>12814.799999999996</v>
      </c>
      <c r="I296" s="16">
        <f t="shared" si="101"/>
        <v>12345.989999999994</v>
      </c>
      <c r="J296" s="16">
        <f t="shared" si="101"/>
        <v>12228.390000000003</v>
      </c>
      <c r="K296" s="16">
        <f t="shared" si="101"/>
        <v>13019.52</v>
      </c>
      <c r="L296" s="16">
        <f t="shared" si="101"/>
        <v>13715.369999999992</v>
      </c>
      <c r="M296" s="16">
        <f t="shared" si="100"/>
        <v>12599.75</v>
      </c>
      <c r="N296" s="65"/>
      <c r="O296" s="65"/>
      <c r="P296" s="66"/>
      <c r="Q296" s="65"/>
      <c r="R296" s="67"/>
      <c r="S296" s="58"/>
      <c r="T296" s="67"/>
      <c r="U296" s="67"/>
      <c r="V296" s="33"/>
      <c r="W296" s="29"/>
    </row>
    <row r="297" spans="1:27">
      <c r="A297" s="86">
        <v>42107</v>
      </c>
      <c r="B297" s="120" t="s">
        <v>348</v>
      </c>
      <c r="C297" s="57" t="s">
        <v>79</v>
      </c>
      <c r="D297" s="58">
        <v>29300.84</v>
      </c>
      <c r="E297" s="58">
        <v>29013.54</v>
      </c>
      <c r="F297" s="58">
        <v>29036.1</v>
      </c>
      <c r="G297" s="58">
        <v>28987.59</v>
      </c>
      <c r="H297" s="58">
        <v>29162.11</v>
      </c>
      <c r="I297" s="58">
        <v>29251.87</v>
      </c>
      <c r="J297" s="58">
        <v>28984.98</v>
      </c>
      <c r="K297" s="58">
        <v>28991.05</v>
      </c>
      <c r="L297" s="58">
        <v>29173.14</v>
      </c>
      <c r="M297" s="16">
        <f t="shared" si="100"/>
        <v>29100.135555555553</v>
      </c>
      <c r="N297" s="59">
        <f>IF((L298=""),"",MAX(D299:L299))</f>
        <v>11478.689999999999</v>
      </c>
      <c r="O297" s="59">
        <f>IF(L298="","",MIN(D299:L299))</f>
        <v>10516.379999999997</v>
      </c>
      <c r="P297" s="60">
        <f>IF((L299=""),"",AVERAGE(D299:L299))</f>
        <v>11040.019999999999</v>
      </c>
      <c r="Q297" s="156">
        <f>IF((L298=""),"",((N297-O297)/(N297+O297)*100))</f>
        <v>4.3751167875346679</v>
      </c>
      <c r="R297" s="61" t="str">
        <f>IF(L298="","",IF(Q297&lt;Z297,IF(O297&gt;V297,IF(N297&lt;W297,"PASS","FAIL"),"FAIL"),"FAIL"))</f>
        <v>PASS</v>
      </c>
      <c r="S297" s="62">
        <v>1400</v>
      </c>
      <c r="T297" s="61" t="s">
        <v>138</v>
      </c>
      <c r="U297" s="61"/>
      <c r="V297" s="110">
        <v>9000</v>
      </c>
      <c r="W297" s="110">
        <v>25000</v>
      </c>
      <c r="X297" s="111">
        <v>8090</v>
      </c>
      <c r="Y297" s="111">
        <v>12070</v>
      </c>
      <c r="Z297" s="112">
        <v>15</v>
      </c>
      <c r="AA297" s="112">
        <v>6</v>
      </c>
    </row>
    <row r="298" spans="1:27" ht="15.75">
      <c r="A298"/>
      <c r="B298" s="121"/>
      <c r="C298" s="57" t="s">
        <v>80</v>
      </c>
      <c r="D298" s="16">
        <v>25734.65</v>
      </c>
      <c r="E298" s="16">
        <v>25354.3</v>
      </c>
      <c r="F298" s="16">
        <v>25356.59</v>
      </c>
      <c r="G298" s="16">
        <v>25259.5</v>
      </c>
      <c r="H298" s="16">
        <v>25427.43</v>
      </c>
      <c r="I298" s="16">
        <v>25746.41</v>
      </c>
      <c r="J298" s="16">
        <v>25377.82</v>
      </c>
      <c r="K298" s="16">
        <v>25177.55</v>
      </c>
      <c r="L298" s="16">
        <v>25346.91</v>
      </c>
      <c r="M298" s="16">
        <f t="shared" si="100"/>
        <v>25420.128888888888</v>
      </c>
      <c r="N298" s="53"/>
      <c r="O298" s="53"/>
      <c r="P298" s="63"/>
      <c r="Q298" s="53"/>
      <c r="R298" s="64"/>
      <c r="S298" s="54"/>
      <c r="T298" s="64"/>
      <c r="U298" s="64"/>
      <c r="V298" s="32"/>
      <c r="W298" s="29"/>
    </row>
    <row r="299" spans="1:27" ht="28.5" customHeight="1">
      <c r="A299"/>
      <c r="B299" s="121"/>
      <c r="C299" s="57" t="s">
        <v>82</v>
      </c>
      <c r="D299" s="16">
        <f t="shared" ref="D299:L299" si="102">IF(((D297="")*AND(D298="")),"",(D297-D298)*3)</f>
        <v>10698.569999999996</v>
      </c>
      <c r="E299" s="16">
        <f t="shared" si="102"/>
        <v>10977.720000000005</v>
      </c>
      <c r="F299" s="16">
        <f t="shared" si="102"/>
        <v>11038.529999999995</v>
      </c>
      <c r="G299" s="16">
        <f t="shared" si="102"/>
        <v>11184.27</v>
      </c>
      <c r="H299" s="16">
        <f t="shared" si="102"/>
        <v>11204.04</v>
      </c>
      <c r="I299" s="16">
        <f t="shared" si="102"/>
        <v>10516.379999999997</v>
      </c>
      <c r="J299" s="16">
        <f t="shared" si="102"/>
        <v>10821.48</v>
      </c>
      <c r="K299" s="16">
        <f t="shared" si="102"/>
        <v>11440.5</v>
      </c>
      <c r="L299" s="16">
        <f t="shared" si="102"/>
        <v>11478.689999999999</v>
      </c>
      <c r="M299" s="16">
        <f t="shared" si="100"/>
        <v>11040.019999999999</v>
      </c>
      <c r="N299" s="65"/>
      <c r="O299" s="65"/>
      <c r="P299" s="66"/>
      <c r="Q299" s="65"/>
      <c r="R299" s="67"/>
      <c r="S299" s="58"/>
      <c r="T299" s="67"/>
      <c r="U299" s="67"/>
      <c r="V299" s="33"/>
      <c r="W299" s="29"/>
    </row>
    <row r="300" spans="1:27">
      <c r="A300" s="86">
        <v>42114</v>
      </c>
      <c r="B300" s="120" t="s">
        <v>348</v>
      </c>
      <c r="C300" s="57" t="s">
        <v>79</v>
      </c>
      <c r="D300" s="58">
        <v>29372.29</v>
      </c>
      <c r="E300" s="58">
        <v>29087.39</v>
      </c>
      <c r="F300" s="58">
        <v>29048.880000000001</v>
      </c>
      <c r="G300" s="58">
        <v>29072.59</v>
      </c>
      <c r="H300" s="58">
        <v>29248.36</v>
      </c>
      <c r="I300" s="58">
        <v>29366.48</v>
      </c>
      <c r="J300" s="58">
        <v>29074.5</v>
      </c>
      <c r="K300" s="58">
        <v>29073.46</v>
      </c>
      <c r="L300" s="58">
        <v>29238.82</v>
      </c>
      <c r="M300" s="16">
        <f t="shared" si="100"/>
        <v>29175.863333333335</v>
      </c>
      <c r="N300" s="59">
        <f>IF((L301=""),"",MAX(D302:L302))</f>
        <v>11051.52</v>
      </c>
      <c r="O300" s="59">
        <f>IF(L301="","",MIN(D302:L302))</f>
        <v>10389.48</v>
      </c>
      <c r="P300" s="60">
        <f>IF((L302=""),"",AVERAGE(D302:L302))</f>
        <v>10693.536666666667</v>
      </c>
      <c r="Q300" s="156">
        <f>IF((L301=""),"",((N300-O300)/(N300+O300)*100))</f>
        <v>3.0877291171120791</v>
      </c>
      <c r="R300" s="61" t="str">
        <f>IF(L301="","",IF(Q300&lt;Z300,IF(O300&gt;V300,IF(N300&lt;W300,"PASS","FAIL"),"FAIL"),"FAIL"))</f>
        <v>PASS</v>
      </c>
      <c r="S300" s="62">
        <v>1400</v>
      </c>
      <c r="T300" s="61" t="s">
        <v>139</v>
      </c>
      <c r="U300" s="61"/>
      <c r="V300" s="110">
        <v>9000</v>
      </c>
      <c r="W300" s="110">
        <v>25000</v>
      </c>
      <c r="X300" s="111">
        <v>8090</v>
      </c>
      <c r="Y300" s="111">
        <v>12070</v>
      </c>
      <c r="Z300" s="112">
        <v>15</v>
      </c>
      <c r="AA300" s="112">
        <v>6</v>
      </c>
    </row>
    <row r="301" spans="1:27" ht="15.75">
      <c r="A301"/>
      <c r="B301" s="121"/>
      <c r="C301" s="57" t="s">
        <v>80</v>
      </c>
      <c r="D301" s="16">
        <v>25847.46</v>
      </c>
      <c r="E301" s="16">
        <v>25507.65</v>
      </c>
      <c r="F301" s="16">
        <v>25548.65</v>
      </c>
      <c r="G301" s="16">
        <v>25522.240000000002</v>
      </c>
      <c r="H301" s="16">
        <v>25640.47</v>
      </c>
      <c r="I301" s="16">
        <v>25903.32</v>
      </c>
      <c r="J301" s="16">
        <v>25568.39</v>
      </c>
      <c r="K301" s="16">
        <v>25409</v>
      </c>
      <c r="L301" s="16">
        <v>25554.98</v>
      </c>
      <c r="M301" s="16">
        <f t="shared" si="100"/>
        <v>25611.351111111111</v>
      </c>
      <c r="N301" s="53"/>
      <c r="O301" s="53"/>
      <c r="P301" s="63"/>
      <c r="Q301" s="53"/>
      <c r="R301" s="64"/>
      <c r="S301" s="54"/>
      <c r="T301" s="64"/>
      <c r="U301" s="64"/>
      <c r="V301" s="32"/>
      <c r="W301" s="29"/>
    </row>
    <row r="302" spans="1:27" ht="28.5" customHeight="1">
      <c r="A302"/>
      <c r="B302" s="121"/>
      <c r="C302" s="57" t="s">
        <v>82</v>
      </c>
      <c r="D302" s="16">
        <f t="shared" ref="D302:L302" si="103">IF(((D300="")*AND(D301="")),"",(D300-D301)*3)</f>
        <v>10574.490000000005</v>
      </c>
      <c r="E302" s="16">
        <f t="shared" si="103"/>
        <v>10739.219999999994</v>
      </c>
      <c r="F302" s="16">
        <f t="shared" si="103"/>
        <v>10500.689999999999</v>
      </c>
      <c r="G302" s="16">
        <f t="shared" si="103"/>
        <v>10651.049999999996</v>
      </c>
      <c r="H302" s="16">
        <f t="shared" si="103"/>
        <v>10823.669999999998</v>
      </c>
      <c r="I302" s="16">
        <f t="shared" si="103"/>
        <v>10389.48</v>
      </c>
      <c r="J302" s="16">
        <f t="shared" si="103"/>
        <v>10518.330000000002</v>
      </c>
      <c r="K302" s="16">
        <f t="shared" si="103"/>
        <v>10993.379999999997</v>
      </c>
      <c r="L302" s="16">
        <f t="shared" si="103"/>
        <v>11051.52</v>
      </c>
      <c r="M302" s="16">
        <f t="shared" si="100"/>
        <v>10693.536666666667</v>
      </c>
      <c r="N302" s="65"/>
      <c r="O302" s="65"/>
      <c r="P302" s="66"/>
      <c r="Q302" s="65"/>
      <c r="R302" s="67"/>
      <c r="S302" s="58"/>
      <c r="T302" s="67"/>
      <c r="U302" s="67"/>
      <c r="V302" s="33"/>
      <c r="W302" s="29"/>
    </row>
    <row r="303" spans="1:27">
      <c r="A303" s="86">
        <v>42146</v>
      </c>
      <c r="B303" s="120" t="s">
        <v>348</v>
      </c>
      <c r="C303" s="57" t="s">
        <v>79</v>
      </c>
      <c r="D303" s="58">
        <v>29480.01</v>
      </c>
      <c r="E303" s="58">
        <v>29175.88</v>
      </c>
      <c r="F303" s="58">
        <v>29185.119999999999</v>
      </c>
      <c r="G303" s="58">
        <v>29158.22</v>
      </c>
      <c r="H303" s="58">
        <v>29334.83</v>
      </c>
      <c r="I303" s="58">
        <v>29432.43</v>
      </c>
      <c r="J303" s="58">
        <v>29169.360000000001</v>
      </c>
      <c r="K303" s="58">
        <v>29159.27</v>
      </c>
      <c r="L303" s="58">
        <v>29328.74</v>
      </c>
      <c r="M303" s="16">
        <f t="shared" si="100"/>
        <v>29269.317777777775</v>
      </c>
      <c r="N303" s="59">
        <f>IF((L304=""),"",MAX(D305:L305))</f>
        <v>12338.370000000003</v>
      </c>
      <c r="O303" s="59">
        <f>IF(L304="","",MIN(D305:L305))</f>
        <v>11208.060000000001</v>
      </c>
      <c r="P303" s="60">
        <f>IF((L305=""),"",AVERAGE(D305:L305))</f>
        <v>11820.473333333335</v>
      </c>
      <c r="Q303" s="156">
        <f>IF((L304=""),"",((N303-O303)/(N303+O303)*100))</f>
        <v>4.800345530086731</v>
      </c>
      <c r="R303" s="61" t="str">
        <f>IF(L304="","",IF(Q303&lt;Z303,IF(O303&gt;V303,IF(N303&lt;W303,"PASS","FAIL"),"FAIL"),"FAIL"))</f>
        <v>PASS</v>
      </c>
      <c r="S303" s="62">
        <v>1400</v>
      </c>
      <c r="T303" s="61" t="s">
        <v>140</v>
      </c>
      <c r="U303" s="61"/>
      <c r="V303" s="110">
        <v>9000</v>
      </c>
      <c r="W303" s="110">
        <v>25000</v>
      </c>
      <c r="X303" s="111">
        <v>8090</v>
      </c>
      <c r="Y303" s="111">
        <v>12070</v>
      </c>
      <c r="Z303" s="112">
        <v>15</v>
      </c>
      <c r="AA303" s="112">
        <v>6</v>
      </c>
    </row>
    <row r="304" spans="1:27" ht="15.75">
      <c r="A304"/>
      <c r="B304" s="121"/>
      <c r="C304" s="57" t="s">
        <v>80</v>
      </c>
      <c r="D304" s="16">
        <v>25703.73</v>
      </c>
      <c r="E304" s="16">
        <v>25247.46</v>
      </c>
      <c r="F304" s="16">
        <v>25217.69</v>
      </c>
      <c r="G304" s="16">
        <v>25165.57</v>
      </c>
      <c r="H304" s="16">
        <v>25339.919999999998</v>
      </c>
      <c r="I304" s="16">
        <v>25696.41</v>
      </c>
      <c r="J304" s="16">
        <v>25322.04</v>
      </c>
      <c r="K304" s="16">
        <v>25046.48</v>
      </c>
      <c r="L304" s="16">
        <v>25223.14</v>
      </c>
      <c r="M304" s="16">
        <f t="shared" si="100"/>
        <v>25329.16</v>
      </c>
      <c r="N304" s="53"/>
      <c r="O304" s="53"/>
      <c r="P304" s="63"/>
      <c r="Q304" s="53"/>
      <c r="R304" s="64"/>
      <c r="S304" s="54"/>
      <c r="T304" s="64"/>
      <c r="U304" s="64"/>
      <c r="V304" s="32"/>
      <c r="W304" s="29"/>
    </row>
    <row r="305" spans="1:27" ht="28.5" customHeight="1">
      <c r="A305"/>
      <c r="B305" s="121"/>
      <c r="C305" s="57" t="s">
        <v>82</v>
      </c>
      <c r="D305" s="16">
        <f t="shared" ref="D305:L305" si="104">IF(((D303="")*AND(D304="")),"",(D303-D304)*3)</f>
        <v>11328.839999999997</v>
      </c>
      <c r="E305" s="16">
        <f t="shared" si="104"/>
        <v>11785.260000000006</v>
      </c>
      <c r="F305" s="16">
        <f t="shared" si="104"/>
        <v>11902.29</v>
      </c>
      <c r="G305" s="16">
        <f t="shared" si="104"/>
        <v>11977.950000000004</v>
      </c>
      <c r="H305" s="16">
        <f t="shared" si="104"/>
        <v>11984.73000000001</v>
      </c>
      <c r="I305" s="16">
        <f t="shared" si="104"/>
        <v>11208.060000000001</v>
      </c>
      <c r="J305" s="16">
        <f t="shared" si="104"/>
        <v>11541.96</v>
      </c>
      <c r="K305" s="16">
        <f t="shared" si="104"/>
        <v>12338.370000000003</v>
      </c>
      <c r="L305" s="16">
        <f t="shared" si="104"/>
        <v>12316.800000000007</v>
      </c>
      <c r="M305" s="16">
        <f t="shared" si="100"/>
        <v>11820.473333333335</v>
      </c>
      <c r="N305" s="65"/>
      <c r="O305" s="65"/>
      <c r="P305" s="66"/>
      <c r="Q305" s="65"/>
      <c r="R305" s="67"/>
      <c r="S305" s="58"/>
      <c r="T305" s="67"/>
      <c r="U305" s="67"/>
      <c r="V305" s="33"/>
      <c r="W305" s="29"/>
    </row>
    <row r="306" spans="1:27">
      <c r="A306" s="86">
        <v>42157</v>
      </c>
      <c r="B306" s="120" t="s">
        <v>348</v>
      </c>
      <c r="C306" s="57" t="s">
        <v>79</v>
      </c>
      <c r="D306" s="58">
        <v>29461.1</v>
      </c>
      <c r="E306" s="58">
        <v>29175.97</v>
      </c>
      <c r="F306" s="58">
        <v>29207.99</v>
      </c>
      <c r="G306" s="58">
        <v>29185.73</v>
      </c>
      <c r="H306" s="58">
        <v>29403.59</v>
      </c>
      <c r="I306" s="58">
        <v>29417.35</v>
      </c>
      <c r="J306" s="58">
        <v>29173.040000000001</v>
      </c>
      <c r="K306" s="58">
        <v>29171.42</v>
      </c>
      <c r="L306" s="58">
        <v>29354.12</v>
      </c>
      <c r="M306" s="16">
        <f t="shared" si="100"/>
        <v>29283.367777777778</v>
      </c>
      <c r="N306" s="59">
        <f>IF((L307=""),"",MAX(D308:L308))</f>
        <v>14271.75</v>
      </c>
      <c r="O306" s="59">
        <f>IF(L307="","",MIN(D308:L308))</f>
        <v>12609.929999999993</v>
      </c>
      <c r="P306" s="60">
        <f>IF((L308=""),"",AVERAGE(D308:L308))</f>
        <v>13530.366666666663</v>
      </c>
      <c r="Q306" s="156">
        <f>IF((L307=""),"",((N306-O306)/(N306+O306)*100))</f>
        <v>6.1819796976974928</v>
      </c>
      <c r="R306" s="61" t="str">
        <f>IF(L307="","",IF(Q306&lt;Z306,IF(O306&gt;V306,IF(N306&lt;W306,"PASS","FAIL"),"FAIL"),"FAIL"))</f>
        <v>PASS</v>
      </c>
      <c r="S306" s="62">
        <v>1159</v>
      </c>
      <c r="T306" s="61" t="s">
        <v>139</v>
      </c>
      <c r="U306" s="61"/>
      <c r="V306" s="110">
        <v>9000</v>
      </c>
      <c r="W306" s="110">
        <v>25000</v>
      </c>
      <c r="X306" s="111">
        <v>8090</v>
      </c>
      <c r="Y306" s="111">
        <v>12070</v>
      </c>
      <c r="Z306" s="112">
        <v>15</v>
      </c>
      <c r="AA306" s="112">
        <v>6</v>
      </c>
    </row>
    <row r="307" spans="1:27" ht="15.75">
      <c r="A307"/>
      <c r="B307" s="121"/>
      <c r="C307" s="57" t="s">
        <v>80</v>
      </c>
      <c r="D307" s="16">
        <v>25225.85</v>
      </c>
      <c r="E307" s="16">
        <v>24683.4</v>
      </c>
      <c r="F307" s="16">
        <v>24662.240000000002</v>
      </c>
      <c r="G307" s="16">
        <v>24581.97</v>
      </c>
      <c r="H307" s="16">
        <v>24792.93</v>
      </c>
      <c r="I307" s="16">
        <v>25214.04</v>
      </c>
      <c r="J307" s="16">
        <v>24785.88</v>
      </c>
      <c r="K307" s="16">
        <v>24416.03</v>
      </c>
      <c r="L307" s="16">
        <v>24596.87</v>
      </c>
      <c r="M307" s="16">
        <f t="shared" si="100"/>
        <v>24773.245555555557</v>
      </c>
      <c r="N307" s="53"/>
      <c r="O307" s="53"/>
      <c r="P307" s="63"/>
      <c r="Q307" s="53"/>
      <c r="R307" s="64"/>
      <c r="S307" s="54"/>
      <c r="T307" s="64"/>
      <c r="U307" s="64"/>
      <c r="V307" s="32"/>
      <c r="W307" s="29"/>
    </row>
    <row r="308" spans="1:27" ht="28.5" customHeight="1">
      <c r="A308"/>
      <c r="B308" s="121"/>
      <c r="C308" s="57" t="s">
        <v>82</v>
      </c>
      <c r="D308" s="16">
        <f t="shared" ref="D308:L308" si="105">IF(((D306="")*AND(D307="")),"",(D306-D307)*3)</f>
        <v>12705.75</v>
      </c>
      <c r="E308" s="16">
        <f t="shared" si="105"/>
        <v>13477.71</v>
      </c>
      <c r="F308" s="16">
        <f t="shared" si="105"/>
        <v>13637.25</v>
      </c>
      <c r="G308" s="16">
        <f t="shared" si="105"/>
        <v>13811.279999999995</v>
      </c>
      <c r="H308" s="16">
        <f t="shared" si="105"/>
        <v>13831.98</v>
      </c>
      <c r="I308" s="16">
        <f t="shared" si="105"/>
        <v>12609.929999999993</v>
      </c>
      <c r="J308" s="16">
        <f t="shared" si="105"/>
        <v>13161.48</v>
      </c>
      <c r="K308" s="16">
        <f t="shared" si="105"/>
        <v>14266.169999999998</v>
      </c>
      <c r="L308" s="16">
        <f t="shared" si="105"/>
        <v>14271.75</v>
      </c>
      <c r="M308" s="16">
        <f t="shared" si="100"/>
        <v>13530.366666666663</v>
      </c>
      <c r="N308" s="65"/>
      <c r="O308" s="65"/>
      <c r="P308" s="66"/>
      <c r="Q308" s="65"/>
      <c r="R308" s="67"/>
      <c r="S308" s="58"/>
      <c r="T308" s="67"/>
      <c r="U308" s="67"/>
      <c r="V308" s="33"/>
      <c r="W308" s="29"/>
    </row>
    <row r="309" spans="1:27">
      <c r="A309" s="86">
        <v>42165</v>
      </c>
      <c r="B309" s="120" t="s">
        <v>348</v>
      </c>
      <c r="C309" s="57" t="s">
        <v>79</v>
      </c>
      <c r="D309" s="58">
        <v>29468.23</v>
      </c>
      <c r="E309" s="58">
        <v>29161.8</v>
      </c>
      <c r="F309" s="58">
        <v>29137.97</v>
      </c>
      <c r="G309" s="58">
        <v>29152.18</v>
      </c>
      <c r="H309" s="58">
        <v>29334.83</v>
      </c>
      <c r="I309" s="58">
        <v>29418.04</v>
      </c>
      <c r="J309" s="58">
        <v>29109.23</v>
      </c>
      <c r="K309" s="58">
        <v>29152.67</v>
      </c>
      <c r="L309" s="58">
        <v>29261.040000000001</v>
      </c>
      <c r="M309" s="16">
        <f t="shared" si="100"/>
        <v>29243.998888888887</v>
      </c>
      <c r="N309" s="59">
        <f>IF((L310=""),"",MAX(D311:L311))</f>
        <v>13437.26999999999</v>
      </c>
      <c r="O309" s="59">
        <f>IF(L310="","",MIN(D311:L311))</f>
        <v>11625.810000000001</v>
      </c>
      <c r="P309" s="60">
        <f>IF((L311=""),"",AVERAGE(D311:L311))</f>
        <v>12506.403333333335</v>
      </c>
      <c r="Q309" s="156">
        <f>IF((L310=""),"",((N309-O309)/(N309+O309)*100))</f>
        <v>7.2276033113248204</v>
      </c>
      <c r="R309" s="61" t="str">
        <f>IF(L310="","",IF(Q309&lt;Z309,IF(O309&gt;V309,IF(N309&lt;W309,"PASS","FAIL"),"FAIL"),"FAIL"))</f>
        <v>PASS</v>
      </c>
      <c r="S309" s="62">
        <v>1400</v>
      </c>
      <c r="T309" s="61" t="s">
        <v>141</v>
      </c>
      <c r="U309" s="61"/>
      <c r="V309" s="110">
        <v>9000</v>
      </c>
      <c r="W309" s="110">
        <v>25000</v>
      </c>
      <c r="X309" s="111">
        <v>8090</v>
      </c>
      <c r="Y309" s="111">
        <v>12070</v>
      </c>
      <c r="Z309" s="112">
        <v>15</v>
      </c>
      <c r="AA309" s="112">
        <v>6</v>
      </c>
    </row>
    <row r="310" spans="1:27" ht="15.75">
      <c r="A310"/>
      <c r="B310" s="121"/>
      <c r="C310" s="57" t="s">
        <v>80</v>
      </c>
      <c r="D310" s="16">
        <v>25524.14</v>
      </c>
      <c r="E310" s="16">
        <v>25005.59</v>
      </c>
      <c r="F310" s="16">
        <v>24861.3</v>
      </c>
      <c r="G310" s="16">
        <v>24797.599999999999</v>
      </c>
      <c r="H310" s="16">
        <v>25339.919999999998</v>
      </c>
      <c r="I310" s="16">
        <v>25542.77</v>
      </c>
      <c r="J310" s="16">
        <v>25074.53</v>
      </c>
      <c r="K310" s="16">
        <v>24673.58</v>
      </c>
      <c r="L310" s="16">
        <v>24857.35</v>
      </c>
      <c r="M310" s="16">
        <f t="shared" si="100"/>
        <v>25075.197777777779</v>
      </c>
      <c r="N310" s="53"/>
      <c r="O310" s="53"/>
      <c r="P310" s="63"/>
      <c r="Q310" s="53"/>
      <c r="R310" s="64"/>
      <c r="S310" s="54"/>
      <c r="T310" s="64"/>
      <c r="U310" s="64"/>
      <c r="V310" s="32"/>
      <c r="W310" s="29"/>
    </row>
    <row r="311" spans="1:27" ht="28.5" customHeight="1">
      <c r="A311"/>
      <c r="B311" s="121"/>
      <c r="C311" s="57" t="s">
        <v>82</v>
      </c>
      <c r="D311" s="16">
        <f t="shared" ref="D311:L311" si="106">IF(((D309="")*AND(D310="")),"",(D309-D310)*3)</f>
        <v>11832.27</v>
      </c>
      <c r="E311" s="16">
        <f t="shared" si="106"/>
        <v>12468.629999999997</v>
      </c>
      <c r="F311" s="16">
        <f t="shared" si="106"/>
        <v>12830.010000000006</v>
      </c>
      <c r="G311" s="16">
        <f t="shared" si="106"/>
        <v>13063.740000000005</v>
      </c>
      <c r="H311" s="16">
        <f t="shared" si="106"/>
        <v>11984.73000000001</v>
      </c>
      <c r="I311" s="16">
        <f t="shared" si="106"/>
        <v>11625.810000000001</v>
      </c>
      <c r="J311" s="16">
        <f t="shared" si="106"/>
        <v>12104.100000000002</v>
      </c>
      <c r="K311" s="16">
        <f t="shared" si="106"/>
        <v>13437.26999999999</v>
      </c>
      <c r="L311" s="16">
        <f t="shared" si="106"/>
        <v>13211.070000000007</v>
      </c>
      <c r="M311" s="16">
        <f t="shared" si="100"/>
        <v>12506.403333333335</v>
      </c>
      <c r="N311" s="65"/>
      <c r="O311" s="65"/>
      <c r="P311" s="66"/>
      <c r="Q311" s="65"/>
      <c r="R311" s="67"/>
      <c r="S311" s="58"/>
      <c r="T311" s="67"/>
      <c r="U311" s="67"/>
      <c r="V311" s="33"/>
      <c r="W311" s="29"/>
    </row>
    <row r="312" spans="1:27">
      <c r="A312" s="86">
        <v>42171</v>
      </c>
      <c r="B312" s="120" t="s">
        <v>348</v>
      </c>
      <c r="C312" s="57" t="s">
        <v>79</v>
      </c>
      <c r="D312" s="58">
        <v>29552.39</v>
      </c>
      <c r="E312" s="58">
        <v>29292.080000000002</v>
      </c>
      <c r="F312" s="58">
        <v>29292.2</v>
      </c>
      <c r="G312" s="58">
        <v>29285.54</v>
      </c>
      <c r="H312" s="58">
        <v>29433.08</v>
      </c>
      <c r="I312" s="58">
        <v>29502.5</v>
      </c>
      <c r="J312" s="58">
        <v>29286.92</v>
      </c>
      <c r="K312" s="58">
        <v>29284.48</v>
      </c>
      <c r="L312" s="58">
        <v>29456.16</v>
      </c>
      <c r="M312" s="16">
        <f t="shared" si="100"/>
        <v>29376.149999999998</v>
      </c>
      <c r="N312" s="59">
        <f>IF((L313=""),"",MAX(D314:L314))</f>
        <v>12689.669999999998</v>
      </c>
      <c r="O312" s="59">
        <f>IF(L313="","",MIN(D314:L314))</f>
        <v>11471.79</v>
      </c>
      <c r="P312" s="60">
        <f>IF((L314=""),"",AVERAGE(D314:L314))</f>
        <v>12133.706666666667</v>
      </c>
      <c r="Q312" s="156">
        <f>IF((L313=""),"",((N312-O312)/(N312+O312)*100))</f>
        <v>5.0405894345788598</v>
      </c>
      <c r="R312" s="61" t="str">
        <f>IF(L313="","",IF(Q312&lt;Z312,IF(O312&gt;V312,IF(N312&lt;W312,"PASS","FAIL"),"FAIL"),"FAIL"))</f>
        <v>PASS</v>
      </c>
      <c r="S312" s="62">
        <v>1159</v>
      </c>
      <c r="T312" s="61" t="s">
        <v>142</v>
      </c>
      <c r="U312" s="61"/>
      <c r="V312" s="110">
        <v>9000</v>
      </c>
      <c r="W312" s="110">
        <v>25000</v>
      </c>
      <c r="X312" s="111">
        <v>8090</v>
      </c>
      <c r="Y312" s="111">
        <v>12070</v>
      </c>
      <c r="Z312" s="112">
        <v>15</v>
      </c>
      <c r="AA312" s="112">
        <v>6</v>
      </c>
    </row>
    <row r="313" spans="1:27" ht="15.75">
      <c r="A313"/>
      <c r="B313" s="121"/>
      <c r="C313" s="57" t="s">
        <v>80</v>
      </c>
      <c r="D313" s="16">
        <v>25648.7</v>
      </c>
      <c r="E313" s="16">
        <v>25249.200000000001</v>
      </c>
      <c r="F313" s="16">
        <v>25243.48</v>
      </c>
      <c r="G313" s="16">
        <v>25194.58</v>
      </c>
      <c r="H313" s="16">
        <v>25350.59</v>
      </c>
      <c r="I313" s="16">
        <v>25678.57</v>
      </c>
      <c r="J313" s="16">
        <v>25331.09</v>
      </c>
      <c r="K313" s="16">
        <v>25061.75</v>
      </c>
      <c r="L313" s="16">
        <v>25226.27</v>
      </c>
      <c r="M313" s="16">
        <f t="shared" si="100"/>
        <v>25331.581111111111</v>
      </c>
      <c r="N313" s="53"/>
      <c r="O313" s="53"/>
      <c r="P313" s="63"/>
      <c r="Q313" s="53"/>
      <c r="R313" s="64"/>
      <c r="S313" s="54"/>
      <c r="T313" s="64"/>
      <c r="U313" s="64"/>
      <c r="V313" s="32"/>
      <c r="W313" s="29"/>
    </row>
    <row r="314" spans="1:27" ht="28.5" customHeight="1">
      <c r="A314"/>
      <c r="B314" s="121"/>
      <c r="C314" s="57" t="s">
        <v>82</v>
      </c>
      <c r="D314" s="16">
        <f t="shared" ref="D314:L314" si="107">IF(((D312="")*AND(D313="")),"",(D312-D313)*3)</f>
        <v>11711.069999999996</v>
      </c>
      <c r="E314" s="16">
        <f t="shared" si="107"/>
        <v>12128.640000000003</v>
      </c>
      <c r="F314" s="16">
        <f t="shared" si="107"/>
        <v>12146.160000000003</v>
      </c>
      <c r="G314" s="16">
        <f t="shared" si="107"/>
        <v>12272.879999999997</v>
      </c>
      <c r="H314" s="16">
        <f t="shared" si="107"/>
        <v>12247.470000000005</v>
      </c>
      <c r="I314" s="16">
        <f t="shared" si="107"/>
        <v>11471.79</v>
      </c>
      <c r="J314" s="16">
        <f t="shared" si="107"/>
        <v>11867.489999999994</v>
      </c>
      <c r="K314" s="16">
        <f t="shared" si="107"/>
        <v>12668.189999999999</v>
      </c>
      <c r="L314" s="16">
        <f t="shared" si="107"/>
        <v>12689.669999999998</v>
      </c>
      <c r="M314" s="16">
        <f t="shared" si="100"/>
        <v>12133.706666666667</v>
      </c>
      <c r="N314" s="65"/>
      <c r="O314" s="65"/>
      <c r="P314" s="66"/>
      <c r="Q314" s="65"/>
      <c r="R314" s="67"/>
      <c r="S314" s="58"/>
      <c r="T314" s="67"/>
      <c r="U314" s="67"/>
      <c r="V314" s="33"/>
      <c r="W314" s="29"/>
    </row>
    <row r="315" spans="1:27">
      <c r="A315" s="86">
        <v>42186</v>
      </c>
      <c r="B315" s="120" t="s">
        <v>348</v>
      </c>
      <c r="C315" s="57" t="s">
        <v>79</v>
      </c>
      <c r="D315" s="58">
        <v>29553.08</v>
      </c>
      <c r="E315" s="58">
        <v>29291.84</v>
      </c>
      <c r="F315" s="58">
        <v>29262.18</v>
      </c>
      <c r="G315" s="58">
        <v>29238.880000000001</v>
      </c>
      <c r="H315" s="58">
        <v>29344.080000000002</v>
      </c>
      <c r="I315" s="58">
        <v>29476.09</v>
      </c>
      <c r="J315" s="58">
        <v>29259.1</v>
      </c>
      <c r="K315" s="58">
        <v>29256.59</v>
      </c>
      <c r="L315" s="58">
        <v>29367.08</v>
      </c>
      <c r="M315" s="16">
        <f t="shared" si="100"/>
        <v>29338.768888888888</v>
      </c>
      <c r="N315" s="59">
        <f>IF((L316=""),"",MAX(D317:L317))</f>
        <v>12905.640000000003</v>
      </c>
      <c r="O315" s="59">
        <f>IF(L316="","",MIN(D317:L317))</f>
        <v>11528.160000000003</v>
      </c>
      <c r="P315" s="60">
        <f>IF((L317=""),"",AVERAGE(D317:L317))</f>
        <v>12248.693333333336</v>
      </c>
      <c r="Q315" s="156">
        <f>IF((L316=""),"",((N315-O315)/(N315+O315)*100))</f>
        <v>5.6376003732534405</v>
      </c>
      <c r="R315" s="61" t="str">
        <f>IF(L316="","",IF(Q315&lt;Z315,IF(O315&gt;V315,IF(N315&lt;W315,"PASS","FAIL"),"FAIL"),"FAIL"))</f>
        <v>PASS</v>
      </c>
      <c r="S315" s="62">
        <v>1400</v>
      </c>
      <c r="T315" s="61" t="s">
        <v>143</v>
      </c>
      <c r="U315" s="61"/>
      <c r="V315" s="110">
        <v>9000</v>
      </c>
      <c r="W315" s="110">
        <v>25000</v>
      </c>
      <c r="X315" s="111">
        <v>8090</v>
      </c>
      <c r="Y315" s="111">
        <v>12070</v>
      </c>
      <c r="Z315" s="112">
        <v>15</v>
      </c>
      <c r="AA315" s="112">
        <v>6</v>
      </c>
    </row>
    <row r="316" spans="1:27" ht="15.75">
      <c r="A316"/>
      <c r="B316" s="121"/>
      <c r="C316" s="57" t="s">
        <v>80</v>
      </c>
      <c r="D316" s="16">
        <v>25595.71</v>
      </c>
      <c r="E316" s="16">
        <v>25169.03</v>
      </c>
      <c r="F316" s="16">
        <v>25174.75</v>
      </c>
      <c r="G316" s="16">
        <v>25134.49</v>
      </c>
      <c r="H316" s="16">
        <v>25270.36</v>
      </c>
      <c r="I316" s="16">
        <v>25633.37</v>
      </c>
      <c r="J316" s="16">
        <v>25266.47</v>
      </c>
      <c r="K316" s="16">
        <v>24954.71</v>
      </c>
      <c r="L316" s="16">
        <v>25103.95</v>
      </c>
      <c r="M316" s="16">
        <f t="shared" si="100"/>
        <v>25255.871111111112</v>
      </c>
      <c r="N316" s="53"/>
      <c r="O316" s="53"/>
      <c r="P316" s="63"/>
      <c r="Q316" s="53"/>
      <c r="R316" s="64"/>
      <c r="S316" s="54"/>
      <c r="T316" s="64"/>
      <c r="U316" s="64"/>
      <c r="V316" s="32"/>
      <c r="W316" s="29"/>
    </row>
    <row r="317" spans="1:27" ht="28.5" customHeight="1">
      <c r="A317"/>
      <c r="B317" s="121"/>
      <c r="C317" s="57" t="s">
        <v>82</v>
      </c>
      <c r="D317" s="16">
        <f t="shared" ref="D317:L317" si="108">IF(((D315="")*AND(D316="")),"",(D315-D316)*3)</f>
        <v>11872.110000000008</v>
      </c>
      <c r="E317" s="16">
        <f t="shared" si="108"/>
        <v>12368.430000000004</v>
      </c>
      <c r="F317" s="16">
        <f t="shared" si="108"/>
        <v>12262.29</v>
      </c>
      <c r="G317" s="16">
        <f t="shared" si="108"/>
        <v>12313.169999999998</v>
      </c>
      <c r="H317" s="16">
        <f t="shared" si="108"/>
        <v>12221.160000000003</v>
      </c>
      <c r="I317" s="16">
        <f t="shared" si="108"/>
        <v>11528.160000000003</v>
      </c>
      <c r="J317" s="16">
        <f t="shared" si="108"/>
        <v>11977.889999999992</v>
      </c>
      <c r="K317" s="16">
        <f t="shared" si="108"/>
        <v>12905.640000000003</v>
      </c>
      <c r="L317" s="16">
        <f t="shared" si="108"/>
        <v>12789.390000000003</v>
      </c>
      <c r="M317" s="16">
        <f t="shared" si="100"/>
        <v>12248.693333333336</v>
      </c>
      <c r="N317" s="65"/>
      <c r="O317" s="65"/>
      <c r="P317" s="66"/>
      <c r="Q317" s="65"/>
      <c r="R317" s="67"/>
      <c r="S317" s="58"/>
      <c r="T317" s="67"/>
      <c r="U317" s="67"/>
      <c r="V317" s="33"/>
      <c r="W317" s="29"/>
    </row>
    <row r="318" spans="1:27">
      <c r="A318" s="86">
        <v>42214</v>
      </c>
      <c r="B318" s="120" t="s">
        <v>348</v>
      </c>
      <c r="C318" s="57" t="s">
        <v>79</v>
      </c>
      <c r="D318" s="58">
        <v>29494.13</v>
      </c>
      <c r="E318" s="58">
        <v>29157.41</v>
      </c>
      <c r="F318" s="58">
        <v>29204.21</v>
      </c>
      <c r="G318" s="58">
        <v>29144.05</v>
      </c>
      <c r="H318" s="58">
        <v>29344.21</v>
      </c>
      <c r="I318" s="58">
        <v>29326.36</v>
      </c>
      <c r="J318" s="58">
        <v>29128.75</v>
      </c>
      <c r="K318" s="58">
        <v>29124.98</v>
      </c>
      <c r="L318" s="58">
        <v>29259.18</v>
      </c>
      <c r="M318" s="16">
        <f t="shared" si="100"/>
        <v>29242.58666666667</v>
      </c>
      <c r="N318" s="59">
        <f>IF((L319=""),"",MAX(D320:L320))</f>
        <v>16729.649999999998</v>
      </c>
      <c r="O318" s="59">
        <f>IF(L319="","",MIN(D320:L320))</f>
        <v>13904.700000000004</v>
      </c>
      <c r="P318" s="60">
        <f>IF((L320=""),"",AVERAGE(D320:L320))</f>
        <v>15347.393333333332</v>
      </c>
      <c r="Q318" s="156">
        <f>IF((L319=""),"",((N318-O318)/(N318+O318)*100))</f>
        <v>9.2215111468008732</v>
      </c>
      <c r="R318" s="61" t="str">
        <f>IF(L319="","",IF(Q318&lt;Z318,IF(O318&gt;V318,IF(N318&lt;W318,"PASS","FAIL"),"FAIL"),"FAIL"))</f>
        <v>PASS</v>
      </c>
      <c r="S318" s="62">
        <v>1400</v>
      </c>
      <c r="T318" s="61" t="s">
        <v>144</v>
      </c>
      <c r="U318" s="61"/>
      <c r="V318" s="110">
        <v>9000</v>
      </c>
      <c r="W318" s="110">
        <v>25000</v>
      </c>
      <c r="X318" s="111">
        <v>8090</v>
      </c>
      <c r="Y318" s="111">
        <v>12070</v>
      </c>
      <c r="Z318" s="112">
        <v>15</v>
      </c>
      <c r="AA318" s="112">
        <v>6</v>
      </c>
    </row>
    <row r="319" spans="1:27" ht="15.75">
      <c r="A319"/>
      <c r="B319" s="121"/>
      <c r="C319" s="57" t="s">
        <v>80</v>
      </c>
      <c r="D319" s="16">
        <v>24859.23</v>
      </c>
      <c r="E319" s="16">
        <v>24113.06</v>
      </c>
      <c r="F319" s="16">
        <v>23981.61</v>
      </c>
      <c r="G319" s="16">
        <v>23942.43</v>
      </c>
      <c r="H319" s="16">
        <v>24224.57</v>
      </c>
      <c r="I319" s="16">
        <v>24485.79</v>
      </c>
      <c r="J319" s="16">
        <v>24186.93</v>
      </c>
      <c r="K319" s="16">
        <v>23664.85</v>
      </c>
      <c r="L319" s="16">
        <v>23682.63</v>
      </c>
      <c r="M319" s="16">
        <f t="shared" si="100"/>
        <v>24126.788888888888</v>
      </c>
      <c r="N319" s="53"/>
      <c r="O319" s="53"/>
      <c r="P319" s="63"/>
      <c r="Q319" s="53"/>
      <c r="R319" s="64"/>
      <c r="S319" s="54"/>
      <c r="T319" s="64"/>
      <c r="U319" s="64"/>
      <c r="V319" s="32"/>
      <c r="W319" s="29"/>
    </row>
    <row r="320" spans="1:27" ht="28.5" customHeight="1">
      <c r="A320"/>
      <c r="B320" s="121"/>
      <c r="C320" s="57" t="s">
        <v>82</v>
      </c>
      <c r="D320" s="16">
        <f t="shared" ref="D320:L320" si="109">IF(((D318="")*AND(D319="")),"",(D318-D319)*3)</f>
        <v>13904.700000000004</v>
      </c>
      <c r="E320" s="16">
        <f t="shared" si="109"/>
        <v>15133.049999999996</v>
      </c>
      <c r="F320" s="16">
        <f t="shared" si="109"/>
        <v>15667.799999999996</v>
      </c>
      <c r="G320" s="16">
        <f t="shared" si="109"/>
        <v>15604.859999999997</v>
      </c>
      <c r="H320" s="16">
        <f t="shared" si="109"/>
        <v>15358.919999999998</v>
      </c>
      <c r="I320" s="16">
        <f t="shared" si="109"/>
        <v>14521.71</v>
      </c>
      <c r="J320" s="16">
        <f t="shared" si="109"/>
        <v>14825.46</v>
      </c>
      <c r="K320" s="16">
        <f t="shared" si="109"/>
        <v>16380.390000000003</v>
      </c>
      <c r="L320" s="16">
        <f t="shared" si="109"/>
        <v>16729.649999999998</v>
      </c>
      <c r="M320" s="16">
        <f t="shared" si="100"/>
        <v>15347.393333333332</v>
      </c>
      <c r="N320" s="65"/>
      <c r="O320" s="65"/>
      <c r="P320" s="66"/>
      <c r="Q320" s="65"/>
      <c r="R320" s="67"/>
      <c r="S320" s="58"/>
      <c r="T320" s="67"/>
      <c r="U320" s="67"/>
      <c r="V320" s="33"/>
      <c r="W320" s="29"/>
    </row>
    <row r="321" spans="1:27">
      <c r="A321" s="86">
        <v>42220</v>
      </c>
      <c r="B321" s="120" t="s">
        <v>348</v>
      </c>
      <c r="C321" s="57" t="s">
        <v>79</v>
      </c>
      <c r="D321" s="58">
        <v>29469.24</v>
      </c>
      <c r="E321" s="58">
        <v>29180.39</v>
      </c>
      <c r="F321" s="58">
        <v>29223.200000000001</v>
      </c>
      <c r="G321" s="58">
        <v>29162.95</v>
      </c>
      <c r="H321" s="58">
        <v>29338.67</v>
      </c>
      <c r="I321" s="58">
        <v>29509.87</v>
      </c>
      <c r="J321" s="58">
        <v>29155.91</v>
      </c>
      <c r="K321" s="58">
        <v>29129.81</v>
      </c>
      <c r="L321" s="58">
        <v>29291.96</v>
      </c>
      <c r="M321" s="16">
        <f t="shared" si="100"/>
        <v>29273.555555555555</v>
      </c>
      <c r="N321" s="59">
        <f>IF((L322=""),"",MAX(D323:L323))</f>
        <v>17290.919999999998</v>
      </c>
      <c r="O321" s="59">
        <f>IF(L322="","",MIN(D323:L323))</f>
        <v>13268.609999999997</v>
      </c>
      <c r="P321" s="60">
        <f>IF((L323=""),"",AVERAGE(D323:L323))</f>
        <v>14768.486666666668</v>
      </c>
      <c r="Q321" s="156">
        <f>IF((L322=""),"",((N321-O321)/(N321+O321)*100))</f>
        <v>13.162211591604983</v>
      </c>
      <c r="R321" s="61" t="str">
        <f>IF(L322="","",IF(Q321&lt;Z321,IF(O321&gt;V321,IF(N321&lt;W321,"PASS","FAIL"),"FAIL"),"FAIL"))</f>
        <v>PASS</v>
      </c>
      <c r="S321" s="62">
        <v>1428</v>
      </c>
      <c r="T321" s="61" t="s">
        <v>145</v>
      </c>
      <c r="U321" s="61"/>
      <c r="V321" s="110">
        <v>9000</v>
      </c>
      <c r="W321" s="110">
        <v>25000</v>
      </c>
      <c r="X321" s="111">
        <v>8090</v>
      </c>
      <c r="Y321" s="111">
        <v>12070</v>
      </c>
      <c r="Z321" s="112">
        <v>15</v>
      </c>
      <c r="AA321" s="112">
        <v>6</v>
      </c>
    </row>
    <row r="322" spans="1:27" ht="15.75">
      <c r="A322"/>
      <c r="B322" s="121"/>
      <c r="C322" s="57" t="s">
        <v>80</v>
      </c>
      <c r="D322" s="16">
        <v>25030.55</v>
      </c>
      <c r="E322" s="16">
        <v>24384.639999999999</v>
      </c>
      <c r="F322" s="16">
        <v>24272.080000000002</v>
      </c>
      <c r="G322" s="16">
        <v>24240.97</v>
      </c>
      <c r="H322" s="16">
        <v>24498.41</v>
      </c>
      <c r="I322" s="16">
        <v>25087</v>
      </c>
      <c r="J322" s="16">
        <v>23392.27</v>
      </c>
      <c r="K322" s="16">
        <v>24019.279999999999</v>
      </c>
      <c r="L322" s="16">
        <v>24231.34</v>
      </c>
      <c r="M322" s="16">
        <f t="shared" si="100"/>
        <v>24350.726666666669</v>
      </c>
      <c r="N322" s="53"/>
      <c r="O322" s="53"/>
      <c r="P322" s="63"/>
      <c r="Q322" s="53"/>
      <c r="R322" s="64"/>
      <c r="S322" s="54"/>
      <c r="T322" s="64"/>
      <c r="U322" s="64"/>
      <c r="V322" s="32"/>
      <c r="W322" s="29"/>
    </row>
    <row r="323" spans="1:27" ht="28.5" customHeight="1">
      <c r="A323"/>
      <c r="B323" s="121"/>
      <c r="C323" s="57" t="s">
        <v>82</v>
      </c>
      <c r="D323" s="16">
        <f t="shared" ref="D323:L323" si="110">IF(((D321="")*AND(D322="")),"",(D321-D322)*3)</f>
        <v>13316.070000000007</v>
      </c>
      <c r="E323" s="16">
        <f t="shared" si="110"/>
        <v>14387.25</v>
      </c>
      <c r="F323" s="16">
        <f t="shared" si="110"/>
        <v>14853.359999999997</v>
      </c>
      <c r="G323" s="16">
        <f t="shared" si="110"/>
        <v>14765.939999999999</v>
      </c>
      <c r="H323" s="16">
        <f t="shared" si="110"/>
        <v>14520.779999999995</v>
      </c>
      <c r="I323" s="16">
        <f t="shared" si="110"/>
        <v>13268.609999999997</v>
      </c>
      <c r="J323" s="16">
        <f t="shared" si="110"/>
        <v>17290.919999999998</v>
      </c>
      <c r="K323" s="16">
        <f t="shared" si="110"/>
        <v>15331.590000000007</v>
      </c>
      <c r="L323" s="16">
        <f t="shared" si="110"/>
        <v>15181.859999999997</v>
      </c>
      <c r="M323" s="16">
        <f t="shared" si="100"/>
        <v>14768.486666666668</v>
      </c>
      <c r="N323" s="65"/>
      <c r="O323" s="65"/>
      <c r="P323" s="66"/>
      <c r="Q323" s="65"/>
      <c r="R323" s="67"/>
      <c r="S323" s="58"/>
      <c r="T323" s="67"/>
      <c r="U323" s="67"/>
      <c r="V323" s="33"/>
      <c r="W323" s="29"/>
    </row>
    <row r="324" spans="1:27">
      <c r="A324" s="86">
        <v>42430</v>
      </c>
      <c r="B324" s="120" t="s">
        <v>348</v>
      </c>
      <c r="C324" s="57" t="s">
        <v>79</v>
      </c>
      <c r="D324" s="58">
        <v>29385.24</v>
      </c>
      <c r="E324" s="58">
        <v>29164.35</v>
      </c>
      <c r="F324" s="58">
        <v>29221.200000000001</v>
      </c>
      <c r="G324" s="58">
        <v>29154.1</v>
      </c>
      <c r="H324" s="58">
        <v>29477.4</v>
      </c>
      <c r="I324" s="58">
        <v>29445.15</v>
      </c>
      <c r="J324" s="58">
        <v>29161.67</v>
      </c>
      <c r="K324" s="58">
        <v>29153.25</v>
      </c>
      <c r="L324" s="58">
        <v>29404.84</v>
      </c>
      <c r="M324" s="16">
        <f t="shared" si="100"/>
        <v>29285.244444444445</v>
      </c>
      <c r="N324" s="59">
        <f>IF((L325=""),"",MAX(D326:L326))</f>
        <v>10593.21</v>
      </c>
      <c r="O324" s="59">
        <f>IF(L325="","",MIN(D326:L326))</f>
        <v>10156.919999999998</v>
      </c>
      <c r="P324" s="60">
        <f>IF((L326=""),"",AVERAGE(D326:L326))</f>
        <v>10423.663333333334</v>
      </c>
      <c r="Q324" s="156">
        <f>IF((L325=""),"",((N324-O324)/(N324+O324)*100))</f>
        <v>2.1025892367903283</v>
      </c>
      <c r="R324" s="61" t="str">
        <f>IF(L325="","",IF(Q324&lt;Z324,IF(O324&gt;V324,IF(N324&lt;W324,"PASS","FAIL"),"FAIL"),"FAIL"))</f>
        <v>PASS</v>
      </c>
      <c r="S324" s="62">
        <v>1159</v>
      </c>
      <c r="T324" s="61" t="s">
        <v>146</v>
      </c>
      <c r="U324" s="61"/>
      <c r="V324" s="110">
        <v>9000</v>
      </c>
      <c r="W324" s="110">
        <v>25000</v>
      </c>
      <c r="X324" s="111">
        <v>8090</v>
      </c>
      <c r="Y324" s="111">
        <v>12070</v>
      </c>
      <c r="Z324" s="112">
        <v>15</v>
      </c>
      <c r="AA324" s="112">
        <v>6</v>
      </c>
    </row>
    <row r="325" spans="1:27" ht="15.75">
      <c r="A325"/>
      <c r="B325" s="121"/>
      <c r="C325" s="57" t="s">
        <v>80</v>
      </c>
      <c r="D325" s="16">
        <v>25972.37</v>
      </c>
      <c r="E325" s="16">
        <v>25698.22</v>
      </c>
      <c r="F325" s="16">
        <v>25690.13</v>
      </c>
      <c r="G325" s="16">
        <v>25667.13</v>
      </c>
      <c r="H325" s="16">
        <v>26002.57</v>
      </c>
      <c r="I325" s="16">
        <v>25924.63</v>
      </c>
      <c r="J325" s="16">
        <v>25645.32</v>
      </c>
      <c r="K325" s="16">
        <v>25676.639999999999</v>
      </c>
      <c r="L325" s="16">
        <v>26019.200000000001</v>
      </c>
      <c r="M325" s="16">
        <f t="shared" si="100"/>
        <v>25810.690000000002</v>
      </c>
      <c r="N325" s="53"/>
      <c r="O325" s="53"/>
      <c r="P325" s="63"/>
      <c r="Q325" s="53"/>
      <c r="R325" s="64"/>
      <c r="S325" s="54"/>
      <c r="T325" s="64"/>
      <c r="U325" s="64"/>
      <c r="V325" s="32"/>
      <c r="W325" s="29"/>
    </row>
    <row r="326" spans="1:27" ht="28.5" customHeight="1">
      <c r="A326"/>
      <c r="B326" s="121"/>
      <c r="C326" s="57" t="s">
        <v>82</v>
      </c>
      <c r="D326" s="16">
        <f t="shared" ref="D326:L326" si="111">IF(((D324="")*AND(D325="")),"",(D324-D325)*3)</f>
        <v>10238.610000000008</v>
      </c>
      <c r="E326" s="16">
        <f t="shared" si="111"/>
        <v>10398.389999999992</v>
      </c>
      <c r="F326" s="16">
        <f t="shared" si="111"/>
        <v>10593.21</v>
      </c>
      <c r="G326" s="16">
        <f t="shared" si="111"/>
        <v>10460.909999999993</v>
      </c>
      <c r="H326" s="16">
        <f t="shared" si="111"/>
        <v>10424.490000000005</v>
      </c>
      <c r="I326" s="16">
        <f t="shared" si="111"/>
        <v>10561.560000000001</v>
      </c>
      <c r="J326" s="16">
        <f t="shared" si="111"/>
        <v>10549.049999999996</v>
      </c>
      <c r="K326" s="16">
        <f t="shared" si="111"/>
        <v>10429.830000000002</v>
      </c>
      <c r="L326" s="16">
        <f t="shared" si="111"/>
        <v>10156.919999999998</v>
      </c>
      <c r="M326" s="16">
        <f t="shared" si="100"/>
        <v>10423.663333333334</v>
      </c>
      <c r="N326" s="65"/>
      <c r="O326" s="65"/>
      <c r="P326" s="66"/>
      <c r="Q326" s="65"/>
      <c r="R326" s="67"/>
      <c r="S326" s="58"/>
      <c r="T326" s="67"/>
      <c r="U326" s="67"/>
      <c r="V326" s="33"/>
      <c r="W326" s="29"/>
    </row>
    <row r="327" spans="1:27">
      <c r="A327" s="86">
        <v>42444</v>
      </c>
      <c r="B327" s="120" t="s">
        <v>348</v>
      </c>
      <c r="C327" s="57" t="s">
        <v>79</v>
      </c>
      <c r="D327" s="58">
        <v>29495.29</v>
      </c>
      <c r="E327" s="58">
        <v>29224.25</v>
      </c>
      <c r="F327" s="58">
        <v>29227.88</v>
      </c>
      <c r="G327" s="58">
        <v>29230.799999999999</v>
      </c>
      <c r="H327" s="58">
        <v>29536.19</v>
      </c>
      <c r="I327" s="58">
        <v>29510.11</v>
      </c>
      <c r="J327" s="58">
        <v>29211.919999999998</v>
      </c>
      <c r="K327" s="58">
        <v>29251.11</v>
      </c>
      <c r="L327" s="58">
        <v>29496.95</v>
      </c>
      <c r="M327" s="16">
        <f t="shared" si="100"/>
        <v>29353.833333333332</v>
      </c>
      <c r="N327" s="59">
        <f>IF((L328=""),"",MAX(D329:L329))</f>
        <v>12570</v>
      </c>
      <c r="O327" s="59">
        <f>IF(L328="","",MIN(D329:L329))</f>
        <v>11226.779999999995</v>
      </c>
      <c r="P327" s="60">
        <f>IF((L329=""),"",AVERAGE(D329:L329))</f>
        <v>12177.993333333332</v>
      </c>
      <c r="Q327" s="156">
        <f>IF((L328=""),"",((N327-O327)/(N327+O327)*100))</f>
        <v>5.6445451863655718</v>
      </c>
      <c r="R327" s="61" t="str">
        <f>IF(L328="","",IF(Q327&lt;Z327,IF(O327&gt;V327,IF(N327&lt;W327,"PASS","FAIL"),"FAIL"),"FAIL"))</f>
        <v>PASS</v>
      </c>
      <c r="S327" s="62">
        <v>1159</v>
      </c>
      <c r="T327" s="61" t="s">
        <v>147</v>
      </c>
      <c r="U327" s="61"/>
      <c r="V327" s="110">
        <v>9000</v>
      </c>
      <c r="W327" s="110">
        <v>25000</v>
      </c>
      <c r="X327" s="111">
        <v>8090</v>
      </c>
      <c r="Y327" s="111">
        <v>12070</v>
      </c>
      <c r="Z327" s="112">
        <v>15</v>
      </c>
      <c r="AA327" s="112">
        <v>6</v>
      </c>
    </row>
    <row r="328" spans="1:27" ht="15.75">
      <c r="A328"/>
      <c r="B328" s="121"/>
      <c r="C328" s="57" t="s">
        <v>80</v>
      </c>
      <c r="D328" s="16">
        <v>25395.96</v>
      </c>
      <c r="E328" s="16">
        <v>25097.49</v>
      </c>
      <c r="F328" s="16">
        <v>25037.88</v>
      </c>
      <c r="G328" s="16">
        <v>25141.74</v>
      </c>
      <c r="H328" s="16">
        <v>25793.93</v>
      </c>
      <c r="I328" s="16">
        <v>25396.87</v>
      </c>
      <c r="J328" s="16">
        <v>25054.71</v>
      </c>
      <c r="K328" s="16">
        <v>25206.240000000002</v>
      </c>
      <c r="L328" s="16">
        <v>25525.7</v>
      </c>
      <c r="M328" s="16">
        <f t="shared" si="100"/>
        <v>25294.502222222221</v>
      </c>
      <c r="N328" s="53"/>
      <c r="O328" s="53"/>
      <c r="P328" s="63"/>
      <c r="Q328" s="53"/>
      <c r="R328" s="64"/>
      <c r="S328" s="54"/>
      <c r="T328" s="64"/>
      <c r="U328" s="64"/>
      <c r="V328" s="32"/>
      <c r="W328" s="29"/>
    </row>
    <row r="329" spans="1:27" ht="28.5" customHeight="1">
      <c r="A329"/>
      <c r="B329" s="121"/>
      <c r="C329" s="57" t="s">
        <v>82</v>
      </c>
      <c r="D329" s="16">
        <f t="shared" ref="D329:L329" si="112">IF(((D327="")*AND(D328="")),"",(D327-D328)*3)</f>
        <v>12297.990000000005</v>
      </c>
      <c r="E329" s="16">
        <f t="shared" si="112"/>
        <v>12380.279999999995</v>
      </c>
      <c r="F329" s="16">
        <f t="shared" si="112"/>
        <v>12570</v>
      </c>
      <c r="G329" s="16">
        <f t="shared" si="112"/>
        <v>12267.179999999993</v>
      </c>
      <c r="H329" s="16">
        <f t="shared" si="112"/>
        <v>11226.779999999995</v>
      </c>
      <c r="I329" s="16">
        <f t="shared" si="112"/>
        <v>12339.720000000005</v>
      </c>
      <c r="J329" s="16">
        <f t="shared" si="112"/>
        <v>12471.629999999997</v>
      </c>
      <c r="K329" s="16">
        <f t="shared" si="112"/>
        <v>12134.609999999997</v>
      </c>
      <c r="L329" s="16">
        <f t="shared" si="112"/>
        <v>11913.75</v>
      </c>
      <c r="M329" s="16">
        <f t="shared" si="100"/>
        <v>12177.993333333332</v>
      </c>
      <c r="N329" s="65"/>
      <c r="O329" s="65"/>
      <c r="P329" s="66"/>
      <c r="Q329" s="65"/>
      <c r="R329" s="67"/>
      <c r="S329" s="58"/>
      <c r="T329" s="67"/>
      <c r="U329" s="67"/>
      <c r="V329" s="33"/>
      <c r="W329" s="29"/>
    </row>
    <row r="330" spans="1:27">
      <c r="A330" s="86">
        <v>42451</v>
      </c>
      <c r="B330" s="120" t="s">
        <v>348</v>
      </c>
      <c r="C330" s="57" t="s">
        <v>79</v>
      </c>
      <c r="D330" s="58">
        <v>29443.58</v>
      </c>
      <c r="E330" s="58">
        <v>29156.79</v>
      </c>
      <c r="F330" s="58">
        <v>29195.95</v>
      </c>
      <c r="G330" s="58">
        <v>29109.15</v>
      </c>
      <c r="H330" s="58">
        <v>29263.59</v>
      </c>
      <c r="I330" s="58">
        <v>29371.14</v>
      </c>
      <c r="J330" s="58">
        <v>29107.39</v>
      </c>
      <c r="K330" s="58">
        <v>29151.02</v>
      </c>
      <c r="L330" s="58">
        <v>29404</v>
      </c>
      <c r="M330" s="16">
        <f t="shared" si="100"/>
        <v>29244.734444444442</v>
      </c>
      <c r="N330" s="59">
        <f>IF((L331=""),"",MAX(D332:L332))</f>
        <v>10973.400000000009</v>
      </c>
      <c r="O330" s="59">
        <f>IF(L331="","",MIN(D332:L332))</f>
        <v>10104.540000000001</v>
      </c>
      <c r="P330" s="60">
        <f>IF((L332=""),"",AVERAGE(D332:L332))</f>
        <v>10615.616666666669</v>
      </c>
      <c r="Q330" s="156">
        <f>IF((L331=""),"",((N330-O330)/(N330+O330)*100))</f>
        <v>4.1221295819231267</v>
      </c>
      <c r="R330" s="61" t="str">
        <f>IF(L331="","",IF(Q330&lt;Z330,IF(O330&gt;V330,IF(N330&lt;W330,"PASS","FAIL"),"FAIL"),"FAIL"))</f>
        <v>PASS</v>
      </c>
      <c r="S330" s="62">
        <v>1428</v>
      </c>
      <c r="T330" s="61" t="s">
        <v>148</v>
      </c>
      <c r="U330" s="61"/>
      <c r="V330" s="110">
        <v>9000</v>
      </c>
      <c r="W330" s="110">
        <v>25000</v>
      </c>
      <c r="X330" s="111">
        <v>8090</v>
      </c>
      <c r="Y330" s="111">
        <v>12070</v>
      </c>
      <c r="Z330" s="112">
        <v>15</v>
      </c>
      <c r="AA330" s="112">
        <v>6</v>
      </c>
    </row>
    <row r="331" spans="1:27" ht="15.75">
      <c r="A331"/>
      <c r="B331" s="121"/>
      <c r="C331" s="57" t="s">
        <v>80</v>
      </c>
      <c r="D331" s="16">
        <v>25785.78</v>
      </c>
      <c r="E331" s="16">
        <v>25544.46</v>
      </c>
      <c r="F331" s="16">
        <v>25676.41</v>
      </c>
      <c r="G331" s="16">
        <v>25613.26</v>
      </c>
      <c r="H331" s="16">
        <v>25895.41</v>
      </c>
      <c r="I331" s="16">
        <v>25780.799999999999</v>
      </c>
      <c r="J331" s="16">
        <v>25542</v>
      </c>
      <c r="K331" s="16">
        <v>25595.59</v>
      </c>
      <c r="L331" s="16">
        <v>25922.05</v>
      </c>
      <c r="M331" s="16">
        <f t="shared" si="100"/>
        <v>25706.195555555554</v>
      </c>
      <c r="N331" s="53"/>
      <c r="O331" s="53"/>
      <c r="P331" s="63"/>
      <c r="Q331" s="53"/>
      <c r="R331" s="64"/>
      <c r="S331" s="54"/>
      <c r="T331" s="64"/>
      <c r="U331" s="64"/>
      <c r="V331" s="32"/>
      <c r="W331" s="29"/>
    </row>
    <row r="332" spans="1:27" ht="28.5" customHeight="1">
      <c r="A332"/>
      <c r="B332" s="121"/>
      <c r="C332" s="57" t="s">
        <v>82</v>
      </c>
      <c r="D332" s="16">
        <f t="shared" ref="D332:L332" si="113">IF(((D330="")*AND(D331="")),"",(D330-D331)*3)</f>
        <v>10973.400000000009</v>
      </c>
      <c r="E332" s="16">
        <f t="shared" si="113"/>
        <v>10836.990000000005</v>
      </c>
      <c r="F332" s="16">
        <f t="shared" si="113"/>
        <v>10558.620000000003</v>
      </c>
      <c r="G332" s="16">
        <f t="shared" si="113"/>
        <v>10487.670000000009</v>
      </c>
      <c r="H332" s="16">
        <f t="shared" si="113"/>
        <v>10104.540000000001</v>
      </c>
      <c r="I332" s="16">
        <f t="shared" si="113"/>
        <v>10771.02</v>
      </c>
      <c r="J332" s="16">
        <f t="shared" si="113"/>
        <v>10696.169999999998</v>
      </c>
      <c r="K332" s="16">
        <f t="shared" si="113"/>
        <v>10666.29</v>
      </c>
      <c r="L332" s="16">
        <f t="shared" si="113"/>
        <v>10445.850000000002</v>
      </c>
      <c r="M332" s="16">
        <f t="shared" si="100"/>
        <v>10615.616666666669</v>
      </c>
      <c r="N332" s="65"/>
      <c r="O332" s="65"/>
      <c r="P332" s="66"/>
      <c r="Q332" s="65"/>
      <c r="R332" s="67"/>
      <c r="S332" s="58"/>
      <c r="T332" s="67"/>
      <c r="U332" s="67"/>
      <c r="V332" s="33"/>
      <c r="W332" s="29"/>
    </row>
    <row r="333" spans="1:27">
      <c r="A333" s="86">
        <v>42459</v>
      </c>
      <c r="B333" s="120" t="s">
        <v>348</v>
      </c>
      <c r="C333" s="57" t="s">
        <v>79</v>
      </c>
      <c r="D333" s="58">
        <v>29388.95</v>
      </c>
      <c r="E333" s="58">
        <v>29110.560000000001</v>
      </c>
      <c r="F333" s="58">
        <v>29115.77</v>
      </c>
      <c r="G333" s="58">
        <v>29095.06</v>
      </c>
      <c r="H333" s="58">
        <v>29407.49</v>
      </c>
      <c r="I333" s="58">
        <v>29422.37</v>
      </c>
      <c r="J333" s="58">
        <v>29115.39</v>
      </c>
      <c r="K333" s="58">
        <v>29090.48</v>
      </c>
      <c r="L333" s="58">
        <v>29318.66</v>
      </c>
      <c r="M333" s="16">
        <f t="shared" si="100"/>
        <v>29229.414444444443</v>
      </c>
      <c r="N333" s="59">
        <f>IF((L334=""),"",MAX(D335:L335))</f>
        <v>10753.439999999999</v>
      </c>
      <c r="O333" s="59">
        <f>IF(L334="","",MIN(D335:L335))</f>
        <v>10175.310000000001</v>
      </c>
      <c r="P333" s="60">
        <f>IF((L335=""),"",AVERAGE(D335:L335))</f>
        <v>10538.223333333335</v>
      </c>
      <c r="Q333" s="156">
        <f>IF((L334=""),"",((N333-O333)/(N333+O333)*100))</f>
        <v>2.7623723347070293</v>
      </c>
      <c r="R333" s="61" t="str">
        <f>IF(L334="","",IF(Q333&lt;Z333,IF(O333&gt;V333,IF(N333&lt;W333,"PASS","FAIL"),"FAIL"),"FAIL"))</f>
        <v>PASS</v>
      </c>
      <c r="S333" s="62">
        <v>1335</v>
      </c>
      <c r="T333" s="61" t="s">
        <v>149</v>
      </c>
      <c r="U333" s="61"/>
      <c r="V333" s="110">
        <v>9000</v>
      </c>
      <c r="W333" s="110">
        <v>25000</v>
      </c>
      <c r="X333" s="111">
        <v>8090</v>
      </c>
      <c r="Y333" s="111">
        <v>12070</v>
      </c>
      <c r="Z333" s="112">
        <v>15</v>
      </c>
      <c r="AA333" s="112">
        <v>6</v>
      </c>
    </row>
    <row r="334" spans="1:27" ht="15.75">
      <c r="A334"/>
      <c r="B334" s="121"/>
      <c r="C334" s="57" t="s">
        <v>80</v>
      </c>
      <c r="D334" s="16">
        <v>25858.47</v>
      </c>
      <c r="E334" s="16">
        <v>25561.85</v>
      </c>
      <c r="F334" s="16">
        <v>25561.56</v>
      </c>
      <c r="G334" s="16">
        <v>25585.79</v>
      </c>
      <c r="H334" s="16">
        <v>26015.72</v>
      </c>
      <c r="I334" s="16">
        <v>25844.48</v>
      </c>
      <c r="J334" s="16">
        <v>25530.91</v>
      </c>
      <c r="K334" s="16">
        <v>25595.34</v>
      </c>
      <c r="L334" s="16">
        <v>25895.94</v>
      </c>
      <c r="M334" s="16">
        <f t="shared" si="100"/>
        <v>25716.673333333336</v>
      </c>
      <c r="N334" s="53"/>
      <c r="O334" s="53"/>
      <c r="P334" s="63"/>
      <c r="Q334" s="53"/>
      <c r="R334" s="64"/>
      <c r="S334" s="54"/>
      <c r="T334" s="64"/>
      <c r="U334" s="64"/>
      <c r="V334" s="32"/>
      <c r="W334" s="29"/>
    </row>
    <row r="335" spans="1:27" ht="28.5" customHeight="1">
      <c r="A335"/>
      <c r="B335" s="121"/>
      <c r="C335" s="57" t="s">
        <v>82</v>
      </c>
      <c r="D335" s="16">
        <f t="shared" ref="D335:L335" si="114">IF(((D333="")*AND(D334="")),"",(D333-D334)*3)</f>
        <v>10591.439999999999</v>
      </c>
      <c r="E335" s="16">
        <f t="shared" si="114"/>
        <v>10646.130000000008</v>
      </c>
      <c r="F335" s="16">
        <f t="shared" si="114"/>
        <v>10662.629999999997</v>
      </c>
      <c r="G335" s="16">
        <f t="shared" si="114"/>
        <v>10527.810000000001</v>
      </c>
      <c r="H335" s="16">
        <f t="shared" si="114"/>
        <v>10175.310000000001</v>
      </c>
      <c r="I335" s="16">
        <f t="shared" si="114"/>
        <v>10733.669999999998</v>
      </c>
      <c r="J335" s="16">
        <f t="shared" si="114"/>
        <v>10753.439999999999</v>
      </c>
      <c r="K335" s="16">
        <f t="shared" si="114"/>
        <v>10485.419999999998</v>
      </c>
      <c r="L335" s="16">
        <f t="shared" si="114"/>
        <v>10268.160000000003</v>
      </c>
      <c r="M335" s="16">
        <f t="shared" si="100"/>
        <v>10538.223333333335</v>
      </c>
      <c r="N335" s="65"/>
      <c r="O335" s="65"/>
      <c r="P335" s="66"/>
      <c r="Q335" s="65"/>
      <c r="R335" s="67"/>
      <c r="S335" s="58"/>
      <c r="T335" s="67"/>
      <c r="U335" s="67"/>
      <c r="V335" s="33"/>
      <c r="W335" s="29"/>
    </row>
    <row r="336" spans="1:27">
      <c r="A336" s="86">
        <v>42485</v>
      </c>
      <c r="B336" s="120" t="s">
        <v>348</v>
      </c>
      <c r="C336" s="57" t="s">
        <v>79</v>
      </c>
      <c r="D336" s="58">
        <v>29418.48</v>
      </c>
      <c r="E336" s="58">
        <v>29135.38</v>
      </c>
      <c r="F336" s="58">
        <v>29152.32</v>
      </c>
      <c r="G336" s="58">
        <v>29137.25</v>
      </c>
      <c r="H336" s="58">
        <v>29410.13</v>
      </c>
      <c r="I336" s="58">
        <v>29426.560000000001</v>
      </c>
      <c r="J336" s="58">
        <v>29145.119999999999</v>
      </c>
      <c r="K336" s="58">
        <v>29146.22</v>
      </c>
      <c r="L336" s="58">
        <v>29441.02</v>
      </c>
      <c r="M336" s="16">
        <f t="shared" si="100"/>
        <v>29268.05333333333</v>
      </c>
      <c r="N336" s="59">
        <f>IF((L337=""),"",MAX(D338:L338))</f>
        <v>11268.719999999994</v>
      </c>
      <c r="O336" s="59">
        <f>IF(L337="","",MIN(D338:L338))</f>
        <v>10650.660000000003</v>
      </c>
      <c r="P336" s="60">
        <f>IF((L338=""),"",AVERAGE(D338:L338))</f>
        <v>11014.206666666667</v>
      </c>
      <c r="Q336" s="156">
        <f>IF((L337=""),"",((N336-O336)/(N336+O336)*100))</f>
        <v>2.8196965425116516</v>
      </c>
      <c r="R336" s="61" t="str">
        <f>IF(L337="","",IF(Q336&lt;Z336,IF(O336&gt;V336,IF(N336&lt;W336,"PASS","FAIL"),"FAIL"),"FAIL"))</f>
        <v>PASS</v>
      </c>
      <c r="S336" s="62">
        <v>1159</v>
      </c>
      <c r="T336" s="61" t="s">
        <v>150</v>
      </c>
      <c r="U336" s="61"/>
      <c r="V336" s="110">
        <v>9000</v>
      </c>
      <c r="W336" s="110">
        <v>25000</v>
      </c>
      <c r="X336" s="111">
        <v>8090</v>
      </c>
      <c r="Y336" s="111">
        <v>12070</v>
      </c>
      <c r="Z336" s="112">
        <v>15</v>
      </c>
      <c r="AA336" s="112">
        <v>6</v>
      </c>
    </row>
    <row r="337" spans="1:27" ht="15.75">
      <c r="A337"/>
      <c r="B337" s="121"/>
      <c r="C337" s="57" t="s">
        <v>80</v>
      </c>
      <c r="D337" s="16">
        <v>25742.05</v>
      </c>
      <c r="E337" s="16">
        <v>25433.03</v>
      </c>
      <c r="F337" s="16">
        <v>25418.16</v>
      </c>
      <c r="G337" s="16">
        <v>25454.12</v>
      </c>
      <c r="H337" s="16">
        <v>25859.91</v>
      </c>
      <c r="I337" s="16">
        <v>25738.42</v>
      </c>
      <c r="J337" s="16">
        <v>25388.880000000001</v>
      </c>
      <c r="K337" s="16">
        <v>25479.65</v>
      </c>
      <c r="L337" s="16">
        <v>25855.64</v>
      </c>
      <c r="M337" s="16">
        <f t="shared" si="100"/>
        <v>25596.65111111111</v>
      </c>
      <c r="N337" s="53"/>
      <c r="O337" s="53"/>
      <c r="P337" s="63"/>
      <c r="Q337" s="53"/>
      <c r="R337" s="64"/>
      <c r="S337" s="54"/>
      <c r="T337" s="64"/>
      <c r="U337" s="64"/>
      <c r="V337" s="32"/>
      <c r="W337" s="29"/>
    </row>
    <row r="338" spans="1:27" ht="28.5" customHeight="1">
      <c r="A338"/>
      <c r="B338" s="121"/>
      <c r="C338" s="57" t="s">
        <v>82</v>
      </c>
      <c r="D338" s="16">
        <f t="shared" ref="D338:L338" si="115">IF(((D336="")*AND(D337="")),"",(D336-D337)*3)</f>
        <v>11029.29</v>
      </c>
      <c r="E338" s="16">
        <f t="shared" si="115"/>
        <v>11107.050000000007</v>
      </c>
      <c r="F338" s="16">
        <f t="shared" si="115"/>
        <v>11202.48</v>
      </c>
      <c r="G338" s="16">
        <f t="shared" si="115"/>
        <v>11049.390000000003</v>
      </c>
      <c r="H338" s="16">
        <f t="shared" si="115"/>
        <v>10650.660000000003</v>
      </c>
      <c r="I338" s="16">
        <f t="shared" si="115"/>
        <v>11064.420000000009</v>
      </c>
      <c r="J338" s="16">
        <f t="shared" si="115"/>
        <v>11268.719999999994</v>
      </c>
      <c r="K338" s="16">
        <f t="shared" si="115"/>
        <v>10999.71</v>
      </c>
      <c r="L338" s="16">
        <f t="shared" si="115"/>
        <v>10756.140000000003</v>
      </c>
      <c r="M338" s="16">
        <f t="shared" si="100"/>
        <v>11014.206666666667</v>
      </c>
      <c r="N338" s="65"/>
      <c r="O338" s="65"/>
      <c r="P338" s="66"/>
      <c r="Q338" s="65"/>
      <c r="R338" s="67"/>
      <c r="S338" s="58"/>
      <c r="T338" s="67"/>
      <c r="U338" s="67"/>
      <c r="V338" s="33"/>
      <c r="W338" s="29"/>
    </row>
    <row r="339" spans="1:27">
      <c r="A339" s="86">
        <v>42494</v>
      </c>
      <c r="B339" s="120" t="s">
        <v>348</v>
      </c>
      <c r="C339" s="57" t="s">
        <v>79</v>
      </c>
      <c r="D339" s="58">
        <v>29461.27</v>
      </c>
      <c r="E339" s="58">
        <v>29212.43</v>
      </c>
      <c r="F339" s="58">
        <v>29249.87</v>
      </c>
      <c r="G339" s="58">
        <v>29207.25</v>
      </c>
      <c r="H339" s="58">
        <v>29512.34</v>
      </c>
      <c r="I339" s="58">
        <v>29515.32</v>
      </c>
      <c r="J339" s="58">
        <v>29219.23</v>
      </c>
      <c r="K339" s="58">
        <v>29206.75</v>
      </c>
      <c r="L339" s="58">
        <v>29440</v>
      </c>
      <c r="M339" s="16">
        <f t="shared" si="100"/>
        <v>29336.051111111112</v>
      </c>
      <c r="N339" s="59">
        <f>IF((L340=""),"",MAX(D341:L341))</f>
        <v>11723.549999999996</v>
      </c>
      <c r="O339" s="59">
        <f>IF(L340="","",MIN(D341:L341))</f>
        <v>10978.410000000003</v>
      </c>
      <c r="P339" s="60">
        <f>IF((L341=""),"",AVERAGE(D341:L341))</f>
        <v>11433.443333333335</v>
      </c>
      <c r="Q339" s="156">
        <f>IF((L340=""),"",((N339-O339)/(N339+O339)*100))</f>
        <v>3.2822716628872226</v>
      </c>
      <c r="R339" s="61" t="str">
        <f>IF(L340="","",IF(Q339&lt;Z339,IF(O339&gt;V339,IF(N339&lt;W339,"PASS","FAIL"),"FAIL"),"FAIL"))</f>
        <v>PASS</v>
      </c>
      <c r="S339" s="62">
        <v>1159</v>
      </c>
      <c r="T339" s="61" t="s">
        <v>151</v>
      </c>
      <c r="U339" s="61"/>
      <c r="V339" s="110">
        <v>9000</v>
      </c>
      <c r="W339" s="110">
        <v>25000</v>
      </c>
      <c r="X339" s="111">
        <v>8090</v>
      </c>
      <c r="Y339" s="111">
        <v>12070</v>
      </c>
      <c r="Z339" s="112">
        <v>15</v>
      </c>
      <c r="AA339" s="112">
        <v>6</v>
      </c>
    </row>
    <row r="340" spans="1:27" ht="15.75">
      <c r="A340"/>
      <c r="B340" s="121"/>
      <c r="C340" s="57" t="s">
        <v>80</v>
      </c>
      <c r="D340" s="16">
        <v>25604.85</v>
      </c>
      <c r="E340" s="16">
        <v>25320.34</v>
      </c>
      <c r="F340" s="16">
        <v>25426.799999999999</v>
      </c>
      <c r="G340" s="16">
        <v>25490.87</v>
      </c>
      <c r="H340" s="16">
        <v>25852.87</v>
      </c>
      <c r="I340" s="16">
        <v>25794.13</v>
      </c>
      <c r="J340" s="16">
        <v>25389.46</v>
      </c>
      <c r="K340" s="16">
        <v>25298.9</v>
      </c>
      <c r="L340" s="16">
        <v>25545.91</v>
      </c>
      <c r="M340" s="16">
        <f t="shared" si="100"/>
        <v>25524.903333333332</v>
      </c>
      <c r="N340" s="53"/>
      <c r="O340" s="53"/>
      <c r="P340" s="63"/>
      <c r="Q340" s="53"/>
      <c r="R340" s="64"/>
      <c r="S340" s="54"/>
      <c r="T340" s="64"/>
      <c r="U340" s="64"/>
      <c r="V340" s="32"/>
      <c r="W340" s="29"/>
    </row>
    <row r="341" spans="1:27" ht="28.5" customHeight="1">
      <c r="A341"/>
      <c r="B341" s="121"/>
      <c r="C341" s="57" t="s">
        <v>82</v>
      </c>
      <c r="D341" s="16">
        <f t="shared" ref="D341:L341" si="116">IF(((D339="")*AND(D340="")),"",(D339-D340)*3)</f>
        <v>11569.260000000006</v>
      </c>
      <c r="E341" s="16">
        <f t="shared" si="116"/>
        <v>11676.27</v>
      </c>
      <c r="F341" s="16">
        <f t="shared" si="116"/>
        <v>11469.21</v>
      </c>
      <c r="G341" s="16">
        <f t="shared" si="116"/>
        <v>11149.140000000003</v>
      </c>
      <c r="H341" s="16">
        <f t="shared" si="116"/>
        <v>10978.410000000003</v>
      </c>
      <c r="I341" s="16">
        <f t="shared" si="116"/>
        <v>11163.569999999996</v>
      </c>
      <c r="J341" s="16">
        <f t="shared" si="116"/>
        <v>11489.310000000001</v>
      </c>
      <c r="K341" s="16">
        <f t="shared" si="116"/>
        <v>11723.549999999996</v>
      </c>
      <c r="L341" s="16">
        <f t="shared" si="116"/>
        <v>11682.27</v>
      </c>
      <c r="M341" s="16">
        <f t="shared" si="100"/>
        <v>11433.443333333335</v>
      </c>
      <c r="N341" s="65"/>
      <c r="O341" s="65"/>
      <c r="P341" s="66"/>
      <c r="Q341" s="65"/>
      <c r="R341" s="67"/>
      <c r="S341" s="58"/>
      <c r="T341" s="67"/>
      <c r="U341" s="67"/>
      <c r="V341" s="33"/>
      <c r="W341" s="29"/>
    </row>
    <row r="342" spans="1:27">
      <c r="A342" s="86">
        <v>42578</v>
      </c>
      <c r="B342" s="120" t="s">
        <v>348</v>
      </c>
      <c r="C342" s="57" t="s">
        <v>79</v>
      </c>
      <c r="D342" s="58">
        <v>29230.19</v>
      </c>
      <c r="E342" s="58">
        <v>29103.73</v>
      </c>
      <c r="F342" s="58">
        <v>29083.53</v>
      </c>
      <c r="G342" s="58">
        <v>29081.89</v>
      </c>
      <c r="H342" s="58">
        <v>29230.54</v>
      </c>
      <c r="I342" s="58">
        <v>29220.45</v>
      </c>
      <c r="J342" s="58">
        <v>29126.21</v>
      </c>
      <c r="K342" s="58">
        <v>29094.2</v>
      </c>
      <c r="L342" s="58">
        <v>29257.32</v>
      </c>
      <c r="M342" s="16">
        <f t="shared" si="100"/>
        <v>29158.673333333332</v>
      </c>
      <c r="N342" s="59">
        <f>IF((L343=""),"",MAX(D344:L344))</f>
        <v>14740.77</v>
      </c>
      <c r="O342" s="59">
        <f>IF(L343="","",MIN(D344:L344))</f>
        <v>8102.429999999993</v>
      </c>
      <c r="P342" s="60">
        <f>IF((L344=""),"",AVERAGE(D344:L344))</f>
        <v>9284.3533333333344</v>
      </c>
      <c r="Q342" s="156">
        <f>IF((L343=""),"",((N342-O342)/(N342+O342)*100))</f>
        <v>29.060464383273839</v>
      </c>
      <c r="R342" s="61" t="str">
        <f>IF(L343="","",IF(Q342&lt;Z342,IF(O342&gt;V342,IF(N342&lt;W342,"PASS","FAIL"),"FAIL"),"FAIL"))</f>
        <v>FAIL</v>
      </c>
      <c r="S342" s="62">
        <v>1335</v>
      </c>
      <c r="T342" s="61" t="s">
        <v>152</v>
      </c>
      <c r="U342" s="61"/>
      <c r="V342" s="110">
        <v>9000</v>
      </c>
      <c r="W342" s="110">
        <v>25000</v>
      </c>
      <c r="X342" s="111">
        <v>8090</v>
      </c>
      <c r="Y342" s="111">
        <v>12070</v>
      </c>
      <c r="Z342" s="112">
        <v>15</v>
      </c>
      <c r="AA342" s="112">
        <v>6</v>
      </c>
    </row>
    <row r="343" spans="1:27" ht="15.75">
      <c r="A343"/>
      <c r="B343" s="121"/>
      <c r="C343" s="57" t="s">
        <v>80</v>
      </c>
      <c r="D343" s="16">
        <v>26529.38</v>
      </c>
      <c r="E343" s="16">
        <v>26232.04</v>
      </c>
      <c r="F343" s="16">
        <v>26218.82</v>
      </c>
      <c r="G343" s="16">
        <v>26189.62</v>
      </c>
      <c r="H343" s="16">
        <v>26372.01</v>
      </c>
      <c r="I343" s="16">
        <v>24306.86</v>
      </c>
      <c r="J343" s="16">
        <v>26296.39</v>
      </c>
      <c r="K343" s="16">
        <v>26137.48</v>
      </c>
      <c r="L343" s="16">
        <v>26292.400000000001</v>
      </c>
      <c r="M343" s="16">
        <f t="shared" si="100"/>
        <v>26063.888888888891</v>
      </c>
      <c r="N343" s="53"/>
      <c r="O343" s="53"/>
      <c r="P343" s="63"/>
      <c r="Q343" s="53"/>
      <c r="R343" s="64"/>
      <c r="S343" s="54"/>
      <c r="T343" s="64"/>
      <c r="U343" s="64"/>
      <c r="V343" s="32"/>
      <c r="W343" s="29"/>
    </row>
    <row r="344" spans="1:27" ht="28.5" customHeight="1">
      <c r="A344"/>
      <c r="B344" s="121"/>
      <c r="C344" s="57" t="s">
        <v>82</v>
      </c>
      <c r="D344" s="16">
        <f t="shared" ref="D344:L344" si="117">IF(((D342="")*AND(D343="")),"",(D342-D343)*3)</f>
        <v>8102.429999999993</v>
      </c>
      <c r="E344" s="16">
        <f t="shared" si="117"/>
        <v>8615.0699999999961</v>
      </c>
      <c r="F344" s="16">
        <f t="shared" si="117"/>
        <v>8594.1299999999974</v>
      </c>
      <c r="G344" s="16">
        <f t="shared" si="117"/>
        <v>8676.8100000000013</v>
      </c>
      <c r="H344" s="16">
        <f t="shared" si="117"/>
        <v>8575.5900000000074</v>
      </c>
      <c r="I344" s="16">
        <f t="shared" si="117"/>
        <v>14740.77</v>
      </c>
      <c r="J344" s="16">
        <f t="shared" si="117"/>
        <v>8489.4599999999991</v>
      </c>
      <c r="K344" s="16">
        <f t="shared" si="117"/>
        <v>8870.1600000000035</v>
      </c>
      <c r="L344" s="16">
        <f t="shared" si="117"/>
        <v>8894.7599999999948</v>
      </c>
      <c r="M344" s="16">
        <f t="shared" si="100"/>
        <v>9284.3533333333344</v>
      </c>
      <c r="N344" s="65"/>
      <c r="O344" s="65"/>
      <c r="P344" s="66"/>
      <c r="Q344" s="65"/>
      <c r="R344" s="67"/>
      <c r="S344" s="58"/>
      <c r="T344" s="67"/>
      <c r="U344" s="67"/>
      <c r="V344" s="33"/>
      <c r="W344" s="29"/>
    </row>
    <row r="345" spans="1:27">
      <c r="A345" s="86">
        <v>42578</v>
      </c>
      <c r="B345" s="120" t="s">
        <v>348</v>
      </c>
      <c r="C345" s="57" t="s">
        <v>79</v>
      </c>
      <c r="D345" s="58">
        <v>29138.31</v>
      </c>
      <c r="E345" s="58">
        <v>29023.200000000001</v>
      </c>
      <c r="F345" s="58">
        <v>29008.71</v>
      </c>
      <c r="G345" s="58">
        <v>28953.23</v>
      </c>
      <c r="H345" s="58">
        <v>29217.94</v>
      </c>
      <c r="I345" s="58">
        <v>29167.8</v>
      </c>
      <c r="J345" s="58">
        <v>28990.29</v>
      </c>
      <c r="K345" s="58">
        <v>28991.98</v>
      </c>
      <c r="L345" s="58">
        <v>29209.71</v>
      </c>
      <c r="M345" s="16">
        <f t="shared" si="100"/>
        <v>29077.907777777775</v>
      </c>
      <c r="N345" s="59">
        <f>IF((L346=""),"",MAX(D347:L347))</f>
        <v>8326.1699999999983</v>
      </c>
      <c r="O345" s="59">
        <f>IF(L346="","",MIN(D347:L347))</f>
        <v>7483.23</v>
      </c>
      <c r="P345" s="60">
        <f>IF((L347=""),"",AVERAGE(D347:L347))</f>
        <v>7948.5566666666646</v>
      </c>
      <c r="Q345" s="156">
        <f>IF((L346=""),"",((N345-O345)/(N345+O345)*100))</f>
        <v>5.3318911533644462</v>
      </c>
      <c r="R345" s="61" t="str">
        <f>IF(L346="","",IF(Q345&lt;Z345,IF(O345&gt;V345,IF(N345&lt;W345,"PASS","FAIL"),"FAIL"),"FAIL"))</f>
        <v>FAIL</v>
      </c>
      <c r="S345" s="62">
        <v>1428</v>
      </c>
      <c r="U345" s="61" t="s">
        <v>153</v>
      </c>
      <c r="V345" s="110">
        <v>9000</v>
      </c>
      <c r="W345" s="110">
        <v>25000</v>
      </c>
      <c r="X345" s="111">
        <v>8090</v>
      </c>
      <c r="Y345" s="111">
        <v>12070</v>
      </c>
      <c r="Z345" s="112">
        <v>15</v>
      </c>
      <c r="AA345" s="112">
        <v>6</v>
      </c>
    </row>
    <row r="346" spans="1:27" ht="15.75">
      <c r="A346"/>
      <c r="B346" s="121"/>
      <c r="C346" s="57" t="s">
        <v>80</v>
      </c>
      <c r="D346" s="16">
        <v>26643.9</v>
      </c>
      <c r="E346" s="16">
        <v>26374.41</v>
      </c>
      <c r="F346" s="16">
        <v>26233.32</v>
      </c>
      <c r="G346" s="16">
        <v>26279.58</v>
      </c>
      <c r="H346" s="16">
        <v>26510.34</v>
      </c>
      <c r="I346" s="16">
        <v>26620.2</v>
      </c>
      <c r="J346" s="16">
        <v>26337.66</v>
      </c>
      <c r="K346" s="16">
        <v>26325.05</v>
      </c>
      <c r="L346" s="16">
        <v>26531.040000000001</v>
      </c>
      <c r="M346" s="16">
        <f t="shared" si="100"/>
        <v>26428.388888888891</v>
      </c>
      <c r="N346" s="53"/>
      <c r="O346" s="53"/>
      <c r="P346" s="63"/>
      <c r="Q346" s="53"/>
      <c r="R346" s="64"/>
      <c r="S346" s="54"/>
      <c r="U346" s="64"/>
      <c r="V346" s="32"/>
      <c r="W346" s="29"/>
    </row>
    <row r="347" spans="1:27" ht="28.5" customHeight="1">
      <c r="A347"/>
      <c r="B347" s="121"/>
      <c r="C347" s="57" t="s">
        <v>82</v>
      </c>
      <c r="D347" s="16">
        <f t="shared" ref="D347:L347" si="118">IF(((D345="")*AND(D346="")),"",(D345-D346)*3)</f>
        <v>7483.23</v>
      </c>
      <c r="E347" s="16">
        <f t="shared" si="118"/>
        <v>7946.3700000000026</v>
      </c>
      <c r="F347" s="16">
        <f t="shared" si="118"/>
        <v>8326.1699999999983</v>
      </c>
      <c r="G347" s="16">
        <f t="shared" si="118"/>
        <v>8020.9499999999935</v>
      </c>
      <c r="H347" s="16">
        <f t="shared" si="118"/>
        <v>8122.7999999999956</v>
      </c>
      <c r="I347" s="16">
        <f t="shared" si="118"/>
        <v>7642.7999999999956</v>
      </c>
      <c r="J347" s="16">
        <f t="shared" si="118"/>
        <v>7957.8900000000031</v>
      </c>
      <c r="K347" s="16">
        <f t="shared" si="118"/>
        <v>8000.7900000000009</v>
      </c>
      <c r="L347" s="16">
        <f t="shared" si="118"/>
        <v>8036.0099999999948</v>
      </c>
      <c r="M347" s="16">
        <f t="shared" si="100"/>
        <v>7948.5566666666646</v>
      </c>
      <c r="N347" s="65"/>
      <c r="O347" s="65"/>
      <c r="P347" s="66"/>
      <c r="Q347" s="65"/>
      <c r="R347" s="67"/>
      <c r="S347" s="58"/>
      <c r="U347" s="67"/>
      <c r="V347" s="33"/>
      <c r="W347" s="29"/>
    </row>
    <row r="348" spans="1:27">
      <c r="A348" s="86">
        <v>42579</v>
      </c>
      <c r="B348" s="120" t="s">
        <v>348</v>
      </c>
      <c r="C348" s="57" t="s">
        <v>79</v>
      </c>
      <c r="D348" s="58">
        <v>29169.46</v>
      </c>
      <c r="E348" s="58">
        <v>29021.22</v>
      </c>
      <c r="F348" s="58">
        <v>29078.89</v>
      </c>
      <c r="G348" s="58">
        <v>29047.91</v>
      </c>
      <c r="H348" s="58">
        <v>29235.67</v>
      </c>
      <c r="I348" s="58">
        <v>29179.06</v>
      </c>
      <c r="J348" s="58">
        <v>29024.68</v>
      </c>
      <c r="K348" s="58">
        <v>29035.33</v>
      </c>
      <c r="L348" s="58">
        <v>29232.98</v>
      </c>
      <c r="M348" s="16">
        <f t="shared" si="100"/>
        <v>29113.911111111116</v>
      </c>
      <c r="N348" s="59">
        <f>IF((L349=""),"",MAX(D350:L350))</f>
        <v>748.04999999999563</v>
      </c>
      <c r="O348" s="59">
        <f>IF(L349="","",MIN(D350:L350))</f>
        <v>449.33999999999651</v>
      </c>
      <c r="P348" s="60">
        <f>IF((L350=""),"",AVERAGE(D350:L350))</f>
        <v>644.4900000000016</v>
      </c>
      <c r="Q348" s="156">
        <f>IF((L349=""),"",((N348-O348)/(N348+O348)*100))</f>
        <v>24.946759201262839</v>
      </c>
      <c r="R348" s="61" t="str">
        <f>IF(L349="","",IF(Q348&lt;Z348,IF(O348&gt;V348,IF(N348&lt;W348,"PASS","FAIL"),"FAIL"),"FAIL"))</f>
        <v>FAIL</v>
      </c>
      <c r="S348" s="62">
        <v>1400</v>
      </c>
      <c r="U348" s="61" t="s">
        <v>153</v>
      </c>
      <c r="V348" s="110">
        <v>9000</v>
      </c>
      <c r="W348" s="110">
        <v>25000</v>
      </c>
      <c r="X348" s="111">
        <v>8090</v>
      </c>
      <c r="Y348" s="111">
        <v>12070</v>
      </c>
      <c r="Z348" s="112">
        <v>15</v>
      </c>
      <c r="AA348" s="112">
        <v>6</v>
      </c>
    </row>
    <row r="349" spans="1:27" ht="15.75">
      <c r="A349"/>
      <c r="B349" s="121"/>
      <c r="C349" s="57" t="s">
        <v>80</v>
      </c>
      <c r="D349" s="16">
        <v>28938.71</v>
      </c>
      <c r="E349" s="16">
        <v>28774.39</v>
      </c>
      <c r="F349" s="16">
        <v>28829.54</v>
      </c>
      <c r="G349" s="16">
        <v>28849.040000000001</v>
      </c>
      <c r="H349" s="16">
        <v>29085.89</v>
      </c>
      <c r="I349" s="16">
        <v>28954.48</v>
      </c>
      <c r="J349" s="16">
        <v>28794.01</v>
      </c>
      <c r="K349" s="16">
        <v>28827.8</v>
      </c>
      <c r="L349" s="16">
        <v>29037.87</v>
      </c>
      <c r="M349" s="16">
        <f t="shared" si="100"/>
        <v>28899.081111111111</v>
      </c>
      <c r="N349" s="53"/>
      <c r="O349" s="53"/>
      <c r="P349" s="63"/>
      <c r="Q349" s="53"/>
      <c r="R349" s="64"/>
      <c r="S349" s="54"/>
      <c r="T349" s="64"/>
      <c r="U349" s="64"/>
      <c r="V349" s="32"/>
      <c r="W349" s="29"/>
    </row>
    <row r="350" spans="1:27" ht="28.5" customHeight="1">
      <c r="A350"/>
      <c r="B350" s="121"/>
      <c r="C350" s="57" t="s">
        <v>82</v>
      </c>
      <c r="D350" s="16">
        <f t="shared" ref="D350:L350" si="119">IF(((D348="")*AND(D349="")),"",(D348-D349)*3)</f>
        <v>692.25</v>
      </c>
      <c r="E350" s="16">
        <f t="shared" si="119"/>
        <v>740.49000000000524</v>
      </c>
      <c r="F350" s="16">
        <f t="shared" si="119"/>
        <v>748.04999999999563</v>
      </c>
      <c r="G350" s="16">
        <f t="shared" si="119"/>
        <v>596.60999999999694</v>
      </c>
      <c r="H350" s="16">
        <f t="shared" si="119"/>
        <v>449.33999999999651</v>
      </c>
      <c r="I350" s="16">
        <f t="shared" si="119"/>
        <v>673.74000000000524</v>
      </c>
      <c r="J350" s="16">
        <f t="shared" si="119"/>
        <v>692.01000000000568</v>
      </c>
      <c r="K350" s="16">
        <f t="shared" si="119"/>
        <v>622.59000000000742</v>
      </c>
      <c r="L350" s="16">
        <f t="shared" si="119"/>
        <v>585.33000000000175</v>
      </c>
      <c r="M350" s="16">
        <f t="shared" si="100"/>
        <v>644.4900000000016</v>
      </c>
      <c r="N350" s="65"/>
      <c r="O350" s="65"/>
      <c r="P350" s="66"/>
      <c r="Q350" s="65"/>
      <c r="R350" s="67"/>
      <c r="S350" s="58"/>
      <c r="T350" s="67"/>
      <c r="U350" s="67"/>
      <c r="V350" s="33"/>
      <c r="W350" s="29"/>
    </row>
    <row r="351" spans="1:27">
      <c r="A351" s="86">
        <v>42585</v>
      </c>
      <c r="B351" s="120" t="s">
        <v>348</v>
      </c>
      <c r="C351" s="57" t="s">
        <v>79</v>
      </c>
      <c r="D351" s="58">
        <v>29327.26</v>
      </c>
      <c r="E351" s="58">
        <v>29188.720000000001</v>
      </c>
      <c r="F351" s="58">
        <v>29252.560000000001</v>
      </c>
      <c r="G351" s="58">
        <v>29172.73</v>
      </c>
      <c r="H351" s="58">
        <v>29354.02</v>
      </c>
      <c r="I351" s="58">
        <v>29294</v>
      </c>
      <c r="J351" s="58">
        <v>29169.32</v>
      </c>
      <c r="K351" s="58">
        <v>29193.81</v>
      </c>
      <c r="L351" s="58">
        <v>29446.63</v>
      </c>
      <c r="M351" s="16">
        <f t="shared" ref="M351:M352" si="120">SUM(D351:L351)/9</f>
        <v>29266.56111111111</v>
      </c>
      <c r="N351" s="59">
        <f>IF((L352=""),"",MAX(D353:L353))</f>
        <v>10233.300000000007</v>
      </c>
      <c r="O351" s="59">
        <f>IF(L352="","",MIN(D353:L353))</f>
        <v>9573.9300000000039</v>
      </c>
      <c r="P351" s="60">
        <f>IF((L353=""),"",AVERAGE(D353:L353))</f>
        <v>9952.2100000000009</v>
      </c>
      <c r="Q351" s="156">
        <f>IF((L352=""),"",((N351-O351)/(N351+O351)*100))</f>
        <v>3.3289359491458539</v>
      </c>
      <c r="R351" s="61" t="str">
        <f>IF(L352="","",IF(Q351&lt;Z351,IF(O351&gt;V351,IF(N351&lt;W351,"PASS","FAIL"),"FAIL"),"FAIL"))</f>
        <v>PASS</v>
      </c>
      <c r="S351" s="62"/>
      <c r="V351" s="110">
        <v>9000</v>
      </c>
      <c r="W351" s="110">
        <v>25000</v>
      </c>
      <c r="X351" s="111">
        <v>8090</v>
      </c>
      <c r="Y351" s="111">
        <v>12070</v>
      </c>
      <c r="Z351" s="112">
        <v>15</v>
      </c>
      <c r="AA351" s="112">
        <v>6</v>
      </c>
    </row>
    <row r="352" spans="1:27" ht="15.75">
      <c r="A352" s="99"/>
      <c r="B352" s="121"/>
      <c r="C352" s="57" t="s">
        <v>80</v>
      </c>
      <c r="D352" s="16">
        <v>26079.3</v>
      </c>
      <c r="E352" s="16">
        <v>25839.63</v>
      </c>
      <c r="F352" s="16">
        <v>25904.67</v>
      </c>
      <c r="G352" s="16">
        <v>25865.45</v>
      </c>
      <c r="H352" s="16">
        <v>26061.01</v>
      </c>
      <c r="I352" s="16">
        <v>26102.69</v>
      </c>
      <c r="J352" s="16">
        <v>25863.61</v>
      </c>
      <c r="K352" s="16">
        <v>25790.53</v>
      </c>
      <c r="L352" s="16">
        <v>26035.53</v>
      </c>
      <c r="M352" s="16">
        <f t="shared" si="120"/>
        <v>25949.157777777775</v>
      </c>
      <c r="N352" s="53"/>
      <c r="O352" s="53"/>
      <c r="P352" s="63"/>
      <c r="Q352" s="53"/>
      <c r="R352" s="64"/>
      <c r="S352" s="54"/>
      <c r="V352" s="32"/>
      <c r="W352" s="29"/>
    </row>
    <row r="353" spans="1:27" ht="21" customHeight="1">
      <c r="A353" s="100"/>
      <c r="B353" s="121"/>
      <c r="C353" s="57" t="s">
        <v>82</v>
      </c>
      <c r="D353" s="16">
        <f t="shared" ref="D353:L353" si="121">IF(((D351="")*AND(D352="")),"",(D351-D352)*3)</f>
        <v>9743.8799999999974</v>
      </c>
      <c r="E353" s="16">
        <f t="shared" si="121"/>
        <v>10047.27</v>
      </c>
      <c r="F353" s="16">
        <f t="shared" si="121"/>
        <v>10043.670000000009</v>
      </c>
      <c r="G353" s="16">
        <f t="shared" si="121"/>
        <v>9921.8399999999965</v>
      </c>
      <c r="H353" s="16">
        <f t="shared" si="121"/>
        <v>9879.0300000000061</v>
      </c>
      <c r="I353" s="16">
        <f t="shared" si="121"/>
        <v>9573.9300000000039</v>
      </c>
      <c r="J353" s="16">
        <f t="shared" si="121"/>
        <v>9917.1299999999974</v>
      </c>
      <c r="K353" s="16">
        <f t="shared" si="121"/>
        <v>10209.840000000007</v>
      </c>
      <c r="L353" s="16">
        <f t="shared" si="121"/>
        <v>10233.300000000007</v>
      </c>
      <c r="M353" s="16">
        <f t="shared" ref="M353" si="122">SUM(D353:L353)/9</f>
        <v>9952.2100000000009</v>
      </c>
      <c r="N353" s="65"/>
      <c r="O353" s="65"/>
      <c r="P353" s="66"/>
      <c r="Q353" s="65"/>
      <c r="R353" s="67"/>
      <c r="S353" s="58"/>
      <c r="V353" s="33"/>
      <c r="W353" s="29"/>
    </row>
    <row r="354" spans="1:27">
      <c r="A354" s="86">
        <v>42599</v>
      </c>
      <c r="B354" s="120" t="s">
        <v>348</v>
      </c>
      <c r="C354" s="57" t="s">
        <v>79</v>
      </c>
      <c r="D354" s="58">
        <v>29359.94</v>
      </c>
      <c r="E354" s="58">
        <v>29187.200000000001</v>
      </c>
      <c r="F354" s="58">
        <v>29158.05</v>
      </c>
      <c r="G354" s="58">
        <v>29171.53</v>
      </c>
      <c r="H354" s="58">
        <v>29390.21</v>
      </c>
      <c r="I354" s="58">
        <v>29320.05</v>
      </c>
      <c r="J354" s="58">
        <v>29167.89</v>
      </c>
      <c r="K354" s="58">
        <v>29164.880000000001</v>
      </c>
      <c r="L354" s="58">
        <v>29393.96</v>
      </c>
      <c r="M354" s="16">
        <f t="shared" si="100"/>
        <v>29257.078888888893</v>
      </c>
      <c r="N354" s="59">
        <f>IF((L355=""),"",MAX(D356:L356))</f>
        <v>10348.260000000006</v>
      </c>
      <c r="O354" s="59">
        <f>IF(L355="","",MIN(D356:L356))</f>
        <v>9748.7999999999956</v>
      </c>
      <c r="P354" s="60">
        <f>IF((L356=""),"",AVERAGE(D356:L356))</f>
        <v>10121.953333333331</v>
      </c>
      <c r="Q354" s="156">
        <f>IF((L355=""),"",((N354-O354)/(N354+O354)*100))</f>
        <v>2.9828243534129371</v>
      </c>
      <c r="R354" s="61" t="str">
        <f>IF(L355="","",IF(Q354&lt;Z354,IF(O354&gt;V354,IF(N354&lt;W354,"PASS","FAIL"),"FAIL"),"FAIL"))</f>
        <v>PASS</v>
      </c>
      <c r="S354" s="62">
        <v>1400</v>
      </c>
      <c r="T354" s="61" t="s">
        <v>154</v>
      </c>
      <c r="U354" s="61"/>
      <c r="V354" s="110">
        <v>9000</v>
      </c>
      <c r="W354" s="110">
        <v>25000</v>
      </c>
      <c r="X354" s="111">
        <v>8090</v>
      </c>
      <c r="Y354" s="111">
        <v>12070</v>
      </c>
      <c r="Z354" s="112">
        <v>15</v>
      </c>
      <c r="AA354" s="112">
        <v>6</v>
      </c>
    </row>
    <row r="355" spans="1:27" ht="15.75">
      <c r="A355"/>
      <c r="B355" s="121"/>
      <c r="C355" s="57" t="s">
        <v>80</v>
      </c>
      <c r="D355" s="16">
        <v>26110.34</v>
      </c>
      <c r="E355" s="16">
        <v>25787.38</v>
      </c>
      <c r="F355" s="16">
        <v>25745.439999999999</v>
      </c>
      <c r="G355" s="16">
        <v>25754.720000000001</v>
      </c>
      <c r="H355" s="16">
        <v>25985.8</v>
      </c>
      <c r="I355" s="16">
        <v>26063.66</v>
      </c>
      <c r="J355" s="16">
        <v>25809.919999999998</v>
      </c>
      <c r="K355" s="16">
        <v>25715.46</v>
      </c>
      <c r="L355" s="16">
        <v>25975.13</v>
      </c>
      <c r="M355" s="16">
        <f t="shared" si="100"/>
        <v>25883.094444444447</v>
      </c>
      <c r="N355" s="53"/>
      <c r="O355" s="53"/>
      <c r="P355" s="63"/>
      <c r="Q355" s="53"/>
      <c r="R355" s="64"/>
      <c r="S355" s="54"/>
      <c r="T355" s="64"/>
      <c r="U355" s="64"/>
      <c r="V355" s="32"/>
      <c r="W355" s="29"/>
    </row>
    <row r="356" spans="1:27" ht="28.5" customHeight="1">
      <c r="A356"/>
      <c r="B356" s="121"/>
      <c r="C356" s="57" t="s">
        <v>82</v>
      </c>
      <c r="D356" s="16">
        <f t="shared" ref="D356:L356" si="123">IF(((D354="")*AND(D355="")),"",(D354-D355)*3)</f>
        <v>9748.7999999999956</v>
      </c>
      <c r="E356" s="16">
        <f t="shared" si="123"/>
        <v>10199.459999999999</v>
      </c>
      <c r="F356" s="16">
        <f t="shared" si="123"/>
        <v>10237.830000000002</v>
      </c>
      <c r="G356" s="16">
        <f t="shared" si="123"/>
        <v>10250.429999999993</v>
      </c>
      <c r="H356" s="16">
        <f t="shared" si="123"/>
        <v>10213.23</v>
      </c>
      <c r="I356" s="16">
        <f t="shared" si="123"/>
        <v>9769.1699999999983</v>
      </c>
      <c r="J356" s="16">
        <f t="shared" si="123"/>
        <v>10073.910000000003</v>
      </c>
      <c r="K356" s="16">
        <f t="shared" si="123"/>
        <v>10348.260000000006</v>
      </c>
      <c r="L356" s="16">
        <f t="shared" si="123"/>
        <v>10256.489999999994</v>
      </c>
      <c r="M356" s="16">
        <f t="shared" si="100"/>
        <v>10121.953333333331</v>
      </c>
      <c r="N356" s="65"/>
      <c r="O356" s="65"/>
      <c r="P356" s="66"/>
      <c r="Q356" s="65"/>
      <c r="R356" s="67"/>
      <c r="S356" s="58"/>
      <c r="T356" s="67"/>
      <c r="U356" s="67"/>
      <c r="V356" s="33"/>
      <c r="W356" s="29"/>
    </row>
    <row r="357" spans="1:27">
      <c r="A357" s="86">
        <v>42628</v>
      </c>
      <c r="B357" s="120" t="s">
        <v>348</v>
      </c>
      <c r="C357" s="57" t="s">
        <v>79</v>
      </c>
      <c r="D357" s="58">
        <v>29290.080000000002</v>
      </c>
      <c r="E357" s="58">
        <v>29112.42</v>
      </c>
      <c r="F357" s="58">
        <v>29106.94</v>
      </c>
      <c r="G357" s="58">
        <v>29081.1</v>
      </c>
      <c r="H357" s="58">
        <v>29306.7</v>
      </c>
      <c r="I357" s="58">
        <v>29272.25</v>
      </c>
      <c r="J357" s="58">
        <v>29096.19</v>
      </c>
      <c r="K357" s="58">
        <v>29074.37</v>
      </c>
      <c r="L357" s="58">
        <v>29292.16</v>
      </c>
      <c r="M357" s="16">
        <f t="shared" si="100"/>
        <v>29181.35666666667</v>
      </c>
      <c r="N357" s="59">
        <f>IF((L358=""),"",MAX(D359:L359))</f>
        <v>11542.859999999997</v>
      </c>
      <c r="O357" s="59">
        <f>IF(L358="","",MIN(D359:L359))</f>
        <v>10797.990000000005</v>
      </c>
      <c r="P357" s="60">
        <f>IF((L359=""),"",AVERAGE(D359:L359))</f>
        <v>11229.036666666665</v>
      </c>
      <c r="Q357" s="156">
        <f>IF((L358=""),"",((N357-O357)/(N357+O357)*100))</f>
        <v>3.3341166517835785</v>
      </c>
      <c r="R357" s="61" t="str">
        <f>IF(L358="","",IF(Q357&lt;Z357,IF(O357&gt;V357,IF(N357&lt;W357,"PASS","FAIL"),"FAIL"),"FAIL"))</f>
        <v>PASS</v>
      </c>
      <c r="S357" s="62">
        <v>1428</v>
      </c>
      <c r="T357" s="61" t="s">
        <v>155</v>
      </c>
      <c r="U357" s="61"/>
      <c r="V357" s="110">
        <v>9000</v>
      </c>
      <c r="W357" s="110">
        <v>25000</v>
      </c>
      <c r="X357" s="111">
        <v>8090</v>
      </c>
      <c r="Y357" s="111">
        <v>12070</v>
      </c>
      <c r="Z357" s="112">
        <v>15</v>
      </c>
      <c r="AA357" s="112">
        <v>6</v>
      </c>
    </row>
    <row r="358" spans="1:27" ht="15.75">
      <c r="A358"/>
      <c r="B358" s="121"/>
      <c r="C358" s="57" t="s">
        <v>80</v>
      </c>
      <c r="D358" s="16">
        <v>25656.89</v>
      </c>
      <c r="E358" s="16">
        <v>25302.67</v>
      </c>
      <c r="F358" s="16">
        <v>25290.9</v>
      </c>
      <c r="G358" s="16">
        <v>25309.8</v>
      </c>
      <c r="H358" s="16">
        <v>25598.560000000001</v>
      </c>
      <c r="I358" s="16">
        <v>25672.92</v>
      </c>
      <c r="J358" s="16">
        <v>25366.91</v>
      </c>
      <c r="K358" s="16">
        <v>25226.75</v>
      </c>
      <c r="L358" s="16">
        <v>25519.7</v>
      </c>
      <c r="M358" s="16">
        <f t="shared" si="100"/>
        <v>25438.344444444447</v>
      </c>
      <c r="N358" s="53"/>
      <c r="O358" s="53"/>
      <c r="P358" s="63"/>
      <c r="Q358" s="53"/>
      <c r="R358" s="64"/>
      <c r="S358" s="54"/>
      <c r="T358" s="64"/>
      <c r="U358" s="64"/>
      <c r="V358" s="32"/>
      <c r="W358" s="29"/>
    </row>
    <row r="359" spans="1:27" ht="28.5" customHeight="1">
      <c r="A359"/>
      <c r="B359" s="121"/>
      <c r="C359" s="57" t="s">
        <v>82</v>
      </c>
      <c r="D359" s="16">
        <f t="shared" ref="D359:L359" si="124">IF(((D357="")*AND(D358="")),"",(D357-D358)*3)</f>
        <v>10899.570000000007</v>
      </c>
      <c r="E359" s="16">
        <f t="shared" si="124"/>
        <v>11429.25</v>
      </c>
      <c r="F359" s="16">
        <f t="shared" si="124"/>
        <v>11448.119999999992</v>
      </c>
      <c r="G359" s="16">
        <f t="shared" si="124"/>
        <v>11313.899999999998</v>
      </c>
      <c r="H359" s="16">
        <f t="shared" si="124"/>
        <v>11124.419999999998</v>
      </c>
      <c r="I359" s="16">
        <f t="shared" si="124"/>
        <v>10797.990000000005</v>
      </c>
      <c r="J359" s="16">
        <f t="shared" si="124"/>
        <v>11187.839999999997</v>
      </c>
      <c r="K359" s="16">
        <f t="shared" si="124"/>
        <v>11542.859999999997</v>
      </c>
      <c r="L359" s="16">
        <f t="shared" si="124"/>
        <v>11317.379999999997</v>
      </c>
      <c r="M359" s="16">
        <f t="shared" ref="M359:M422" si="125">SUM(D359:L359)/9</f>
        <v>11229.036666666665</v>
      </c>
      <c r="N359" s="65"/>
      <c r="O359" s="65"/>
      <c r="P359" s="66"/>
      <c r="Q359" s="65"/>
      <c r="R359" s="67"/>
      <c r="S359" s="58"/>
      <c r="T359" s="67"/>
      <c r="U359" s="67"/>
      <c r="V359" s="33"/>
      <c r="W359" s="29"/>
    </row>
    <row r="360" spans="1:27">
      <c r="A360" s="86">
        <v>42717</v>
      </c>
      <c r="B360" s="120" t="s">
        <v>348</v>
      </c>
      <c r="C360" s="57" t="s">
        <v>79</v>
      </c>
      <c r="D360" s="58">
        <v>29323.11</v>
      </c>
      <c r="E360" s="58">
        <v>29206.16</v>
      </c>
      <c r="F360" s="58">
        <v>29136.49</v>
      </c>
      <c r="G360" s="58">
        <v>29209.93</v>
      </c>
      <c r="H360" s="58">
        <v>29431.22</v>
      </c>
      <c r="I360" s="58">
        <v>29334.82</v>
      </c>
      <c r="J360" s="58">
        <v>29158.84</v>
      </c>
      <c r="K360" s="58">
        <v>29167.96</v>
      </c>
      <c r="L360" s="58">
        <v>29400.95</v>
      </c>
      <c r="M360" s="16">
        <f t="shared" si="125"/>
        <v>29263.275555555552</v>
      </c>
      <c r="N360" s="59">
        <f>IF((L361=""),"",MAX(D362:L362))</f>
        <v>12120.779999999995</v>
      </c>
      <c r="O360" s="59">
        <f>IF(L361="","",MIN(D362:L362))</f>
        <v>10859.52</v>
      </c>
      <c r="P360" s="60">
        <f>IF((L362=""),"",AVERAGE(D362:L362))</f>
        <v>11646.533333333335</v>
      </c>
      <c r="Q360" s="156">
        <f>IF((L361=""),"",((N360-O360)/(N360+O360)*100))</f>
        <v>5.4884400986932071</v>
      </c>
      <c r="R360" s="61" t="str">
        <f>IF(L361="","",IF(Q360&lt;Z360,IF(O360&gt;V360,IF(N360&lt;W360,"PASS","FAIL"),"FAIL"),"FAIL"))</f>
        <v>PASS</v>
      </c>
      <c r="S360" s="62">
        <v>1159</v>
      </c>
      <c r="T360" s="61" t="s">
        <v>156</v>
      </c>
      <c r="U360" s="61"/>
      <c r="V360" s="110">
        <v>9000</v>
      </c>
      <c r="W360" s="110">
        <v>25000</v>
      </c>
      <c r="X360" s="111">
        <v>8090</v>
      </c>
      <c r="Y360" s="111">
        <v>12070</v>
      </c>
      <c r="Z360" s="112">
        <v>15</v>
      </c>
      <c r="AA360" s="112">
        <v>6</v>
      </c>
    </row>
    <row r="361" spans="1:27" ht="15.75">
      <c r="A361"/>
      <c r="B361" s="121"/>
      <c r="C361" s="57" t="s">
        <v>80</v>
      </c>
      <c r="D361" s="16">
        <v>25629.88</v>
      </c>
      <c r="E361" s="16">
        <v>25226.5</v>
      </c>
      <c r="F361" s="16">
        <v>25206.06</v>
      </c>
      <c r="G361" s="16">
        <v>25249.39</v>
      </c>
      <c r="H361" s="16">
        <v>25549.64</v>
      </c>
      <c r="I361" s="16">
        <v>25714.98</v>
      </c>
      <c r="J361" s="16">
        <v>25295.26</v>
      </c>
      <c r="K361" s="16">
        <v>25127.7</v>
      </c>
      <c r="L361" s="16">
        <v>25430.47</v>
      </c>
      <c r="M361" s="16">
        <f t="shared" si="125"/>
        <v>25381.097777777781</v>
      </c>
      <c r="N361" s="53"/>
      <c r="O361" s="53"/>
      <c r="P361" s="63"/>
      <c r="Q361" s="53"/>
      <c r="R361" s="64"/>
      <c r="S361" s="54"/>
      <c r="T361" s="64"/>
      <c r="U361" s="64"/>
      <c r="V361" s="32"/>
      <c r="W361" s="29"/>
    </row>
    <row r="362" spans="1:27" ht="28.5" customHeight="1">
      <c r="A362"/>
      <c r="B362" s="121"/>
      <c r="C362" s="57" t="s">
        <v>82</v>
      </c>
      <c r="D362" s="16">
        <f t="shared" ref="D362:L362" si="126">IF(((D360="")*AND(D361="")),"",(D360-D361)*3)</f>
        <v>11079.689999999999</v>
      </c>
      <c r="E362" s="16">
        <f t="shared" si="126"/>
        <v>11938.98</v>
      </c>
      <c r="F362" s="16">
        <f t="shared" si="126"/>
        <v>11791.29</v>
      </c>
      <c r="G362" s="16">
        <f t="shared" si="126"/>
        <v>11881.620000000003</v>
      </c>
      <c r="H362" s="16">
        <f t="shared" si="126"/>
        <v>11644.740000000005</v>
      </c>
      <c r="I362" s="16">
        <f t="shared" si="126"/>
        <v>10859.52</v>
      </c>
      <c r="J362" s="16">
        <f t="shared" si="126"/>
        <v>11590.740000000005</v>
      </c>
      <c r="K362" s="16">
        <f t="shared" si="126"/>
        <v>12120.779999999995</v>
      </c>
      <c r="L362" s="16">
        <f t="shared" si="126"/>
        <v>11911.439999999999</v>
      </c>
      <c r="M362" s="16">
        <f t="shared" si="125"/>
        <v>11646.533333333335</v>
      </c>
      <c r="N362" s="65"/>
      <c r="O362" s="65"/>
      <c r="P362" s="66"/>
      <c r="Q362" s="65"/>
      <c r="R362" s="67"/>
      <c r="S362" s="58"/>
      <c r="T362" s="67"/>
      <c r="U362" s="67"/>
      <c r="V362" s="33"/>
      <c r="W362" s="29"/>
    </row>
    <row r="363" spans="1:27">
      <c r="A363" s="86">
        <v>42724</v>
      </c>
      <c r="B363" s="120" t="s">
        <v>348</v>
      </c>
      <c r="C363" s="57" t="s">
        <v>79</v>
      </c>
      <c r="D363" s="58">
        <v>29268.57</v>
      </c>
      <c r="E363" s="58">
        <v>29107.73</v>
      </c>
      <c r="F363" s="58">
        <v>29103.38</v>
      </c>
      <c r="G363" s="58">
        <v>29105.360000000001</v>
      </c>
      <c r="H363" s="58">
        <v>29313.64</v>
      </c>
      <c r="I363" s="58">
        <v>29305.15</v>
      </c>
      <c r="J363" s="58">
        <v>29096.15</v>
      </c>
      <c r="K363" s="58">
        <v>29089.23</v>
      </c>
      <c r="L363" s="58">
        <v>29344.53</v>
      </c>
      <c r="M363" s="16">
        <f t="shared" si="125"/>
        <v>29192.637777777778</v>
      </c>
      <c r="N363" s="59">
        <f>IF((L364=""),"",MAX(D365:L365))</f>
        <v>9739.6499999999978</v>
      </c>
      <c r="O363" s="59">
        <f>IF(L364="","",MIN(D365:L365))</f>
        <v>9241.5600000000013</v>
      </c>
      <c r="P363" s="60">
        <f>IF((L365=""),"",AVERAGE(D365:L365))</f>
        <v>9543.4533333333347</v>
      </c>
      <c r="Q363" s="156">
        <f>IF((L364=""),"",((N363-O363)/(N363+O363)*100))</f>
        <v>2.6241214337758052</v>
      </c>
      <c r="R363" s="61" t="str">
        <f>IF(L364="","",IF(Q363&lt;Z363,IF(O363&gt;V363,IF(N363&lt;W363,"PASS","FAIL"),"FAIL"),"FAIL"))</f>
        <v>PASS</v>
      </c>
      <c r="S363" s="62">
        <v>1159</v>
      </c>
      <c r="T363" s="61" t="s">
        <v>157</v>
      </c>
      <c r="U363" s="61"/>
      <c r="V363" s="110">
        <v>9000</v>
      </c>
      <c r="W363" s="110">
        <v>25000</v>
      </c>
      <c r="X363" s="111">
        <v>8090</v>
      </c>
      <c r="Y363" s="111">
        <v>12070</v>
      </c>
      <c r="Z363" s="112">
        <v>15</v>
      </c>
      <c r="AA363" s="112">
        <v>6</v>
      </c>
    </row>
    <row r="364" spans="1:27" ht="15.75">
      <c r="A364"/>
      <c r="B364" s="121"/>
      <c r="C364" s="57" t="s">
        <v>80</v>
      </c>
      <c r="D364" s="16">
        <v>26188.05</v>
      </c>
      <c r="E364" s="16">
        <v>25899.22</v>
      </c>
      <c r="F364" s="16">
        <v>25936.65</v>
      </c>
      <c r="G364" s="16">
        <v>25910</v>
      </c>
      <c r="H364" s="16">
        <v>26105.55</v>
      </c>
      <c r="I364" s="16">
        <v>26172.6</v>
      </c>
      <c r="J364" s="16">
        <v>25939.71</v>
      </c>
      <c r="K364" s="16">
        <v>25853.62</v>
      </c>
      <c r="L364" s="16">
        <v>26097.98</v>
      </c>
      <c r="M364" s="16">
        <f t="shared" si="125"/>
        <v>26011.486666666668</v>
      </c>
      <c r="N364" s="53"/>
      <c r="O364" s="53"/>
      <c r="P364" s="63"/>
      <c r="Q364" s="53"/>
      <c r="R364" s="64"/>
      <c r="S364" s="54"/>
      <c r="T364" s="64"/>
      <c r="U364" s="64"/>
      <c r="V364" s="32"/>
      <c r="W364" s="29"/>
    </row>
    <row r="365" spans="1:27" ht="28.5" customHeight="1">
      <c r="A365"/>
      <c r="B365" s="121"/>
      <c r="C365" s="57" t="s">
        <v>82</v>
      </c>
      <c r="D365" s="16">
        <f t="shared" ref="D365:L365" si="127">IF(((D363="")*AND(D364="")),"",(D363-D364)*3)</f>
        <v>9241.5600000000013</v>
      </c>
      <c r="E365" s="16">
        <f t="shared" si="127"/>
        <v>9625.5299999999952</v>
      </c>
      <c r="F365" s="16">
        <f t="shared" si="127"/>
        <v>9500.1899999999987</v>
      </c>
      <c r="G365" s="16">
        <f t="shared" si="127"/>
        <v>9586.0800000000017</v>
      </c>
      <c r="H365" s="16">
        <f t="shared" si="127"/>
        <v>9624.27</v>
      </c>
      <c r="I365" s="16">
        <f t="shared" si="127"/>
        <v>9397.6500000000087</v>
      </c>
      <c r="J365" s="16">
        <f t="shared" si="127"/>
        <v>9469.320000000007</v>
      </c>
      <c r="K365" s="16">
        <f t="shared" si="127"/>
        <v>9706.8300000000017</v>
      </c>
      <c r="L365" s="16">
        <f t="shared" si="127"/>
        <v>9739.6499999999978</v>
      </c>
      <c r="M365" s="16">
        <f t="shared" si="125"/>
        <v>9543.4533333333347</v>
      </c>
      <c r="N365" s="65"/>
      <c r="O365" s="65"/>
      <c r="P365" s="66"/>
      <c r="Q365" s="65"/>
      <c r="R365" s="67"/>
      <c r="S365" s="58"/>
      <c r="T365" s="67"/>
      <c r="U365" s="67"/>
      <c r="V365" s="33"/>
      <c r="W365" s="29"/>
    </row>
    <row r="366" spans="1:27">
      <c r="A366" s="86">
        <v>42759</v>
      </c>
      <c r="B366" s="120" t="s">
        <v>348</v>
      </c>
      <c r="C366" s="57" t="s">
        <v>79</v>
      </c>
      <c r="D366" s="58">
        <v>29257.9</v>
      </c>
      <c r="E366" s="58">
        <v>29076.33</v>
      </c>
      <c r="F366" s="58">
        <v>29080.74</v>
      </c>
      <c r="G366" s="58">
        <v>29040.400000000001</v>
      </c>
      <c r="H366" s="58">
        <v>29226.880000000001</v>
      </c>
      <c r="I366" s="58">
        <v>29227.360000000001</v>
      </c>
      <c r="J366" s="58">
        <v>29048.47</v>
      </c>
      <c r="K366" s="58">
        <v>29033.62</v>
      </c>
      <c r="L366" s="58">
        <v>29231.13</v>
      </c>
      <c r="M366" s="16">
        <f t="shared" si="125"/>
        <v>29135.869999999995</v>
      </c>
      <c r="N366" s="59">
        <f>IF((L367=""),"",MAX(D368:L368))</f>
        <v>10110.330000000002</v>
      </c>
      <c r="O366" s="59">
        <f>IF(L367="","",MIN(D368:L368))</f>
        <v>9513.6299999999974</v>
      </c>
      <c r="P366" s="60">
        <f>IF((L368=""),"",AVERAGE(D368:L368))</f>
        <v>9834.3766666666706</v>
      </c>
      <c r="Q366" s="156">
        <f>IF((L367=""),"",((N366-O366)/(N366+O366)*100))</f>
        <v>3.0406706903194074</v>
      </c>
      <c r="R366" s="61" t="str">
        <f>IF(L367="","",IF(Q366&lt;Z366,IF(O366&gt;V366,IF(N366&lt;W366,"PASS","FAIL"),"FAIL"),"FAIL"))</f>
        <v>PASS</v>
      </c>
      <c r="S366" s="62">
        <v>1159</v>
      </c>
      <c r="T366" s="61" t="s">
        <v>247</v>
      </c>
      <c r="U366" s="61" t="s">
        <v>190</v>
      </c>
      <c r="V366" s="110">
        <v>9000</v>
      </c>
      <c r="W366" s="110">
        <v>25000</v>
      </c>
      <c r="X366" s="111">
        <v>8090</v>
      </c>
      <c r="Y366" s="111">
        <v>12070</v>
      </c>
      <c r="Z366" s="112">
        <v>15</v>
      </c>
      <c r="AA366" s="112">
        <v>6</v>
      </c>
    </row>
    <row r="367" spans="1:27" ht="15.75">
      <c r="A367"/>
      <c r="B367" s="121"/>
      <c r="C367" s="57" t="s">
        <v>80</v>
      </c>
      <c r="D367" s="16">
        <v>26068.37</v>
      </c>
      <c r="E367" s="16">
        <v>25706.22</v>
      </c>
      <c r="F367" s="16">
        <v>25809.05</v>
      </c>
      <c r="G367" s="16">
        <v>25765.26</v>
      </c>
      <c r="H367" s="16">
        <v>25935.7</v>
      </c>
      <c r="I367" s="16">
        <v>26056.15</v>
      </c>
      <c r="J367" s="16">
        <v>25780.95</v>
      </c>
      <c r="K367" s="16">
        <v>25676.33</v>
      </c>
      <c r="L367" s="16">
        <v>25921.67</v>
      </c>
      <c r="M367" s="16">
        <f t="shared" si="125"/>
        <v>25857.744444444445</v>
      </c>
      <c r="N367" s="53"/>
      <c r="O367" s="53"/>
      <c r="P367" s="63"/>
      <c r="Q367" s="53"/>
      <c r="R367" s="64"/>
      <c r="S367" s="54"/>
      <c r="T367" s="64"/>
      <c r="U367" s="64"/>
      <c r="V367" s="32"/>
      <c r="W367" s="29"/>
    </row>
    <row r="368" spans="1:27" ht="28.5" customHeight="1">
      <c r="A368"/>
      <c r="B368" s="121"/>
      <c r="C368" s="57" t="s">
        <v>82</v>
      </c>
      <c r="D368" s="16">
        <f t="shared" ref="D368:L368" si="128">IF(((D366="")*AND(D367="")),"",(D366-D367)*3)</f>
        <v>9568.5900000000074</v>
      </c>
      <c r="E368" s="16">
        <f t="shared" si="128"/>
        <v>10110.330000000002</v>
      </c>
      <c r="F368" s="16">
        <f t="shared" si="128"/>
        <v>9815.070000000007</v>
      </c>
      <c r="G368" s="16">
        <f t="shared" si="128"/>
        <v>9825.4200000000092</v>
      </c>
      <c r="H368" s="16">
        <f t="shared" si="128"/>
        <v>9873.5400000000009</v>
      </c>
      <c r="I368" s="16">
        <f t="shared" si="128"/>
        <v>9513.6299999999974</v>
      </c>
      <c r="J368" s="16">
        <f t="shared" si="128"/>
        <v>9802.5600000000013</v>
      </c>
      <c r="K368" s="16">
        <f t="shared" si="128"/>
        <v>10071.869999999992</v>
      </c>
      <c r="L368" s="16">
        <f t="shared" si="128"/>
        <v>9928.3800000000083</v>
      </c>
      <c r="M368" s="16">
        <f t="shared" si="125"/>
        <v>9834.3766666666706</v>
      </c>
      <c r="N368" s="65"/>
      <c r="O368" s="65"/>
      <c r="P368" s="66"/>
      <c r="Q368" s="65"/>
      <c r="R368" s="67"/>
      <c r="S368" s="58"/>
      <c r="T368" s="67"/>
      <c r="U368" s="67"/>
      <c r="V368" s="33"/>
      <c r="W368" s="29"/>
    </row>
    <row r="369" spans="1:27">
      <c r="A369" s="86">
        <v>42764</v>
      </c>
      <c r="B369" s="120" t="s">
        <v>348</v>
      </c>
      <c r="C369" s="57" t="s">
        <v>79</v>
      </c>
      <c r="D369" s="58">
        <v>29135.74</v>
      </c>
      <c r="E369" s="58">
        <v>28963.62</v>
      </c>
      <c r="F369" s="58">
        <v>28972.26</v>
      </c>
      <c r="G369" s="58">
        <v>28977.35</v>
      </c>
      <c r="H369" s="58">
        <v>29199.15</v>
      </c>
      <c r="I369" s="58">
        <v>29142.51</v>
      </c>
      <c r="J369" s="58">
        <v>28954.11</v>
      </c>
      <c r="K369" s="58">
        <v>28950.63</v>
      </c>
      <c r="L369" s="58">
        <v>29183.41</v>
      </c>
      <c r="M369" s="16">
        <f t="shared" si="125"/>
        <v>29053.197777777779</v>
      </c>
      <c r="N369" s="59">
        <f>IF((L370=""),"",MAX(D371:L371))</f>
        <v>10237.02</v>
      </c>
      <c r="O369" s="59">
        <f>IF(L370="","",MIN(D371:L371))</f>
        <v>9646.5899999999965</v>
      </c>
      <c r="P369" s="60">
        <f>IF((L371=""),"",AVERAGE(D371:L371))</f>
        <v>10027.816666666668</v>
      </c>
      <c r="Q369" s="156">
        <f>IF((L370=""),"",((N369-O369)/(N369+O369)*100))</f>
        <v>2.9694306013847789</v>
      </c>
      <c r="R369" s="61" t="str">
        <f>IF(L370="","",IF(Q369&lt;Z369,IF(O369&gt;V369,IF(N369&lt;W369,"PASS","FAIL"),"FAIL"),"FAIL"))</f>
        <v>PASS</v>
      </c>
      <c r="S369" s="62">
        <v>1400</v>
      </c>
      <c r="T369" s="61"/>
      <c r="U369" s="61"/>
      <c r="V369" s="110">
        <v>9000</v>
      </c>
      <c r="W369" s="110">
        <v>25000</v>
      </c>
      <c r="X369" s="111">
        <v>8090</v>
      </c>
      <c r="Y369" s="111">
        <v>12070</v>
      </c>
      <c r="Z369" s="112">
        <v>15</v>
      </c>
      <c r="AA369" s="112">
        <v>6</v>
      </c>
    </row>
    <row r="370" spans="1:27" ht="15.75">
      <c r="A370"/>
      <c r="B370" s="121"/>
      <c r="C370" s="57" t="s">
        <v>80</v>
      </c>
      <c r="D370" s="16">
        <v>25854.84</v>
      </c>
      <c r="E370" s="16">
        <v>25588.67</v>
      </c>
      <c r="F370" s="16">
        <v>25610.18</v>
      </c>
      <c r="G370" s="16">
        <v>25610.54</v>
      </c>
      <c r="H370" s="16">
        <v>25825.65</v>
      </c>
      <c r="I370" s="16">
        <v>25926.98</v>
      </c>
      <c r="J370" s="16">
        <v>25650.61</v>
      </c>
      <c r="K370" s="16">
        <v>25538.29</v>
      </c>
      <c r="L370" s="16">
        <v>25789.57</v>
      </c>
      <c r="M370" s="16">
        <f t="shared" si="125"/>
        <v>25710.592222222229</v>
      </c>
      <c r="N370" s="53"/>
      <c r="O370" s="53"/>
      <c r="P370" s="63"/>
      <c r="Q370" s="53"/>
      <c r="R370" s="64"/>
      <c r="S370" s="54"/>
      <c r="T370" s="64"/>
      <c r="U370" s="64"/>
      <c r="V370" s="32"/>
      <c r="W370" s="29"/>
    </row>
    <row r="371" spans="1:27" ht="28.5" customHeight="1">
      <c r="A371"/>
      <c r="B371" s="121"/>
      <c r="C371" s="57" t="s">
        <v>82</v>
      </c>
      <c r="D371" s="16">
        <f t="shared" ref="D371:L371" si="129">IF(((D369="")*AND(D370="")),"",(D369-D370)*3)</f>
        <v>9842.7000000000044</v>
      </c>
      <c r="E371" s="16">
        <f t="shared" si="129"/>
        <v>10124.850000000002</v>
      </c>
      <c r="F371" s="16">
        <f t="shared" si="129"/>
        <v>10086.239999999994</v>
      </c>
      <c r="G371" s="16">
        <f t="shared" si="129"/>
        <v>10100.429999999993</v>
      </c>
      <c r="H371" s="16">
        <f t="shared" si="129"/>
        <v>10120.5</v>
      </c>
      <c r="I371" s="16">
        <f t="shared" si="129"/>
        <v>9646.5899999999965</v>
      </c>
      <c r="J371" s="16">
        <f t="shared" si="129"/>
        <v>9910.5</v>
      </c>
      <c r="K371" s="16">
        <f t="shared" si="129"/>
        <v>10237.02</v>
      </c>
      <c r="L371" s="16">
        <f t="shared" si="129"/>
        <v>10181.52</v>
      </c>
      <c r="M371" s="16">
        <f t="shared" si="125"/>
        <v>10027.816666666668</v>
      </c>
      <c r="N371" s="65"/>
      <c r="O371" s="65"/>
      <c r="P371" s="66"/>
      <c r="Q371" s="65"/>
      <c r="R371" s="67"/>
      <c r="S371" s="58"/>
      <c r="T371" s="67"/>
      <c r="U371" s="67"/>
      <c r="V371" s="33"/>
      <c r="W371" s="29"/>
    </row>
    <row r="372" spans="1:27">
      <c r="A372" s="86">
        <v>42772</v>
      </c>
      <c r="B372" s="120" t="s">
        <v>348</v>
      </c>
      <c r="C372" s="57" t="s">
        <v>79</v>
      </c>
      <c r="D372" s="58">
        <v>29272.62</v>
      </c>
      <c r="E372" s="58">
        <v>29079.71</v>
      </c>
      <c r="F372" s="58">
        <v>29096.6</v>
      </c>
      <c r="G372" s="58">
        <v>26858.44</v>
      </c>
      <c r="H372" s="58">
        <v>29304.47</v>
      </c>
      <c r="I372" s="58">
        <v>29334.16</v>
      </c>
      <c r="J372" s="58">
        <v>29089.01</v>
      </c>
      <c r="K372" s="58">
        <v>29100.85</v>
      </c>
      <c r="L372" s="58">
        <v>29340.91</v>
      </c>
      <c r="M372" s="16">
        <f t="shared" si="125"/>
        <v>28941.863333333335</v>
      </c>
      <c r="N372" s="59">
        <f>IF((L373=""),"",MAX(D374:L374))</f>
        <v>11879.489999999994</v>
      </c>
      <c r="O372" s="59">
        <f>IF(L373="","",MIN(D374:L374))</f>
        <v>4814.6699999999983</v>
      </c>
      <c r="P372" s="60">
        <f>IF((L374=""),"",AVERAGE(D374:L374))</f>
        <v>10683.946666666665</v>
      </c>
      <c r="Q372" s="156">
        <f>IF((L373=""),"",((N372-O372)/(N372+O372)*100))</f>
        <v>42.319110395491592</v>
      </c>
      <c r="R372" s="61" t="str">
        <f>IF(L373="","",IF(Q372&lt;Z372,IF(O372&gt;V372,IF(N372&lt;W372,"PASS","FAIL"),"FAIL"),"FAIL"))</f>
        <v>FAIL</v>
      </c>
      <c r="S372" s="62">
        <v>1335</v>
      </c>
      <c r="T372" s="61"/>
      <c r="U372" s="61"/>
      <c r="V372" s="110">
        <v>9000</v>
      </c>
      <c r="W372" s="110">
        <v>25000</v>
      </c>
      <c r="X372" s="111">
        <v>8090</v>
      </c>
      <c r="Y372" s="111">
        <v>12070</v>
      </c>
      <c r="Z372" s="112">
        <v>15</v>
      </c>
      <c r="AA372" s="112">
        <v>6</v>
      </c>
    </row>
    <row r="373" spans="1:27" ht="15.75">
      <c r="A373"/>
      <c r="B373" s="121"/>
      <c r="C373" s="57" t="s">
        <v>80</v>
      </c>
      <c r="D373" s="16">
        <v>25575.38</v>
      </c>
      <c r="E373" s="16">
        <v>25212.51</v>
      </c>
      <c r="F373" s="16">
        <v>25279.72</v>
      </c>
      <c r="G373" s="16">
        <v>25253.55</v>
      </c>
      <c r="H373" s="16">
        <v>25521.59</v>
      </c>
      <c r="I373" s="16">
        <v>25664.13</v>
      </c>
      <c r="J373" s="16">
        <v>25334.05</v>
      </c>
      <c r="K373" s="16">
        <v>25141.02</v>
      </c>
      <c r="L373" s="16">
        <v>25442.98</v>
      </c>
      <c r="M373" s="16">
        <f t="shared" si="125"/>
        <v>25380.547777777778</v>
      </c>
      <c r="N373" s="53"/>
      <c r="O373" s="53"/>
      <c r="P373" s="63"/>
      <c r="Q373" s="53"/>
      <c r="R373" s="64"/>
      <c r="S373" s="54"/>
      <c r="T373" s="64"/>
      <c r="U373" s="64"/>
      <c r="V373" s="32"/>
      <c r="W373" s="29"/>
    </row>
    <row r="374" spans="1:27" ht="28.5" customHeight="1">
      <c r="A374"/>
      <c r="B374" s="121"/>
      <c r="C374" s="57" t="s">
        <v>82</v>
      </c>
      <c r="D374" s="16">
        <f t="shared" ref="D374:L374" si="130">IF(((D372="")*AND(D373="")),"",(D372-D373)*3)</f>
        <v>11091.719999999994</v>
      </c>
      <c r="E374" s="16">
        <f t="shared" si="130"/>
        <v>11601.600000000002</v>
      </c>
      <c r="F374" s="16">
        <f t="shared" si="130"/>
        <v>11450.639999999992</v>
      </c>
      <c r="G374" s="16">
        <f t="shared" si="130"/>
        <v>4814.6699999999983</v>
      </c>
      <c r="H374" s="16">
        <f t="shared" si="130"/>
        <v>11348.640000000003</v>
      </c>
      <c r="I374" s="16">
        <f t="shared" si="130"/>
        <v>11010.089999999997</v>
      </c>
      <c r="J374" s="16">
        <f t="shared" si="130"/>
        <v>11264.879999999997</v>
      </c>
      <c r="K374" s="16">
        <f t="shared" si="130"/>
        <v>11879.489999999994</v>
      </c>
      <c r="L374" s="16">
        <f t="shared" si="130"/>
        <v>11693.79</v>
      </c>
      <c r="M374" s="16">
        <f t="shared" si="125"/>
        <v>10683.946666666665</v>
      </c>
      <c r="N374" s="65"/>
      <c r="O374" s="65"/>
      <c r="P374" s="66"/>
      <c r="Q374" s="65"/>
      <c r="R374" s="67"/>
      <c r="S374" s="58"/>
      <c r="T374" s="67"/>
      <c r="U374" s="67"/>
      <c r="V374" s="33"/>
      <c r="W374" s="29"/>
    </row>
    <row r="375" spans="1:27">
      <c r="A375" s="86">
        <v>42789</v>
      </c>
      <c r="B375" s="120" t="s">
        <v>348</v>
      </c>
      <c r="C375" s="57" t="s">
        <v>79</v>
      </c>
      <c r="D375" s="58">
        <v>29376.99</v>
      </c>
      <c r="E375" s="58">
        <v>29223.58</v>
      </c>
      <c r="F375" s="58">
        <v>29253.29</v>
      </c>
      <c r="G375" s="58">
        <v>29214.77</v>
      </c>
      <c r="H375" s="58">
        <v>29395.7</v>
      </c>
      <c r="I375" s="58">
        <v>29389.18</v>
      </c>
      <c r="J375" s="58">
        <v>29248.18</v>
      </c>
      <c r="K375" s="58">
        <v>29194.61</v>
      </c>
      <c r="L375" s="58">
        <v>29396.81</v>
      </c>
      <c r="M375" s="16">
        <f t="shared" si="125"/>
        <v>29299.234444444442</v>
      </c>
      <c r="N375" s="59">
        <f>IF((L376=""),"",MAX(D377:L377))</f>
        <v>10236.660000000003</v>
      </c>
      <c r="O375" s="59">
        <f>IF(L376="","",MIN(D377:L377))</f>
        <v>9590.6700000000092</v>
      </c>
      <c r="P375" s="60">
        <f>IF((L377=""),"",AVERAGE(D377:L377))</f>
        <v>9971.6333333333369</v>
      </c>
      <c r="Q375" s="156">
        <f>IF((L376=""),"",((N375-O375)/(N375+O375)*100))</f>
        <v>3.2580786217811166</v>
      </c>
      <c r="R375" s="61" t="str">
        <f>IF(L376="","",IF(Q375&lt;Z375,IF(O375&gt;V375,IF(N375&lt;W375,"PASS","FAIL"),"FAIL"),"FAIL"))</f>
        <v>PASS</v>
      </c>
      <c r="S375" s="62">
        <v>1400</v>
      </c>
      <c r="T375" s="61" t="s">
        <v>158</v>
      </c>
      <c r="U375" s="61"/>
      <c r="V375" s="110">
        <v>9000</v>
      </c>
      <c r="W375" s="110">
        <v>25000</v>
      </c>
      <c r="X375" s="111">
        <v>8090</v>
      </c>
      <c r="Y375" s="111">
        <v>12070</v>
      </c>
      <c r="Z375" s="112">
        <v>15</v>
      </c>
      <c r="AA375" s="112">
        <v>6</v>
      </c>
    </row>
    <row r="376" spans="1:27" ht="15.75">
      <c r="A376"/>
      <c r="B376" s="121"/>
      <c r="C376" s="57" t="s">
        <v>80</v>
      </c>
      <c r="D376" s="16">
        <v>26180.1</v>
      </c>
      <c r="E376" s="16">
        <v>25833.23</v>
      </c>
      <c r="F376" s="16">
        <v>25944.25</v>
      </c>
      <c r="G376" s="16">
        <v>25857.05</v>
      </c>
      <c r="H376" s="16">
        <v>26101.5</v>
      </c>
      <c r="I376" s="16">
        <v>26138.6</v>
      </c>
      <c r="J376" s="16">
        <v>25916.02</v>
      </c>
      <c r="K376" s="16">
        <v>25782.39</v>
      </c>
      <c r="L376" s="16">
        <v>26025.07</v>
      </c>
      <c r="M376" s="16">
        <f t="shared" si="125"/>
        <v>25975.35666666667</v>
      </c>
      <c r="N376" s="53"/>
      <c r="O376" s="53"/>
      <c r="P376" s="63"/>
      <c r="Q376" s="53"/>
      <c r="R376" s="64"/>
      <c r="S376" s="54"/>
      <c r="T376" s="64"/>
      <c r="U376" s="64"/>
      <c r="V376" s="32"/>
      <c r="W376" s="29"/>
    </row>
    <row r="377" spans="1:27" ht="28.5" customHeight="1">
      <c r="A377"/>
      <c r="B377" s="121"/>
      <c r="C377" s="57" t="s">
        <v>82</v>
      </c>
      <c r="D377" s="16">
        <f t="shared" ref="D377:L377" si="131">IF(((D375="")*AND(D376="")),"",(D375-D376)*3)</f>
        <v>9590.6700000000092</v>
      </c>
      <c r="E377" s="16">
        <f t="shared" si="131"/>
        <v>10171.050000000007</v>
      </c>
      <c r="F377" s="16">
        <f t="shared" si="131"/>
        <v>9927.1200000000026</v>
      </c>
      <c r="G377" s="16">
        <f t="shared" si="131"/>
        <v>10073.160000000003</v>
      </c>
      <c r="H377" s="16">
        <f t="shared" si="131"/>
        <v>9882.6000000000022</v>
      </c>
      <c r="I377" s="16">
        <f t="shared" si="131"/>
        <v>9751.7400000000052</v>
      </c>
      <c r="J377" s="16">
        <f t="shared" si="131"/>
        <v>9996.48</v>
      </c>
      <c r="K377" s="16">
        <f t="shared" si="131"/>
        <v>10236.660000000003</v>
      </c>
      <c r="L377" s="16">
        <f t="shared" si="131"/>
        <v>10115.220000000005</v>
      </c>
      <c r="M377" s="16">
        <f t="shared" si="125"/>
        <v>9971.6333333333369</v>
      </c>
      <c r="N377" s="65"/>
      <c r="O377" s="65"/>
      <c r="P377" s="66"/>
      <c r="Q377" s="65"/>
      <c r="R377" s="67"/>
      <c r="S377" s="58"/>
      <c r="T377" s="67"/>
      <c r="U377" s="67"/>
      <c r="V377" s="33"/>
      <c r="W377" s="29"/>
    </row>
    <row r="378" spans="1:27">
      <c r="A378" s="86">
        <v>42796</v>
      </c>
      <c r="B378" s="120" t="s">
        <v>348</v>
      </c>
      <c r="C378" s="57" t="s">
        <v>79</v>
      </c>
      <c r="D378" s="58">
        <v>29295.32</v>
      </c>
      <c r="E378" s="58">
        <v>29101.89</v>
      </c>
      <c r="F378" s="58">
        <v>29087.040000000001</v>
      </c>
      <c r="G378" s="58">
        <v>29111.360000000001</v>
      </c>
      <c r="H378" s="58">
        <v>29298.799999999999</v>
      </c>
      <c r="I378" s="58">
        <v>29313.15</v>
      </c>
      <c r="J378" s="58">
        <v>29110.87</v>
      </c>
      <c r="K378" s="58">
        <v>29103.9</v>
      </c>
      <c r="L378" s="58">
        <v>29308.71</v>
      </c>
      <c r="M378" s="16">
        <f t="shared" si="125"/>
        <v>29192.337777777775</v>
      </c>
      <c r="N378" s="59">
        <f>IF((L379=""),"",MAX(D380:L380))</f>
        <v>10725.089999999997</v>
      </c>
      <c r="O378" s="59">
        <f>IF(L379="","",MIN(D380:L380))</f>
        <v>10141.620000000003</v>
      </c>
      <c r="P378" s="60">
        <f>IF((L380=""),"",AVERAGE(D380:L380))</f>
        <v>10462.293333333333</v>
      </c>
      <c r="Q378" s="156">
        <f>IF((L379=""),"",((N378-O378)/(N378+O378)*100))</f>
        <v>2.7961763018702701</v>
      </c>
      <c r="R378" s="61" t="str">
        <f>IF(L379="","",IF(Q378&lt;Z378,IF(O378&gt;V378,IF(N378&lt;W378,"PASS","FAIL"),"FAIL"),"FAIL"))</f>
        <v>PASS</v>
      </c>
      <c r="S378" s="62">
        <v>1400</v>
      </c>
      <c r="T378" s="61" t="s">
        <v>159</v>
      </c>
      <c r="U378" s="61"/>
      <c r="V378" s="110">
        <v>9000</v>
      </c>
      <c r="W378" s="110">
        <v>25000</v>
      </c>
      <c r="X378" s="111">
        <v>8090</v>
      </c>
      <c r="Y378" s="111">
        <v>12070</v>
      </c>
      <c r="Z378" s="112">
        <v>15</v>
      </c>
      <c r="AA378" s="112">
        <v>6</v>
      </c>
    </row>
    <row r="379" spans="1:27" ht="15.75">
      <c r="A379"/>
      <c r="B379" s="121"/>
      <c r="C379" s="57" t="s">
        <v>80</v>
      </c>
      <c r="D379" s="16">
        <v>25764.19</v>
      </c>
      <c r="E379" s="16">
        <v>25526.86</v>
      </c>
      <c r="F379" s="16">
        <v>25584.86</v>
      </c>
      <c r="G379" s="16">
        <v>25643.33</v>
      </c>
      <c r="H379" s="16">
        <v>25918.26</v>
      </c>
      <c r="I379" s="16">
        <v>25927.99</v>
      </c>
      <c r="J379" s="16">
        <v>25586.13</v>
      </c>
      <c r="K379" s="16">
        <v>25583.200000000001</v>
      </c>
      <c r="L379" s="16">
        <v>25809.34</v>
      </c>
      <c r="M379" s="16">
        <f t="shared" si="125"/>
        <v>25704.906666666666</v>
      </c>
      <c r="N379" s="53"/>
      <c r="O379" s="53"/>
      <c r="P379" s="63"/>
      <c r="Q379" s="53"/>
      <c r="R379" s="64"/>
      <c r="S379" s="54"/>
      <c r="T379" s="64"/>
      <c r="U379" s="64"/>
      <c r="V379" s="32"/>
      <c r="W379" s="29"/>
    </row>
    <row r="380" spans="1:27" ht="28.5" customHeight="1">
      <c r="A380"/>
      <c r="B380" s="121"/>
      <c r="C380" s="57" t="s">
        <v>82</v>
      </c>
      <c r="D380" s="16">
        <f t="shared" ref="D380:L380" si="132">IF(((D378="")*AND(D379="")),"",(D378-D379)*3)</f>
        <v>10593.390000000003</v>
      </c>
      <c r="E380" s="16">
        <f t="shared" si="132"/>
        <v>10725.089999999997</v>
      </c>
      <c r="F380" s="16">
        <f t="shared" si="132"/>
        <v>10506.54</v>
      </c>
      <c r="G380" s="16">
        <f t="shared" si="132"/>
        <v>10404.089999999997</v>
      </c>
      <c r="H380" s="16">
        <f t="shared" si="132"/>
        <v>10141.620000000003</v>
      </c>
      <c r="I380" s="16">
        <f t="shared" si="132"/>
        <v>10155.48</v>
      </c>
      <c r="J380" s="16">
        <f t="shared" si="132"/>
        <v>10574.219999999994</v>
      </c>
      <c r="K380" s="16">
        <f t="shared" si="132"/>
        <v>10562.100000000002</v>
      </c>
      <c r="L380" s="16">
        <f t="shared" si="132"/>
        <v>10498.109999999997</v>
      </c>
      <c r="M380" s="16">
        <f t="shared" si="125"/>
        <v>10462.293333333333</v>
      </c>
      <c r="N380" s="65"/>
      <c r="O380" s="65"/>
      <c r="P380" s="66"/>
      <c r="Q380" s="65"/>
      <c r="R380" s="67"/>
      <c r="S380" s="58"/>
      <c r="T380" s="67"/>
      <c r="U380" s="67"/>
      <c r="V380" s="33"/>
      <c r="W380" s="29"/>
    </row>
    <row r="381" spans="1:27">
      <c r="A381" s="86">
        <v>42800</v>
      </c>
      <c r="B381" s="120" t="s">
        <v>348</v>
      </c>
      <c r="C381" s="57" t="s">
        <v>79</v>
      </c>
      <c r="D381" s="58">
        <v>33942.949999999997</v>
      </c>
      <c r="E381" s="58">
        <v>33560.74</v>
      </c>
      <c r="F381" s="58">
        <v>33564.78</v>
      </c>
      <c r="G381" s="58">
        <v>33561.39</v>
      </c>
      <c r="H381" s="58">
        <v>34063.64</v>
      </c>
      <c r="I381" s="58">
        <v>33896.89</v>
      </c>
      <c r="J381" s="58">
        <v>33534.97</v>
      </c>
      <c r="K381" s="58">
        <v>33545.49</v>
      </c>
      <c r="L381" s="58">
        <v>34042.400000000001</v>
      </c>
      <c r="M381" s="16">
        <f t="shared" si="125"/>
        <v>33745.916666666672</v>
      </c>
      <c r="N381" s="59">
        <f>IF((L382=""),"",MAX(D383:L383))</f>
        <v>11185.319999999996</v>
      </c>
      <c r="O381" s="59">
        <f>IF(L382="","",MIN(D383:L383))</f>
        <v>10620.029999999995</v>
      </c>
      <c r="P381" s="60">
        <f>IF((L383=""),"",AVERAGE(D383:L383))</f>
        <v>10968.453333333331</v>
      </c>
      <c r="Q381" s="156">
        <f>IF((L382=""),"",((N381-O381)/(N381+O381)*100))</f>
        <v>2.5924371771147956</v>
      </c>
      <c r="R381" s="61" t="str">
        <f>IF(L382="","",IF(Q381&lt;Z381,IF(O381&gt;V381,IF(N381&lt;W381,"PASS","FAIL"),"FAIL"),"FAIL"))</f>
        <v>PASS</v>
      </c>
      <c r="S381" s="62">
        <v>1400</v>
      </c>
      <c r="T381" s="61" t="s">
        <v>160</v>
      </c>
      <c r="U381" s="61"/>
      <c r="V381" s="110">
        <v>9000</v>
      </c>
      <c r="W381" s="110">
        <v>25000</v>
      </c>
      <c r="X381" s="111">
        <v>8090</v>
      </c>
      <c r="Y381" s="111">
        <v>12070</v>
      </c>
      <c r="Z381" s="112">
        <v>15</v>
      </c>
      <c r="AA381" s="112">
        <v>6</v>
      </c>
    </row>
    <row r="382" spans="1:27" ht="15.75">
      <c r="A382"/>
      <c r="B382" s="121"/>
      <c r="C382" s="57" t="s">
        <v>80</v>
      </c>
      <c r="D382" s="16">
        <v>30375.73</v>
      </c>
      <c r="E382" s="16">
        <v>29867.279999999999</v>
      </c>
      <c r="F382" s="16">
        <v>29880.38</v>
      </c>
      <c r="G382" s="16">
        <v>29887.78</v>
      </c>
      <c r="H382" s="16">
        <v>30382.85</v>
      </c>
      <c r="I382" s="16">
        <v>30356.880000000001</v>
      </c>
      <c r="J382" s="16">
        <v>29923.23</v>
      </c>
      <c r="K382" s="16">
        <v>29817.05</v>
      </c>
      <c r="L382" s="16">
        <v>30316.71</v>
      </c>
      <c r="M382" s="16">
        <f t="shared" si="125"/>
        <v>30089.765555555558</v>
      </c>
      <c r="N382" s="53"/>
      <c r="O382" s="53"/>
      <c r="P382" s="63"/>
      <c r="Q382" s="53"/>
      <c r="R382" s="64"/>
      <c r="S382" s="54"/>
      <c r="T382" s="64"/>
      <c r="U382" s="64"/>
      <c r="V382" s="32"/>
      <c r="W382" s="29"/>
    </row>
    <row r="383" spans="1:27" ht="28.5" customHeight="1">
      <c r="A383"/>
      <c r="B383" s="121"/>
      <c r="C383" s="57" t="s">
        <v>82</v>
      </c>
      <c r="D383" s="16">
        <f t="shared" ref="D383:L383" si="133">IF(((D381="")*AND(D382="")),"",(D381-D382)*3)</f>
        <v>10701.659999999993</v>
      </c>
      <c r="E383" s="16">
        <f t="shared" si="133"/>
        <v>11080.379999999997</v>
      </c>
      <c r="F383" s="16">
        <f t="shared" si="133"/>
        <v>11053.199999999993</v>
      </c>
      <c r="G383" s="16">
        <f t="shared" si="133"/>
        <v>11020.830000000002</v>
      </c>
      <c r="H383" s="16">
        <f t="shared" si="133"/>
        <v>11042.370000000003</v>
      </c>
      <c r="I383" s="16">
        <f t="shared" si="133"/>
        <v>10620.029999999995</v>
      </c>
      <c r="J383" s="16">
        <f t="shared" si="133"/>
        <v>10835.220000000005</v>
      </c>
      <c r="K383" s="16">
        <f t="shared" si="133"/>
        <v>11185.319999999996</v>
      </c>
      <c r="L383" s="16">
        <f t="shared" si="133"/>
        <v>11177.070000000007</v>
      </c>
      <c r="M383" s="16">
        <f t="shared" si="125"/>
        <v>10968.453333333331</v>
      </c>
      <c r="N383" s="65"/>
      <c r="O383" s="65"/>
      <c r="P383" s="66"/>
      <c r="Q383" s="65"/>
      <c r="R383" s="67"/>
      <c r="S383" s="58"/>
      <c r="T383" s="67"/>
      <c r="U383" s="67"/>
      <c r="V383" s="33"/>
      <c r="W383" s="29"/>
    </row>
    <row r="384" spans="1:27">
      <c r="A384" s="86">
        <v>42804</v>
      </c>
      <c r="B384" s="120" t="s">
        <v>348</v>
      </c>
      <c r="C384" s="57" t="s">
        <v>79</v>
      </c>
      <c r="D384" s="58">
        <v>33942.949999999997</v>
      </c>
      <c r="E384" s="58">
        <v>33560.74</v>
      </c>
      <c r="F384" s="58">
        <v>33564.78</v>
      </c>
      <c r="G384" s="58">
        <v>33561.39</v>
      </c>
      <c r="H384" s="58">
        <v>34063.64</v>
      </c>
      <c r="I384" s="58">
        <v>33896.89</v>
      </c>
      <c r="J384" s="58">
        <v>33534.97</v>
      </c>
      <c r="K384" s="58">
        <v>33545.49</v>
      </c>
      <c r="L384" s="58">
        <v>34042.400000000001</v>
      </c>
      <c r="M384" s="16">
        <f t="shared" si="125"/>
        <v>33745.916666666672</v>
      </c>
      <c r="N384" s="59">
        <f>IF((L385=""),"",MAX(D386:L386))</f>
        <v>12321.359999999986</v>
      </c>
      <c r="O384" s="59">
        <f>IF(L385="","",MIN(D386:L386))</f>
        <v>11438.100000000002</v>
      </c>
      <c r="P384" s="60">
        <f>IF((L386=""),"",AVERAGE(D386:L386))</f>
        <v>11875.513333333332</v>
      </c>
      <c r="Q384" s="156">
        <f>IF((L385=""),"",((N384-O384)/(N384+O384)*100))</f>
        <v>3.7175087312589774</v>
      </c>
      <c r="R384" s="61" t="str">
        <f>IF(L385="","",IF(Q384&lt;Z384,IF(O384&gt;V384,IF(N384&lt;W384,"PASS","FAIL"),"FAIL"),"FAIL"))</f>
        <v>PASS</v>
      </c>
      <c r="S384" s="62">
        <v>1400</v>
      </c>
      <c r="T384" s="61" t="s">
        <v>161</v>
      </c>
      <c r="U384" s="61"/>
      <c r="V384" s="110">
        <v>9000</v>
      </c>
      <c r="W384" s="110">
        <v>25000</v>
      </c>
      <c r="X384" s="111">
        <v>8090</v>
      </c>
      <c r="Y384" s="111">
        <v>12070</v>
      </c>
      <c r="Z384" s="112">
        <v>15</v>
      </c>
      <c r="AA384" s="112">
        <v>6</v>
      </c>
    </row>
    <row r="385" spans="1:27" ht="15.75">
      <c r="A385"/>
      <c r="B385" s="121"/>
      <c r="C385" s="57" t="s">
        <v>80</v>
      </c>
      <c r="D385" s="16">
        <v>29835.83</v>
      </c>
      <c r="E385" s="16">
        <v>29485.54</v>
      </c>
      <c r="F385" s="16">
        <v>29659.49</v>
      </c>
      <c r="G385" s="16">
        <v>29611.919999999998</v>
      </c>
      <c r="H385" s="16">
        <v>30250.94</v>
      </c>
      <c r="I385" s="16">
        <v>30061.27</v>
      </c>
      <c r="J385" s="16">
        <v>29542.75</v>
      </c>
      <c r="K385" s="16">
        <v>29557.85</v>
      </c>
      <c r="L385" s="16">
        <v>30081.119999999999</v>
      </c>
      <c r="M385" s="16">
        <f t="shared" si="125"/>
        <v>29787.412222222225</v>
      </c>
      <c r="N385" s="53"/>
      <c r="O385" s="53"/>
      <c r="P385" s="63"/>
      <c r="Q385" s="53"/>
      <c r="R385" s="64"/>
      <c r="S385" s="54"/>
      <c r="T385" s="64"/>
      <c r="U385" s="64"/>
      <c r="V385" s="32"/>
      <c r="W385" s="29"/>
    </row>
    <row r="386" spans="1:27" ht="28.5" customHeight="1">
      <c r="A386"/>
      <c r="B386" s="121"/>
      <c r="C386" s="57" t="s">
        <v>82</v>
      </c>
      <c r="D386" s="16">
        <f t="shared" ref="D386:L386" si="134">IF(((D384="")*AND(D385="")),"",(D384-D385)*3)</f>
        <v>12321.359999999986</v>
      </c>
      <c r="E386" s="16">
        <f t="shared" si="134"/>
        <v>12225.599999999991</v>
      </c>
      <c r="F386" s="16">
        <f t="shared" si="134"/>
        <v>11715.869999999992</v>
      </c>
      <c r="G386" s="16">
        <f t="shared" si="134"/>
        <v>11848.410000000003</v>
      </c>
      <c r="H386" s="16">
        <f t="shared" si="134"/>
        <v>11438.100000000002</v>
      </c>
      <c r="I386" s="16">
        <f t="shared" si="134"/>
        <v>11506.859999999997</v>
      </c>
      <c r="J386" s="16">
        <f t="shared" si="134"/>
        <v>11976.660000000003</v>
      </c>
      <c r="K386" s="16">
        <f t="shared" si="134"/>
        <v>11962.919999999998</v>
      </c>
      <c r="L386" s="16">
        <f t="shared" si="134"/>
        <v>11883.840000000007</v>
      </c>
      <c r="M386" s="16">
        <f t="shared" si="125"/>
        <v>11875.513333333332</v>
      </c>
      <c r="N386" s="65"/>
      <c r="O386" s="65"/>
      <c r="P386" s="66"/>
      <c r="Q386" s="65"/>
      <c r="R386" s="67"/>
      <c r="S386" s="58"/>
      <c r="T386" s="67"/>
      <c r="U386" s="67"/>
      <c r="V386" s="33"/>
      <c r="W386" s="29"/>
    </row>
    <row r="387" spans="1:27">
      <c r="A387" s="86">
        <v>42809</v>
      </c>
      <c r="B387" s="120" t="s">
        <v>348</v>
      </c>
      <c r="C387" s="57" t="s">
        <v>79</v>
      </c>
      <c r="D387" s="58">
        <v>33932.5</v>
      </c>
      <c r="E387" s="58">
        <v>33525.379999999997</v>
      </c>
      <c r="F387" s="58">
        <v>33651.120000000003</v>
      </c>
      <c r="G387" s="58">
        <v>33505.919999999998</v>
      </c>
      <c r="H387" s="58">
        <v>33961.269999999997</v>
      </c>
      <c r="I387" s="58">
        <v>33877.14</v>
      </c>
      <c r="J387" s="58">
        <v>33501.1</v>
      </c>
      <c r="K387" s="58">
        <v>33516.839999999997</v>
      </c>
      <c r="L387" s="58">
        <v>33985.769999999997</v>
      </c>
      <c r="M387" s="16">
        <f t="shared" si="125"/>
        <v>33717.448888888888</v>
      </c>
      <c r="N387" s="59">
        <f>IF((L388=""),"",MAX(D389:L389))</f>
        <v>9423.8999999999869</v>
      </c>
      <c r="O387" s="59">
        <f>IF(L388="","",MIN(D389:L389))</f>
        <v>8640.9900000000052</v>
      </c>
      <c r="P387" s="60">
        <f>IF((L389=""),"",AVERAGE(D389:L389))</f>
        <v>9186.933333333327</v>
      </c>
      <c r="Q387" s="156">
        <f>IF((L388=""),"",((N387-O387)/(N387+O387)*100))</f>
        <v>4.3338763756656258</v>
      </c>
      <c r="R387" s="61" t="str">
        <f>IF(L388="","",IF(Q387&lt;Z387,IF(O387&gt;V387,IF(N387&lt;W387,"PASS","FAIL"),"FAIL"),"FAIL"))</f>
        <v>FAIL</v>
      </c>
      <c r="S387" s="62">
        <v>1400</v>
      </c>
      <c r="U387" s="61" t="s">
        <v>162</v>
      </c>
      <c r="V387" s="110">
        <v>9000</v>
      </c>
      <c r="W387" s="110">
        <v>25000</v>
      </c>
      <c r="X387" s="111">
        <v>8090</v>
      </c>
      <c r="Y387" s="111">
        <v>12070</v>
      </c>
      <c r="Z387" s="112">
        <v>15</v>
      </c>
      <c r="AA387" s="112">
        <v>6</v>
      </c>
    </row>
    <row r="388" spans="1:27" ht="15.75">
      <c r="A388"/>
      <c r="B388" s="121"/>
      <c r="C388" s="57" t="s">
        <v>80</v>
      </c>
      <c r="D388" s="16">
        <v>31052.17</v>
      </c>
      <c r="E388" s="16">
        <v>30446.58</v>
      </c>
      <c r="F388" s="16">
        <v>30562.73</v>
      </c>
      <c r="G388" s="16">
        <v>30406.3</v>
      </c>
      <c r="H388" s="16">
        <v>30843.79</v>
      </c>
      <c r="I388" s="16">
        <v>30885.06</v>
      </c>
      <c r="J388" s="16">
        <v>30450.63</v>
      </c>
      <c r="K388" s="16">
        <v>30375.54</v>
      </c>
      <c r="L388" s="16">
        <v>30873.439999999999</v>
      </c>
      <c r="M388" s="16">
        <f t="shared" si="125"/>
        <v>30655.137777777778</v>
      </c>
      <c r="N388" s="53"/>
      <c r="O388" s="53"/>
      <c r="P388" s="63"/>
      <c r="Q388" s="53"/>
      <c r="R388" s="64"/>
      <c r="S388" s="54"/>
      <c r="T388" s="64"/>
      <c r="U388" s="64"/>
      <c r="V388" s="32"/>
      <c r="W388" s="29"/>
    </row>
    <row r="389" spans="1:27" ht="28.5" customHeight="1">
      <c r="A389"/>
      <c r="B389" s="121"/>
      <c r="C389" s="57" t="s">
        <v>82</v>
      </c>
      <c r="D389" s="16">
        <f t="shared" ref="D389:L389" si="135">IF(((D387="")*AND(D388="")),"",(D387-D388)*3)</f>
        <v>8640.9900000000052</v>
      </c>
      <c r="E389" s="16">
        <f t="shared" si="135"/>
        <v>9236.3999999999869</v>
      </c>
      <c r="F389" s="16">
        <f t="shared" si="135"/>
        <v>9265.1700000000092</v>
      </c>
      <c r="G389" s="16">
        <f t="shared" si="135"/>
        <v>9298.8599999999969</v>
      </c>
      <c r="H389" s="16">
        <f t="shared" si="135"/>
        <v>9352.4399999999878</v>
      </c>
      <c r="I389" s="16">
        <f t="shared" si="135"/>
        <v>8976.2399999999943</v>
      </c>
      <c r="J389" s="16">
        <f t="shared" si="135"/>
        <v>9151.4099999999926</v>
      </c>
      <c r="K389" s="16">
        <f t="shared" si="135"/>
        <v>9423.8999999999869</v>
      </c>
      <c r="L389" s="16">
        <f t="shared" si="135"/>
        <v>9336.9899999999943</v>
      </c>
      <c r="M389" s="16">
        <f t="shared" si="125"/>
        <v>9186.933333333327</v>
      </c>
      <c r="N389" s="65"/>
      <c r="O389" s="65"/>
      <c r="P389" s="66"/>
      <c r="Q389" s="65"/>
      <c r="R389" s="67"/>
      <c r="S389" s="58"/>
      <c r="T389" s="67"/>
      <c r="U389" s="67"/>
      <c r="V389" s="33"/>
      <c r="W389" s="29"/>
    </row>
    <row r="390" spans="1:27">
      <c r="A390" s="86">
        <v>42835</v>
      </c>
      <c r="B390" s="120" t="s">
        <v>348</v>
      </c>
      <c r="C390" s="57" t="s">
        <v>79</v>
      </c>
      <c r="D390" s="58">
        <v>29278.61</v>
      </c>
      <c r="E390" s="58">
        <v>29148.79</v>
      </c>
      <c r="F390" s="58">
        <v>29215.09</v>
      </c>
      <c r="G390" s="58">
        <v>29159.21</v>
      </c>
      <c r="H390" s="58">
        <v>29396.25</v>
      </c>
      <c r="I390" s="58">
        <v>29320.42</v>
      </c>
      <c r="J390" s="58">
        <v>29161.65</v>
      </c>
      <c r="K390" s="58">
        <v>29151.42</v>
      </c>
      <c r="L390" s="58">
        <v>29360.080000000002</v>
      </c>
      <c r="M390" s="16">
        <f t="shared" si="125"/>
        <v>29243.502222222225</v>
      </c>
      <c r="N390" s="59">
        <f>IF((L391=""),"",MAX(D392:L392))</f>
        <v>11177.279999999995</v>
      </c>
      <c r="O390" s="59">
        <f>IF(L391="","",MIN(D392:L392))</f>
        <v>10483.409999999993</v>
      </c>
      <c r="P390" s="60">
        <f>IF((L392=""),"",AVERAGE(D392:L392))</f>
        <v>10883.656666666668</v>
      </c>
      <c r="Q390" s="156">
        <f>IF((L391=""),"",((N390-O390)/(N390+O390)*100))</f>
        <v>3.2033605577661795</v>
      </c>
      <c r="R390" s="61" t="str">
        <f>IF(L391="","",IF(Q390&lt;Z390,IF(O390&gt;V390,IF(N390&lt;W390,"PASS","FAIL"),"FAIL"),"FAIL"))</f>
        <v>PASS</v>
      </c>
      <c r="S390" s="62">
        <v>1400</v>
      </c>
      <c r="T390" s="61" t="s">
        <v>163</v>
      </c>
      <c r="U390" s="61"/>
      <c r="V390" s="110">
        <v>9000</v>
      </c>
      <c r="W390" s="110">
        <v>25000</v>
      </c>
      <c r="X390" s="111">
        <v>8090</v>
      </c>
      <c r="Y390" s="111">
        <v>12070</v>
      </c>
      <c r="Z390" s="112">
        <v>15</v>
      </c>
      <c r="AA390" s="112">
        <v>6</v>
      </c>
    </row>
    <row r="391" spans="1:27" ht="15.75">
      <c r="A391"/>
      <c r="B391" s="121"/>
      <c r="C391" s="57" t="s">
        <v>80</v>
      </c>
      <c r="D391" s="16">
        <v>25778.240000000002</v>
      </c>
      <c r="E391" s="16">
        <v>25485.71</v>
      </c>
      <c r="F391" s="16">
        <v>25557.41</v>
      </c>
      <c r="G391" s="16">
        <v>25496.85</v>
      </c>
      <c r="H391" s="16">
        <v>25752.53</v>
      </c>
      <c r="I391" s="16">
        <v>25825.95</v>
      </c>
      <c r="J391" s="16">
        <v>25560.39</v>
      </c>
      <c r="K391" s="16">
        <v>25425.66</v>
      </c>
      <c r="L391" s="16">
        <v>25657.81</v>
      </c>
      <c r="M391" s="16">
        <f t="shared" si="125"/>
        <v>25615.616666666669</v>
      </c>
      <c r="N391" s="53"/>
      <c r="O391" s="53"/>
      <c r="P391" s="63"/>
      <c r="Q391" s="53"/>
      <c r="R391" s="64"/>
      <c r="S391" s="54"/>
      <c r="T391" s="64"/>
      <c r="U391" s="64"/>
      <c r="V391" s="32"/>
      <c r="W391" s="29"/>
    </row>
    <row r="392" spans="1:27" ht="28.5" customHeight="1">
      <c r="A392"/>
      <c r="B392" s="121"/>
      <c r="C392" s="57" t="s">
        <v>82</v>
      </c>
      <c r="D392" s="16">
        <f t="shared" ref="D392:L392" si="136">IF(((D390="")*AND(D391="")),"",(D390-D391)*3)</f>
        <v>10501.109999999997</v>
      </c>
      <c r="E392" s="16">
        <f t="shared" si="136"/>
        <v>10989.240000000005</v>
      </c>
      <c r="F392" s="16">
        <f t="shared" si="136"/>
        <v>10973.04</v>
      </c>
      <c r="G392" s="16">
        <f t="shared" si="136"/>
        <v>10987.080000000002</v>
      </c>
      <c r="H392" s="16">
        <f t="shared" si="136"/>
        <v>10931.160000000003</v>
      </c>
      <c r="I392" s="16">
        <f t="shared" si="136"/>
        <v>10483.409999999993</v>
      </c>
      <c r="J392" s="16">
        <f t="shared" si="136"/>
        <v>10803.780000000006</v>
      </c>
      <c r="K392" s="16">
        <f t="shared" si="136"/>
        <v>11177.279999999995</v>
      </c>
      <c r="L392" s="16">
        <f t="shared" si="136"/>
        <v>11106.810000000001</v>
      </c>
      <c r="M392" s="16">
        <f t="shared" si="125"/>
        <v>10883.656666666668</v>
      </c>
      <c r="N392" s="65"/>
      <c r="O392" s="65"/>
      <c r="P392" s="66"/>
      <c r="Q392" s="65"/>
      <c r="R392" s="67"/>
      <c r="S392" s="58"/>
      <c r="T392" s="67"/>
      <c r="U392" s="67"/>
      <c r="V392" s="33"/>
      <c r="W392" s="29"/>
    </row>
    <row r="393" spans="1:27">
      <c r="A393" s="86">
        <v>42948</v>
      </c>
      <c r="B393" s="120" t="s">
        <v>348</v>
      </c>
      <c r="C393" s="57" t="s">
        <v>79</v>
      </c>
      <c r="D393" s="58">
        <v>29374.85</v>
      </c>
      <c r="E393" s="58">
        <v>29257.55</v>
      </c>
      <c r="F393" s="58">
        <v>29286.35</v>
      </c>
      <c r="G393" s="58">
        <v>29212.39</v>
      </c>
      <c r="H393" s="58">
        <v>29477.22</v>
      </c>
      <c r="I393" s="58">
        <v>29380.68</v>
      </c>
      <c r="J393" s="58">
        <v>29255.43</v>
      </c>
      <c r="K393" s="58">
        <v>29256.26</v>
      </c>
      <c r="L393" s="58">
        <v>29504.34</v>
      </c>
      <c r="M393" s="16">
        <f t="shared" si="125"/>
        <v>29333.896666666667</v>
      </c>
      <c r="N393" s="59">
        <f>IF((L394=""),"",MAX(D395:L395))</f>
        <v>11230.29</v>
      </c>
      <c r="O393" s="59">
        <f>IF(L394="","",MIN(D395:L395))</f>
        <v>10641.030000000006</v>
      </c>
      <c r="P393" s="60">
        <f>IF((L395=""),"",AVERAGE(D395:L395))</f>
        <v>10888.779999999999</v>
      </c>
      <c r="Q393" s="156">
        <f>IF((L394=""),"",((N393-O393)/(N393+O393)*100))</f>
        <v>2.6942132436450774</v>
      </c>
      <c r="R393" s="61" t="str">
        <f>IF(L394="","",IF(Q393&lt;Z393,IF(O393&gt;V393,IF(N393&lt;W393,"PASS","FAIL"),"FAIL"),"FAIL"))</f>
        <v>PASS</v>
      </c>
      <c r="S393" s="62">
        <v>1159</v>
      </c>
      <c r="T393" s="61" t="s">
        <v>164</v>
      </c>
      <c r="U393" s="61"/>
      <c r="V393" s="110">
        <v>9000</v>
      </c>
      <c r="W393" s="110">
        <v>25000</v>
      </c>
      <c r="X393" s="111">
        <v>8090</v>
      </c>
      <c r="Y393" s="111">
        <v>12070</v>
      </c>
      <c r="Z393" s="112">
        <v>15</v>
      </c>
      <c r="AA393" s="112">
        <v>6</v>
      </c>
    </row>
    <row r="394" spans="1:27" ht="15.75">
      <c r="A394"/>
      <c r="B394" s="121"/>
      <c r="C394" s="57" t="s">
        <v>80</v>
      </c>
      <c r="D394" s="16">
        <v>25800.91</v>
      </c>
      <c r="E394" s="16">
        <v>25607.37</v>
      </c>
      <c r="F394" s="16">
        <v>25678.75</v>
      </c>
      <c r="G394" s="16">
        <v>25605.81</v>
      </c>
      <c r="H394" s="16">
        <v>25829.37</v>
      </c>
      <c r="I394" s="16">
        <v>25833.67</v>
      </c>
      <c r="J394" s="16">
        <v>25672.63</v>
      </c>
      <c r="K394" s="16">
        <v>25549.31</v>
      </c>
      <c r="L394" s="16">
        <v>25760.91</v>
      </c>
      <c r="M394" s="16">
        <f t="shared" si="125"/>
        <v>25704.303333333333</v>
      </c>
      <c r="N394" s="53"/>
      <c r="O394" s="53"/>
      <c r="P394" s="63"/>
      <c r="Q394" s="53"/>
      <c r="R394" s="64"/>
      <c r="S394" s="54"/>
      <c r="T394" s="64"/>
      <c r="U394" s="64"/>
      <c r="V394" s="32"/>
      <c r="W394" s="29"/>
    </row>
    <row r="395" spans="1:27" ht="28.5" customHeight="1">
      <c r="A395"/>
      <c r="B395" s="121"/>
      <c r="C395" s="57" t="s">
        <v>82</v>
      </c>
      <c r="D395" s="16">
        <f t="shared" ref="D395:L395" si="137">IF(((D393="")*AND(D394="")),"",(D393-D394)*3)</f>
        <v>10721.819999999996</v>
      </c>
      <c r="E395" s="16">
        <f t="shared" si="137"/>
        <v>10950.54</v>
      </c>
      <c r="F395" s="16">
        <f t="shared" si="137"/>
        <v>10822.799999999996</v>
      </c>
      <c r="G395" s="16">
        <f t="shared" si="137"/>
        <v>10819.739999999994</v>
      </c>
      <c r="H395" s="16">
        <f t="shared" si="137"/>
        <v>10943.550000000007</v>
      </c>
      <c r="I395" s="16">
        <f t="shared" si="137"/>
        <v>10641.030000000006</v>
      </c>
      <c r="J395" s="16">
        <f t="shared" si="137"/>
        <v>10748.399999999998</v>
      </c>
      <c r="K395" s="16">
        <f t="shared" si="137"/>
        <v>11120.849999999991</v>
      </c>
      <c r="L395" s="16">
        <f t="shared" si="137"/>
        <v>11230.29</v>
      </c>
      <c r="M395" s="16">
        <f t="shared" si="125"/>
        <v>10888.779999999999</v>
      </c>
      <c r="N395" s="65"/>
      <c r="O395" s="65"/>
      <c r="P395" s="66"/>
      <c r="Q395" s="65"/>
      <c r="R395" s="67"/>
      <c r="S395" s="58"/>
      <c r="T395" s="67"/>
      <c r="U395" s="67"/>
      <c r="V395" s="33"/>
      <c r="W395" s="29"/>
    </row>
    <row r="396" spans="1:27">
      <c r="A396" s="86">
        <v>42971</v>
      </c>
      <c r="B396" s="120" t="s">
        <v>348</v>
      </c>
      <c r="C396" s="57" t="s">
        <v>79</v>
      </c>
      <c r="D396" s="58">
        <v>29264.91</v>
      </c>
      <c r="E396" s="58">
        <v>29046.01</v>
      </c>
      <c r="F396" s="58">
        <v>29033.96</v>
      </c>
      <c r="G396" s="58">
        <v>29026.86</v>
      </c>
      <c r="H396" s="58">
        <v>29261.58</v>
      </c>
      <c r="I396" s="58">
        <v>29209.57</v>
      </c>
      <c r="J396" s="58">
        <v>29037.96</v>
      </c>
      <c r="K396" s="58">
        <v>29019.14</v>
      </c>
      <c r="L396" s="58">
        <v>29232.27</v>
      </c>
      <c r="M396" s="16">
        <f t="shared" si="125"/>
        <v>29125.806666666664</v>
      </c>
      <c r="N396" s="59">
        <f>IF((L397=""),"",MAX(D398:L398))</f>
        <v>10619.759999999995</v>
      </c>
      <c r="O396" s="59">
        <f>IF(L397="","",MIN(D398:L398))</f>
        <v>10033.439999999999</v>
      </c>
      <c r="P396" s="60">
        <f>IF((L398=""),"",AVERAGE(D398:L398))</f>
        <v>10370.539999999997</v>
      </c>
      <c r="Q396" s="156">
        <f>IF((L397=""),"",((N396-O396)/(N396+O396)*100))</f>
        <v>2.8388821102782922</v>
      </c>
      <c r="R396" s="61" t="str">
        <f>IF(L397="","",IF(Q396&lt;Z396,IF(O396&gt;V396,IF(N396&lt;W396,"PASS","FAIL"),"FAIL"),"FAIL"))</f>
        <v>PASS</v>
      </c>
      <c r="S396" s="62">
        <v>1159</v>
      </c>
      <c r="T396" s="61" t="s">
        <v>165</v>
      </c>
      <c r="U396" s="61"/>
      <c r="V396" s="110">
        <v>9000</v>
      </c>
      <c r="W396" s="110">
        <v>25000</v>
      </c>
      <c r="X396" s="111">
        <v>8090</v>
      </c>
      <c r="Y396" s="111">
        <v>12070</v>
      </c>
      <c r="Z396" s="112">
        <v>15</v>
      </c>
      <c r="AA396" s="112">
        <v>6</v>
      </c>
    </row>
    <row r="397" spans="1:27" ht="15.75">
      <c r="A397"/>
      <c r="B397" s="121"/>
      <c r="C397" s="57" t="s">
        <v>80</v>
      </c>
      <c r="D397" s="16">
        <v>25836.49</v>
      </c>
      <c r="E397" s="16">
        <v>25521.58</v>
      </c>
      <c r="F397" s="16">
        <v>25573.14</v>
      </c>
      <c r="G397" s="16">
        <v>25583.22</v>
      </c>
      <c r="H397" s="16">
        <v>25833.43</v>
      </c>
      <c r="I397" s="16">
        <v>25865.09</v>
      </c>
      <c r="J397" s="16">
        <v>25612.29</v>
      </c>
      <c r="K397" s="16">
        <v>25479.22</v>
      </c>
      <c r="L397" s="16">
        <v>25716.18</v>
      </c>
      <c r="M397" s="16">
        <f t="shared" si="125"/>
        <v>25668.960000000003</v>
      </c>
      <c r="N397" s="53"/>
      <c r="O397" s="53"/>
      <c r="P397" s="63"/>
      <c r="Q397" s="53"/>
      <c r="R397" s="64"/>
      <c r="S397" s="54"/>
      <c r="T397" s="64"/>
      <c r="U397" s="64"/>
      <c r="V397" s="32"/>
      <c r="W397" s="29"/>
    </row>
    <row r="398" spans="1:27" ht="28.5" customHeight="1">
      <c r="A398"/>
      <c r="B398" s="121"/>
      <c r="C398" s="57" t="s">
        <v>82</v>
      </c>
      <c r="D398" s="16">
        <f t="shared" ref="D398:L398" si="138">IF(((D396="")*AND(D397="")),"",(D396-D397)*3)</f>
        <v>10285.259999999995</v>
      </c>
      <c r="E398" s="16">
        <f t="shared" si="138"/>
        <v>10573.28999999999</v>
      </c>
      <c r="F398" s="16">
        <f t="shared" si="138"/>
        <v>10382.459999999999</v>
      </c>
      <c r="G398" s="16">
        <f t="shared" si="138"/>
        <v>10330.919999999998</v>
      </c>
      <c r="H398" s="16">
        <f t="shared" si="138"/>
        <v>10284.450000000004</v>
      </c>
      <c r="I398" s="16">
        <f t="shared" si="138"/>
        <v>10033.439999999999</v>
      </c>
      <c r="J398" s="16">
        <f t="shared" si="138"/>
        <v>10277.009999999995</v>
      </c>
      <c r="K398" s="16">
        <f t="shared" si="138"/>
        <v>10619.759999999995</v>
      </c>
      <c r="L398" s="16">
        <f t="shared" si="138"/>
        <v>10548.27</v>
      </c>
      <c r="M398" s="16">
        <f t="shared" si="125"/>
        <v>10370.539999999997</v>
      </c>
      <c r="N398" s="65"/>
      <c r="O398" s="65"/>
      <c r="P398" s="66"/>
      <c r="Q398" s="65"/>
      <c r="R398" s="67"/>
      <c r="S398" s="58"/>
      <c r="T398" s="67"/>
      <c r="U398" s="67"/>
      <c r="V398" s="33"/>
      <c r="W398" s="29"/>
    </row>
    <row r="399" spans="1:27">
      <c r="A399" s="86">
        <v>42990</v>
      </c>
      <c r="B399" s="120" t="s">
        <v>348</v>
      </c>
      <c r="C399" s="57" t="s">
        <v>79</v>
      </c>
      <c r="D399" s="58">
        <v>29118.89</v>
      </c>
      <c r="E399" s="58">
        <v>28935.53</v>
      </c>
      <c r="F399" s="58">
        <v>28941.01</v>
      </c>
      <c r="G399" s="58">
        <v>28934.9</v>
      </c>
      <c r="H399" s="58">
        <v>29220.83</v>
      </c>
      <c r="I399" s="58">
        <v>29099.81</v>
      </c>
      <c r="J399" s="58">
        <v>28928.04</v>
      </c>
      <c r="K399" s="58">
        <v>28937.85</v>
      </c>
      <c r="L399" s="58">
        <v>29195.57</v>
      </c>
      <c r="M399" s="16">
        <f t="shared" si="125"/>
        <v>29034.714444444442</v>
      </c>
      <c r="N399" s="59">
        <f>IF((L400=""),"",MAX(D401:L401))</f>
        <v>8763.9300000000039</v>
      </c>
      <c r="O399" s="59">
        <f>IF(L400="","",MIN(D401:L401))</f>
        <v>8230.8300000000017</v>
      </c>
      <c r="P399" s="60">
        <f>IF((L401=""),"",AVERAGE(D401:L401))</f>
        <v>8504.3033333333333</v>
      </c>
      <c r="Q399" s="156">
        <f>IF((L400=""),"",((N399-O399)/(N399+O399)*100))</f>
        <v>3.1368492405894641</v>
      </c>
      <c r="R399" s="61" t="str">
        <f>IF(L400="","",IF(Q399&lt;Z399,IF(O399&gt;V399,IF(N399&lt;W399,"PASS","FAIL"),"FAIL"),"FAIL"))</f>
        <v>FAIL</v>
      </c>
      <c r="S399" s="62">
        <v>1159</v>
      </c>
      <c r="T399" s="61"/>
      <c r="U399" s="61"/>
      <c r="V399" s="110">
        <v>9000</v>
      </c>
      <c r="W399" s="110">
        <v>25000</v>
      </c>
      <c r="X399" s="111">
        <v>8090</v>
      </c>
      <c r="Y399" s="111">
        <v>12070</v>
      </c>
      <c r="Z399" s="112">
        <v>15</v>
      </c>
      <c r="AA399" s="112">
        <v>6</v>
      </c>
    </row>
    <row r="400" spans="1:27" ht="15.75">
      <c r="A400"/>
      <c r="B400" s="121"/>
      <c r="C400" s="57" t="s">
        <v>80</v>
      </c>
      <c r="D400" s="16">
        <v>26375.279999999999</v>
      </c>
      <c r="E400" s="16">
        <v>26086.79</v>
      </c>
      <c r="F400" s="16">
        <v>26140.11</v>
      </c>
      <c r="G400" s="16">
        <v>26094.49</v>
      </c>
      <c r="H400" s="16">
        <v>26342.799999999999</v>
      </c>
      <c r="I400" s="16">
        <v>26323.37</v>
      </c>
      <c r="J400" s="16">
        <v>26127.83</v>
      </c>
      <c r="K400" s="16">
        <v>26034.59</v>
      </c>
      <c r="L400" s="16">
        <v>26274.26</v>
      </c>
      <c r="M400" s="16">
        <f t="shared" si="125"/>
        <v>26199.946666666667</v>
      </c>
      <c r="N400" s="53"/>
      <c r="O400" s="53"/>
      <c r="P400" s="63"/>
      <c r="Q400" s="53"/>
      <c r="R400" s="64"/>
      <c r="S400" s="54"/>
      <c r="T400" s="64"/>
      <c r="U400" s="64"/>
      <c r="V400" s="32"/>
      <c r="W400" s="29"/>
    </row>
    <row r="401" spans="1:27" ht="28.5" customHeight="1">
      <c r="A401"/>
      <c r="B401" s="121"/>
      <c r="C401" s="57" t="s">
        <v>82</v>
      </c>
      <c r="D401" s="16">
        <f t="shared" ref="D401:L401" si="139">IF(((D399="")*AND(D400="")),"",(D399-D400)*3)</f>
        <v>8230.8300000000017</v>
      </c>
      <c r="E401" s="16">
        <f t="shared" si="139"/>
        <v>8546.2199999999939</v>
      </c>
      <c r="F401" s="16">
        <f t="shared" si="139"/>
        <v>8402.6999999999935</v>
      </c>
      <c r="G401" s="16">
        <f t="shared" si="139"/>
        <v>8521.23</v>
      </c>
      <c r="H401" s="16">
        <f t="shared" si="139"/>
        <v>8634.0900000000074</v>
      </c>
      <c r="I401" s="16">
        <f t="shared" si="139"/>
        <v>8329.320000000007</v>
      </c>
      <c r="J401" s="16">
        <f t="shared" si="139"/>
        <v>8400.6299999999974</v>
      </c>
      <c r="K401" s="16">
        <f t="shared" si="139"/>
        <v>8709.7799999999952</v>
      </c>
      <c r="L401" s="16">
        <f t="shared" si="139"/>
        <v>8763.9300000000039</v>
      </c>
      <c r="M401" s="16">
        <f t="shared" si="125"/>
        <v>8504.3033333333333</v>
      </c>
      <c r="N401" s="65"/>
      <c r="O401" s="65"/>
      <c r="P401" s="66"/>
      <c r="Q401" s="65"/>
      <c r="R401" s="67"/>
      <c r="S401" s="58"/>
      <c r="T401" s="67"/>
      <c r="U401" s="67"/>
      <c r="V401" s="33"/>
      <c r="W401" s="29"/>
    </row>
    <row r="402" spans="1:27">
      <c r="A402" s="86">
        <v>42990</v>
      </c>
      <c r="B402" s="120" t="s">
        <v>348</v>
      </c>
      <c r="C402" s="57" t="s">
        <v>79</v>
      </c>
      <c r="D402" s="58">
        <v>29329.19</v>
      </c>
      <c r="E402" s="58">
        <v>29167.34</v>
      </c>
      <c r="F402" s="58">
        <v>29226.36</v>
      </c>
      <c r="G402" s="58">
        <v>29163.360000000001</v>
      </c>
      <c r="H402" s="58">
        <v>29347.52</v>
      </c>
      <c r="I402" s="58">
        <v>29340.799999999999</v>
      </c>
      <c r="J402" s="58">
        <v>29178.59</v>
      </c>
      <c r="K402" s="58">
        <v>29145.09</v>
      </c>
      <c r="L402" s="58">
        <v>29329.72</v>
      </c>
      <c r="M402" s="16">
        <f t="shared" si="125"/>
        <v>29247.552222222221</v>
      </c>
      <c r="N402" s="59">
        <f>IF((L403=""),"",MAX(D404:L404))</f>
        <v>8711.1600000000035</v>
      </c>
      <c r="O402" s="59">
        <f>IF(L403="","",MIN(D404:L404))</f>
        <v>8218.1099999999969</v>
      </c>
      <c r="P402" s="60">
        <f>IF((L404=""),"",AVERAGE(D404:L404))</f>
        <v>8467.7033333333347</v>
      </c>
      <c r="Q402" s="156">
        <f>IF((L403=""),"",((N402-O402)/(N402+O402)*100))</f>
        <v>2.9124114625143704</v>
      </c>
      <c r="R402" s="61" t="str">
        <f>IF(L403="","",IF(Q402&lt;Z402,IF(O402&gt;V402,IF(N402&lt;W402,"PASS","FAIL"),"FAIL"),"FAIL"))</f>
        <v>FAIL</v>
      </c>
      <c r="S402" s="62">
        <v>1159</v>
      </c>
      <c r="T402" s="61"/>
      <c r="U402" s="61"/>
      <c r="V402" s="110">
        <v>9000</v>
      </c>
      <c r="W402" s="110">
        <v>25000</v>
      </c>
      <c r="X402" s="111">
        <v>8090</v>
      </c>
      <c r="Y402" s="111">
        <v>12070</v>
      </c>
      <c r="Z402" s="112">
        <v>15</v>
      </c>
      <c r="AA402" s="112">
        <v>6</v>
      </c>
    </row>
    <row r="403" spans="1:27" ht="15.75">
      <c r="A403"/>
      <c r="B403" s="121"/>
      <c r="C403" s="57" t="s">
        <v>80</v>
      </c>
      <c r="D403" s="16">
        <v>26589.82</v>
      </c>
      <c r="E403" s="16">
        <v>26323.61</v>
      </c>
      <c r="F403" s="16">
        <v>26399.03</v>
      </c>
      <c r="G403" s="16">
        <v>26346.17</v>
      </c>
      <c r="H403" s="16">
        <v>26528.14</v>
      </c>
      <c r="I403" s="16">
        <v>26568.71</v>
      </c>
      <c r="J403" s="16">
        <v>26380.400000000001</v>
      </c>
      <c r="K403" s="16">
        <v>26262.98</v>
      </c>
      <c r="L403" s="16">
        <v>26426</v>
      </c>
      <c r="M403" s="16">
        <f t="shared" si="125"/>
        <v>26424.984444444442</v>
      </c>
      <c r="N403" s="53"/>
      <c r="O403" s="53"/>
      <c r="P403" s="63"/>
      <c r="Q403" s="53"/>
      <c r="R403" s="64"/>
      <c r="S403" s="54"/>
      <c r="T403" s="64"/>
      <c r="U403" s="64"/>
      <c r="V403" s="32"/>
      <c r="W403" s="29"/>
    </row>
    <row r="404" spans="1:27" ht="28.5" customHeight="1">
      <c r="A404"/>
      <c r="B404" s="121"/>
      <c r="C404" s="57" t="s">
        <v>82</v>
      </c>
      <c r="D404" s="16">
        <f t="shared" ref="D404:L404" si="140">IF(((D402="")*AND(D403="")),"",(D402-D403)*3)</f>
        <v>8218.1099999999969</v>
      </c>
      <c r="E404" s="16">
        <f t="shared" si="140"/>
        <v>8531.1899999999987</v>
      </c>
      <c r="F404" s="16">
        <f t="shared" si="140"/>
        <v>8481.9900000000052</v>
      </c>
      <c r="G404" s="16">
        <f t="shared" si="140"/>
        <v>8451.570000000007</v>
      </c>
      <c r="H404" s="16">
        <f t="shared" si="140"/>
        <v>8458.1400000000031</v>
      </c>
      <c r="I404" s="16">
        <f t="shared" si="140"/>
        <v>8316.27</v>
      </c>
      <c r="J404" s="16">
        <f t="shared" si="140"/>
        <v>8394.5699999999961</v>
      </c>
      <c r="K404" s="16">
        <f t="shared" si="140"/>
        <v>8646.3300000000017</v>
      </c>
      <c r="L404" s="16">
        <f t="shared" si="140"/>
        <v>8711.1600000000035</v>
      </c>
      <c r="M404" s="16">
        <f t="shared" si="125"/>
        <v>8467.7033333333347</v>
      </c>
      <c r="N404" s="65"/>
      <c r="O404" s="65"/>
      <c r="P404" s="66"/>
      <c r="Q404" s="65"/>
      <c r="R404" s="67"/>
      <c r="S404" s="58"/>
      <c r="T404" s="67"/>
      <c r="U404" s="67"/>
      <c r="V404" s="33"/>
      <c r="W404" s="29"/>
    </row>
    <row r="405" spans="1:27">
      <c r="A405" s="86">
        <v>42990</v>
      </c>
      <c r="B405" s="120" t="s">
        <v>348</v>
      </c>
      <c r="C405" s="57" t="s">
        <v>79</v>
      </c>
      <c r="D405" s="58">
        <v>29286.43</v>
      </c>
      <c r="E405" s="58">
        <v>29150.52</v>
      </c>
      <c r="F405" s="58">
        <v>29198.37</v>
      </c>
      <c r="G405" s="58">
        <v>29121.66</v>
      </c>
      <c r="H405" s="58">
        <v>29312.83</v>
      </c>
      <c r="I405" s="58">
        <v>29204.03</v>
      </c>
      <c r="J405" s="58">
        <v>29119.5</v>
      </c>
      <c r="K405" s="58">
        <v>29124.720000000001</v>
      </c>
      <c r="L405" s="58">
        <v>29318.21</v>
      </c>
      <c r="M405" s="16">
        <f t="shared" si="125"/>
        <v>29204.030000000002</v>
      </c>
      <c r="N405" s="59">
        <f>IF((L406=""),"",MAX(D407:L407))</f>
        <v>10048.830000000002</v>
      </c>
      <c r="O405" s="59">
        <f>IF(L406="","",MIN(D407:L407))</f>
        <v>9194.1299999999974</v>
      </c>
      <c r="P405" s="60">
        <f>IF((L407=""),"",AVERAGE(D407:L407))</f>
        <v>9752.0766666666677</v>
      </c>
      <c r="Q405" s="156">
        <f>IF((L406=""),"",((N405-O405)/(N405+O405)*100))</f>
        <v>4.4416243654822569</v>
      </c>
      <c r="R405" s="61" t="str">
        <f>IF(L406="","",IF(Q405&lt;Z405,IF(O405&gt;V405,IF(N405&lt;W405,"PASS","FAIL"),"FAIL"),"FAIL"))</f>
        <v>PASS</v>
      </c>
      <c r="S405" s="62">
        <v>102</v>
      </c>
      <c r="T405" s="61" t="s">
        <v>166</v>
      </c>
      <c r="U405" s="61"/>
      <c r="V405" s="110">
        <v>9000</v>
      </c>
      <c r="W405" s="110">
        <v>25000</v>
      </c>
      <c r="X405" s="111">
        <v>8090</v>
      </c>
      <c r="Y405" s="111">
        <v>12070</v>
      </c>
      <c r="Z405" s="112">
        <v>15</v>
      </c>
      <c r="AA405" s="112">
        <v>6</v>
      </c>
    </row>
    <row r="406" spans="1:27" ht="15.75">
      <c r="A406"/>
      <c r="B406" s="121"/>
      <c r="C406" s="57" t="s">
        <v>80</v>
      </c>
      <c r="D406" s="16">
        <v>26098.86</v>
      </c>
      <c r="E406" s="16">
        <v>25835.02</v>
      </c>
      <c r="F406" s="16">
        <v>25934.39</v>
      </c>
      <c r="G406" s="16">
        <v>25868.62</v>
      </c>
      <c r="H406" s="16">
        <v>26029.96</v>
      </c>
      <c r="I406" s="16">
        <v>26139.32</v>
      </c>
      <c r="J406" s="16">
        <v>25893.32</v>
      </c>
      <c r="K406" s="16">
        <v>25775.11</v>
      </c>
      <c r="L406" s="16">
        <v>26005.439999999999</v>
      </c>
      <c r="M406" s="16">
        <f t="shared" si="125"/>
        <v>25953.337777777782</v>
      </c>
      <c r="N406" s="53"/>
      <c r="O406" s="53"/>
      <c r="P406" s="63"/>
      <c r="Q406" s="53"/>
      <c r="R406" s="64"/>
      <c r="S406" s="54"/>
      <c r="T406" s="64"/>
      <c r="U406" s="64"/>
      <c r="V406" s="32"/>
      <c r="W406" s="29"/>
    </row>
    <row r="407" spans="1:27" ht="28.5" customHeight="1">
      <c r="A407"/>
      <c r="B407" s="121"/>
      <c r="C407" s="57" t="s">
        <v>82</v>
      </c>
      <c r="D407" s="16">
        <f t="shared" ref="D407:L407" si="141">IF(((D405="")*AND(D406="")),"",(D405-D406)*3)</f>
        <v>9562.7099999999991</v>
      </c>
      <c r="E407" s="16">
        <f t="shared" si="141"/>
        <v>9946.5</v>
      </c>
      <c r="F407" s="16">
        <f t="shared" si="141"/>
        <v>9791.9399999999987</v>
      </c>
      <c r="G407" s="16">
        <f t="shared" si="141"/>
        <v>9759.1200000000026</v>
      </c>
      <c r="H407" s="16">
        <f t="shared" si="141"/>
        <v>9848.6100000000079</v>
      </c>
      <c r="I407" s="16">
        <f t="shared" si="141"/>
        <v>9194.1299999999974</v>
      </c>
      <c r="J407" s="16">
        <f t="shared" si="141"/>
        <v>9678.5400000000009</v>
      </c>
      <c r="K407" s="16">
        <f t="shared" si="141"/>
        <v>10048.830000000002</v>
      </c>
      <c r="L407" s="16">
        <f t="shared" si="141"/>
        <v>9938.3100000000013</v>
      </c>
      <c r="M407" s="16">
        <f t="shared" si="125"/>
        <v>9752.0766666666677</v>
      </c>
      <c r="N407" s="65"/>
      <c r="O407" s="65"/>
      <c r="P407" s="66"/>
      <c r="Q407" s="65"/>
      <c r="R407" s="67"/>
      <c r="S407" s="58"/>
      <c r="T407" s="67"/>
      <c r="U407" s="67"/>
      <c r="V407" s="33"/>
      <c r="W407" s="29"/>
    </row>
    <row r="408" spans="1:27">
      <c r="A408" s="86">
        <v>42999</v>
      </c>
      <c r="B408" s="120" t="s">
        <v>348</v>
      </c>
      <c r="C408" s="57" t="s">
        <v>79</v>
      </c>
      <c r="D408" s="58">
        <v>29353.51</v>
      </c>
      <c r="E408" s="58">
        <v>29180.3</v>
      </c>
      <c r="F408" s="58">
        <v>29223.69</v>
      </c>
      <c r="G408" s="58">
        <v>29164.09</v>
      </c>
      <c r="H408" s="58">
        <v>29344.92</v>
      </c>
      <c r="I408" s="58">
        <v>29362.41</v>
      </c>
      <c r="J408" s="58">
        <v>29180.01</v>
      </c>
      <c r="K408" s="58">
        <v>29157.82</v>
      </c>
      <c r="L408" s="58">
        <v>29334.799999999999</v>
      </c>
      <c r="M408" s="16">
        <f t="shared" si="125"/>
        <v>29255.727777777782</v>
      </c>
      <c r="N408" s="59">
        <f>IF((L409=""),"",MAX(D410:L410))</f>
        <v>9237.4199999999983</v>
      </c>
      <c r="O408" s="59">
        <f>IF(L409="","",MIN(D410:L410))</f>
        <v>8732.8499999999913</v>
      </c>
      <c r="P408" s="60">
        <f>IF((L410=""),"",AVERAGE(D410:L410))</f>
        <v>9012.3199999999979</v>
      </c>
      <c r="Q408" s="156">
        <f>IF((L409=""),"",((N408-O408)/(N408+O408)*100))</f>
        <v>2.8078042233088722</v>
      </c>
      <c r="R408" s="61" t="str">
        <f>IF(L409="","",IF(Q408&lt;Z408,IF(O408&gt;V408,IF(N408&lt;W408,"PASS","FAIL"),"FAIL"),"FAIL"))</f>
        <v>FAIL</v>
      </c>
      <c r="S408" s="62"/>
      <c r="T408" s="61"/>
      <c r="U408" s="61"/>
      <c r="V408" s="110">
        <v>9000</v>
      </c>
      <c r="W408" s="110">
        <v>25000</v>
      </c>
      <c r="X408" s="111">
        <v>8090</v>
      </c>
      <c r="Y408" s="111">
        <v>12070</v>
      </c>
      <c r="Z408" s="112">
        <v>15</v>
      </c>
      <c r="AA408" s="112">
        <v>6</v>
      </c>
    </row>
    <row r="409" spans="1:27" ht="15.75">
      <c r="A409"/>
      <c r="B409" s="121"/>
      <c r="C409" s="57" t="s">
        <v>80</v>
      </c>
      <c r="D409" s="16">
        <v>26442.560000000001</v>
      </c>
      <c r="E409" s="16">
        <v>26162.5</v>
      </c>
      <c r="F409" s="16">
        <v>26230.76</v>
      </c>
      <c r="G409" s="16">
        <v>26156.21</v>
      </c>
      <c r="H409" s="16">
        <v>26329.58</v>
      </c>
      <c r="I409" s="16">
        <v>26406.91</v>
      </c>
      <c r="J409" s="16">
        <v>26198.63</v>
      </c>
      <c r="K409" s="16">
        <v>26078.68</v>
      </c>
      <c r="L409" s="16">
        <v>26258.76</v>
      </c>
      <c r="M409" s="16">
        <f t="shared" si="125"/>
        <v>26251.621111111112</v>
      </c>
      <c r="N409" s="53"/>
      <c r="O409" s="53"/>
      <c r="P409" s="63"/>
      <c r="Q409" s="53"/>
      <c r="R409" s="64"/>
      <c r="S409" s="54"/>
      <c r="T409" s="64"/>
      <c r="U409" s="64"/>
      <c r="V409" s="32"/>
      <c r="W409" s="29"/>
    </row>
    <row r="410" spans="1:27" ht="28.5" customHeight="1">
      <c r="A410"/>
      <c r="B410" s="121"/>
      <c r="C410" s="57" t="s">
        <v>82</v>
      </c>
      <c r="D410" s="16">
        <f t="shared" ref="D410:L410" si="142">IF(((D408="")*AND(D409="")),"",(D408-D409)*3)</f>
        <v>8732.8499999999913</v>
      </c>
      <c r="E410" s="16">
        <f t="shared" si="142"/>
        <v>9053.3999999999978</v>
      </c>
      <c r="F410" s="16">
        <f t="shared" si="142"/>
        <v>8978.7900000000009</v>
      </c>
      <c r="G410" s="16">
        <f t="shared" si="142"/>
        <v>9023.6400000000031</v>
      </c>
      <c r="H410" s="16">
        <f t="shared" si="142"/>
        <v>9046.0199999999895</v>
      </c>
      <c r="I410" s="16">
        <f t="shared" si="142"/>
        <v>8866.5</v>
      </c>
      <c r="J410" s="16">
        <f t="shared" si="142"/>
        <v>8944.1399999999921</v>
      </c>
      <c r="K410" s="16">
        <f t="shared" si="142"/>
        <v>9237.4199999999983</v>
      </c>
      <c r="L410" s="16">
        <f t="shared" si="142"/>
        <v>9228.1200000000026</v>
      </c>
      <c r="M410" s="16">
        <f t="shared" si="125"/>
        <v>9012.3199999999979</v>
      </c>
      <c r="N410" s="65"/>
      <c r="O410" s="65"/>
      <c r="P410" s="66"/>
      <c r="Q410" s="65"/>
      <c r="R410" s="67"/>
      <c r="S410" s="58"/>
      <c r="T410" s="67"/>
      <c r="U410" s="67"/>
      <c r="V410" s="33"/>
      <c r="W410" s="29"/>
    </row>
    <row r="411" spans="1:27">
      <c r="A411" s="86">
        <v>43003</v>
      </c>
      <c r="B411" s="120" t="s">
        <v>348</v>
      </c>
      <c r="C411" s="57" t="s">
        <v>79</v>
      </c>
      <c r="D411" s="58">
        <v>29215.61</v>
      </c>
      <c r="E411" s="58">
        <v>29065.08</v>
      </c>
      <c r="F411" s="58">
        <v>29113.54</v>
      </c>
      <c r="G411" s="58">
        <v>29037.89</v>
      </c>
      <c r="H411" s="58">
        <v>29188.12</v>
      </c>
      <c r="I411" s="58">
        <v>29194.959999999999</v>
      </c>
      <c r="J411" s="58">
        <v>29043.39</v>
      </c>
      <c r="K411" s="58">
        <v>29032.03</v>
      </c>
      <c r="L411" s="58">
        <v>29252.12</v>
      </c>
      <c r="M411" s="16">
        <f t="shared" si="125"/>
        <v>29126.971111111114</v>
      </c>
      <c r="N411" s="59">
        <f>IF((L412=""),"",MAX(D413:L413))</f>
        <v>8929.23</v>
      </c>
      <c r="O411" s="59">
        <f>IF(L412="","",MIN(D413:L413))</f>
        <v>8416.2900000000009</v>
      </c>
      <c r="P411" s="60">
        <f>IF((L413=""),"",AVERAGE(D413:L413))</f>
        <v>8702.5066666666662</v>
      </c>
      <c r="Q411" s="156">
        <f>IF((L412=""),"",((N411-O411)/(N411+O411)*100))</f>
        <v>2.9571900986537081</v>
      </c>
      <c r="R411" s="61" t="str">
        <f>IF(L412="","",IF(Q411&lt;Z411,IF(O411&gt;V411,IF(N411&lt;W411,"PASS","FAIL"),"FAIL"),"FAIL"))</f>
        <v>FAIL</v>
      </c>
      <c r="S411" s="62">
        <v>1534</v>
      </c>
      <c r="T411" s="61"/>
      <c r="U411" s="61"/>
      <c r="V411" s="110">
        <v>9000</v>
      </c>
      <c r="W411" s="110">
        <v>25000</v>
      </c>
      <c r="X411" s="111">
        <v>8090</v>
      </c>
      <c r="Y411" s="111">
        <v>12070</v>
      </c>
      <c r="Z411" s="112">
        <v>15</v>
      </c>
      <c r="AA411" s="112">
        <v>6</v>
      </c>
    </row>
    <row r="412" spans="1:27" ht="15.75">
      <c r="A412"/>
      <c r="B412" s="121"/>
      <c r="C412" s="57" t="s">
        <v>80</v>
      </c>
      <c r="D412" s="16">
        <v>26268.13</v>
      </c>
      <c r="E412" s="16">
        <v>26147.13</v>
      </c>
      <c r="F412" s="16">
        <v>26227.759999999998</v>
      </c>
      <c r="G412" s="16">
        <v>26118.240000000002</v>
      </c>
      <c r="H412" s="16">
        <v>26377.72</v>
      </c>
      <c r="I412" s="16">
        <v>26221.95</v>
      </c>
      <c r="J412" s="16">
        <v>26066.98</v>
      </c>
      <c r="K412" s="16">
        <v>26160.62</v>
      </c>
      <c r="L412" s="16">
        <v>26446.69</v>
      </c>
      <c r="M412" s="16">
        <f t="shared" si="125"/>
        <v>26226.13555555556</v>
      </c>
      <c r="N412" s="53"/>
      <c r="O412" s="53"/>
      <c r="P412" s="63"/>
      <c r="Q412" s="53"/>
      <c r="R412" s="64"/>
      <c r="S412" s="54"/>
      <c r="T412" s="64"/>
      <c r="U412" s="64"/>
      <c r="V412" s="32"/>
      <c r="W412" s="29"/>
    </row>
    <row r="413" spans="1:27" ht="28.5" customHeight="1">
      <c r="A413"/>
      <c r="B413" s="121"/>
      <c r="C413" s="57" t="s">
        <v>82</v>
      </c>
      <c r="D413" s="16">
        <f t="shared" ref="D413:L413" si="143">IF(((D411="")*AND(D412="")),"",(D411-D412)*3)</f>
        <v>8842.4399999999987</v>
      </c>
      <c r="E413" s="16">
        <f t="shared" si="143"/>
        <v>8753.8500000000022</v>
      </c>
      <c r="F413" s="16">
        <f t="shared" si="143"/>
        <v>8657.3400000000074</v>
      </c>
      <c r="G413" s="16">
        <f t="shared" si="143"/>
        <v>8758.9499999999935</v>
      </c>
      <c r="H413" s="16">
        <f t="shared" si="143"/>
        <v>8431.1999999999935</v>
      </c>
      <c r="I413" s="16">
        <f t="shared" si="143"/>
        <v>8919.0299999999952</v>
      </c>
      <c r="J413" s="16">
        <f t="shared" si="143"/>
        <v>8929.23</v>
      </c>
      <c r="K413" s="16">
        <f t="shared" si="143"/>
        <v>8614.23</v>
      </c>
      <c r="L413" s="16">
        <f t="shared" si="143"/>
        <v>8416.2900000000009</v>
      </c>
      <c r="M413" s="16">
        <f t="shared" si="125"/>
        <v>8702.5066666666662</v>
      </c>
      <c r="N413" s="65"/>
      <c r="O413" s="65"/>
      <c r="P413" s="66"/>
      <c r="Q413" s="65"/>
      <c r="R413" s="67"/>
      <c r="S413" s="58"/>
      <c r="T413" s="67"/>
      <c r="U413" s="67"/>
      <c r="V413" s="33"/>
      <c r="W413" s="29"/>
    </row>
    <row r="414" spans="1:27">
      <c r="A414" s="86">
        <v>43003</v>
      </c>
      <c r="B414" s="120" t="s">
        <v>348</v>
      </c>
      <c r="C414" s="57" t="s">
        <v>79</v>
      </c>
      <c r="D414" s="58">
        <v>29234.46</v>
      </c>
      <c r="E414" s="58">
        <v>29060.58</v>
      </c>
      <c r="F414" s="58">
        <v>29055.83</v>
      </c>
      <c r="G414" s="58">
        <v>29060.19</v>
      </c>
      <c r="H414" s="58">
        <v>29276.38</v>
      </c>
      <c r="I414" s="58">
        <v>29237.75</v>
      </c>
      <c r="J414" s="58">
        <v>29046.57</v>
      </c>
      <c r="K414" s="58">
        <v>29048.47</v>
      </c>
      <c r="L414" s="58">
        <v>29317.88</v>
      </c>
      <c r="M414" s="16">
        <f t="shared" si="125"/>
        <v>29148.678888888888</v>
      </c>
      <c r="N414" s="59">
        <f>IF((L415=""),"",MAX(D416:L416))</f>
        <v>6394.0800000000017</v>
      </c>
      <c r="O414" s="59">
        <f>IF(L415="","",MIN(D416:L416))</f>
        <v>5864.5499999999956</v>
      </c>
      <c r="P414" s="60">
        <f>IF((L416=""),"",AVERAGE(D416:L416))</f>
        <v>6123.7433333333365</v>
      </c>
      <c r="Q414" s="156">
        <f>IF((L415=""),"",((N414-O414)/(N414+O414)*100))</f>
        <v>4.3196507276914815</v>
      </c>
      <c r="R414" s="61" t="str">
        <f>IF(L415="","",IF(Q414&lt;Z414,IF(O414&gt;V414,IF(N414&lt;W414,"PASS","FAIL"),"FAIL"),"FAIL"))</f>
        <v>FAIL</v>
      </c>
      <c r="S414" s="62">
        <v>1534</v>
      </c>
      <c r="T414" s="61"/>
      <c r="U414" s="61"/>
      <c r="V414" s="110">
        <v>9000</v>
      </c>
      <c r="W414" s="110">
        <v>25000</v>
      </c>
      <c r="X414" s="111">
        <v>8090</v>
      </c>
      <c r="Y414" s="111">
        <v>12070</v>
      </c>
      <c r="Z414" s="112">
        <v>15</v>
      </c>
      <c r="AA414" s="112">
        <v>6</v>
      </c>
    </row>
    <row r="415" spans="1:27" ht="15.75">
      <c r="A415"/>
      <c r="B415" s="121"/>
      <c r="C415" s="57" t="s">
        <v>80</v>
      </c>
      <c r="D415" s="16">
        <v>27279.61</v>
      </c>
      <c r="E415" s="16">
        <v>27034.93</v>
      </c>
      <c r="F415" s="16">
        <v>27067.17</v>
      </c>
      <c r="G415" s="16">
        <v>27002.83</v>
      </c>
      <c r="H415" s="16">
        <v>27181.01</v>
      </c>
      <c r="I415" s="16">
        <v>27208.42</v>
      </c>
      <c r="J415" s="16">
        <v>27032.76</v>
      </c>
      <c r="K415" s="16">
        <v>26973.63</v>
      </c>
      <c r="L415" s="16">
        <v>27186.52</v>
      </c>
      <c r="M415" s="16">
        <f t="shared" si="125"/>
        <v>27107.431111111109</v>
      </c>
      <c r="N415" s="53"/>
      <c r="O415" s="53"/>
      <c r="P415" s="63"/>
      <c r="Q415" s="53"/>
      <c r="R415" s="64"/>
      <c r="S415" s="54"/>
      <c r="T415" s="64"/>
      <c r="U415" s="64"/>
      <c r="V415" s="32"/>
      <c r="W415" s="29"/>
    </row>
    <row r="416" spans="1:27" ht="28.5" customHeight="1">
      <c r="A416"/>
      <c r="B416" s="121"/>
      <c r="C416" s="57" t="s">
        <v>82</v>
      </c>
      <c r="D416" s="16">
        <f t="shared" ref="D416:L416" si="144">IF(((D414="")*AND(D415="")),"",(D414-D415)*3)</f>
        <v>5864.5499999999956</v>
      </c>
      <c r="E416" s="16">
        <f t="shared" si="144"/>
        <v>6076.9500000000044</v>
      </c>
      <c r="F416" s="16">
        <f t="shared" si="144"/>
        <v>5965.9800000000105</v>
      </c>
      <c r="G416" s="16">
        <f t="shared" si="144"/>
        <v>6172.0799999999908</v>
      </c>
      <c r="H416" s="16">
        <f t="shared" si="144"/>
        <v>6286.1100000000079</v>
      </c>
      <c r="I416" s="16">
        <f t="shared" si="144"/>
        <v>6087.9900000000052</v>
      </c>
      <c r="J416" s="16">
        <f t="shared" si="144"/>
        <v>6041.4300000000039</v>
      </c>
      <c r="K416" s="16">
        <f t="shared" si="144"/>
        <v>6224.52</v>
      </c>
      <c r="L416" s="16">
        <f t="shared" si="144"/>
        <v>6394.0800000000017</v>
      </c>
      <c r="M416" s="16">
        <f t="shared" si="125"/>
        <v>6123.7433333333365</v>
      </c>
      <c r="N416" s="65"/>
      <c r="O416" s="65"/>
      <c r="P416" s="66"/>
      <c r="Q416" s="65"/>
      <c r="R416" s="67"/>
      <c r="S416" s="58"/>
      <c r="T416" s="67"/>
      <c r="U416" s="67"/>
      <c r="V416" s="33"/>
      <c r="W416" s="29"/>
    </row>
    <row r="417" spans="1:27">
      <c r="A417" s="86">
        <v>43004</v>
      </c>
      <c r="B417" s="120" t="s">
        <v>348</v>
      </c>
      <c r="C417" s="57" t="s">
        <v>79</v>
      </c>
      <c r="D417" s="58">
        <v>29230.65</v>
      </c>
      <c r="E417" s="58">
        <v>29048.65</v>
      </c>
      <c r="F417" s="58">
        <v>29048.97</v>
      </c>
      <c r="G417" s="58">
        <v>29054.29</v>
      </c>
      <c r="H417" s="58">
        <v>29252.65</v>
      </c>
      <c r="I417" s="58">
        <v>29254.04</v>
      </c>
      <c r="J417" s="58">
        <v>29047.19</v>
      </c>
      <c r="K417" s="58">
        <v>29053.46</v>
      </c>
      <c r="L417" s="58">
        <v>29315.919999999998</v>
      </c>
      <c r="M417" s="16">
        <f t="shared" si="125"/>
        <v>29145.091111111113</v>
      </c>
      <c r="N417" s="59">
        <f>IF((L418=""),"",MAX(D419:L419))</f>
        <v>7402.7699999999895</v>
      </c>
      <c r="O417" s="59">
        <f>IF(L418="","",MIN(D419:L419))</f>
        <v>6858.9000000000087</v>
      </c>
      <c r="P417" s="60">
        <f>IF((L419=""),"",AVERAGE(D419:L419))</f>
        <v>7142.003333333334</v>
      </c>
      <c r="Q417" s="156">
        <f>IF((L418=""),"",((N417-O417)/(N417+O417)*100))</f>
        <v>3.8135085161834543</v>
      </c>
      <c r="R417" s="61" t="str">
        <f>IF(L418="","",IF(Q417&lt;Z417,IF(O417&gt;V417,IF(N417&lt;W417,"PASS","FAIL"),"FAIL"),"FAIL"))</f>
        <v>FAIL</v>
      </c>
      <c r="S417" s="62">
        <v>121</v>
      </c>
      <c r="T417" s="61"/>
      <c r="U417" s="61"/>
      <c r="V417" s="110">
        <v>9000</v>
      </c>
      <c r="W417" s="110">
        <v>25000</v>
      </c>
      <c r="X417" s="111">
        <v>8090</v>
      </c>
      <c r="Y417" s="111">
        <v>12070</v>
      </c>
      <c r="Z417" s="112">
        <v>15</v>
      </c>
      <c r="AA417" s="112">
        <v>6</v>
      </c>
    </row>
    <row r="418" spans="1:27" ht="15.75">
      <c r="A418"/>
      <c r="B418" s="121"/>
      <c r="C418" s="57" t="s">
        <v>80</v>
      </c>
      <c r="D418" s="16">
        <v>26944.35</v>
      </c>
      <c r="E418" s="16">
        <v>26659.05</v>
      </c>
      <c r="F418" s="16">
        <v>26681.79</v>
      </c>
      <c r="G418" s="16">
        <v>26671</v>
      </c>
      <c r="H418" s="16">
        <v>26869.27</v>
      </c>
      <c r="I418" s="16">
        <v>26901.61</v>
      </c>
      <c r="J418" s="16">
        <v>26691.98</v>
      </c>
      <c r="K418" s="16">
        <v>26612.43</v>
      </c>
      <c r="L418" s="16">
        <v>26848.33</v>
      </c>
      <c r="M418" s="16">
        <f t="shared" si="125"/>
        <v>26764.423333333332</v>
      </c>
      <c r="N418" s="53"/>
      <c r="O418" s="53"/>
      <c r="P418" s="63"/>
      <c r="Q418" s="53"/>
      <c r="R418" s="64"/>
      <c r="S418" s="54"/>
      <c r="T418" s="64"/>
      <c r="U418" s="64"/>
      <c r="V418" s="32"/>
      <c r="W418" s="29"/>
    </row>
    <row r="419" spans="1:27" ht="28.5" customHeight="1">
      <c r="A419"/>
      <c r="B419" s="121"/>
      <c r="C419" s="57" t="s">
        <v>82</v>
      </c>
      <c r="D419" s="16">
        <f t="shared" ref="D419:L419" si="145">IF(((D417="")*AND(D418="")),"",(D417-D418)*3)</f>
        <v>6858.9000000000087</v>
      </c>
      <c r="E419" s="16">
        <f t="shared" si="145"/>
        <v>7168.8000000000065</v>
      </c>
      <c r="F419" s="16">
        <f t="shared" si="145"/>
        <v>7101.5400000000009</v>
      </c>
      <c r="G419" s="16">
        <f t="shared" si="145"/>
        <v>7149.8700000000026</v>
      </c>
      <c r="H419" s="16">
        <f t="shared" si="145"/>
        <v>7150.1400000000031</v>
      </c>
      <c r="I419" s="16">
        <f t="shared" si="145"/>
        <v>7057.2900000000009</v>
      </c>
      <c r="J419" s="16">
        <f t="shared" si="145"/>
        <v>7065.6299999999974</v>
      </c>
      <c r="K419" s="16">
        <f t="shared" si="145"/>
        <v>7323.0899999999965</v>
      </c>
      <c r="L419" s="16">
        <f t="shared" si="145"/>
        <v>7402.7699999999895</v>
      </c>
      <c r="M419" s="16">
        <f t="shared" si="125"/>
        <v>7142.003333333334</v>
      </c>
      <c r="N419" s="65"/>
      <c r="O419" s="65"/>
      <c r="P419" s="66"/>
      <c r="Q419" s="65"/>
      <c r="R419" s="67"/>
      <c r="S419" s="58"/>
      <c r="T419" s="67"/>
      <c r="U419" s="67"/>
      <c r="V419" s="33"/>
      <c r="W419" s="29"/>
    </row>
    <row r="420" spans="1:27">
      <c r="A420" s="86">
        <v>43004</v>
      </c>
      <c r="B420" s="120" t="s">
        <v>348</v>
      </c>
      <c r="C420" s="57" t="s">
        <v>79</v>
      </c>
      <c r="D420" s="58">
        <v>29048.5</v>
      </c>
      <c r="E420" s="58">
        <v>28879.55</v>
      </c>
      <c r="F420" s="58">
        <v>28893.43</v>
      </c>
      <c r="G420" s="58">
        <v>28862.17</v>
      </c>
      <c r="H420" s="58">
        <v>29028.22</v>
      </c>
      <c r="I420" s="58">
        <v>29029.64</v>
      </c>
      <c r="J420" s="58">
        <v>28872.880000000001</v>
      </c>
      <c r="K420" s="58">
        <v>28858.22</v>
      </c>
      <c r="L420" s="58">
        <v>29086.51</v>
      </c>
      <c r="M420" s="16">
        <f t="shared" si="125"/>
        <v>28951.013333333336</v>
      </c>
      <c r="N420" s="59">
        <f>IF((L421=""),"",MAX(D422:L422))</f>
        <v>9003.6600000000035</v>
      </c>
      <c r="O420" s="59">
        <f>IF(L421="","",MIN(D422:L422))</f>
        <v>8506.4699999999939</v>
      </c>
      <c r="P420" s="60">
        <f>IF((L422=""),"",AVERAGE(D422:L422))</f>
        <v>8787.5166666666664</v>
      </c>
      <c r="Q420" s="156">
        <f>IF((L421=""),"",((N420-O420)/(N420+O420)*100))</f>
        <v>2.8394420829543221</v>
      </c>
      <c r="R420" s="61" t="str">
        <f>IF(L421="","",IF(Q420&lt;Z420,IF(O420&gt;V420,IF(N420&lt;W420,"PASS","FAIL"),"FAIL"),"FAIL"))</f>
        <v>FAIL</v>
      </c>
      <c r="S420" s="62">
        <v>121</v>
      </c>
      <c r="T420" s="61"/>
      <c r="U420" s="61"/>
      <c r="V420" s="110">
        <v>9000</v>
      </c>
      <c r="W420" s="110">
        <v>25000</v>
      </c>
      <c r="X420" s="111">
        <v>8090</v>
      </c>
      <c r="Y420" s="111">
        <v>12070</v>
      </c>
      <c r="Z420" s="112">
        <v>15</v>
      </c>
      <c r="AA420" s="112">
        <v>6</v>
      </c>
    </row>
    <row r="421" spans="1:27" ht="15.75">
      <c r="A421"/>
      <c r="B421" s="121"/>
      <c r="C421" s="57" t="s">
        <v>80</v>
      </c>
      <c r="D421" s="16">
        <v>26064.85</v>
      </c>
      <c r="E421" s="16">
        <v>25939.759999999998</v>
      </c>
      <c r="F421" s="16">
        <v>25966.71</v>
      </c>
      <c r="G421" s="16">
        <v>25911.57</v>
      </c>
      <c r="H421" s="16">
        <v>26187.19</v>
      </c>
      <c r="I421" s="16">
        <v>26038.58</v>
      </c>
      <c r="J421" s="16">
        <v>25871.66</v>
      </c>
      <c r="K421" s="16">
        <v>25965.23</v>
      </c>
      <c r="L421" s="16">
        <v>26251.02</v>
      </c>
      <c r="M421" s="16">
        <f t="shared" si="125"/>
        <v>26021.841111111116</v>
      </c>
      <c r="N421" s="53"/>
      <c r="O421" s="53"/>
      <c r="P421" s="63"/>
      <c r="Q421" s="53"/>
      <c r="R421" s="64"/>
      <c r="S421" s="54"/>
      <c r="T421" s="64"/>
      <c r="U421" s="64"/>
      <c r="V421" s="32"/>
      <c r="W421" s="29"/>
    </row>
    <row r="422" spans="1:27" ht="28.5" customHeight="1">
      <c r="A422"/>
      <c r="B422" s="121"/>
      <c r="C422" s="57" t="s">
        <v>82</v>
      </c>
      <c r="D422" s="16">
        <f t="shared" ref="D422:L422" si="146">IF(((D420="")*AND(D421="")),"",(D420-D421)*3)</f>
        <v>8950.9500000000044</v>
      </c>
      <c r="E422" s="16">
        <f t="shared" si="146"/>
        <v>8819.3700000000026</v>
      </c>
      <c r="F422" s="16">
        <f t="shared" si="146"/>
        <v>8780.1600000000035</v>
      </c>
      <c r="G422" s="16">
        <f t="shared" si="146"/>
        <v>8851.7999999999956</v>
      </c>
      <c r="H422" s="16">
        <f t="shared" si="146"/>
        <v>8523.0900000000074</v>
      </c>
      <c r="I422" s="16">
        <f t="shared" si="146"/>
        <v>8973.179999999993</v>
      </c>
      <c r="J422" s="16">
        <f t="shared" si="146"/>
        <v>9003.6600000000035</v>
      </c>
      <c r="K422" s="16">
        <f t="shared" si="146"/>
        <v>8678.9700000000048</v>
      </c>
      <c r="L422" s="16">
        <f t="shared" si="146"/>
        <v>8506.4699999999939</v>
      </c>
      <c r="M422" s="16">
        <f t="shared" si="125"/>
        <v>8787.5166666666664</v>
      </c>
      <c r="N422" s="65"/>
      <c r="O422" s="65"/>
      <c r="P422" s="66"/>
      <c r="Q422" s="65"/>
      <c r="R422" s="67"/>
      <c r="S422" s="58"/>
      <c r="T422" s="67"/>
      <c r="U422" s="67"/>
      <c r="V422" s="33"/>
      <c r="W422" s="29"/>
    </row>
    <row r="423" spans="1:27">
      <c r="A423" s="86">
        <v>43004</v>
      </c>
      <c r="B423" s="120" t="s">
        <v>348</v>
      </c>
      <c r="C423" s="57" t="s">
        <v>79</v>
      </c>
      <c r="D423" s="58">
        <v>29043.03</v>
      </c>
      <c r="E423" s="58">
        <v>28879.21</v>
      </c>
      <c r="F423" s="58">
        <v>28880.79</v>
      </c>
      <c r="G423" s="58">
        <v>28891.64</v>
      </c>
      <c r="H423" s="58">
        <v>29111.119999999999</v>
      </c>
      <c r="I423" s="58">
        <v>29065.97</v>
      </c>
      <c r="J423" s="58">
        <v>28878.880000000001</v>
      </c>
      <c r="K423" s="58">
        <v>28880.76</v>
      </c>
      <c r="L423" s="58">
        <v>29131.27</v>
      </c>
      <c r="M423" s="16">
        <f t="shared" ref="M423:M486" si="147">SUM(D423:L423)/9</f>
        <v>28973.63</v>
      </c>
      <c r="N423" s="59">
        <f>IF((L424=""),"",MAX(D425:L425))</f>
        <v>9624.6300000000083</v>
      </c>
      <c r="O423" s="59">
        <f>IF(L424="","",MIN(D425:L425))</f>
        <v>9139.9499999999935</v>
      </c>
      <c r="P423" s="60">
        <f>IF((L425=""),"",AVERAGE(D425:L425))</f>
        <v>9376.1533333333336</v>
      </c>
      <c r="Q423" s="156">
        <f>IF((L424=""),"",((N423-O423)/(N423+O423)*100))</f>
        <v>2.5829514969160772</v>
      </c>
      <c r="R423" s="61" t="str">
        <f>IF(L424="","",IF(Q423&lt;Z423,IF(O423&gt;V423,IF(N423&lt;W423,"PASS","FAIL"),"FAIL"),"FAIL"))</f>
        <v>PASS</v>
      </c>
      <c r="S423" s="62" t="s">
        <v>167</v>
      </c>
      <c r="T423" s="61" t="s">
        <v>248</v>
      </c>
      <c r="U423" s="61" t="s">
        <v>249</v>
      </c>
      <c r="V423" s="110">
        <v>9000</v>
      </c>
      <c r="W423" s="110">
        <v>25000</v>
      </c>
      <c r="X423" s="111">
        <v>8090</v>
      </c>
      <c r="Y423" s="111">
        <v>12070</v>
      </c>
      <c r="Z423" s="112">
        <v>15</v>
      </c>
      <c r="AA423" s="112">
        <v>6</v>
      </c>
    </row>
    <row r="424" spans="1:27" ht="15.75">
      <c r="A424"/>
      <c r="B424" s="121"/>
      <c r="C424" s="57" t="s">
        <v>80</v>
      </c>
      <c r="D424" s="16">
        <v>25908.71</v>
      </c>
      <c r="E424" s="16">
        <v>25748.92</v>
      </c>
      <c r="F424" s="16">
        <v>25759.54</v>
      </c>
      <c r="G424" s="16">
        <v>25747.42</v>
      </c>
      <c r="H424" s="16">
        <v>26064.47</v>
      </c>
      <c r="I424" s="16">
        <v>25857.759999999998</v>
      </c>
      <c r="J424" s="16">
        <v>25676.28</v>
      </c>
      <c r="K424" s="16">
        <v>25802.9</v>
      </c>
      <c r="L424" s="16">
        <v>26068.21</v>
      </c>
      <c r="M424" s="16">
        <f t="shared" si="147"/>
        <v>25848.245555555553</v>
      </c>
      <c r="N424" s="53"/>
      <c r="O424" s="53"/>
      <c r="P424" s="63"/>
      <c r="Q424" s="53"/>
      <c r="R424" s="64"/>
      <c r="S424" s="54"/>
      <c r="T424" s="64"/>
      <c r="U424" s="64"/>
      <c r="V424" s="32"/>
      <c r="W424" s="29"/>
    </row>
    <row r="425" spans="1:27" ht="28.5" customHeight="1">
      <c r="A425"/>
      <c r="B425" s="121"/>
      <c r="C425" s="57" t="s">
        <v>82</v>
      </c>
      <c r="D425" s="16">
        <f t="shared" ref="D425:L425" si="148">IF(((D423="")*AND(D424="")),"",(D423-D424)*3)</f>
        <v>9402.9599999999991</v>
      </c>
      <c r="E425" s="16">
        <f t="shared" si="148"/>
        <v>9390.8700000000026</v>
      </c>
      <c r="F425" s="16">
        <f t="shared" si="148"/>
        <v>9363.75</v>
      </c>
      <c r="G425" s="16">
        <f t="shared" si="148"/>
        <v>9432.6600000000035</v>
      </c>
      <c r="H425" s="16">
        <f t="shared" si="148"/>
        <v>9139.9499999999935</v>
      </c>
      <c r="I425" s="16">
        <f t="shared" si="148"/>
        <v>9624.6300000000083</v>
      </c>
      <c r="J425" s="16">
        <f t="shared" si="148"/>
        <v>9607.8000000000065</v>
      </c>
      <c r="K425" s="16">
        <f t="shared" si="148"/>
        <v>9233.5799999999908</v>
      </c>
      <c r="L425" s="16">
        <f t="shared" si="148"/>
        <v>9189.1800000000039</v>
      </c>
      <c r="M425" s="16">
        <f t="shared" si="147"/>
        <v>9376.1533333333336</v>
      </c>
      <c r="N425" s="65"/>
      <c r="O425" s="65"/>
      <c r="P425" s="66"/>
      <c r="Q425" s="65"/>
      <c r="R425" s="67"/>
      <c r="S425" s="58"/>
      <c r="T425" s="67"/>
      <c r="U425" s="67"/>
      <c r="V425" s="33"/>
      <c r="W425" s="29"/>
    </row>
    <row r="426" spans="1:27">
      <c r="A426" s="86">
        <v>43008</v>
      </c>
      <c r="B426" s="120" t="s">
        <v>348</v>
      </c>
      <c r="C426" s="57" t="s">
        <v>79</v>
      </c>
      <c r="D426" s="58">
        <v>29147.11</v>
      </c>
      <c r="E426" s="58">
        <v>28925.26</v>
      </c>
      <c r="F426" s="58">
        <v>28901.62</v>
      </c>
      <c r="G426" s="58">
        <v>28927.56</v>
      </c>
      <c r="H426" s="58">
        <v>29206.92</v>
      </c>
      <c r="I426" s="58">
        <v>29100.14</v>
      </c>
      <c r="J426" s="58">
        <v>28922.240000000002</v>
      </c>
      <c r="K426" s="58">
        <v>28927.21</v>
      </c>
      <c r="L426" s="58">
        <v>29173.55</v>
      </c>
      <c r="M426" s="16">
        <f t="shared" si="147"/>
        <v>29025.734444444439</v>
      </c>
      <c r="N426" s="59">
        <f>IF((L427=""),"",MAX(D428:L428))</f>
        <v>9444.6899999999987</v>
      </c>
      <c r="O426" s="59">
        <f>IF(L427="","",MIN(D428:L428))</f>
        <v>8932.5299999999952</v>
      </c>
      <c r="P426" s="60">
        <f>IF((L428=""),"",AVERAGE(D428:L428))</f>
        <v>9209.3699999999972</v>
      </c>
      <c r="Q426" s="156">
        <f>IF((L427=""),"",((N426-O426)/(N426+O426)*100))</f>
        <v>2.7869285996467563</v>
      </c>
      <c r="R426" s="61" t="str">
        <f>IF(L427="","",IF(Q426&lt;Z426,IF(O426&gt;V426,IF(N426&lt;W426,"PASS","FAIL"),"FAIL"),"FAIL"))</f>
        <v>FAIL</v>
      </c>
      <c r="S426" s="62">
        <v>1159</v>
      </c>
      <c r="T426" s="61"/>
      <c r="U426" s="61"/>
      <c r="V426" s="110">
        <v>9000</v>
      </c>
      <c r="W426" s="110">
        <v>25000</v>
      </c>
      <c r="X426" s="111">
        <v>8090</v>
      </c>
      <c r="Y426" s="111">
        <v>12070</v>
      </c>
      <c r="Z426" s="112">
        <v>15</v>
      </c>
      <c r="AA426" s="112">
        <v>6</v>
      </c>
    </row>
    <row r="427" spans="1:27" ht="15.75">
      <c r="A427"/>
      <c r="B427" s="121"/>
      <c r="C427" s="57" t="s">
        <v>80</v>
      </c>
      <c r="D427" s="16">
        <v>26155.83</v>
      </c>
      <c r="E427" s="16">
        <v>25843.68</v>
      </c>
      <c r="F427" s="16">
        <v>25847.65</v>
      </c>
      <c r="G427" s="16">
        <v>25846.2</v>
      </c>
      <c r="H427" s="16">
        <v>26089.33</v>
      </c>
      <c r="I427" s="16">
        <v>26122.63</v>
      </c>
      <c r="J427" s="16">
        <v>25889.57</v>
      </c>
      <c r="K427" s="16">
        <v>25783.29</v>
      </c>
      <c r="L427" s="16">
        <v>26025.32</v>
      </c>
      <c r="M427" s="16">
        <f t="shared" si="147"/>
        <v>25955.944444444449</v>
      </c>
      <c r="N427" s="53"/>
      <c r="O427" s="53"/>
      <c r="P427" s="63"/>
      <c r="Q427" s="53"/>
      <c r="R427" s="64"/>
      <c r="S427" s="54"/>
      <c r="T427" s="64"/>
      <c r="U427" s="64"/>
      <c r="V427" s="32"/>
      <c r="W427" s="29"/>
    </row>
    <row r="428" spans="1:27" ht="28.5" customHeight="1">
      <c r="A428"/>
      <c r="B428" s="121"/>
      <c r="C428" s="57" t="s">
        <v>82</v>
      </c>
      <c r="D428" s="16">
        <f t="shared" ref="D428:L428" si="149">IF(((D426="")*AND(D427="")),"",(D426-D427)*3)</f>
        <v>8973.8399999999965</v>
      </c>
      <c r="E428" s="16">
        <f t="shared" si="149"/>
        <v>9244.7399999999943</v>
      </c>
      <c r="F428" s="16">
        <f t="shared" si="149"/>
        <v>9161.9099999999926</v>
      </c>
      <c r="G428" s="16">
        <f t="shared" si="149"/>
        <v>9244.0800000000017</v>
      </c>
      <c r="H428" s="16">
        <f t="shared" si="149"/>
        <v>9352.7699999999895</v>
      </c>
      <c r="I428" s="16">
        <f t="shared" si="149"/>
        <v>8932.5299999999952</v>
      </c>
      <c r="J428" s="16">
        <f t="shared" si="149"/>
        <v>9098.0100000000057</v>
      </c>
      <c r="K428" s="16">
        <f t="shared" si="149"/>
        <v>9431.7599999999948</v>
      </c>
      <c r="L428" s="16">
        <f t="shared" si="149"/>
        <v>9444.6899999999987</v>
      </c>
      <c r="M428" s="16">
        <f t="shared" si="147"/>
        <v>9209.3699999999972</v>
      </c>
      <c r="N428" s="65"/>
      <c r="O428" s="65"/>
      <c r="P428" s="66"/>
      <c r="Q428" s="65"/>
      <c r="R428" s="67"/>
      <c r="S428" s="58"/>
      <c r="T428" s="67"/>
      <c r="U428" s="67"/>
      <c r="V428" s="33"/>
      <c r="W428" s="29"/>
    </row>
    <row r="429" spans="1:27">
      <c r="A429" s="86">
        <v>43012</v>
      </c>
      <c r="B429" s="120" t="s">
        <v>348</v>
      </c>
      <c r="C429" s="57" t="s">
        <v>79</v>
      </c>
      <c r="D429" s="58">
        <v>29143.919999999998</v>
      </c>
      <c r="E429" s="58">
        <v>28957.01</v>
      </c>
      <c r="F429" s="58">
        <v>28953.11</v>
      </c>
      <c r="G429" s="58">
        <v>28963.45</v>
      </c>
      <c r="H429" s="58">
        <v>29241.43</v>
      </c>
      <c r="I429" s="58">
        <v>29138.39</v>
      </c>
      <c r="J429" s="58">
        <v>28974.04</v>
      </c>
      <c r="K429" s="58">
        <v>28955.91</v>
      </c>
      <c r="L429" s="58">
        <v>29171.26</v>
      </c>
      <c r="M429" s="16">
        <f t="shared" si="147"/>
        <v>29055.391111111112</v>
      </c>
      <c r="N429" s="59">
        <f>IF((L430=""),"",MAX(D431:L431))</f>
        <v>9097.28999999999</v>
      </c>
      <c r="O429" s="59">
        <f>IF(L430="","",MIN(D431:L431))</f>
        <v>8525.3699999999917</v>
      </c>
      <c r="P429" s="60">
        <f>IF((L431=""),"",AVERAGE(D431:L431))</f>
        <v>8829.23</v>
      </c>
      <c r="Q429" s="156">
        <f>IF((L430=""),"",((N429-O429)/(N429+O429)*100))</f>
        <v>3.2453670444756852</v>
      </c>
      <c r="R429" s="61" t="str">
        <f>IF(L430="","",IF(Q429&lt;Z429,IF(O429&gt;V429,IF(N429&lt;W429,"PASS","FAIL"),"FAIL"),"FAIL"))</f>
        <v>FAIL</v>
      </c>
      <c r="S429" s="62">
        <v>1159</v>
      </c>
      <c r="T429" s="61"/>
      <c r="U429" s="61"/>
      <c r="V429" s="110">
        <v>9000</v>
      </c>
      <c r="W429" s="110">
        <v>25000</v>
      </c>
      <c r="X429" s="111">
        <v>8090</v>
      </c>
      <c r="Y429" s="111">
        <v>12070</v>
      </c>
      <c r="Z429" s="112">
        <v>15</v>
      </c>
      <c r="AA429" s="112">
        <v>6</v>
      </c>
    </row>
    <row r="430" spans="1:27" ht="15.75">
      <c r="A430"/>
      <c r="B430" s="121"/>
      <c r="C430" s="57" t="s">
        <v>80</v>
      </c>
      <c r="D430" s="16">
        <v>26302.13</v>
      </c>
      <c r="E430" s="16">
        <v>25996.76</v>
      </c>
      <c r="F430" s="16">
        <v>26041.16</v>
      </c>
      <c r="G430" s="16">
        <v>26012.02</v>
      </c>
      <c r="H430" s="16">
        <v>26266.98</v>
      </c>
      <c r="I430" s="16">
        <v>26269.09</v>
      </c>
      <c r="J430" s="16">
        <v>26049.08</v>
      </c>
      <c r="K430" s="16">
        <v>25934.78</v>
      </c>
      <c r="L430" s="16">
        <v>26138.83</v>
      </c>
      <c r="M430" s="16">
        <f t="shared" si="147"/>
        <v>26112.314444444448</v>
      </c>
      <c r="N430" s="53"/>
      <c r="O430" s="53"/>
      <c r="P430" s="63"/>
      <c r="Q430" s="53"/>
      <c r="R430" s="64"/>
      <c r="S430" s="54"/>
      <c r="T430" s="64"/>
      <c r="U430" s="64"/>
      <c r="V430" s="32"/>
      <c r="W430" s="29"/>
    </row>
    <row r="431" spans="1:27" ht="28.5" customHeight="1">
      <c r="A431"/>
      <c r="B431" s="121"/>
      <c r="C431" s="57" t="s">
        <v>82</v>
      </c>
      <c r="D431" s="16">
        <f t="shared" ref="D431:L431" si="150">IF(((D429="")*AND(D430="")),"",(D429-D430)*3)</f>
        <v>8525.3699999999917</v>
      </c>
      <c r="E431" s="16">
        <f t="shared" si="150"/>
        <v>8880.75</v>
      </c>
      <c r="F431" s="16">
        <f t="shared" si="150"/>
        <v>8735.8500000000022</v>
      </c>
      <c r="G431" s="16">
        <f t="shared" si="150"/>
        <v>8854.2900000000009</v>
      </c>
      <c r="H431" s="16">
        <f t="shared" si="150"/>
        <v>8923.3500000000022</v>
      </c>
      <c r="I431" s="16">
        <f t="shared" si="150"/>
        <v>8607.8999999999978</v>
      </c>
      <c r="J431" s="16">
        <f t="shared" si="150"/>
        <v>8774.8799999999974</v>
      </c>
      <c r="K431" s="16">
        <f t="shared" si="150"/>
        <v>9063.3900000000031</v>
      </c>
      <c r="L431" s="16">
        <f t="shared" si="150"/>
        <v>9097.28999999999</v>
      </c>
      <c r="M431" s="16">
        <f t="shared" si="147"/>
        <v>8829.23</v>
      </c>
      <c r="N431" s="65"/>
      <c r="O431" s="65"/>
      <c r="P431" s="66"/>
      <c r="Q431" s="65"/>
      <c r="R431" s="67"/>
      <c r="S431" s="58"/>
      <c r="T431" s="67"/>
      <c r="U431" s="67"/>
      <c r="V431" s="33"/>
      <c r="W431" s="29"/>
    </row>
    <row r="432" spans="1:27">
      <c r="A432" s="86">
        <v>43012</v>
      </c>
      <c r="B432" s="120" t="s">
        <v>348</v>
      </c>
      <c r="C432" s="57" t="s">
        <v>79</v>
      </c>
      <c r="D432" s="58">
        <v>29489.25</v>
      </c>
      <c r="E432" s="58">
        <v>29285.34</v>
      </c>
      <c r="F432" s="58">
        <v>29344.38</v>
      </c>
      <c r="G432" s="58">
        <v>29275.18</v>
      </c>
      <c r="H432" s="58">
        <v>29487.62</v>
      </c>
      <c r="I432" s="58">
        <v>29417.32</v>
      </c>
      <c r="J432" s="58">
        <v>29261.56</v>
      </c>
      <c r="K432" s="58">
        <v>29268.14</v>
      </c>
      <c r="L432" s="58">
        <v>29505.31</v>
      </c>
      <c r="M432" s="16">
        <f t="shared" si="147"/>
        <v>29370.455555555553</v>
      </c>
      <c r="N432" s="59">
        <f>IF((L433=""),"",MAX(D434:L434))</f>
        <v>10313.969999999994</v>
      </c>
      <c r="O432" s="59">
        <f>IF(L433="","",MIN(D434:L434))</f>
        <v>9747.5099999999948</v>
      </c>
      <c r="P432" s="60">
        <f>IF((L434=""),"",AVERAGE(D434:L434))</f>
        <v>10079.949999999999</v>
      </c>
      <c r="Q432" s="156">
        <f>IF((L433=""),"",((N432-O432)/(N432+O432)*100))</f>
        <v>2.8236201915312305</v>
      </c>
      <c r="R432" s="61" t="str">
        <f>IF(L433="","",IF(Q432&lt;Z432,IF(O432&gt;V432,IF(N432&lt;W432,"PASS","FAIL"),"FAIL"),"FAIL"))</f>
        <v>PASS</v>
      </c>
      <c r="S432" s="62">
        <v>1159</v>
      </c>
      <c r="T432" s="61"/>
      <c r="U432" s="61"/>
      <c r="V432" s="110">
        <v>9000</v>
      </c>
      <c r="W432" s="110">
        <v>25000</v>
      </c>
      <c r="X432" s="111">
        <v>8090</v>
      </c>
      <c r="Y432" s="111">
        <v>12070</v>
      </c>
      <c r="Z432" s="112">
        <v>15</v>
      </c>
      <c r="AA432" s="112">
        <v>6</v>
      </c>
    </row>
    <row r="433" spans="1:27" ht="15.75">
      <c r="A433"/>
      <c r="B433" s="121"/>
      <c r="C433" s="57" t="s">
        <v>80</v>
      </c>
      <c r="D433" s="16">
        <v>26169.599999999999</v>
      </c>
      <c r="E433" s="16">
        <v>25881.5</v>
      </c>
      <c r="F433" s="16">
        <v>25998.12</v>
      </c>
      <c r="G433" s="16">
        <v>25917.33</v>
      </c>
      <c r="H433" s="16">
        <v>26107.919999999998</v>
      </c>
      <c r="I433" s="16">
        <v>26168.15</v>
      </c>
      <c r="J433" s="16">
        <v>25953.71</v>
      </c>
      <c r="K433" s="16">
        <v>25830.15</v>
      </c>
      <c r="L433" s="16">
        <v>26067.77</v>
      </c>
      <c r="M433" s="16">
        <f t="shared" si="147"/>
        <v>26010.472222222219</v>
      </c>
      <c r="N433" s="53"/>
      <c r="O433" s="53"/>
      <c r="P433" s="63"/>
      <c r="Q433" s="53"/>
      <c r="R433" s="64"/>
      <c r="S433" s="54"/>
      <c r="T433" s="64"/>
      <c r="U433" s="64"/>
      <c r="V433" s="32"/>
      <c r="W433" s="29"/>
    </row>
    <row r="434" spans="1:27" ht="28.5" customHeight="1">
      <c r="A434"/>
      <c r="B434" s="121"/>
      <c r="C434" s="57" t="s">
        <v>82</v>
      </c>
      <c r="D434" s="16">
        <f t="shared" ref="D434:L434" si="151">IF(((D432="")*AND(D433="")),"",(D432-D433)*3)</f>
        <v>9958.9500000000044</v>
      </c>
      <c r="E434" s="16">
        <f t="shared" si="151"/>
        <v>10211.52</v>
      </c>
      <c r="F434" s="16">
        <f t="shared" si="151"/>
        <v>10038.780000000006</v>
      </c>
      <c r="G434" s="16">
        <f t="shared" si="151"/>
        <v>10073.549999999996</v>
      </c>
      <c r="H434" s="16">
        <f t="shared" si="151"/>
        <v>10139.100000000002</v>
      </c>
      <c r="I434" s="16">
        <f t="shared" si="151"/>
        <v>9747.5099999999948</v>
      </c>
      <c r="J434" s="16">
        <f t="shared" si="151"/>
        <v>9923.5500000000065</v>
      </c>
      <c r="K434" s="16">
        <f t="shared" si="151"/>
        <v>10313.969999999994</v>
      </c>
      <c r="L434" s="16">
        <f t="shared" si="151"/>
        <v>10312.620000000003</v>
      </c>
      <c r="M434" s="16">
        <f t="shared" si="147"/>
        <v>10079.949999999999</v>
      </c>
      <c r="N434" s="65"/>
      <c r="O434" s="65"/>
      <c r="P434" s="66"/>
      <c r="Q434" s="65"/>
      <c r="R434" s="67"/>
      <c r="S434" s="58"/>
      <c r="T434" s="67"/>
      <c r="U434" s="67"/>
      <c r="V434" s="33"/>
      <c r="W434" s="29"/>
    </row>
    <row r="435" spans="1:27">
      <c r="A435" s="86">
        <v>43028</v>
      </c>
      <c r="B435" s="120" t="s">
        <v>348</v>
      </c>
      <c r="C435" s="57" t="s">
        <v>79</v>
      </c>
      <c r="D435" s="58">
        <v>29280.3</v>
      </c>
      <c r="E435" s="58">
        <v>29093.62</v>
      </c>
      <c r="F435" s="58">
        <v>29165.49</v>
      </c>
      <c r="G435" s="58">
        <v>29094.92</v>
      </c>
      <c r="H435" s="58">
        <v>29370.400000000001</v>
      </c>
      <c r="I435" s="58">
        <v>29266.74</v>
      </c>
      <c r="J435" s="58">
        <v>29070.02</v>
      </c>
      <c r="K435" s="58">
        <v>29126.68</v>
      </c>
      <c r="L435" s="58">
        <v>29324.53</v>
      </c>
      <c r="M435" s="16">
        <f t="shared" si="147"/>
        <v>29199.188888888883</v>
      </c>
      <c r="N435" s="59">
        <f>IF((L436=""),"",MAX(D437:L437))</f>
        <v>10213.260000000006</v>
      </c>
      <c r="O435" s="59">
        <f>IF(L436="","",MIN(D437:L437))</f>
        <v>9578.6100000000079</v>
      </c>
      <c r="P435" s="60">
        <f>IF((L437=""),"",AVERAGE(D437:L437))</f>
        <v>9886.6666666666697</v>
      </c>
      <c r="Q435" s="156">
        <f>IF((L436=""),"",((N435-O435)/(N435+O435)*100))</f>
        <v>3.2066196877808788</v>
      </c>
      <c r="R435" s="61" t="str">
        <f>IF(L436="","",IF(Q435&lt;Z435,IF(O435&gt;V435,IF(N435&lt;W435,"PASS","FAIL"),"FAIL"),"FAIL"))</f>
        <v>PASS</v>
      </c>
      <c r="S435" s="62">
        <v>1335</v>
      </c>
      <c r="T435" s="61"/>
      <c r="U435" s="61"/>
      <c r="V435" s="110">
        <v>9000</v>
      </c>
      <c r="W435" s="110">
        <v>25000</v>
      </c>
      <c r="X435" s="111">
        <v>8090</v>
      </c>
      <c r="Y435" s="111">
        <v>12070</v>
      </c>
      <c r="Z435" s="112">
        <v>15</v>
      </c>
      <c r="AA435" s="112">
        <v>6</v>
      </c>
    </row>
    <row r="436" spans="1:27" ht="15.75">
      <c r="A436"/>
      <c r="B436" s="121"/>
      <c r="C436" s="57" t="s">
        <v>80</v>
      </c>
      <c r="D436" s="16">
        <v>26030.82</v>
      </c>
      <c r="E436" s="16">
        <v>25816.86</v>
      </c>
      <c r="F436" s="16">
        <v>25827.360000000001</v>
      </c>
      <c r="G436" s="16">
        <v>25804.720000000001</v>
      </c>
      <c r="H436" s="16">
        <v>26064.26</v>
      </c>
      <c r="I436" s="16">
        <v>26073.87</v>
      </c>
      <c r="J436" s="16">
        <v>25841.95</v>
      </c>
      <c r="K436" s="16">
        <v>25722.26</v>
      </c>
      <c r="L436" s="16">
        <v>25950.6</v>
      </c>
      <c r="M436" s="16">
        <f t="shared" si="147"/>
        <v>25903.633333333339</v>
      </c>
      <c r="N436" s="53"/>
      <c r="O436" s="53"/>
      <c r="P436" s="63"/>
      <c r="Q436" s="53"/>
      <c r="R436" s="64"/>
      <c r="S436" s="54"/>
      <c r="T436" s="64"/>
      <c r="U436" s="64"/>
      <c r="V436" s="32"/>
      <c r="W436" s="29"/>
    </row>
    <row r="437" spans="1:27" ht="28.5" customHeight="1">
      <c r="A437"/>
      <c r="B437" s="121"/>
      <c r="C437" s="57" t="s">
        <v>82</v>
      </c>
      <c r="D437" s="16">
        <f t="shared" ref="D437:L437" si="152">IF(((D435="")*AND(D436="")),"",(D435-D436)*3)</f>
        <v>9748.4399999999987</v>
      </c>
      <c r="E437" s="16">
        <f t="shared" si="152"/>
        <v>9830.2799999999952</v>
      </c>
      <c r="F437" s="16">
        <f t="shared" si="152"/>
        <v>10014.390000000003</v>
      </c>
      <c r="G437" s="16">
        <f t="shared" si="152"/>
        <v>9870.5999999999913</v>
      </c>
      <c r="H437" s="16">
        <f t="shared" si="152"/>
        <v>9918.4200000000092</v>
      </c>
      <c r="I437" s="16">
        <f t="shared" si="152"/>
        <v>9578.6100000000079</v>
      </c>
      <c r="J437" s="16">
        <f t="shared" si="152"/>
        <v>9684.2099999999991</v>
      </c>
      <c r="K437" s="16">
        <f t="shared" si="152"/>
        <v>10213.260000000006</v>
      </c>
      <c r="L437" s="16">
        <f t="shared" si="152"/>
        <v>10121.790000000001</v>
      </c>
      <c r="M437" s="16">
        <f t="shared" si="147"/>
        <v>9886.6666666666697</v>
      </c>
      <c r="N437" s="65"/>
      <c r="O437" s="65"/>
      <c r="P437" s="66"/>
      <c r="Q437" s="65"/>
      <c r="R437" s="67"/>
      <c r="S437" s="58"/>
      <c r="T437" s="67"/>
      <c r="U437" s="67"/>
      <c r="V437" s="33"/>
      <c r="W437" s="29"/>
    </row>
    <row r="438" spans="1:27">
      <c r="A438" s="86">
        <v>43032</v>
      </c>
      <c r="B438" s="120" t="s">
        <v>348</v>
      </c>
      <c r="C438" s="57" t="s">
        <v>79</v>
      </c>
      <c r="D438" s="58">
        <v>29266.61</v>
      </c>
      <c r="E438" s="58">
        <v>29097.16</v>
      </c>
      <c r="F438" s="58">
        <v>29135.14</v>
      </c>
      <c r="G438" s="58">
        <v>29093.82</v>
      </c>
      <c r="H438" s="58">
        <v>29312.01</v>
      </c>
      <c r="I438" s="58">
        <v>29256.13</v>
      </c>
      <c r="J438" s="58">
        <v>29095.23</v>
      </c>
      <c r="K438" s="58">
        <v>29080.76</v>
      </c>
      <c r="L438" s="58">
        <v>29316.39</v>
      </c>
      <c r="M438" s="16">
        <f t="shared" si="147"/>
        <v>29183.694444444453</v>
      </c>
      <c r="N438" s="59">
        <f>IF((L439=""),"",MAX(D440:L440))</f>
        <v>9300.179999999993</v>
      </c>
      <c r="O438" s="59">
        <f>IF(L439="","",MIN(D440:L440))</f>
        <v>8819.4300000000039</v>
      </c>
      <c r="P438" s="60">
        <f>IF((L440=""),"",AVERAGE(D440:L440))</f>
        <v>9096.5366666666669</v>
      </c>
      <c r="Q438" s="156">
        <f>IF((L439=""),"",((N438-O438)/(N438+O438)*100))</f>
        <v>2.6532028007224722</v>
      </c>
      <c r="R438" s="61" t="str">
        <f>IF(L439="","",IF(Q438&lt;Z438,IF(O438&gt;V438,IF(N438&lt;W438,"PASS","FAIL"),"FAIL"),"FAIL"))</f>
        <v>FAIL</v>
      </c>
      <c r="S438" s="62">
        <v>1159</v>
      </c>
      <c r="T438" s="61" t="s">
        <v>168</v>
      </c>
      <c r="U438" s="61"/>
      <c r="V438" s="110">
        <v>9000</v>
      </c>
      <c r="W438" s="110">
        <v>25000</v>
      </c>
      <c r="X438" s="111">
        <v>8090</v>
      </c>
      <c r="Y438" s="111">
        <v>12070</v>
      </c>
      <c r="Z438" s="112">
        <v>15</v>
      </c>
      <c r="AA438" s="112">
        <v>6</v>
      </c>
    </row>
    <row r="439" spans="1:27" ht="15.75">
      <c r="A439"/>
      <c r="B439" s="121"/>
      <c r="C439" s="57" t="s">
        <v>80</v>
      </c>
      <c r="D439" s="16">
        <v>26326.799999999999</v>
      </c>
      <c r="E439" s="16">
        <v>26050.75</v>
      </c>
      <c r="F439" s="16">
        <v>26117.63</v>
      </c>
      <c r="G439" s="16">
        <v>26044.03</v>
      </c>
      <c r="H439" s="16">
        <v>26256.51</v>
      </c>
      <c r="I439" s="16">
        <v>26280.43</v>
      </c>
      <c r="J439" s="16">
        <v>26090.28</v>
      </c>
      <c r="K439" s="16">
        <v>25980.7</v>
      </c>
      <c r="L439" s="16">
        <v>26216.51</v>
      </c>
      <c r="M439" s="16">
        <f t="shared" si="147"/>
        <v>26151.515555555558</v>
      </c>
      <c r="N439" s="53"/>
      <c r="O439" s="53"/>
      <c r="P439" s="63"/>
      <c r="Q439" s="53"/>
      <c r="R439" s="64"/>
      <c r="S439" s="54"/>
      <c r="T439" s="64"/>
      <c r="U439" s="64"/>
      <c r="V439" s="32"/>
      <c r="W439" s="29"/>
    </row>
    <row r="440" spans="1:27" ht="28.5" customHeight="1">
      <c r="A440"/>
      <c r="B440" s="121"/>
      <c r="C440" s="57" t="s">
        <v>82</v>
      </c>
      <c r="D440" s="16">
        <f t="shared" ref="D440:L440" si="153">IF(((D438="")*AND(D439="")),"",(D438-D439)*3)</f>
        <v>8819.4300000000039</v>
      </c>
      <c r="E440" s="16">
        <f t="shared" si="153"/>
        <v>9139.23</v>
      </c>
      <c r="F440" s="16">
        <f t="shared" si="153"/>
        <v>9052.5299999999952</v>
      </c>
      <c r="G440" s="16">
        <f t="shared" si="153"/>
        <v>9149.3700000000026</v>
      </c>
      <c r="H440" s="16">
        <f t="shared" si="153"/>
        <v>9166.5</v>
      </c>
      <c r="I440" s="16">
        <f t="shared" si="153"/>
        <v>8927.1000000000022</v>
      </c>
      <c r="J440" s="16">
        <f t="shared" si="153"/>
        <v>9014.8500000000022</v>
      </c>
      <c r="K440" s="16">
        <f t="shared" si="153"/>
        <v>9300.179999999993</v>
      </c>
      <c r="L440" s="16">
        <f t="shared" si="153"/>
        <v>9299.6400000000031</v>
      </c>
      <c r="M440" s="16">
        <f t="shared" si="147"/>
        <v>9096.5366666666669</v>
      </c>
      <c r="N440" s="65"/>
      <c r="O440" s="65"/>
      <c r="P440" s="66"/>
      <c r="Q440" s="65"/>
      <c r="R440" s="67"/>
      <c r="S440" s="58"/>
      <c r="T440" s="67"/>
      <c r="U440" s="67"/>
      <c r="V440" s="33"/>
      <c r="W440" s="29"/>
    </row>
    <row r="441" spans="1:27">
      <c r="A441" s="86">
        <v>43042</v>
      </c>
      <c r="B441" s="120" t="s">
        <v>348</v>
      </c>
      <c r="C441" s="57" t="s">
        <v>79</v>
      </c>
      <c r="D441" s="58">
        <v>29440.77</v>
      </c>
      <c r="E441" s="58">
        <v>29321.35</v>
      </c>
      <c r="F441" s="58">
        <v>29330.9</v>
      </c>
      <c r="G441" s="58">
        <v>29283.32</v>
      </c>
      <c r="H441" s="58">
        <v>29489.46</v>
      </c>
      <c r="I441" s="58">
        <v>29414.75</v>
      </c>
      <c r="J441" s="58">
        <v>29271.31</v>
      </c>
      <c r="K441" s="58">
        <v>29264.19</v>
      </c>
      <c r="L441" s="58">
        <v>29486.81</v>
      </c>
      <c r="M441" s="16">
        <f t="shared" si="147"/>
        <v>29366.984444444442</v>
      </c>
      <c r="N441" s="59">
        <f>IF((L442=""),"",MAX(D443:L443))</f>
        <v>14737.560000000001</v>
      </c>
      <c r="O441" s="59">
        <f>IF(L442="","",MIN(D443:L443))</f>
        <v>7794.75</v>
      </c>
      <c r="P441" s="60">
        <f>IF((L443=""),"",AVERAGE(D443:L443))</f>
        <v>9412.5666666666675</v>
      </c>
      <c r="Q441" s="156">
        <f>IF((L442=""),"",((N441-O441)/(N441+O441)*100))</f>
        <v>30.812686315783871</v>
      </c>
      <c r="R441" s="61" t="str">
        <f>IF(L442="","",IF(Q441&lt;Z441,IF(O441&gt;V441,IF(N441&lt;W441,"PASS","FAIL"),"FAIL"),"FAIL"))</f>
        <v>FAIL</v>
      </c>
      <c r="S441" s="62">
        <v>1335</v>
      </c>
      <c r="T441" s="61"/>
      <c r="U441" s="61"/>
      <c r="V441" s="110">
        <v>9000</v>
      </c>
      <c r="W441" s="110">
        <v>25000</v>
      </c>
      <c r="X441" s="111">
        <v>8090</v>
      </c>
      <c r="Y441" s="111">
        <v>12070</v>
      </c>
      <c r="Z441" s="112">
        <v>15</v>
      </c>
      <c r="AA441" s="112">
        <v>6</v>
      </c>
    </row>
    <row r="442" spans="1:27" ht="15.75">
      <c r="A442"/>
      <c r="B442" s="121"/>
      <c r="C442" s="57" t="s">
        <v>80</v>
      </c>
      <c r="D442" s="16">
        <v>24802.5</v>
      </c>
      <c r="E442" s="16">
        <v>26670.97</v>
      </c>
      <c r="F442" s="16">
        <v>26640.5</v>
      </c>
      <c r="G442" s="16">
        <v>24370.799999999999</v>
      </c>
      <c r="H442" s="16">
        <v>26776.89</v>
      </c>
      <c r="I442" s="16">
        <v>26795.8</v>
      </c>
      <c r="J442" s="16">
        <v>26673.06</v>
      </c>
      <c r="K442" s="16">
        <v>26540.26</v>
      </c>
      <c r="L442" s="16">
        <v>26794.38</v>
      </c>
      <c r="M442" s="16">
        <f t="shared" si="147"/>
        <v>26229.462222222224</v>
      </c>
      <c r="N442" s="53"/>
      <c r="O442" s="53"/>
      <c r="P442" s="63"/>
      <c r="Q442" s="53"/>
      <c r="R442" s="64"/>
      <c r="S442" s="54"/>
      <c r="T442" s="64"/>
      <c r="U442" s="64"/>
      <c r="V442" s="32"/>
      <c r="W442" s="29"/>
    </row>
    <row r="443" spans="1:27" ht="28.5" customHeight="1">
      <c r="A443"/>
      <c r="B443" s="121"/>
      <c r="C443" s="57" t="s">
        <v>82</v>
      </c>
      <c r="D443" s="16">
        <f t="shared" ref="D443:L443" si="154">IF(((D441="")*AND(D442="")),"",(D441-D442)*3)</f>
        <v>13914.810000000001</v>
      </c>
      <c r="E443" s="16">
        <f t="shared" si="154"/>
        <v>7951.1399999999921</v>
      </c>
      <c r="F443" s="16">
        <f t="shared" si="154"/>
        <v>8071.2000000000044</v>
      </c>
      <c r="G443" s="16">
        <f t="shared" si="154"/>
        <v>14737.560000000001</v>
      </c>
      <c r="H443" s="16">
        <f t="shared" si="154"/>
        <v>8137.7099999999991</v>
      </c>
      <c r="I443" s="16">
        <f t="shared" si="154"/>
        <v>7856.8500000000022</v>
      </c>
      <c r="J443" s="16">
        <f t="shared" si="154"/>
        <v>7794.75</v>
      </c>
      <c r="K443" s="16">
        <f t="shared" si="154"/>
        <v>8171.7900000000009</v>
      </c>
      <c r="L443" s="16">
        <f t="shared" si="154"/>
        <v>8077.2900000000009</v>
      </c>
      <c r="M443" s="16">
        <f t="shared" si="147"/>
        <v>9412.5666666666675</v>
      </c>
      <c r="N443" s="65"/>
      <c r="O443" s="65"/>
      <c r="P443" s="66"/>
      <c r="Q443" s="65"/>
      <c r="R443" s="67"/>
      <c r="S443" s="58"/>
      <c r="T443" s="67"/>
      <c r="U443" s="67"/>
      <c r="V443" s="33"/>
      <c r="W443" s="29"/>
    </row>
    <row r="444" spans="1:27">
      <c r="A444" s="86">
        <v>43054</v>
      </c>
      <c r="B444" s="120" t="s">
        <v>348</v>
      </c>
      <c r="C444" s="57" t="s">
        <v>79</v>
      </c>
      <c r="D444" s="58">
        <v>29402.01</v>
      </c>
      <c r="E444" s="58">
        <v>29212.32</v>
      </c>
      <c r="F444" s="58">
        <v>29226.82</v>
      </c>
      <c r="G444" s="58">
        <v>29222.93</v>
      </c>
      <c r="H444" s="58">
        <v>29466.79</v>
      </c>
      <c r="I444" s="58">
        <v>29393.63</v>
      </c>
      <c r="J444" s="58">
        <v>29221.16</v>
      </c>
      <c r="K444" s="58">
        <v>29216.62</v>
      </c>
      <c r="L444" s="58">
        <v>29434.03</v>
      </c>
      <c r="M444" s="16">
        <f t="shared" si="147"/>
        <v>29310.70111111111</v>
      </c>
      <c r="N444" s="59">
        <f>IF((L445=""),"",MAX(D446:L446))</f>
        <v>7617.5999999999913</v>
      </c>
      <c r="O444" s="59">
        <f>IF(L445="","",MIN(D446:L446))</f>
        <v>6973.1999999999935</v>
      </c>
      <c r="P444" s="60">
        <f>IF((L446=""),"",AVERAGE(D446:L446))</f>
        <v>7361.5533333333315</v>
      </c>
      <c r="Q444" s="156">
        <f>IF((L445=""),"",((N444-O444)/(N444+O444)*100))</f>
        <v>4.4164816185541476</v>
      </c>
      <c r="R444" s="61" t="str">
        <f>IF(L445="","",IF(Q444&lt;Z444,IF(O444&gt;V444,IF(N444&lt;W444,"PASS","FAIL"),"FAIL"),"FAIL"))</f>
        <v>FAIL</v>
      </c>
      <c r="S444" s="62">
        <v>1159</v>
      </c>
      <c r="U444" s="61" t="s">
        <v>169</v>
      </c>
      <c r="V444" s="110">
        <v>9000</v>
      </c>
      <c r="W444" s="110">
        <v>25000</v>
      </c>
      <c r="X444" s="111">
        <v>8090</v>
      </c>
      <c r="Y444" s="111">
        <v>12070</v>
      </c>
      <c r="Z444" s="112">
        <v>15</v>
      </c>
      <c r="AA444" s="112">
        <v>6</v>
      </c>
    </row>
    <row r="445" spans="1:27" ht="15.75">
      <c r="A445"/>
      <c r="B445" s="121"/>
      <c r="C445" s="57" t="s">
        <v>80</v>
      </c>
      <c r="D445" s="16">
        <v>27077.61</v>
      </c>
      <c r="E445" s="16">
        <v>26805.05</v>
      </c>
      <c r="F445" s="16">
        <v>26793.88</v>
      </c>
      <c r="G445" s="16">
        <v>26758.79</v>
      </c>
      <c r="H445" s="16">
        <v>26948.97</v>
      </c>
      <c r="I445" s="16">
        <v>26917.29</v>
      </c>
      <c r="J445" s="16">
        <v>26781.02</v>
      </c>
      <c r="K445" s="16">
        <v>26734.21</v>
      </c>
      <c r="L445" s="16">
        <v>26894.83</v>
      </c>
      <c r="M445" s="16">
        <f t="shared" si="147"/>
        <v>26856.850000000002</v>
      </c>
      <c r="N445" s="53"/>
      <c r="O445" s="53"/>
      <c r="P445" s="63"/>
      <c r="Q445" s="53"/>
      <c r="R445" s="64"/>
      <c r="S445" s="54"/>
      <c r="U445" s="64"/>
      <c r="V445" s="32"/>
      <c r="W445" s="29"/>
    </row>
    <row r="446" spans="1:27" ht="28.5" customHeight="1">
      <c r="A446"/>
      <c r="B446" s="121"/>
      <c r="C446" s="57" t="s">
        <v>82</v>
      </c>
      <c r="D446" s="16">
        <f t="shared" ref="D446:L446" si="155">IF(((D444="")*AND(D445="")),"",(D444-D445)*3)</f>
        <v>6973.1999999999935</v>
      </c>
      <c r="E446" s="16">
        <f t="shared" si="155"/>
        <v>7221.8100000000013</v>
      </c>
      <c r="F446" s="16">
        <f t="shared" si="155"/>
        <v>7298.8199999999961</v>
      </c>
      <c r="G446" s="16">
        <f t="shared" si="155"/>
        <v>7392.4199999999983</v>
      </c>
      <c r="H446" s="16">
        <f t="shared" si="155"/>
        <v>7553.4599999999991</v>
      </c>
      <c r="I446" s="16">
        <f t="shared" si="155"/>
        <v>7429.02</v>
      </c>
      <c r="J446" s="16">
        <f t="shared" si="155"/>
        <v>7320.4199999999983</v>
      </c>
      <c r="K446" s="16">
        <f t="shared" si="155"/>
        <v>7447.23</v>
      </c>
      <c r="L446" s="16">
        <f t="shared" si="155"/>
        <v>7617.5999999999913</v>
      </c>
      <c r="M446" s="16">
        <f t="shared" si="147"/>
        <v>7361.5533333333315</v>
      </c>
      <c r="N446" s="65"/>
      <c r="O446" s="65"/>
      <c r="P446" s="66"/>
      <c r="Q446" s="65"/>
      <c r="R446" s="67"/>
      <c r="S446" s="58"/>
      <c r="U446" s="67"/>
      <c r="V446" s="33"/>
      <c r="W446" s="29"/>
    </row>
    <row r="447" spans="1:27">
      <c r="A447" s="86">
        <v>43094</v>
      </c>
      <c r="B447" s="120" t="s">
        <v>348</v>
      </c>
      <c r="C447" s="57" t="s">
        <v>79</v>
      </c>
      <c r="D447" s="58">
        <v>29203.48</v>
      </c>
      <c r="E447" s="58">
        <v>29067.42</v>
      </c>
      <c r="F447" s="58">
        <v>29116.11</v>
      </c>
      <c r="G447" s="58">
        <v>29078.26</v>
      </c>
      <c r="H447" s="58">
        <v>29302.18</v>
      </c>
      <c r="I447" s="58">
        <v>29200.41</v>
      </c>
      <c r="J447" s="58">
        <v>29059.87</v>
      </c>
      <c r="K447" s="58">
        <v>29075.82</v>
      </c>
      <c r="L447" s="58">
        <v>29319.39</v>
      </c>
      <c r="M447" s="16">
        <f t="shared" si="147"/>
        <v>29158.104444444445</v>
      </c>
      <c r="N447" s="59">
        <f>IF((L448=""),"",MAX(D449:L449))</f>
        <v>7468.3799999999974</v>
      </c>
      <c r="O447" s="59">
        <f>IF(L448="","",MIN(D449:L449))</f>
        <v>6848.3100000000013</v>
      </c>
      <c r="P447" s="60">
        <f>IF((L449=""),"",AVERAGE(D449:L449))</f>
        <v>7220.2366666666649</v>
      </c>
      <c r="Q447" s="156">
        <f>IF((L448=""),"",((N447-O447)/(N447+O447)*100))</f>
        <v>4.33109887830215</v>
      </c>
      <c r="R447" s="61" t="str">
        <f>IF(L448="","",IF(Q447&lt;Z447,IF(O447&gt;V447,IF(N447&lt;W447,"PASS","FAIL"),"FAIL"),"FAIL"))</f>
        <v>FAIL</v>
      </c>
      <c r="S447" s="62">
        <v>64</v>
      </c>
      <c r="U447" s="61" t="s">
        <v>169</v>
      </c>
      <c r="V447" s="110">
        <v>9000</v>
      </c>
      <c r="W447" s="110">
        <v>25000</v>
      </c>
      <c r="X447" s="111">
        <v>8090</v>
      </c>
      <c r="Y447" s="111">
        <v>12070</v>
      </c>
      <c r="Z447" s="112">
        <v>15</v>
      </c>
      <c r="AA447" s="112">
        <v>6</v>
      </c>
    </row>
    <row r="448" spans="1:27" ht="15.75">
      <c r="A448"/>
      <c r="B448" s="121"/>
      <c r="C448" s="57" t="s">
        <v>80</v>
      </c>
      <c r="D448" s="16">
        <v>26920.71</v>
      </c>
      <c r="E448" s="16">
        <v>26706.799999999999</v>
      </c>
      <c r="F448" s="16">
        <v>26747.119999999999</v>
      </c>
      <c r="G448" s="16">
        <v>26657.83</v>
      </c>
      <c r="H448" s="16">
        <v>26821.68</v>
      </c>
      <c r="I448" s="16">
        <v>26758.01</v>
      </c>
      <c r="J448" s="16">
        <v>26664.83</v>
      </c>
      <c r="K448" s="16">
        <v>26655.32</v>
      </c>
      <c r="L448" s="16">
        <v>26829.93</v>
      </c>
      <c r="M448" s="16">
        <f t="shared" si="147"/>
        <v>26751.358888888888</v>
      </c>
      <c r="N448" s="53"/>
      <c r="O448" s="53"/>
      <c r="P448" s="63"/>
      <c r="Q448" s="53"/>
      <c r="R448" s="64"/>
      <c r="S448" s="54"/>
      <c r="U448" s="64"/>
      <c r="V448" s="32"/>
      <c r="W448" s="29"/>
    </row>
    <row r="449" spans="1:27" ht="28.5" customHeight="1">
      <c r="A449"/>
      <c r="B449" s="121"/>
      <c r="C449" s="57" t="s">
        <v>82</v>
      </c>
      <c r="D449" s="16">
        <f t="shared" ref="D449:L449" si="156">IF(((D447="")*AND(D448="")),"",(D447-D448)*3)</f>
        <v>6848.3100000000013</v>
      </c>
      <c r="E449" s="16">
        <f t="shared" si="156"/>
        <v>7081.8599999999969</v>
      </c>
      <c r="F449" s="16">
        <f t="shared" si="156"/>
        <v>7106.9700000000048</v>
      </c>
      <c r="G449" s="16">
        <f t="shared" si="156"/>
        <v>7261.28999999999</v>
      </c>
      <c r="H449" s="16">
        <f t="shared" si="156"/>
        <v>7441.5</v>
      </c>
      <c r="I449" s="16">
        <f t="shared" si="156"/>
        <v>7327.2000000000044</v>
      </c>
      <c r="J449" s="16">
        <f t="shared" si="156"/>
        <v>7185.1199999999917</v>
      </c>
      <c r="K449" s="16">
        <f t="shared" si="156"/>
        <v>7261.5</v>
      </c>
      <c r="L449" s="16">
        <f t="shared" si="156"/>
        <v>7468.3799999999974</v>
      </c>
      <c r="M449" s="16">
        <f t="shared" si="147"/>
        <v>7220.2366666666649</v>
      </c>
      <c r="N449" s="65"/>
      <c r="O449" s="65"/>
      <c r="P449" s="66"/>
      <c r="Q449" s="65"/>
      <c r="R449" s="67"/>
      <c r="S449" s="58"/>
      <c r="U449" s="67"/>
      <c r="V449" s="33"/>
      <c r="W449" s="29"/>
    </row>
    <row r="450" spans="1:27">
      <c r="A450" s="86">
        <v>43150</v>
      </c>
      <c r="B450" s="120" t="s">
        <v>348</v>
      </c>
      <c r="C450" s="57" t="s">
        <v>79</v>
      </c>
      <c r="D450" s="58">
        <v>29319.87</v>
      </c>
      <c r="E450" s="58">
        <v>29177.8</v>
      </c>
      <c r="F450" s="58">
        <v>29222.94</v>
      </c>
      <c r="G450" s="58">
        <v>29158.6</v>
      </c>
      <c r="H450" s="58">
        <v>29381.32</v>
      </c>
      <c r="I450" s="58">
        <v>29305.17</v>
      </c>
      <c r="J450" s="58">
        <v>29152.959999999999</v>
      </c>
      <c r="K450" s="58">
        <v>29159.919999999998</v>
      </c>
      <c r="L450" s="58">
        <v>29356.92</v>
      </c>
      <c r="M450" s="16">
        <f t="shared" si="147"/>
        <v>29248.388888888891</v>
      </c>
      <c r="N450" s="59">
        <f>IF((L451=""),"",MAX(D452:L452))</f>
        <v>10337.459999999999</v>
      </c>
      <c r="O450" s="59">
        <f>IF(L451="","",MIN(D452:L452))</f>
        <v>9670.679999999993</v>
      </c>
      <c r="P450" s="60">
        <f>IF((L452=""),"",AVERAGE(D452:L452))</f>
        <v>10041.669999999996</v>
      </c>
      <c r="Q450" s="156">
        <f>IF((L451=""),"",((N450-O450)/(N450+O450)*100))</f>
        <v>3.332543654732556</v>
      </c>
      <c r="R450" s="61" t="str">
        <f>IF(L451="","",IF(Q450&lt;Z450,IF(O450&gt;V450,IF(N450&lt;W450,"PASS","FAIL"),"FAIL"),"FAIL"))</f>
        <v>PASS</v>
      </c>
      <c r="S450" s="62">
        <v>121</v>
      </c>
      <c r="U450" s="61" t="s">
        <v>169</v>
      </c>
      <c r="V450" s="110">
        <v>9000</v>
      </c>
      <c r="W450" s="110">
        <v>25000</v>
      </c>
      <c r="X450" s="111">
        <v>8090</v>
      </c>
      <c r="Y450" s="111">
        <v>12070</v>
      </c>
      <c r="Z450" s="112">
        <v>15</v>
      </c>
      <c r="AA450" s="112">
        <v>6</v>
      </c>
    </row>
    <row r="451" spans="1:27" ht="15.75">
      <c r="A451"/>
      <c r="B451" s="121"/>
      <c r="C451" s="57" t="s">
        <v>80</v>
      </c>
      <c r="D451" s="16">
        <v>26008.23</v>
      </c>
      <c r="E451" s="16">
        <v>25896.3</v>
      </c>
      <c r="F451" s="16">
        <v>25905.35</v>
      </c>
      <c r="G451" s="16">
        <v>25721.03</v>
      </c>
      <c r="H451" s="16">
        <v>25935.5</v>
      </c>
      <c r="I451" s="16">
        <v>25874.21</v>
      </c>
      <c r="J451" s="16">
        <v>25738.22</v>
      </c>
      <c r="K451" s="16">
        <v>25898.29</v>
      </c>
      <c r="L451" s="16">
        <v>26133.360000000001</v>
      </c>
      <c r="M451" s="16">
        <f t="shared" si="147"/>
        <v>25901.165555555555</v>
      </c>
      <c r="N451" s="53"/>
      <c r="O451" s="53"/>
      <c r="P451" s="63"/>
      <c r="Q451" s="53"/>
      <c r="R451" s="64"/>
      <c r="S451" s="54"/>
      <c r="T451" s="64"/>
      <c r="U451" s="64"/>
      <c r="V451" s="32"/>
      <c r="W451" s="29"/>
    </row>
    <row r="452" spans="1:27" ht="28.5" customHeight="1">
      <c r="A452"/>
      <c r="B452" s="121"/>
      <c r="C452" s="57" t="s">
        <v>82</v>
      </c>
      <c r="D452" s="16">
        <f t="shared" ref="D452:L452" si="157">IF(((D450="")*AND(D451="")),"",(D450-D451)*3)</f>
        <v>9934.9199999999983</v>
      </c>
      <c r="E452" s="16">
        <f t="shared" si="157"/>
        <v>9844.5</v>
      </c>
      <c r="F452" s="16">
        <f t="shared" si="157"/>
        <v>9952.77</v>
      </c>
      <c r="G452" s="16">
        <f t="shared" si="157"/>
        <v>10312.709999999999</v>
      </c>
      <c r="H452" s="16">
        <f t="shared" si="157"/>
        <v>10337.459999999999</v>
      </c>
      <c r="I452" s="16">
        <f t="shared" si="157"/>
        <v>10292.879999999997</v>
      </c>
      <c r="J452" s="16">
        <f t="shared" si="157"/>
        <v>10244.219999999994</v>
      </c>
      <c r="K452" s="16">
        <f t="shared" si="157"/>
        <v>9784.8899999999921</v>
      </c>
      <c r="L452" s="16">
        <f t="shared" si="157"/>
        <v>9670.679999999993</v>
      </c>
      <c r="M452" s="16">
        <f t="shared" si="147"/>
        <v>10041.669999999996</v>
      </c>
      <c r="N452" s="65"/>
      <c r="O452" s="65"/>
      <c r="P452" s="66"/>
      <c r="Q452" s="65"/>
      <c r="R452" s="67"/>
      <c r="S452" s="58"/>
      <c r="T452" s="67"/>
      <c r="U452" s="67"/>
      <c r="V452" s="33"/>
      <c r="W452" s="29"/>
    </row>
    <row r="453" spans="1:27">
      <c r="A453" s="86">
        <v>43155</v>
      </c>
      <c r="B453" s="120" t="s">
        <v>348</v>
      </c>
      <c r="C453" s="57" t="s">
        <v>79</v>
      </c>
      <c r="D453" s="58">
        <v>29222.21</v>
      </c>
      <c r="E453" s="58">
        <v>29048.87</v>
      </c>
      <c r="F453" s="58">
        <v>29033.279999999999</v>
      </c>
      <c r="G453" s="58">
        <v>29029.86</v>
      </c>
      <c r="H453" s="58">
        <v>29251</v>
      </c>
      <c r="I453" s="58">
        <v>29214.5</v>
      </c>
      <c r="J453" s="58">
        <v>29020.1</v>
      </c>
      <c r="K453" s="58">
        <v>29031.54</v>
      </c>
      <c r="L453" s="58">
        <v>29269.46</v>
      </c>
      <c r="M453" s="16">
        <f t="shared" si="147"/>
        <v>29124.535555555558</v>
      </c>
      <c r="N453" s="59">
        <f>IF((L454=""),"",MAX(D455:L455))</f>
        <v>10100.459999999999</v>
      </c>
      <c r="O453" s="59">
        <f>IF(L454="","",MIN(D455:L455))</f>
        <v>9071.4899999999943</v>
      </c>
      <c r="P453" s="60">
        <f>IF((L455=""),"",AVERAGE(D455:L455))</f>
        <v>9521.6766666666626</v>
      </c>
      <c r="Q453" s="156">
        <f>IF((L454=""),"",((N453-O453)/(N453+O453)*100))</f>
        <v>5.3670596887640807</v>
      </c>
      <c r="R453" s="61" t="str">
        <f>IF(L454="","",IF(Q453&lt;Z453,IF(O453&gt;V453,IF(N453&lt;W453,"PASS","FAIL"),"FAIL"),"FAIL"))</f>
        <v>PASS</v>
      </c>
      <c r="S453" s="62">
        <v>1519</v>
      </c>
      <c r="T453" s="61"/>
      <c r="U453" s="61"/>
      <c r="V453" s="110">
        <v>9000</v>
      </c>
      <c r="W453" s="110">
        <v>25000</v>
      </c>
      <c r="X453" s="111">
        <v>8090</v>
      </c>
      <c r="Y453" s="111">
        <v>12070</v>
      </c>
      <c r="Z453" s="112">
        <v>15</v>
      </c>
      <c r="AA453" s="112">
        <v>6</v>
      </c>
    </row>
    <row r="454" spans="1:27" ht="15.75">
      <c r="A454"/>
      <c r="B454" s="121"/>
      <c r="C454" s="57" t="s">
        <v>80</v>
      </c>
      <c r="D454" s="16">
        <v>26198.38</v>
      </c>
      <c r="E454" s="16">
        <v>25858.06</v>
      </c>
      <c r="F454" s="16">
        <v>25881.07</v>
      </c>
      <c r="G454" s="16">
        <v>25775.72</v>
      </c>
      <c r="H454" s="16">
        <v>26028.1</v>
      </c>
      <c r="I454" s="16">
        <v>26190.63</v>
      </c>
      <c r="J454" s="16">
        <v>25944.22</v>
      </c>
      <c r="K454" s="16">
        <v>25776.97</v>
      </c>
      <c r="L454" s="16">
        <v>25902.639999999999</v>
      </c>
      <c r="M454" s="16">
        <f t="shared" si="147"/>
        <v>25950.643333333337</v>
      </c>
      <c r="N454" s="53"/>
      <c r="O454" s="53"/>
      <c r="P454" s="63"/>
      <c r="Q454" s="53"/>
      <c r="R454" s="64"/>
      <c r="S454" s="54"/>
      <c r="T454" s="64"/>
      <c r="U454" s="64"/>
      <c r="V454" s="32"/>
      <c r="W454" s="29"/>
    </row>
    <row r="455" spans="1:27" ht="28.5" customHeight="1">
      <c r="A455"/>
      <c r="B455" s="121"/>
      <c r="C455" s="57" t="s">
        <v>82</v>
      </c>
      <c r="D455" s="16">
        <f t="shared" ref="D455:L455" si="158">IF(((D453="")*AND(D454="")),"",(D453-D454)*3)</f>
        <v>9071.4899999999943</v>
      </c>
      <c r="E455" s="16">
        <f t="shared" si="158"/>
        <v>9572.429999999993</v>
      </c>
      <c r="F455" s="16">
        <f t="shared" si="158"/>
        <v>9456.6299999999974</v>
      </c>
      <c r="G455" s="16">
        <f t="shared" si="158"/>
        <v>9762.4199999999983</v>
      </c>
      <c r="H455" s="16">
        <f t="shared" si="158"/>
        <v>9668.7000000000044</v>
      </c>
      <c r="I455" s="16">
        <f t="shared" si="158"/>
        <v>9071.6099999999969</v>
      </c>
      <c r="J455" s="16">
        <f t="shared" si="158"/>
        <v>9227.6399999999921</v>
      </c>
      <c r="K455" s="16">
        <f t="shared" si="158"/>
        <v>9763.7099999999991</v>
      </c>
      <c r="L455" s="16">
        <f t="shared" si="158"/>
        <v>10100.459999999999</v>
      </c>
      <c r="M455" s="16">
        <f t="shared" si="147"/>
        <v>9521.6766666666626</v>
      </c>
      <c r="N455" s="65"/>
      <c r="O455" s="65"/>
      <c r="P455" s="66"/>
      <c r="Q455" s="65"/>
      <c r="R455" s="67"/>
      <c r="S455" s="58"/>
      <c r="T455" s="67"/>
      <c r="U455" s="67"/>
      <c r="V455" s="33"/>
      <c r="W455" s="29"/>
    </row>
    <row r="456" spans="1:27">
      <c r="A456" s="86">
        <v>43167</v>
      </c>
      <c r="B456" s="120" t="s">
        <v>348</v>
      </c>
      <c r="C456" s="57" t="s">
        <v>79</v>
      </c>
      <c r="D456" s="58">
        <v>29032.29</v>
      </c>
      <c r="E456" s="58">
        <v>28881.5</v>
      </c>
      <c r="F456" s="58">
        <v>28926.26</v>
      </c>
      <c r="G456" s="58">
        <v>28875.57</v>
      </c>
      <c r="H456" s="58">
        <v>29100.97</v>
      </c>
      <c r="I456" s="58">
        <v>29035.29</v>
      </c>
      <c r="J456" s="58">
        <v>28862.98</v>
      </c>
      <c r="K456" s="58">
        <v>28878.95</v>
      </c>
      <c r="L456" s="58">
        <v>29109.17</v>
      </c>
      <c r="M456" s="16">
        <f t="shared" si="147"/>
        <v>28966.997777777782</v>
      </c>
      <c r="N456" s="59">
        <f>IF((L457=""),"",MAX(D458:L458))</f>
        <v>8200.23</v>
      </c>
      <c r="O456" s="59">
        <f>IF(L457="","",MIN(D458:L458))</f>
        <v>7822.4100000000035</v>
      </c>
      <c r="P456" s="60">
        <f>IF((L458=""),"",AVERAGE(D458:L458))</f>
        <v>7994.8533333333344</v>
      </c>
      <c r="Q456" s="156">
        <f>IF((L457=""),"",((N456-O456)/(N456+O456)*100))</f>
        <v>2.3580383756983618</v>
      </c>
      <c r="R456" s="61" t="str">
        <f>IF(L457="","",IF(Q456&lt;Z456,IF(O456&gt;V456,IF(N456&lt;W456,"PASS","FAIL"),"FAIL"),"FAIL"))</f>
        <v>FAIL</v>
      </c>
      <c r="S456" s="62">
        <v>102</v>
      </c>
      <c r="T456" s="61"/>
      <c r="U456" s="61"/>
      <c r="V456" s="110">
        <v>9000</v>
      </c>
      <c r="W456" s="110">
        <v>25000</v>
      </c>
      <c r="X456" s="111">
        <v>8090</v>
      </c>
      <c r="Y456" s="111">
        <v>12070</v>
      </c>
      <c r="Z456" s="112">
        <v>15</v>
      </c>
      <c r="AA456" s="112">
        <v>6</v>
      </c>
    </row>
    <row r="457" spans="1:27" ht="15.75">
      <c r="A457"/>
      <c r="B457" s="121"/>
      <c r="C457" s="57" t="s">
        <v>80</v>
      </c>
      <c r="D457" s="16">
        <v>26410.57</v>
      </c>
      <c r="E457" s="16">
        <v>26225.5</v>
      </c>
      <c r="F457" s="16">
        <v>26258.99</v>
      </c>
      <c r="G457" s="16">
        <v>26210.23</v>
      </c>
      <c r="H457" s="16">
        <v>26395.73</v>
      </c>
      <c r="I457" s="16">
        <v>26427.82</v>
      </c>
      <c r="J457" s="16">
        <v>26234.77</v>
      </c>
      <c r="K457" s="16">
        <v>26179.05</v>
      </c>
      <c r="L457" s="16">
        <v>26375.759999999998</v>
      </c>
      <c r="M457" s="16">
        <f t="shared" si="147"/>
        <v>26302.046666666665</v>
      </c>
      <c r="N457" s="53"/>
      <c r="O457" s="53"/>
      <c r="P457" s="63"/>
      <c r="Q457" s="53"/>
      <c r="R457" s="64"/>
      <c r="S457" s="54"/>
      <c r="T457" s="64"/>
      <c r="U457" s="64"/>
      <c r="V457" s="32"/>
      <c r="W457" s="29"/>
    </row>
    <row r="458" spans="1:27" ht="28.5" customHeight="1">
      <c r="A458"/>
      <c r="B458" s="121"/>
      <c r="C458" s="57" t="s">
        <v>82</v>
      </c>
      <c r="D458" s="16">
        <f t="shared" ref="D458:L458" si="159">IF(((D456="")*AND(D457="")),"",(D456-D457)*3)</f>
        <v>7865.1600000000035</v>
      </c>
      <c r="E458" s="16">
        <f t="shared" si="159"/>
        <v>7968</v>
      </c>
      <c r="F458" s="16">
        <f t="shared" si="159"/>
        <v>8001.8099999999904</v>
      </c>
      <c r="G458" s="16">
        <f t="shared" si="159"/>
        <v>7996.02</v>
      </c>
      <c r="H458" s="16">
        <f t="shared" si="159"/>
        <v>8115.7200000000048</v>
      </c>
      <c r="I458" s="16">
        <f t="shared" si="159"/>
        <v>7822.4100000000035</v>
      </c>
      <c r="J458" s="16">
        <f t="shared" si="159"/>
        <v>7884.6299999999974</v>
      </c>
      <c r="K458" s="16">
        <f t="shared" si="159"/>
        <v>8099.7000000000044</v>
      </c>
      <c r="L458" s="16">
        <f t="shared" si="159"/>
        <v>8200.23</v>
      </c>
      <c r="M458" s="16">
        <f t="shared" si="147"/>
        <v>7994.8533333333344</v>
      </c>
      <c r="N458" s="65"/>
      <c r="O458" s="65"/>
      <c r="P458" s="66"/>
      <c r="Q458" s="65"/>
      <c r="R458" s="67"/>
      <c r="S458" s="58"/>
      <c r="T458" s="67"/>
      <c r="U458" s="67"/>
      <c r="V458" s="33"/>
      <c r="W458" s="29"/>
    </row>
    <row r="459" spans="1:27">
      <c r="A459" s="86">
        <v>43167</v>
      </c>
      <c r="B459" s="120" t="s">
        <v>348</v>
      </c>
      <c r="C459" s="57" t="s">
        <v>79</v>
      </c>
      <c r="D459" s="58">
        <v>29394.29</v>
      </c>
      <c r="E459" s="58">
        <v>29203.759999999998</v>
      </c>
      <c r="F459" s="58">
        <v>29196.42</v>
      </c>
      <c r="G459" s="58">
        <v>29197.08</v>
      </c>
      <c r="H459" s="58">
        <v>29429.96</v>
      </c>
      <c r="I459" s="58">
        <v>29329.46</v>
      </c>
      <c r="J459" s="58">
        <v>29174.93</v>
      </c>
      <c r="K459" s="58">
        <v>29191.34</v>
      </c>
      <c r="L459" s="58">
        <v>29427.8</v>
      </c>
      <c r="M459" s="16">
        <f t="shared" si="147"/>
        <v>29282.78222222222</v>
      </c>
      <c r="N459" s="59">
        <f>IF((L460=""),"",MAX(D461:L461))</f>
        <v>9139.679999999993</v>
      </c>
      <c r="O459" s="59">
        <f>IF(L460="","",MIN(D461:L461))</f>
        <v>8709.3900000000031</v>
      </c>
      <c r="P459" s="60">
        <f>IF((L461=""),"",AVERAGE(D461:L461))</f>
        <v>8919.8566666666648</v>
      </c>
      <c r="Q459" s="156">
        <f>IF((L460=""),"",((N459-O459)/(N459+O459)*100))</f>
        <v>2.4107138355107018</v>
      </c>
      <c r="R459" s="61" t="str">
        <f>IF(L460="","",IF(Q459&lt;Z459,IF(O459&gt;V459,IF(N459&lt;W459,"PASS","FAIL"),"FAIL"),"FAIL"))</f>
        <v>FAIL</v>
      </c>
      <c r="S459" s="62">
        <v>121</v>
      </c>
      <c r="T459" s="61"/>
      <c r="U459" s="61"/>
      <c r="V459" s="110">
        <v>9000</v>
      </c>
      <c r="W459" s="110">
        <v>25000</v>
      </c>
      <c r="X459" s="111">
        <v>8090</v>
      </c>
      <c r="Y459" s="111">
        <v>12070</v>
      </c>
      <c r="Z459" s="112">
        <v>15</v>
      </c>
      <c r="AA459" s="112">
        <v>6</v>
      </c>
    </row>
    <row r="460" spans="1:27" ht="15.75">
      <c r="A460"/>
      <c r="B460" s="121"/>
      <c r="C460" s="57" t="s">
        <v>80</v>
      </c>
      <c r="D460" s="16">
        <v>26491.16</v>
      </c>
      <c r="E460" s="16">
        <v>26247.360000000001</v>
      </c>
      <c r="F460" s="16">
        <v>26243.85</v>
      </c>
      <c r="G460" s="16">
        <v>26210.77</v>
      </c>
      <c r="H460" s="16">
        <v>26383.4</v>
      </c>
      <c r="I460" s="16">
        <v>26383.77</v>
      </c>
      <c r="J460" s="16">
        <v>26228.83</v>
      </c>
      <c r="K460" s="16">
        <v>26200.79</v>
      </c>
      <c r="L460" s="16">
        <v>26395.54</v>
      </c>
      <c r="M460" s="16">
        <f t="shared" si="147"/>
        <v>26309.49666666667</v>
      </c>
      <c r="N460" s="53"/>
      <c r="O460" s="53"/>
      <c r="P460" s="63"/>
      <c r="Q460" s="53"/>
      <c r="R460" s="64"/>
      <c r="S460" s="54"/>
      <c r="T460" s="64"/>
      <c r="U460" s="64"/>
      <c r="V460" s="32"/>
      <c r="W460" s="29"/>
    </row>
    <row r="461" spans="1:27" ht="28.5" customHeight="1">
      <c r="A461"/>
      <c r="B461" s="121"/>
      <c r="C461" s="57" t="s">
        <v>82</v>
      </c>
      <c r="D461" s="16">
        <f t="shared" ref="D461:L461" si="160">IF(((D459="")*AND(D460="")),"",(D459-D460)*3)</f>
        <v>8709.3900000000031</v>
      </c>
      <c r="E461" s="16">
        <f t="shared" si="160"/>
        <v>8869.1999999999935</v>
      </c>
      <c r="F461" s="16">
        <f t="shared" si="160"/>
        <v>8857.7099999999991</v>
      </c>
      <c r="G461" s="16">
        <f t="shared" si="160"/>
        <v>8958.9300000000039</v>
      </c>
      <c r="H461" s="16">
        <f t="shared" si="160"/>
        <v>9139.679999999993</v>
      </c>
      <c r="I461" s="16">
        <f t="shared" si="160"/>
        <v>8837.0699999999961</v>
      </c>
      <c r="J461" s="16">
        <f t="shared" si="160"/>
        <v>8838.2999999999956</v>
      </c>
      <c r="K461" s="16">
        <f t="shared" si="160"/>
        <v>8971.6499999999978</v>
      </c>
      <c r="L461" s="16">
        <f t="shared" si="160"/>
        <v>9096.7799999999952</v>
      </c>
      <c r="M461" s="16">
        <f t="shared" si="147"/>
        <v>8919.8566666666648</v>
      </c>
      <c r="N461" s="65"/>
      <c r="O461" s="65"/>
      <c r="P461" s="66"/>
      <c r="Q461" s="65"/>
      <c r="R461" s="67"/>
      <c r="S461" s="58"/>
      <c r="T461" s="67"/>
      <c r="U461" s="67"/>
      <c r="V461" s="33"/>
      <c r="W461" s="29"/>
    </row>
    <row r="462" spans="1:27">
      <c r="A462" s="86">
        <v>43182</v>
      </c>
      <c r="B462" s="120" t="s">
        <v>348</v>
      </c>
      <c r="C462" s="57" t="s">
        <v>79</v>
      </c>
      <c r="D462" s="58">
        <v>29153.87</v>
      </c>
      <c r="E462" s="58">
        <v>29008.799999999999</v>
      </c>
      <c r="F462" s="58">
        <v>29065.74</v>
      </c>
      <c r="G462" s="58">
        <v>29024.6</v>
      </c>
      <c r="H462" s="58">
        <v>29262.37</v>
      </c>
      <c r="I462" s="58">
        <v>29155.06</v>
      </c>
      <c r="J462" s="58">
        <v>29010.33</v>
      </c>
      <c r="K462" s="58">
        <v>29026.959999999999</v>
      </c>
      <c r="L462" s="58">
        <v>29279.75</v>
      </c>
      <c r="M462" s="16">
        <f t="shared" si="147"/>
        <v>29109.72</v>
      </c>
      <c r="N462" s="59">
        <f>IF((L463=""),"",MAX(D464:L464))</f>
        <v>12220.560000000001</v>
      </c>
      <c r="O462" s="59">
        <f>IF(L463="","",MIN(D464:L464))</f>
        <v>11254.680000000004</v>
      </c>
      <c r="P462" s="60">
        <f>IF((L464=""),"",AVERAGE(D464:L464))</f>
        <v>11876.006666666666</v>
      </c>
      <c r="Q462" s="156">
        <f>IF((L463=""),"",((N462-O462)/(N462+O462)*100))</f>
        <v>4.1144627275375978</v>
      </c>
      <c r="R462" s="61" t="str">
        <f>IF(L463="","",IF(Q462&lt;Z462,IF(O462&gt;V462,IF(N462&lt;W462,"PASS","FAIL"),"FAIL"),"FAIL"))</f>
        <v>PASS</v>
      </c>
      <c r="S462" s="62">
        <v>1159</v>
      </c>
      <c r="T462" s="61" t="s">
        <v>170</v>
      </c>
      <c r="U462" s="61"/>
      <c r="V462" s="110">
        <v>9000</v>
      </c>
      <c r="W462" s="110">
        <v>25000</v>
      </c>
      <c r="X462" s="111">
        <v>8090</v>
      </c>
      <c r="Y462" s="111">
        <v>12070</v>
      </c>
      <c r="Z462" s="112">
        <v>15</v>
      </c>
      <c r="AA462" s="112">
        <v>6</v>
      </c>
    </row>
    <row r="463" spans="1:27" ht="15.75">
      <c r="A463"/>
      <c r="B463" s="121"/>
      <c r="C463" s="57" t="s">
        <v>80</v>
      </c>
      <c r="D463" s="16">
        <v>25245.94</v>
      </c>
      <c r="E463" s="16">
        <v>25000.07</v>
      </c>
      <c r="F463" s="16">
        <v>25122.94</v>
      </c>
      <c r="G463" s="16">
        <v>25054.87</v>
      </c>
      <c r="H463" s="16">
        <v>25261.23</v>
      </c>
      <c r="I463" s="16">
        <v>25403.5</v>
      </c>
      <c r="J463" s="16">
        <v>25099.29</v>
      </c>
      <c r="K463" s="16">
        <v>24965.39</v>
      </c>
      <c r="L463" s="16">
        <v>25206.23</v>
      </c>
      <c r="M463" s="16">
        <f t="shared" si="147"/>
        <v>25151.051111111112</v>
      </c>
      <c r="N463" s="53"/>
      <c r="O463" s="53"/>
      <c r="P463" s="63"/>
      <c r="Q463" s="53"/>
      <c r="R463" s="64"/>
      <c r="S463" s="54"/>
      <c r="T463" s="64"/>
      <c r="U463" s="64"/>
      <c r="V463" s="32"/>
      <c r="W463" s="29"/>
    </row>
    <row r="464" spans="1:27" ht="28.5" customHeight="1">
      <c r="A464"/>
      <c r="B464" s="121"/>
      <c r="C464" s="57" t="s">
        <v>82</v>
      </c>
      <c r="D464" s="16">
        <f t="shared" ref="D464:L464" si="161">IF(((D462="")*AND(D463="")),"",(D462-D463)*3)</f>
        <v>11723.79</v>
      </c>
      <c r="E464" s="16">
        <f t="shared" si="161"/>
        <v>12026.189999999999</v>
      </c>
      <c r="F464" s="16">
        <f t="shared" si="161"/>
        <v>11828.400000000009</v>
      </c>
      <c r="G464" s="16">
        <f t="shared" si="161"/>
        <v>11909.189999999999</v>
      </c>
      <c r="H464" s="16">
        <f t="shared" si="161"/>
        <v>12003.419999999998</v>
      </c>
      <c r="I464" s="16">
        <f t="shared" si="161"/>
        <v>11254.680000000004</v>
      </c>
      <c r="J464" s="16">
        <f t="shared" si="161"/>
        <v>11733.120000000003</v>
      </c>
      <c r="K464" s="16">
        <f t="shared" si="161"/>
        <v>12184.71</v>
      </c>
      <c r="L464" s="16">
        <f t="shared" si="161"/>
        <v>12220.560000000001</v>
      </c>
      <c r="M464" s="16">
        <f t="shared" si="147"/>
        <v>11876.006666666666</v>
      </c>
      <c r="N464" s="65"/>
      <c r="O464" s="65"/>
      <c r="P464" s="66"/>
      <c r="Q464" s="65"/>
      <c r="R464" s="67"/>
      <c r="S464" s="58"/>
      <c r="T464" s="67"/>
      <c r="U464" s="67"/>
      <c r="V464" s="33"/>
      <c r="W464" s="29"/>
    </row>
    <row r="465" spans="1:27">
      <c r="A465" s="86">
        <v>43194</v>
      </c>
      <c r="B465" s="120" t="s">
        <v>348</v>
      </c>
      <c r="C465" s="57" t="s">
        <v>79</v>
      </c>
      <c r="D465" s="58">
        <v>29131.27</v>
      </c>
      <c r="E465" s="58">
        <v>28987.96</v>
      </c>
      <c r="F465" s="58">
        <v>29052.04</v>
      </c>
      <c r="G465" s="58">
        <v>28987.26</v>
      </c>
      <c r="H465" s="58">
        <v>29221.67</v>
      </c>
      <c r="I465" s="58">
        <v>29155.65</v>
      </c>
      <c r="J465" s="58">
        <v>28984.17</v>
      </c>
      <c r="K465" s="58">
        <v>28992.54</v>
      </c>
      <c r="L465" s="58">
        <v>29199.35</v>
      </c>
      <c r="M465" s="16">
        <f t="shared" si="147"/>
        <v>29079.101111111107</v>
      </c>
      <c r="N465" s="59">
        <f>IF((L466=""),"",MAX(D467:L467))</f>
        <v>10397.339999999997</v>
      </c>
      <c r="O465" s="59">
        <f>IF(L466="","",MIN(D467:L467))</f>
        <v>9953.8800000000083</v>
      </c>
      <c r="P465" s="60">
        <f>IF((L467=""),"",AVERAGE(D467:L467))</f>
        <v>10194.126666666667</v>
      </c>
      <c r="Q465" s="156">
        <f>IF((L466=""),"",((N465-O465)/(N465+O465)*100))</f>
        <v>2.1790339842033455</v>
      </c>
      <c r="R465" s="61" t="str">
        <f>IF(L466="","",IF(Q465&lt;Z465,IF(O465&gt;V465,IF(N465&lt;W465,"PASS","FAIL"),"FAIL"),"FAIL"))</f>
        <v>PASS</v>
      </c>
      <c r="S465" s="62">
        <v>1159</v>
      </c>
      <c r="T465" s="61" t="s">
        <v>171</v>
      </c>
      <c r="U465" s="61"/>
      <c r="V465" s="110">
        <v>9000</v>
      </c>
      <c r="W465" s="110">
        <v>25000</v>
      </c>
      <c r="X465" s="111">
        <v>8090</v>
      </c>
      <c r="Y465" s="111">
        <v>12070</v>
      </c>
      <c r="Z465" s="112">
        <v>15</v>
      </c>
      <c r="AA465" s="112">
        <v>6</v>
      </c>
    </row>
    <row r="466" spans="1:27" ht="15.75">
      <c r="A466"/>
      <c r="B466" s="121"/>
      <c r="C466" s="57" t="s">
        <v>80</v>
      </c>
      <c r="D466" s="16">
        <v>25781.81</v>
      </c>
      <c r="E466" s="16">
        <v>25603.69</v>
      </c>
      <c r="F466" s="16">
        <v>25620.85</v>
      </c>
      <c r="G466" s="16">
        <v>25580.78</v>
      </c>
      <c r="H466" s="16">
        <v>25784.39</v>
      </c>
      <c r="I466" s="16">
        <v>25837.69</v>
      </c>
      <c r="J466" s="16">
        <v>25628.09</v>
      </c>
      <c r="K466" s="16">
        <v>25558.66</v>
      </c>
      <c r="L466" s="16">
        <v>25733.57</v>
      </c>
      <c r="M466" s="16">
        <f t="shared" si="147"/>
        <v>25681.058888888889</v>
      </c>
      <c r="N466" s="53"/>
      <c r="O466" s="53"/>
      <c r="P466" s="63"/>
      <c r="Q466" s="53"/>
      <c r="R466" s="64"/>
      <c r="S466" s="54"/>
      <c r="T466" s="64"/>
      <c r="U466" s="64"/>
      <c r="V466" s="32"/>
      <c r="W466" s="29"/>
    </row>
    <row r="467" spans="1:27" ht="28.5" customHeight="1">
      <c r="A467"/>
      <c r="B467" s="121"/>
      <c r="C467" s="57" t="s">
        <v>82</v>
      </c>
      <c r="D467" s="16">
        <f t="shared" ref="D467:L467" si="162">IF(((D465="")*AND(D466="")),"",(D465-D466)*3)</f>
        <v>10048.379999999997</v>
      </c>
      <c r="E467" s="16">
        <f t="shared" si="162"/>
        <v>10152.810000000001</v>
      </c>
      <c r="F467" s="16">
        <f t="shared" si="162"/>
        <v>10293.570000000007</v>
      </c>
      <c r="G467" s="16">
        <f t="shared" si="162"/>
        <v>10219.439999999999</v>
      </c>
      <c r="H467" s="16">
        <f t="shared" si="162"/>
        <v>10311.839999999997</v>
      </c>
      <c r="I467" s="16">
        <f t="shared" si="162"/>
        <v>9953.8800000000083</v>
      </c>
      <c r="J467" s="16">
        <f t="shared" si="162"/>
        <v>10068.239999999994</v>
      </c>
      <c r="K467" s="16">
        <f t="shared" si="162"/>
        <v>10301.640000000003</v>
      </c>
      <c r="L467" s="16">
        <f t="shared" si="162"/>
        <v>10397.339999999997</v>
      </c>
      <c r="M467" s="16">
        <f t="shared" si="147"/>
        <v>10194.126666666667</v>
      </c>
      <c r="N467" s="65"/>
      <c r="O467" s="65"/>
      <c r="P467" s="66"/>
      <c r="Q467" s="65"/>
      <c r="R467" s="67"/>
      <c r="S467" s="58"/>
      <c r="T467" s="67"/>
      <c r="U467" s="67"/>
      <c r="V467" s="33"/>
      <c r="W467" s="29"/>
    </row>
    <row r="468" spans="1:27">
      <c r="A468" s="86">
        <v>43202</v>
      </c>
      <c r="B468" s="120" t="s">
        <v>348</v>
      </c>
      <c r="C468" s="57" t="s">
        <v>79</v>
      </c>
      <c r="D468" s="58">
        <v>29145.41</v>
      </c>
      <c r="E468" s="58">
        <v>28997.07</v>
      </c>
      <c r="F468" s="58">
        <v>29055.200000000001</v>
      </c>
      <c r="G468" s="58">
        <v>29001.21</v>
      </c>
      <c r="H468" s="58">
        <v>29233.83</v>
      </c>
      <c r="I468" s="58">
        <v>29167.73</v>
      </c>
      <c r="J468" s="58">
        <v>28985.51</v>
      </c>
      <c r="K468" s="58">
        <v>28978.2</v>
      </c>
      <c r="L468" s="58">
        <v>29174.12</v>
      </c>
      <c r="M468" s="16">
        <f t="shared" si="147"/>
        <v>29082.031111111111</v>
      </c>
      <c r="N468" s="59">
        <f>IF((L469=""),"",MAX(D470:L470))</f>
        <v>12052.350000000002</v>
      </c>
      <c r="O468" s="59">
        <f>IF(L469="","",MIN(D470:L470))</f>
        <v>11390.550000000007</v>
      </c>
      <c r="P468" s="60">
        <f>IF((L470=""),"",AVERAGE(D470:L470))</f>
        <v>11876.343333333332</v>
      </c>
      <c r="Q468" s="156">
        <f>IF((L469=""),"",((N468-O468)/(N468+O468)*100))</f>
        <v>2.8230295739861337</v>
      </c>
      <c r="R468" s="61" t="str">
        <f>IF(L469="","",IF(Q468&lt;Z468,IF(O468&gt;V468,IF(N468&lt;W468,"PASS","FAIL"),"FAIL"),"FAIL"))</f>
        <v>PASS</v>
      </c>
      <c r="S468" s="62">
        <v>1159</v>
      </c>
      <c r="T468" s="61" t="s">
        <v>172</v>
      </c>
      <c r="U468" s="61"/>
      <c r="V468" s="110">
        <v>9000</v>
      </c>
      <c r="W468" s="110">
        <v>25000</v>
      </c>
      <c r="X468" s="111">
        <v>8090</v>
      </c>
      <c r="Y468" s="111">
        <v>12070</v>
      </c>
      <c r="Z468" s="112">
        <v>15</v>
      </c>
      <c r="AA468" s="112">
        <v>6</v>
      </c>
    </row>
    <row r="469" spans="1:27" ht="15.75">
      <c r="A469"/>
      <c r="B469" s="121"/>
      <c r="C469" s="57" t="s">
        <v>80</v>
      </c>
      <c r="D469" s="16">
        <v>25127.96</v>
      </c>
      <c r="E469" s="16">
        <v>24987.41</v>
      </c>
      <c r="F469" s="16">
        <v>25085.02</v>
      </c>
      <c r="G469" s="16">
        <v>25008.45</v>
      </c>
      <c r="H469" s="16">
        <v>25436.98</v>
      </c>
      <c r="I469" s="16">
        <v>25246.01</v>
      </c>
      <c r="J469" s="16">
        <v>24982.58</v>
      </c>
      <c r="K469" s="16">
        <v>24976.46</v>
      </c>
      <c r="L469" s="16">
        <v>25258.38</v>
      </c>
      <c r="M469" s="16">
        <f t="shared" si="147"/>
        <v>25123.249999999996</v>
      </c>
      <c r="N469" s="53"/>
      <c r="O469" s="53"/>
      <c r="P469" s="63"/>
      <c r="Q469" s="53"/>
      <c r="R469" s="64"/>
      <c r="S469" s="54"/>
      <c r="T469" s="64"/>
      <c r="U469" s="64"/>
      <c r="V469" s="32"/>
      <c r="W469" s="29"/>
    </row>
    <row r="470" spans="1:27" ht="28.5" customHeight="1">
      <c r="A470"/>
      <c r="B470" s="121"/>
      <c r="C470" s="57" t="s">
        <v>82</v>
      </c>
      <c r="D470" s="16">
        <f t="shared" ref="D470:L470" si="163">IF(((D468="")*AND(D469="")),"",(D468-D469)*3)</f>
        <v>12052.350000000002</v>
      </c>
      <c r="E470" s="16">
        <f t="shared" si="163"/>
        <v>12028.98</v>
      </c>
      <c r="F470" s="16">
        <f t="shared" si="163"/>
        <v>11910.54</v>
      </c>
      <c r="G470" s="16">
        <f t="shared" si="163"/>
        <v>11978.279999999995</v>
      </c>
      <c r="H470" s="16">
        <f t="shared" si="163"/>
        <v>11390.550000000007</v>
      </c>
      <c r="I470" s="16">
        <f t="shared" si="163"/>
        <v>11765.160000000003</v>
      </c>
      <c r="J470" s="16">
        <f t="shared" si="163"/>
        <v>12008.78999999999</v>
      </c>
      <c r="K470" s="16">
        <f t="shared" si="163"/>
        <v>12005.220000000005</v>
      </c>
      <c r="L470" s="16">
        <f t="shared" si="163"/>
        <v>11747.219999999994</v>
      </c>
      <c r="M470" s="16">
        <f t="shared" si="147"/>
        <v>11876.343333333332</v>
      </c>
      <c r="N470" s="65"/>
      <c r="O470" s="65"/>
      <c r="P470" s="66"/>
      <c r="Q470" s="65"/>
      <c r="R470" s="67"/>
      <c r="S470" s="58"/>
      <c r="T470" s="67"/>
      <c r="U470" s="67"/>
      <c r="V470" s="33"/>
      <c r="W470" s="29"/>
    </row>
    <row r="471" spans="1:27">
      <c r="A471" s="86">
        <v>43208</v>
      </c>
      <c r="B471" s="120" t="s">
        <v>348</v>
      </c>
      <c r="C471" s="57" t="s">
        <v>79</v>
      </c>
      <c r="D471" s="58">
        <v>29125.21</v>
      </c>
      <c r="E471" s="58">
        <v>28946.080000000002</v>
      </c>
      <c r="F471" s="58">
        <v>28993.119999999999</v>
      </c>
      <c r="G471" s="58">
        <v>28948</v>
      </c>
      <c r="H471" s="58">
        <v>29155.55</v>
      </c>
      <c r="I471" s="58">
        <v>29110.75</v>
      </c>
      <c r="J471" s="58">
        <v>28945.43</v>
      </c>
      <c r="K471" s="58">
        <v>28937.66</v>
      </c>
      <c r="L471" s="58">
        <v>29170.5</v>
      </c>
      <c r="M471" s="16">
        <f t="shared" si="147"/>
        <v>29036.92222222222</v>
      </c>
      <c r="N471" s="59">
        <f>IF((L472=""),"",MAX(D473:L473))</f>
        <v>13455.180000000004</v>
      </c>
      <c r="O471" s="59">
        <f>IF(L472="","",MIN(D473:L473))</f>
        <v>12342.089999999997</v>
      </c>
      <c r="P471" s="60">
        <f>IF((L473=""),"",AVERAGE(D473:L473))</f>
        <v>13156.516666666665</v>
      </c>
      <c r="Q471" s="156">
        <f>IF((L472=""),"",((N471-O471)/(N471+O471)*100))</f>
        <v>4.3147588872776357</v>
      </c>
      <c r="R471" s="61" t="str">
        <f>IF(L472="","",IF(Q471&lt;Z471,IF(O471&gt;V471,IF(N471&lt;W471,"PASS","FAIL"),"FAIL"),"FAIL"))</f>
        <v>PASS</v>
      </c>
      <c r="S471" s="62">
        <v>102</v>
      </c>
      <c r="T471" s="61"/>
      <c r="U471" s="61"/>
      <c r="V471" s="110">
        <v>9000</v>
      </c>
      <c r="W471" s="110">
        <v>25000</v>
      </c>
      <c r="X471" s="111">
        <v>8090</v>
      </c>
      <c r="Y471" s="111">
        <v>12070</v>
      </c>
      <c r="Z471" s="112">
        <v>15</v>
      </c>
      <c r="AA471" s="112">
        <v>6</v>
      </c>
    </row>
    <row r="472" spans="1:27" ht="15.75">
      <c r="A472"/>
      <c r="B472" s="121"/>
      <c r="C472" s="57" t="s">
        <v>80</v>
      </c>
      <c r="D472" s="16">
        <v>24677.77</v>
      </c>
      <c r="E472" s="16">
        <v>24461.02</v>
      </c>
      <c r="F472" s="16">
        <v>24565.52</v>
      </c>
      <c r="G472" s="16">
        <v>24535.78</v>
      </c>
      <c r="H472" s="16">
        <v>25041.52</v>
      </c>
      <c r="I472" s="16">
        <v>24785.43</v>
      </c>
      <c r="J472" s="16">
        <v>24468.82</v>
      </c>
      <c r="K472" s="16">
        <v>24481</v>
      </c>
      <c r="L472" s="16">
        <v>24845.89</v>
      </c>
      <c r="M472" s="16">
        <f t="shared" si="147"/>
        <v>24651.416666666668</v>
      </c>
      <c r="N472" s="53"/>
      <c r="O472" s="53"/>
      <c r="P472" s="63"/>
      <c r="Q472" s="53"/>
      <c r="R472" s="64"/>
      <c r="S472" s="54"/>
      <c r="T472" s="64"/>
      <c r="U472" s="64"/>
      <c r="V472" s="32"/>
      <c r="W472" s="29"/>
    </row>
    <row r="473" spans="1:27" ht="28.5" customHeight="1">
      <c r="A473"/>
      <c r="B473" s="121"/>
      <c r="C473" s="57" t="s">
        <v>82</v>
      </c>
      <c r="D473" s="16">
        <f t="shared" ref="D473:L473" si="164">IF(((D471="")*AND(D472="")),"",(D471-D472)*3)</f>
        <v>13342.319999999996</v>
      </c>
      <c r="E473" s="16">
        <f t="shared" si="164"/>
        <v>13455.180000000004</v>
      </c>
      <c r="F473" s="16">
        <f t="shared" si="164"/>
        <v>13282.799999999996</v>
      </c>
      <c r="G473" s="16">
        <f t="shared" si="164"/>
        <v>13236.660000000003</v>
      </c>
      <c r="H473" s="16">
        <f t="shared" si="164"/>
        <v>12342.089999999997</v>
      </c>
      <c r="I473" s="16">
        <f t="shared" si="164"/>
        <v>12975.96</v>
      </c>
      <c r="J473" s="16">
        <f t="shared" si="164"/>
        <v>13429.830000000002</v>
      </c>
      <c r="K473" s="16">
        <f t="shared" si="164"/>
        <v>13369.98</v>
      </c>
      <c r="L473" s="16">
        <f t="shared" si="164"/>
        <v>12973.830000000002</v>
      </c>
      <c r="M473" s="16">
        <f t="shared" si="147"/>
        <v>13156.516666666665</v>
      </c>
      <c r="N473" s="65"/>
      <c r="O473" s="65"/>
      <c r="P473" s="66"/>
      <c r="Q473" s="65"/>
      <c r="R473" s="67"/>
      <c r="S473" s="58"/>
      <c r="T473" s="67"/>
      <c r="U473" s="67"/>
      <c r="V473" s="33"/>
      <c r="W473" s="29"/>
    </row>
    <row r="474" spans="1:27">
      <c r="A474" s="86">
        <v>43214</v>
      </c>
      <c r="B474" s="120" t="s">
        <v>348</v>
      </c>
      <c r="C474" s="57" t="s">
        <v>79</v>
      </c>
      <c r="D474" s="58">
        <v>29116.85</v>
      </c>
      <c r="E474" s="58">
        <v>28966.53</v>
      </c>
      <c r="F474" s="58">
        <v>28992.16</v>
      </c>
      <c r="G474" s="58">
        <v>28942.95</v>
      </c>
      <c r="H474" s="58">
        <v>29220.5</v>
      </c>
      <c r="I474" s="58">
        <v>29116.5</v>
      </c>
      <c r="J474" s="58">
        <v>29049</v>
      </c>
      <c r="K474" s="58">
        <v>28933.23</v>
      </c>
      <c r="L474" s="58">
        <v>29105.96</v>
      </c>
      <c r="M474" s="16">
        <f t="shared" si="147"/>
        <v>29049.297777777778</v>
      </c>
      <c r="N474" s="59">
        <f>IF((L475=""),"",MAX(D476:L476))</f>
        <v>9555.0299999999952</v>
      </c>
      <c r="O474" s="59">
        <f>IF(L475="","",MIN(D476:L476))</f>
        <v>9009.8400000000074</v>
      </c>
      <c r="P474" s="60">
        <f>IF((L476=""),"",AVERAGE(D476:L476))</f>
        <v>9252.5333333333328</v>
      </c>
      <c r="Q474" s="156">
        <f>IF((L475=""),"",((N474-O474)/(N474+O474)*100))</f>
        <v>2.9366755598072469</v>
      </c>
      <c r="R474" s="61" t="str">
        <f>IF(L475="","",IF(Q474&lt;Z474,IF(O474&gt;V474,IF(N474&lt;W474,"PASS","FAIL"),"FAIL"),"FAIL"))</f>
        <v>PASS</v>
      </c>
      <c r="S474" s="62">
        <v>121</v>
      </c>
      <c r="T474" s="61"/>
      <c r="U474" s="61"/>
      <c r="V474" s="110">
        <v>9000</v>
      </c>
      <c r="W474" s="110">
        <v>25000</v>
      </c>
      <c r="X474" s="111">
        <v>8090</v>
      </c>
      <c r="Y474" s="111">
        <v>12070</v>
      </c>
      <c r="Z474" s="112">
        <v>15</v>
      </c>
      <c r="AA474" s="112">
        <v>6</v>
      </c>
    </row>
    <row r="475" spans="1:27" ht="15.75">
      <c r="A475"/>
      <c r="B475" s="121"/>
      <c r="C475" s="57" t="s">
        <v>80</v>
      </c>
      <c r="D475" s="16">
        <v>26012.41</v>
      </c>
      <c r="E475" s="16">
        <v>25878.73</v>
      </c>
      <c r="F475" s="16">
        <v>25934.06</v>
      </c>
      <c r="G475" s="16">
        <v>25939.67</v>
      </c>
      <c r="H475" s="16">
        <v>26092.240000000002</v>
      </c>
      <c r="I475" s="16">
        <v>26041.54</v>
      </c>
      <c r="J475" s="16">
        <v>25863.99</v>
      </c>
      <c r="K475" s="16">
        <v>25891.98</v>
      </c>
      <c r="L475" s="16">
        <v>26031.46</v>
      </c>
      <c r="M475" s="16">
        <f t="shared" si="147"/>
        <v>25965.119999999999</v>
      </c>
      <c r="N475" s="53"/>
      <c r="O475" s="53"/>
      <c r="P475" s="63"/>
      <c r="Q475" s="53"/>
      <c r="R475" s="64"/>
      <c r="S475" s="54"/>
      <c r="T475" s="64"/>
      <c r="U475" s="64"/>
      <c r="V475" s="32"/>
      <c r="W475" s="29"/>
    </row>
    <row r="476" spans="1:27" ht="28.5" customHeight="1">
      <c r="A476"/>
      <c r="B476" s="121"/>
      <c r="C476" s="57" t="s">
        <v>82</v>
      </c>
      <c r="D476" s="16">
        <f t="shared" ref="D476:L476" si="165">IF(((D474="")*AND(D475="")),"",(D474-D475)*3)</f>
        <v>9313.3199999999961</v>
      </c>
      <c r="E476" s="16">
        <f t="shared" si="165"/>
        <v>9263.3999999999978</v>
      </c>
      <c r="F476" s="16">
        <f t="shared" si="165"/>
        <v>9174.2999999999956</v>
      </c>
      <c r="G476" s="16">
        <f t="shared" si="165"/>
        <v>9009.8400000000074</v>
      </c>
      <c r="H476" s="16">
        <f t="shared" si="165"/>
        <v>9384.7799999999952</v>
      </c>
      <c r="I476" s="16">
        <f t="shared" si="165"/>
        <v>9224.8799999999974</v>
      </c>
      <c r="J476" s="16">
        <f t="shared" si="165"/>
        <v>9555.0299999999952</v>
      </c>
      <c r="K476" s="16">
        <f t="shared" si="165"/>
        <v>9123.75</v>
      </c>
      <c r="L476" s="16">
        <f t="shared" si="165"/>
        <v>9223.5</v>
      </c>
      <c r="M476" s="16">
        <f t="shared" si="147"/>
        <v>9252.5333333333328</v>
      </c>
      <c r="N476" s="65"/>
      <c r="O476" s="65"/>
      <c r="P476" s="66"/>
      <c r="Q476" s="65"/>
      <c r="R476" s="67"/>
      <c r="S476" s="58"/>
      <c r="T476" s="67"/>
      <c r="U476" s="67"/>
      <c r="V476" s="33"/>
      <c r="W476" s="29"/>
    </row>
    <row r="477" spans="1:27">
      <c r="A477" s="86">
        <v>43215</v>
      </c>
      <c r="B477" s="120" t="s">
        <v>348</v>
      </c>
      <c r="C477" s="57" t="s">
        <v>79</v>
      </c>
      <c r="D477" s="58">
        <v>29112.58</v>
      </c>
      <c r="E477" s="58">
        <v>28933.4</v>
      </c>
      <c r="F477" s="58">
        <v>28934.73</v>
      </c>
      <c r="G477" s="58">
        <v>28940.75</v>
      </c>
      <c r="H477" s="58">
        <v>29174.25</v>
      </c>
      <c r="I477" s="58">
        <v>29065.05</v>
      </c>
      <c r="J477" s="58">
        <v>28921.95</v>
      </c>
      <c r="K477" s="58">
        <v>28947.73</v>
      </c>
      <c r="L477" s="58">
        <v>29201.78</v>
      </c>
      <c r="M477" s="16">
        <f t="shared" si="147"/>
        <v>29025.802222222224</v>
      </c>
      <c r="N477" s="59">
        <f>IF((L478=""),"",MAX(D479:L479))</f>
        <v>13571.850000000002</v>
      </c>
      <c r="O477" s="59">
        <f>IF(L478="","",MIN(D479:L479))</f>
        <v>12674.129999999997</v>
      </c>
      <c r="P477" s="60">
        <f>IF((L479=""),"",AVERAGE(D479:L479))</f>
        <v>13306.54</v>
      </c>
      <c r="Q477" s="156">
        <f>IF((L478=""),"",((N477-O477)/(N477+O477)*100))</f>
        <v>3.4204095255730773</v>
      </c>
      <c r="R477" s="61" t="str">
        <f>IF(L478="","",IF(Q477&lt;Z477,IF(O477&gt;V477,IF(N477&lt;W477,"PASS","FAIL"),"FAIL"),"FAIL"))</f>
        <v>PASS</v>
      </c>
      <c r="S477" s="62">
        <v>1159</v>
      </c>
      <c r="T477" s="61"/>
      <c r="U477" s="61" t="s">
        <v>250</v>
      </c>
      <c r="V477" s="110">
        <v>9000</v>
      </c>
      <c r="W477" s="110">
        <v>25000</v>
      </c>
      <c r="X477" s="111">
        <v>8090</v>
      </c>
      <c r="Y477" s="111">
        <v>12070</v>
      </c>
      <c r="Z477" s="112">
        <v>15</v>
      </c>
      <c r="AA477" s="112">
        <v>6</v>
      </c>
    </row>
    <row r="478" spans="1:27" ht="15.75">
      <c r="A478"/>
      <c r="B478" s="121"/>
      <c r="C478" s="57" t="s">
        <v>80</v>
      </c>
      <c r="D478" s="16">
        <v>24813.53</v>
      </c>
      <c r="E478" s="16">
        <v>24426.44</v>
      </c>
      <c r="F478" s="16">
        <v>24442.14</v>
      </c>
      <c r="G478" s="16">
        <v>24416.799999999999</v>
      </c>
      <c r="H478" s="16">
        <v>24754.720000000001</v>
      </c>
      <c r="I478" s="16">
        <v>24840.34</v>
      </c>
      <c r="J478" s="16">
        <v>24443.49</v>
      </c>
      <c r="K478" s="16">
        <v>24433.71</v>
      </c>
      <c r="L478" s="16">
        <v>24741.43</v>
      </c>
      <c r="M478" s="16">
        <f t="shared" si="147"/>
        <v>24590.288888888885</v>
      </c>
      <c r="N478" s="53"/>
      <c r="O478" s="53"/>
      <c r="P478" s="63"/>
      <c r="Q478" s="53"/>
      <c r="R478" s="64"/>
      <c r="S478" s="54"/>
      <c r="T478" s="64"/>
      <c r="U478" s="64"/>
      <c r="V478" s="32"/>
      <c r="W478" s="29"/>
    </row>
    <row r="479" spans="1:27" ht="28.5" customHeight="1">
      <c r="A479"/>
      <c r="B479" s="121"/>
      <c r="C479" s="57" t="s">
        <v>82</v>
      </c>
      <c r="D479" s="16">
        <f t="shared" ref="D479:L479" si="166">IF(((D477="")*AND(D478="")),"",(D477-D478)*3)</f>
        <v>12897.150000000009</v>
      </c>
      <c r="E479" s="16">
        <f t="shared" si="166"/>
        <v>13520.880000000008</v>
      </c>
      <c r="F479" s="16">
        <f t="shared" si="166"/>
        <v>13477.77</v>
      </c>
      <c r="G479" s="16">
        <f t="shared" si="166"/>
        <v>13571.850000000002</v>
      </c>
      <c r="H479" s="16">
        <f t="shared" si="166"/>
        <v>13258.589999999997</v>
      </c>
      <c r="I479" s="16">
        <f t="shared" si="166"/>
        <v>12674.129999999997</v>
      </c>
      <c r="J479" s="16">
        <f t="shared" si="166"/>
        <v>13435.379999999997</v>
      </c>
      <c r="K479" s="16">
        <f t="shared" si="166"/>
        <v>13542.060000000001</v>
      </c>
      <c r="L479" s="16">
        <f t="shared" si="166"/>
        <v>13381.049999999996</v>
      </c>
      <c r="M479" s="16">
        <f t="shared" si="147"/>
        <v>13306.54</v>
      </c>
      <c r="N479" s="65"/>
      <c r="O479" s="65"/>
      <c r="P479" s="66"/>
      <c r="Q479" s="65"/>
      <c r="R479" s="67"/>
      <c r="S479" s="58"/>
      <c r="T479" s="67"/>
      <c r="U479" s="67"/>
      <c r="V479" s="33"/>
      <c r="W479" s="29"/>
    </row>
    <row r="480" spans="1:27">
      <c r="A480" s="86">
        <v>43221</v>
      </c>
      <c r="B480" s="120" t="s">
        <v>348</v>
      </c>
      <c r="C480" s="57" t="s">
        <v>79</v>
      </c>
      <c r="D480" s="58">
        <v>29339.26</v>
      </c>
      <c r="E480" s="58">
        <v>29156.93</v>
      </c>
      <c r="F480" s="58">
        <v>29153.26</v>
      </c>
      <c r="G480" s="58">
        <v>29128.46</v>
      </c>
      <c r="H480" s="58">
        <v>29364.17</v>
      </c>
      <c r="I480" s="58">
        <v>29325.53</v>
      </c>
      <c r="J480" s="58">
        <v>29129.42</v>
      </c>
      <c r="K480" s="58">
        <v>29137.3</v>
      </c>
      <c r="L480" s="58">
        <v>29380.87</v>
      </c>
      <c r="M480" s="16">
        <f t="shared" si="147"/>
        <v>29235.022222222222</v>
      </c>
      <c r="N480" s="59">
        <f>IF((L481=""),"",MAX(D482:L482))</f>
        <v>11289.600000000002</v>
      </c>
      <c r="O480" s="59">
        <f>IF(L481="","",MIN(D482:L482))</f>
        <v>10878.330000000002</v>
      </c>
      <c r="P480" s="60">
        <f>IF((L482=""),"",AVERAGE(D482:L482))</f>
        <v>11091.583333333334</v>
      </c>
      <c r="Q480" s="156">
        <f>IF((L481=""),"",((N480-O480)/(N480+O480)*100))</f>
        <v>1.8552476482919262</v>
      </c>
      <c r="R480" s="61" t="str">
        <f>IF(L481="","",IF(Q480&lt;Z480,IF(O480&gt;V480,IF(N480&lt;W480,"PASS","FAIL"),"FAIL"),"FAIL"))</f>
        <v>PASS</v>
      </c>
      <c r="S480" s="62">
        <v>1159</v>
      </c>
      <c r="T480" s="64" t="s">
        <v>174</v>
      </c>
      <c r="U480" s="61" t="s">
        <v>173</v>
      </c>
      <c r="V480" s="110">
        <v>9000</v>
      </c>
      <c r="W480" s="110">
        <v>25000</v>
      </c>
      <c r="X480" s="111">
        <v>8090</v>
      </c>
      <c r="Y480" s="111">
        <v>12070</v>
      </c>
      <c r="Z480" s="112">
        <v>15</v>
      </c>
      <c r="AA480" s="112">
        <v>6</v>
      </c>
    </row>
    <row r="481" spans="1:27" ht="15.75">
      <c r="A481"/>
      <c r="B481" s="121"/>
      <c r="C481" s="57" t="s">
        <v>80</v>
      </c>
      <c r="D481" s="16">
        <v>25675.23</v>
      </c>
      <c r="E481" s="16">
        <v>25461.53</v>
      </c>
      <c r="F481" s="16">
        <v>25451.39</v>
      </c>
      <c r="G481" s="16">
        <v>25431.14</v>
      </c>
      <c r="H481" s="16">
        <v>25628.71</v>
      </c>
      <c r="I481" s="16">
        <v>25699.42</v>
      </c>
      <c r="J481" s="16">
        <v>25463.38</v>
      </c>
      <c r="K481" s="16">
        <v>25411.98</v>
      </c>
      <c r="L481" s="16">
        <v>25617.67</v>
      </c>
      <c r="M481" s="16">
        <f t="shared" si="147"/>
        <v>25537.82777777778</v>
      </c>
      <c r="N481" s="53"/>
      <c r="O481" s="53"/>
      <c r="P481" s="63"/>
      <c r="Q481" s="53"/>
      <c r="R481" s="64"/>
      <c r="S481" s="54"/>
      <c r="U481" s="64"/>
      <c r="V481" s="32"/>
      <c r="W481" s="29"/>
    </row>
    <row r="482" spans="1:27" ht="28.5" customHeight="1">
      <c r="A482"/>
      <c r="B482" s="121"/>
      <c r="C482" s="57" t="s">
        <v>82</v>
      </c>
      <c r="D482" s="16">
        <f t="shared" ref="D482:L482" si="167">IF(((D480="")*AND(D481="")),"",(D480-D481)*3)</f>
        <v>10992.089999999997</v>
      </c>
      <c r="E482" s="16">
        <f t="shared" si="167"/>
        <v>11086.200000000004</v>
      </c>
      <c r="F482" s="16">
        <f t="shared" si="167"/>
        <v>11105.609999999997</v>
      </c>
      <c r="G482" s="16">
        <f t="shared" si="167"/>
        <v>11091.96</v>
      </c>
      <c r="H482" s="16">
        <f t="shared" si="167"/>
        <v>11206.379999999997</v>
      </c>
      <c r="I482" s="16">
        <f t="shared" si="167"/>
        <v>10878.330000000002</v>
      </c>
      <c r="J482" s="16">
        <f t="shared" si="167"/>
        <v>10998.119999999992</v>
      </c>
      <c r="K482" s="16">
        <f t="shared" si="167"/>
        <v>11175.96</v>
      </c>
      <c r="L482" s="16">
        <f t="shared" si="167"/>
        <v>11289.600000000002</v>
      </c>
      <c r="M482" s="16">
        <f t="shared" si="147"/>
        <v>11091.583333333334</v>
      </c>
      <c r="N482" s="65"/>
      <c r="O482" s="65"/>
      <c r="P482" s="66"/>
      <c r="Q482" s="65"/>
      <c r="R482" s="67"/>
      <c r="S482" s="58"/>
      <c r="T482" s="67"/>
      <c r="U482" s="67"/>
      <c r="V482" s="33"/>
      <c r="W482" s="29"/>
    </row>
    <row r="483" spans="1:27">
      <c r="A483" s="86">
        <v>43227</v>
      </c>
      <c r="B483" s="120" t="s">
        <v>348</v>
      </c>
      <c r="C483" s="57" t="s">
        <v>79</v>
      </c>
      <c r="D483" s="58">
        <v>29131.73</v>
      </c>
      <c r="E483" s="58">
        <v>28996.959999999999</v>
      </c>
      <c r="F483" s="58">
        <v>29048.67</v>
      </c>
      <c r="G483" s="58">
        <v>29003.67</v>
      </c>
      <c r="H483" s="58">
        <v>29249.54</v>
      </c>
      <c r="I483" s="58">
        <v>29122.799999999999</v>
      </c>
      <c r="J483" s="58">
        <v>28985.46</v>
      </c>
      <c r="K483" s="58">
        <v>28994.71</v>
      </c>
      <c r="L483" s="58">
        <v>29229.8</v>
      </c>
      <c r="M483" s="16">
        <f t="shared" si="147"/>
        <v>29084.815555555553</v>
      </c>
      <c r="N483" s="59">
        <f>IF((L484=""),"",MAX(D485:L485))</f>
        <v>8611.7099999999991</v>
      </c>
      <c r="O483" s="59">
        <f>IF(L484="","",MIN(D485:L485))</f>
        <v>8192.0699999999961</v>
      </c>
      <c r="P483" s="60">
        <f>IF((L485=""),"",AVERAGE(D485:L485))</f>
        <v>8392.3599999999951</v>
      </c>
      <c r="Q483" s="156">
        <f>IF((L484=""),"",((N483-O483)/(N483+O483)*100))</f>
        <v>2.4972952514255908</v>
      </c>
      <c r="R483" s="61" t="str">
        <f>IF(L484="","",IF(Q483&lt;Z483,IF(O483&gt;V483,IF(N483&lt;W483,"PASS","FAIL"),"FAIL"),"FAIL"))</f>
        <v>FAIL</v>
      </c>
      <c r="S483" s="62">
        <v>74</v>
      </c>
      <c r="T483" s="61"/>
      <c r="U483" s="61"/>
      <c r="V483" s="110">
        <v>9000</v>
      </c>
      <c r="W483" s="110">
        <v>25000</v>
      </c>
      <c r="X483" s="111">
        <v>8090</v>
      </c>
      <c r="Y483" s="111">
        <v>12070</v>
      </c>
      <c r="Z483" s="112">
        <v>15</v>
      </c>
      <c r="AA483" s="112">
        <v>6</v>
      </c>
    </row>
    <row r="484" spans="1:27" ht="15.75">
      <c r="A484"/>
      <c r="B484" s="121"/>
      <c r="C484" s="57" t="s">
        <v>80</v>
      </c>
      <c r="D484" s="16">
        <v>26261.16</v>
      </c>
      <c r="E484" s="16">
        <v>26184.63</v>
      </c>
      <c r="F484" s="16">
        <v>26282.26</v>
      </c>
      <c r="G484" s="16">
        <v>26235.26</v>
      </c>
      <c r="H484" s="16">
        <v>26459.71</v>
      </c>
      <c r="I484" s="16">
        <v>26392.11</v>
      </c>
      <c r="J484" s="16">
        <v>26222.99</v>
      </c>
      <c r="K484" s="16">
        <v>26186.67</v>
      </c>
      <c r="L484" s="16">
        <v>26361.47</v>
      </c>
      <c r="M484" s="16">
        <f t="shared" si="147"/>
        <v>26287.362222222218</v>
      </c>
      <c r="N484" s="53"/>
      <c r="O484" s="53"/>
      <c r="P484" s="63"/>
      <c r="Q484" s="53"/>
      <c r="R484" s="64"/>
      <c r="S484" s="54"/>
      <c r="T484" s="64"/>
      <c r="U484" s="64"/>
      <c r="V484" s="32"/>
      <c r="W484" s="29"/>
    </row>
    <row r="485" spans="1:27" ht="28.5" customHeight="1">
      <c r="A485"/>
      <c r="B485" s="121"/>
      <c r="C485" s="57" t="s">
        <v>82</v>
      </c>
      <c r="D485" s="16">
        <f t="shared" ref="D485:L485" si="168">IF(((D483="")*AND(D484="")),"",(D483-D484)*3)</f>
        <v>8611.7099999999991</v>
      </c>
      <c r="E485" s="16">
        <f t="shared" si="168"/>
        <v>8436.9899999999943</v>
      </c>
      <c r="F485" s="16">
        <f t="shared" si="168"/>
        <v>8299.23</v>
      </c>
      <c r="G485" s="16">
        <f t="shared" si="168"/>
        <v>8305.23</v>
      </c>
      <c r="H485" s="16">
        <f t="shared" si="168"/>
        <v>8369.4900000000052</v>
      </c>
      <c r="I485" s="16">
        <f t="shared" si="168"/>
        <v>8192.0699999999961</v>
      </c>
      <c r="J485" s="16">
        <f t="shared" si="168"/>
        <v>8287.4099999999926</v>
      </c>
      <c r="K485" s="16">
        <f t="shared" si="168"/>
        <v>8424.1200000000026</v>
      </c>
      <c r="L485" s="16">
        <f t="shared" si="168"/>
        <v>8604.9899999999943</v>
      </c>
      <c r="M485" s="16">
        <f t="shared" si="147"/>
        <v>8392.3599999999951</v>
      </c>
      <c r="N485" s="65"/>
      <c r="O485" s="65"/>
      <c r="P485" s="66"/>
      <c r="Q485" s="65"/>
      <c r="R485" s="67"/>
      <c r="S485" s="58"/>
      <c r="T485" s="67"/>
      <c r="U485" s="67"/>
      <c r="V485" s="33"/>
      <c r="W485" s="29"/>
    </row>
    <row r="486" spans="1:27">
      <c r="A486" s="86">
        <v>43229</v>
      </c>
      <c r="B486" s="120" t="s">
        <v>348</v>
      </c>
      <c r="C486" s="57" t="s">
        <v>79</v>
      </c>
      <c r="D486" s="58">
        <v>29260.87</v>
      </c>
      <c r="E486" s="58">
        <v>29095.23</v>
      </c>
      <c r="F486" s="58">
        <v>29151.71</v>
      </c>
      <c r="G486" s="58">
        <v>29087.46</v>
      </c>
      <c r="H486" s="58">
        <v>29325.53</v>
      </c>
      <c r="I486" s="58">
        <v>29218.75</v>
      </c>
      <c r="J486" s="58">
        <v>29091.599999999999</v>
      </c>
      <c r="K486" s="58">
        <v>29108.720000000001</v>
      </c>
      <c r="L486" s="58">
        <v>29363.3</v>
      </c>
      <c r="M486" s="16">
        <f t="shared" si="147"/>
        <v>29189.241111111111</v>
      </c>
      <c r="N486" s="59">
        <f>IF((L487=""),"",MAX(D488:L488))</f>
        <v>17605.530000000006</v>
      </c>
      <c r="O486" s="59">
        <f>IF(L487="","",MIN(D488:L488))</f>
        <v>15918</v>
      </c>
      <c r="P486" s="60">
        <f>IF((L488=""),"",AVERAGE(D488:L488))</f>
        <v>17119.703333333331</v>
      </c>
      <c r="Q486" s="156">
        <f>IF((L487=""),"",((N486-O486)/(N486+O486)*100))</f>
        <v>5.0338672568193319</v>
      </c>
      <c r="R486" s="61" t="str">
        <f>IF(L487="","",IF(Q486&lt;Z486,IF(O486&gt;V486,IF(N486&lt;W486,"PASS","FAIL"),"FAIL"),"FAIL"))</f>
        <v>PASS</v>
      </c>
      <c r="S486" s="62">
        <v>1159</v>
      </c>
      <c r="U486" s="61" t="s">
        <v>193</v>
      </c>
      <c r="V486" s="110">
        <v>9000</v>
      </c>
      <c r="W486" s="110">
        <v>25000</v>
      </c>
      <c r="X486" s="111">
        <v>8090</v>
      </c>
      <c r="Y486" s="111">
        <v>12070</v>
      </c>
      <c r="Z486" s="112">
        <v>15</v>
      </c>
      <c r="AA486" s="112">
        <v>6</v>
      </c>
    </row>
    <row r="487" spans="1:27" ht="15.75">
      <c r="A487"/>
      <c r="B487" s="121"/>
      <c r="C487" s="57" t="s">
        <v>80</v>
      </c>
      <c r="D487" s="16">
        <v>23509.1</v>
      </c>
      <c r="E487" s="16">
        <v>23269.77</v>
      </c>
      <c r="F487" s="16">
        <v>23314.42</v>
      </c>
      <c r="G487" s="16">
        <v>23353.72</v>
      </c>
      <c r="H487" s="16">
        <v>24019.53</v>
      </c>
      <c r="I487" s="16">
        <v>23755.61</v>
      </c>
      <c r="J487" s="16">
        <v>23305.69</v>
      </c>
      <c r="K487" s="16">
        <v>23240.21</v>
      </c>
      <c r="L487" s="16">
        <v>23576.01</v>
      </c>
      <c r="M487" s="16">
        <f t="shared" ref="M487:M550" si="169">SUM(D487:L487)/9</f>
        <v>23482.673333333332</v>
      </c>
      <c r="N487" s="53"/>
      <c r="O487" s="53"/>
      <c r="P487" s="63"/>
      <c r="Q487" s="53"/>
      <c r="R487" s="64"/>
      <c r="S487" s="54"/>
      <c r="T487" s="64"/>
      <c r="U487" s="64"/>
      <c r="V487" s="32"/>
      <c r="W487" s="29"/>
    </row>
    <row r="488" spans="1:27" ht="28.5" customHeight="1">
      <c r="A488"/>
      <c r="B488" s="121"/>
      <c r="C488" s="57" t="s">
        <v>82</v>
      </c>
      <c r="D488" s="16">
        <f t="shared" ref="D488:L488" si="170">IF(((D486="")*AND(D487="")),"",(D486-D487)*3)</f>
        <v>17255.310000000001</v>
      </c>
      <c r="E488" s="16">
        <f t="shared" si="170"/>
        <v>17476.379999999997</v>
      </c>
      <c r="F488" s="16">
        <f t="shared" si="170"/>
        <v>17511.870000000003</v>
      </c>
      <c r="G488" s="16">
        <f t="shared" si="170"/>
        <v>17201.219999999994</v>
      </c>
      <c r="H488" s="16">
        <f t="shared" si="170"/>
        <v>15918</v>
      </c>
      <c r="I488" s="16">
        <f t="shared" si="170"/>
        <v>16389.419999999998</v>
      </c>
      <c r="J488" s="16">
        <f t="shared" si="170"/>
        <v>17357.73</v>
      </c>
      <c r="K488" s="16">
        <f t="shared" si="170"/>
        <v>17605.530000000006</v>
      </c>
      <c r="L488" s="16">
        <f t="shared" si="170"/>
        <v>17361.870000000003</v>
      </c>
      <c r="M488" s="16">
        <f t="shared" si="169"/>
        <v>17119.703333333331</v>
      </c>
      <c r="N488" s="65"/>
      <c r="O488" s="65"/>
      <c r="P488" s="66"/>
      <c r="Q488" s="65"/>
      <c r="R488" s="67"/>
      <c r="S488" s="58"/>
      <c r="T488" s="67"/>
      <c r="U488" s="67"/>
      <c r="V488" s="33"/>
      <c r="W488" s="29"/>
    </row>
    <row r="489" spans="1:27">
      <c r="A489" s="86">
        <v>43230</v>
      </c>
      <c r="B489" s="120" t="s">
        <v>348</v>
      </c>
      <c r="C489" s="57" t="s">
        <v>79</v>
      </c>
      <c r="D489" s="58">
        <v>29251.87</v>
      </c>
      <c r="E489" s="58">
        <v>29056.95</v>
      </c>
      <c r="F489" s="58">
        <v>29035.46</v>
      </c>
      <c r="G489" s="58">
        <v>29049.79</v>
      </c>
      <c r="H489" s="58">
        <v>29275.49</v>
      </c>
      <c r="I489" s="58">
        <v>29261.09</v>
      </c>
      <c r="J489" s="58">
        <v>29065.82</v>
      </c>
      <c r="K489" s="58">
        <v>29061.93</v>
      </c>
      <c r="L489" s="58">
        <v>29277.51</v>
      </c>
      <c r="M489" s="16">
        <f t="shared" si="169"/>
        <v>29148.434444444443</v>
      </c>
      <c r="N489" s="59">
        <f>IF((L490=""),"",MAX(D491:L491))</f>
        <v>8849.6399999999921</v>
      </c>
      <c r="O489" s="59">
        <f>IF(L490="","",MIN(D491:L491))</f>
        <v>8512.5600000000013</v>
      </c>
      <c r="P489" s="60">
        <f>IF((L491=""),"",AVERAGE(D491:L491))</f>
        <v>8618.5766666666677</v>
      </c>
      <c r="Q489" s="156">
        <f>IF((L490=""),"",((N489-O489)/(N489+O489)*100))</f>
        <v>1.9414590316894804</v>
      </c>
      <c r="R489" s="61" t="str">
        <f>IF(L490="","",IF(Q489&lt;Z489,IF(O489&gt;V489,IF(N489&lt;W489,"PASS","FAIL"),"FAIL"),"FAIL"))</f>
        <v>FAIL</v>
      </c>
      <c r="S489" s="62">
        <v>1159</v>
      </c>
      <c r="U489" s="61" t="s">
        <v>175</v>
      </c>
      <c r="V489" s="110">
        <v>9000</v>
      </c>
      <c r="W489" s="110">
        <v>25000</v>
      </c>
      <c r="X489" s="111">
        <v>8090</v>
      </c>
      <c r="Y489" s="111">
        <v>12070</v>
      </c>
      <c r="Z489" s="112">
        <v>15</v>
      </c>
      <c r="AA489" s="112">
        <v>6</v>
      </c>
    </row>
    <row r="490" spans="1:27" ht="15.75">
      <c r="A490"/>
      <c r="B490" s="121"/>
      <c r="C490" s="57" t="s">
        <v>80</v>
      </c>
      <c r="D490" s="16">
        <v>26333.81</v>
      </c>
      <c r="E490" s="16">
        <v>26181.59</v>
      </c>
      <c r="F490" s="16">
        <v>26195.3</v>
      </c>
      <c r="G490" s="16">
        <v>26212.27</v>
      </c>
      <c r="H490" s="16">
        <v>26402.42</v>
      </c>
      <c r="I490" s="16">
        <v>26421.86</v>
      </c>
      <c r="J490" s="16">
        <v>26217.55</v>
      </c>
      <c r="K490" s="16">
        <v>26187.75</v>
      </c>
      <c r="L490" s="16">
        <v>26327.63</v>
      </c>
      <c r="M490" s="16">
        <f t="shared" si="169"/>
        <v>26275.575555555555</v>
      </c>
      <c r="N490" s="53"/>
      <c r="O490" s="53"/>
      <c r="P490" s="63"/>
      <c r="Q490" s="53"/>
      <c r="R490" s="64"/>
      <c r="S490" s="54"/>
      <c r="T490" s="64"/>
      <c r="U490" s="64"/>
      <c r="V490" s="32"/>
      <c r="W490" s="29"/>
    </row>
    <row r="491" spans="1:27" ht="28.5" customHeight="1">
      <c r="A491"/>
      <c r="B491" s="121"/>
      <c r="C491" s="57" t="s">
        <v>82</v>
      </c>
      <c r="D491" s="16">
        <f t="shared" ref="D491:L491" si="171">IF(((D489="")*AND(D490="")),"",(D489-D490)*3)</f>
        <v>8754.179999999993</v>
      </c>
      <c r="E491" s="16">
        <f t="shared" si="171"/>
        <v>8626.0800000000017</v>
      </c>
      <c r="F491" s="16">
        <f t="shared" si="171"/>
        <v>8520.48</v>
      </c>
      <c r="G491" s="16">
        <f t="shared" si="171"/>
        <v>8512.5600000000013</v>
      </c>
      <c r="H491" s="16">
        <f t="shared" si="171"/>
        <v>8619.21000000001</v>
      </c>
      <c r="I491" s="16">
        <f t="shared" si="171"/>
        <v>8517.6899999999987</v>
      </c>
      <c r="J491" s="16">
        <f t="shared" si="171"/>
        <v>8544.8100000000013</v>
      </c>
      <c r="K491" s="16">
        <f t="shared" si="171"/>
        <v>8622.5400000000009</v>
      </c>
      <c r="L491" s="16">
        <f t="shared" si="171"/>
        <v>8849.6399999999921</v>
      </c>
      <c r="M491" s="16">
        <f t="shared" si="169"/>
        <v>8618.5766666666677</v>
      </c>
      <c r="N491" s="65"/>
      <c r="O491" s="65"/>
      <c r="P491" s="66"/>
      <c r="Q491" s="65"/>
      <c r="R491" s="67"/>
      <c r="S491" s="58"/>
      <c r="T491" s="67"/>
      <c r="U491" s="67"/>
      <c r="V491" s="33"/>
      <c r="W491" s="29"/>
    </row>
    <row r="492" spans="1:27">
      <c r="A492" s="86">
        <v>43230</v>
      </c>
      <c r="B492" s="120" t="s">
        <v>348</v>
      </c>
      <c r="C492" s="57" t="s">
        <v>79</v>
      </c>
      <c r="D492" s="58">
        <v>29235.71</v>
      </c>
      <c r="E492" s="58">
        <v>29066.36</v>
      </c>
      <c r="F492" s="58">
        <v>29116.48</v>
      </c>
      <c r="G492" s="58">
        <v>29073.63</v>
      </c>
      <c r="H492" s="58">
        <v>29281.33</v>
      </c>
      <c r="I492" s="58">
        <v>29220.93</v>
      </c>
      <c r="J492" s="58">
        <v>29072.32</v>
      </c>
      <c r="K492" s="58">
        <v>29058.639999999999</v>
      </c>
      <c r="L492" s="58">
        <v>29301.43</v>
      </c>
      <c r="M492" s="16">
        <f t="shared" si="169"/>
        <v>29158.536666666667</v>
      </c>
      <c r="N492" s="59">
        <f>IF((L493=""),"",MAX(D494:L494))</f>
        <v>9269.7900000000009</v>
      </c>
      <c r="O492" s="59">
        <f>IF(L493="","",MIN(D494:L494))</f>
        <v>8725.8900000000031</v>
      </c>
      <c r="P492" s="60">
        <f>IF((L494=""),"",AVERAGE(D494:L494))</f>
        <v>9027.7366666666658</v>
      </c>
      <c r="Q492" s="156">
        <f>IF((L493=""),"",((N492-O492)/(N492+O492)*100))</f>
        <v>3.0223920407564355</v>
      </c>
      <c r="R492" s="61" t="str">
        <f>IF(L493="","",IF(Q492&lt;Z492,IF(O492&gt;V492,IF(N492&lt;W492,"PASS","FAIL"),"FAIL"),"FAIL"))</f>
        <v>FAIL</v>
      </c>
      <c r="S492" s="62">
        <v>1159</v>
      </c>
      <c r="U492" s="61" t="s">
        <v>176</v>
      </c>
      <c r="V492" s="110">
        <v>9000</v>
      </c>
      <c r="W492" s="110">
        <v>25000</v>
      </c>
      <c r="X492" s="111">
        <v>8090</v>
      </c>
      <c r="Y492" s="111">
        <v>12070</v>
      </c>
      <c r="Z492" s="112">
        <v>15</v>
      </c>
      <c r="AA492" s="112">
        <v>6</v>
      </c>
    </row>
    <row r="493" spans="1:27" ht="15.75">
      <c r="A493"/>
      <c r="B493" s="121"/>
      <c r="C493" s="57" t="s">
        <v>80</v>
      </c>
      <c r="D493" s="16">
        <v>26175.84</v>
      </c>
      <c r="E493" s="16">
        <v>26049.97</v>
      </c>
      <c r="F493" s="16">
        <v>26114.76</v>
      </c>
      <c r="G493" s="16">
        <v>26050.65</v>
      </c>
      <c r="H493" s="16">
        <v>26191.4</v>
      </c>
      <c r="I493" s="16">
        <v>26312.3</v>
      </c>
      <c r="J493" s="16">
        <v>26097.91</v>
      </c>
      <c r="K493" s="16">
        <v>26066.58</v>
      </c>
      <c r="L493" s="16">
        <v>26284.21</v>
      </c>
      <c r="M493" s="16">
        <f t="shared" si="169"/>
        <v>26149.291111111106</v>
      </c>
      <c r="N493" s="53"/>
      <c r="O493" s="53"/>
      <c r="P493" s="63"/>
      <c r="Q493" s="53"/>
      <c r="R493" s="64"/>
      <c r="S493" s="54"/>
      <c r="T493" s="64"/>
      <c r="U493" s="64"/>
      <c r="V493" s="32"/>
      <c r="W493" s="29"/>
    </row>
    <row r="494" spans="1:27" ht="28.5" customHeight="1">
      <c r="A494"/>
      <c r="B494" s="121"/>
      <c r="C494" s="57" t="s">
        <v>82</v>
      </c>
      <c r="D494" s="16">
        <f t="shared" ref="D494:L494" si="172">IF(((D492="")*AND(D493="")),"",(D492-D493)*3)</f>
        <v>9179.6099999999969</v>
      </c>
      <c r="E494" s="16">
        <f t="shared" si="172"/>
        <v>9049.1699999999983</v>
      </c>
      <c r="F494" s="16">
        <f t="shared" si="172"/>
        <v>9005.1600000000035</v>
      </c>
      <c r="G494" s="16">
        <f t="shared" si="172"/>
        <v>9068.9399999999987</v>
      </c>
      <c r="H494" s="16">
        <f t="shared" si="172"/>
        <v>9269.7900000000009</v>
      </c>
      <c r="I494" s="16">
        <f t="shared" si="172"/>
        <v>8725.8900000000031</v>
      </c>
      <c r="J494" s="16">
        <f t="shared" si="172"/>
        <v>8923.23</v>
      </c>
      <c r="K494" s="16">
        <f t="shared" si="172"/>
        <v>8976.179999999993</v>
      </c>
      <c r="L494" s="16">
        <f t="shared" si="172"/>
        <v>9051.6600000000035</v>
      </c>
      <c r="M494" s="16">
        <f t="shared" si="169"/>
        <v>9027.7366666666658</v>
      </c>
      <c r="N494" s="65"/>
      <c r="O494" s="65"/>
      <c r="P494" s="66"/>
      <c r="Q494" s="65"/>
      <c r="R494" s="67"/>
      <c r="S494" s="58"/>
      <c r="T494" s="67"/>
      <c r="U494" s="67"/>
      <c r="V494" s="33"/>
      <c r="W494" s="29"/>
    </row>
    <row r="495" spans="1:27">
      <c r="A495" s="86">
        <v>43231</v>
      </c>
      <c r="B495" s="120" t="s">
        <v>348</v>
      </c>
      <c r="C495" s="57" t="s">
        <v>79</v>
      </c>
      <c r="D495" s="58">
        <v>29264.01</v>
      </c>
      <c r="E495" s="58">
        <v>29111.88</v>
      </c>
      <c r="F495" s="58">
        <v>29164.15</v>
      </c>
      <c r="G495" s="58">
        <v>29103.63</v>
      </c>
      <c r="H495" s="58">
        <v>29325.85</v>
      </c>
      <c r="I495" s="58">
        <v>29266.34</v>
      </c>
      <c r="J495" s="58">
        <v>29094.62</v>
      </c>
      <c r="K495" s="58">
        <v>29104.22</v>
      </c>
      <c r="L495" s="58">
        <v>29322.66</v>
      </c>
      <c r="M495" s="16">
        <f t="shared" si="169"/>
        <v>29195.26222222222</v>
      </c>
      <c r="N495" s="59">
        <f>IF((L496=""),"",MAX(D497:L497))</f>
        <v>9465.48</v>
      </c>
      <c r="O495" s="59">
        <f>IF(L496="","",MIN(D497:L497))</f>
        <v>9086.1000000000022</v>
      </c>
      <c r="P495" s="60">
        <f>IF((L497=""),"",AVERAGE(D497:L497))</f>
        <v>9242.26</v>
      </c>
      <c r="Q495" s="156">
        <f>IF((L496=""),"",((N495-O495)/(N495+O495)*100))</f>
        <v>2.0450010187811354</v>
      </c>
      <c r="R495" s="61" t="str">
        <f>IF(L496="","",IF(Q495&lt;Z495,IF(O495&gt;V495,IF(N495&lt;W495,"PASS","FAIL"),"FAIL"),"FAIL"))</f>
        <v>PASS</v>
      </c>
      <c r="S495" s="62">
        <v>1159</v>
      </c>
      <c r="U495" s="61" t="s">
        <v>176</v>
      </c>
      <c r="V495" s="110">
        <v>9000</v>
      </c>
      <c r="W495" s="110">
        <v>25000</v>
      </c>
      <c r="X495" s="111">
        <v>8090</v>
      </c>
      <c r="Y495" s="111">
        <v>12070</v>
      </c>
      <c r="Z495" s="112">
        <v>15</v>
      </c>
      <c r="AA495" s="112">
        <v>6</v>
      </c>
    </row>
    <row r="496" spans="1:27" ht="15.75">
      <c r="A496"/>
      <c r="B496" s="121"/>
      <c r="C496" s="57" t="s">
        <v>80</v>
      </c>
      <c r="D496" s="16">
        <v>26123.9</v>
      </c>
      <c r="E496" s="16">
        <v>26029.06</v>
      </c>
      <c r="F496" s="16">
        <v>26107.63</v>
      </c>
      <c r="G496" s="16">
        <v>26048.23</v>
      </c>
      <c r="H496" s="16">
        <v>26260.799999999999</v>
      </c>
      <c r="I496" s="16">
        <v>26237.64</v>
      </c>
      <c r="J496" s="16">
        <v>26046.54</v>
      </c>
      <c r="K496" s="16">
        <v>26009.279999999999</v>
      </c>
      <c r="L496" s="16">
        <v>26167.5</v>
      </c>
      <c r="M496" s="16">
        <f t="shared" si="169"/>
        <v>26114.508888888889</v>
      </c>
      <c r="N496" s="53"/>
      <c r="O496" s="53"/>
      <c r="P496" s="63"/>
      <c r="Q496" s="53"/>
      <c r="R496" s="64"/>
      <c r="S496" s="54"/>
      <c r="T496" s="64"/>
      <c r="U496" s="64"/>
      <c r="V496" s="32"/>
      <c r="W496" s="29"/>
    </row>
    <row r="497" spans="1:27" ht="28.5" customHeight="1">
      <c r="A497"/>
      <c r="B497" s="121"/>
      <c r="C497" s="57" t="s">
        <v>82</v>
      </c>
      <c r="D497" s="16">
        <f t="shared" ref="D497:L497" si="173">IF(((D495="")*AND(D496="")),"",(D495-D496)*3)</f>
        <v>9420.3299999999908</v>
      </c>
      <c r="E497" s="16">
        <f t="shared" si="173"/>
        <v>9248.4599999999991</v>
      </c>
      <c r="F497" s="16">
        <f t="shared" si="173"/>
        <v>9169.5600000000013</v>
      </c>
      <c r="G497" s="16">
        <f t="shared" si="173"/>
        <v>9166.2000000000044</v>
      </c>
      <c r="H497" s="16">
        <f t="shared" si="173"/>
        <v>9195.1499999999978</v>
      </c>
      <c r="I497" s="16">
        <f t="shared" si="173"/>
        <v>9086.1000000000022</v>
      </c>
      <c r="J497" s="16">
        <f t="shared" si="173"/>
        <v>9144.2399999999943</v>
      </c>
      <c r="K497" s="16">
        <f t="shared" si="173"/>
        <v>9284.820000000007</v>
      </c>
      <c r="L497" s="16">
        <f t="shared" si="173"/>
        <v>9465.48</v>
      </c>
      <c r="M497" s="16">
        <f t="shared" si="169"/>
        <v>9242.26</v>
      </c>
      <c r="N497" s="65"/>
      <c r="O497" s="65"/>
      <c r="P497" s="66"/>
      <c r="Q497" s="65"/>
      <c r="R497" s="67"/>
      <c r="S497" s="58"/>
      <c r="T497" s="67"/>
      <c r="U497" s="67"/>
      <c r="V497" s="33"/>
      <c r="W497" s="29"/>
    </row>
    <row r="498" spans="1:27">
      <c r="A498" s="86">
        <v>43235</v>
      </c>
      <c r="B498" s="120" t="s">
        <v>348</v>
      </c>
      <c r="C498" s="57" t="s">
        <v>79</v>
      </c>
      <c r="D498" s="58">
        <v>29175.62</v>
      </c>
      <c r="E498" s="58">
        <v>29038.54</v>
      </c>
      <c r="F498" s="58">
        <v>29100.82</v>
      </c>
      <c r="G498" s="58">
        <v>29064.49</v>
      </c>
      <c r="H498" s="58">
        <v>29298.78</v>
      </c>
      <c r="I498" s="58">
        <v>29223.200000000001</v>
      </c>
      <c r="J498" s="58">
        <v>29048.07</v>
      </c>
      <c r="K498" s="58">
        <v>29046.42</v>
      </c>
      <c r="L498" s="58">
        <v>29264.82</v>
      </c>
      <c r="M498" s="16">
        <f t="shared" si="169"/>
        <v>29140.084444444445</v>
      </c>
      <c r="N498" s="59">
        <f>IF((L499=""),"",MAX(D500:L500))</f>
        <v>8804.0699999999961</v>
      </c>
      <c r="O498" s="59">
        <f>IF(L499="","",MIN(D500:L500))</f>
        <v>8337.9599999999991</v>
      </c>
      <c r="P498" s="60">
        <f>IF((L500=""),"",AVERAGE(D500:L500))</f>
        <v>8534.6333333333332</v>
      </c>
      <c r="Q498" s="156">
        <f>IF((L499=""),"",((N498-O498)/(N498+O498)*100))</f>
        <v>2.719106196873982</v>
      </c>
      <c r="R498" s="61" t="str">
        <f>IF(L499="","",IF(Q498&lt;Z498,IF(O498&gt;V498,IF(N498&lt;W498,"PASS","FAIL"),"FAIL"),"FAIL"))</f>
        <v>FAIL</v>
      </c>
      <c r="S498" s="62">
        <v>1335</v>
      </c>
      <c r="T498" s="61"/>
      <c r="U498" s="61"/>
      <c r="V498" s="110">
        <v>9000</v>
      </c>
      <c r="W498" s="110">
        <v>25000</v>
      </c>
      <c r="X498" s="111">
        <v>8090</v>
      </c>
      <c r="Y498" s="111">
        <v>12070</v>
      </c>
      <c r="Z498" s="112">
        <v>15</v>
      </c>
      <c r="AA498" s="112">
        <v>6</v>
      </c>
    </row>
    <row r="499" spans="1:27" ht="15.75">
      <c r="A499"/>
      <c r="B499" s="121"/>
      <c r="C499" s="57" t="s">
        <v>80</v>
      </c>
      <c r="D499" s="16">
        <v>26396.3</v>
      </c>
      <c r="E499" s="16">
        <v>26239.17</v>
      </c>
      <c r="F499" s="16">
        <v>26286.240000000002</v>
      </c>
      <c r="G499" s="16">
        <v>26198.81</v>
      </c>
      <c r="H499" s="16">
        <v>26364.09</v>
      </c>
      <c r="I499" s="16">
        <v>26401.9</v>
      </c>
      <c r="J499" s="16">
        <v>26237.31</v>
      </c>
      <c r="K499" s="16">
        <v>26191.599999999999</v>
      </c>
      <c r="L499" s="16">
        <v>26341.439999999999</v>
      </c>
      <c r="M499" s="16">
        <f t="shared" si="169"/>
        <v>26295.206666666669</v>
      </c>
      <c r="N499" s="53"/>
      <c r="O499" s="53"/>
      <c r="P499" s="63"/>
      <c r="Q499" s="53"/>
      <c r="R499" s="64"/>
      <c r="S499" s="54"/>
      <c r="T499" s="64"/>
      <c r="U499" s="64"/>
      <c r="V499" s="32"/>
      <c r="W499" s="29"/>
    </row>
    <row r="500" spans="1:27" ht="28.5" customHeight="1">
      <c r="A500"/>
      <c r="B500" s="121"/>
      <c r="C500" s="57" t="s">
        <v>82</v>
      </c>
      <c r="D500" s="16">
        <f t="shared" ref="D500:L500" si="174">IF(((D498="")*AND(D499="")),"",(D498-D499)*3)</f>
        <v>8337.9599999999991</v>
      </c>
      <c r="E500" s="16">
        <f t="shared" si="174"/>
        <v>8398.1100000000079</v>
      </c>
      <c r="F500" s="16">
        <f t="shared" si="174"/>
        <v>8443.7399999999943</v>
      </c>
      <c r="G500" s="16">
        <f t="shared" si="174"/>
        <v>8597.0400000000009</v>
      </c>
      <c r="H500" s="16">
        <f t="shared" si="174"/>
        <v>8804.0699999999961</v>
      </c>
      <c r="I500" s="16">
        <f t="shared" si="174"/>
        <v>8463.8999999999978</v>
      </c>
      <c r="J500" s="16">
        <f t="shared" si="174"/>
        <v>8432.2799999999952</v>
      </c>
      <c r="K500" s="16">
        <f t="shared" si="174"/>
        <v>8564.4599999999991</v>
      </c>
      <c r="L500" s="16">
        <f t="shared" si="174"/>
        <v>8770.1400000000031</v>
      </c>
      <c r="M500" s="16">
        <f t="shared" si="169"/>
        <v>8534.6333333333332</v>
      </c>
      <c r="N500" s="65"/>
      <c r="O500" s="65"/>
      <c r="P500" s="66"/>
      <c r="Q500" s="65"/>
      <c r="R500" s="67"/>
      <c r="S500" s="58"/>
      <c r="T500" s="67"/>
      <c r="U500" s="67"/>
      <c r="V500" s="33"/>
      <c r="W500" s="29"/>
    </row>
    <row r="501" spans="1:27">
      <c r="A501" s="86">
        <v>43237</v>
      </c>
      <c r="B501" s="120" t="s">
        <v>348</v>
      </c>
      <c r="C501" s="57" t="s">
        <v>79</v>
      </c>
      <c r="D501" s="58">
        <v>29261</v>
      </c>
      <c r="E501" s="58">
        <v>29077</v>
      </c>
      <c r="F501" s="58">
        <v>29156</v>
      </c>
      <c r="G501" s="58">
        <v>29103</v>
      </c>
      <c r="H501" s="58">
        <v>29352</v>
      </c>
      <c r="I501" s="58">
        <v>29284</v>
      </c>
      <c r="J501" s="58">
        <v>29093</v>
      </c>
      <c r="K501" s="58">
        <v>29097</v>
      </c>
      <c r="L501" s="58">
        <v>29281</v>
      </c>
      <c r="M501" s="16">
        <f t="shared" si="169"/>
        <v>29189.333333333332</v>
      </c>
      <c r="N501" s="59">
        <f>IF((L502=""),"",MAX(D503:L503))</f>
        <v>7995</v>
      </c>
      <c r="O501" s="59">
        <f>IF(L502="","",MIN(D503:L503))</f>
        <v>7581</v>
      </c>
      <c r="P501" s="60">
        <f>IF((L503=""),"",AVERAGE(D503:L503))</f>
        <v>7720.333333333333</v>
      </c>
      <c r="Q501" s="156">
        <f>IF((L502=""),"",((N501-O501)/(N501+O501)*100))</f>
        <v>2.6579352850539291</v>
      </c>
      <c r="R501" s="61" t="str">
        <f>IF(L502="","",IF(Q501&lt;Z501,IF(O501&gt;V501,IF(N501&lt;W501,"PASS","FAIL"),"FAIL"),"FAIL"))</f>
        <v>FAIL</v>
      </c>
      <c r="S501" s="62">
        <v>1159</v>
      </c>
      <c r="T501" s="61"/>
      <c r="U501" s="61"/>
      <c r="V501" s="110">
        <v>9000</v>
      </c>
      <c r="W501" s="110">
        <v>25000</v>
      </c>
      <c r="X501" s="111">
        <v>8090</v>
      </c>
      <c r="Y501" s="111">
        <v>12070</v>
      </c>
      <c r="Z501" s="112">
        <v>15</v>
      </c>
      <c r="AA501" s="112">
        <v>6</v>
      </c>
    </row>
    <row r="502" spans="1:27" ht="15.75">
      <c r="A502"/>
      <c r="B502" s="121"/>
      <c r="C502" s="57" t="s">
        <v>80</v>
      </c>
      <c r="D502" s="16">
        <v>26670</v>
      </c>
      <c r="E502" s="16">
        <v>26524</v>
      </c>
      <c r="F502" s="16">
        <v>26608</v>
      </c>
      <c r="G502" s="16">
        <v>26572</v>
      </c>
      <c r="H502" s="16">
        <v>26775</v>
      </c>
      <c r="I502" s="16">
        <v>26722</v>
      </c>
      <c r="J502" s="16">
        <v>26566</v>
      </c>
      <c r="K502" s="16">
        <v>26490</v>
      </c>
      <c r="L502" s="16">
        <v>26616</v>
      </c>
      <c r="M502" s="16">
        <f t="shared" si="169"/>
        <v>26615.888888888891</v>
      </c>
      <c r="N502" s="53"/>
      <c r="O502" s="53"/>
      <c r="P502" s="63"/>
      <c r="Q502" s="53"/>
      <c r="R502" s="64"/>
      <c r="S502" s="54"/>
      <c r="T502" s="64"/>
      <c r="U502" s="64"/>
      <c r="V502" s="32"/>
      <c r="W502" s="29"/>
    </row>
    <row r="503" spans="1:27" ht="28.5" customHeight="1">
      <c r="A503"/>
      <c r="B503" s="121"/>
      <c r="C503" s="57" t="s">
        <v>82</v>
      </c>
      <c r="D503" s="16">
        <f t="shared" ref="D503:L503" si="175">IF(((D501="")*AND(D502="")),"",(D501-D502)*3)</f>
        <v>7773</v>
      </c>
      <c r="E503" s="16">
        <f t="shared" si="175"/>
        <v>7659</v>
      </c>
      <c r="F503" s="16">
        <f t="shared" si="175"/>
        <v>7644</v>
      </c>
      <c r="G503" s="16">
        <f t="shared" si="175"/>
        <v>7593</v>
      </c>
      <c r="H503" s="16">
        <f t="shared" si="175"/>
        <v>7731</v>
      </c>
      <c r="I503" s="16">
        <f t="shared" si="175"/>
        <v>7686</v>
      </c>
      <c r="J503" s="16">
        <f t="shared" si="175"/>
        <v>7581</v>
      </c>
      <c r="K503" s="16">
        <f t="shared" si="175"/>
        <v>7821</v>
      </c>
      <c r="L503" s="16">
        <f t="shared" si="175"/>
        <v>7995</v>
      </c>
      <c r="M503" s="16">
        <f t="shared" si="169"/>
        <v>7720.333333333333</v>
      </c>
      <c r="N503" s="65"/>
      <c r="O503" s="65"/>
      <c r="P503" s="66"/>
      <c r="Q503" s="65"/>
      <c r="R503" s="67"/>
      <c r="S503" s="58"/>
      <c r="T503" s="67"/>
      <c r="U503" s="67"/>
      <c r="V503" s="33"/>
      <c r="W503" s="29"/>
    </row>
    <row r="504" spans="1:27">
      <c r="A504" s="86">
        <v>43237</v>
      </c>
      <c r="B504" s="120" t="s">
        <v>348</v>
      </c>
      <c r="C504" s="57" t="s">
        <v>79</v>
      </c>
      <c r="D504" s="58">
        <v>29180.51</v>
      </c>
      <c r="E504" s="58">
        <v>28989.97</v>
      </c>
      <c r="F504" s="58">
        <v>28965.57</v>
      </c>
      <c r="G504" s="58">
        <v>28983.52</v>
      </c>
      <c r="H504" s="58">
        <v>29189.11</v>
      </c>
      <c r="I504" s="58">
        <v>29168.37</v>
      </c>
      <c r="J504" s="58">
        <v>28971.41</v>
      </c>
      <c r="K504" s="58">
        <v>28968.29</v>
      </c>
      <c r="L504" s="58">
        <v>29191</v>
      </c>
      <c r="M504" s="16">
        <f t="shared" si="169"/>
        <v>29067.527777777777</v>
      </c>
      <c r="N504" s="59">
        <f>IF((L505=""),"",MAX(D506:L506))</f>
        <v>9357.3599999999969</v>
      </c>
      <c r="O504" s="59">
        <f>IF(L505="","",MIN(D506:L506))</f>
        <v>8839.9199999999983</v>
      </c>
      <c r="P504" s="60">
        <f>IF((L506=""),"",AVERAGE(D506:L506))</f>
        <v>9088.9500000000007</v>
      </c>
      <c r="Q504" s="156">
        <f>IF((L505=""),"",((N504-O504)/(N504+O504)*100))</f>
        <v>2.8435018859961425</v>
      </c>
      <c r="R504" s="61" t="str">
        <f>IF(L505="","",IF(Q504&lt;Z504,IF(O504&gt;V504,IF(N504&lt;W504,"PASS","FAIL"),"FAIL"),"FAIL"))</f>
        <v>FAIL</v>
      </c>
      <c r="S504" s="62">
        <v>1159</v>
      </c>
      <c r="T504" s="61"/>
      <c r="U504" s="61"/>
      <c r="V504" s="110">
        <v>9000</v>
      </c>
      <c r="W504" s="110">
        <v>25000</v>
      </c>
      <c r="X504" s="111">
        <v>8090</v>
      </c>
      <c r="Y504" s="111">
        <v>12070</v>
      </c>
      <c r="Z504" s="112">
        <v>15</v>
      </c>
      <c r="AA504" s="112">
        <v>6</v>
      </c>
    </row>
    <row r="505" spans="1:27" ht="15.75">
      <c r="A505"/>
      <c r="B505" s="121"/>
      <c r="C505" s="57" t="s">
        <v>80</v>
      </c>
      <c r="D505" s="16">
        <v>26106.55</v>
      </c>
      <c r="E505" s="16">
        <v>25953.64</v>
      </c>
      <c r="F505" s="16">
        <v>25968.54</v>
      </c>
      <c r="G505" s="16">
        <v>25997.54</v>
      </c>
      <c r="H505" s="16">
        <v>26242.47</v>
      </c>
      <c r="I505" s="16">
        <v>26049.25</v>
      </c>
      <c r="J505" s="16">
        <v>25941.14</v>
      </c>
      <c r="K505" s="16">
        <v>25964.51</v>
      </c>
      <c r="L505" s="16">
        <v>26117.26</v>
      </c>
      <c r="M505" s="16">
        <f t="shared" si="169"/>
        <v>26037.87777777778</v>
      </c>
      <c r="N505" s="53"/>
      <c r="O505" s="53"/>
      <c r="P505" s="63"/>
      <c r="Q505" s="53"/>
      <c r="R505" s="64"/>
      <c r="S505" s="54"/>
      <c r="T505" s="64"/>
      <c r="U505" s="64"/>
      <c r="V505" s="32"/>
      <c r="W505" s="29"/>
    </row>
    <row r="506" spans="1:27" ht="28.5" customHeight="1">
      <c r="A506"/>
      <c r="B506" s="121"/>
      <c r="C506" s="57" t="s">
        <v>82</v>
      </c>
      <c r="D506" s="16">
        <f t="shared" ref="D506:L506" si="176">IF(((D504="")*AND(D505="")),"",(D504-D505)*3)</f>
        <v>9221.8799999999974</v>
      </c>
      <c r="E506" s="16">
        <f t="shared" si="176"/>
        <v>9108.9900000000052</v>
      </c>
      <c r="F506" s="16">
        <f t="shared" si="176"/>
        <v>8991.0899999999965</v>
      </c>
      <c r="G506" s="16">
        <f t="shared" si="176"/>
        <v>8957.9399999999987</v>
      </c>
      <c r="H506" s="16">
        <f t="shared" si="176"/>
        <v>8839.9199999999983</v>
      </c>
      <c r="I506" s="16">
        <f t="shared" si="176"/>
        <v>9357.3599999999969</v>
      </c>
      <c r="J506" s="16">
        <f t="shared" si="176"/>
        <v>9090.8100000000013</v>
      </c>
      <c r="K506" s="16">
        <f t="shared" si="176"/>
        <v>9011.3400000000074</v>
      </c>
      <c r="L506" s="16">
        <f t="shared" si="176"/>
        <v>9221.2200000000048</v>
      </c>
      <c r="M506" s="16">
        <f t="shared" si="169"/>
        <v>9088.9500000000007</v>
      </c>
      <c r="N506" s="65"/>
      <c r="O506" s="65"/>
      <c r="P506" s="66"/>
      <c r="Q506" s="65"/>
      <c r="R506" s="67"/>
      <c r="S506" s="58"/>
      <c r="T506" s="67"/>
      <c r="U506" s="67"/>
      <c r="V506" s="33"/>
      <c r="W506" s="29"/>
    </row>
    <row r="507" spans="1:27">
      <c r="A507" s="86">
        <v>43247</v>
      </c>
      <c r="B507" s="120" t="s">
        <v>348</v>
      </c>
      <c r="C507" s="57" t="s">
        <v>79</v>
      </c>
      <c r="D507" s="58">
        <v>29176.59</v>
      </c>
      <c r="E507" s="58">
        <v>29010.9</v>
      </c>
      <c r="F507" s="58">
        <v>29003.759999999998</v>
      </c>
      <c r="G507" s="58">
        <v>29013.11</v>
      </c>
      <c r="H507" s="58">
        <v>29232.9</v>
      </c>
      <c r="I507" s="58">
        <v>29145.57</v>
      </c>
      <c r="J507" s="58">
        <v>28997.54</v>
      </c>
      <c r="K507" s="58">
        <v>29015.48</v>
      </c>
      <c r="L507" s="58">
        <v>29262.03</v>
      </c>
      <c r="M507" s="16">
        <f t="shared" si="169"/>
        <v>29095.320000000003</v>
      </c>
      <c r="N507" s="59">
        <f>IF((L508=""),"",MAX(D509:L509))</f>
        <v>9589.23</v>
      </c>
      <c r="O507" s="59">
        <f>IF(L508="","",MIN(D509:L509))</f>
        <v>9243.3900000000031</v>
      </c>
      <c r="P507" s="60">
        <f>IF((L509=""),"",AVERAGE(D509:L509))</f>
        <v>9451.4333333333343</v>
      </c>
      <c r="Q507" s="156">
        <f>IF((L508=""),"",((N507-O507)/(N507+O507)*100))</f>
        <v>1.8363881393029566</v>
      </c>
      <c r="R507" s="61" t="str">
        <f>IF(L508="","",IF(Q507&lt;Z507,IF(O507&gt;V507,IF(N507&lt;W507,"PASS","FAIL"),"FAIL"),"FAIL"))</f>
        <v>PASS</v>
      </c>
      <c r="S507" s="62">
        <v>121</v>
      </c>
      <c r="T507" s="61"/>
      <c r="U507" s="61"/>
      <c r="V507" s="110">
        <v>9000</v>
      </c>
      <c r="W507" s="110">
        <v>25000</v>
      </c>
      <c r="X507" s="111">
        <v>8090</v>
      </c>
      <c r="Y507" s="111">
        <v>12070</v>
      </c>
      <c r="Z507" s="112">
        <v>15</v>
      </c>
      <c r="AA507" s="112">
        <v>6</v>
      </c>
    </row>
    <row r="508" spans="1:27" ht="15.75">
      <c r="A508"/>
      <c r="B508" s="121"/>
      <c r="C508" s="57" t="s">
        <v>80</v>
      </c>
      <c r="D508" s="16">
        <v>25986.5</v>
      </c>
      <c r="E508" s="16">
        <v>25846.03</v>
      </c>
      <c r="F508" s="16">
        <v>25870.87</v>
      </c>
      <c r="G508" s="16">
        <v>25892.69</v>
      </c>
      <c r="H508" s="16">
        <v>26151.77</v>
      </c>
      <c r="I508" s="16">
        <v>25965.22</v>
      </c>
      <c r="J508" s="16">
        <v>25849.360000000001</v>
      </c>
      <c r="K508" s="16">
        <v>25875.52</v>
      </c>
      <c r="L508" s="16">
        <v>26065.62</v>
      </c>
      <c r="M508" s="16">
        <f t="shared" si="169"/>
        <v>25944.842222222222</v>
      </c>
      <c r="N508" s="53"/>
      <c r="O508" s="53"/>
      <c r="P508" s="63"/>
      <c r="Q508" s="53"/>
      <c r="R508" s="64"/>
      <c r="S508" s="54"/>
      <c r="T508" s="64"/>
      <c r="U508" s="64"/>
      <c r="V508" s="32"/>
      <c r="W508" s="29"/>
    </row>
    <row r="509" spans="1:27" ht="28.5" customHeight="1">
      <c r="A509"/>
      <c r="B509" s="121"/>
      <c r="C509" s="57" t="s">
        <v>82</v>
      </c>
      <c r="D509" s="16">
        <f t="shared" ref="D509:L509" si="177">IF(((D507="")*AND(D508="")),"",(D507-D508)*3)</f>
        <v>9570.27</v>
      </c>
      <c r="E509" s="16">
        <f t="shared" si="177"/>
        <v>9494.6100000000079</v>
      </c>
      <c r="F509" s="16">
        <f t="shared" si="177"/>
        <v>9398.6699999999983</v>
      </c>
      <c r="G509" s="16">
        <f t="shared" si="177"/>
        <v>9361.2600000000057</v>
      </c>
      <c r="H509" s="16">
        <f t="shared" si="177"/>
        <v>9243.3900000000031</v>
      </c>
      <c r="I509" s="16">
        <f t="shared" si="177"/>
        <v>9541.0499999999956</v>
      </c>
      <c r="J509" s="16">
        <f t="shared" si="177"/>
        <v>9444.5400000000009</v>
      </c>
      <c r="K509" s="16">
        <f t="shared" si="177"/>
        <v>9419.8799999999974</v>
      </c>
      <c r="L509" s="16">
        <f t="shared" si="177"/>
        <v>9589.23</v>
      </c>
      <c r="M509" s="16">
        <f t="shared" si="169"/>
        <v>9451.4333333333343</v>
      </c>
      <c r="N509" s="65"/>
      <c r="O509" s="65"/>
      <c r="P509" s="66"/>
      <c r="Q509" s="65"/>
      <c r="R509" s="67"/>
      <c r="S509" s="58"/>
      <c r="T509" s="67"/>
      <c r="U509" s="67"/>
      <c r="V509" s="33"/>
      <c r="W509" s="29"/>
    </row>
    <row r="510" spans="1:27">
      <c r="A510" s="86">
        <v>43252</v>
      </c>
      <c r="B510" s="120" t="s">
        <v>348</v>
      </c>
      <c r="C510" s="57" t="s">
        <v>79</v>
      </c>
      <c r="D510" s="58">
        <v>29072.83</v>
      </c>
      <c r="E510" s="58">
        <v>28882.44</v>
      </c>
      <c r="F510" s="58">
        <v>28940.61</v>
      </c>
      <c r="G510" s="58">
        <v>28898.37</v>
      </c>
      <c r="H510" s="58">
        <v>29072.41</v>
      </c>
      <c r="I510" s="58">
        <v>29074.639999999999</v>
      </c>
      <c r="J510" s="58">
        <v>28879.5</v>
      </c>
      <c r="K510" s="58">
        <v>28890.63</v>
      </c>
      <c r="L510" s="58">
        <v>29094.68</v>
      </c>
      <c r="M510" s="16">
        <f t="shared" si="169"/>
        <v>28978.456666666665</v>
      </c>
      <c r="N510" s="59">
        <f>IF((L511=""),"",MAX(D512:L512))</f>
        <v>8859.9900000000052</v>
      </c>
      <c r="O510" s="59">
        <f>IF(L511="","",MIN(D512:L512))</f>
        <v>8394.4800000000105</v>
      </c>
      <c r="P510" s="60">
        <f>IF((L512=""),"",AVERAGE(D512:L512))</f>
        <v>8695.1433333333334</v>
      </c>
      <c r="Q510" s="156">
        <f>IF((L511=""),"",((N510-O510)/(N510+O510)*100))</f>
        <v>2.6979095851683321</v>
      </c>
      <c r="R510" s="61" t="str">
        <f>IF(L511="","",IF(Q510&lt;Z510,IF(O510&gt;V510,IF(N510&lt;W510,"PASS","FAIL"),"FAIL"),"FAIL"))</f>
        <v>FAIL</v>
      </c>
      <c r="S510" s="62">
        <v>121</v>
      </c>
      <c r="U510" s="61" t="s">
        <v>177</v>
      </c>
      <c r="V510" s="110">
        <v>9000</v>
      </c>
      <c r="W510" s="110">
        <v>25000</v>
      </c>
      <c r="X510" s="111">
        <v>8090</v>
      </c>
      <c r="Y510" s="111">
        <v>12070</v>
      </c>
      <c r="Z510" s="112">
        <v>15</v>
      </c>
      <c r="AA510" s="112">
        <v>6</v>
      </c>
    </row>
    <row r="511" spans="1:27" ht="15.75">
      <c r="A511"/>
      <c r="B511" s="121"/>
      <c r="C511" s="57" t="s">
        <v>80</v>
      </c>
      <c r="D511" s="16">
        <v>26274.67</v>
      </c>
      <c r="E511" s="16">
        <v>25984.06</v>
      </c>
      <c r="F511" s="16">
        <v>25987.279999999999</v>
      </c>
      <c r="G511" s="16">
        <v>25957.16</v>
      </c>
      <c r="H511" s="16">
        <v>26156.63</v>
      </c>
      <c r="I511" s="16">
        <v>26240.15</v>
      </c>
      <c r="J511" s="16">
        <v>25984.76</v>
      </c>
      <c r="K511" s="16">
        <v>25943.72</v>
      </c>
      <c r="L511" s="16">
        <v>26192.25</v>
      </c>
      <c r="M511" s="16">
        <f t="shared" si="169"/>
        <v>26080.075555555559</v>
      </c>
      <c r="N511" s="53"/>
      <c r="O511" s="53"/>
      <c r="P511" s="63"/>
      <c r="Q511" s="53"/>
      <c r="R511" s="64"/>
      <c r="S511" s="54"/>
      <c r="T511" s="64"/>
      <c r="U511" s="64"/>
      <c r="V511" s="32"/>
      <c r="W511" s="29"/>
    </row>
    <row r="512" spans="1:27" ht="28.5" customHeight="1">
      <c r="A512"/>
      <c r="B512" s="121"/>
      <c r="C512" s="57" t="s">
        <v>82</v>
      </c>
      <c r="D512" s="16">
        <f t="shared" ref="D512:L512" si="178">IF(((D510="")*AND(D511="")),"",(D510-D511)*3)</f>
        <v>8394.4800000000105</v>
      </c>
      <c r="E512" s="16">
        <f t="shared" si="178"/>
        <v>8695.1399999999921</v>
      </c>
      <c r="F512" s="16">
        <f t="shared" si="178"/>
        <v>8859.9900000000052</v>
      </c>
      <c r="G512" s="16">
        <f t="shared" si="178"/>
        <v>8823.6299999999974</v>
      </c>
      <c r="H512" s="16">
        <f t="shared" si="178"/>
        <v>8747.3399999999965</v>
      </c>
      <c r="I512" s="16">
        <f t="shared" si="178"/>
        <v>8503.4699999999939</v>
      </c>
      <c r="J512" s="16">
        <f t="shared" si="178"/>
        <v>8684.2200000000048</v>
      </c>
      <c r="K512" s="16">
        <f t="shared" si="178"/>
        <v>8840.73</v>
      </c>
      <c r="L512" s="16">
        <f t="shared" si="178"/>
        <v>8707.2900000000009</v>
      </c>
      <c r="M512" s="16">
        <f t="shared" si="169"/>
        <v>8695.1433333333334</v>
      </c>
      <c r="N512" s="65"/>
      <c r="O512" s="65"/>
      <c r="P512" s="66"/>
      <c r="Q512" s="65"/>
      <c r="R512" s="67"/>
      <c r="S512" s="58"/>
      <c r="T512" s="67"/>
      <c r="U512" s="67"/>
      <c r="V512" s="33"/>
      <c r="W512" s="29"/>
    </row>
    <row r="513" spans="1:27">
      <c r="A513" s="86">
        <v>43259</v>
      </c>
      <c r="B513" s="120" t="s">
        <v>348</v>
      </c>
      <c r="C513" s="57" t="s">
        <v>79</v>
      </c>
      <c r="D513" s="58">
        <v>29299.71</v>
      </c>
      <c r="E513" s="58">
        <v>29111.93</v>
      </c>
      <c r="F513" s="58">
        <v>29175.57</v>
      </c>
      <c r="G513" s="58">
        <v>29104.83</v>
      </c>
      <c r="H513" s="58">
        <v>29303.54</v>
      </c>
      <c r="I513" s="58">
        <v>29248.13</v>
      </c>
      <c r="J513" s="58">
        <v>29117.31</v>
      </c>
      <c r="K513" s="58">
        <v>29112.04</v>
      </c>
      <c r="L513" s="58">
        <v>29347.46</v>
      </c>
      <c r="M513" s="16">
        <f t="shared" si="169"/>
        <v>29202.280000000002</v>
      </c>
      <c r="N513" s="59">
        <f>IF((L514=""),"",MAX(D515:L515))</f>
        <v>11665.830000000002</v>
      </c>
      <c r="O513" s="59">
        <f>IF(L514="","",MIN(D515:L515))</f>
        <v>10998.450000000004</v>
      </c>
      <c r="P513" s="60">
        <f>IF((L515=""),"",AVERAGE(D515:L515))</f>
        <v>11428.663333333334</v>
      </c>
      <c r="Q513" s="156">
        <f>IF((L514=""),"",((N513-O513)/(N513+O513)*100))</f>
        <v>2.9446335820065639</v>
      </c>
      <c r="R513" s="61" t="str">
        <f>IF(L514="","",IF(Q513&lt;Z513,IF(O513&gt;V513,IF(N513&lt;W513,"PASS","FAIL"),"FAIL"),"FAIL"))</f>
        <v>PASS</v>
      </c>
      <c r="S513" s="62">
        <v>121</v>
      </c>
      <c r="T513" s="61"/>
      <c r="U513" s="61"/>
      <c r="V513" s="110">
        <v>9000</v>
      </c>
      <c r="W513" s="110">
        <v>25000</v>
      </c>
      <c r="X513" s="111">
        <v>8090</v>
      </c>
      <c r="Y513" s="111">
        <v>12070</v>
      </c>
      <c r="Z513" s="112">
        <v>15</v>
      </c>
      <c r="AA513" s="112">
        <v>6</v>
      </c>
    </row>
    <row r="514" spans="1:27" ht="15.75">
      <c r="A514"/>
      <c r="B514" s="121"/>
      <c r="C514" s="57" t="s">
        <v>80</v>
      </c>
      <c r="D514" s="16">
        <v>25425.38</v>
      </c>
      <c r="E514" s="16">
        <v>25244.83</v>
      </c>
      <c r="F514" s="16">
        <v>25396.81</v>
      </c>
      <c r="G514" s="16">
        <v>25438.68</v>
      </c>
      <c r="H514" s="16">
        <v>25588.69</v>
      </c>
      <c r="I514" s="16">
        <v>25423.59</v>
      </c>
      <c r="J514" s="16">
        <v>25278.54</v>
      </c>
      <c r="K514" s="16">
        <v>25279.16</v>
      </c>
      <c r="L514" s="16">
        <v>25458.85</v>
      </c>
      <c r="M514" s="16">
        <f t="shared" si="169"/>
        <v>25392.72555555556</v>
      </c>
      <c r="N514" s="53"/>
      <c r="O514" s="53"/>
      <c r="P514" s="63"/>
      <c r="Q514" s="53"/>
      <c r="R514" s="64"/>
      <c r="S514" s="54"/>
      <c r="T514" s="64"/>
      <c r="U514" s="64"/>
      <c r="V514" s="32"/>
      <c r="W514" s="29"/>
    </row>
    <row r="515" spans="1:27" ht="28.5" customHeight="1">
      <c r="A515"/>
      <c r="B515" s="121"/>
      <c r="C515" s="57" t="s">
        <v>82</v>
      </c>
      <c r="D515" s="16">
        <f t="shared" ref="D515:L515" si="179">IF(((D513="")*AND(D514="")),"",(D513-D514)*3)</f>
        <v>11622.989999999994</v>
      </c>
      <c r="E515" s="16">
        <f t="shared" si="179"/>
        <v>11601.299999999996</v>
      </c>
      <c r="F515" s="16">
        <f t="shared" si="179"/>
        <v>11336.279999999995</v>
      </c>
      <c r="G515" s="16">
        <f t="shared" si="179"/>
        <v>10998.450000000004</v>
      </c>
      <c r="H515" s="16">
        <f t="shared" si="179"/>
        <v>11144.550000000007</v>
      </c>
      <c r="I515" s="16">
        <f t="shared" si="179"/>
        <v>11473.620000000003</v>
      </c>
      <c r="J515" s="16">
        <f t="shared" si="179"/>
        <v>11516.310000000001</v>
      </c>
      <c r="K515" s="16">
        <f t="shared" si="179"/>
        <v>11498.640000000003</v>
      </c>
      <c r="L515" s="16">
        <f t="shared" si="179"/>
        <v>11665.830000000002</v>
      </c>
      <c r="M515" s="16">
        <f t="shared" si="169"/>
        <v>11428.663333333334</v>
      </c>
      <c r="N515" s="65"/>
      <c r="O515" s="65"/>
      <c r="P515" s="66"/>
      <c r="Q515" s="65"/>
      <c r="R515" s="67"/>
      <c r="S515" s="58"/>
      <c r="T515" s="67"/>
      <c r="U515" s="67"/>
      <c r="V515" s="33"/>
      <c r="W515" s="29"/>
    </row>
    <row r="516" spans="1:27">
      <c r="A516" s="86">
        <v>43264</v>
      </c>
      <c r="B516" s="120" t="s">
        <v>348</v>
      </c>
      <c r="C516" s="57" t="s">
        <v>79</v>
      </c>
      <c r="D516" s="58">
        <v>28987</v>
      </c>
      <c r="E516" s="58">
        <v>28878</v>
      </c>
      <c r="F516" s="58">
        <v>28937</v>
      </c>
      <c r="G516" s="58">
        <v>28663</v>
      </c>
      <c r="H516" s="58">
        <v>29053</v>
      </c>
      <c r="I516" s="58">
        <v>29054</v>
      </c>
      <c r="J516" s="58">
        <v>28864</v>
      </c>
      <c r="K516" s="58">
        <v>28871</v>
      </c>
      <c r="L516" s="58">
        <v>29086</v>
      </c>
      <c r="M516" s="16">
        <f t="shared" si="169"/>
        <v>28932.555555555555</v>
      </c>
      <c r="N516" s="59">
        <f>IF((L517=""),"",MAX(D518:L518))</f>
        <v>11481</v>
      </c>
      <c r="O516" s="59">
        <f>IF(L517="","",MIN(D518:L518))</f>
        <v>10470</v>
      </c>
      <c r="P516" s="60">
        <f>IF((L518=""),"",AVERAGE(D518:L518))</f>
        <v>10859</v>
      </c>
      <c r="Q516" s="156">
        <f>IF((L517=""),"",((N516-O516)/(N516+O516)*100))</f>
        <v>4.6057127237939044</v>
      </c>
      <c r="R516" s="61" t="str">
        <f>IF(L517="","",IF(Q516&lt;Z516,IF(O516&gt;V516,IF(N516&lt;W516,"PASS","FAIL"),"FAIL"),"FAIL"))</f>
        <v>PASS</v>
      </c>
      <c r="S516" s="62">
        <v>1159</v>
      </c>
      <c r="T516" s="61" t="s">
        <v>251</v>
      </c>
      <c r="U516" s="61" t="s">
        <v>252</v>
      </c>
      <c r="V516" s="110">
        <v>9000</v>
      </c>
      <c r="W516" s="110">
        <v>25000</v>
      </c>
      <c r="X516" s="111">
        <v>8090</v>
      </c>
      <c r="Y516" s="111">
        <v>12070</v>
      </c>
      <c r="Z516" s="112">
        <v>15</v>
      </c>
      <c r="AA516" s="112">
        <v>6</v>
      </c>
    </row>
    <row r="517" spans="1:27" ht="15.75">
      <c r="A517"/>
      <c r="B517" s="121"/>
      <c r="C517" s="57" t="s">
        <v>80</v>
      </c>
      <c r="D517" s="16">
        <v>25415</v>
      </c>
      <c r="E517" s="16">
        <v>25388</v>
      </c>
      <c r="F517" s="16">
        <v>25369</v>
      </c>
      <c r="G517" s="16">
        <v>25153</v>
      </c>
      <c r="H517" s="16">
        <v>25226</v>
      </c>
      <c r="I517" s="16">
        <v>25360</v>
      </c>
      <c r="J517" s="16">
        <v>25252</v>
      </c>
      <c r="K517" s="16">
        <v>25227</v>
      </c>
      <c r="L517" s="16">
        <v>25426</v>
      </c>
      <c r="M517" s="16">
        <f t="shared" si="169"/>
        <v>25312.888888888891</v>
      </c>
      <c r="N517" s="53"/>
      <c r="O517" s="53"/>
      <c r="P517" s="63"/>
      <c r="Q517" s="53"/>
      <c r="R517" s="64"/>
      <c r="S517" s="54"/>
      <c r="T517" s="64"/>
      <c r="U517" s="64"/>
      <c r="V517" s="32"/>
      <c r="W517" s="29"/>
    </row>
    <row r="518" spans="1:27" ht="28.5" customHeight="1">
      <c r="A518"/>
      <c r="B518" s="121"/>
      <c r="C518" s="57" t="s">
        <v>82</v>
      </c>
      <c r="D518" s="16">
        <f t="shared" ref="D518:L518" si="180">IF(((D516="")*AND(D517="")),"",(D516-D517)*3)</f>
        <v>10716</v>
      </c>
      <c r="E518" s="16">
        <f t="shared" si="180"/>
        <v>10470</v>
      </c>
      <c r="F518" s="16">
        <f t="shared" si="180"/>
        <v>10704</v>
      </c>
      <c r="G518" s="16">
        <f t="shared" si="180"/>
        <v>10530</v>
      </c>
      <c r="H518" s="16">
        <f t="shared" si="180"/>
        <v>11481</v>
      </c>
      <c r="I518" s="16">
        <f t="shared" si="180"/>
        <v>11082</v>
      </c>
      <c r="J518" s="16">
        <f t="shared" si="180"/>
        <v>10836</v>
      </c>
      <c r="K518" s="16">
        <f t="shared" si="180"/>
        <v>10932</v>
      </c>
      <c r="L518" s="16">
        <f t="shared" si="180"/>
        <v>10980</v>
      </c>
      <c r="M518" s="16">
        <f t="shared" si="169"/>
        <v>10859</v>
      </c>
      <c r="N518" s="65"/>
      <c r="O518" s="65"/>
      <c r="P518" s="66"/>
      <c r="Q518" s="65"/>
      <c r="R518" s="67"/>
      <c r="S518" s="58"/>
      <c r="T518" s="67"/>
      <c r="U518" s="67"/>
      <c r="V518" s="33"/>
      <c r="W518" s="29"/>
    </row>
    <row r="519" spans="1:27">
      <c r="A519" s="86">
        <v>43283</v>
      </c>
      <c r="B519" s="120" t="s">
        <v>348</v>
      </c>
      <c r="C519" s="57" t="s">
        <v>79</v>
      </c>
      <c r="D519" s="58">
        <v>28923.47</v>
      </c>
      <c r="E519" s="58">
        <v>28810.76</v>
      </c>
      <c r="F519" s="58">
        <v>28868.09</v>
      </c>
      <c r="G519" s="58">
        <v>28801.73</v>
      </c>
      <c r="H519" s="58">
        <v>28848.799999999999</v>
      </c>
      <c r="I519" s="58">
        <v>28869.89</v>
      </c>
      <c r="J519" s="58">
        <v>28796.76</v>
      </c>
      <c r="K519" s="58">
        <v>28791.39</v>
      </c>
      <c r="L519" s="58">
        <v>28872.880000000001</v>
      </c>
      <c r="M519" s="16">
        <f t="shared" si="169"/>
        <v>28842.641111111112</v>
      </c>
      <c r="N519" s="59">
        <f>IF((L520=""),"",MAX(D521:L521))</f>
        <v>11218.29</v>
      </c>
      <c r="O519" s="59">
        <f>IF(L520="","",MIN(D521:L521))</f>
        <v>10444.02</v>
      </c>
      <c r="P519" s="60">
        <f>IF((L521=""),"",AVERAGE(D521:L521))</f>
        <v>10818.346666666668</v>
      </c>
      <c r="Q519" s="156">
        <f>IF((L520=""),"",((N519-O519)/(N519+O519)*100))</f>
        <v>3.574272549880416</v>
      </c>
      <c r="R519" s="61" t="str">
        <f>IF(L520="","",IF(Q519&lt;Z519,IF(O519&gt;V519,IF(N519&lt;W519,"PASS","FAIL"),"FAIL"),"FAIL"))</f>
        <v>PASS</v>
      </c>
      <c r="S519" s="62">
        <v>1159</v>
      </c>
      <c r="T519" s="61" t="s">
        <v>178</v>
      </c>
      <c r="U519" s="61"/>
      <c r="V519" s="110">
        <v>9000</v>
      </c>
      <c r="W519" s="110">
        <v>25000</v>
      </c>
      <c r="X519" s="111">
        <v>8090</v>
      </c>
      <c r="Y519" s="111">
        <v>12070</v>
      </c>
      <c r="Z519" s="112">
        <v>15</v>
      </c>
      <c r="AA519" s="112">
        <v>6</v>
      </c>
    </row>
    <row r="520" spans="1:27" ht="15.75">
      <c r="A520"/>
      <c r="B520" s="121"/>
      <c r="C520" s="57" t="s">
        <v>80</v>
      </c>
      <c r="D520" s="16">
        <v>25184.04</v>
      </c>
      <c r="E520" s="16">
        <v>25127.21</v>
      </c>
      <c r="F520" s="16">
        <v>25322.51</v>
      </c>
      <c r="G520" s="16">
        <v>25320.39</v>
      </c>
      <c r="H520" s="16">
        <v>25349.85</v>
      </c>
      <c r="I520" s="16">
        <v>25253.64</v>
      </c>
      <c r="J520" s="16">
        <v>25172.89</v>
      </c>
      <c r="K520" s="16">
        <v>25189.98</v>
      </c>
      <c r="L520" s="16">
        <v>25208.22</v>
      </c>
      <c r="M520" s="16">
        <f t="shared" si="169"/>
        <v>25236.52555555556</v>
      </c>
      <c r="N520" s="53"/>
      <c r="O520" s="53"/>
      <c r="P520" s="63"/>
      <c r="Q520" s="53"/>
      <c r="R520" s="64"/>
      <c r="S520" s="54"/>
      <c r="T520" s="64"/>
      <c r="U520" s="64"/>
      <c r="V520" s="32"/>
      <c r="W520" s="29"/>
    </row>
    <row r="521" spans="1:27" ht="28.5" customHeight="1">
      <c r="A521"/>
      <c r="B521" s="121"/>
      <c r="C521" s="57" t="s">
        <v>82</v>
      </c>
      <c r="D521" s="16">
        <f t="shared" ref="D521:L521" si="181">IF(((D519="")*AND(D520="")),"",(D519-D520)*3)</f>
        <v>11218.29</v>
      </c>
      <c r="E521" s="16">
        <f t="shared" si="181"/>
        <v>11050.649999999998</v>
      </c>
      <c r="F521" s="16">
        <f t="shared" si="181"/>
        <v>10636.740000000005</v>
      </c>
      <c r="G521" s="16">
        <f t="shared" si="181"/>
        <v>10444.02</v>
      </c>
      <c r="H521" s="16">
        <f t="shared" si="181"/>
        <v>10496.850000000002</v>
      </c>
      <c r="I521" s="16">
        <f t="shared" si="181"/>
        <v>10848.75</v>
      </c>
      <c r="J521" s="16">
        <f t="shared" si="181"/>
        <v>10871.609999999997</v>
      </c>
      <c r="K521" s="16">
        <f t="shared" si="181"/>
        <v>10804.23</v>
      </c>
      <c r="L521" s="16">
        <f t="shared" si="181"/>
        <v>10993.98</v>
      </c>
      <c r="M521" s="16">
        <f t="shared" si="169"/>
        <v>10818.346666666668</v>
      </c>
      <c r="N521" s="65"/>
      <c r="O521" s="65"/>
      <c r="P521" s="66"/>
      <c r="Q521" s="65"/>
      <c r="R521" s="67"/>
      <c r="S521" s="58"/>
      <c r="T521" s="67"/>
      <c r="U521" s="67"/>
      <c r="V521" s="33"/>
      <c r="W521" s="29"/>
    </row>
    <row r="522" spans="1:27">
      <c r="A522" s="86">
        <v>43297</v>
      </c>
      <c r="B522" s="120" t="s">
        <v>348</v>
      </c>
      <c r="C522" s="57" t="s">
        <v>79</v>
      </c>
      <c r="D522" s="58">
        <v>28962.21</v>
      </c>
      <c r="E522" s="58">
        <v>28875.15</v>
      </c>
      <c r="F522" s="58">
        <v>28933.53</v>
      </c>
      <c r="G522" s="58">
        <v>28877.29</v>
      </c>
      <c r="H522" s="58">
        <v>28932.21</v>
      </c>
      <c r="I522" s="58">
        <v>28965.97</v>
      </c>
      <c r="J522" s="58">
        <v>28863.99</v>
      </c>
      <c r="K522" s="58">
        <v>28866.1</v>
      </c>
      <c r="L522" s="58">
        <v>28953.31</v>
      </c>
      <c r="M522" s="16">
        <f t="shared" si="169"/>
        <v>28914.417777777777</v>
      </c>
      <c r="N522" s="59">
        <f>IF((L523=""),"",MAX(D524:L524))</f>
        <v>12280.859999999997</v>
      </c>
      <c r="O522" s="59">
        <f>IF(L523="","",MIN(D524:L524))</f>
        <v>11675.550000000007</v>
      </c>
      <c r="P522" s="60">
        <f>IF((L524=""),"",AVERAGE(D524:L524))</f>
        <v>11968.670000000002</v>
      </c>
      <c r="Q522" s="156">
        <f>IF((L523=""),"",((N522-O522)/(N522+O522)*100))</f>
        <v>2.5267141445650259</v>
      </c>
      <c r="R522" s="61" t="str">
        <f>IF(L523="","",IF(Q522&lt;Z522,IF(O522&gt;V522,IF(N522&lt;W522,"PASS","FAIL"),"FAIL"),"FAIL"))</f>
        <v>PASS</v>
      </c>
      <c r="S522" s="62">
        <v>1159</v>
      </c>
      <c r="T522" s="61" t="s">
        <v>179</v>
      </c>
      <c r="U522" s="61"/>
      <c r="V522" s="110">
        <v>10000</v>
      </c>
      <c r="W522" s="110">
        <v>15600</v>
      </c>
      <c r="X522" s="111">
        <v>8090</v>
      </c>
      <c r="Y522" s="111">
        <v>12070</v>
      </c>
      <c r="Z522" s="112">
        <v>15</v>
      </c>
      <c r="AA522" s="112">
        <v>6</v>
      </c>
    </row>
    <row r="523" spans="1:27" ht="15.75">
      <c r="A523"/>
      <c r="B523" s="121"/>
      <c r="C523" s="57" t="s">
        <v>80</v>
      </c>
      <c r="D523" s="16">
        <v>24868.59</v>
      </c>
      <c r="E523" s="16">
        <v>24820.47</v>
      </c>
      <c r="F523" s="16">
        <v>25019.33</v>
      </c>
      <c r="G523" s="16">
        <v>24985.439999999999</v>
      </c>
      <c r="H523" s="16">
        <v>25023.78</v>
      </c>
      <c r="I523" s="16">
        <v>24986.26</v>
      </c>
      <c r="J523" s="16">
        <v>24869.98</v>
      </c>
      <c r="K523" s="16">
        <v>24872.12</v>
      </c>
      <c r="L523" s="16">
        <v>24877.78</v>
      </c>
      <c r="M523" s="16">
        <f t="shared" si="169"/>
        <v>24924.861111111109</v>
      </c>
      <c r="N523" s="53"/>
      <c r="O523" s="53"/>
      <c r="P523" s="63"/>
      <c r="Q523" s="53"/>
      <c r="R523" s="64"/>
      <c r="S523" s="54"/>
      <c r="T523" s="64"/>
      <c r="U523" s="64"/>
      <c r="V523" s="32"/>
      <c r="W523" s="29"/>
    </row>
    <row r="524" spans="1:27" ht="28.5" customHeight="1">
      <c r="A524"/>
      <c r="B524" s="121"/>
      <c r="C524" s="57" t="s">
        <v>82</v>
      </c>
      <c r="D524" s="16">
        <f t="shared" ref="D524:L524" si="182">IF(((D522="")*AND(D523="")),"",(D522-D523)*3)</f>
        <v>12280.859999999997</v>
      </c>
      <c r="E524" s="16">
        <f t="shared" si="182"/>
        <v>12164.04</v>
      </c>
      <c r="F524" s="16">
        <f t="shared" si="182"/>
        <v>11742.599999999991</v>
      </c>
      <c r="G524" s="16">
        <f t="shared" si="182"/>
        <v>11675.550000000007</v>
      </c>
      <c r="H524" s="16">
        <f t="shared" si="182"/>
        <v>11725.29</v>
      </c>
      <c r="I524" s="16">
        <f t="shared" si="182"/>
        <v>11939.130000000008</v>
      </c>
      <c r="J524" s="16">
        <f t="shared" si="182"/>
        <v>11982.030000000006</v>
      </c>
      <c r="K524" s="16">
        <f t="shared" si="182"/>
        <v>11981.939999999999</v>
      </c>
      <c r="L524" s="16">
        <f t="shared" si="182"/>
        <v>12226.590000000007</v>
      </c>
      <c r="M524" s="16">
        <f t="shared" si="169"/>
        <v>11968.670000000002</v>
      </c>
      <c r="N524" s="65"/>
      <c r="O524" s="65"/>
      <c r="P524" s="66"/>
      <c r="Q524" s="65"/>
      <c r="R524" s="67"/>
      <c r="S524" s="58"/>
      <c r="T524" s="67"/>
      <c r="U524" s="67"/>
      <c r="V524" s="33"/>
      <c r="W524" s="29"/>
    </row>
    <row r="525" spans="1:27">
      <c r="A525" s="86">
        <v>43301</v>
      </c>
      <c r="B525" s="120" t="s">
        <v>348</v>
      </c>
      <c r="C525" s="57" t="s">
        <v>79</v>
      </c>
      <c r="D525" s="58">
        <v>28996.97</v>
      </c>
      <c r="E525" s="58">
        <v>28921.68</v>
      </c>
      <c r="F525" s="58">
        <v>28983.73</v>
      </c>
      <c r="G525" s="58">
        <v>28908.85</v>
      </c>
      <c r="H525" s="58">
        <v>28982.43</v>
      </c>
      <c r="I525" s="58">
        <v>28991.72</v>
      </c>
      <c r="J525" s="58">
        <v>28905.14</v>
      </c>
      <c r="K525" s="58">
        <v>28913.35</v>
      </c>
      <c r="L525" s="58">
        <v>28978.54</v>
      </c>
      <c r="M525" s="16">
        <f t="shared" si="169"/>
        <v>28953.601111111115</v>
      </c>
      <c r="N525" s="59">
        <f>IF((L526=""),"",MAX(D527:L527))</f>
        <v>11199.659999999993</v>
      </c>
      <c r="O525" s="59">
        <f>IF(L526="","",MIN(D527:L527))</f>
        <v>10708.350000000002</v>
      </c>
      <c r="P525" s="60">
        <f>IF((L527=""),"",AVERAGE(D527:L527))</f>
        <v>11020.466666666665</v>
      </c>
      <c r="Q525" s="156">
        <f>IF((L526=""),"",((N525-O525)/(N525+O525)*100))</f>
        <v>2.2426044172884279</v>
      </c>
      <c r="R525" s="61" t="str">
        <f>IF(L526="","",IF(Q525&lt;Z525,IF(O525&gt;V525,IF(N525&lt;W525,"PASS","FAIL"),"FAIL"),"FAIL"))</f>
        <v>PASS</v>
      </c>
      <c r="S525" s="62"/>
      <c r="T525" s="61"/>
      <c r="U525" s="61"/>
      <c r="V525" s="110">
        <v>10000</v>
      </c>
      <c r="W525" s="110">
        <v>15600</v>
      </c>
      <c r="X525" s="111">
        <v>8090</v>
      </c>
      <c r="Y525" s="111">
        <v>12070</v>
      </c>
      <c r="Z525" s="112">
        <v>15</v>
      </c>
      <c r="AA525" s="112">
        <v>6</v>
      </c>
    </row>
    <row r="526" spans="1:27" ht="15.75">
      <c r="A526"/>
      <c r="B526" s="121"/>
      <c r="C526" s="57" t="s">
        <v>80</v>
      </c>
      <c r="D526" s="16">
        <v>25427.52</v>
      </c>
      <c r="E526" s="16">
        <v>25319.22</v>
      </c>
      <c r="F526" s="16">
        <v>25337.67</v>
      </c>
      <c r="G526" s="16">
        <v>25175.63</v>
      </c>
      <c r="H526" s="16">
        <v>25272.959999999999</v>
      </c>
      <c r="I526" s="16">
        <v>25273.95</v>
      </c>
      <c r="J526" s="16">
        <v>25227.58</v>
      </c>
      <c r="K526" s="16">
        <v>25203.31</v>
      </c>
      <c r="L526" s="16">
        <v>25283.17</v>
      </c>
      <c r="M526" s="16">
        <f t="shared" si="169"/>
        <v>25280.112222222222</v>
      </c>
      <c r="N526" s="53"/>
      <c r="O526" s="53"/>
      <c r="P526" s="63"/>
      <c r="Q526" s="53"/>
      <c r="R526" s="64"/>
      <c r="S526" s="54"/>
      <c r="T526" s="64"/>
      <c r="U526" s="64"/>
      <c r="V526" s="32"/>
      <c r="W526" s="29"/>
    </row>
    <row r="527" spans="1:27" ht="28.5" customHeight="1">
      <c r="A527"/>
      <c r="B527" s="121"/>
      <c r="C527" s="57" t="s">
        <v>82</v>
      </c>
      <c r="D527" s="16">
        <f t="shared" ref="D527:L527" si="183">IF(((D525="")*AND(D526="")),"",(D525-D526)*3)</f>
        <v>10708.350000000002</v>
      </c>
      <c r="E527" s="16">
        <f t="shared" si="183"/>
        <v>10807.379999999997</v>
      </c>
      <c r="F527" s="16">
        <f t="shared" si="183"/>
        <v>10938.180000000004</v>
      </c>
      <c r="G527" s="16">
        <f t="shared" si="183"/>
        <v>11199.659999999993</v>
      </c>
      <c r="H527" s="16">
        <f t="shared" si="183"/>
        <v>11128.410000000003</v>
      </c>
      <c r="I527" s="16">
        <f t="shared" si="183"/>
        <v>11153.310000000001</v>
      </c>
      <c r="J527" s="16">
        <f t="shared" si="183"/>
        <v>11032.679999999993</v>
      </c>
      <c r="K527" s="16">
        <f t="shared" si="183"/>
        <v>11130.119999999992</v>
      </c>
      <c r="L527" s="16">
        <f t="shared" si="183"/>
        <v>11086.110000000008</v>
      </c>
      <c r="M527" s="16">
        <f t="shared" si="169"/>
        <v>11020.466666666665</v>
      </c>
      <c r="N527" s="65"/>
      <c r="O527" s="65"/>
      <c r="P527" s="66"/>
      <c r="Q527" s="65"/>
      <c r="R527" s="67"/>
      <c r="S527" s="58"/>
      <c r="T527" s="67"/>
      <c r="U527" s="67"/>
      <c r="V527" s="33"/>
      <c r="W527" s="29"/>
    </row>
    <row r="528" spans="1:27">
      <c r="A528" s="86">
        <v>43313</v>
      </c>
      <c r="B528" s="120" t="s">
        <v>348</v>
      </c>
      <c r="C528" s="57" t="s">
        <v>79</v>
      </c>
      <c r="D528" s="58">
        <v>29367.43</v>
      </c>
      <c r="E528" s="58">
        <v>29276.75</v>
      </c>
      <c r="F528" s="58">
        <v>29281.09</v>
      </c>
      <c r="G528" s="58">
        <v>29287.05</v>
      </c>
      <c r="H528" s="58">
        <v>29341.49</v>
      </c>
      <c r="I528" s="58">
        <v>29375.02</v>
      </c>
      <c r="J528" s="58">
        <v>29280.52</v>
      </c>
      <c r="K528" s="58">
        <v>29280.799999999999</v>
      </c>
      <c r="L528" s="58">
        <v>29360.01</v>
      </c>
      <c r="M528" s="16">
        <f t="shared" si="169"/>
        <v>29316.684444444443</v>
      </c>
      <c r="N528" s="59">
        <f>IF((L529=""),"",MAX(D530:L530))</f>
        <v>12214.680000000004</v>
      </c>
      <c r="O528" s="59">
        <f>IF(L529="","",MIN(D530:L530))</f>
        <v>11669.52</v>
      </c>
      <c r="P528" s="60">
        <f>IF((L530=""),"",AVERAGE(D530:L530))</f>
        <v>11942.816666666668</v>
      </c>
      <c r="Q528" s="156">
        <f>IF((L529=""),"",((N528-O528)/(N528+O528)*100))</f>
        <v>2.2825131258321543</v>
      </c>
      <c r="R528" s="61" t="str">
        <f>IF(L529="","",IF(Q528&lt;Z528,IF(O528&gt;V528,IF(N528&lt;W528,"PASS","FAIL"),"FAIL"),"FAIL"))</f>
        <v>PASS</v>
      </c>
      <c r="S528" s="62">
        <v>1340</v>
      </c>
      <c r="T528" s="61"/>
      <c r="U528" s="61"/>
      <c r="V528" s="110">
        <v>10000</v>
      </c>
      <c r="W528" s="110">
        <v>15600</v>
      </c>
      <c r="X528" s="111">
        <v>8090</v>
      </c>
      <c r="Y528" s="111">
        <v>12070</v>
      </c>
      <c r="Z528" s="112">
        <v>15</v>
      </c>
      <c r="AA528" s="112">
        <v>6</v>
      </c>
    </row>
    <row r="529" spans="1:27" ht="15.75">
      <c r="A529"/>
      <c r="B529" s="121"/>
      <c r="C529" s="57" t="s">
        <v>80</v>
      </c>
      <c r="D529" s="16">
        <v>25295.87</v>
      </c>
      <c r="E529" s="16">
        <v>25247.82</v>
      </c>
      <c r="F529" s="16">
        <v>25337.19</v>
      </c>
      <c r="G529" s="16">
        <v>25359.919999999998</v>
      </c>
      <c r="H529" s="16">
        <v>25451.65</v>
      </c>
      <c r="I529" s="16">
        <v>25411.81</v>
      </c>
      <c r="J529" s="16">
        <v>25304.720000000001</v>
      </c>
      <c r="K529" s="16">
        <v>25285.52</v>
      </c>
      <c r="L529" s="16">
        <v>25327.21</v>
      </c>
      <c r="M529" s="16">
        <f t="shared" si="169"/>
        <v>25335.745555555553</v>
      </c>
      <c r="N529" s="53"/>
      <c r="O529" s="53"/>
      <c r="P529" s="63"/>
      <c r="Q529" s="53"/>
      <c r="R529" s="64"/>
      <c r="S529" s="54"/>
      <c r="T529" s="64"/>
      <c r="U529" s="64"/>
      <c r="V529" s="32"/>
      <c r="W529" s="29"/>
    </row>
    <row r="530" spans="1:27" ht="28.5" customHeight="1">
      <c r="A530"/>
      <c r="B530" s="121"/>
      <c r="C530" s="57" t="s">
        <v>82</v>
      </c>
      <c r="D530" s="16">
        <f t="shared" ref="D530:L530" si="184">IF(((D528="")*AND(D529="")),"",(D528-D529)*3)</f>
        <v>12214.680000000004</v>
      </c>
      <c r="E530" s="16">
        <f t="shared" si="184"/>
        <v>12086.79</v>
      </c>
      <c r="F530" s="16">
        <f t="shared" si="184"/>
        <v>11831.700000000004</v>
      </c>
      <c r="G530" s="16">
        <f t="shared" si="184"/>
        <v>11781.390000000003</v>
      </c>
      <c r="H530" s="16">
        <f t="shared" si="184"/>
        <v>11669.52</v>
      </c>
      <c r="I530" s="16">
        <f t="shared" si="184"/>
        <v>11889.629999999997</v>
      </c>
      <c r="J530" s="16">
        <f t="shared" si="184"/>
        <v>11927.399999999998</v>
      </c>
      <c r="K530" s="16">
        <f t="shared" si="184"/>
        <v>11985.839999999997</v>
      </c>
      <c r="L530" s="16">
        <f t="shared" si="184"/>
        <v>12098.399999999998</v>
      </c>
      <c r="M530" s="16">
        <f t="shared" si="169"/>
        <v>11942.816666666668</v>
      </c>
      <c r="N530" s="65"/>
      <c r="O530" s="65"/>
      <c r="P530" s="66"/>
      <c r="Q530" s="65"/>
      <c r="R530" s="67"/>
      <c r="S530" s="58"/>
      <c r="T530" s="67"/>
      <c r="U530" s="67"/>
      <c r="V530" s="33"/>
      <c r="W530" s="29"/>
    </row>
    <row r="531" spans="1:27">
      <c r="A531" s="86">
        <v>43318</v>
      </c>
      <c r="B531" s="120" t="s">
        <v>348</v>
      </c>
      <c r="C531" s="57" t="s">
        <v>79</v>
      </c>
      <c r="D531" s="58">
        <v>28849</v>
      </c>
      <c r="E531" s="58">
        <v>28761</v>
      </c>
      <c r="F531" s="58">
        <v>28769</v>
      </c>
      <c r="G531" s="58">
        <v>28753</v>
      </c>
      <c r="H531" s="58">
        <v>28845</v>
      </c>
      <c r="I531" s="58">
        <v>28832</v>
      </c>
      <c r="J531" s="58">
        <v>28760</v>
      </c>
      <c r="K531" s="58">
        <v>28752</v>
      </c>
      <c r="L531" s="58">
        <v>28830</v>
      </c>
      <c r="M531" s="16">
        <f t="shared" si="169"/>
        <v>28794.555555555555</v>
      </c>
      <c r="N531" s="59">
        <f>IF((L532=""),"",MAX(D533:L533))</f>
        <v>12382.02</v>
      </c>
      <c r="O531" s="59">
        <f>IF(L532="","",MIN(D533:L533))</f>
        <v>11667.75</v>
      </c>
      <c r="P531" s="60">
        <f>IF((L533=""),"",AVERAGE(D533:L533))</f>
        <v>12115.003333333334</v>
      </c>
      <c r="Q531" s="156">
        <f>IF((L532=""),"",((N531-O531)/(N531+O531)*100))</f>
        <v>2.9699660329391939</v>
      </c>
      <c r="R531" s="61" t="str">
        <f>IF(L532="","",IF(Q531&lt;Z531,IF(O531&gt;V531,IF(N531&lt;W531,"PASS","FAIL"),"FAIL"),"FAIL"))</f>
        <v>PASS</v>
      </c>
      <c r="S531" s="62">
        <v>1340</v>
      </c>
      <c r="T531" s="61"/>
      <c r="U531" s="61"/>
      <c r="V531" s="110">
        <v>10000</v>
      </c>
      <c r="W531" s="110">
        <v>15600</v>
      </c>
      <c r="X531" s="111">
        <v>8090</v>
      </c>
      <c r="Y531" s="111">
        <v>12070</v>
      </c>
      <c r="Z531" s="112">
        <v>15</v>
      </c>
      <c r="AA531" s="112">
        <v>6</v>
      </c>
    </row>
    <row r="532" spans="1:27" ht="15.75">
      <c r="A532"/>
      <c r="B532" s="121"/>
      <c r="C532" s="57" t="s">
        <v>80</v>
      </c>
      <c r="D532" s="16">
        <v>24959.75</v>
      </c>
      <c r="E532" s="16">
        <v>24784.45</v>
      </c>
      <c r="F532" s="16">
        <v>24734.560000000001</v>
      </c>
      <c r="G532" s="16">
        <v>24625.66</v>
      </c>
      <c r="H532" s="16">
        <v>24724.12</v>
      </c>
      <c r="I532" s="16">
        <v>24712.68</v>
      </c>
      <c r="J532" s="16">
        <v>24686.080000000002</v>
      </c>
      <c r="K532" s="16">
        <v>24694.71</v>
      </c>
      <c r="L532" s="16">
        <v>24883.98</v>
      </c>
      <c r="M532" s="16">
        <f t="shared" si="169"/>
        <v>24756.22111111111</v>
      </c>
      <c r="N532" s="53"/>
      <c r="O532" s="53"/>
      <c r="P532" s="63"/>
      <c r="Q532" s="53"/>
      <c r="R532" s="64"/>
      <c r="S532" s="54"/>
      <c r="T532" s="64"/>
      <c r="U532" s="64"/>
      <c r="V532" s="32"/>
      <c r="W532" s="29"/>
    </row>
    <row r="533" spans="1:27" ht="28.5" customHeight="1">
      <c r="A533"/>
      <c r="B533" s="121"/>
      <c r="C533" s="57" t="s">
        <v>82</v>
      </c>
      <c r="D533" s="16">
        <f t="shared" ref="D533:L533" si="185">IF(((D531="")*AND(D532="")),"",(D531-D532)*3)</f>
        <v>11667.75</v>
      </c>
      <c r="E533" s="16">
        <f t="shared" si="185"/>
        <v>11929.649999999998</v>
      </c>
      <c r="F533" s="16">
        <f t="shared" si="185"/>
        <v>12103.319999999996</v>
      </c>
      <c r="G533" s="16">
        <f t="shared" si="185"/>
        <v>12382.02</v>
      </c>
      <c r="H533" s="16">
        <f t="shared" si="185"/>
        <v>12362.640000000003</v>
      </c>
      <c r="I533" s="16">
        <f t="shared" si="185"/>
        <v>12357.96</v>
      </c>
      <c r="J533" s="16">
        <f t="shared" si="185"/>
        <v>12221.759999999995</v>
      </c>
      <c r="K533" s="16">
        <f t="shared" si="185"/>
        <v>12171.870000000003</v>
      </c>
      <c r="L533" s="16">
        <f t="shared" si="185"/>
        <v>11838.060000000001</v>
      </c>
      <c r="M533" s="16">
        <f t="shared" si="169"/>
        <v>12115.003333333334</v>
      </c>
      <c r="N533" s="65"/>
      <c r="O533" s="65"/>
      <c r="P533" s="66"/>
      <c r="Q533" s="65"/>
      <c r="R533" s="67"/>
      <c r="S533" s="58"/>
      <c r="T533" s="67"/>
      <c r="U533" s="67"/>
      <c r="V533" s="33"/>
      <c r="W533" s="29"/>
    </row>
    <row r="534" spans="1:27">
      <c r="A534" s="86">
        <v>43321</v>
      </c>
      <c r="B534" s="120" t="s">
        <v>348</v>
      </c>
      <c r="C534" s="57" t="s">
        <v>79</v>
      </c>
      <c r="D534" s="58">
        <v>29328.62</v>
      </c>
      <c r="E534" s="58">
        <v>29265.75</v>
      </c>
      <c r="F534" s="58">
        <v>29321.01</v>
      </c>
      <c r="G534" s="58">
        <v>29293.47</v>
      </c>
      <c r="H534" s="58">
        <v>29375.31</v>
      </c>
      <c r="I534" s="58">
        <v>29314.38</v>
      </c>
      <c r="J534" s="58">
        <v>29280.36</v>
      </c>
      <c r="K534" s="58">
        <v>29272.21</v>
      </c>
      <c r="L534" s="58">
        <v>29340.84</v>
      </c>
      <c r="M534" s="16">
        <f t="shared" si="169"/>
        <v>29310.216666666667</v>
      </c>
      <c r="N534" s="59">
        <f>IF((L535=""),"",MAX(D536:L536))</f>
        <v>13100.25</v>
      </c>
      <c r="O534" s="59">
        <f>IF(L535="","",MIN(D536:L536))</f>
        <v>12566.160000000003</v>
      </c>
      <c r="P534" s="60">
        <f>IF((L536=""),"",AVERAGE(D536:L536))</f>
        <v>12798.720000000001</v>
      </c>
      <c r="Q534" s="156">
        <f>IF((L535=""),"",((N534-O534)/(N534+O534)*100))</f>
        <v>2.0808909387795036</v>
      </c>
      <c r="R534" s="61" t="str">
        <f>IF(L535="","",IF(Q534&lt;Z534,IF(O534&gt;V534,IF(N534&lt;W534,"PASS","FAIL"),"FAIL"),"FAIL"))</f>
        <v>PASS</v>
      </c>
      <c r="S534" s="62"/>
      <c r="T534" s="61"/>
      <c r="U534" s="61"/>
      <c r="V534" s="110">
        <v>10000</v>
      </c>
      <c r="W534" s="110">
        <v>15600</v>
      </c>
      <c r="X534" s="111">
        <v>8090</v>
      </c>
      <c r="Y534" s="111">
        <v>12070</v>
      </c>
      <c r="Z534" s="112">
        <v>15</v>
      </c>
      <c r="AA534" s="112">
        <v>6</v>
      </c>
    </row>
    <row r="535" spans="1:27" ht="15.75">
      <c r="A535"/>
      <c r="B535" s="121"/>
      <c r="C535" s="57" t="s">
        <v>80</v>
      </c>
      <c r="D535" s="16">
        <v>24961.87</v>
      </c>
      <c r="E535" s="16">
        <v>24940.83</v>
      </c>
      <c r="F535" s="16">
        <v>25101.74</v>
      </c>
      <c r="G535" s="16">
        <v>25097.53</v>
      </c>
      <c r="H535" s="16">
        <v>25186.59</v>
      </c>
      <c r="I535" s="16">
        <v>25097.64</v>
      </c>
      <c r="J535" s="16">
        <v>25011.439999999999</v>
      </c>
      <c r="K535" s="16">
        <v>24986.65</v>
      </c>
      <c r="L535" s="16">
        <v>25011.5</v>
      </c>
      <c r="M535" s="16">
        <f t="shared" si="169"/>
        <v>25043.976666666669</v>
      </c>
      <c r="N535" s="53"/>
      <c r="O535" s="53"/>
      <c r="P535" s="63"/>
      <c r="Q535" s="53"/>
      <c r="R535" s="64"/>
      <c r="S535" s="54"/>
      <c r="T535" s="64"/>
      <c r="U535" s="64"/>
      <c r="V535" s="32"/>
      <c r="W535" s="29"/>
    </row>
    <row r="536" spans="1:27" ht="28.5" customHeight="1">
      <c r="A536"/>
      <c r="B536" s="121"/>
      <c r="C536" s="57" t="s">
        <v>82</v>
      </c>
      <c r="D536" s="16">
        <f t="shared" ref="D536:L536" si="186">IF(((D534="")*AND(D535="")),"",(D534-D535)*3)</f>
        <v>13100.25</v>
      </c>
      <c r="E536" s="16">
        <f t="shared" si="186"/>
        <v>12974.759999999995</v>
      </c>
      <c r="F536" s="16">
        <f t="shared" si="186"/>
        <v>12657.80999999999</v>
      </c>
      <c r="G536" s="16">
        <f t="shared" si="186"/>
        <v>12587.820000000007</v>
      </c>
      <c r="H536" s="16">
        <f t="shared" si="186"/>
        <v>12566.160000000003</v>
      </c>
      <c r="I536" s="16">
        <f t="shared" si="186"/>
        <v>12650.220000000005</v>
      </c>
      <c r="J536" s="16">
        <f t="shared" si="186"/>
        <v>12806.760000000006</v>
      </c>
      <c r="K536" s="16">
        <f t="shared" si="186"/>
        <v>12856.679999999993</v>
      </c>
      <c r="L536" s="16">
        <f t="shared" si="186"/>
        <v>12988.02</v>
      </c>
      <c r="M536" s="16">
        <f t="shared" si="169"/>
        <v>12798.720000000001</v>
      </c>
      <c r="N536" s="65"/>
      <c r="O536" s="65"/>
      <c r="P536" s="66"/>
      <c r="Q536" s="65"/>
      <c r="R536" s="67"/>
      <c r="S536" s="58"/>
      <c r="T536" s="67"/>
      <c r="U536" s="67"/>
      <c r="V536" s="33"/>
      <c r="W536" s="29"/>
    </row>
    <row r="537" spans="1:27">
      <c r="A537" s="86">
        <v>43326</v>
      </c>
      <c r="B537" s="120" t="s">
        <v>348</v>
      </c>
      <c r="C537" s="57" t="s">
        <v>79</v>
      </c>
      <c r="D537" s="58">
        <v>29208.41</v>
      </c>
      <c r="E537" s="58">
        <v>29137.97</v>
      </c>
      <c r="F537" s="58">
        <v>29124.22</v>
      </c>
      <c r="G537" s="58">
        <v>29122.02</v>
      </c>
      <c r="H537" s="58">
        <v>29178.93</v>
      </c>
      <c r="I537" s="58">
        <v>29208.27</v>
      </c>
      <c r="J537" s="58">
        <v>29133.09</v>
      </c>
      <c r="K537" s="58">
        <v>29118.91</v>
      </c>
      <c r="L537" s="58">
        <v>29188.959999999999</v>
      </c>
      <c r="M537" s="16">
        <f t="shared" si="169"/>
        <v>29157.864444444447</v>
      </c>
      <c r="N537" s="59">
        <f>IF((L538=""),"",MAX(D539:L539))</f>
        <v>15123.240000000005</v>
      </c>
      <c r="O537" s="59">
        <f>IF(L538="","",MIN(D539:L539))</f>
        <v>14213.819999999996</v>
      </c>
      <c r="P537" s="60">
        <f>IF((L539=""),"",AVERAGE(D539:L539))</f>
        <v>14754.673333333332</v>
      </c>
      <c r="Q537" s="156">
        <f>IF((L538=""),"",((N537-O537)/(N537+O537)*100))</f>
        <v>3.0999016261343471</v>
      </c>
      <c r="R537" s="61" t="str">
        <f>IF(L538="","",IF(Q537&lt;Z537,IF(O537&gt;V537,IF(N537&lt;W537,"PASS","FAIL"),"FAIL"),"FAIL"))</f>
        <v>PASS</v>
      </c>
      <c r="S537" s="62">
        <v>1159</v>
      </c>
      <c r="T537" s="61" t="s">
        <v>180</v>
      </c>
      <c r="U537" s="61"/>
      <c r="V537" s="110">
        <v>10000</v>
      </c>
      <c r="W537" s="110">
        <v>15600</v>
      </c>
      <c r="X537" s="111">
        <v>8090</v>
      </c>
      <c r="Y537" s="111">
        <v>12070</v>
      </c>
      <c r="Z537" s="112">
        <v>15</v>
      </c>
      <c r="AA537" s="112">
        <v>6</v>
      </c>
    </row>
    <row r="538" spans="1:27" ht="15.75">
      <c r="A538"/>
      <c r="B538" s="121"/>
      <c r="C538" s="57" t="s">
        <v>80</v>
      </c>
      <c r="D538" s="16">
        <v>24233.68</v>
      </c>
      <c r="E538" s="16">
        <v>24096.89</v>
      </c>
      <c r="F538" s="16">
        <v>24174.2</v>
      </c>
      <c r="G538" s="16">
        <v>24282.03</v>
      </c>
      <c r="H538" s="16">
        <v>24440.99</v>
      </c>
      <c r="I538" s="16">
        <v>24401.200000000001</v>
      </c>
      <c r="J538" s="16">
        <v>24175.95</v>
      </c>
      <c r="K538" s="16">
        <v>24158.59</v>
      </c>
      <c r="L538" s="16">
        <v>24193.23</v>
      </c>
      <c r="M538" s="16">
        <f t="shared" si="169"/>
        <v>24239.640000000003</v>
      </c>
      <c r="N538" s="53"/>
      <c r="O538" s="53"/>
      <c r="P538" s="63"/>
      <c r="Q538" s="53"/>
      <c r="R538" s="64"/>
      <c r="S538" s="54"/>
      <c r="T538" s="64"/>
      <c r="U538" s="64"/>
      <c r="V538" s="32"/>
      <c r="W538" s="29"/>
    </row>
    <row r="539" spans="1:27" ht="28.5" customHeight="1">
      <c r="A539"/>
      <c r="B539" s="121"/>
      <c r="C539" s="57" t="s">
        <v>82</v>
      </c>
      <c r="D539" s="16">
        <f t="shared" ref="D539:L539" si="187">IF(((D537="")*AND(D538="")),"",(D537-D538)*3)</f>
        <v>14924.189999999999</v>
      </c>
      <c r="E539" s="16">
        <f t="shared" si="187"/>
        <v>15123.240000000005</v>
      </c>
      <c r="F539" s="16">
        <f t="shared" si="187"/>
        <v>14850.060000000001</v>
      </c>
      <c r="G539" s="16">
        <f t="shared" si="187"/>
        <v>14519.970000000005</v>
      </c>
      <c r="H539" s="16">
        <f t="shared" si="187"/>
        <v>14213.819999999996</v>
      </c>
      <c r="I539" s="16">
        <f t="shared" si="187"/>
        <v>14421.21</v>
      </c>
      <c r="J539" s="16">
        <f t="shared" si="187"/>
        <v>14871.419999999998</v>
      </c>
      <c r="K539" s="16">
        <f t="shared" si="187"/>
        <v>14880.96</v>
      </c>
      <c r="L539" s="16">
        <f t="shared" si="187"/>
        <v>14987.189999999999</v>
      </c>
      <c r="M539" s="16">
        <f t="shared" si="169"/>
        <v>14754.673333333332</v>
      </c>
      <c r="N539" s="65"/>
      <c r="O539" s="65"/>
      <c r="P539" s="66"/>
      <c r="Q539" s="65"/>
      <c r="R539" s="67"/>
      <c r="S539" s="58"/>
      <c r="T539" s="67"/>
      <c r="U539" s="67"/>
      <c r="V539" s="33"/>
      <c r="W539" s="29"/>
    </row>
    <row r="540" spans="1:27">
      <c r="A540" s="86">
        <v>43332</v>
      </c>
      <c r="B540" s="120" t="s">
        <v>348</v>
      </c>
      <c r="C540" s="57" t="s">
        <v>79</v>
      </c>
      <c r="D540" s="58">
        <v>29097.16</v>
      </c>
      <c r="E540" s="58">
        <v>29015.84</v>
      </c>
      <c r="F540" s="58">
        <v>29031.78</v>
      </c>
      <c r="G540" s="58">
        <v>29036.12</v>
      </c>
      <c r="H540" s="58">
        <v>29122.07</v>
      </c>
      <c r="I540" s="58">
        <v>29080.7</v>
      </c>
      <c r="J540" s="58">
        <v>29012.19</v>
      </c>
      <c r="K540" s="58">
        <v>29026.01</v>
      </c>
      <c r="L540" s="58">
        <v>29109.69</v>
      </c>
      <c r="M540" s="16">
        <f t="shared" si="169"/>
        <v>29059.062222222226</v>
      </c>
      <c r="N540" s="59">
        <f>IF((L541=""),"",MAX(D542:L542))</f>
        <v>12365.879999999997</v>
      </c>
      <c r="O540" s="59">
        <f>IF(L541="","",MIN(D542:L542))</f>
        <v>11722.29</v>
      </c>
      <c r="P540" s="60">
        <f>IF((L542=""),"",AVERAGE(D542:L542))</f>
        <v>12024.78</v>
      </c>
      <c r="Q540" s="156">
        <f>IF((L541=""),"",((N540-O540)/(N540+O540)*100))</f>
        <v>2.6718094400695303</v>
      </c>
      <c r="R540" s="61" t="str">
        <f>IF(L541="","",IF(Q540&lt;Z540,IF(O540&gt;V540,IF(N540&lt;W540,"PASS","FAIL"),"FAIL"),"FAIL"))</f>
        <v>PASS</v>
      </c>
      <c r="S540" s="62">
        <v>1340</v>
      </c>
      <c r="T540" s="61"/>
      <c r="U540" s="61"/>
      <c r="V540" s="110">
        <v>10000</v>
      </c>
      <c r="W540" s="110">
        <v>15600</v>
      </c>
      <c r="X540" s="111">
        <v>8090</v>
      </c>
      <c r="Y540" s="111">
        <v>12070</v>
      </c>
      <c r="Z540" s="112">
        <v>15</v>
      </c>
      <c r="AA540" s="112">
        <v>6</v>
      </c>
    </row>
    <row r="541" spans="1:27" ht="15.75">
      <c r="A541"/>
      <c r="B541" s="121"/>
      <c r="C541" s="57" t="s">
        <v>80</v>
      </c>
      <c r="D541" s="16">
        <v>25189.73</v>
      </c>
      <c r="E541" s="16">
        <v>25092.59</v>
      </c>
      <c r="F541" s="16">
        <v>25082.71</v>
      </c>
      <c r="G541" s="16">
        <v>24949.78</v>
      </c>
      <c r="H541" s="16">
        <v>25000.11</v>
      </c>
      <c r="I541" s="16">
        <v>25013.01</v>
      </c>
      <c r="J541" s="16">
        <v>25016.35</v>
      </c>
      <c r="K541" s="16">
        <v>25001.16</v>
      </c>
      <c r="L541" s="16">
        <v>25111.78</v>
      </c>
      <c r="M541" s="16">
        <f t="shared" si="169"/>
        <v>25050.802222222221</v>
      </c>
      <c r="N541" s="53"/>
      <c r="O541" s="53"/>
      <c r="P541" s="63"/>
      <c r="Q541" s="53"/>
      <c r="R541" s="64"/>
      <c r="S541" s="54"/>
      <c r="T541" s="64"/>
      <c r="U541" s="64"/>
      <c r="V541" s="32"/>
      <c r="W541" s="29"/>
    </row>
    <row r="542" spans="1:27" ht="28.5" customHeight="1">
      <c r="A542"/>
      <c r="B542" s="121"/>
      <c r="C542" s="57" t="s">
        <v>82</v>
      </c>
      <c r="D542" s="16">
        <f t="shared" ref="D542:L542" si="188">IF(((D540="")*AND(D541="")),"",(D540-D541)*3)</f>
        <v>11722.29</v>
      </c>
      <c r="E542" s="16">
        <f t="shared" si="188"/>
        <v>11769.75</v>
      </c>
      <c r="F542" s="16">
        <f t="shared" si="188"/>
        <v>11847.21</v>
      </c>
      <c r="G542" s="16">
        <f t="shared" si="188"/>
        <v>12259.02</v>
      </c>
      <c r="H542" s="16">
        <f t="shared" si="188"/>
        <v>12365.879999999997</v>
      </c>
      <c r="I542" s="16">
        <f t="shared" si="188"/>
        <v>12203.070000000007</v>
      </c>
      <c r="J542" s="16">
        <f t="shared" si="188"/>
        <v>11987.52</v>
      </c>
      <c r="K542" s="16">
        <f t="shared" si="188"/>
        <v>12074.549999999996</v>
      </c>
      <c r="L542" s="16">
        <f t="shared" si="188"/>
        <v>11993.73</v>
      </c>
      <c r="M542" s="16">
        <f t="shared" si="169"/>
        <v>12024.78</v>
      </c>
      <c r="N542" s="65"/>
      <c r="O542" s="65"/>
      <c r="P542" s="66"/>
      <c r="Q542" s="65"/>
      <c r="R542" s="67"/>
      <c r="S542" s="58"/>
      <c r="T542" s="67"/>
      <c r="U542" s="67"/>
      <c r="V542" s="33"/>
      <c r="W542" s="29"/>
    </row>
    <row r="543" spans="1:27">
      <c r="A543" s="86">
        <v>43336</v>
      </c>
      <c r="B543" s="120" t="s">
        <v>348</v>
      </c>
      <c r="C543" s="57" t="s">
        <v>79</v>
      </c>
      <c r="D543" s="58">
        <v>29162</v>
      </c>
      <c r="E543" s="58">
        <v>29088</v>
      </c>
      <c r="F543" s="58">
        <v>29097</v>
      </c>
      <c r="G543" s="58">
        <v>29096</v>
      </c>
      <c r="H543" s="58">
        <v>29157</v>
      </c>
      <c r="I543" s="58">
        <v>29125</v>
      </c>
      <c r="J543" s="58">
        <v>29075</v>
      </c>
      <c r="K543" s="58">
        <v>29094</v>
      </c>
      <c r="L543" s="58">
        <v>29187</v>
      </c>
      <c r="M543" s="16">
        <f t="shared" si="169"/>
        <v>29120.111111111109</v>
      </c>
      <c r="N543" s="59">
        <f>IF((L544=""),"",MAX(D545:L545))</f>
        <v>10911</v>
      </c>
      <c r="O543" s="59">
        <f>IF(L544="","",MIN(D545:L545))</f>
        <v>10506</v>
      </c>
      <c r="P543" s="60">
        <f>IF((L545=""),"",AVERAGE(D545:L545))</f>
        <v>10693.666666666666</v>
      </c>
      <c r="Q543" s="156">
        <f>IF((L544=""),"",((N543-O543)/(N543+O543)*100))</f>
        <v>1.8910211514217679</v>
      </c>
      <c r="R543" s="61" t="str">
        <f>IF(L544="","",IF(Q543&lt;Z543,IF(O543&gt;V543,IF(N543&lt;W543,"PASS","FAIL"),"FAIL"),"FAIL"))</f>
        <v>PASS</v>
      </c>
      <c r="S543" s="62">
        <v>1340</v>
      </c>
      <c r="T543" s="61"/>
      <c r="U543" s="61"/>
      <c r="V543" s="110">
        <v>10000</v>
      </c>
      <c r="W543" s="110">
        <v>15600</v>
      </c>
      <c r="X543" s="111">
        <v>8090</v>
      </c>
      <c r="Y543" s="111">
        <v>12070</v>
      </c>
      <c r="Z543" s="112">
        <v>15</v>
      </c>
      <c r="AA543" s="112">
        <v>6</v>
      </c>
    </row>
    <row r="544" spans="1:27" ht="15.75">
      <c r="A544"/>
      <c r="B544" s="121"/>
      <c r="C544" s="57" t="s">
        <v>80</v>
      </c>
      <c r="D544" s="16">
        <v>25660</v>
      </c>
      <c r="E544" s="16">
        <v>25585</v>
      </c>
      <c r="F544" s="16">
        <v>25581</v>
      </c>
      <c r="G544" s="16">
        <v>25494</v>
      </c>
      <c r="H544" s="16">
        <v>25520</v>
      </c>
      <c r="I544" s="16">
        <v>25539</v>
      </c>
      <c r="J544" s="16">
        <v>25533</v>
      </c>
      <c r="K544" s="16">
        <v>25517</v>
      </c>
      <c r="L544" s="16">
        <v>25571</v>
      </c>
      <c r="M544" s="16">
        <f t="shared" si="169"/>
        <v>25555.555555555555</v>
      </c>
      <c r="N544" s="53"/>
      <c r="O544" s="53"/>
      <c r="P544" s="63"/>
      <c r="Q544" s="53"/>
      <c r="R544" s="64"/>
      <c r="S544" s="54"/>
      <c r="T544" s="64"/>
      <c r="U544" s="64"/>
      <c r="V544" s="32"/>
      <c r="W544" s="29"/>
    </row>
    <row r="545" spans="1:27" ht="28.5" customHeight="1">
      <c r="A545"/>
      <c r="B545" s="121"/>
      <c r="C545" s="57" t="s">
        <v>82</v>
      </c>
      <c r="D545" s="16">
        <f t="shared" ref="D545:L545" si="189">IF(((D543="")*AND(D544="")),"",(D543-D544)*3)</f>
        <v>10506</v>
      </c>
      <c r="E545" s="16">
        <f t="shared" si="189"/>
        <v>10509</v>
      </c>
      <c r="F545" s="16">
        <f t="shared" si="189"/>
        <v>10548</v>
      </c>
      <c r="G545" s="16">
        <f t="shared" si="189"/>
        <v>10806</v>
      </c>
      <c r="H545" s="16">
        <f t="shared" si="189"/>
        <v>10911</v>
      </c>
      <c r="I545" s="16">
        <f t="shared" si="189"/>
        <v>10758</v>
      </c>
      <c r="J545" s="16">
        <f t="shared" si="189"/>
        <v>10626</v>
      </c>
      <c r="K545" s="16">
        <f t="shared" si="189"/>
        <v>10731</v>
      </c>
      <c r="L545" s="16">
        <f t="shared" si="189"/>
        <v>10848</v>
      </c>
      <c r="M545" s="16">
        <f t="shared" si="169"/>
        <v>10693.666666666666</v>
      </c>
      <c r="N545" s="65"/>
      <c r="O545" s="65"/>
      <c r="P545" s="66"/>
      <c r="Q545" s="65"/>
      <c r="R545" s="67"/>
      <c r="S545" s="58"/>
      <c r="T545" s="67"/>
      <c r="U545" s="67"/>
      <c r="V545" s="33"/>
      <c r="W545" s="29"/>
    </row>
    <row r="546" spans="1:27">
      <c r="A546" s="86">
        <v>43340</v>
      </c>
      <c r="B546" s="120" t="s">
        <v>348</v>
      </c>
      <c r="C546" s="57" t="s">
        <v>79</v>
      </c>
      <c r="D546" s="58">
        <v>29140</v>
      </c>
      <c r="E546" s="58">
        <v>29062</v>
      </c>
      <c r="F546" s="58">
        <v>29118</v>
      </c>
      <c r="G546" s="58">
        <v>29051</v>
      </c>
      <c r="H546" s="58">
        <v>29114</v>
      </c>
      <c r="I546" s="58">
        <v>29120</v>
      </c>
      <c r="J546" s="58">
        <v>29045</v>
      </c>
      <c r="K546" s="58">
        <v>29061</v>
      </c>
      <c r="L546" s="58">
        <v>29110</v>
      </c>
      <c r="M546" s="16">
        <f t="shared" si="169"/>
        <v>29091.222222222223</v>
      </c>
      <c r="N546" s="59">
        <f>IF((L547=""),"",MAX(D548:L548))</f>
        <v>13329</v>
      </c>
      <c r="O546" s="59">
        <f>IF(L547="","",MIN(D548:L548))</f>
        <v>13104</v>
      </c>
      <c r="P546" s="60">
        <f>IF((L548=""),"",AVERAGE(D548:L548))</f>
        <v>13198.333333333334</v>
      </c>
      <c r="Q546" s="156">
        <f>IF((L547=""),"",((N546-O546)/(N546+O546)*100))</f>
        <v>0.85120871637725581</v>
      </c>
      <c r="R546" s="61" t="str">
        <f>IF(L547="","",IF(Q546&lt;Z546,IF(O546&gt;V546,IF(N546&lt;W546,"PASS","FAIL"),"FAIL"),"FAIL"))</f>
        <v>PASS</v>
      </c>
      <c r="S546" s="62">
        <v>1340</v>
      </c>
      <c r="T546" s="61"/>
      <c r="U546" s="61"/>
      <c r="V546" s="110">
        <v>10000</v>
      </c>
      <c r="W546" s="110">
        <v>15600</v>
      </c>
      <c r="X546" s="111">
        <v>8090</v>
      </c>
      <c r="Y546" s="111">
        <v>12070</v>
      </c>
      <c r="Z546" s="112">
        <v>15</v>
      </c>
      <c r="AA546" s="112">
        <v>6</v>
      </c>
    </row>
    <row r="547" spans="1:27" ht="15.75">
      <c r="A547"/>
      <c r="B547" s="121"/>
      <c r="C547" s="57" t="s">
        <v>80</v>
      </c>
      <c r="D547" s="16">
        <v>24767</v>
      </c>
      <c r="E547" s="16">
        <v>24694</v>
      </c>
      <c r="F547" s="16">
        <v>24746</v>
      </c>
      <c r="G547" s="16">
        <v>24612</v>
      </c>
      <c r="H547" s="16">
        <v>24714</v>
      </c>
      <c r="I547" s="16">
        <v>24708</v>
      </c>
      <c r="J547" s="16">
        <v>24658</v>
      </c>
      <c r="K547" s="16">
        <v>24618</v>
      </c>
      <c r="L547" s="16">
        <v>24709</v>
      </c>
      <c r="M547" s="16">
        <f t="shared" si="169"/>
        <v>24691.777777777777</v>
      </c>
      <c r="N547" s="53"/>
      <c r="O547" s="53"/>
      <c r="P547" s="63"/>
      <c r="Q547" s="53"/>
      <c r="R547" s="64"/>
      <c r="S547" s="54"/>
      <c r="T547" s="64"/>
      <c r="U547" s="64"/>
      <c r="V547" s="32"/>
      <c r="W547" s="29"/>
    </row>
    <row r="548" spans="1:27" ht="28.5" customHeight="1">
      <c r="A548"/>
      <c r="B548" s="121"/>
      <c r="C548" s="57" t="s">
        <v>82</v>
      </c>
      <c r="D548" s="16">
        <f t="shared" ref="D548:L548" si="190">IF(((D546="")*AND(D547="")),"",(D546-D547)*3)</f>
        <v>13119</v>
      </c>
      <c r="E548" s="16">
        <f t="shared" si="190"/>
        <v>13104</v>
      </c>
      <c r="F548" s="16">
        <f t="shared" si="190"/>
        <v>13116</v>
      </c>
      <c r="G548" s="16">
        <f t="shared" si="190"/>
        <v>13317</v>
      </c>
      <c r="H548" s="16">
        <f t="shared" si="190"/>
        <v>13200</v>
      </c>
      <c r="I548" s="16">
        <f t="shared" si="190"/>
        <v>13236</v>
      </c>
      <c r="J548" s="16">
        <f t="shared" si="190"/>
        <v>13161</v>
      </c>
      <c r="K548" s="16">
        <f t="shared" si="190"/>
        <v>13329</v>
      </c>
      <c r="L548" s="16">
        <f t="shared" si="190"/>
        <v>13203</v>
      </c>
      <c r="M548" s="16">
        <f t="shared" si="169"/>
        <v>13198.333333333334</v>
      </c>
      <c r="N548" s="65"/>
      <c r="O548" s="65"/>
      <c r="P548" s="66"/>
      <c r="Q548" s="65"/>
      <c r="R548" s="67"/>
      <c r="S548" s="58"/>
      <c r="T548" s="67"/>
      <c r="U548" s="67"/>
      <c r="V548" s="33"/>
      <c r="W548" s="29"/>
    </row>
    <row r="549" spans="1:27">
      <c r="A549" s="86">
        <v>43354</v>
      </c>
      <c r="B549" s="120" t="s">
        <v>348</v>
      </c>
      <c r="C549" s="57" t="s">
        <v>79</v>
      </c>
      <c r="D549" s="58">
        <v>29065.01</v>
      </c>
      <c r="E549" s="58">
        <v>28995.27</v>
      </c>
      <c r="F549" s="58">
        <v>29036.57</v>
      </c>
      <c r="G549" s="58">
        <v>28989.759999999998</v>
      </c>
      <c r="H549" s="58">
        <v>29046.55</v>
      </c>
      <c r="I549" s="58">
        <v>29037.29</v>
      </c>
      <c r="J549" s="58">
        <v>28985.1</v>
      </c>
      <c r="K549" s="58">
        <v>28982.5</v>
      </c>
      <c r="L549" s="58">
        <v>29067.51</v>
      </c>
      <c r="M549" s="16">
        <f t="shared" si="169"/>
        <v>29022.840000000004</v>
      </c>
      <c r="N549" s="59">
        <f>IF((L550=""),"",MAX(D551:L551))</f>
        <v>13747.319999999996</v>
      </c>
      <c r="O549" s="59">
        <f>IF(L550="","",MIN(D551:L551))</f>
        <v>13413.75</v>
      </c>
      <c r="P549" s="60">
        <f>IF((L551=""),"",AVERAGE(D551:L551))</f>
        <v>13588.209999999995</v>
      </c>
      <c r="Q549" s="156">
        <f>IF((L550=""),"",((N549-O549)/(N549+O549)*100))</f>
        <v>1.2281180380596055</v>
      </c>
      <c r="R549" s="61" t="str">
        <f>IF(L550="","",IF(Q549&lt;Z549,IF(O549&gt;V549,IF(N549&lt;W549,"PASS","FAIL"),"FAIL"),"FAIL"))</f>
        <v>PASS</v>
      </c>
      <c r="S549" s="62">
        <v>74</v>
      </c>
      <c r="T549" s="61"/>
      <c r="U549" s="61"/>
      <c r="V549" s="110">
        <v>10000</v>
      </c>
      <c r="W549" s="110">
        <v>15600</v>
      </c>
      <c r="X549" s="111">
        <v>8090</v>
      </c>
      <c r="Y549" s="111">
        <v>12070</v>
      </c>
      <c r="Z549" s="112">
        <v>15</v>
      </c>
      <c r="AA549" s="112">
        <v>6</v>
      </c>
    </row>
    <row r="550" spans="1:27" ht="15.75">
      <c r="A550"/>
      <c r="B550" s="121"/>
      <c r="C550" s="57" t="s">
        <v>80</v>
      </c>
      <c r="D550" s="16">
        <v>24502.23</v>
      </c>
      <c r="E550" s="16">
        <v>24412.83</v>
      </c>
      <c r="F550" s="16">
        <v>24565.32</v>
      </c>
      <c r="G550" s="16">
        <v>24488.77</v>
      </c>
      <c r="H550" s="16">
        <v>24543.7</v>
      </c>
      <c r="I550" s="16">
        <v>24531.33</v>
      </c>
      <c r="J550" s="16">
        <v>24432.44</v>
      </c>
      <c r="K550" s="16">
        <v>24458.37</v>
      </c>
      <c r="L550" s="16">
        <v>24505.94</v>
      </c>
      <c r="M550" s="16">
        <f t="shared" si="169"/>
        <v>24493.436666666665</v>
      </c>
      <c r="N550" s="53"/>
      <c r="O550" s="53"/>
      <c r="P550" s="63"/>
      <c r="Q550" s="53"/>
      <c r="R550" s="64"/>
      <c r="S550" s="54"/>
      <c r="T550" s="64"/>
      <c r="U550" s="64"/>
      <c r="V550" s="32"/>
      <c r="W550" s="29"/>
    </row>
    <row r="551" spans="1:27" ht="28.5" customHeight="1">
      <c r="A551"/>
      <c r="B551" s="121"/>
      <c r="C551" s="57" t="s">
        <v>82</v>
      </c>
      <c r="D551" s="16">
        <f t="shared" ref="D551:L551" si="191">IF(((D549="")*AND(D550="")),"",(D549-D550)*3)</f>
        <v>13688.339999999997</v>
      </c>
      <c r="E551" s="16">
        <f t="shared" si="191"/>
        <v>13747.319999999996</v>
      </c>
      <c r="F551" s="16">
        <f t="shared" si="191"/>
        <v>13413.75</v>
      </c>
      <c r="G551" s="16">
        <f t="shared" si="191"/>
        <v>13502.969999999994</v>
      </c>
      <c r="H551" s="16">
        <f t="shared" si="191"/>
        <v>13508.549999999996</v>
      </c>
      <c r="I551" s="16">
        <f t="shared" si="191"/>
        <v>13517.879999999997</v>
      </c>
      <c r="J551" s="16">
        <f t="shared" si="191"/>
        <v>13657.98</v>
      </c>
      <c r="K551" s="16">
        <f t="shared" si="191"/>
        <v>13572.390000000003</v>
      </c>
      <c r="L551" s="16">
        <f t="shared" si="191"/>
        <v>13684.71</v>
      </c>
      <c r="M551" s="16">
        <f t="shared" ref="M551:M596" si="192">SUM(D551:L551)/9</f>
        <v>13588.209999999995</v>
      </c>
      <c r="N551" s="65"/>
      <c r="O551" s="65"/>
      <c r="P551" s="66"/>
      <c r="Q551" s="65"/>
      <c r="R551" s="67"/>
      <c r="S551" s="58"/>
      <c r="T551" s="67"/>
      <c r="U551" s="67"/>
      <c r="V551" s="33"/>
      <c r="W551" s="29"/>
    </row>
    <row r="552" spans="1:27">
      <c r="A552" s="86">
        <v>43358</v>
      </c>
      <c r="B552" s="120" t="s">
        <v>348</v>
      </c>
      <c r="C552" s="57" t="s">
        <v>79</v>
      </c>
      <c r="D552" s="58">
        <v>29313.63</v>
      </c>
      <c r="E552" s="58">
        <v>29213.439999999999</v>
      </c>
      <c r="F552" s="58">
        <v>29205.89</v>
      </c>
      <c r="G552" s="58">
        <v>29207.23</v>
      </c>
      <c r="H552" s="58">
        <v>29270.33</v>
      </c>
      <c r="I552" s="58">
        <v>29292.240000000002</v>
      </c>
      <c r="J552" s="58">
        <v>29210.01</v>
      </c>
      <c r="K552" s="58">
        <v>29203.57</v>
      </c>
      <c r="L552" s="58">
        <v>29277.27</v>
      </c>
      <c r="M552" s="16">
        <f t="shared" si="192"/>
        <v>29243.734444444442</v>
      </c>
      <c r="N552" s="59">
        <f>IF((L553=""),"",MAX(D554:L554))</f>
        <v>15625.470000000005</v>
      </c>
      <c r="O552" s="59">
        <f>IF(L553="","",MIN(D554:L554))</f>
        <v>15070.560000000001</v>
      </c>
      <c r="P552" s="60">
        <f>IF((L554=""),"",AVERAGE(D554:L554))</f>
        <v>15392.390000000001</v>
      </c>
      <c r="Q552" s="156">
        <f>IF((L553=""),"",((N552-O552)/(N552+O552)*100))</f>
        <v>1.8077582019564202</v>
      </c>
      <c r="R552" s="61" t="str">
        <f>IF(L553="","",IF(Q552&lt;Z552,IF(O552&gt;V552,IF(N552&lt;W552,"PASS","FAIL"),"FAIL"),"FAIL"))</f>
        <v>FAIL</v>
      </c>
      <c r="S552" s="62">
        <v>1340</v>
      </c>
      <c r="T552" s="61" t="s">
        <v>294</v>
      </c>
      <c r="U552" s="61"/>
      <c r="V552" s="110">
        <v>10000</v>
      </c>
      <c r="W552" s="110">
        <v>15600</v>
      </c>
      <c r="X552" s="111">
        <v>8090</v>
      </c>
      <c r="Y552" s="111">
        <v>12070</v>
      </c>
      <c r="Z552" s="112">
        <v>15</v>
      </c>
      <c r="AA552" s="112">
        <v>6</v>
      </c>
    </row>
    <row r="553" spans="1:27" ht="15.75">
      <c r="A553"/>
      <c r="B553" s="121"/>
      <c r="C553" s="57" t="s">
        <v>80</v>
      </c>
      <c r="D553" s="16">
        <v>24179.1</v>
      </c>
      <c r="E553" s="16">
        <v>24017.51</v>
      </c>
      <c r="F553" s="16">
        <v>24066.29</v>
      </c>
      <c r="G553" s="16">
        <v>24104</v>
      </c>
      <c r="H553" s="16">
        <v>24246.81</v>
      </c>
      <c r="I553" s="16">
        <v>24252.959999999999</v>
      </c>
      <c r="J553" s="16">
        <v>24048.63</v>
      </c>
      <c r="K553" s="16">
        <v>24032.36</v>
      </c>
      <c r="L553" s="16">
        <v>24068.78</v>
      </c>
      <c r="M553" s="16">
        <f t="shared" si="192"/>
        <v>24112.937777777774</v>
      </c>
      <c r="N553" s="53"/>
      <c r="O553" s="53"/>
      <c r="P553" s="63"/>
      <c r="Q553" s="53"/>
      <c r="R553" s="64"/>
      <c r="S553" s="54"/>
      <c r="T553" s="64"/>
      <c r="U553" s="64"/>
      <c r="V553" s="32"/>
      <c r="W553" s="29"/>
    </row>
    <row r="554" spans="1:27" ht="28.5" customHeight="1">
      <c r="A554"/>
      <c r="B554" s="121"/>
      <c r="C554" s="57" t="s">
        <v>82</v>
      </c>
      <c r="D554" s="16">
        <f t="shared" ref="D554:L554" si="193">IF(((D552="")*AND(D553="")),"",(D552-D553)*3)</f>
        <v>15403.590000000007</v>
      </c>
      <c r="E554" s="16">
        <f t="shared" si="193"/>
        <v>15587.79</v>
      </c>
      <c r="F554" s="16">
        <f t="shared" si="193"/>
        <v>15418.799999999996</v>
      </c>
      <c r="G554" s="16">
        <f t="shared" si="193"/>
        <v>15309.689999999999</v>
      </c>
      <c r="H554" s="16">
        <f t="shared" si="193"/>
        <v>15070.560000000001</v>
      </c>
      <c r="I554" s="16">
        <f t="shared" si="193"/>
        <v>15117.840000000007</v>
      </c>
      <c r="J554" s="16">
        <f t="shared" si="193"/>
        <v>15484.139999999992</v>
      </c>
      <c r="K554" s="16">
        <f t="shared" si="193"/>
        <v>15513.629999999997</v>
      </c>
      <c r="L554" s="16">
        <f t="shared" si="193"/>
        <v>15625.470000000005</v>
      </c>
      <c r="M554" s="16">
        <f t="shared" si="192"/>
        <v>15392.390000000001</v>
      </c>
      <c r="N554" s="65"/>
      <c r="O554" s="65"/>
      <c r="P554" s="66"/>
      <c r="Q554" s="65"/>
      <c r="R554" s="67"/>
      <c r="S554" s="58"/>
      <c r="T554" s="67"/>
      <c r="U554" s="67"/>
      <c r="V554" s="33"/>
      <c r="W554" s="29"/>
    </row>
    <row r="555" spans="1:27">
      <c r="A555" s="86">
        <v>43360</v>
      </c>
      <c r="B555" s="120" t="s">
        <v>348</v>
      </c>
      <c r="C555" s="57" t="s">
        <v>79</v>
      </c>
      <c r="D555" s="58">
        <v>29272.03</v>
      </c>
      <c r="E555" s="58">
        <v>29192.75</v>
      </c>
      <c r="F555" s="58">
        <v>29166.3</v>
      </c>
      <c r="G555" s="58">
        <v>29160.18</v>
      </c>
      <c r="H555" s="58">
        <v>29235.21</v>
      </c>
      <c r="I555" s="58">
        <v>29236.46</v>
      </c>
      <c r="J555" s="58">
        <v>29149.07</v>
      </c>
      <c r="K555" s="58">
        <v>29170.01</v>
      </c>
      <c r="L555" s="58">
        <v>29268.7</v>
      </c>
      <c r="M555" s="16">
        <f t="shared" si="192"/>
        <v>29205.634444444448</v>
      </c>
      <c r="N555" s="59">
        <f>IF((L556=""),"",MAX(D557:L557))</f>
        <v>13340.580000000002</v>
      </c>
      <c r="O555" s="59">
        <f>IF(L556="","",MIN(D557:L557))</f>
        <v>13048.739999999994</v>
      </c>
      <c r="P555" s="60">
        <f>IF((L557=""),"",AVERAGE(D557:L557))</f>
        <v>13184.419999999996</v>
      </c>
      <c r="Q555" s="156">
        <f>IF((L556=""),"",((N555-O555)/(N555+O555)*100))</f>
        <v>1.1059019330547641</v>
      </c>
      <c r="R555" s="61" t="str">
        <f>IF(L556="","",IF(Q555&lt;Z555,IF(O555&gt;V555,IF(N555&lt;W555,"PASS","FAIL"),"FAIL"),"FAIL"))</f>
        <v>PASS</v>
      </c>
      <c r="S555" s="62">
        <v>1340</v>
      </c>
      <c r="T555" s="61" t="s">
        <v>181</v>
      </c>
      <c r="U555" s="61"/>
      <c r="V555" s="110">
        <v>10000</v>
      </c>
      <c r="W555" s="110">
        <v>15600</v>
      </c>
      <c r="X555" s="111">
        <v>8090</v>
      </c>
      <c r="Y555" s="111">
        <v>12070</v>
      </c>
      <c r="Z555" s="112">
        <v>15</v>
      </c>
      <c r="AA555" s="112">
        <v>6</v>
      </c>
    </row>
    <row r="556" spans="1:27" ht="15.75">
      <c r="A556"/>
      <c r="B556" s="121"/>
      <c r="C556" s="57" t="s">
        <v>80</v>
      </c>
      <c r="D556" s="16">
        <v>24849.68</v>
      </c>
      <c r="E556" s="16">
        <v>24745.89</v>
      </c>
      <c r="F556" s="16">
        <v>24807.040000000001</v>
      </c>
      <c r="G556" s="16">
        <v>24798.98</v>
      </c>
      <c r="H556" s="16">
        <v>24863.47</v>
      </c>
      <c r="I556" s="16">
        <v>24886.880000000001</v>
      </c>
      <c r="J556" s="16">
        <v>24747.52</v>
      </c>
      <c r="K556" s="16">
        <v>24768.69</v>
      </c>
      <c r="L556" s="16">
        <v>24829.3</v>
      </c>
      <c r="M556" s="16">
        <f t="shared" si="192"/>
        <v>24810.827777777777</v>
      </c>
      <c r="N556" s="53"/>
      <c r="O556" s="53"/>
      <c r="P556" s="63"/>
      <c r="Q556" s="53"/>
      <c r="R556" s="64"/>
      <c r="S556" s="54"/>
      <c r="T556" s="64"/>
      <c r="U556" s="64"/>
      <c r="V556" s="32"/>
      <c r="W556" s="29"/>
    </row>
    <row r="557" spans="1:27" ht="28.5" customHeight="1">
      <c r="A557"/>
      <c r="B557" s="121"/>
      <c r="C557" s="57" t="s">
        <v>82</v>
      </c>
      <c r="D557" s="16">
        <f t="shared" ref="D557:L557" si="194">IF(((D555="")*AND(D556="")),"",(D555-D556)*3)</f>
        <v>13267.049999999996</v>
      </c>
      <c r="E557" s="16">
        <f t="shared" si="194"/>
        <v>13340.580000000002</v>
      </c>
      <c r="F557" s="16">
        <f t="shared" si="194"/>
        <v>13077.779999999995</v>
      </c>
      <c r="G557" s="16">
        <f t="shared" si="194"/>
        <v>13083.600000000002</v>
      </c>
      <c r="H557" s="16">
        <f t="shared" si="194"/>
        <v>13115.219999999994</v>
      </c>
      <c r="I557" s="16">
        <f t="shared" si="194"/>
        <v>13048.739999999994</v>
      </c>
      <c r="J557" s="16">
        <f t="shared" si="194"/>
        <v>13204.649999999998</v>
      </c>
      <c r="K557" s="16">
        <f t="shared" si="194"/>
        <v>13203.96</v>
      </c>
      <c r="L557" s="16">
        <f t="shared" si="194"/>
        <v>13318.200000000004</v>
      </c>
      <c r="M557" s="16">
        <f t="shared" si="192"/>
        <v>13184.419999999996</v>
      </c>
      <c r="N557" s="65"/>
      <c r="O557" s="65"/>
      <c r="P557" s="66"/>
      <c r="Q557" s="65"/>
      <c r="R557" s="67"/>
      <c r="S557" s="58"/>
      <c r="T557" s="67"/>
      <c r="U557" s="67"/>
      <c r="V557" s="33"/>
      <c r="W557" s="29"/>
    </row>
    <row r="558" spans="1:27">
      <c r="A558" s="86">
        <v>43361</v>
      </c>
      <c r="B558" s="120" t="s">
        <v>348</v>
      </c>
      <c r="C558" s="57" t="s">
        <v>79</v>
      </c>
      <c r="D558" s="58">
        <v>29286.38</v>
      </c>
      <c r="E558" s="58">
        <v>29187.22</v>
      </c>
      <c r="F558" s="58">
        <v>29202.98</v>
      </c>
      <c r="G558" s="58">
        <v>29175.98</v>
      </c>
      <c r="H558" s="58">
        <v>29220.6</v>
      </c>
      <c r="I558" s="58">
        <v>29224.99</v>
      </c>
      <c r="J558" s="58">
        <v>29174.27</v>
      </c>
      <c r="K558" s="58">
        <v>29171.75</v>
      </c>
      <c r="L558" s="58">
        <v>29261.25</v>
      </c>
      <c r="M558" s="16">
        <f t="shared" si="192"/>
        <v>29211.713333333333</v>
      </c>
      <c r="N558" s="59">
        <f>IF((L559=""),"",MAX(D560:L560))</f>
        <v>13727.100000000002</v>
      </c>
      <c r="O558" s="59">
        <f>IF(L559="","",MIN(D560:L560))</f>
        <v>13357.049999999996</v>
      </c>
      <c r="P558" s="60">
        <f>IF((L560=""),"",AVERAGE(D560:L560))</f>
        <v>13505.106666666667</v>
      </c>
      <c r="Q558" s="156">
        <f>IF((L559=""),"",((N558-O558)/(N558+O558)*100))</f>
        <v>1.3662972624210343</v>
      </c>
      <c r="R558" s="61" t="str">
        <f>IF(L559="","",IF(Q558&lt;Z558,IF(O558&gt;V558,IF(N558&lt;W558,"PASS","FAIL"),"FAIL"),"FAIL"))</f>
        <v>PASS</v>
      </c>
      <c r="S558" s="62">
        <v>74</v>
      </c>
      <c r="T558" s="61"/>
      <c r="U558" s="61" t="s">
        <v>64</v>
      </c>
      <c r="V558" s="110">
        <v>10000</v>
      </c>
      <c r="W558" s="110">
        <v>15600</v>
      </c>
      <c r="X558" s="111">
        <v>8090</v>
      </c>
      <c r="Y558" s="111">
        <v>12070</v>
      </c>
      <c r="Z558" s="112">
        <v>15</v>
      </c>
      <c r="AA558" s="112">
        <v>6</v>
      </c>
    </row>
    <row r="559" spans="1:27" ht="15.75">
      <c r="A559"/>
      <c r="B559" s="121"/>
      <c r="C559" s="57" t="s">
        <v>80</v>
      </c>
      <c r="D559" s="16">
        <v>24789.38</v>
      </c>
      <c r="E559" s="16">
        <v>24658.83</v>
      </c>
      <c r="F559" s="16">
        <v>24750.63</v>
      </c>
      <c r="G559" s="16">
        <v>24684.75</v>
      </c>
      <c r="H559" s="16">
        <v>24753.41</v>
      </c>
      <c r="I559" s="16">
        <v>24762.54</v>
      </c>
      <c r="J559" s="16">
        <v>24648.85</v>
      </c>
      <c r="K559" s="16">
        <v>24656.16</v>
      </c>
      <c r="L559" s="16">
        <v>24685.55</v>
      </c>
      <c r="M559" s="16">
        <f t="shared" si="192"/>
        <v>24710.011111111111</v>
      </c>
      <c r="N559" s="53"/>
      <c r="O559" s="53"/>
      <c r="P559" s="63"/>
      <c r="Q559" s="53"/>
      <c r="R559" s="64"/>
      <c r="S559" s="54"/>
      <c r="T559" s="64"/>
      <c r="U559" s="64"/>
      <c r="V559" s="32"/>
      <c r="W559" s="29"/>
    </row>
    <row r="560" spans="1:27" ht="28.5" customHeight="1">
      <c r="A560"/>
      <c r="B560" s="121"/>
      <c r="C560" s="57" t="s">
        <v>82</v>
      </c>
      <c r="D560" s="16">
        <f t="shared" ref="D560:L560" si="195">IF(((D558="")*AND(D559="")),"",(D558-D559)*3)</f>
        <v>13491</v>
      </c>
      <c r="E560" s="16">
        <f t="shared" si="195"/>
        <v>13585.169999999998</v>
      </c>
      <c r="F560" s="16">
        <f t="shared" si="195"/>
        <v>13357.049999999996</v>
      </c>
      <c r="G560" s="16">
        <f t="shared" si="195"/>
        <v>13473.689999999999</v>
      </c>
      <c r="H560" s="16">
        <f t="shared" si="195"/>
        <v>13401.569999999996</v>
      </c>
      <c r="I560" s="16">
        <f t="shared" si="195"/>
        <v>13387.350000000002</v>
      </c>
      <c r="J560" s="16">
        <f t="shared" si="195"/>
        <v>13576.260000000006</v>
      </c>
      <c r="K560" s="16">
        <f t="shared" si="195"/>
        <v>13546.77</v>
      </c>
      <c r="L560" s="16">
        <f t="shared" si="195"/>
        <v>13727.100000000002</v>
      </c>
      <c r="M560" s="16">
        <f t="shared" si="192"/>
        <v>13505.106666666667</v>
      </c>
      <c r="N560" s="65"/>
      <c r="O560" s="65"/>
      <c r="P560" s="66"/>
      <c r="Q560" s="65"/>
      <c r="R560" s="67"/>
      <c r="S560" s="58"/>
      <c r="T560" s="67"/>
      <c r="U560" s="67"/>
      <c r="V560" s="33"/>
      <c r="W560" s="29"/>
    </row>
    <row r="561" spans="1:27">
      <c r="A561" s="86">
        <v>43367</v>
      </c>
      <c r="B561" s="120" t="s">
        <v>348</v>
      </c>
      <c r="C561" s="57" t="s">
        <v>79</v>
      </c>
      <c r="D561" s="58">
        <v>29105</v>
      </c>
      <c r="E561" s="58">
        <v>29013</v>
      </c>
      <c r="F561" s="58">
        <v>29009</v>
      </c>
      <c r="G561" s="58">
        <v>28989</v>
      </c>
      <c r="H561" s="58">
        <v>29060</v>
      </c>
      <c r="I561" s="58">
        <v>29080</v>
      </c>
      <c r="J561" s="58">
        <v>28980</v>
      </c>
      <c r="K561" s="58">
        <v>29001</v>
      </c>
      <c r="L561" s="58">
        <v>29099</v>
      </c>
      <c r="M561" s="16">
        <f t="shared" si="192"/>
        <v>29037.333333333332</v>
      </c>
      <c r="N561" s="59">
        <f>IF((L562=""),"",MAX(D563:L563))</f>
        <v>13083</v>
      </c>
      <c r="O561" s="59">
        <f>IF(L562="","",MIN(D563:L563))</f>
        <v>12516</v>
      </c>
      <c r="P561" s="60">
        <f>IF((L563=""),"",AVERAGE(D563:L563))</f>
        <v>12747.666666666666</v>
      </c>
      <c r="Q561" s="156">
        <f>IF((L562=""),"",((N561-O561)/(N561+O561)*100))</f>
        <v>2.2149302707136997</v>
      </c>
      <c r="R561" s="61" t="str">
        <f>IF(L562="","",IF(Q561&lt;Z561,IF(O561&gt;V561,IF(N561&lt;W561,"PASS","FAIL"),"FAIL"),"FAIL"))</f>
        <v>PASS</v>
      </c>
      <c r="S561" s="62">
        <v>74</v>
      </c>
      <c r="T561" s="61"/>
      <c r="U561" s="61"/>
      <c r="V561" s="110">
        <v>10000</v>
      </c>
      <c r="W561" s="110">
        <v>15600</v>
      </c>
      <c r="X561" s="111">
        <v>8090</v>
      </c>
      <c r="Y561" s="111">
        <v>12070</v>
      </c>
      <c r="Z561" s="112">
        <v>15</v>
      </c>
      <c r="AA561" s="112">
        <v>6</v>
      </c>
    </row>
    <row r="562" spans="1:27" ht="15.75">
      <c r="A562"/>
      <c r="B562" s="121"/>
      <c r="C562" s="57" t="s">
        <v>80</v>
      </c>
      <c r="D562" s="16">
        <v>24831</v>
      </c>
      <c r="E562" s="16">
        <v>24739</v>
      </c>
      <c r="F562" s="16">
        <v>24837</v>
      </c>
      <c r="G562" s="16">
        <v>24773</v>
      </c>
      <c r="H562" s="16">
        <v>24832</v>
      </c>
      <c r="I562" s="16">
        <v>24868</v>
      </c>
      <c r="J562" s="16">
        <v>24747</v>
      </c>
      <c r="K562" s="16">
        <v>24728</v>
      </c>
      <c r="L562" s="16">
        <v>24738</v>
      </c>
      <c r="M562" s="16">
        <f t="shared" si="192"/>
        <v>24788.111111111109</v>
      </c>
      <c r="N562" s="53"/>
      <c r="O562" s="53"/>
      <c r="P562" s="63"/>
      <c r="Q562" s="53"/>
      <c r="R562" s="64"/>
      <c r="S562" s="54"/>
      <c r="T562" s="64"/>
      <c r="U562" s="64"/>
      <c r="V562" s="32"/>
      <c r="W562" s="29"/>
    </row>
    <row r="563" spans="1:27" ht="28.5" customHeight="1">
      <c r="A563"/>
      <c r="B563" s="121"/>
      <c r="C563" s="57" t="s">
        <v>82</v>
      </c>
      <c r="D563" s="16">
        <f t="shared" ref="D563:L563" si="196">IF(((D561="")*AND(D562="")),"",(D561-D562)*3)</f>
        <v>12822</v>
      </c>
      <c r="E563" s="16">
        <f t="shared" si="196"/>
        <v>12822</v>
      </c>
      <c r="F563" s="16">
        <f t="shared" si="196"/>
        <v>12516</v>
      </c>
      <c r="G563" s="16">
        <f t="shared" si="196"/>
        <v>12648</v>
      </c>
      <c r="H563" s="16">
        <f t="shared" si="196"/>
        <v>12684</v>
      </c>
      <c r="I563" s="16">
        <f t="shared" si="196"/>
        <v>12636</v>
      </c>
      <c r="J563" s="16">
        <f t="shared" si="196"/>
        <v>12699</v>
      </c>
      <c r="K563" s="16">
        <f t="shared" si="196"/>
        <v>12819</v>
      </c>
      <c r="L563" s="16">
        <f t="shared" si="196"/>
        <v>13083</v>
      </c>
      <c r="M563" s="16">
        <f t="shared" si="192"/>
        <v>12747.666666666666</v>
      </c>
      <c r="N563" s="65"/>
      <c r="O563" s="65"/>
      <c r="P563" s="66"/>
      <c r="Q563" s="65"/>
      <c r="R563" s="67"/>
      <c r="S563" s="58"/>
      <c r="T563" s="67"/>
      <c r="U563" s="67"/>
      <c r="V563" s="33"/>
      <c r="W563" s="29"/>
    </row>
    <row r="564" spans="1:27">
      <c r="A564" s="86">
        <v>43376</v>
      </c>
      <c r="B564" s="120" t="s">
        <v>348</v>
      </c>
      <c r="C564" s="57" t="s">
        <v>79</v>
      </c>
      <c r="D564" s="58">
        <v>29178.19</v>
      </c>
      <c r="E564" s="58">
        <v>29100.03</v>
      </c>
      <c r="F564" s="58">
        <v>29096.799999999999</v>
      </c>
      <c r="G564" s="58">
        <v>29093.66</v>
      </c>
      <c r="H564" s="58">
        <v>29142.94</v>
      </c>
      <c r="I564" s="58">
        <v>29151.59</v>
      </c>
      <c r="J564" s="58">
        <v>29084.84</v>
      </c>
      <c r="K564" s="58">
        <v>29096.18</v>
      </c>
      <c r="L564" s="58">
        <v>29181.32</v>
      </c>
      <c r="M564" s="16">
        <f t="shared" si="192"/>
        <v>29125.06111111111</v>
      </c>
      <c r="N564" s="59">
        <f>IF((L565=""),"",MAX(D566:L566))</f>
        <v>13305.719999999994</v>
      </c>
      <c r="O564" s="59">
        <f>IF(L565="","",MIN(D566:L566))</f>
        <v>12834.929999999993</v>
      </c>
      <c r="P564" s="60">
        <f>IF((L566=""),"",AVERAGE(D566:L566))</f>
        <v>13043.98666666666</v>
      </c>
      <c r="Q564" s="156">
        <f>IF((L565=""),"",((N564-O564)/(N564+O564)*100))</f>
        <v>1.8009881162098154</v>
      </c>
      <c r="R564" s="61" t="str">
        <f>IF(L565="","",IF(Q564&lt;Z564,IF(O564&gt;V564,IF(N564&lt;W564,"PASS","FAIL"),"FAIL"),"FAIL"))</f>
        <v>PASS</v>
      </c>
      <c r="S564" s="62">
        <v>1335</v>
      </c>
      <c r="T564" s="61"/>
      <c r="U564" s="61"/>
      <c r="V564" s="110">
        <v>10000</v>
      </c>
      <c r="W564" s="110">
        <v>15600</v>
      </c>
      <c r="X564" s="111">
        <v>8090</v>
      </c>
      <c r="Y564" s="111">
        <v>12070</v>
      </c>
      <c r="Z564" s="112">
        <v>15</v>
      </c>
      <c r="AA564" s="112">
        <v>6</v>
      </c>
    </row>
    <row r="565" spans="1:27" ht="15.75">
      <c r="A565"/>
      <c r="B565" s="121"/>
      <c r="C565" s="57" t="s">
        <v>80</v>
      </c>
      <c r="D565" s="16">
        <v>24872.65</v>
      </c>
      <c r="E565" s="16">
        <v>24753.06</v>
      </c>
      <c r="F565" s="16">
        <v>24818.49</v>
      </c>
      <c r="G565" s="16">
        <v>24738.87</v>
      </c>
      <c r="H565" s="16">
        <v>24791.98</v>
      </c>
      <c r="I565" s="16">
        <v>24823.38</v>
      </c>
      <c r="J565" s="16">
        <v>24724.54</v>
      </c>
      <c r="K565" s="16">
        <v>24724.54</v>
      </c>
      <c r="L565" s="16">
        <v>24746.080000000002</v>
      </c>
      <c r="M565" s="16">
        <f t="shared" si="192"/>
        <v>24777.065555555557</v>
      </c>
      <c r="N565" s="53"/>
      <c r="O565" s="53"/>
      <c r="P565" s="63"/>
      <c r="Q565" s="53"/>
      <c r="R565" s="64"/>
      <c r="S565" s="54"/>
      <c r="T565" s="64"/>
      <c r="U565" s="64"/>
      <c r="V565" s="32"/>
      <c r="W565" s="29"/>
    </row>
    <row r="566" spans="1:27" ht="28.5" customHeight="1">
      <c r="A566"/>
      <c r="B566" s="121"/>
      <c r="C566" s="57" t="s">
        <v>82</v>
      </c>
      <c r="D566" s="16">
        <f t="shared" ref="D566:L566" si="197">IF(((D564="")*AND(D565="")),"",(D564-D565)*3)</f>
        <v>12916.619999999992</v>
      </c>
      <c r="E566" s="16">
        <f t="shared" si="197"/>
        <v>13040.909999999993</v>
      </c>
      <c r="F566" s="16">
        <f t="shared" si="197"/>
        <v>12834.929999999993</v>
      </c>
      <c r="G566" s="16">
        <f t="shared" si="197"/>
        <v>13064.370000000003</v>
      </c>
      <c r="H566" s="16">
        <f t="shared" si="197"/>
        <v>13052.879999999997</v>
      </c>
      <c r="I566" s="16">
        <f t="shared" si="197"/>
        <v>12984.629999999997</v>
      </c>
      <c r="J566" s="16">
        <f t="shared" si="197"/>
        <v>13080.899999999998</v>
      </c>
      <c r="K566" s="16">
        <f t="shared" si="197"/>
        <v>13114.919999999998</v>
      </c>
      <c r="L566" s="16">
        <f t="shared" si="197"/>
        <v>13305.719999999994</v>
      </c>
      <c r="M566" s="16">
        <f t="shared" si="192"/>
        <v>13043.98666666666</v>
      </c>
      <c r="N566" s="65"/>
      <c r="O566" s="65"/>
      <c r="P566" s="66"/>
      <c r="Q566" s="65"/>
      <c r="R566" s="67"/>
      <c r="S566" s="58"/>
      <c r="T566" s="67"/>
      <c r="U566" s="67"/>
      <c r="V566" s="33"/>
      <c r="W566" s="29"/>
    </row>
    <row r="567" spans="1:27">
      <c r="A567" s="86">
        <v>43381</v>
      </c>
      <c r="B567" s="120" t="s">
        <v>348</v>
      </c>
      <c r="C567" s="57" t="s">
        <v>79</v>
      </c>
      <c r="D567" s="58">
        <v>29103.69</v>
      </c>
      <c r="E567" s="58">
        <v>29009.119999999999</v>
      </c>
      <c r="F567" s="58">
        <v>29050.240000000002</v>
      </c>
      <c r="G567" s="58">
        <v>28987.37</v>
      </c>
      <c r="H567" s="58">
        <v>29051.85</v>
      </c>
      <c r="I567" s="58">
        <v>29056.48</v>
      </c>
      <c r="J567" s="58">
        <v>28990.639999999999</v>
      </c>
      <c r="K567" s="58">
        <v>28991.94</v>
      </c>
      <c r="L567" s="58">
        <v>29061.32</v>
      </c>
      <c r="M567" s="16">
        <f t="shared" si="192"/>
        <v>29033.62777777778</v>
      </c>
      <c r="N567" s="59">
        <f>IF((L568=""),"",MAX(D569:L569))</f>
        <v>12424.680000000004</v>
      </c>
      <c r="O567" s="59">
        <f>IF(L568="","",MIN(D569:L569))</f>
        <v>12050.880000000008</v>
      </c>
      <c r="P567" s="60">
        <f>IF((L569=""),"",AVERAGE(D569:L569))</f>
        <v>12204.916666666666</v>
      </c>
      <c r="Q567" s="156">
        <f>IF((L568=""),"",((N567-O567)/(N567+O567)*100))</f>
        <v>1.5272377833234274</v>
      </c>
      <c r="R567" s="61" t="str">
        <f>IF(L568="","",IF(Q567&lt;Z567,IF(O567&gt;V567,IF(N567&lt;W567,"PASS","FAIL"),"FAIL"),"FAIL"))</f>
        <v>PASS</v>
      </c>
      <c r="S567" s="62">
        <v>1335</v>
      </c>
      <c r="T567" s="61" t="s">
        <v>182</v>
      </c>
      <c r="U567" s="61"/>
      <c r="V567" s="110">
        <v>10000</v>
      </c>
      <c r="W567" s="110">
        <v>15600</v>
      </c>
      <c r="X567" s="111">
        <v>8090</v>
      </c>
      <c r="Y567" s="111">
        <v>12070</v>
      </c>
      <c r="Z567" s="112">
        <v>15</v>
      </c>
      <c r="AA567" s="112">
        <v>6</v>
      </c>
    </row>
    <row r="568" spans="1:27" ht="15.75">
      <c r="A568"/>
      <c r="B568" s="121"/>
      <c r="C568" s="57" t="s">
        <v>80</v>
      </c>
      <c r="D568" s="16">
        <v>25004.240000000002</v>
      </c>
      <c r="E568" s="16">
        <v>24929.17</v>
      </c>
      <c r="F568" s="16">
        <v>25033.279999999999</v>
      </c>
      <c r="G568" s="16">
        <v>24915.59</v>
      </c>
      <c r="H568" s="16">
        <v>25026.79</v>
      </c>
      <c r="I568" s="16">
        <v>24914.92</v>
      </c>
      <c r="J568" s="16">
        <v>24915.68</v>
      </c>
      <c r="K568" s="16">
        <v>24909.84</v>
      </c>
      <c r="L568" s="16">
        <v>25038.39</v>
      </c>
      <c r="M568" s="16">
        <f t="shared" si="192"/>
        <v>24965.322222222218</v>
      </c>
      <c r="N568" s="53"/>
      <c r="O568" s="53"/>
      <c r="P568" s="63"/>
      <c r="Q568" s="53"/>
      <c r="R568" s="64"/>
      <c r="S568" s="54"/>
      <c r="T568" s="64"/>
      <c r="U568" s="64"/>
      <c r="V568" s="32"/>
      <c r="W568" s="29"/>
    </row>
    <row r="569" spans="1:27" ht="28.5" customHeight="1">
      <c r="A569"/>
      <c r="B569" s="121"/>
      <c r="C569" s="57" t="s">
        <v>82</v>
      </c>
      <c r="D569" s="16">
        <f t="shared" ref="D569:L569" si="198">IF(((D567="")*AND(D568="")),"",(D567-D568)*3)</f>
        <v>12298.349999999991</v>
      </c>
      <c r="E569" s="16">
        <f t="shared" si="198"/>
        <v>12239.850000000002</v>
      </c>
      <c r="F569" s="16">
        <f t="shared" si="198"/>
        <v>12050.880000000008</v>
      </c>
      <c r="G569" s="16">
        <f t="shared" si="198"/>
        <v>12215.339999999997</v>
      </c>
      <c r="H569" s="16">
        <f t="shared" si="198"/>
        <v>12075.179999999993</v>
      </c>
      <c r="I569" s="16">
        <f t="shared" si="198"/>
        <v>12424.680000000004</v>
      </c>
      <c r="J569" s="16">
        <f t="shared" si="198"/>
        <v>12224.879999999997</v>
      </c>
      <c r="K569" s="16">
        <f t="shared" si="198"/>
        <v>12246.299999999996</v>
      </c>
      <c r="L569" s="16">
        <f t="shared" si="198"/>
        <v>12068.79</v>
      </c>
      <c r="M569" s="16">
        <f t="shared" si="192"/>
        <v>12204.916666666666</v>
      </c>
      <c r="N569" s="65"/>
      <c r="O569" s="65"/>
      <c r="P569" s="66"/>
      <c r="Q569" s="65"/>
      <c r="R569" s="67"/>
      <c r="S569" s="58"/>
      <c r="T569" s="67"/>
      <c r="U569" s="67"/>
      <c r="V569" s="33"/>
      <c r="W569" s="29"/>
    </row>
    <row r="570" spans="1:27">
      <c r="A570" s="86">
        <v>43388</v>
      </c>
      <c r="B570" s="120" t="s">
        <v>348</v>
      </c>
      <c r="C570" s="57" t="s">
        <v>79</v>
      </c>
      <c r="D570" s="58">
        <v>28983.8</v>
      </c>
      <c r="E570" s="58">
        <v>28881.93</v>
      </c>
      <c r="F570" s="58">
        <v>28886.37</v>
      </c>
      <c r="G570" s="58">
        <v>28876.639999999999</v>
      </c>
      <c r="H570" s="58">
        <v>28962.63</v>
      </c>
      <c r="I570" s="58">
        <v>28949.09</v>
      </c>
      <c r="J570" s="58">
        <v>28874.17</v>
      </c>
      <c r="K570" s="58">
        <v>28873.94</v>
      </c>
      <c r="L570" s="58">
        <v>28972.240000000002</v>
      </c>
      <c r="M570" s="16">
        <f t="shared" si="192"/>
        <v>28917.867777777778</v>
      </c>
      <c r="N570" s="59">
        <f>IF((L571=""),"",MAX(D572:L572))</f>
        <v>13378.170000000009</v>
      </c>
      <c r="O570" s="59">
        <f>IF(L571="","",MIN(D572:L572))</f>
        <v>13014.989999999994</v>
      </c>
      <c r="P570" s="60">
        <f>IF((L572=""),"",AVERAGE(D572:L572))</f>
        <v>13204.693333333333</v>
      </c>
      <c r="Q570" s="156">
        <f>IF((L571=""),"",((N570-O570)/(N570+O570)*100))</f>
        <v>1.3760383372056049</v>
      </c>
      <c r="R570" s="61" t="str">
        <f>IF(L571="","",IF(Q570&lt;Z570,IF(O570&gt;V570,IF(N570&lt;W570,"PASS","FAIL"),"FAIL"),"FAIL"))</f>
        <v>PASS</v>
      </c>
      <c r="S570" s="62">
        <v>1340</v>
      </c>
      <c r="T570" s="61" t="s">
        <v>293</v>
      </c>
      <c r="U570" s="61"/>
      <c r="V570" s="110">
        <v>10000</v>
      </c>
      <c r="W570" s="110">
        <v>15600</v>
      </c>
      <c r="X570" s="111">
        <v>8090</v>
      </c>
      <c r="Y570" s="111">
        <v>12070</v>
      </c>
      <c r="Z570" s="112">
        <v>15</v>
      </c>
      <c r="AA570" s="112">
        <v>6</v>
      </c>
    </row>
    <row r="571" spans="1:27" ht="15.75">
      <c r="A571"/>
      <c r="B571" s="121"/>
      <c r="C571" s="57" t="s">
        <v>80</v>
      </c>
      <c r="D571" s="16">
        <v>24645.47</v>
      </c>
      <c r="E571" s="16">
        <v>24474.959999999999</v>
      </c>
      <c r="F571" s="16">
        <v>24527.23</v>
      </c>
      <c r="G571" s="16">
        <v>24463.61</v>
      </c>
      <c r="H571" s="16">
        <v>24540.11</v>
      </c>
      <c r="I571" s="16">
        <v>24586.959999999999</v>
      </c>
      <c r="J571" s="16">
        <v>24447.41</v>
      </c>
      <c r="K571" s="16">
        <v>24448.13</v>
      </c>
      <c r="L571" s="16">
        <v>24512.85</v>
      </c>
      <c r="M571" s="16">
        <f t="shared" si="192"/>
        <v>24516.303333333333</v>
      </c>
      <c r="N571" s="53"/>
      <c r="O571" s="53"/>
      <c r="P571" s="63"/>
      <c r="Q571" s="53"/>
      <c r="R571" s="64"/>
      <c r="S571" s="54"/>
      <c r="T571" s="64"/>
      <c r="U571" s="64"/>
      <c r="V571" s="32"/>
      <c r="W571" s="29"/>
    </row>
    <row r="572" spans="1:27" ht="28.5" customHeight="1">
      <c r="A572"/>
      <c r="B572" s="121"/>
      <c r="C572" s="57" t="s">
        <v>82</v>
      </c>
      <c r="D572" s="16">
        <f t="shared" ref="D572:L572" si="199">IF(((D570="")*AND(D571="")),"",(D570-D571)*3)</f>
        <v>13014.989999999994</v>
      </c>
      <c r="E572" s="16">
        <f t="shared" si="199"/>
        <v>13220.910000000003</v>
      </c>
      <c r="F572" s="16">
        <f t="shared" si="199"/>
        <v>13077.419999999998</v>
      </c>
      <c r="G572" s="16">
        <f t="shared" si="199"/>
        <v>13239.089999999997</v>
      </c>
      <c r="H572" s="16">
        <f t="shared" si="199"/>
        <v>13267.560000000001</v>
      </c>
      <c r="I572" s="16">
        <f t="shared" si="199"/>
        <v>13086.390000000003</v>
      </c>
      <c r="J572" s="16">
        <f t="shared" si="199"/>
        <v>13280.279999999995</v>
      </c>
      <c r="K572" s="16">
        <f t="shared" si="199"/>
        <v>13277.429999999993</v>
      </c>
      <c r="L572" s="16">
        <f t="shared" si="199"/>
        <v>13378.170000000009</v>
      </c>
      <c r="M572" s="16">
        <f t="shared" si="192"/>
        <v>13204.693333333333</v>
      </c>
      <c r="N572" s="65"/>
      <c r="O572" s="65"/>
      <c r="P572" s="66"/>
      <c r="Q572" s="65"/>
      <c r="R572" s="67"/>
      <c r="S572" s="58"/>
      <c r="T572" s="67"/>
      <c r="U572" s="67"/>
      <c r="V572" s="33"/>
      <c r="W572" s="29"/>
    </row>
    <row r="573" spans="1:27">
      <c r="A573" s="86">
        <v>43395</v>
      </c>
      <c r="B573" s="120" t="s">
        <v>348</v>
      </c>
      <c r="C573" s="57" t="s">
        <v>79</v>
      </c>
      <c r="D573" s="58">
        <v>29047.95</v>
      </c>
      <c r="E573" s="58">
        <v>28951.5</v>
      </c>
      <c r="F573" s="58">
        <v>28962.959999999999</v>
      </c>
      <c r="G573" s="58">
        <v>28967.49</v>
      </c>
      <c r="H573" s="58">
        <v>29065.33</v>
      </c>
      <c r="I573" s="58">
        <v>29051.91</v>
      </c>
      <c r="J573" s="58">
        <v>28948.54</v>
      </c>
      <c r="K573" s="58">
        <v>28955.17</v>
      </c>
      <c r="L573" s="58">
        <v>29049.9</v>
      </c>
      <c r="M573" s="16">
        <f t="shared" si="192"/>
        <v>29000.083333333336</v>
      </c>
      <c r="N573" s="59">
        <f>IF((L574=""),"",MAX(D575:L575))</f>
        <v>15168.930000000004</v>
      </c>
      <c r="O573" s="59">
        <f>IF(L574="","",MIN(D575:L575))</f>
        <v>14675.129999999997</v>
      </c>
      <c r="P573" s="60">
        <f>IF((L575=""),"",AVERAGE(D575:L575))</f>
        <v>15013.71</v>
      </c>
      <c r="Q573" s="156">
        <f>IF((L574=""),"",((N573-O573)/(N573+O573)*100))</f>
        <v>1.6546006139915499</v>
      </c>
      <c r="R573" s="61" t="str">
        <f>IF(L574="","",IF(Q573&lt;Z573,IF(O573&gt;V573,IF(N573&lt;W573,"PASS","FAIL"),"FAIL"),"FAIL"))</f>
        <v>PASS</v>
      </c>
      <c r="S573" s="62">
        <v>1159</v>
      </c>
      <c r="T573" s="61" t="s">
        <v>183</v>
      </c>
      <c r="U573" s="61"/>
      <c r="V573" s="110">
        <v>10000</v>
      </c>
      <c r="W573" s="110">
        <v>15600</v>
      </c>
      <c r="X573" s="111">
        <v>8090</v>
      </c>
      <c r="Y573" s="111">
        <v>12070</v>
      </c>
      <c r="Z573" s="112">
        <v>15</v>
      </c>
      <c r="AA573" s="112">
        <v>6</v>
      </c>
    </row>
    <row r="574" spans="1:27" ht="15.75">
      <c r="A574"/>
      <c r="B574" s="121"/>
      <c r="C574" s="57" t="s">
        <v>80</v>
      </c>
      <c r="D574" s="16">
        <v>24156.240000000002</v>
      </c>
      <c r="E574" s="16">
        <v>23923.7</v>
      </c>
      <c r="F574" s="16">
        <v>23965.86</v>
      </c>
      <c r="G574" s="16">
        <v>23920.2</v>
      </c>
      <c r="H574" s="16">
        <v>24060.51</v>
      </c>
      <c r="I574" s="16">
        <v>24119.56</v>
      </c>
      <c r="J574" s="16">
        <v>23913.13</v>
      </c>
      <c r="K574" s="16">
        <v>23906.83</v>
      </c>
      <c r="L574" s="16">
        <v>23993.59</v>
      </c>
      <c r="M574" s="16">
        <f t="shared" si="192"/>
        <v>23995.513333333336</v>
      </c>
      <c r="N574" s="53"/>
      <c r="O574" s="53"/>
      <c r="P574" s="63"/>
      <c r="Q574" s="53"/>
      <c r="R574" s="64"/>
      <c r="S574" s="54"/>
      <c r="T574" s="64"/>
      <c r="U574" s="64"/>
      <c r="V574" s="32"/>
      <c r="W574" s="29"/>
    </row>
    <row r="575" spans="1:27" ht="28.5" customHeight="1">
      <c r="A575"/>
      <c r="B575" s="121"/>
      <c r="C575" s="57" t="s">
        <v>82</v>
      </c>
      <c r="D575" s="16">
        <f t="shared" ref="D575:L575" si="200">IF(((D573="")*AND(D574="")),"",(D573-D574)*3)</f>
        <v>14675.129999999997</v>
      </c>
      <c r="E575" s="16">
        <f t="shared" si="200"/>
        <v>15083.399999999998</v>
      </c>
      <c r="F575" s="16">
        <f t="shared" si="200"/>
        <v>14991.299999999996</v>
      </c>
      <c r="G575" s="16">
        <f t="shared" si="200"/>
        <v>15141.870000000003</v>
      </c>
      <c r="H575" s="16">
        <f t="shared" si="200"/>
        <v>15014.46000000001</v>
      </c>
      <c r="I575" s="16">
        <f t="shared" si="200"/>
        <v>14797.049999999996</v>
      </c>
      <c r="J575" s="16">
        <f t="shared" si="200"/>
        <v>15106.23</v>
      </c>
      <c r="K575" s="16">
        <f t="shared" si="200"/>
        <v>15145.01999999999</v>
      </c>
      <c r="L575" s="16">
        <f t="shared" si="200"/>
        <v>15168.930000000004</v>
      </c>
      <c r="M575" s="16">
        <f t="shared" si="192"/>
        <v>15013.71</v>
      </c>
      <c r="N575" s="65"/>
      <c r="O575" s="65"/>
      <c r="P575" s="66"/>
      <c r="Q575" s="65"/>
      <c r="R575" s="67"/>
      <c r="S575" s="58"/>
      <c r="T575" s="67"/>
      <c r="U575" s="67"/>
      <c r="V575" s="33"/>
      <c r="W575" s="29"/>
    </row>
    <row r="576" spans="1:27">
      <c r="A576" s="86">
        <v>43399</v>
      </c>
      <c r="B576" s="120" t="s">
        <v>348</v>
      </c>
      <c r="C576" s="57" t="s">
        <v>79</v>
      </c>
      <c r="D576" s="58">
        <v>29046.21</v>
      </c>
      <c r="E576" s="58">
        <v>28993.11</v>
      </c>
      <c r="F576" s="58">
        <v>29009.19</v>
      </c>
      <c r="G576" s="58">
        <v>28989.83</v>
      </c>
      <c r="H576" s="58">
        <v>29078.92</v>
      </c>
      <c r="I576" s="58">
        <v>29024.62</v>
      </c>
      <c r="J576" s="58">
        <v>28977.33</v>
      </c>
      <c r="K576" s="58">
        <v>28975.71</v>
      </c>
      <c r="L576" s="58">
        <v>29066.83</v>
      </c>
      <c r="M576" s="16">
        <f t="shared" si="192"/>
        <v>29017.972222222223</v>
      </c>
      <c r="N576" s="59">
        <f>IF((L577=""),"",MAX(D578:L578))</f>
        <v>13163.46000000001</v>
      </c>
      <c r="O576" s="59">
        <f>IF(L577="","",MIN(D578:L578))</f>
        <v>12858.179999999993</v>
      </c>
      <c r="P576" s="60">
        <f>IF((L578=""),"",AVERAGE(D578:L578))</f>
        <v>13007.463333333333</v>
      </c>
      <c r="Q576" s="156">
        <f>IF((L577=""),"",((N576-O576)/(N576+O576)*100))</f>
        <v>1.1731774015781364</v>
      </c>
      <c r="R576" s="61" t="str">
        <f>IF(L577="","",IF(Q576&lt;Z576,IF(O576&gt;V576,IF(N576&lt;W576,"PASS","FAIL"),"FAIL"),"FAIL"))</f>
        <v>PASS</v>
      </c>
      <c r="S576" s="62">
        <v>1159</v>
      </c>
      <c r="T576" s="61" t="s">
        <v>184</v>
      </c>
      <c r="U576" s="61"/>
      <c r="V576" s="110">
        <v>10000</v>
      </c>
      <c r="W576" s="110">
        <v>15600</v>
      </c>
      <c r="X576" s="111">
        <v>8090</v>
      </c>
      <c r="Y576" s="111">
        <v>12070</v>
      </c>
      <c r="Z576" s="112">
        <v>15</v>
      </c>
      <c r="AA576" s="112">
        <v>6</v>
      </c>
    </row>
    <row r="577" spans="1:27" ht="15.75">
      <c r="A577"/>
      <c r="B577" s="121"/>
      <c r="C577" s="57" t="s">
        <v>80</v>
      </c>
      <c r="D577" s="16">
        <v>24760.15</v>
      </c>
      <c r="E577" s="16">
        <v>24641.13</v>
      </c>
      <c r="F577" s="16">
        <v>24694.47</v>
      </c>
      <c r="G577" s="16">
        <v>24647.58</v>
      </c>
      <c r="H577" s="16">
        <v>24733.53</v>
      </c>
      <c r="I577" s="16">
        <v>24732.94</v>
      </c>
      <c r="J577" s="16">
        <v>24626.61</v>
      </c>
      <c r="K577" s="16">
        <v>24623.94</v>
      </c>
      <c r="L577" s="16">
        <v>24679.01</v>
      </c>
      <c r="M577" s="16">
        <f t="shared" si="192"/>
        <v>24682.15111111111</v>
      </c>
      <c r="N577" s="53"/>
      <c r="O577" s="53"/>
      <c r="P577" s="63"/>
      <c r="Q577" s="53"/>
      <c r="R577" s="64"/>
      <c r="S577" s="54"/>
      <c r="T577" s="64"/>
      <c r="U577" s="64"/>
      <c r="V577" s="32"/>
      <c r="W577" s="29"/>
    </row>
    <row r="578" spans="1:27" ht="28.5" customHeight="1">
      <c r="A578"/>
      <c r="B578" s="121"/>
      <c r="C578" s="57" t="s">
        <v>82</v>
      </c>
      <c r="D578" s="16">
        <f t="shared" ref="D578:L578" si="201">IF(((D576="")*AND(D577="")),"",(D576-D577)*3)</f>
        <v>12858.179999999993</v>
      </c>
      <c r="E578" s="16">
        <f t="shared" si="201"/>
        <v>13055.939999999999</v>
      </c>
      <c r="F578" s="16">
        <f t="shared" si="201"/>
        <v>12944.159999999993</v>
      </c>
      <c r="G578" s="16">
        <f t="shared" si="201"/>
        <v>13026.75</v>
      </c>
      <c r="H578" s="16">
        <f t="shared" si="201"/>
        <v>13036.169999999998</v>
      </c>
      <c r="I578" s="16">
        <f t="shared" si="201"/>
        <v>12875.04</v>
      </c>
      <c r="J578" s="16">
        <f t="shared" si="201"/>
        <v>13052.160000000003</v>
      </c>
      <c r="K578" s="16">
        <f t="shared" si="201"/>
        <v>13055.310000000001</v>
      </c>
      <c r="L578" s="16">
        <f t="shared" si="201"/>
        <v>13163.46000000001</v>
      </c>
      <c r="M578" s="16">
        <f t="shared" si="192"/>
        <v>13007.463333333333</v>
      </c>
      <c r="N578" s="65"/>
      <c r="O578" s="65"/>
      <c r="P578" s="66"/>
      <c r="Q578" s="65"/>
      <c r="R578" s="67"/>
      <c r="S578" s="58"/>
      <c r="T578" s="67"/>
      <c r="U578" s="67"/>
      <c r="V578" s="33"/>
      <c r="W578" s="29"/>
    </row>
    <row r="579" spans="1:27">
      <c r="A579" s="86">
        <v>43419</v>
      </c>
      <c r="B579" s="120" t="s">
        <v>348</v>
      </c>
      <c r="C579" s="57" t="s">
        <v>79</v>
      </c>
      <c r="D579" s="58">
        <v>28940.560000000001</v>
      </c>
      <c r="E579" s="58">
        <v>28879.06</v>
      </c>
      <c r="F579" s="58">
        <v>28878.46</v>
      </c>
      <c r="G579" s="58">
        <v>28886.92</v>
      </c>
      <c r="H579" s="58">
        <v>28940.12</v>
      </c>
      <c r="I579" s="58">
        <v>28936.48</v>
      </c>
      <c r="J579" s="58">
        <v>28873.19</v>
      </c>
      <c r="K579" s="58">
        <v>28881.59</v>
      </c>
      <c r="L579" s="58">
        <v>28964.66</v>
      </c>
      <c r="M579" s="16">
        <f t="shared" si="192"/>
        <v>28909.004444444447</v>
      </c>
      <c r="N579" s="59">
        <f>IF((L580=""),"",MAX(D581:L581))</f>
        <v>16250.430000000004</v>
      </c>
      <c r="O579" s="59">
        <f>IF(L580="","",MIN(D581:L581))</f>
        <v>15682.590000000007</v>
      </c>
      <c r="P579" s="60">
        <f>IF((L581=""),"",AVERAGE(D581:L581))</f>
        <v>16050.83</v>
      </c>
      <c r="Q579" s="156">
        <f>IF((L580=""),"",((N579-O579)/(N579+O579)*100))</f>
        <v>1.7782220410095768</v>
      </c>
      <c r="R579" s="61" t="str">
        <f>IF(L580="","",IF(Q579&lt;Z579,IF(O579&gt;V579,IF(N579&lt;W579,"PASS","FAIL"),"FAIL"),"FAIL"))</f>
        <v>FAIL</v>
      </c>
      <c r="S579" s="62">
        <v>1428</v>
      </c>
      <c r="T579" s="61" t="s">
        <v>185</v>
      </c>
      <c r="U579" s="61"/>
      <c r="V579" s="110">
        <v>10000</v>
      </c>
      <c r="W579" s="110">
        <v>15600</v>
      </c>
      <c r="X579" s="111">
        <v>8090</v>
      </c>
      <c r="Y579" s="111">
        <v>12070</v>
      </c>
      <c r="Z579" s="112">
        <v>15</v>
      </c>
      <c r="AA579" s="112">
        <v>6</v>
      </c>
    </row>
    <row r="580" spans="1:27" ht="15.75">
      <c r="A580"/>
      <c r="B580" s="121"/>
      <c r="C580" s="57" t="s">
        <v>80</v>
      </c>
      <c r="D580" s="16">
        <v>23713.03</v>
      </c>
      <c r="E580" s="16">
        <v>23514.54</v>
      </c>
      <c r="F580" s="16">
        <v>23577.98</v>
      </c>
      <c r="G580" s="16">
        <v>23490.6</v>
      </c>
      <c r="H580" s="16">
        <v>23523.360000000001</v>
      </c>
      <c r="I580" s="16">
        <v>23675.63</v>
      </c>
      <c r="J580" s="16">
        <v>23504.28</v>
      </c>
      <c r="K580" s="16">
        <v>23481.279999999999</v>
      </c>
      <c r="L580" s="16">
        <v>23547.85</v>
      </c>
      <c r="M580" s="16">
        <f t="shared" si="192"/>
        <v>23558.727777777778</v>
      </c>
      <c r="N580" s="53"/>
      <c r="O580" s="53"/>
      <c r="P580" s="63"/>
      <c r="Q580" s="53"/>
      <c r="R580" s="64"/>
      <c r="S580" s="54"/>
      <c r="T580" s="64"/>
      <c r="U580" s="64"/>
      <c r="V580" s="32"/>
      <c r="W580" s="29"/>
    </row>
    <row r="581" spans="1:27" ht="28.5" customHeight="1">
      <c r="A581"/>
      <c r="B581" s="121"/>
      <c r="C581" s="57" t="s">
        <v>82</v>
      </c>
      <c r="D581" s="16">
        <f t="shared" ref="D581:L581" si="202">IF(((D579="")*AND(D580="")),"",(D579-D580)*3)</f>
        <v>15682.590000000007</v>
      </c>
      <c r="E581" s="16">
        <f t="shared" si="202"/>
        <v>16093.560000000001</v>
      </c>
      <c r="F581" s="16">
        <f t="shared" si="202"/>
        <v>15901.439999999999</v>
      </c>
      <c r="G581" s="16">
        <f t="shared" si="202"/>
        <v>16188.96</v>
      </c>
      <c r="H581" s="16">
        <f t="shared" si="202"/>
        <v>16250.279999999995</v>
      </c>
      <c r="I581" s="16">
        <f t="shared" si="202"/>
        <v>15782.549999999996</v>
      </c>
      <c r="J581" s="16">
        <f t="shared" si="202"/>
        <v>16106.73</v>
      </c>
      <c r="K581" s="16">
        <f t="shared" si="202"/>
        <v>16200.930000000004</v>
      </c>
      <c r="L581" s="16">
        <f t="shared" si="202"/>
        <v>16250.430000000004</v>
      </c>
      <c r="M581" s="16">
        <f t="shared" si="192"/>
        <v>16050.83</v>
      </c>
      <c r="N581" s="65"/>
      <c r="O581" s="65"/>
      <c r="P581" s="66"/>
      <c r="Q581" s="65"/>
      <c r="R581" s="67"/>
      <c r="S581" s="58"/>
      <c r="T581" s="67"/>
      <c r="U581" s="67"/>
      <c r="V581" s="33"/>
      <c r="W581" s="29"/>
    </row>
    <row r="582" spans="1:27">
      <c r="A582" s="86">
        <v>43433</v>
      </c>
      <c r="B582" s="120" t="s">
        <v>348</v>
      </c>
      <c r="C582" s="57" t="s">
        <v>79</v>
      </c>
      <c r="D582" s="58">
        <v>28801</v>
      </c>
      <c r="E582" s="58">
        <v>28766.22</v>
      </c>
      <c r="F582" s="58">
        <v>28790.26</v>
      </c>
      <c r="G582" s="58">
        <v>28773.02</v>
      </c>
      <c r="H582" s="58">
        <v>28854.69</v>
      </c>
      <c r="I582" s="58">
        <v>28850.25</v>
      </c>
      <c r="J582" s="58">
        <v>28766.04</v>
      </c>
      <c r="K582" s="58">
        <v>28771.51</v>
      </c>
      <c r="L582" s="58">
        <v>28837.99</v>
      </c>
      <c r="M582" s="16">
        <f t="shared" si="192"/>
        <v>28801.22</v>
      </c>
      <c r="N582" s="59">
        <f>IF((L583=""),"",MAX(D584:L584))</f>
        <v>12102.870000000003</v>
      </c>
      <c r="O582" s="59">
        <f>IF(L583="","",MIN(D584:L584))</f>
        <v>11737.109999999997</v>
      </c>
      <c r="P582" s="60">
        <f>IF((L584=""),"",AVERAGE(D584:L584))</f>
        <v>11894.713333333335</v>
      </c>
      <c r="Q582" s="156">
        <f>IF((L583=""),"",((N582-O582)/(N582+O582)*100))</f>
        <v>1.5342294750247514</v>
      </c>
      <c r="R582" s="61" t="str">
        <f>IF(L583="","",IF(Q582&lt;Z582,IF(O582&gt;V582,IF(N582&lt;W582,"PASS","FAIL"),"FAIL"),"FAIL"))</f>
        <v>PASS</v>
      </c>
      <c r="S582" s="62">
        <v>1340</v>
      </c>
      <c r="T582" s="61" t="s">
        <v>186</v>
      </c>
      <c r="U582" s="61"/>
      <c r="V582" s="110">
        <v>10000</v>
      </c>
      <c r="W582" s="110">
        <v>15600</v>
      </c>
      <c r="X582" s="111">
        <v>8090</v>
      </c>
      <c r="Y582" s="111">
        <v>12070</v>
      </c>
      <c r="Z582" s="112">
        <v>15</v>
      </c>
      <c r="AA582" s="112">
        <v>6</v>
      </c>
    </row>
    <row r="583" spans="1:27" ht="15.75">
      <c r="A583"/>
      <c r="B583" s="121"/>
      <c r="C583" s="57" t="s">
        <v>80</v>
      </c>
      <c r="D583" s="16">
        <v>24809.96</v>
      </c>
      <c r="E583" s="16">
        <v>24788.959999999999</v>
      </c>
      <c r="F583" s="16">
        <v>24870.35</v>
      </c>
      <c r="G583" s="16">
        <v>24826.19</v>
      </c>
      <c r="H583" s="16">
        <v>24893.21</v>
      </c>
      <c r="I583" s="16">
        <v>24937.88</v>
      </c>
      <c r="J583" s="16">
        <v>24803.37</v>
      </c>
      <c r="K583" s="16">
        <v>24793.22</v>
      </c>
      <c r="L583" s="16">
        <v>24803.7</v>
      </c>
      <c r="M583" s="16">
        <f t="shared" si="192"/>
        <v>24836.315555555557</v>
      </c>
      <c r="N583" s="53"/>
      <c r="O583" s="53"/>
      <c r="P583" s="63"/>
      <c r="Q583" s="53"/>
      <c r="R583" s="64"/>
      <c r="S583" s="54"/>
      <c r="T583" s="64"/>
      <c r="U583" s="64"/>
      <c r="V583" s="32"/>
      <c r="W583" s="29"/>
    </row>
    <row r="584" spans="1:27" ht="28.5" customHeight="1">
      <c r="A584"/>
      <c r="B584" s="121"/>
      <c r="C584" s="57" t="s">
        <v>82</v>
      </c>
      <c r="D584" s="16">
        <f t="shared" ref="D584:L584" si="203">IF(((D582="")*AND(D583="")),"",(D582-D583)*3)</f>
        <v>11973.120000000003</v>
      </c>
      <c r="E584" s="16">
        <f t="shared" si="203"/>
        <v>11931.780000000006</v>
      </c>
      <c r="F584" s="16">
        <f t="shared" si="203"/>
        <v>11759.73</v>
      </c>
      <c r="G584" s="16">
        <f t="shared" si="203"/>
        <v>11840.490000000005</v>
      </c>
      <c r="H584" s="16">
        <f t="shared" si="203"/>
        <v>11884.439999999999</v>
      </c>
      <c r="I584" s="16">
        <f t="shared" si="203"/>
        <v>11737.109999999997</v>
      </c>
      <c r="J584" s="16">
        <f t="shared" si="203"/>
        <v>11888.010000000006</v>
      </c>
      <c r="K584" s="16">
        <f t="shared" si="203"/>
        <v>11934.869999999992</v>
      </c>
      <c r="L584" s="16">
        <f t="shared" si="203"/>
        <v>12102.870000000003</v>
      </c>
      <c r="M584" s="16">
        <f t="shared" si="192"/>
        <v>11894.713333333335</v>
      </c>
      <c r="N584" s="65"/>
      <c r="O584" s="65"/>
      <c r="P584" s="66"/>
      <c r="Q584" s="65"/>
      <c r="R584" s="67"/>
      <c r="S584" s="58"/>
      <c r="T584" s="67"/>
      <c r="U584" s="67"/>
      <c r="V584" s="33"/>
      <c r="W584" s="29"/>
    </row>
    <row r="585" spans="1:27">
      <c r="A585" s="86">
        <v>43451</v>
      </c>
      <c r="B585" s="120" t="s">
        <v>348</v>
      </c>
      <c r="C585" s="57" t="s">
        <v>79</v>
      </c>
      <c r="D585" s="58">
        <v>28926</v>
      </c>
      <c r="E585" s="58">
        <v>28851</v>
      </c>
      <c r="F585" s="58">
        <v>28868</v>
      </c>
      <c r="G585" s="58">
        <v>28842</v>
      </c>
      <c r="H585" s="58">
        <v>28892</v>
      </c>
      <c r="I585" s="58">
        <v>28922</v>
      </c>
      <c r="J585" s="58">
        <v>28833</v>
      </c>
      <c r="K585" s="58">
        <v>28841</v>
      </c>
      <c r="L585" s="58">
        <v>28884</v>
      </c>
      <c r="M585" s="16">
        <f t="shared" si="192"/>
        <v>28873.222222222223</v>
      </c>
      <c r="N585" s="59">
        <f>IF((L586=""),"",MAX(D587:L587))</f>
        <v>12306</v>
      </c>
      <c r="O585" s="59">
        <f>IF(L586="","",MIN(D587:L587))</f>
        <v>11895</v>
      </c>
      <c r="P585" s="60">
        <f>IF((L587=""),"",AVERAGE(D587:L587))</f>
        <v>12075</v>
      </c>
      <c r="Q585" s="156">
        <f>IF((L586=""),"",((N585-O585)/(N585+O585)*100))</f>
        <v>1.6982769307053427</v>
      </c>
      <c r="R585" s="61" t="str">
        <f>IF(L586="","",IF(Q585&lt;Z585,IF(O585&gt;V585,IF(N585&lt;W585,"PASS","FAIL"),"FAIL"),"FAIL"))</f>
        <v>PASS</v>
      </c>
      <c r="S585" s="62">
        <v>1340</v>
      </c>
      <c r="T585" s="61" t="s">
        <v>187</v>
      </c>
      <c r="U585" s="61"/>
      <c r="V585" s="110">
        <v>10000</v>
      </c>
      <c r="W585" s="110">
        <v>15600</v>
      </c>
      <c r="X585" s="111">
        <v>8090</v>
      </c>
      <c r="Y585" s="111">
        <v>12070</v>
      </c>
      <c r="Z585" s="112">
        <v>15</v>
      </c>
      <c r="AA585" s="112">
        <v>6</v>
      </c>
    </row>
    <row r="586" spans="1:27" ht="15.75">
      <c r="A586"/>
      <c r="B586" s="121"/>
      <c r="C586" s="57" t="s">
        <v>80</v>
      </c>
      <c r="D586" s="16">
        <v>24881</v>
      </c>
      <c r="E586" s="16">
        <v>24808</v>
      </c>
      <c r="F586" s="16">
        <v>24903</v>
      </c>
      <c r="G586" s="16">
        <v>24817</v>
      </c>
      <c r="H586" s="16">
        <v>24923</v>
      </c>
      <c r="I586" s="16">
        <v>24820</v>
      </c>
      <c r="J586" s="16">
        <v>24804</v>
      </c>
      <c r="K586" s="16">
        <v>24784</v>
      </c>
      <c r="L586" s="16">
        <v>24894</v>
      </c>
      <c r="M586" s="16">
        <f t="shared" si="192"/>
        <v>24848.222222222223</v>
      </c>
      <c r="N586" s="53"/>
      <c r="O586" s="53"/>
      <c r="P586" s="63"/>
      <c r="Q586" s="53"/>
      <c r="R586" s="64"/>
      <c r="S586" s="54"/>
      <c r="T586" s="64"/>
      <c r="U586" s="64"/>
      <c r="V586" s="32"/>
      <c r="W586" s="29"/>
    </row>
    <row r="587" spans="1:27" ht="28.5" customHeight="1">
      <c r="A587"/>
      <c r="B587" s="121"/>
      <c r="C587" s="57" t="s">
        <v>82</v>
      </c>
      <c r="D587" s="16">
        <f t="shared" ref="D587:L587" si="204">IF(((D585="")*AND(D586="")),"",(D585-D586)*3)</f>
        <v>12135</v>
      </c>
      <c r="E587" s="16">
        <f t="shared" si="204"/>
        <v>12129</v>
      </c>
      <c r="F587" s="16">
        <f t="shared" si="204"/>
        <v>11895</v>
      </c>
      <c r="G587" s="16">
        <f t="shared" si="204"/>
        <v>12075</v>
      </c>
      <c r="H587" s="16">
        <f t="shared" si="204"/>
        <v>11907</v>
      </c>
      <c r="I587" s="16">
        <f t="shared" si="204"/>
        <v>12306</v>
      </c>
      <c r="J587" s="16">
        <f t="shared" si="204"/>
        <v>12087</v>
      </c>
      <c r="K587" s="16">
        <f t="shared" si="204"/>
        <v>12171</v>
      </c>
      <c r="L587" s="16">
        <f t="shared" si="204"/>
        <v>11970</v>
      </c>
      <c r="M587" s="16">
        <f t="shared" si="192"/>
        <v>12075</v>
      </c>
      <c r="N587" s="65"/>
      <c r="O587" s="65"/>
      <c r="P587" s="66"/>
      <c r="Q587" s="65"/>
      <c r="R587" s="67"/>
      <c r="S587" s="58"/>
      <c r="T587" s="67"/>
      <c r="U587" s="67"/>
      <c r="V587" s="33"/>
      <c r="W587" s="29"/>
    </row>
    <row r="588" spans="1:27">
      <c r="A588" s="86">
        <v>43458</v>
      </c>
      <c r="B588" s="120" t="s">
        <v>348</v>
      </c>
      <c r="C588" s="57" t="s">
        <v>79</v>
      </c>
      <c r="D588" s="58">
        <v>29095</v>
      </c>
      <c r="E588" s="58">
        <v>28869</v>
      </c>
      <c r="F588" s="58">
        <v>28882</v>
      </c>
      <c r="G588" s="58">
        <v>28876</v>
      </c>
      <c r="H588" s="58">
        <v>29073</v>
      </c>
      <c r="I588" s="58">
        <v>29051</v>
      </c>
      <c r="J588" s="58">
        <v>28873</v>
      </c>
      <c r="K588" s="58">
        <v>28876</v>
      </c>
      <c r="L588" s="58">
        <v>29080</v>
      </c>
      <c r="M588" s="16">
        <f t="shared" si="192"/>
        <v>28963.888888888891</v>
      </c>
      <c r="N588" s="59">
        <f>IF((L589=""),"",MAX(D590:L590))</f>
        <v>12543</v>
      </c>
      <c r="O588" s="59">
        <f>IF(L589="","",MIN(D590:L590))</f>
        <v>11940</v>
      </c>
      <c r="P588" s="60">
        <f>IF((L590=""),"",AVERAGE(D590:L590))</f>
        <v>12406.666666666666</v>
      </c>
      <c r="Q588" s="156">
        <f>IF((L589=""),"",((N588-O588)/(N588+O588)*100))</f>
        <v>2.4629334640362699</v>
      </c>
      <c r="R588" s="61" t="str">
        <f>IF(L589="","",IF(Q588&lt;Z588,IF(O588&gt;V588,IF(N588&lt;W588,"PASS","FAIL"),"FAIL"),"FAIL"))</f>
        <v>PASS</v>
      </c>
      <c r="S588" s="62">
        <v>1340</v>
      </c>
      <c r="T588" s="61" t="s">
        <v>292</v>
      </c>
      <c r="U588" s="61"/>
      <c r="V588" s="110">
        <v>10000</v>
      </c>
      <c r="W588" s="110">
        <v>15600</v>
      </c>
      <c r="X588" s="111">
        <v>8090</v>
      </c>
      <c r="Y588" s="111">
        <v>12070</v>
      </c>
      <c r="Z588" s="112">
        <v>15</v>
      </c>
      <c r="AA588" s="112">
        <v>6</v>
      </c>
    </row>
    <row r="589" spans="1:27" ht="15.75">
      <c r="A589"/>
      <c r="B589" s="121"/>
      <c r="C589" s="57" t="s">
        <v>80</v>
      </c>
      <c r="D589" s="16">
        <v>24934</v>
      </c>
      <c r="E589" s="16">
        <v>24694</v>
      </c>
      <c r="F589" s="16">
        <v>24775</v>
      </c>
      <c r="G589" s="16">
        <v>24695</v>
      </c>
      <c r="H589" s="16">
        <v>24904</v>
      </c>
      <c r="I589" s="16">
        <v>24924</v>
      </c>
      <c r="J589" s="16">
        <v>24714</v>
      </c>
      <c r="K589" s="16">
        <v>24715</v>
      </c>
      <c r="L589" s="16">
        <v>25100</v>
      </c>
      <c r="M589" s="16">
        <f t="shared" si="192"/>
        <v>24828.333333333332</v>
      </c>
      <c r="N589" s="53"/>
      <c r="O589" s="53"/>
      <c r="P589" s="63"/>
      <c r="Q589" s="53"/>
      <c r="R589" s="64"/>
      <c r="S589" s="54"/>
      <c r="T589" s="64"/>
      <c r="U589" s="64"/>
      <c r="V589" s="32"/>
      <c r="W589" s="29"/>
    </row>
    <row r="590" spans="1:27" ht="28.5" customHeight="1">
      <c r="A590"/>
      <c r="B590" s="121"/>
      <c r="C590" s="57" t="s">
        <v>82</v>
      </c>
      <c r="D590" s="16">
        <f t="shared" ref="D590:L590" si="205">IF(((D588="")*AND(D589="")),"",(D588-D589)*3)</f>
        <v>12483</v>
      </c>
      <c r="E590" s="16">
        <f t="shared" si="205"/>
        <v>12525</v>
      </c>
      <c r="F590" s="16">
        <f t="shared" si="205"/>
        <v>12321</v>
      </c>
      <c r="G590" s="16">
        <f t="shared" si="205"/>
        <v>12543</v>
      </c>
      <c r="H590" s="16">
        <f t="shared" si="205"/>
        <v>12507</v>
      </c>
      <c r="I590" s="16">
        <f t="shared" si="205"/>
        <v>12381</v>
      </c>
      <c r="J590" s="16">
        <f t="shared" si="205"/>
        <v>12477</v>
      </c>
      <c r="K590" s="16">
        <f t="shared" si="205"/>
        <v>12483</v>
      </c>
      <c r="L590" s="16">
        <f t="shared" si="205"/>
        <v>11940</v>
      </c>
      <c r="M590" s="16">
        <f t="shared" si="192"/>
        <v>12406.666666666666</v>
      </c>
      <c r="N590" s="65"/>
      <c r="O590" s="65"/>
      <c r="P590" s="66"/>
      <c r="Q590" s="65"/>
      <c r="R590" s="67"/>
      <c r="S590" s="58"/>
      <c r="T590" s="67"/>
      <c r="U590" s="67"/>
      <c r="V590" s="33"/>
      <c r="W590" s="29"/>
    </row>
    <row r="591" spans="1:27">
      <c r="A591" s="86">
        <v>43462</v>
      </c>
      <c r="B591" s="120" t="s">
        <v>348</v>
      </c>
      <c r="C591" s="57" t="s">
        <v>79</v>
      </c>
      <c r="D591" s="58">
        <v>28960.84</v>
      </c>
      <c r="E591" s="58">
        <v>28890.2</v>
      </c>
      <c r="F591" s="58">
        <v>28911.18</v>
      </c>
      <c r="G591" s="58">
        <v>28879.61</v>
      </c>
      <c r="H591" s="58">
        <v>28938.83</v>
      </c>
      <c r="I591" s="58">
        <v>28952.7</v>
      </c>
      <c r="J591" s="58">
        <v>28870.14</v>
      </c>
      <c r="K591" s="58">
        <v>28873.94</v>
      </c>
      <c r="L591" s="58">
        <v>28933.13</v>
      </c>
      <c r="M591" s="16">
        <f t="shared" si="192"/>
        <v>28912.285555555558</v>
      </c>
      <c r="N591" s="59">
        <f>IF((L592=""),"",MAX(D593:L593))</f>
        <v>11155.169999999998</v>
      </c>
      <c r="O591" s="59">
        <f>IF(L592="","",MIN(D593:L593))</f>
        <v>10817.939999999999</v>
      </c>
      <c r="P591" s="60">
        <f>IF((L593=""),"",AVERAGE(D593:L593))</f>
        <v>10955.773333333336</v>
      </c>
      <c r="Q591" s="156">
        <f>IF((L592=""),"",((N591-O591)/(N591+O591)*100))</f>
        <v>1.5347395066060272</v>
      </c>
      <c r="R591" s="61" t="str">
        <f>IF(L592="","",IF(Q591&lt;Z591,IF(O591&gt;V591,IF(N591&lt;W591,"PASS","FAIL"),"FAIL"),"FAIL"))</f>
        <v>PASS</v>
      </c>
      <c r="S591" s="62">
        <v>1340</v>
      </c>
      <c r="T591" s="61" t="s">
        <v>291</v>
      </c>
      <c r="U591" s="61"/>
      <c r="V591" s="110">
        <v>10000</v>
      </c>
      <c r="W591" s="110">
        <v>15600</v>
      </c>
      <c r="X591" s="111">
        <v>8090</v>
      </c>
      <c r="Y591" s="111">
        <v>12070</v>
      </c>
      <c r="Z591" s="112">
        <v>15</v>
      </c>
      <c r="AA591" s="112">
        <v>6</v>
      </c>
    </row>
    <row r="592" spans="1:27" ht="15.75">
      <c r="A592"/>
      <c r="B592" s="121"/>
      <c r="C592" s="57" t="s">
        <v>80</v>
      </c>
      <c r="D592" s="16">
        <v>25333.01</v>
      </c>
      <c r="E592" s="16">
        <v>25227.54</v>
      </c>
      <c r="F592" s="16">
        <v>25305.200000000001</v>
      </c>
      <c r="G592" s="16">
        <v>25225.63</v>
      </c>
      <c r="H592" s="16">
        <v>25272.22</v>
      </c>
      <c r="I592" s="16">
        <v>25333.42</v>
      </c>
      <c r="J592" s="16">
        <v>25229.78</v>
      </c>
      <c r="K592" s="16">
        <v>25201.71</v>
      </c>
      <c r="L592" s="16">
        <v>25214.74</v>
      </c>
      <c r="M592" s="16">
        <f t="shared" si="192"/>
        <v>25260.361111111109</v>
      </c>
      <c r="N592" s="53"/>
      <c r="O592" s="53"/>
      <c r="P592" s="63"/>
      <c r="Q592" s="53"/>
      <c r="R592" s="64"/>
      <c r="S592" s="54"/>
      <c r="T592" s="64"/>
      <c r="U592" s="64"/>
      <c r="V592" s="32"/>
      <c r="W592" s="29"/>
    </row>
    <row r="593" spans="1:27" ht="28.5" customHeight="1">
      <c r="A593"/>
      <c r="B593" s="121"/>
      <c r="C593" s="57" t="s">
        <v>82</v>
      </c>
      <c r="D593" s="16">
        <f t="shared" ref="D593:L593" si="206">IF(((D591="")*AND(D592="")),"",(D591-D592)*3)</f>
        <v>10883.490000000005</v>
      </c>
      <c r="E593" s="16">
        <f t="shared" si="206"/>
        <v>10987.98</v>
      </c>
      <c r="F593" s="16">
        <f t="shared" si="206"/>
        <v>10817.939999999999</v>
      </c>
      <c r="G593" s="16">
        <f t="shared" si="206"/>
        <v>10961.939999999999</v>
      </c>
      <c r="H593" s="16">
        <f t="shared" si="206"/>
        <v>10999.830000000002</v>
      </c>
      <c r="I593" s="16">
        <f t="shared" si="206"/>
        <v>10857.840000000007</v>
      </c>
      <c r="J593" s="16">
        <f t="shared" si="206"/>
        <v>10921.080000000002</v>
      </c>
      <c r="K593" s="16">
        <f t="shared" si="206"/>
        <v>11016.689999999999</v>
      </c>
      <c r="L593" s="16">
        <f t="shared" si="206"/>
        <v>11155.169999999998</v>
      </c>
      <c r="M593" s="16">
        <f t="shared" si="192"/>
        <v>10955.773333333336</v>
      </c>
      <c r="N593" s="65"/>
      <c r="O593" s="65"/>
      <c r="P593" s="66"/>
      <c r="Q593" s="65"/>
      <c r="R593" s="67"/>
      <c r="S593" s="58"/>
      <c r="T593" s="67"/>
      <c r="U593" s="67"/>
      <c r="V593" s="33"/>
      <c r="W593" s="29"/>
    </row>
    <row r="594" spans="1:27">
      <c r="A594" s="86">
        <v>43468</v>
      </c>
      <c r="B594" s="120" t="s">
        <v>348</v>
      </c>
      <c r="C594" s="57" t="s">
        <v>79</v>
      </c>
      <c r="D594" s="58">
        <v>29091</v>
      </c>
      <c r="E594" s="58">
        <v>28887</v>
      </c>
      <c r="F594" s="58">
        <v>28861</v>
      </c>
      <c r="G594" s="58">
        <v>28876</v>
      </c>
      <c r="H594" s="58">
        <v>29072</v>
      </c>
      <c r="I594" s="58">
        <v>29061</v>
      </c>
      <c r="J594" s="58">
        <v>28878</v>
      </c>
      <c r="K594" s="58">
        <v>28884</v>
      </c>
      <c r="L594" s="58">
        <v>29089</v>
      </c>
      <c r="M594" s="16">
        <f t="shared" si="192"/>
        <v>28966.555555555555</v>
      </c>
      <c r="N594" s="59">
        <f>IF((L595=""),"",MAX(D596:L596))</f>
        <v>10839</v>
      </c>
      <c r="O594" s="59">
        <f>IF(L595="","",MIN(D596:L596))</f>
        <v>10182</v>
      </c>
      <c r="P594" s="60">
        <f>IF((L596=""),"",AVERAGE(D596:L596))</f>
        <v>10659.666666666666</v>
      </c>
      <c r="Q594" s="156">
        <f>IF((L595=""),"",((N594-O594)/(N594+O594)*100))</f>
        <v>3.1254459825888397</v>
      </c>
      <c r="R594" s="61" t="str">
        <f>IF(L595="","",IF(Q594&lt;Z594,IF(O594&gt;V594,IF(N594&lt;W594,"PASS","FAIL"),"FAIL"),"FAIL"))</f>
        <v>PASS</v>
      </c>
      <c r="S594" s="62">
        <v>1159</v>
      </c>
      <c r="T594" s="61" t="s">
        <v>188</v>
      </c>
      <c r="U594" s="61"/>
      <c r="V594" s="110">
        <v>10000</v>
      </c>
      <c r="W594" s="110">
        <v>15600</v>
      </c>
      <c r="X594" s="111">
        <v>8090</v>
      </c>
      <c r="Y594" s="111">
        <v>12070</v>
      </c>
      <c r="Z594" s="112">
        <v>15</v>
      </c>
      <c r="AA594" s="112">
        <v>6</v>
      </c>
    </row>
    <row r="595" spans="1:27" ht="15.75">
      <c r="A595"/>
      <c r="B595" s="121"/>
      <c r="C595" s="57" t="s">
        <v>80</v>
      </c>
      <c r="D595" s="16">
        <v>25490</v>
      </c>
      <c r="E595" s="16">
        <v>25297</v>
      </c>
      <c r="F595" s="16">
        <v>25366</v>
      </c>
      <c r="G595" s="16">
        <v>25292</v>
      </c>
      <c r="H595" s="16">
        <v>25490</v>
      </c>
      <c r="I595" s="16">
        <v>25448</v>
      </c>
      <c r="J595" s="16">
        <v>25308</v>
      </c>
      <c r="K595" s="16">
        <v>25334</v>
      </c>
      <c r="L595" s="16">
        <v>25695</v>
      </c>
      <c r="M595" s="16">
        <f t="shared" si="192"/>
        <v>25413.333333333332</v>
      </c>
      <c r="N595" s="53"/>
      <c r="O595" s="53"/>
      <c r="P595" s="63"/>
      <c r="Q595" s="53"/>
      <c r="R595" s="64"/>
      <c r="S595" s="54"/>
      <c r="T595" s="64"/>
      <c r="U595" s="64"/>
      <c r="V595" s="32"/>
      <c r="W595" s="29"/>
    </row>
    <row r="596" spans="1:27" ht="28.5" customHeight="1">
      <c r="A596"/>
      <c r="B596" s="121"/>
      <c r="C596" s="57" t="s">
        <v>82</v>
      </c>
      <c r="D596" s="16">
        <f t="shared" ref="D596:L596" si="207">IF(((D594="")*AND(D595="")),"",(D594-D595)*3)</f>
        <v>10803</v>
      </c>
      <c r="E596" s="16">
        <f t="shared" si="207"/>
        <v>10770</v>
      </c>
      <c r="F596" s="16">
        <f t="shared" si="207"/>
        <v>10485</v>
      </c>
      <c r="G596" s="16">
        <f t="shared" si="207"/>
        <v>10752</v>
      </c>
      <c r="H596" s="16">
        <f t="shared" si="207"/>
        <v>10746</v>
      </c>
      <c r="I596" s="16">
        <f t="shared" si="207"/>
        <v>10839</v>
      </c>
      <c r="J596" s="16">
        <f t="shared" si="207"/>
        <v>10710</v>
      </c>
      <c r="K596" s="16">
        <f t="shared" si="207"/>
        <v>10650</v>
      </c>
      <c r="L596" s="16">
        <f t="shared" si="207"/>
        <v>10182</v>
      </c>
      <c r="M596" s="16">
        <f t="shared" si="192"/>
        <v>10659.666666666666</v>
      </c>
      <c r="N596" s="65"/>
      <c r="O596" s="65"/>
      <c r="P596" s="66"/>
      <c r="Q596" s="65"/>
      <c r="R596" s="67"/>
      <c r="S596" s="58"/>
      <c r="T596" s="67"/>
      <c r="U596" s="67"/>
      <c r="V596" s="33"/>
      <c r="W596" s="29"/>
    </row>
    <row r="597" spans="1:27">
      <c r="A597" s="86">
        <v>43476</v>
      </c>
      <c r="B597" s="120" t="s">
        <v>348</v>
      </c>
      <c r="C597" s="57" t="s">
        <v>79</v>
      </c>
      <c r="D597" s="58">
        <v>28949.24</v>
      </c>
      <c r="E597" s="58">
        <v>28860.57</v>
      </c>
      <c r="F597" s="58">
        <v>28871.35</v>
      </c>
      <c r="G597" s="58">
        <v>28842.75</v>
      </c>
      <c r="H597" s="58">
        <v>28916.61</v>
      </c>
      <c r="I597" s="58">
        <v>28910.97</v>
      </c>
      <c r="J597" s="58">
        <v>28858.52</v>
      </c>
      <c r="K597" s="58">
        <v>28832.47</v>
      </c>
      <c r="L597" s="58">
        <v>28907.279999999999</v>
      </c>
      <c r="M597" s="16">
        <f>SUM(D597:L597)/9</f>
        <v>28883.306666666667</v>
      </c>
      <c r="N597" s="59">
        <f>IF((L598=""),"",MAX(D599:L599))</f>
        <v>11456.639999999992</v>
      </c>
      <c r="O597" s="59">
        <f>IF(L598="","",MIN(D599:L599))</f>
        <v>10978.77</v>
      </c>
      <c r="P597" s="60">
        <f>IF((L599=""),"",AVERAGE(D599:L599))</f>
        <v>11269.76</v>
      </c>
      <c r="Q597" s="156">
        <f>IF((L598=""),"",((N597-O597)/(N597+O597)*100))</f>
        <v>2.1299811325043398</v>
      </c>
      <c r="R597" s="61" t="str">
        <f>IF(L598="","",IF(Q597&lt;Z597,IF(O597&gt;V597,IF(N597&lt;W597,"PASS","FAIL"),"FAIL"),"FAIL"))</f>
        <v>PASS</v>
      </c>
      <c r="S597" s="62">
        <v>1340</v>
      </c>
      <c r="T597" s="61" t="s">
        <v>290</v>
      </c>
      <c r="U597" s="61"/>
      <c r="V597" s="110">
        <v>10000</v>
      </c>
      <c r="W597" s="110">
        <v>15600</v>
      </c>
      <c r="X597" s="111">
        <v>8090</v>
      </c>
      <c r="Y597" s="111">
        <v>12070</v>
      </c>
      <c r="Z597" s="112">
        <v>15</v>
      </c>
      <c r="AA597" s="112">
        <v>6</v>
      </c>
    </row>
    <row r="598" spans="1:27" ht="15.75">
      <c r="A598"/>
      <c r="B598" s="121"/>
      <c r="C598" s="57" t="s">
        <v>80</v>
      </c>
      <c r="D598" s="16">
        <v>25150.52</v>
      </c>
      <c r="E598" s="16">
        <v>25093.79</v>
      </c>
      <c r="F598" s="16">
        <v>25211.759999999998</v>
      </c>
      <c r="G598" s="16">
        <v>25099.7</v>
      </c>
      <c r="H598" s="16">
        <v>25156.720000000001</v>
      </c>
      <c r="I598" s="16">
        <v>25191.16</v>
      </c>
      <c r="J598" s="16">
        <v>25087.21</v>
      </c>
      <c r="K598" s="16">
        <v>25061.22</v>
      </c>
      <c r="L598" s="16">
        <v>25088.400000000001</v>
      </c>
      <c r="M598" s="16">
        <f>SUM(D598:L598)/9</f>
        <v>25126.719999999998</v>
      </c>
      <c r="N598" s="53"/>
      <c r="O598" s="53"/>
      <c r="P598" s="63"/>
      <c r="Q598" s="53"/>
      <c r="R598" s="64"/>
      <c r="S598" s="54"/>
      <c r="T598" s="64"/>
      <c r="U598" s="64"/>
      <c r="V598" s="32"/>
      <c r="W598" s="29"/>
    </row>
    <row r="599" spans="1:27" ht="28.5" customHeight="1">
      <c r="A599"/>
      <c r="B599" s="121"/>
      <c r="C599" s="57" t="s">
        <v>82</v>
      </c>
      <c r="D599" s="16">
        <f t="shared" ref="D599:L599" si="208">IF(((D597="")*AND(D598="")),"",(D597-D598)*3)</f>
        <v>11396.160000000003</v>
      </c>
      <c r="E599" s="16">
        <f t="shared" si="208"/>
        <v>11300.339999999997</v>
      </c>
      <c r="F599" s="16">
        <f t="shared" si="208"/>
        <v>10978.77</v>
      </c>
      <c r="G599" s="16">
        <f t="shared" si="208"/>
        <v>11229.149999999998</v>
      </c>
      <c r="H599" s="16">
        <f t="shared" si="208"/>
        <v>11279.669999999998</v>
      </c>
      <c r="I599" s="16">
        <f t="shared" si="208"/>
        <v>11159.430000000004</v>
      </c>
      <c r="J599" s="16">
        <f t="shared" si="208"/>
        <v>11313.930000000004</v>
      </c>
      <c r="K599" s="16">
        <f t="shared" si="208"/>
        <v>11313.75</v>
      </c>
      <c r="L599" s="16">
        <f t="shared" si="208"/>
        <v>11456.639999999992</v>
      </c>
      <c r="M599" s="16">
        <f>SUM(D599:L599)/9</f>
        <v>11269.76</v>
      </c>
      <c r="N599" s="65"/>
      <c r="O599" s="65"/>
      <c r="P599" s="66"/>
      <c r="Q599" s="65"/>
      <c r="R599" s="67"/>
      <c r="S599" s="58"/>
      <c r="T599" s="67"/>
      <c r="U599" s="67"/>
      <c r="V599" s="33"/>
      <c r="W599" s="29"/>
    </row>
    <row r="600" spans="1:27">
      <c r="A600" s="86">
        <v>43483</v>
      </c>
      <c r="B600" s="120" t="s">
        <v>348</v>
      </c>
      <c r="C600" s="57" t="s">
        <v>79</v>
      </c>
      <c r="D600" s="58">
        <v>29408.43</v>
      </c>
      <c r="E600" s="58">
        <v>29353.58</v>
      </c>
      <c r="F600" s="58">
        <v>29400.7</v>
      </c>
      <c r="G600" s="58">
        <v>29367.7</v>
      </c>
      <c r="H600" s="58">
        <v>29435.17</v>
      </c>
      <c r="I600" s="58">
        <v>29393.91</v>
      </c>
      <c r="J600" s="58">
        <v>29355.88</v>
      </c>
      <c r="K600" s="58">
        <v>29342.42</v>
      </c>
      <c r="L600" s="58">
        <v>29400.74</v>
      </c>
      <c r="M600" s="16">
        <f t="shared" ref="M600:M663" si="209">SUM(D600:L600)/9</f>
        <v>29384.281111111115</v>
      </c>
      <c r="N600" s="59">
        <f>IF((L601=""),"",MAX(D602:L602))</f>
        <v>13179.120000000003</v>
      </c>
      <c r="O600" s="59">
        <f>IF(L601="","",MIN(D602:L602))</f>
        <v>12722.850000000002</v>
      </c>
      <c r="P600" s="60">
        <f>IF((L602=""),"",AVERAGE(D602:L602))</f>
        <v>12977.423333333334</v>
      </c>
      <c r="Q600" s="156">
        <f>IF((L601=""),"",((N600-O600)/(N600+O600)*100))</f>
        <v>1.7615262468453186</v>
      </c>
      <c r="R600" s="61" t="str">
        <f>IF(L601="","",IF(Q600&lt;Z600,IF(O600&gt;V600,IF(N600&lt;W600,"PASS","FAIL"),"FAIL"),"FAIL"))</f>
        <v>PASS</v>
      </c>
      <c r="S600" s="62">
        <v>1340</v>
      </c>
      <c r="T600" s="61" t="s">
        <v>289</v>
      </c>
      <c r="U600" s="61"/>
      <c r="V600" s="110">
        <v>10000</v>
      </c>
      <c r="W600" s="110">
        <v>15600</v>
      </c>
      <c r="X600" s="111">
        <v>8090</v>
      </c>
      <c r="Y600" s="111">
        <v>12070</v>
      </c>
      <c r="Z600" s="112">
        <v>15</v>
      </c>
      <c r="AA600" s="112">
        <v>6</v>
      </c>
    </row>
    <row r="601" spans="1:27" ht="15.75">
      <c r="A601"/>
      <c r="B601" s="121"/>
      <c r="C601" s="57" t="s">
        <v>80</v>
      </c>
      <c r="D601" s="16">
        <v>25080.46</v>
      </c>
      <c r="E601" s="16">
        <v>25030.240000000002</v>
      </c>
      <c r="F601" s="16">
        <v>25111.64</v>
      </c>
      <c r="G601" s="16">
        <v>25015.16</v>
      </c>
      <c r="H601" s="16">
        <v>25098.79</v>
      </c>
      <c r="I601" s="16">
        <v>25000.87</v>
      </c>
      <c r="J601" s="16">
        <v>25020.55</v>
      </c>
      <c r="K601" s="16">
        <v>25008.76</v>
      </c>
      <c r="L601" s="16">
        <v>25159.79</v>
      </c>
      <c r="M601" s="16">
        <f t="shared" si="209"/>
        <v>25058.473333333335</v>
      </c>
      <c r="N601" s="53"/>
      <c r="O601" s="53"/>
      <c r="P601" s="63"/>
      <c r="Q601" s="53"/>
      <c r="R601" s="64"/>
      <c r="S601" s="54"/>
      <c r="T601" s="64"/>
      <c r="U601" s="64"/>
      <c r="V601" s="32"/>
      <c r="W601" s="29"/>
    </row>
    <row r="602" spans="1:27" ht="28.5" customHeight="1">
      <c r="A602"/>
      <c r="B602" s="121"/>
      <c r="C602" s="57" t="s">
        <v>82</v>
      </c>
      <c r="D602" s="16">
        <f t="shared" ref="D602:L602" si="210">IF(((D600="")*AND(D601="")),"",(D600-D601)*3)</f>
        <v>12983.910000000003</v>
      </c>
      <c r="E602" s="16">
        <f t="shared" si="210"/>
        <v>12970.02</v>
      </c>
      <c r="F602" s="16">
        <f t="shared" si="210"/>
        <v>12867.180000000004</v>
      </c>
      <c r="G602" s="16">
        <f t="shared" si="210"/>
        <v>13057.620000000003</v>
      </c>
      <c r="H602" s="16">
        <f t="shared" si="210"/>
        <v>13009.139999999992</v>
      </c>
      <c r="I602" s="16">
        <f t="shared" si="210"/>
        <v>13179.120000000003</v>
      </c>
      <c r="J602" s="16">
        <f t="shared" si="210"/>
        <v>13005.990000000005</v>
      </c>
      <c r="K602" s="16">
        <f t="shared" si="210"/>
        <v>13000.98</v>
      </c>
      <c r="L602" s="16">
        <f t="shared" si="210"/>
        <v>12722.850000000002</v>
      </c>
      <c r="M602" s="16">
        <f t="shared" si="209"/>
        <v>12977.423333333334</v>
      </c>
      <c r="N602" s="65"/>
      <c r="O602" s="65"/>
      <c r="P602" s="66"/>
      <c r="Q602" s="65"/>
      <c r="R602" s="67"/>
      <c r="S602" s="58"/>
      <c r="T602" s="67"/>
      <c r="U602" s="67"/>
      <c r="V602" s="33"/>
      <c r="W602" s="29"/>
    </row>
    <row r="603" spans="1:27">
      <c r="A603" s="98">
        <v>43490</v>
      </c>
      <c r="B603" s="120" t="s">
        <v>348</v>
      </c>
      <c r="C603" s="57" t="s">
        <v>79</v>
      </c>
      <c r="D603" s="9">
        <v>27704.97</v>
      </c>
      <c r="E603" s="9">
        <v>27682.639999999999</v>
      </c>
      <c r="F603" s="9">
        <v>27678.13</v>
      </c>
      <c r="G603" s="9">
        <v>27653.13</v>
      </c>
      <c r="H603" s="9">
        <v>27672.11</v>
      </c>
      <c r="I603" s="9">
        <v>27611.75</v>
      </c>
      <c r="J603" s="9">
        <v>27649.56</v>
      </c>
      <c r="K603" s="9">
        <v>27663.93</v>
      </c>
      <c r="L603" s="9">
        <v>27622.2</v>
      </c>
      <c r="M603" s="16">
        <f t="shared" si="209"/>
        <v>27659.824444444446</v>
      </c>
      <c r="N603" s="59">
        <f>IF((L604=""),"",MAX(D605:L605))</f>
        <v>12055.080000000002</v>
      </c>
      <c r="O603" s="59">
        <f>IF(L604="","",MIN(D605:L605))</f>
        <v>6150.7800000000061</v>
      </c>
      <c r="P603" s="60">
        <f>IF((L605=""),"",AVERAGE(D605:L605))</f>
        <v>9447.9266666666681</v>
      </c>
      <c r="Q603" s="156">
        <f>IF((L604=""),"",((N603-O603)/(N603+O603)*100))</f>
        <v>32.430766797064202</v>
      </c>
      <c r="R603" s="61" t="str">
        <f>IF(L604="","",IF(Q603&lt;Z603,IF(O603&gt;V603,IF(N603&lt;W603,"PASS","FAIL"),"FAIL"),"FAIL"))</f>
        <v>FAIL</v>
      </c>
      <c r="S603" s="62">
        <v>1159</v>
      </c>
      <c r="T603" s="68" t="s">
        <v>253</v>
      </c>
      <c r="U603" s="68" t="s">
        <v>254</v>
      </c>
      <c r="V603" s="110">
        <v>10000</v>
      </c>
      <c r="W603" s="110">
        <v>15600</v>
      </c>
      <c r="X603" s="111">
        <v>8090</v>
      </c>
      <c r="Y603" s="111">
        <v>12070</v>
      </c>
      <c r="Z603" s="112">
        <v>15</v>
      </c>
      <c r="AA603" s="112">
        <v>6</v>
      </c>
    </row>
    <row r="604" spans="1:27" ht="15.75">
      <c r="A604" s="99"/>
      <c r="B604" s="121"/>
      <c r="C604" s="57" t="s">
        <v>80</v>
      </c>
      <c r="D604" s="9">
        <v>24323.47</v>
      </c>
      <c r="E604" s="9">
        <v>23664.28</v>
      </c>
      <c r="F604" s="9">
        <v>24296.33</v>
      </c>
      <c r="G604" s="9">
        <v>24164.55</v>
      </c>
      <c r="H604" s="9">
        <v>25551.17</v>
      </c>
      <c r="I604" s="9">
        <v>24727.94</v>
      </c>
      <c r="J604" s="9">
        <v>25599.3</v>
      </c>
      <c r="K604" s="9">
        <v>24071.56</v>
      </c>
      <c r="L604" s="9">
        <v>24196.04</v>
      </c>
      <c r="M604" s="16">
        <f t="shared" si="209"/>
        <v>24510.515555555554</v>
      </c>
      <c r="N604" s="53"/>
      <c r="O604" s="53"/>
      <c r="P604" s="63"/>
      <c r="Q604" s="53"/>
      <c r="R604" s="64"/>
      <c r="S604" s="54"/>
      <c r="V604" s="32"/>
      <c r="W604" s="29"/>
    </row>
    <row r="605" spans="1:27" ht="26.25" customHeight="1">
      <c r="A605" s="100"/>
      <c r="B605" s="121"/>
      <c r="C605" s="57" t="s">
        <v>82</v>
      </c>
      <c r="D605" s="16">
        <f t="shared" ref="D605:L605" si="211">IF(((D603="")*AND(D604="")),"",(D603-D604)*3)</f>
        <v>10144.5</v>
      </c>
      <c r="E605" s="16">
        <f t="shared" si="211"/>
        <v>12055.080000000002</v>
      </c>
      <c r="F605" s="16">
        <f t="shared" si="211"/>
        <v>10145.399999999998</v>
      </c>
      <c r="G605" s="16">
        <f t="shared" si="211"/>
        <v>10465.740000000005</v>
      </c>
      <c r="H605" s="16">
        <f t="shared" si="211"/>
        <v>6362.820000000007</v>
      </c>
      <c r="I605" s="16">
        <f t="shared" si="211"/>
        <v>8651.4300000000039</v>
      </c>
      <c r="J605" s="16">
        <f t="shared" si="211"/>
        <v>6150.7800000000061</v>
      </c>
      <c r="K605" s="16">
        <f t="shared" si="211"/>
        <v>10777.109999999997</v>
      </c>
      <c r="L605" s="16">
        <f t="shared" si="211"/>
        <v>10278.48</v>
      </c>
      <c r="M605" s="16">
        <f t="shared" si="209"/>
        <v>9447.9266666666681</v>
      </c>
      <c r="N605" s="65"/>
      <c r="O605" s="65"/>
      <c r="P605" s="66"/>
      <c r="Q605" s="65"/>
      <c r="R605" s="67"/>
      <c r="S605" s="58"/>
      <c r="V605" s="33"/>
      <c r="W605" s="29"/>
    </row>
    <row r="606" spans="1:27">
      <c r="A606" s="98">
        <v>43494</v>
      </c>
      <c r="B606" s="120" t="s">
        <v>348</v>
      </c>
      <c r="C606" s="57" t="s">
        <v>79</v>
      </c>
      <c r="D606" s="9">
        <v>29268.04</v>
      </c>
      <c r="E606" s="9">
        <v>29198.080000000002</v>
      </c>
      <c r="F606" s="9">
        <v>29197.43</v>
      </c>
      <c r="G606" s="9">
        <v>29170.95</v>
      </c>
      <c r="H606" s="9">
        <v>29234.05</v>
      </c>
      <c r="I606" s="9">
        <v>29226.75</v>
      </c>
      <c r="J606" s="9">
        <v>29170.18</v>
      </c>
      <c r="K606" s="9">
        <v>29180.98</v>
      </c>
      <c r="L606" s="9">
        <v>29262.720000000001</v>
      </c>
      <c r="M606" s="16">
        <f t="shared" si="209"/>
        <v>29212.13111111111</v>
      </c>
      <c r="N606" s="59">
        <f>IF((L607=""),"",MAX(D608:L608))</f>
        <v>12316.650000000009</v>
      </c>
      <c r="O606" s="59">
        <f>IF(L607="","",MIN(D608:L608))</f>
        <v>11941.830000000002</v>
      </c>
      <c r="P606" s="60">
        <f>IF((L608=""),"",AVERAGE(D608:L608))</f>
        <v>12098.570000000002</v>
      </c>
      <c r="Q606" s="156">
        <f>IF((L607=""),"",((N606-O606)/(N606+O606)*100))</f>
        <v>1.5451091741939595</v>
      </c>
      <c r="R606" s="61" t="str">
        <f>IF(L607="","",IF(Q606&lt;Z606,IF(O606&gt;V606,IF(N606&lt;W606,"PASS","FAIL"),"FAIL"),"FAIL"))</f>
        <v>PASS</v>
      </c>
      <c r="S606" s="62">
        <v>1159</v>
      </c>
      <c r="T606" s="68" t="s">
        <v>224</v>
      </c>
      <c r="U606" s="68"/>
      <c r="V606" s="110">
        <v>10000</v>
      </c>
      <c r="W606" s="110">
        <v>15600</v>
      </c>
      <c r="X606" s="111">
        <v>8090</v>
      </c>
      <c r="Y606" s="111">
        <v>12070</v>
      </c>
      <c r="Z606" s="112">
        <v>15</v>
      </c>
      <c r="AA606" s="112">
        <v>6</v>
      </c>
    </row>
    <row r="607" spans="1:27" ht="15.75">
      <c r="A607" s="99"/>
      <c r="B607" s="121"/>
      <c r="C607" s="57" t="s">
        <v>80</v>
      </c>
      <c r="D607" s="9">
        <v>25193.64</v>
      </c>
      <c r="E607" s="9">
        <v>25128.76</v>
      </c>
      <c r="F607" s="9">
        <v>25216.82</v>
      </c>
      <c r="G607" s="9">
        <v>25173.39</v>
      </c>
      <c r="H607" s="9">
        <v>25236.720000000001</v>
      </c>
      <c r="I607" s="9">
        <v>25233.919999999998</v>
      </c>
      <c r="J607" s="9">
        <v>25145.64</v>
      </c>
      <c r="K607" s="9">
        <v>25127.41</v>
      </c>
      <c r="L607" s="9">
        <v>25157.17</v>
      </c>
      <c r="M607" s="16">
        <f t="shared" si="209"/>
        <v>25179.274444444447</v>
      </c>
      <c r="N607" s="53"/>
      <c r="O607" s="53"/>
      <c r="P607" s="63"/>
      <c r="Q607" s="53"/>
      <c r="R607" s="64"/>
      <c r="S607" s="54"/>
      <c r="V607" s="32"/>
      <c r="W607" s="29"/>
    </row>
    <row r="608" spans="1:27" ht="29.25" customHeight="1" thickBot="1">
      <c r="A608" s="100"/>
      <c r="B608" s="121"/>
      <c r="C608" s="57" t="s">
        <v>82</v>
      </c>
      <c r="D608" s="16">
        <f t="shared" ref="D608:L608" si="212">IF(((D606="")*AND(D607="")),"",(D606-D607)*3)</f>
        <v>12223.200000000004</v>
      </c>
      <c r="E608" s="16">
        <f t="shared" si="212"/>
        <v>12207.96000000001</v>
      </c>
      <c r="F608" s="16">
        <f t="shared" si="212"/>
        <v>11941.830000000002</v>
      </c>
      <c r="G608" s="16">
        <f t="shared" si="212"/>
        <v>11992.680000000004</v>
      </c>
      <c r="H608" s="16">
        <f t="shared" si="212"/>
        <v>11991.989999999994</v>
      </c>
      <c r="I608" s="16">
        <f t="shared" si="212"/>
        <v>11978.490000000005</v>
      </c>
      <c r="J608" s="16">
        <f t="shared" si="212"/>
        <v>12073.620000000003</v>
      </c>
      <c r="K608" s="16">
        <f t="shared" si="212"/>
        <v>12160.71</v>
      </c>
      <c r="L608" s="16">
        <f t="shared" si="212"/>
        <v>12316.650000000009</v>
      </c>
      <c r="M608" s="16">
        <f t="shared" si="209"/>
        <v>12098.570000000002</v>
      </c>
      <c r="N608" s="65"/>
      <c r="O608" s="65"/>
      <c r="P608" s="66"/>
      <c r="Q608" s="65"/>
      <c r="R608" s="67"/>
      <c r="S608" s="58"/>
      <c r="V608" s="33"/>
      <c r="W608" s="29"/>
    </row>
    <row r="609" spans="1:27">
      <c r="A609" s="101">
        <v>43500</v>
      </c>
      <c r="B609" s="120" t="s">
        <v>348</v>
      </c>
      <c r="C609" s="57" t="s">
        <v>79</v>
      </c>
      <c r="D609" s="9">
        <v>29166</v>
      </c>
      <c r="E609" s="9">
        <v>29090.16</v>
      </c>
      <c r="F609" s="9">
        <v>29104.99</v>
      </c>
      <c r="G609" s="9">
        <v>29099.64</v>
      </c>
      <c r="H609" s="9">
        <v>29189.42</v>
      </c>
      <c r="I609" s="9">
        <v>29144.639999999999</v>
      </c>
      <c r="J609" s="9">
        <v>29086.14</v>
      </c>
      <c r="K609" s="9">
        <v>29088.87</v>
      </c>
      <c r="L609" s="9">
        <v>29160.82</v>
      </c>
      <c r="M609" s="16">
        <f t="shared" si="209"/>
        <v>29125.631111111117</v>
      </c>
      <c r="N609" s="71">
        <f>IF((L610=""),"",MAX(D611:L611))</f>
        <v>12261.419999999998</v>
      </c>
      <c r="O609" s="72">
        <f>IF(L610="","",MIN(D611:L611))</f>
        <v>11897.880000000008</v>
      </c>
      <c r="P609" s="72">
        <f>IF((L611=""),"",AVERAGE(D611:L611))</f>
        <v>12061.49</v>
      </c>
      <c r="Q609" s="156">
        <f>IF((L610=""),"",((N609-O609)/(N609+O609)*100))</f>
        <v>1.5047621412871641</v>
      </c>
      <c r="R609" s="61" t="str">
        <f>IF(L610="","",IF(Q609&lt;Z609,IF(O609&gt;V609,IF(N609&lt;W609,"PASS","FAIL"),"FAIL"),"FAIL"))</f>
        <v>PASS</v>
      </c>
      <c r="S609" s="74">
        <v>121</v>
      </c>
      <c r="T609" s="68" t="s">
        <v>225</v>
      </c>
      <c r="U609" s="68"/>
      <c r="V609" s="110">
        <v>10000</v>
      </c>
      <c r="W609" s="110">
        <v>15600</v>
      </c>
      <c r="X609" s="111">
        <v>8090</v>
      </c>
      <c r="Y609" s="111">
        <v>12070</v>
      </c>
      <c r="Z609" s="112">
        <v>15</v>
      </c>
      <c r="AA609" s="112">
        <v>6</v>
      </c>
    </row>
    <row r="610" spans="1:27" ht="15.75">
      <c r="A610" s="102"/>
      <c r="B610" s="121"/>
      <c r="C610" s="57" t="s">
        <v>80</v>
      </c>
      <c r="D610" s="9">
        <v>25140.43</v>
      </c>
      <c r="E610" s="9">
        <v>25069.78</v>
      </c>
      <c r="F610" s="9">
        <v>25139.03</v>
      </c>
      <c r="G610" s="9">
        <v>25091.14</v>
      </c>
      <c r="H610" s="9">
        <v>25129.54</v>
      </c>
      <c r="I610" s="9">
        <v>25178.37</v>
      </c>
      <c r="J610" s="9">
        <v>25069.91</v>
      </c>
      <c r="K610" s="9">
        <v>25054.33</v>
      </c>
      <c r="L610" s="9">
        <v>25073.68</v>
      </c>
      <c r="M610" s="16">
        <f t="shared" si="209"/>
        <v>25105.13444444444</v>
      </c>
      <c r="N610" s="53"/>
      <c r="O610" s="63"/>
      <c r="P610" s="63"/>
      <c r="Q610" s="53"/>
      <c r="R610" s="77"/>
      <c r="S610" s="75"/>
      <c r="V610" s="32"/>
      <c r="W610" s="29"/>
    </row>
    <row r="611" spans="1:27" ht="24" customHeight="1" thickBot="1">
      <c r="A611" s="103"/>
      <c r="B611" s="121"/>
      <c r="C611" s="57" t="s">
        <v>82</v>
      </c>
      <c r="D611" s="16">
        <f t="shared" ref="D611:L611" si="213">IF(((D609="")*AND(D610="")),"",(D609-D610)*3)</f>
        <v>12076.71</v>
      </c>
      <c r="E611" s="16">
        <f t="shared" si="213"/>
        <v>12061.140000000003</v>
      </c>
      <c r="F611" s="16">
        <f t="shared" si="213"/>
        <v>11897.880000000008</v>
      </c>
      <c r="G611" s="16">
        <f t="shared" si="213"/>
        <v>12025.5</v>
      </c>
      <c r="H611" s="16">
        <f t="shared" si="213"/>
        <v>12179.639999999992</v>
      </c>
      <c r="I611" s="16">
        <f t="shared" si="213"/>
        <v>11898.810000000001</v>
      </c>
      <c r="J611" s="16">
        <f t="shared" si="213"/>
        <v>12048.689999999999</v>
      </c>
      <c r="K611" s="16">
        <f t="shared" si="213"/>
        <v>12103.619999999992</v>
      </c>
      <c r="L611" s="16">
        <f t="shared" si="213"/>
        <v>12261.419999999998</v>
      </c>
      <c r="M611" s="16">
        <f>SUM(D611:L611)/9</f>
        <v>12061.49</v>
      </c>
      <c r="N611" s="69"/>
      <c r="O611" s="70"/>
      <c r="P611" s="70"/>
      <c r="Q611" s="69"/>
      <c r="R611" s="78"/>
      <c r="S611" s="76"/>
      <c r="V611" s="33"/>
      <c r="W611" s="29"/>
    </row>
    <row r="612" spans="1:27">
      <c r="A612" s="87">
        <v>43504</v>
      </c>
      <c r="B612" s="120" t="s">
        <v>348</v>
      </c>
      <c r="C612" s="57" t="s">
        <v>79</v>
      </c>
      <c r="D612" s="9">
        <v>29161.75</v>
      </c>
      <c r="E612" s="9">
        <v>29094.58</v>
      </c>
      <c r="F612" s="9">
        <v>29109.46</v>
      </c>
      <c r="G612" s="9">
        <v>29077.599999999999</v>
      </c>
      <c r="H612" s="9">
        <v>29135.69</v>
      </c>
      <c r="I612" s="9">
        <v>29127.41</v>
      </c>
      <c r="J612" s="9">
        <v>29063.59</v>
      </c>
      <c r="K612" s="9">
        <v>29072.79</v>
      </c>
      <c r="L612" s="9">
        <v>29156.3</v>
      </c>
      <c r="M612" s="16">
        <f t="shared" si="209"/>
        <v>29111.018888888892</v>
      </c>
      <c r="N612" s="71">
        <f>IF((L613=""),"",MAX(D614:L614))</f>
        <v>13597.799999999996</v>
      </c>
      <c r="O612" s="72">
        <f>IF(L613="","",MIN(D614:L614))</f>
        <v>12948.21</v>
      </c>
      <c r="P612" s="72">
        <f>IF((L614=""),"",AVERAGE(D614:L614))</f>
        <v>13335.706666666665</v>
      </c>
      <c r="Q612" s="156">
        <f>IF((L613=""),"",((N612-O612)/(N612+O612)*100))</f>
        <v>2.4470344130812749</v>
      </c>
      <c r="R612" s="61" t="str">
        <f>IF(L613="","",IF(Q612&lt;Z612,IF(O612&gt;V612,IF(N612&lt;W612,"PASS","FAIL"),"FAIL"),"FAIL"))</f>
        <v>PASS</v>
      </c>
      <c r="S612" s="74">
        <v>1340</v>
      </c>
      <c r="T612" s="68" t="s">
        <v>226</v>
      </c>
      <c r="U612" s="68"/>
      <c r="V612" s="110">
        <v>10000</v>
      </c>
      <c r="W612" s="110">
        <v>15600</v>
      </c>
      <c r="X612" s="111">
        <v>8090</v>
      </c>
      <c r="Y612" s="111">
        <v>12070</v>
      </c>
      <c r="Z612" s="112">
        <v>15</v>
      </c>
      <c r="AA612" s="112">
        <v>6</v>
      </c>
    </row>
    <row r="613" spans="1:27" ht="15.75">
      <c r="A613" s="102"/>
      <c r="B613" s="121"/>
      <c r="C613" s="57" t="s">
        <v>80</v>
      </c>
      <c r="D613" s="9">
        <v>24738.34</v>
      </c>
      <c r="E613" s="9">
        <v>24602.55</v>
      </c>
      <c r="F613" s="9">
        <v>24673.35</v>
      </c>
      <c r="G613" s="9">
        <v>24616.21</v>
      </c>
      <c r="H613" s="9">
        <v>24728.75</v>
      </c>
      <c r="I613" s="9">
        <v>24811.34</v>
      </c>
      <c r="J613" s="9">
        <v>24628.31</v>
      </c>
      <c r="K613" s="9">
        <v>24569.5</v>
      </c>
      <c r="L613" s="9">
        <v>24623.7</v>
      </c>
      <c r="M613" s="16">
        <f t="shared" si="209"/>
        <v>24665.783333333333</v>
      </c>
      <c r="N613" s="53"/>
      <c r="O613" s="63"/>
      <c r="P613" s="63"/>
      <c r="Q613" s="53"/>
      <c r="R613" s="77"/>
      <c r="S613" s="75"/>
      <c r="V613" s="32"/>
      <c r="W613" s="29"/>
    </row>
    <row r="614" spans="1:27" ht="26.25" customHeight="1" thickBot="1">
      <c r="A614" s="103"/>
      <c r="B614" s="121"/>
      <c r="C614" s="73" t="s">
        <v>82</v>
      </c>
      <c r="D614" s="16">
        <f t="shared" ref="D614:L614" si="214">IF(((D612="")*AND(D613="")),"",(D612-D613)*3)</f>
        <v>13270.23</v>
      </c>
      <c r="E614" s="16">
        <f t="shared" si="214"/>
        <v>13476.090000000007</v>
      </c>
      <c r="F614" s="16">
        <f t="shared" si="214"/>
        <v>13308.330000000002</v>
      </c>
      <c r="G614" s="16">
        <f t="shared" si="214"/>
        <v>13384.169999999998</v>
      </c>
      <c r="H614" s="16">
        <f t="shared" si="214"/>
        <v>13220.819999999996</v>
      </c>
      <c r="I614" s="16">
        <f t="shared" si="214"/>
        <v>12948.21</v>
      </c>
      <c r="J614" s="16">
        <f t="shared" si="214"/>
        <v>13305.839999999997</v>
      </c>
      <c r="K614" s="16">
        <f t="shared" si="214"/>
        <v>13509.870000000003</v>
      </c>
      <c r="L614" s="16">
        <f t="shared" si="214"/>
        <v>13597.799999999996</v>
      </c>
      <c r="M614" s="16">
        <f>SUM(D614:L614)/9</f>
        <v>13335.706666666665</v>
      </c>
      <c r="N614" s="69"/>
      <c r="O614" s="70"/>
      <c r="P614" s="70"/>
      <c r="Q614" s="69"/>
      <c r="R614" s="78"/>
      <c r="S614" s="76"/>
      <c r="V614" s="33"/>
      <c r="W614" s="29"/>
    </row>
    <row r="615" spans="1:27">
      <c r="A615" s="87">
        <v>43509</v>
      </c>
      <c r="B615" s="120" t="s">
        <v>348</v>
      </c>
      <c r="C615" s="57" t="s">
        <v>79</v>
      </c>
      <c r="D615" s="9">
        <v>29066.47</v>
      </c>
      <c r="E615" s="9">
        <v>28977.72</v>
      </c>
      <c r="F615" s="9">
        <v>28982.75</v>
      </c>
      <c r="G615" s="9">
        <v>28993.37</v>
      </c>
      <c r="H615" s="9">
        <v>29090.11</v>
      </c>
      <c r="I615" s="9">
        <v>29072.99</v>
      </c>
      <c r="J615" s="9">
        <v>28977.26</v>
      </c>
      <c r="K615" s="9">
        <v>28972.52</v>
      </c>
      <c r="L615" s="9">
        <v>29052.09</v>
      </c>
      <c r="M615" s="16">
        <f t="shared" si="209"/>
        <v>29020.586666666662</v>
      </c>
      <c r="N615" s="71">
        <f>IF((L616=""),"",MAX(D617:L617))</f>
        <v>11831.25</v>
      </c>
      <c r="O615" s="72">
        <f>IF(L616="","",MIN(D617:L617))</f>
        <v>11470.319999999996</v>
      </c>
      <c r="P615" s="72">
        <f>IF((L617=""),"",AVERAGE(D617:L617))</f>
        <v>11639.49</v>
      </c>
      <c r="Q615" s="156">
        <f>IF((L616=""),"",((N615-O615)/(N615+O615)*100))</f>
        <v>1.5489514225865637</v>
      </c>
      <c r="R615" s="61" t="str">
        <f>IF(L616="","",IF(Q615&lt;Z615,IF(O615&gt;V615,IF(N615&lt;W615,"PASS","FAIL"),"FAIL"),"FAIL"))</f>
        <v>PASS</v>
      </c>
      <c r="S615" s="74">
        <v>1159</v>
      </c>
      <c r="T615" s="68" t="s">
        <v>227</v>
      </c>
      <c r="U615" s="68"/>
      <c r="V615" s="110">
        <v>10000</v>
      </c>
      <c r="W615" s="110">
        <v>15600</v>
      </c>
      <c r="X615" s="111">
        <v>8090</v>
      </c>
      <c r="Y615" s="111">
        <v>12070</v>
      </c>
      <c r="Z615" s="112">
        <v>15</v>
      </c>
      <c r="AA615" s="112">
        <v>6</v>
      </c>
    </row>
    <row r="616" spans="1:27" ht="15.75">
      <c r="A616" s="102"/>
      <c r="B616" s="121"/>
      <c r="C616" s="57" t="s">
        <v>80</v>
      </c>
      <c r="D616" s="9">
        <v>25191.35</v>
      </c>
      <c r="E616" s="9">
        <v>25106.73</v>
      </c>
      <c r="F616" s="9">
        <v>25159.31</v>
      </c>
      <c r="G616" s="9">
        <v>25104.93</v>
      </c>
      <c r="H616" s="9">
        <v>25179.88</v>
      </c>
      <c r="I616" s="9">
        <v>25231.23</v>
      </c>
      <c r="J616" s="9">
        <v>25103.56</v>
      </c>
      <c r="K616" s="9">
        <v>25081.48</v>
      </c>
      <c r="L616" s="9">
        <v>25108.34</v>
      </c>
      <c r="M616" s="16">
        <f t="shared" si="209"/>
        <v>25140.756666666668</v>
      </c>
      <c r="N616" s="53"/>
      <c r="O616" s="63"/>
      <c r="P616" s="63"/>
      <c r="Q616" s="53"/>
      <c r="R616" s="77"/>
      <c r="S616" s="75"/>
      <c r="V616" s="32"/>
      <c r="W616" s="29"/>
    </row>
    <row r="617" spans="1:27" ht="28.5" customHeight="1" thickBot="1">
      <c r="A617" s="103"/>
      <c r="B617" s="121"/>
      <c r="C617" s="73" t="s">
        <v>82</v>
      </c>
      <c r="D617" s="16">
        <f t="shared" ref="D617:L617" si="215">IF(((D615="")*AND(D616="")),"",(D615-D616)*3)</f>
        <v>11625.360000000008</v>
      </c>
      <c r="E617" s="16">
        <f t="shared" si="215"/>
        <v>11612.970000000005</v>
      </c>
      <c r="F617" s="16">
        <f t="shared" si="215"/>
        <v>11470.319999999996</v>
      </c>
      <c r="G617" s="16">
        <f t="shared" si="215"/>
        <v>11665.319999999996</v>
      </c>
      <c r="H617" s="16">
        <f t="shared" si="215"/>
        <v>11730.689999999999</v>
      </c>
      <c r="I617" s="16">
        <f t="shared" si="215"/>
        <v>11525.280000000006</v>
      </c>
      <c r="J617" s="16">
        <f t="shared" si="215"/>
        <v>11621.099999999991</v>
      </c>
      <c r="K617" s="16">
        <f t="shared" si="215"/>
        <v>11673.120000000003</v>
      </c>
      <c r="L617" s="16">
        <f t="shared" si="215"/>
        <v>11831.25</v>
      </c>
      <c r="M617" s="16">
        <f>SUM(D617:L617)/9</f>
        <v>11639.49</v>
      </c>
      <c r="N617" s="69"/>
      <c r="O617" s="70"/>
      <c r="P617" s="70"/>
      <c r="Q617" s="69"/>
      <c r="R617" s="78"/>
      <c r="S617" s="76"/>
      <c r="V617" s="33"/>
      <c r="W617" s="29"/>
    </row>
    <row r="618" spans="1:27">
      <c r="A618" s="87">
        <v>43514</v>
      </c>
      <c r="B618" s="120" t="s">
        <v>348</v>
      </c>
      <c r="C618" s="57" t="s">
        <v>79</v>
      </c>
      <c r="D618" s="9">
        <v>29079.85</v>
      </c>
      <c r="E618" s="9">
        <v>28989.39</v>
      </c>
      <c r="F618" s="9">
        <v>29003.86</v>
      </c>
      <c r="G618" s="9">
        <v>28984.39</v>
      </c>
      <c r="H618" s="9">
        <v>29036.89</v>
      </c>
      <c r="I618" s="9">
        <v>29039.25</v>
      </c>
      <c r="J618" s="9">
        <v>28986.959999999999</v>
      </c>
      <c r="K618" s="9">
        <v>28982.6</v>
      </c>
      <c r="L618" s="9">
        <v>29051.7</v>
      </c>
      <c r="M618" s="16">
        <f t="shared" si="209"/>
        <v>29017.210000000003</v>
      </c>
      <c r="N618" s="71">
        <f>IF((L619=""),"",MAX(D620:L620))</f>
        <v>11876.879999999997</v>
      </c>
      <c r="O618" s="72">
        <f>IF(L619="","",MIN(D620:L620))</f>
        <v>11531.189999999999</v>
      </c>
      <c r="P618" s="72">
        <f>IF((L620=""),"",AVERAGE(D620:L620))</f>
        <v>11684.063333333332</v>
      </c>
      <c r="Q618" s="156">
        <f>IF((L619=""),"",((N618-O618)/(N618+O618)*100))</f>
        <v>1.4767983861975753</v>
      </c>
      <c r="R618" s="61" t="str">
        <f>IF(L619="","",IF(Q618&lt;Z618,IF(O618&gt;V618,IF(N618&lt;W618,"PASS","FAIL"),"FAIL"),"FAIL"))</f>
        <v>PASS</v>
      </c>
      <c r="S618" s="74">
        <v>1159</v>
      </c>
      <c r="T618" s="68" t="s">
        <v>228</v>
      </c>
      <c r="U618" s="68"/>
      <c r="V618" s="110">
        <v>10000</v>
      </c>
      <c r="W618" s="110">
        <v>15600</v>
      </c>
      <c r="X618" s="111">
        <v>8090</v>
      </c>
      <c r="Y618" s="111">
        <v>12070</v>
      </c>
      <c r="Z618" s="112">
        <v>15</v>
      </c>
      <c r="AA618" s="112">
        <v>6</v>
      </c>
    </row>
    <row r="619" spans="1:27" ht="15.75">
      <c r="A619" s="102"/>
      <c r="B619" s="121"/>
      <c r="C619" s="57" t="s">
        <v>80</v>
      </c>
      <c r="D619" s="9">
        <v>25184.37</v>
      </c>
      <c r="E619" s="9">
        <v>25073.16</v>
      </c>
      <c r="F619" s="9">
        <v>25160.13</v>
      </c>
      <c r="G619" s="9">
        <v>25097.84</v>
      </c>
      <c r="H619" s="9">
        <v>25141.46</v>
      </c>
      <c r="I619" s="9">
        <v>25181.45</v>
      </c>
      <c r="J619" s="9">
        <v>25102.44</v>
      </c>
      <c r="K619" s="9">
        <v>25069.11</v>
      </c>
      <c r="L619" s="9">
        <v>25092.74</v>
      </c>
      <c r="M619" s="16">
        <f t="shared" si="209"/>
        <v>25122.522222222222</v>
      </c>
      <c r="N619" s="53"/>
      <c r="O619" s="63"/>
      <c r="P619" s="63"/>
      <c r="Q619" s="53"/>
      <c r="R619" s="77"/>
      <c r="S619" s="75"/>
      <c r="V619" s="32"/>
      <c r="W619" s="29"/>
    </row>
    <row r="620" spans="1:27" ht="28.5" customHeight="1" thickBot="1">
      <c r="A620" s="103"/>
      <c r="B620" s="121"/>
      <c r="C620" s="73" t="s">
        <v>82</v>
      </c>
      <c r="D620" s="16">
        <f t="shared" ref="D620:L620" si="216">IF(((D618="")*AND(D619="")),"",(D618-D619)*3)</f>
        <v>11686.439999999999</v>
      </c>
      <c r="E620" s="16">
        <f t="shared" si="216"/>
        <v>11748.689999999999</v>
      </c>
      <c r="F620" s="16">
        <f t="shared" si="216"/>
        <v>11531.189999999999</v>
      </c>
      <c r="G620" s="16">
        <f t="shared" si="216"/>
        <v>11659.649999999998</v>
      </c>
      <c r="H620" s="16">
        <f t="shared" si="216"/>
        <v>11686.29</v>
      </c>
      <c r="I620" s="16">
        <f t="shared" si="216"/>
        <v>11573.399999999998</v>
      </c>
      <c r="J620" s="16">
        <f t="shared" si="216"/>
        <v>11653.560000000001</v>
      </c>
      <c r="K620" s="16">
        <f t="shared" si="216"/>
        <v>11740.469999999994</v>
      </c>
      <c r="L620" s="16">
        <f t="shared" si="216"/>
        <v>11876.879999999997</v>
      </c>
      <c r="M620" s="16">
        <f>SUM(D620:L620)/9</f>
        <v>11684.063333333332</v>
      </c>
      <c r="N620" s="69"/>
      <c r="O620" s="70"/>
      <c r="P620" s="70"/>
      <c r="Q620" s="69"/>
      <c r="R620" s="78"/>
      <c r="S620" s="76"/>
      <c r="V620" s="33"/>
      <c r="W620" s="29"/>
    </row>
    <row r="621" spans="1:27">
      <c r="A621" s="87">
        <v>43517</v>
      </c>
      <c r="B621" s="120" t="s">
        <v>348</v>
      </c>
      <c r="C621" s="57" t="s">
        <v>79</v>
      </c>
      <c r="D621" s="9">
        <v>29194.92</v>
      </c>
      <c r="E621" s="9">
        <v>29194.92</v>
      </c>
      <c r="F621" s="9">
        <v>29194.92</v>
      </c>
      <c r="G621" s="9">
        <v>29194.92</v>
      </c>
      <c r="H621" s="9">
        <v>29194.92</v>
      </c>
      <c r="I621" s="9">
        <v>29194.92</v>
      </c>
      <c r="J621" s="9">
        <v>29194.92</v>
      </c>
      <c r="K621" s="9">
        <v>29194.92</v>
      </c>
      <c r="L621" s="9">
        <v>29194.92</v>
      </c>
      <c r="M621" s="16">
        <f t="shared" si="209"/>
        <v>29194.919999999991</v>
      </c>
      <c r="N621" s="71">
        <f>IF((L622=""),"",MAX(D623:L623))</f>
        <v>13352.73</v>
      </c>
      <c r="O621" s="72">
        <f>IF(L622="","",MIN(D623:L623))</f>
        <v>12968.699999999993</v>
      </c>
      <c r="P621" s="72">
        <f>IF((L623=""),"",AVERAGE(D623:L623))</f>
        <v>13214.313333333326</v>
      </c>
      <c r="Q621" s="156">
        <f>IF((L622=""),"",((N621-O621)/(N621+O621)*100))</f>
        <v>1.4590012776661685</v>
      </c>
      <c r="R621" s="61" t="str">
        <f>IF(L622="","",IF(Q621&lt;Z621,IF(O621&gt;V621,IF(N621&lt;W621,"PASS","FAIL"),"FAIL"),"FAIL"))</f>
        <v>PASS</v>
      </c>
      <c r="S621" s="74">
        <v>1159</v>
      </c>
      <c r="T621" s="9" t="s">
        <v>229</v>
      </c>
      <c r="V621" s="110">
        <v>10000</v>
      </c>
      <c r="W621" s="110">
        <v>15600</v>
      </c>
      <c r="X621" s="111">
        <v>8090</v>
      </c>
      <c r="Y621" s="111">
        <v>12070</v>
      </c>
      <c r="Z621" s="112">
        <v>15</v>
      </c>
      <c r="AA621" s="112">
        <v>6</v>
      </c>
    </row>
    <row r="622" spans="1:27" ht="15.75">
      <c r="A622" s="102"/>
      <c r="B622" s="121"/>
      <c r="C622" s="57" t="s">
        <v>80</v>
      </c>
      <c r="D622" s="9">
        <v>24867.47</v>
      </c>
      <c r="E622" s="9">
        <v>24749.83</v>
      </c>
      <c r="F622" s="9">
        <v>24872.02</v>
      </c>
      <c r="G622" s="9">
        <v>24748.34</v>
      </c>
      <c r="H622" s="9">
        <v>24778.16</v>
      </c>
      <c r="I622" s="9">
        <v>24817.81</v>
      </c>
      <c r="J622" s="9">
        <v>24744.01</v>
      </c>
      <c r="K622" s="9">
        <v>24752.43</v>
      </c>
      <c r="L622" s="9">
        <v>24781.27</v>
      </c>
      <c r="M622" s="16">
        <f t="shared" si="209"/>
        <v>24790.148888888889</v>
      </c>
      <c r="N622" s="53"/>
      <c r="O622" s="63"/>
      <c r="P622" s="63"/>
      <c r="Q622" s="53"/>
      <c r="R622" s="77"/>
      <c r="S622" s="75"/>
      <c r="V622" s="32"/>
      <c r="W622" s="29"/>
    </row>
    <row r="623" spans="1:27" ht="24" customHeight="1" thickBot="1">
      <c r="A623" s="103"/>
      <c r="B623" s="121"/>
      <c r="C623" s="73" t="s">
        <v>82</v>
      </c>
      <c r="D623" s="16">
        <f t="shared" ref="D623:L623" si="217">IF(((D621="")*AND(D622="")),"",(D621-D622)*3)</f>
        <v>12982.349999999991</v>
      </c>
      <c r="E623" s="16">
        <f t="shared" si="217"/>
        <v>13335.26999999999</v>
      </c>
      <c r="F623" s="16">
        <f t="shared" si="217"/>
        <v>12968.699999999993</v>
      </c>
      <c r="G623" s="16">
        <f t="shared" si="217"/>
        <v>13339.739999999994</v>
      </c>
      <c r="H623" s="16">
        <f t="shared" si="217"/>
        <v>13250.279999999995</v>
      </c>
      <c r="I623" s="16">
        <f t="shared" si="217"/>
        <v>13131.329999999991</v>
      </c>
      <c r="J623" s="16">
        <f t="shared" si="217"/>
        <v>13352.73</v>
      </c>
      <c r="K623" s="16">
        <f t="shared" si="217"/>
        <v>13327.469999999994</v>
      </c>
      <c r="L623" s="16">
        <f t="shared" si="217"/>
        <v>13240.949999999993</v>
      </c>
      <c r="M623" s="16">
        <f>SUM(D623:L623)/9</f>
        <v>13214.313333333326</v>
      </c>
      <c r="N623" s="69"/>
      <c r="O623" s="70"/>
      <c r="P623" s="70"/>
      <c r="Q623" s="69"/>
      <c r="R623" s="78"/>
      <c r="S623" s="76"/>
      <c r="V623" s="33"/>
      <c r="W623" s="29"/>
    </row>
    <row r="624" spans="1:27">
      <c r="A624" s="87">
        <v>43521</v>
      </c>
      <c r="B624" s="120" t="s">
        <v>348</v>
      </c>
      <c r="C624" s="57" t="s">
        <v>79</v>
      </c>
      <c r="D624" s="9">
        <v>29153.439999999999</v>
      </c>
      <c r="E624" s="9">
        <v>29088.54</v>
      </c>
      <c r="F624" s="9">
        <v>29099.96</v>
      </c>
      <c r="G624" s="9">
        <v>29092.75</v>
      </c>
      <c r="H624" s="9">
        <v>29148.25</v>
      </c>
      <c r="I624" s="9">
        <v>29130.27</v>
      </c>
      <c r="J624" s="9">
        <v>29085.66</v>
      </c>
      <c r="K624" s="9">
        <v>29083.73</v>
      </c>
      <c r="L624" s="9">
        <v>29120.47</v>
      </c>
      <c r="M624" s="16">
        <f t="shared" si="209"/>
        <v>29111.452222222222</v>
      </c>
      <c r="N624" s="71">
        <f>IF((L625=""),"",MAX(D626:L626))</f>
        <v>13041.390000000003</v>
      </c>
      <c r="O624" s="72">
        <f>IF(L625="","",MIN(D626:L626))</f>
        <v>12651.299999999996</v>
      </c>
      <c r="P624" s="72">
        <f>IF((L626=""),"",AVERAGE(D626:L626))</f>
        <v>12857.863333333333</v>
      </c>
      <c r="Q624" s="156">
        <f>IF((L625=""),"",((N624-O624)/(N624+O624)*100))</f>
        <v>1.5182917787121841</v>
      </c>
      <c r="R624" s="61" t="str">
        <f>IF(L625="","",IF(Q624&lt;Z624,IF(O624&gt;V624,IF(N624&lt;W624,"PASS","FAIL"),"FAIL"),"FAIL"))</f>
        <v>PASS</v>
      </c>
      <c r="S624" s="74" t="s">
        <v>214</v>
      </c>
      <c r="T624" s="9" t="s">
        <v>230</v>
      </c>
      <c r="V624" s="110">
        <v>10000</v>
      </c>
      <c r="W624" s="110">
        <v>15600</v>
      </c>
      <c r="X624" s="111">
        <v>8090</v>
      </c>
      <c r="Y624" s="111">
        <v>12070</v>
      </c>
      <c r="Z624" s="112">
        <v>15</v>
      </c>
      <c r="AA624" s="112">
        <v>6</v>
      </c>
    </row>
    <row r="625" spans="1:27" ht="15.75">
      <c r="A625" s="102"/>
      <c r="B625" s="121"/>
      <c r="C625" s="57" t="s">
        <v>80</v>
      </c>
      <c r="D625" s="9">
        <v>24936.34</v>
      </c>
      <c r="E625" s="9">
        <v>24807.99</v>
      </c>
      <c r="F625" s="9">
        <v>24871.23</v>
      </c>
      <c r="G625" s="9">
        <v>24783.83</v>
      </c>
      <c r="H625" s="9">
        <v>24801.119999999999</v>
      </c>
      <c r="I625" s="9">
        <v>24795.11</v>
      </c>
      <c r="J625" s="9">
        <v>24765.57</v>
      </c>
      <c r="K625" s="9">
        <v>24802.83</v>
      </c>
      <c r="L625" s="9">
        <v>24865.46</v>
      </c>
      <c r="M625" s="16">
        <f t="shared" si="209"/>
        <v>24825.497777777779</v>
      </c>
      <c r="N625" s="53"/>
      <c r="O625" s="63"/>
      <c r="P625" s="63"/>
      <c r="Q625" s="53"/>
      <c r="R625" s="77"/>
      <c r="S625" s="75"/>
      <c r="V625" s="32"/>
      <c r="W625" s="29"/>
    </row>
    <row r="626" spans="1:27" ht="24.75" customHeight="1" thickBot="1">
      <c r="A626" s="103"/>
      <c r="B626" s="121"/>
      <c r="C626" s="73" t="s">
        <v>82</v>
      </c>
      <c r="D626" s="16">
        <f t="shared" ref="D626:L626" si="218">IF(((D624="")*AND(D625="")),"",(D624-D625)*3)</f>
        <v>12651.299999999996</v>
      </c>
      <c r="E626" s="16">
        <f t="shared" si="218"/>
        <v>12841.649999999998</v>
      </c>
      <c r="F626" s="16">
        <f t="shared" si="218"/>
        <v>12686.189999999999</v>
      </c>
      <c r="G626" s="16">
        <f t="shared" si="218"/>
        <v>12926.759999999995</v>
      </c>
      <c r="H626" s="16">
        <f t="shared" si="218"/>
        <v>13041.390000000003</v>
      </c>
      <c r="I626" s="16">
        <f t="shared" si="218"/>
        <v>13005.48</v>
      </c>
      <c r="J626" s="16">
        <f t="shared" si="218"/>
        <v>12960.27</v>
      </c>
      <c r="K626" s="16">
        <f t="shared" si="218"/>
        <v>12842.699999999993</v>
      </c>
      <c r="L626" s="16">
        <f t="shared" si="218"/>
        <v>12765.030000000006</v>
      </c>
      <c r="M626" s="16">
        <f t="shared" si="209"/>
        <v>12857.863333333333</v>
      </c>
      <c r="N626" s="69"/>
      <c r="O626" s="70"/>
      <c r="P626" s="70"/>
      <c r="Q626" s="69"/>
      <c r="R626" s="78"/>
      <c r="S626" s="76"/>
      <c r="V626" s="33"/>
      <c r="W626" s="29"/>
    </row>
    <row r="627" spans="1:27">
      <c r="A627" s="87">
        <v>43524</v>
      </c>
      <c r="B627" s="120" t="s">
        <v>348</v>
      </c>
      <c r="C627" s="57" t="s">
        <v>79</v>
      </c>
      <c r="D627" s="9">
        <v>29109.75</v>
      </c>
      <c r="E627" s="9">
        <v>29041.26</v>
      </c>
      <c r="F627" s="9">
        <v>29058.17</v>
      </c>
      <c r="G627" s="9">
        <v>29022.91</v>
      </c>
      <c r="H627" s="9">
        <v>29072.97</v>
      </c>
      <c r="I627" s="9">
        <v>29070.85</v>
      </c>
      <c r="J627" s="9">
        <v>29016</v>
      </c>
      <c r="K627" s="9">
        <v>29030.67</v>
      </c>
      <c r="L627" s="9">
        <v>29076.15</v>
      </c>
      <c r="M627" s="16">
        <f t="shared" si="209"/>
        <v>29055.414444444446</v>
      </c>
      <c r="N627" s="71">
        <f>IF((L628=""),"",MAX(D629:L629))</f>
        <v>11157.989999999994</v>
      </c>
      <c r="O627" s="72">
        <f>IF(L628="","",MIN(D629:L629))</f>
        <v>10990.470000000005</v>
      </c>
      <c r="P627" s="72">
        <f>IF((L629=""),"",AVERAGE(D629:L629))</f>
        <v>11082.739999999998</v>
      </c>
      <c r="Q627" s="156">
        <f>IF((L628=""),"",((N627-O627)/(N627+O627)*100))</f>
        <v>0.75635055439515664</v>
      </c>
      <c r="R627" s="61" t="str">
        <f>IF(L628="","",IF(Q627&lt;Z627,IF(O627&gt;V627,IF(N627&lt;W627,"PASS","FAIL"),"FAIL"),"FAIL"))</f>
        <v>PASS</v>
      </c>
      <c r="S627" s="74" t="s">
        <v>231</v>
      </c>
      <c r="T627" s="9" t="s">
        <v>232</v>
      </c>
      <c r="V627" s="110">
        <v>10000</v>
      </c>
      <c r="W627" s="110">
        <v>15600</v>
      </c>
      <c r="X627" s="111">
        <v>8090</v>
      </c>
      <c r="Y627" s="111">
        <v>12070</v>
      </c>
      <c r="Z627" s="112">
        <v>15</v>
      </c>
      <c r="AA627" s="112">
        <v>6</v>
      </c>
    </row>
    <row r="628" spans="1:27" ht="15.75">
      <c r="A628" s="102"/>
      <c r="B628" s="121"/>
      <c r="C628" s="57" t="s">
        <v>80</v>
      </c>
      <c r="D628" s="9">
        <v>25446.26</v>
      </c>
      <c r="E628" s="9">
        <v>25327.5</v>
      </c>
      <c r="F628" s="9">
        <v>25387.29</v>
      </c>
      <c r="G628" s="9">
        <v>25311.47</v>
      </c>
      <c r="H628" s="9">
        <v>25380.6</v>
      </c>
      <c r="I628" s="9">
        <v>25379.3</v>
      </c>
      <c r="J628" s="9">
        <v>25305.84</v>
      </c>
      <c r="K628" s="9">
        <v>25311.34</v>
      </c>
      <c r="L628" s="9">
        <v>25400.91</v>
      </c>
      <c r="M628" s="16">
        <f t="shared" si="209"/>
        <v>25361.167777777777</v>
      </c>
      <c r="N628" s="53"/>
      <c r="O628" s="63"/>
      <c r="P628" s="63"/>
      <c r="Q628" s="53"/>
      <c r="R628" s="77"/>
      <c r="S628" s="75"/>
      <c r="V628" s="32"/>
      <c r="W628" s="29"/>
    </row>
    <row r="629" spans="1:27" ht="24.75" customHeight="1" thickBot="1">
      <c r="A629" s="87"/>
      <c r="B629" s="121"/>
      <c r="C629" s="73" t="s">
        <v>82</v>
      </c>
      <c r="D629" s="16">
        <f t="shared" ref="D629:L629" si="219">IF(((D627="")*AND(D628="")),"",(D627-D628)*3)</f>
        <v>10990.470000000005</v>
      </c>
      <c r="E629" s="16">
        <f t="shared" si="219"/>
        <v>11141.279999999995</v>
      </c>
      <c r="F629" s="16">
        <f t="shared" si="219"/>
        <v>11012.639999999992</v>
      </c>
      <c r="G629" s="16">
        <f t="shared" si="219"/>
        <v>11134.319999999996</v>
      </c>
      <c r="H629" s="16">
        <f t="shared" si="219"/>
        <v>11077.110000000008</v>
      </c>
      <c r="I629" s="16">
        <f t="shared" si="219"/>
        <v>11074.649999999998</v>
      </c>
      <c r="J629" s="16">
        <f t="shared" si="219"/>
        <v>11130.48</v>
      </c>
      <c r="K629" s="16">
        <f t="shared" si="219"/>
        <v>11157.989999999994</v>
      </c>
      <c r="L629" s="16">
        <f t="shared" si="219"/>
        <v>11025.720000000005</v>
      </c>
      <c r="M629" s="16">
        <f t="shared" si="209"/>
        <v>11082.739999999998</v>
      </c>
      <c r="N629" s="69"/>
      <c r="O629" s="70"/>
      <c r="P629" s="70"/>
      <c r="Q629" s="69"/>
      <c r="R629" s="78"/>
      <c r="S629" s="76"/>
      <c r="V629" s="33"/>
      <c r="W629" s="29"/>
    </row>
    <row r="630" spans="1:27">
      <c r="A630" s="98">
        <v>43528</v>
      </c>
      <c r="B630" s="120" t="s">
        <v>348</v>
      </c>
      <c r="C630" s="57" t="s">
        <v>79</v>
      </c>
      <c r="D630" s="9">
        <v>28990.47</v>
      </c>
      <c r="E630" s="9">
        <v>28913.48</v>
      </c>
      <c r="F630" s="9">
        <v>28928.22</v>
      </c>
      <c r="G630" s="9">
        <v>28913.34</v>
      </c>
      <c r="H630" s="9">
        <v>28992.31</v>
      </c>
      <c r="I630" s="9">
        <v>28984.5</v>
      </c>
      <c r="J630" s="9">
        <v>28900.89</v>
      </c>
      <c r="K630" s="9">
        <v>28894.36</v>
      </c>
      <c r="L630" s="9">
        <v>29002.06</v>
      </c>
      <c r="M630" s="16">
        <f t="shared" si="209"/>
        <v>28946.625555555554</v>
      </c>
      <c r="N630" s="59">
        <f>IF((L631=""),"",MAX(D632:L632))</f>
        <v>12813.089999999997</v>
      </c>
      <c r="O630" s="59">
        <f>IF(L631="","",MIN(D632:L632))</f>
        <v>12527.580000000002</v>
      </c>
      <c r="P630" s="60">
        <f>IF((L632=""),"",AVERAGE(D632:L632))</f>
        <v>12692.216666666667</v>
      </c>
      <c r="Q630" s="156">
        <f>IF((L631=""),"",((N630-O630)/(N630+O630)*100))</f>
        <v>1.1266868634491305</v>
      </c>
      <c r="R630" s="61" t="str">
        <f>IF(L631="","",IF(Q630&lt;Z630,IF(O630&gt;V630,IF(N630&lt;W630,"PASS","FAIL"),"FAIL"),"FAIL"))</f>
        <v>PASS</v>
      </c>
      <c r="S630" s="62">
        <v>1159</v>
      </c>
      <c r="T630" s="9" t="s">
        <v>233</v>
      </c>
      <c r="V630" s="110">
        <v>10000</v>
      </c>
      <c r="W630" s="110">
        <v>15600</v>
      </c>
      <c r="X630" s="111">
        <v>8090</v>
      </c>
      <c r="Y630" s="111">
        <v>12070</v>
      </c>
      <c r="Z630" s="112">
        <v>15</v>
      </c>
      <c r="AA630" s="112">
        <v>6</v>
      </c>
    </row>
    <row r="631" spans="1:27" ht="15.75">
      <c r="A631" s="99"/>
      <c r="B631" s="121"/>
      <c r="C631" s="57" t="s">
        <v>80</v>
      </c>
      <c r="D631" s="9">
        <v>24798.93</v>
      </c>
      <c r="E631" s="9">
        <v>24652.85</v>
      </c>
      <c r="F631" s="9">
        <v>24752.36</v>
      </c>
      <c r="G631" s="9">
        <v>24660.71</v>
      </c>
      <c r="H631" s="9">
        <v>24770.87</v>
      </c>
      <c r="I631" s="9">
        <v>24727.9</v>
      </c>
      <c r="J631" s="9">
        <v>24629.86</v>
      </c>
      <c r="K631" s="9">
        <v>24659.71</v>
      </c>
      <c r="L631" s="9">
        <v>24789.79</v>
      </c>
      <c r="M631" s="16">
        <f t="shared" si="209"/>
        <v>24715.886666666665</v>
      </c>
      <c r="N631" s="53"/>
      <c r="O631" s="53"/>
      <c r="P631" s="63"/>
      <c r="Q631" s="53"/>
      <c r="R631" s="64"/>
      <c r="S631" s="54"/>
      <c r="V631" s="32"/>
      <c r="W631" s="29"/>
    </row>
    <row r="632" spans="1:27" ht="24" customHeight="1">
      <c r="A632" s="100"/>
      <c r="B632" s="121"/>
      <c r="C632" s="57" t="s">
        <v>82</v>
      </c>
      <c r="D632" s="16">
        <f t="shared" ref="D632:L632" si="220">IF(((D630="")*AND(D631="")),"",(D630-D631)*3)</f>
        <v>12574.620000000003</v>
      </c>
      <c r="E632" s="16">
        <f t="shared" si="220"/>
        <v>12781.890000000003</v>
      </c>
      <c r="F632" s="16">
        <f t="shared" si="220"/>
        <v>12527.580000000002</v>
      </c>
      <c r="G632" s="16">
        <f t="shared" si="220"/>
        <v>12757.890000000003</v>
      </c>
      <c r="H632" s="16">
        <f t="shared" si="220"/>
        <v>12664.320000000007</v>
      </c>
      <c r="I632" s="16">
        <f t="shared" si="220"/>
        <v>12769.799999999996</v>
      </c>
      <c r="J632" s="16">
        <f t="shared" si="220"/>
        <v>12813.089999999997</v>
      </c>
      <c r="K632" s="16">
        <f t="shared" si="220"/>
        <v>12703.950000000004</v>
      </c>
      <c r="L632" s="16">
        <f t="shared" si="220"/>
        <v>12636.810000000001</v>
      </c>
      <c r="M632" s="16">
        <f t="shared" si="209"/>
        <v>12692.216666666667</v>
      </c>
      <c r="N632" s="65"/>
      <c r="O632" s="65"/>
      <c r="P632" s="66"/>
      <c r="Q632" s="65"/>
      <c r="R632" s="67"/>
      <c r="S632" s="58"/>
      <c r="V632" s="33"/>
      <c r="W632" s="29"/>
    </row>
    <row r="633" spans="1:27">
      <c r="A633" s="98">
        <v>43531</v>
      </c>
      <c r="B633" s="120" t="s">
        <v>348</v>
      </c>
      <c r="C633" s="57" t="s">
        <v>79</v>
      </c>
      <c r="D633" s="9">
        <v>29009.85</v>
      </c>
      <c r="E633" s="9">
        <v>28922.99</v>
      </c>
      <c r="F633" s="9">
        <v>28934.95</v>
      </c>
      <c r="G633" s="9">
        <v>28895.1</v>
      </c>
      <c r="H633" s="9">
        <v>28980.65</v>
      </c>
      <c r="I633" s="9">
        <v>28980.799999999999</v>
      </c>
      <c r="J633" s="9">
        <v>28896.62</v>
      </c>
      <c r="K633" s="9">
        <v>28898.69</v>
      </c>
      <c r="L633" s="9">
        <v>29006.35</v>
      </c>
      <c r="M633" s="16">
        <f t="shared" si="209"/>
        <v>28947.333333333328</v>
      </c>
      <c r="N633" s="59">
        <f>IF((L634=""),"",MAX(D635:L635))</f>
        <v>12850.349999999991</v>
      </c>
      <c r="O633" s="59">
        <f>IF(L634="","",MIN(D635:L635))</f>
        <v>12648</v>
      </c>
      <c r="P633" s="60">
        <f>IF((L635=""),"",AVERAGE(D635:L635))</f>
        <v>12771.416666666664</v>
      </c>
      <c r="Q633" s="156">
        <f>IF((L634=""),"",((N633-O633)/(N633+O633)*100))</f>
        <v>0.79358076110803766</v>
      </c>
      <c r="R633" s="61" t="str">
        <f>IF(L634="","",IF(Q633&lt;Z633,IF(O633&gt;V633,IF(N633&lt;W633,"PASS","FAIL"),"FAIL"),"FAIL"))</f>
        <v>PASS</v>
      </c>
      <c r="S633" s="62" t="s">
        <v>234</v>
      </c>
      <c r="T633" s="9" t="s">
        <v>288</v>
      </c>
      <c r="V633" s="110">
        <v>10000</v>
      </c>
      <c r="W633" s="110">
        <v>15600</v>
      </c>
      <c r="X633" s="111">
        <v>8090</v>
      </c>
      <c r="Y633" s="111">
        <v>12070</v>
      </c>
      <c r="Z633" s="112">
        <v>15</v>
      </c>
      <c r="AA633" s="112">
        <v>6</v>
      </c>
    </row>
    <row r="634" spans="1:27" ht="15.75">
      <c r="A634" s="99"/>
      <c r="B634" s="121"/>
      <c r="C634" s="57" t="s">
        <v>80</v>
      </c>
      <c r="D634" s="9">
        <v>24786.04</v>
      </c>
      <c r="E634" s="9">
        <v>24640.76</v>
      </c>
      <c r="F634" s="9">
        <v>24718.95</v>
      </c>
      <c r="G634" s="9">
        <v>24628.17</v>
      </c>
      <c r="H634" s="9">
        <v>24736.32</v>
      </c>
      <c r="I634" s="9">
        <v>24736.880000000001</v>
      </c>
      <c r="J634" s="9">
        <v>24615.62</v>
      </c>
      <c r="K634" s="9">
        <v>24615.24</v>
      </c>
      <c r="L634" s="9">
        <v>24733.77</v>
      </c>
      <c r="M634" s="16">
        <f t="shared" si="209"/>
        <v>24690.194444444442</v>
      </c>
      <c r="N634" s="53"/>
      <c r="O634" s="53"/>
      <c r="P634" s="63"/>
      <c r="Q634" s="53"/>
      <c r="R634" s="64"/>
      <c r="S634" s="54"/>
      <c r="V634" s="32"/>
      <c r="W634" s="29"/>
    </row>
    <row r="635" spans="1:27" ht="25.5" customHeight="1">
      <c r="A635" s="100"/>
      <c r="B635" s="121"/>
      <c r="C635" s="57" t="s">
        <v>82</v>
      </c>
      <c r="D635" s="16">
        <f t="shared" ref="D635:L635" si="221">IF(((D633="")*AND(D634="")),"",(D633-D634)*3)</f>
        <v>12671.429999999993</v>
      </c>
      <c r="E635" s="16">
        <f t="shared" si="221"/>
        <v>12846.69000000001</v>
      </c>
      <c r="F635" s="16">
        <f t="shared" si="221"/>
        <v>12648</v>
      </c>
      <c r="G635" s="16">
        <f t="shared" si="221"/>
        <v>12800.79</v>
      </c>
      <c r="H635" s="16">
        <f t="shared" si="221"/>
        <v>12732.990000000005</v>
      </c>
      <c r="I635" s="16">
        <f t="shared" si="221"/>
        <v>12731.759999999995</v>
      </c>
      <c r="J635" s="16">
        <f t="shared" si="221"/>
        <v>12843</v>
      </c>
      <c r="K635" s="16">
        <f t="shared" si="221"/>
        <v>12850.349999999991</v>
      </c>
      <c r="L635" s="16">
        <f t="shared" si="221"/>
        <v>12817.739999999994</v>
      </c>
      <c r="M635" s="16">
        <f t="shared" si="209"/>
        <v>12771.416666666664</v>
      </c>
      <c r="N635" s="65"/>
      <c r="O635" s="65"/>
      <c r="P635" s="66"/>
      <c r="Q635" s="65"/>
      <c r="R635" s="67"/>
      <c r="S635" s="58"/>
      <c r="V635" s="33"/>
      <c r="W635" s="29"/>
    </row>
    <row r="636" spans="1:27">
      <c r="A636" s="98">
        <v>43535</v>
      </c>
      <c r="B636" s="120" t="s">
        <v>348</v>
      </c>
      <c r="C636" s="57" t="s">
        <v>79</v>
      </c>
      <c r="D636" s="9">
        <v>29011.87</v>
      </c>
      <c r="E636" s="9">
        <v>28861.59</v>
      </c>
      <c r="F636" s="9">
        <v>28758.01</v>
      </c>
      <c r="G636" s="9">
        <v>28802.52</v>
      </c>
      <c r="H636" s="9">
        <v>28978.32</v>
      </c>
      <c r="I636" s="9">
        <v>28986.45</v>
      </c>
      <c r="J636" s="9">
        <v>28833.93</v>
      </c>
      <c r="K636" s="9">
        <v>28825.94</v>
      </c>
      <c r="L636" s="9">
        <v>29029.66</v>
      </c>
      <c r="M636" s="16">
        <f t="shared" si="209"/>
        <v>28898.698888888888</v>
      </c>
      <c r="N636" s="59">
        <f>IF((L637=""),"",MAX(D638:L638))</f>
        <v>13064.819999999996</v>
      </c>
      <c r="O636" s="59">
        <f>IF(L637="","",MIN(D638:L638))</f>
        <v>12539.25</v>
      </c>
      <c r="P636" s="60">
        <f>IF((L638=""),"",AVERAGE(D638:L638))</f>
        <v>12804.29</v>
      </c>
      <c r="Q636" s="156">
        <f>IF((L637=""),"",((N636-O636)/(N636+O636)*100))</f>
        <v>2.0526814682196859</v>
      </c>
      <c r="R636" s="61" t="str">
        <f>IF(L637="","",IF(Q636&lt;Z636,IF(O636&gt;V636,IF(N636&lt;W636,"PASS","FAIL"),"FAIL"),"FAIL"))</f>
        <v>PASS</v>
      </c>
      <c r="S636" s="62">
        <v>1428</v>
      </c>
      <c r="T636" s="9" t="s">
        <v>235</v>
      </c>
      <c r="V636" s="110">
        <v>10000</v>
      </c>
      <c r="W636" s="110">
        <v>15600</v>
      </c>
      <c r="X636" s="111">
        <v>8090</v>
      </c>
      <c r="Y636" s="111">
        <v>12070</v>
      </c>
      <c r="Z636" s="112">
        <v>15</v>
      </c>
      <c r="AA636" s="112">
        <v>6</v>
      </c>
    </row>
    <row r="637" spans="1:27" ht="15.75">
      <c r="A637" s="99"/>
      <c r="B637" s="121"/>
      <c r="C637" s="57" t="s">
        <v>80</v>
      </c>
      <c r="D637" s="9">
        <v>24740.28</v>
      </c>
      <c r="E637" s="9">
        <v>24559.43</v>
      </c>
      <c r="F637" s="9">
        <v>24544.880000000001</v>
      </c>
      <c r="G637" s="9">
        <v>24533.22</v>
      </c>
      <c r="H637" s="9">
        <v>24798.57</v>
      </c>
      <c r="I637" s="9">
        <v>24747.94</v>
      </c>
      <c r="J637" s="9">
        <v>24547.82</v>
      </c>
      <c r="K637" s="9">
        <v>24528.560000000001</v>
      </c>
      <c r="L637" s="9">
        <v>24674.720000000001</v>
      </c>
      <c r="M637" s="16">
        <f t="shared" si="209"/>
        <v>24630.602222222224</v>
      </c>
      <c r="N637" s="53"/>
      <c r="O637" s="53"/>
      <c r="P637" s="63"/>
      <c r="Q637" s="53"/>
      <c r="R637" s="64"/>
      <c r="S637" s="54"/>
      <c r="V637" s="32"/>
      <c r="W637" s="29"/>
    </row>
    <row r="638" spans="1:27" ht="24.75" customHeight="1">
      <c r="A638" s="100"/>
      <c r="B638" s="121"/>
      <c r="C638" s="57" t="s">
        <v>82</v>
      </c>
      <c r="D638" s="16">
        <f t="shared" ref="D638:L638" si="222">IF(((D636="")*AND(D637="")),"",(D636-D637)*3)</f>
        <v>12814.77</v>
      </c>
      <c r="E638" s="16">
        <f t="shared" si="222"/>
        <v>12906.48</v>
      </c>
      <c r="F638" s="16">
        <f t="shared" si="222"/>
        <v>12639.389999999992</v>
      </c>
      <c r="G638" s="16">
        <f t="shared" si="222"/>
        <v>12807.899999999998</v>
      </c>
      <c r="H638" s="16">
        <f t="shared" si="222"/>
        <v>12539.25</v>
      </c>
      <c r="I638" s="16">
        <f t="shared" si="222"/>
        <v>12715.530000000006</v>
      </c>
      <c r="J638" s="16">
        <f t="shared" si="222"/>
        <v>12858.330000000002</v>
      </c>
      <c r="K638" s="16">
        <f t="shared" si="222"/>
        <v>12892.139999999992</v>
      </c>
      <c r="L638" s="16">
        <f t="shared" si="222"/>
        <v>13064.819999999996</v>
      </c>
      <c r="M638" s="16">
        <f t="shared" si="209"/>
        <v>12804.29</v>
      </c>
      <c r="N638" s="65"/>
      <c r="O638" s="65"/>
      <c r="P638" s="66"/>
      <c r="Q638" s="65"/>
      <c r="R638" s="67"/>
      <c r="S638" s="58"/>
      <c r="V638" s="33"/>
      <c r="W638" s="29"/>
    </row>
    <row r="639" spans="1:27">
      <c r="A639" s="98">
        <v>43538</v>
      </c>
      <c r="B639" s="120" t="s">
        <v>348</v>
      </c>
      <c r="C639" s="57" t="s">
        <v>79</v>
      </c>
      <c r="D639" s="9">
        <v>28960.83</v>
      </c>
      <c r="E639" s="9">
        <v>28859.3</v>
      </c>
      <c r="F639" s="9">
        <v>28857.15</v>
      </c>
      <c r="G639" s="9">
        <v>28862.720000000001</v>
      </c>
      <c r="H639" s="9">
        <v>28976.29</v>
      </c>
      <c r="I639" s="9">
        <v>28918.959999999999</v>
      </c>
      <c r="J639" s="9">
        <v>28854.11</v>
      </c>
      <c r="K639" s="9">
        <v>28865.74</v>
      </c>
      <c r="L639" s="9">
        <v>28947.99</v>
      </c>
      <c r="M639" s="16">
        <f t="shared" si="209"/>
        <v>28900.343333333331</v>
      </c>
      <c r="N639" s="59">
        <f>IF((L640=""),"",MAX(D641:L641))</f>
        <v>12336.930000000004</v>
      </c>
      <c r="O639" s="59">
        <f>IF(L640="","",MIN(D641:L641))</f>
        <v>11760.21</v>
      </c>
      <c r="P639" s="60">
        <f>IF((L641=""),"",AVERAGE(D641:L641))</f>
        <v>11955.846666666668</v>
      </c>
      <c r="Q639" s="156">
        <f>IF((L640=""),"",((N639-O639)/(N639+O639)*100))</f>
        <v>2.3933130653679431</v>
      </c>
      <c r="R639" s="61" t="str">
        <f>IF(L640="","",IF(Q639&lt;Z639,IF(O639&gt;V639,IF(N639&lt;W639,"PASS","FAIL"),"FAIL"),"FAIL"))</f>
        <v>PASS</v>
      </c>
      <c r="S639" s="62">
        <v>74</v>
      </c>
      <c r="T639" s="104" t="s">
        <v>236</v>
      </c>
      <c r="U639" s="104"/>
      <c r="V639" s="110">
        <v>10000</v>
      </c>
      <c r="W639" s="110">
        <v>15600</v>
      </c>
      <c r="X639" s="111">
        <v>8090</v>
      </c>
      <c r="Y639" s="111">
        <v>12070</v>
      </c>
      <c r="Z639" s="112">
        <v>15</v>
      </c>
      <c r="AA639" s="112">
        <v>6</v>
      </c>
    </row>
    <row r="640" spans="1:27" ht="15.75">
      <c r="A640" s="99"/>
      <c r="B640" s="121"/>
      <c r="C640" s="57" t="s">
        <v>80</v>
      </c>
      <c r="D640" s="9">
        <v>24991.95</v>
      </c>
      <c r="E640" s="9">
        <v>24868.18</v>
      </c>
      <c r="F640" s="9">
        <v>24937.08</v>
      </c>
      <c r="G640" s="9">
        <v>24903.200000000001</v>
      </c>
      <c r="H640" s="9">
        <v>25018.720000000001</v>
      </c>
      <c r="I640" s="9">
        <v>24932.33</v>
      </c>
      <c r="J640" s="9">
        <v>24887.78</v>
      </c>
      <c r="K640" s="9">
        <v>24860.63</v>
      </c>
      <c r="L640" s="9">
        <v>24835.68</v>
      </c>
      <c r="M640" s="16">
        <f t="shared" si="209"/>
        <v>24915.061111111114</v>
      </c>
      <c r="N640" s="53"/>
      <c r="O640" s="53"/>
      <c r="P640" s="63"/>
      <c r="Q640" s="53"/>
      <c r="R640" s="64"/>
      <c r="S640" s="54"/>
      <c r="V640" s="32"/>
      <c r="W640" s="29"/>
    </row>
    <row r="641" spans="1:27" ht="24" customHeight="1">
      <c r="A641" s="100"/>
      <c r="B641" s="121"/>
      <c r="C641" s="57" t="s">
        <v>82</v>
      </c>
      <c r="D641" s="16">
        <f t="shared" ref="D641:L641" si="223">IF(((D639="")*AND(D640="")),"",(D639-D640)*3)</f>
        <v>11906.640000000003</v>
      </c>
      <c r="E641" s="16">
        <f t="shared" si="223"/>
        <v>11973.359999999997</v>
      </c>
      <c r="F641" s="16">
        <f t="shared" si="223"/>
        <v>11760.21</v>
      </c>
      <c r="G641" s="16">
        <f t="shared" si="223"/>
        <v>11878.560000000001</v>
      </c>
      <c r="H641" s="16">
        <f t="shared" si="223"/>
        <v>11872.71</v>
      </c>
      <c r="I641" s="16">
        <f t="shared" si="223"/>
        <v>11959.889999999992</v>
      </c>
      <c r="J641" s="16">
        <f t="shared" si="223"/>
        <v>11898.990000000005</v>
      </c>
      <c r="K641" s="16">
        <f t="shared" si="223"/>
        <v>12015.330000000002</v>
      </c>
      <c r="L641" s="16">
        <f t="shared" si="223"/>
        <v>12336.930000000004</v>
      </c>
      <c r="M641" s="16">
        <f t="shared" si="209"/>
        <v>11955.846666666668</v>
      </c>
      <c r="N641" s="65"/>
      <c r="O641" s="65"/>
      <c r="P641" s="66"/>
      <c r="Q641" s="65"/>
      <c r="R641" s="67"/>
      <c r="S641" s="58"/>
      <c r="V641" s="33"/>
      <c r="W641" s="29"/>
    </row>
    <row r="642" spans="1:27">
      <c r="A642" s="98">
        <v>43542</v>
      </c>
      <c r="B642" s="120" t="s">
        <v>348</v>
      </c>
      <c r="C642" s="57" t="s">
        <v>79</v>
      </c>
      <c r="D642" s="9">
        <v>29023.3</v>
      </c>
      <c r="E642" s="9">
        <v>28907.91</v>
      </c>
      <c r="F642" s="9">
        <v>28906.19</v>
      </c>
      <c r="G642" s="9">
        <v>28891.65</v>
      </c>
      <c r="H642" s="9">
        <v>28967.65</v>
      </c>
      <c r="I642" s="9">
        <v>28973.53</v>
      </c>
      <c r="J642" s="9">
        <v>28899.29</v>
      </c>
      <c r="K642" s="9">
        <v>28905.58</v>
      </c>
      <c r="L642" s="9">
        <v>28979.77</v>
      </c>
      <c r="M642" s="16">
        <f t="shared" si="209"/>
        <v>28939.429999999997</v>
      </c>
      <c r="N642" s="59">
        <f>IF((L643=""),"",MAX(D644:L644))</f>
        <v>14201.550000000007</v>
      </c>
      <c r="O642" s="59">
        <f>IF(L643="","",MIN(D644:L644))</f>
        <v>13659.689999999999</v>
      </c>
      <c r="P642" s="60">
        <f>IF((L644=""),"",AVERAGE(D644:L644))</f>
        <v>14015.316666666669</v>
      </c>
      <c r="Q642" s="156">
        <f>IF((L643=""),"",((N642-O642)/(N642+O642)*100))</f>
        <v>1.9448524186289187</v>
      </c>
      <c r="R642" s="61" t="str">
        <f>IF(L643="","",IF(Q642&lt;Z642,IF(O642&gt;V642,IF(N642&lt;W642,"PASS","FAIL"),"FAIL"),"FAIL"))</f>
        <v>PASS</v>
      </c>
      <c r="S642" s="62">
        <v>1428</v>
      </c>
      <c r="T642" s="104" t="s">
        <v>237</v>
      </c>
      <c r="U642" s="104"/>
      <c r="V642" s="110">
        <v>10000</v>
      </c>
      <c r="W642" s="110">
        <v>15600</v>
      </c>
      <c r="X642" s="111">
        <v>8090</v>
      </c>
      <c r="Y642" s="111">
        <v>12070</v>
      </c>
      <c r="Z642" s="112">
        <v>15</v>
      </c>
      <c r="AA642" s="112">
        <v>6</v>
      </c>
    </row>
    <row r="643" spans="1:27" ht="15.75">
      <c r="A643" s="99"/>
      <c r="B643" s="121"/>
      <c r="C643" s="57" t="s">
        <v>80</v>
      </c>
      <c r="D643" s="9">
        <v>24371.57</v>
      </c>
      <c r="E643" s="9">
        <v>24191.01</v>
      </c>
      <c r="F643" s="9">
        <v>24253.87</v>
      </c>
      <c r="G643" s="9">
        <v>24204.37</v>
      </c>
      <c r="H643" s="9">
        <v>24350.33</v>
      </c>
      <c r="I643" s="9">
        <v>24420.3</v>
      </c>
      <c r="J643" s="9">
        <v>24198.22</v>
      </c>
      <c r="K643" s="9">
        <v>24171.73</v>
      </c>
      <c r="L643" s="9">
        <v>24247.52</v>
      </c>
      <c r="M643" s="16">
        <f t="shared" si="209"/>
        <v>24267.657777777775</v>
      </c>
      <c r="N643" s="53"/>
      <c r="O643" s="53"/>
      <c r="P643" s="63"/>
      <c r="Q643" s="53"/>
      <c r="R643" s="64"/>
      <c r="S643" s="54"/>
      <c r="V643" s="32"/>
      <c r="W643" s="29"/>
    </row>
    <row r="644" spans="1:27" ht="23.25" customHeight="1">
      <c r="A644" s="100"/>
      <c r="B644" s="121"/>
      <c r="C644" s="57" t="s">
        <v>82</v>
      </c>
      <c r="D644" s="16">
        <f t="shared" ref="D644:L644" si="224">IF(((D642="")*AND(D643="")),"",(D642-D643)*3)</f>
        <v>13955.189999999999</v>
      </c>
      <c r="E644" s="16">
        <f t="shared" si="224"/>
        <v>14150.700000000004</v>
      </c>
      <c r="F644" s="16">
        <f t="shared" si="224"/>
        <v>13956.96</v>
      </c>
      <c r="G644" s="16">
        <f t="shared" si="224"/>
        <v>14061.840000000007</v>
      </c>
      <c r="H644" s="16">
        <f t="shared" si="224"/>
        <v>13851.96</v>
      </c>
      <c r="I644" s="16">
        <f t="shared" si="224"/>
        <v>13659.689999999999</v>
      </c>
      <c r="J644" s="16">
        <f t="shared" si="224"/>
        <v>14103.21</v>
      </c>
      <c r="K644" s="16">
        <f t="shared" si="224"/>
        <v>14201.550000000007</v>
      </c>
      <c r="L644" s="16">
        <f t="shared" si="224"/>
        <v>14196.75</v>
      </c>
      <c r="M644" s="16">
        <f t="shared" si="209"/>
        <v>14015.316666666669</v>
      </c>
      <c r="N644" s="65"/>
      <c r="O644" s="65"/>
      <c r="P644" s="66"/>
      <c r="Q644" s="65"/>
      <c r="R644" s="67"/>
      <c r="S644" s="58"/>
      <c r="V644" s="33"/>
      <c r="W644" s="29"/>
    </row>
    <row r="645" spans="1:27">
      <c r="A645" s="98">
        <v>43546</v>
      </c>
      <c r="B645" s="120" t="s">
        <v>348</v>
      </c>
      <c r="C645" s="57" t="s">
        <v>79</v>
      </c>
      <c r="D645" s="9">
        <v>29067.09</v>
      </c>
      <c r="E645" s="9">
        <v>28935.19</v>
      </c>
      <c r="F645" s="9">
        <v>28980.33</v>
      </c>
      <c r="G645" s="9">
        <v>28959.38</v>
      </c>
      <c r="H645" s="9">
        <v>28999.040000000001</v>
      </c>
      <c r="I645" s="9">
        <v>29002.5</v>
      </c>
      <c r="J645" s="9">
        <v>28926.76</v>
      </c>
      <c r="K645" s="9">
        <v>28929.52</v>
      </c>
      <c r="L645" s="9">
        <v>29016.53</v>
      </c>
      <c r="M645" s="16">
        <f t="shared" si="209"/>
        <v>28979.593333333334</v>
      </c>
      <c r="N645" s="59">
        <f>IF((L646=""),"",MAX(D647:L647))</f>
        <v>12402.240000000005</v>
      </c>
      <c r="O645" s="59">
        <f>IF(L646="","",MIN(D647:L647))</f>
        <v>11733.330000000002</v>
      </c>
      <c r="P645" s="60">
        <f>IF((L647=""),"",AVERAGE(D647:L647))</f>
        <v>12015.526666666668</v>
      </c>
      <c r="Q645" s="156">
        <f>IF((L646=""),"",((N645-O645)/(N645+O645)*100))</f>
        <v>2.7714696607538305</v>
      </c>
      <c r="R645" s="61" t="str">
        <f>IF(L646="","",IF(Q645&lt;Z645,IF(O645&gt;V645,IF(N645&lt;W645,"PASS","FAIL"),"FAIL"),"FAIL"))</f>
        <v>PASS</v>
      </c>
      <c r="S645" s="62">
        <v>1428</v>
      </c>
      <c r="V645" s="110">
        <v>10000</v>
      </c>
      <c r="W645" s="110">
        <v>15600</v>
      </c>
      <c r="X645" s="111">
        <v>8090</v>
      </c>
      <c r="Y645" s="111">
        <v>12070</v>
      </c>
      <c r="Z645" s="112">
        <v>15</v>
      </c>
      <c r="AA645" s="112">
        <v>6</v>
      </c>
    </row>
    <row r="646" spans="1:27" ht="15.75">
      <c r="A646" s="99"/>
      <c r="B646" s="121"/>
      <c r="C646" s="57" t="s">
        <v>80</v>
      </c>
      <c r="D646" s="9">
        <v>25027.59</v>
      </c>
      <c r="E646" s="9">
        <v>24963.62</v>
      </c>
      <c r="F646" s="9">
        <v>25050.01</v>
      </c>
      <c r="G646" s="9">
        <v>24925.54</v>
      </c>
      <c r="H646" s="9">
        <v>24972.22</v>
      </c>
      <c r="I646" s="9">
        <v>24868.42</v>
      </c>
      <c r="J646" s="9">
        <v>24893.84</v>
      </c>
      <c r="K646" s="9">
        <v>24963.1</v>
      </c>
      <c r="L646" s="9">
        <v>25105.42</v>
      </c>
      <c r="M646" s="16">
        <f t="shared" si="209"/>
        <v>24974.41777777778</v>
      </c>
      <c r="N646" s="53"/>
      <c r="O646" s="53"/>
      <c r="P646" s="63"/>
      <c r="Q646" s="53"/>
      <c r="R646" s="64"/>
      <c r="S646" s="54"/>
      <c r="V646" s="32"/>
      <c r="W646" s="29"/>
    </row>
    <row r="647" spans="1:27" ht="24" customHeight="1">
      <c r="A647" s="100"/>
      <c r="B647" s="121"/>
      <c r="C647" s="57" t="s">
        <v>82</v>
      </c>
      <c r="D647" s="16">
        <f t="shared" ref="D647:L647" si="225">IF(((D645="")*AND(D646="")),"",(D645-D646)*3)</f>
        <v>12118.5</v>
      </c>
      <c r="E647" s="16">
        <f t="shared" si="225"/>
        <v>11914.71</v>
      </c>
      <c r="F647" s="16">
        <f t="shared" si="225"/>
        <v>11790.96000000001</v>
      </c>
      <c r="G647" s="16">
        <f t="shared" si="225"/>
        <v>12101.52</v>
      </c>
      <c r="H647" s="16">
        <f t="shared" si="225"/>
        <v>12080.46</v>
      </c>
      <c r="I647" s="16">
        <f t="shared" si="225"/>
        <v>12402.240000000005</v>
      </c>
      <c r="J647" s="16">
        <f t="shared" si="225"/>
        <v>12098.759999999995</v>
      </c>
      <c r="K647" s="16">
        <f t="shared" si="225"/>
        <v>11899.260000000006</v>
      </c>
      <c r="L647" s="16">
        <f t="shared" si="225"/>
        <v>11733.330000000002</v>
      </c>
      <c r="M647" s="16">
        <f t="shared" si="209"/>
        <v>12015.526666666668</v>
      </c>
      <c r="N647" s="65"/>
      <c r="O647" s="65"/>
      <c r="P647" s="66"/>
      <c r="Q647" s="65"/>
      <c r="R647" s="67"/>
      <c r="S647" s="58"/>
      <c r="V647" s="33"/>
      <c r="W647" s="29"/>
    </row>
    <row r="648" spans="1:27">
      <c r="A648" s="98">
        <v>43549</v>
      </c>
      <c r="B648" s="120" t="s">
        <v>348</v>
      </c>
      <c r="C648" s="57" t="s">
        <v>79</v>
      </c>
      <c r="D648" s="9">
        <v>28906.51</v>
      </c>
      <c r="E648" s="9">
        <v>28819.7</v>
      </c>
      <c r="F648" s="9">
        <v>28830.92</v>
      </c>
      <c r="G648" s="9">
        <v>28818.49</v>
      </c>
      <c r="H648" s="9">
        <v>28924.28</v>
      </c>
      <c r="I648" s="9">
        <v>28895.56</v>
      </c>
      <c r="J648" s="9">
        <v>28815.64</v>
      </c>
      <c r="K648" s="9">
        <v>28806.82</v>
      </c>
      <c r="L648" s="9">
        <v>28886.91</v>
      </c>
      <c r="M648" s="16">
        <f t="shared" si="209"/>
        <v>28856.092222222229</v>
      </c>
      <c r="N648" s="59">
        <f>IF((L649=""),"",MAX(D650:L650))</f>
        <v>12526.799999999996</v>
      </c>
      <c r="O648" s="59">
        <f>IF(L649="","",MIN(D650:L650))</f>
        <v>12108.510000000006</v>
      </c>
      <c r="P648" s="60">
        <f>IF((L650=""),"",AVERAGE(D650:L650))</f>
        <v>12312.470000000001</v>
      </c>
      <c r="Q648" s="156">
        <f>IF((L649=""),"",((N648-O648)/(N648+O648)*100))</f>
        <v>1.6979287047737168</v>
      </c>
      <c r="R648" s="61" t="str">
        <f>IF(L649="","",IF(Q648&lt;Z648,IF(O648&gt;V648,IF(N648&lt;W648,"PASS","FAIL"),"FAIL"),"FAIL"))</f>
        <v>PASS</v>
      </c>
      <c r="S648" s="62">
        <v>74</v>
      </c>
      <c r="V648" s="110">
        <v>10000</v>
      </c>
      <c r="W648" s="110">
        <v>15600</v>
      </c>
      <c r="X648" s="111">
        <v>8090</v>
      </c>
      <c r="Y648" s="111">
        <v>12070</v>
      </c>
      <c r="Z648" s="112">
        <v>15</v>
      </c>
      <c r="AA648" s="112">
        <v>6</v>
      </c>
    </row>
    <row r="649" spans="1:27" ht="15.75">
      <c r="A649" s="99"/>
      <c r="B649" s="121"/>
      <c r="C649" s="57" t="s">
        <v>80</v>
      </c>
      <c r="D649" s="9">
        <v>24788.27</v>
      </c>
      <c r="E649" s="9">
        <v>24689.86</v>
      </c>
      <c r="F649" s="9">
        <v>24793.1</v>
      </c>
      <c r="G649" s="9">
        <v>24713.54</v>
      </c>
      <c r="H649" s="9">
        <v>24843.08</v>
      </c>
      <c r="I649" s="9">
        <v>24859.39</v>
      </c>
      <c r="J649" s="9">
        <v>24701.41</v>
      </c>
      <c r="K649" s="9">
        <v>24667.46</v>
      </c>
      <c r="L649" s="9">
        <v>24711.31</v>
      </c>
      <c r="M649" s="16">
        <f t="shared" si="209"/>
        <v>24751.935555555556</v>
      </c>
      <c r="N649" s="53"/>
      <c r="O649" s="53"/>
      <c r="P649" s="63"/>
      <c r="Q649" s="53"/>
      <c r="R649" s="64"/>
      <c r="S649" s="54"/>
      <c r="V649" s="32"/>
      <c r="W649" s="29"/>
    </row>
    <row r="650" spans="1:27" ht="24.75" customHeight="1">
      <c r="A650" s="100"/>
      <c r="B650" s="121"/>
      <c r="C650" s="57" t="s">
        <v>82</v>
      </c>
      <c r="D650" s="16">
        <f t="shared" ref="D650:L650" si="226">IF(((D648="")*AND(D649="")),"",(D648-D649)*3)</f>
        <v>12354.719999999994</v>
      </c>
      <c r="E650" s="16">
        <f t="shared" si="226"/>
        <v>12389.52</v>
      </c>
      <c r="F650" s="16">
        <f t="shared" si="226"/>
        <v>12113.46</v>
      </c>
      <c r="G650" s="16">
        <f t="shared" si="226"/>
        <v>12314.850000000002</v>
      </c>
      <c r="H650" s="16">
        <f t="shared" si="226"/>
        <v>12243.599999999991</v>
      </c>
      <c r="I650" s="16">
        <f t="shared" si="226"/>
        <v>12108.510000000006</v>
      </c>
      <c r="J650" s="16">
        <f t="shared" si="226"/>
        <v>12342.689999999999</v>
      </c>
      <c r="K650" s="16">
        <f t="shared" si="226"/>
        <v>12418.080000000002</v>
      </c>
      <c r="L650" s="16">
        <f t="shared" si="226"/>
        <v>12526.799999999996</v>
      </c>
      <c r="M650" s="16">
        <f t="shared" si="209"/>
        <v>12312.470000000001</v>
      </c>
      <c r="N650" s="65"/>
      <c r="O650" s="65"/>
      <c r="P650" s="66"/>
      <c r="Q650" s="65"/>
      <c r="R650" s="67"/>
      <c r="S650" s="58"/>
      <c r="V650" s="33"/>
      <c r="W650" s="29"/>
    </row>
    <row r="651" spans="1:27">
      <c r="A651" s="98">
        <v>43552</v>
      </c>
      <c r="B651" s="120" t="s">
        <v>348</v>
      </c>
      <c r="C651" s="57" t="s">
        <v>79</v>
      </c>
      <c r="D651" s="9">
        <v>28908.39</v>
      </c>
      <c r="E651" s="9">
        <v>28820.17</v>
      </c>
      <c r="F651" s="9">
        <v>28831.17</v>
      </c>
      <c r="G651" s="9">
        <v>28801.98</v>
      </c>
      <c r="H651" s="9">
        <v>28902.19</v>
      </c>
      <c r="I651" s="9">
        <v>28887.58</v>
      </c>
      <c r="J651" s="9">
        <v>28810.05</v>
      </c>
      <c r="K651" s="9">
        <v>28799.41</v>
      </c>
      <c r="L651" s="9">
        <v>28886.09</v>
      </c>
      <c r="M651" s="16">
        <f t="shared" si="209"/>
        <v>28849.67</v>
      </c>
      <c r="N651" s="59">
        <f>IF((L652=""),"",MAX(D653:L653))</f>
        <v>12571.620000000003</v>
      </c>
      <c r="O651" s="59">
        <f>IF(L652="","",MIN(D653:L653))</f>
        <v>12076.530000000006</v>
      </c>
      <c r="P651" s="60">
        <f>IF((L653=""),"",AVERAGE(D653:L653))</f>
        <v>12327.41333333333</v>
      </c>
      <c r="Q651" s="156">
        <f>IF((L652=""),"",((N651-O651)/(N651+O651)*100))</f>
        <v>2.0086294508918372</v>
      </c>
      <c r="R651" s="61" t="str">
        <f>IF(L652="","",IF(Q651&lt;Z651,IF(O651&gt;V651,IF(N651&lt;W651,"PASS","FAIL"),"FAIL"),"FAIL"))</f>
        <v>PASS</v>
      </c>
      <c r="S651" s="62" t="s">
        <v>219</v>
      </c>
      <c r="T651" s="9" t="s">
        <v>287</v>
      </c>
      <c r="V651" s="110">
        <v>10000</v>
      </c>
      <c r="W651" s="110">
        <v>15600</v>
      </c>
      <c r="X651" s="111">
        <v>8090</v>
      </c>
      <c r="Y651" s="111">
        <v>12070</v>
      </c>
      <c r="Z651" s="112">
        <v>15</v>
      </c>
      <c r="AA651" s="112">
        <v>6</v>
      </c>
    </row>
    <row r="652" spans="1:27" ht="15.75">
      <c r="A652" s="99"/>
      <c r="B652" s="121"/>
      <c r="C652" s="57" t="s">
        <v>80</v>
      </c>
      <c r="D652" s="9">
        <v>24781.38</v>
      </c>
      <c r="E652" s="9">
        <v>24682.07</v>
      </c>
      <c r="F652" s="9">
        <v>24764.27</v>
      </c>
      <c r="G652" s="9">
        <v>24698.13</v>
      </c>
      <c r="H652" s="9">
        <v>24826.85</v>
      </c>
      <c r="I652" s="9">
        <v>24862.07</v>
      </c>
      <c r="J652" s="9">
        <v>24698.73</v>
      </c>
      <c r="K652" s="9">
        <v>24655.74</v>
      </c>
      <c r="L652" s="9">
        <v>24695.55</v>
      </c>
      <c r="M652" s="16">
        <f t="shared" si="209"/>
        <v>24740.532222222224</v>
      </c>
      <c r="N652" s="53"/>
      <c r="O652" s="53"/>
      <c r="P652" s="63"/>
      <c r="Q652" s="53"/>
      <c r="R652" s="64"/>
      <c r="S652" s="54"/>
      <c r="V652" s="32"/>
      <c r="W652" s="29"/>
    </row>
    <row r="653" spans="1:27" ht="24" customHeight="1">
      <c r="A653" s="100"/>
      <c r="B653" s="121"/>
      <c r="C653" s="57" t="s">
        <v>82</v>
      </c>
      <c r="D653" s="16">
        <f t="shared" ref="D653:L653" si="227">IF(((D651="")*AND(D652="")),"",(D651-D652)*3)</f>
        <v>12381.029999999995</v>
      </c>
      <c r="E653" s="16">
        <f t="shared" si="227"/>
        <v>12414.299999999996</v>
      </c>
      <c r="F653" s="16">
        <f t="shared" si="227"/>
        <v>12200.699999999993</v>
      </c>
      <c r="G653" s="16">
        <f t="shared" si="227"/>
        <v>12311.549999999996</v>
      </c>
      <c r="H653" s="16">
        <f t="shared" si="227"/>
        <v>12226.02</v>
      </c>
      <c r="I653" s="16">
        <f t="shared" si="227"/>
        <v>12076.530000000006</v>
      </c>
      <c r="J653" s="16">
        <f t="shared" si="227"/>
        <v>12333.96</v>
      </c>
      <c r="K653" s="16">
        <f t="shared" si="227"/>
        <v>12431.009999999995</v>
      </c>
      <c r="L653" s="16">
        <f t="shared" si="227"/>
        <v>12571.620000000003</v>
      </c>
      <c r="M653" s="16">
        <f t="shared" si="209"/>
        <v>12327.41333333333</v>
      </c>
      <c r="N653" s="65"/>
      <c r="O653" s="65"/>
      <c r="P653" s="66"/>
      <c r="Q653" s="65"/>
      <c r="R653" s="67"/>
      <c r="S653" s="58"/>
      <c r="V653" s="33"/>
      <c r="W653" s="29"/>
    </row>
    <row r="654" spans="1:27">
      <c r="A654" s="98">
        <v>43559</v>
      </c>
      <c r="B654" s="120" t="s">
        <v>348</v>
      </c>
      <c r="C654" s="57" t="s">
        <v>79</v>
      </c>
      <c r="D654" s="9">
        <v>28874.35</v>
      </c>
      <c r="E654" s="9">
        <v>28816.92</v>
      </c>
      <c r="F654" s="9">
        <v>28850.13</v>
      </c>
      <c r="G654" s="9">
        <v>28814.22</v>
      </c>
      <c r="H654" s="9">
        <v>28890.05</v>
      </c>
      <c r="I654" s="9">
        <v>28875.11</v>
      </c>
      <c r="J654" s="9">
        <v>28807.27</v>
      </c>
      <c r="K654" s="9">
        <v>28797.09</v>
      </c>
      <c r="L654" s="9">
        <v>28863.7</v>
      </c>
      <c r="M654" s="16">
        <f t="shared" si="209"/>
        <v>28843.20444444444</v>
      </c>
      <c r="N654" s="59">
        <f>IF((L655=""),"",MAX(D656:L656))</f>
        <v>12553.649999999998</v>
      </c>
      <c r="O654" s="59">
        <f>IF(L655="","",MIN(D656:L656))</f>
        <v>12067.830000000002</v>
      </c>
      <c r="P654" s="60">
        <f>IF((L656=""),"",AVERAGE(D656:L656))</f>
        <v>12330.656666666666</v>
      </c>
      <c r="Q654" s="156">
        <f>IF((L655=""),"",((N654-O654)/(N654+O654)*100))</f>
        <v>1.9731551474565951</v>
      </c>
      <c r="R654" s="61" t="str">
        <f>IF(L655="","",IF(Q654&lt;Z654,IF(O654&gt;V654,IF(N654&lt;W654,"PASS","FAIL"),"FAIL"),"FAIL"))</f>
        <v>PASS</v>
      </c>
      <c r="S654" s="62">
        <v>1340</v>
      </c>
      <c r="T654" s="9" t="s">
        <v>286</v>
      </c>
      <c r="V654" s="110">
        <v>10000</v>
      </c>
      <c r="W654" s="110">
        <v>15600</v>
      </c>
      <c r="X654" s="111">
        <v>8090</v>
      </c>
      <c r="Y654" s="111">
        <v>12070</v>
      </c>
      <c r="Z654" s="112">
        <v>15</v>
      </c>
      <c r="AA654" s="112">
        <v>6</v>
      </c>
    </row>
    <row r="655" spans="1:27" ht="15.75">
      <c r="A655" s="99"/>
      <c r="B655" s="121"/>
      <c r="C655" s="57" t="s">
        <v>80</v>
      </c>
      <c r="D655" s="9">
        <v>24740.29</v>
      </c>
      <c r="E655" s="9">
        <v>24662.89</v>
      </c>
      <c r="F655" s="9">
        <v>24782.95</v>
      </c>
      <c r="G655" s="9">
        <v>24710.560000000001</v>
      </c>
      <c r="H655" s="9">
        <v>24811.46</v>
      </c>
      <c r="I655" s="9">
        <v>24852.5</v>
      </c>
      <c r="J655" s="9">
        <v>24694.36</v>
      </c>
      <c r="K655" s="9">
        <v>24662.71</v>
      </c>
      <c r="L655" s="9">
        <v>24679.15</v>
      </c>
      <c r="M655" s="16">
        <f t="shared" si="209"/>
        <v>24732.985555555555</v>
      </c>
      <c r="N655" s="53"/>
      <c r="O655" s="53"/>
      <c r="P655" s="63"/>
      <c r="Q655" s="53"/>
      <c r="R655" s="64"/>
      <c r="S655" s="54"/>
      <c r="V655" s="32"/>
      <c r="W655" s="29"/>
    </row>
    <row r="656" spans="1:27" ht="26.25" customHeight="1">
      <c r="A656" s="100"/>
      <c r="B656" s="121"/>
      <c r="C656" s="57" t="s">
        <v>82</v>
      </c>
      <c r="D656" s="16">
        <f t="shared" ref="D656:L656" si="228">IF(((D654="")*AND(D655="")),"",(D654-D655)*3)</f>
        <v>12402.179999999993</v>
      </c>
      <c r="E656" s="16">
        <f t="shared" si="228"/>
        <v>12462.089999999997</v>
      </c>
      <c r="F656" s="16">
        <f t="shared" si="228"/>
        <v>12201.54</v>
      </c>
      <c r="G656" s="16">
        <f t="shared" si="228"/>
        <v>12310.98</v>
      </c>
      <c r="H656" s="16">
        <f t="shared" si="228"/>
        <v>12235.77</v>
      </c>
      <c r="I656" s="16">
        <f t="shared" si="228"/>
        <v>12067.830000000002</v>
      </c>
      <c r="J656" s="16">
        <f t="shared" si="228"/>
        <v>12338.73</v>
      </c>
      <c r="K656" s="16">
        <f t="shared" si="228"/>
        <v>12403.140000000003</v>
      </c>
      <c r="L656" s="16">
        <f t="shared" si="228"/>
        <v>12553.649999999998</v>
      </c>
      <c r="M656" s="16">
        <f t="shared" si="209"/>
        <v>12330.656666666666</v>
      </c>
      <c r="N656" s="65"/>
      <c r="O656" s="65"/>
      <c r="P656" s="66"/>
      <c r="Q656" s="65"/>
      <c r="R656" s="67"/>
      <c r="S656" s="58"/>
      <c r="V656" s="33"/>
      <c r="W656" s="29"/>
    </row>
    <row r="657" spans="1:27">
      <c r="A657" s="98">
        <v>43566</v>
      </c>
      <c r="B657" s="120" t="s">
        <v>348</v>
      </c>
      <c r="C657" s="57" t="s">
        <v>79</v>
      </c>
      <c r="D657" s="9">
        <v>29391.13</v>
      </c>
      <c r="E657" s="9">
        <v>29273.77</v>
      </c>
      <c r="F657" s="9">
        <v>29272.46</v>
      </c>
      <c r="G657" s="9">
        <v>29285.05</v>
      </c>
      <c r="H657" s="9">
        <v>29362.47</v>
      </c>
      <c r="I657" s="9">
        <v>29355.37</v>
      </c>
      <c r="J657" s="9">
        <v>29274.11</v>
      </c>
      <c r="K657" s="9">
        <v>29279.29</v>
      </c>
      <c r="L657" s="9">
        <v>29367.74</v>
      </c>
      <c r="M657" s="16">
        <f t="shared" si="209"/>
        <v>29317.932222222225</v>
      </c>
      <c r="N657" s="59">
        <f>IF((L658=""),"",MAX(D659:L659))</f>
        <v>11740.02</v>
      </c>
      <c r="O657" s="59">
        <f>IF(L658="","",MIN(D659:L659))</f>
        <v>11196.629999999997</v>
      </c>
      <c r="P657" s="60">
        <f>IF((L659=""),"",AVERAGE(D659:L659))</f>
        <v>11493.859999999999</v>
      </c>
      <c r="Q657" s="156">
        <f>IF((L658=""),"",((N657-O657)/(N657+O657)*100))</f>
        <v>2.3690905167058096</v>
      </c>
      <c r="R657" s="61" t="str">
        <f>IF(L658="","",IF(Q657&lt;Z657,IF(O657&gt;V657,IF(N657&lt;W657,"PASS","FAIL"),"FAIL"),"FAIL"))</f>
        <v>PASS</v>
      </c>
      <c r="S657" s="62">
        <v>1159</v>
      </c>
      <c r="T657" s="9" t="s">
        <v>238</v>
      </c>
      <c r="V657" s="110">
        <v>10000</v>
      </c>
      <c r="W657" s="110">
        <v>15600</v>
      </c>
      <c r="X657" s="111">
        <v>8090</v>
      </c>
      <c r="Y657" s="111">
        <v>12070</v>
      </c>
      <c r="Z657" s="112">
        <v>15</v>
      </c>
      <c r="AA657" s="112">
        <v>6</v>
      </c>
    </row>
    <row r="658" spans="1:27" ht="15.75">
      <c r="A658" s="99"/>
      <c r="B658" s="121"/>
      <c r="C658" s="57" t="s">
        <v>80</v>
      </c>
      <c r="D658" s="9">
        <v>25546.77</v>
      </c>
      <c r="E658" s="9">
        <v>25421.11</v>
      </c>
      <c r="F658" s="9">
        <v>25484.639999999999</v>
      </c>
      <c r="G658" s="9">
        <v>25452.38</v>
      </c>
      <c r="H658" s="9">
        <v>25539.39</v>
      </c>
      <c r="I658" s="9">
        <v>25623.16</v>
      </c>
      <c r="J658" s="9">
        <v>25448.06</v>
      </c>
      <c r="K658" s="9">
        <v>25409.9</v>
      </c>
      <c r="L658" s="9">
        <v>25454.400000000001</v>
      </c>
      <c r="M658" s="16">
        <f t="shared" si="209"/>
        <v>25486.645555555555</v>
      </c>
      <c r="N658" s="53"/>
      <c r="O658" s="53"/>
      <c r="P658" s="63"/>
      <c r="Q658" s="53"/>
      <c r="R658" s="64"/>
      <c r="S658" s="54"/>
      <c r="V658" s="32"/>
      <c r="W658" s="29"/>
    </row>
    <row r="659" spans="1:27" ht="23.25" customHeight="1">
      <c r="A659" s="100"/>
      <c r="B659" s="121"/>
      <c r="C659" s="57" t="s">
        <v>82</v>
      </c>
      <c r="D659" s="16">
        <f t="shared" ref="D659:L659" si="229">IF(((D657="")*AND(D658="")),"",(D657-D658)*3)</f>
        <v>11533.080000000002</v>
      </c>
      <c r="E659" s="16">
        <f t="shared" si="229"/>
        <v>11557.98</v>
      </c>
      <c r="F659" s="16">
        <f t="shared" si="229"/>
        <v>11363.46</v>
      </c>
      <c r="G659" s="16">
        <f t="shared" si="229"/>
        <v>11498.009999999995</v>
      </c>
      <c r="H659" s="16">
        <f t="shared" si="229"/>
        <v>11469.240000000005</v>
      </c>
      <c r="I659" s="16">
        <f t="shared" si="229"/>
        <v>11196.629999999997</v>
      </c>
      <c r="J659" s="16">
        <f t="shared" si="229"/>
        <v>11478.149999999998</v>
      </c>
      <c r="K659" s="16">
        <f t="shared" si="229"/>
        <v>11608.169999999998</v>
      </c>
      <c r="L659" s="16">
        <f t="shared" si="229"/>
        <v>11740.02</v>
      </c>
      <c r="M659" s="16">
        <f t="shared" si="209"/>
        <v>11493.859999999999</v>
      </c>
      <c r="N659" s="65"/>
      <c r="O659" s="65"/>
      <c r="P659" s="66"/>
      <c r="Q659" s="65"/>
      <c r="R659" s="67"/>
      <c r="S659" s="58"/>
      <c r="V659" s="33"/>
      <c r="W659" s="29"/>
    </row>
    <row r="660" spans="1:27">
      <c r="A660" s="98">
        <v>43570</v>
      </c>
      <c r="B660" s="120" t="s">
        <v>348</v>
      </c>
      <c r="C660" s="57" t="s">
        <v>79</v>
      </c>
      <c r="D660" s="105">
        <v>29390.69</v>
      </c>
      <c r="E660" s="105">
        <v>29291.51</v>
      </c>
      <c r="F660" s="105">
        <v>29285.34</v>
      </c>
      <c r="G660" s="105">
        <v>29284.16</v>
      </c>
      <c r="H660" s="105">
        <v>29363.94</v>
      </c>
      <c r="I660" s="105">
        <v>29339.8</v>
      </c>
      <c r="J660" s="105">
        <v>29256.3</v>
      </c>
      <c r="K660" s="105">
        <v>29284.44</v>
      </c>
      <c r="L660" s="105">
        <v>29400.61</v>
      </c>
      <c r="M660" s="16">
        <f t="shared" si="209"/>
        <v>29321.865555555552</v>
      </c>
      <c r="N660" s="59">
        <f>IF((L661=""),"",MAX(D662:L662))</f>
        <v>13241.700000000004</v>
      </c>
      <c r="O660" s="59">
        <f>IF(L661="","",MIN(D662:L662))</f>
        <v>12673.439999999999</v>
      </c>
      <c r="P660" s="60">
        <f>IF((L662=""),"",AVERAGE(D662:L662))</f>
        <v>12985.986666666668</v>
      </c>
      <c r="Q660" s="156">
        <f>IF((L661=""),"",((N660-O660)/(N660+O660)*100))</f>
        <v>2.1927722559091154</v>
      </c>
      <c r="R660" s="61" t="str">
        <f>IF(L661="","",IF(Q660&lt;Z660,IF(O660&gt;V660,IF(N660&lt;W660,"PASS","FAIL"),"FAIL"),"FAIL"))</f>
        <v>PASS</v>
      </c>
      <c r="S660" s="62">
        <v>121</v>
      </c>
      <c r="T660" s="9" t="s">
        <v>239</v>
      </c>
      <c r="V660" s="110">
        <v>10000</v>
      </c>
      <c r="W660" s="110">
        <v>15600</v>
      </c>
      <c r="X660" s="111">
        <v>8090</v>
      </c>
      <c r="Y660" s="111">
        <v>12070</v>
      </c>
      <c r="Z660" s="112">
        <v>15</v>
      </c>
      <c r="AA660" s="112">
        <v>6</v>
      </c>
    </row>
    <row r="661" spans="1:27" ht="15.75">
      <c r="A661" s="99"/>
      <c r="B661" s="121"/>
      <c r="C661" s="57" t="s">
        <v>80</v>
      </c>
      <c r="D661" s="106">
        <v>25081.48</v>
      </c>
      <c r="E661" s="106">
        <v>24937.39</v>
      </c>
      <c r="F661" s="106">
        <v>24985.48</v>
      </c>
      <c r="G661" s="106">
        <v>24946.57</v>
      </c>
      <c r="H661" s="106">
        <v>25036.14</v>
      </c>
      <c r="I661" s="106">
        <v>25115.32</v>
      </c>
      <c r="J661" s="106">
        <v>24936.69</v>
      </c>
      <c r="K661" s="106">
        <v>24913.05</v>
      </c>
      <c r="L661" s="106">
        <v>24986.71</v>
      </c>
      <c r="M661" s="16">
        <f t="shared" si="209"/>
        <v>24993.203333333327</v>
      </c>
      <c r="N661" s="53"/>
      <c r="O661" s="53"/>
      <c r="P661" s="63"/>
      <c r="Q661" s="53"/>
      <c r="R661" s="64"/>
      <c r="S661" s="54"/>
      <c r="V661" s="32"/>
      <c r="W661" s="29"/>
    </row>
    <row r="662" spans="1:27" ht="23.25" customHeight="1">
      <c r="A662" s="100"/>
      <c r="B662" s="121"/>
      <c r="C662" s="57" t="s">
        <v>82</v>
      </c>
      <c r="D662" s="16">
        <f t="shared" ref="D662:L662" si="230">IF(((D660="")*AND(D661="")),"",(D660-D661)*3)</f>
        <v>12927.629999999997</v>
      </c>
      <c r="E662" s="16">
        <f t="shared" si="230"/>
        <v>13062.359999999997</v>
      </c>
      <c r="F662" s="16">
        <f t="shared" si="230"/>
        <v>12899.580000000002</v>
      </c>
      <c r="G662" s="16">
        <f t="shared" si="230"/>
        <v>13012.77</v>
      </c>
      <c r="H662" s="16">
        <f t="shared" si="230"/>
        <v>12983.399999999998</v>
      </c>
      <c r="I662" s="16">
        <f t="shared" si="230"/>
        <v>12673.439999999999</v>
      </c>
      <c r="J662" s="16">
        <f t="shared" si="230"/>
        <v>12958.830000000002</v>
      </c>
      <c r="K662" s="16">
        <f t="shared" si="230"/>
        <v>13114.169999999998</v>
      </c>
      <c r="L662" s="16">
        <f t="shared" si="230"/>
        <v>13241.700000000004</v>
      </c>
      <c r="M662" s="16">
        <f t="shared" si="209"/>
        <v>12985.986666666668</v>
      </c>
      <c r="N662" s="65"/>
      <c r="O662" s="65"/>
      <c r="P662" s="66"/>
      <c r="Q662" s="65"/>
      <c r="R662" s="67"/>
      <c r="S662" s="58"/>
      <c r="V662" s="33"/>
      <c r="W662" s="29"/>
    </row>
    <row r="663" spans="1:27">
      <c r="A663" s="98">
        <v>43578</v>
      </c>
      <c r="B663" s="120" t="s">
        <v>348</v>
      </c>
      <c r="C663" s="57" t="s">
        <v>79</v>
      </c>
      <c r="D663" s="9">
        <v>29424</v>
      </c>
      <c r="E663" s="9">
        <v>29205</v>
      </c>
      <c r="F663" s="9">
        <v>29215</v>
      </c>
      <c r="G663" s="9">
        <v>29177</v>
      </c>
      <c r="H663" s="9">
        <v>29371</v>
      </c>
      <c r="I663" s="9">
        <v>29373</v>
      </c>
      <c r="J663" s="9">
        <v>29175</v>
      </c>
      <c r="K663" s="9">
        <v>29196</v>
      </c>
      <c r="L663" s="9">
        <v>29386</v>
      </c>
      <c r="M663" s="16">
        <f t="shared" si="209"/>
        <v>29280.222222222223</v>
      </c>
      <c r="N663" s="59">
        <f>IF((L664=""),"",MAX(D665:L665))</f>
        <v>12582</v>
      </c>
      <c r="O663" s="59">
        <f>IF(L664="","",MIN(D665:L665))</f>
        <v>11955</v>
      </c>
      <c r="P663" s="60">
        <f>IF((L665=""),"",AVERAGE(D665:L665))</f>
        <v>12321.666666666666</v>
      </c>
      <c r="Q663" s="156">
        <f>IF((L664=""),"",((N663-O663)/(N663+O663)*100))</f>
        <v>2.5553246118107347</v>
      </c>
      <c r="R663" s="61" t="str">
        <f>IF(L664="","",IF(Q663&lt;Z663,IF(O663&gt;V663,IF(N663&lt;W663,"PASS","FAIL"),"FAIL"),"FAIL"))</f>
        <v>PASS</v>
      </c>
      <c r="S663" s="62">
        <v>1159</v>
      </c>
      <c r="T663" s="9" t="s">
        <v>240</v>
      </c>
      <c r="V663" s="110">
        <v>10000</v>
      </c>
      <c r="W663" s="110">
        <v>15600</v>
      </c>
      <c r="X663" s="111">
        <v>8090</v>
      </c>
      <c r="Y663" s="111">
        <v>12070</v>
      </c>
      <c r="Z663" s="112">
        <v>15</v>
      </c>
      <c r="AA663" s="112">
        <v>6</v>
      </c>
    </row>
    <row r="664" spans="1:27" ht="15.75">
      <c r="A664" s="99"/>
      <c r="B664" s="121"/>
      <c r="C664" s="57" t="s">
        <v>80</v>
      </c>
      <c r="D664" s="9">
        <v>25230</v>
      </c>
      <c r="E664" s="9">
        <v>25074</v>
      </c>
      <c r="F664" s="9">
        <v>25166</v>
      </c>
      <c r="G664" s="9">
        <v>25068</v>
      </c>
      <c r="H664" s="9">
        <v>25386</v>
      </c>
      <c r="I664" s="9">
        <v>25307</v>
      </c>
      <c r="J664" s="9">
        <v>25064</v>
      </c>
      <c r="K664" s="9">
        <v>25059</v>
      </c>
      <c r="L664" s="9">
        <v>25203</v>
      </c>
      <c r="M664" s="16">
        <f t="shared" ref="M664:M683" si="231">SUM(D664:L664)/9</f>
        <v>25173</v>
      </c>
      <c r="N664" s="53"/>
      <c r="O664" s="53"/>
      <c r="P664" s="63"/>
      <c r="Q664" s="53"/>
      <c r="R664" s="64"/>
      <c r="S664" s="54"/>
      <c r="V664" s="32"/>
      <c r="W664" s="29"/>
    </row>
    <row r="665" spans="1:27" ht="24" customHeight="1">
      <c r="A665" s="100"/>
      <c r="B665" s="121"/>
      <c r="C665" s="57" t="s">
        <v>82</v>
      </c>
      <c r="D665" s="16">
        <f t="shared" ref="D665:L665" si="232">IF(((D663="")*AND(D664="")),"",(D663-D664)*3)</f>
        <v>12582</v>
      </c>
      <c r="E665" s="16">
        <f t="shared" si="232"/>
        <v>12393</v>
      </c>
      <c r="F665" s="16">
        <f t="shared" si="232"/>
        <v>12147</v>
      </c>
      <c r="G665" s="16">
        <f t="shared" si="232"/>
        <v>12327</v>
      </c>
      <c r="H665" s="16">
        <f t="shared" si="232"/>
        <v>11955</v>
      </c>
      <c r="I665" s="16">
        <f t="shared" si="232"/>
        <v>12198</v>
      </c>
      <c r="J665" s="16">
        <f t="shared" si="232"/>
        <v>12333</v>
      </c>
      <c r="K665" s="16">
        <f t="shared" si="232"/>
        <v>12411</v>
      </c>
      <c r="L665" s="16">
        <f t="shared" si="232"/>
        <v>12549</v>
      </c>
      <c r="M665" s="16">
        <f t="shared" si="231"/>
        <v>12321.666666666666</v>
      </c>
      <c r="N665" s="65"/>
      <c r="O665" s="65"/>
      <c r="P665" s="66"/>
      <c r="Q665" s="65"/>
      <c r="R665" s="67"/>
      <c r="S665" s="58"/>
      <c r="V665" s="33"/>
      <c r="W665" s="29"/>
    </row>
    <row r="666" spans="1:27">
      <c r="A666" s="98">
        <v>43584</v>
      </c>
      <c r="B666" s="120" t="s">
        <v>348</v>
      </c>
      <c r="C666" s="57" t="s">
        <v>79</v>
      </c>
      <c r="D666" s="9">
        <v>29347</v>
      </c>
      <c r="E666" s="9">
        <v>29148</v>
      </c>
      <c r="F666" s="9">
        <v>29153</v>
      </c>
      <c r="G666" s="9">
        <v>29132</v>
      </c>
      <c r="H666" s="9">
        <v>29316</v>
      </c>
      <c r="I666" s="9">
        <v>29361</v>
      </c>
      <c r="J666" s="9">
        <v>29135</v>
      </c>
      <c r="K666" s="9">
        <v>29149</v>
      </c>
      <c r="L666" s="9">
        <v>29355</v>
      </c>
      <c r="M666" s="16">
        <f t="shared" si="231"/>
        <v>29232.888888888891</v>
      </c>
      <c r="N666" s="59">
        <f>IF((L667=""),"",MAX(D668:L668))</f>
        <v>10935</v>
      </c>
      <c r="O666" s="59">
        <f>IF(L667="","",MIN(D668:L668))</f>
        <v>10539</v>
      </c>
      <c r="P666" s="60">
        <f>IF((L668=""),"",AVERAGE(D668:L668))</f>
        <v>10813</v>
      </c>
      <c r="Q666" s="156">
        <f>IF((L667=""),"",((N666-O666)/(N666+O666)*100))</f>
        <v>1.8440905280804691</v>
      </c>
      <c r="R666" s="61" t="str">
        <f>IF(L667="","",IF(Q666&lt;Z666,IF(O666&gt;V666,IF(N666&lt;W666,"PASS","FAIL"),"FAIL"),"FAIL"))</f>
        <v>PASS</v>
      </c>
      <c r="S666" s="62">
        <v>1340</v>
      </c>
      <c r="T666" s="9" t="s">
        <v>285</v>
      </c>
      <c r="V666" s="110">
        <v>10000</v>
      </c>
      <c r="W666" s="110">
        <v>15600</v>
      </c>
      <c r="X666" s="111">
        <v>8090</v>
      </c>
      <c r="Y666" s="111">
        <v>12070</v>
      </c>
      <c r="Z666" s="112">
        <v>15</v>
      </c>
      <c r="AA666" s="112">
        <v>6</v>
      </c>
    </row>
    <row r="667" spans="1:27" ht="15.75">
      <c r="A667" s="99"/>
      <c r="B667" s="121"/>
      <c r="C667" s="57" t="s">
        <v>80</v>
      </c>
      <c r="D667" s="9">
        <v>25712</v>
      </c>
      <c r="E667" s="9">
        <v>25527</v>
      </c>
      <c r="F667" s="9">
        <v>25577</v>
      </c>
      <c r="G667" s="9">
        <v>25513</v>
      </c>
      <c r="H667" s="9">
        <v>25695</v>
      </c>
      <c r="I667" s="9">
        <v>25848</v>
      </c>
      <c r="J667" s="9">
        <v>25533</v>
      </c>
      <c r="K667" s="9">
        <v>25542</v>
      </c>
      <c r="L667" s="9">
        <v>25710</v>
      </c>
      <c r="M667" s="16">
        <f t="shared" si="231"/>
        <v>25628.555555555555</v>
      </c>
      <c r="N667" s="53"/>
      <c r="O667" s="53"/>
      <c r="P667" s="63"/>
      <c r="Q667" s="53"/>
      <c r="R667" s="64"/>
      <c r="S667" s="54"/>
      <c r="V667" s="32"/>
      <c r="W667" s="29"/>
    </row>
    <row r="668" spans="1:27" ht="24" customHeight="1">
      <c r="A668" s="100"/>
      <c r="B668" s="121"/>
      <c r="C668" s="57" t="s">
        <v>82</v>
      </c>
      <c r="D668" s="16">
        <f t="shared" ref="D668:L668" si="233">IF(((D666="")*AND(D667="")),"",(D666-D667)*3)</f>
        <v>10905</v>
      </c>
      <c r="E668" s="16">
        <f t="shared" si="233"/>
        <v>10863</v>
      </c>
      <c r="F668" s="16">
        <f t="shared" si="233"/>
        <v>10728</v>
      </c>
      <c r="G668" s="16">
        <f t="shared" si="233"/>
        <v>10857</v>
      </c>
      <c r="H668" s="16">
        <f t="shared" si="233"/>
        <v>10863</v>
      </c>
      <c r="I668" s="16">
        <f t="shared" si="233"/>
        <v>10539</v>
      </c>
      <c r="J668" s="16">
        <f t="shared" si="233"/>
        <v>10806</v>
      </c>
      <c r="K668" s="16">
        <f t="shared" si="233"/>
        <v>10821</v>
      </c>
      <c r="L668" s="16">
        <f t="shared" si="233"/>
        <v>10935</v>
      </c>
      <c r="M668" s="16">
        <f t="shared" si="231"/>
        <v>10813</v>
      </c>
      <c r="N668" s="65"/>
      <c r="O668" s="65"/>
      <c r="P668" s="66"/>
      <c r="Q668" s="65"/>
      <c r="R668" s="67"/>
      <c r="S668" s="58"/>
      <c r="V668" s="33"/>
      <c r="W668" s="29"/>
    </row>
    <row r="669" spans="1:27">
      <c r="A669" s="98">
        <v>43588</v>
      </c>
      <c r="B669" s="120" t="s">
        <v>348</v>
      </c>
      <c r="C669" s="57" t="s">
        <v>79</v>
      </c>
      <c r="D669" s="9">
        <v>29181</v>
      </c>
      <c r="E669" s="9">
        <v>29066</v>
      </c>
      <c r="F669" s="9">
        <v>29092</v>
      </c>
      <c r="G669" s="9">
        <v>29057</v>
      </c>
      <c r="H669" s="9">
        <v>29134</v>
      </c>
      <c r="I669" s="9">
        <v>29159</v>
      </c>
      <c r="J669" s="9">
        <v>29061</v>
      </c>
      <c r="K669" s="9">
        <v>29064</v>
      </c>
      <c r="L669" s="9">
        <v>29185</v>
      </c>
      <c r="M669" s="16">
        <f t="shared" si="231"/>
        <v>29111</v>
      </c>
      <c r="N669" s="59">
        <f>IF((L670=""),"",MAX(D671:L671))</f>
        <v>11658</v>
      </c>
      <c r="O669" s="59">
        <f>IF(L670="","",MIN(D671:L671))</f>
        <v>11172</v>
      </c>
      <c r="P669" s="60">
        <f>IF((L671=""),"",AVERAGE(D671:L671))</f>
        <v>11406.333333333334</v>
      </c>
      <c r="Q669" s="156">
        <f>IF((L670=""),"",((N669-O669)/(N669+O669)*100))</f>
        <v>2.1287779237844942</v>
      </c>
      <c r="R669" s="61" t="str">
        <f>IF(L670="","",IF(Q669&lt;Z669,IF(O669&gt;V669,IF(N669&lt;W669,"PASS","FAIL"),"FAIL"),"FAIL"))</f>
        <v>PASS</v>
      </c>
      <c r="S669" s="62">
        <v>1340</v>
      </c>
      <c r="T669" s="9" t="s">
        <v>284</v>
      </c>
      <c r="V669" s="110">
        <v>10000</v>
      </c>
      <c r="W669" s="110">
        <v>15600</v>
      </c>
      <c r="X669" s="111">
        <v>8090</v>
      </c>
      <c r="Y669" s="111">
        <v>12070</v>
      </c>
      <c r="Z669" s="112">
        <v>15</v>
      </c>
      <c r="AA669" s="112">
        <v>6</v>
      </c>
    </row>
    <row r="670" spans="1:27" ht="15.75">
      <c r="A670" s="99"/>
      <c r="B670" s="121"/>
      <c r="C670" s="57" t="s">
        <v>80</v>
      </c>
      <c r="D670" s="9">
        <v>25417</v>
      </c>
      <c r="E670" s="9">
        <v>25258</v>
      </c>
      <c r="F670" s="9">
        <v>25315</v>
      </c>
      <c r="G670" s="9">
        <v>25233</v>
      </c>
      <c r="H670" s="9">
        <v>25329</v>
      </c>
      <c r="I670" s="9">
        <v>25435</v>
      </c>
      <c r="J670" s="9">
        <v>25264</v>
      </c>
      <c r="K670" s="9">
        <v>25230</v>
      </c>
      <c r="L670" s="9">
        <v>25299</v>
      </c>
      <c r="M670" s="16">
        <f t="shared" si="231"/>
        <v>25308.888888888891</v>
      </c>
      <c r="N670" s="53"/>
      <c r="O670" s="53"/>
      <c r="P670" s="63"/>
      <c r="Q670" s="53"/>
      <c r="R670" s="64"/>
      <c r="S670" s="54"/>
      <c r="V670" s="32"/>
      <c r="W670" s="29"/>
    </row>
    <row r="671" spans="1:27" ht="24" customHeight="1">
      <c r="A671" s="100"/>
      <c r="B671" s="121"/>
      <c r="C671" s="57" t="s">
        <v>82</v>
      </c>
      <c r="D671" s="16">
        <f t="shared" ref="D671:L671" si="234">IF(((D669="")*AND(D670="")),"",(D669-D670)*3)</f>
        <v>11292</v>
      </c>
      <c r="E671" s="16">
        <f t="shared" si="234"/>
        <v>11424</v>
      </c>
      <c r="F671" s="16">
        <f t="shared" si="234"/>
        <v>11331</v>
      </c>
      <c r="G671" s="16">
        <f t="shared" si="234"/>
        <v>11472</v>
      </c>
      <c r="H671" s="16">
        <f t="shared" si="234"/>
        <v>11415</v>
      </c>
      <c r="I671" s="16">
        <f t="shared" si="234"/>
        <v>11172</v>
      </c>
      <c r="J671" s="16">
        <f t="shared" si="234"/>
        <v>11391</v>
      </c>
      <c r="K671" s="16">
        <f t="shared" si="234"/>
        <v>11502</v>
      </c>
      <c r="L671" s="16">
        <f t="shared" si="234"/>
        <v>11658</v>
      </c>
      <c r="M671" s="16">
        <f t="shared" si="231"/>
        <v>11406.333333333334</v>
      </c>
      <c r="N671" s="65"/>
      <c r="O671" s="65"/>
      <c r="P671" s="66"/>
      <c r="Q671" s="65"/>
      <c r="R671" s="67"/>
      <c r="S671" s="58"/>
      <c r="V671" s="33"/>
      <c r="W671" s="29"/>
    </row>
    <row r="672" spans="1:27">
      <c r="A672" s="98">
        <v>43592</v>
      </c>
      <c r="B672" s="120" t="s">
        <v>348</v>
      </c>
      <c r="C672" s="57" t="s">
        <v>79</v>
      </c>
      <c r="D672" s="9">
        <v>29133.85</v>
      </c>
      <c r="E672" s="9">
        <v>29032.6</v>
      </c>
      <c r="F672" s="9">
        <v>29028.75</v>
      </c>
      <c r="G672" s="9">
        <v>29045.9</v>
      </c>
      <c r="H672" s="9">
        <v>29166.76</v>
      </c>
      <c r="I672" s="9">
        <v>29151.16</v>
      </c>
      <c r="J672" s="9">
        <v>29032.76</v>
      </c>
      <c r="K672" s="9">
        <v>29021.3</v>
      </c>
      <c r="L672" s="9">
        <v>29140.45</v>
      </c>
      <c r="M672" s="16">
        <f t="shared" si="231"/>
        <v>29083.72555555556</v>
      </c>
      <c r="N672" s="59">
        <f>IF((L673=""),"",MAX(D674:L674))</f>
        <v>11526.119999999992</v>
      </c>
      <c r="O672" s="59">
        <f>IF(L673="","",MIN(D674:L674))</f>
        <v>11207.399999999998</v>
      </c>
      <c r="P672" s="60">
        <f>IF((L674=""),"",AVERAGE(D674:L674))</f>
        <v>11396.173333333332</v>
      </c>
      <c r="Q672" s="156">
        <f>IF((L673=""),"",((N672-O672)/(N672+O672)*100))</f>
        <v>1.4019826230165588</v>
      </c>
      <c r="R672" s="61" t="str">
        <f>IF(L673="","",IF(Q672&lt;Z672,IF(O672&gt;V672,IF(N672&lt;W672,"PASS","FAIL"),"FAIL"),"FAIL"))</f>
        <v>PASS</v>
      </c>
      <c r="S672" s="62">
        <v>1159</v>
      </c>
      <c r="V672" s="110">
        <v>10000</v>
      </c>
      <c r="W672" s="110">
        <v>15600</v>
      </c>
      <c r="X672" s="111">
        <v>8090</v>
      </c>
      <c r="Y672" s="111">
        <v>12070</v>
      </c>
      <c r="Z672" s="112">
        <v>15</v>
      </c>
      <c r="AA672" s="112">
        <v>6</v>
      </c>
    </row>
    <row r="673" spans="1:27" ht="15.75">
      <c r="A673" s="99"/>
      <c r="B673" s="121"/>
      <c r="C673" s="57" t="s">
        <v>80</v>
      </c>
      <c r="D673" s="9">
        <v>25398.05</v>
      </c>
      <c r="E673" s="9">
        <v>25233.49</v>
      </c>
      <c r="F673" s="9">
        <v>25257.14</v>
      </c>
      <c r="G673" s="9">
        <v>25206.99</v>
      </c>
      <c r="H673" s="9">
        <v>25324.720000000001</v>
      </c>
      <c r="I673" s="9">
        <v>25411</v>
      </c>
      <c r="J673" s="9">
        <v>25220.12</v>
      </c>
      <c r="K673" s="9">
        <v>25197.279999999999</v>
      </c>
      <c r="L673" s="9">
        <v>25316.22</v>
      </c>
      <c r="M673" s="16">
        <f t="shared" si="231"/>
        <v>25285.001111111113</v>
      </c>
      <c r="N673" s="53"/>
      <c r="O673" s="53"/>
      <c r="P673" s="63"/>
      <c r="Q673" s="53"/>
      <c r="R673" s="64"/>
      <c r="S673" s="54"/>
      <c r="V673" s="32"/>
      <c r="W673" s="29"/>
    </row>
    <row r="674" spans="1:27" ht="23.25" customHeight="1">
      <c r="A674" s="100"/>
      <c r="B674" s="121"/>
      <c r="C674" s="57" t="s">
        <v>82</v>
      </c>
      <c r="D674" s="16">
        <f t="shared" ref="D674:L674" si="235">IF(((D672="")*AND(D673="")),"",(D672-D673)*3)</f>
        <v>11207.399999999998</v>
      </c>
      <c r="E674" s="16">
        <f t="shared" si="235"/>
        <v>11397.329999999991</v>
      </c>
      <c r="F674" s="16">
        <f t="shared" si="235"/>
        <v>11314.830000000002</v>
      </c>
      <c r="G674" s="16">
        <f t="shared" si="235"/>
        <v>11516.73</v>
      </c>
      <c r="H674" s="16">
        <f t="shared" si="235"/>
        <v>11526.119999999992</v>
      </c>
      <c r="I674" s="16">
        <f t="shared" si="235"/>
        <v>11220.48</v>
      </c>
      <c r="J674" s="16">
        <f t="shared" si="235"/>
        <v>11437.919999999998</v>
      </c>
      <c r="K674" s="16">
        <f t="shared" si="235"/>
        <v>11472.060000000001</v>
      </c>
      <c r="L674" s="16">
        <f t="shared" si="235"/>
        <v>11472.689999999999</v>
      </c>
      <c r="M674" s="16">
        <f t="shared" si="231"/>
        <v>11396.173333333332</v>
      </c>
      <c r="N674" s="65"/>
      <c r="O674" s="65"/>
      <c r="P674" s="66"/>
      <c r="Q674" s="65"/>
      <c r="R674" s="67"/>
      <c r="S674" s="58"/>
      <c r="V674" s="33"/>
      <c r="W674" s="29"/>
    </row>
    <row r="675" spans="1:27">
      <c r="A675" s="98">
        <v>43596</v>
      </c>
      <c r="B675" s="120" t="s">
        <v>348</v>
      </c>
      <c r="C675" s="57" t="s">
        <v>79</v>
      </c>
      <c r="D675" s="9">
        <v>29114.99</v>
      </c>
      <c r="E675" s="9">
        <v>29030.29</v>
      </c>
      <c r="F675" s="9">
        <v>29008.86</v>
      </c>
      <c r="G675" s="9">
        <v>29020.19</v>
      </c>
      <c r="H675" s="9">
        <v>29119.69</v>
      </c>
      <c r="I675" s="9">
        <v>29113.31</v>
      </c>
      <c r="J675" s="9">
        <v>29022.74</v>
      </c>
      <c r="K675" s="9">
        <v>29019.06</v>
      </c>
      <c r="L675" s="9">
        <v>29141.25</v>
      </c>
      <c r="M675" s="16">
        <f t="shared" si="231"/>
        <v>29065.597777777773</v>
      </c>
      <c r="N675" s="59">
        <f>IF((L676=""),"",MAX(D677:L677))</f>
        <v>10389.569999999996</v>
      </c>
      <c r="O675" s="59">
        <f>IF(L676="","",MIN(D677:L677))</f>
        <v>10079.910000000003</v>
      </c>
      <c r="P675" s="60">
        <f>IF((L677=""),"",AVERAGE(D677:L677))</f>
        <v>10261.893333333333</v>
      </c>
      <c r="Q675" s="156">
        <f>IF((L676=""),"",((N675-O675)/(N675+O675)*100))</f>
        <v>1.5127887958071851</v>
      </c>
      <c r="R675" s="61" t="str">
        <f>IF(L676="","",IF(Q675&lt;Z675,IF(O675&gt;V675,IF(N675&lt;W675,"PASS","FAIL"),"FAIL"),"FAIL"))</f>
        <v>PASS</v>
      </c>
      <c r="S675" s="62">
        <v>1534</v>
      </c>
      <c r="T675" s="9" t="s">
        <v>241</v>
      </c>
      <c r="V675" s="110">
        <v>10000</v>
      </c>
      <c r="W675" s="110">
        <v>15600</v>
      </c>
      <c r="X675" s="111">
        <v>8090</v>
      </c>
      <c r="Y675" s="111">
        <v>12070</v>
      </c>
      <c r="Z675" s="112">
        <v>15</v>
      </c>
      <c r="AA675" s="112">
        <v>6</v>
      </c>
    </row>
    <row r="676" spans="1:27" ht="15.75">
      <c r="A676" s="99"/>
      <c r="B676" s="121"/>
      <c r="C676" s="57" t="s">
        <v>80</v>
      </c>
      <c r="D676" s="9">
        <v>25726.400000000001</v>
      </c>
      <c r="E676" s="9">
        <v>25578.54</v>
      </c>
      <c r="F676" s="9">
        <v>25627.1</v>
      </c>
      <c r="G676" s="9">
        <v>25588.83</v>
      </c>
      <c r="H676" s="9">
        <v>25703.55</v>
      </c>
      <c r="I676" s="9">
        <v>25753.34</v>
      </c>
      <c r="J676" s="9">
        <v>25579.040000000001</v>
      </c>
      <c r="K676" s="9">
        <v>25569.84</v>
      </c>
      <c r="L676" s="9">
        <v>25678.06</v>
      </c>
      <c r="M676" s="16">
        <f t="shared" si="231"/>
        <v>25644.966666666667</v>
      </c>
      <c r="N676" s="53"/>
      <c r="O676" s="53"/>
      <c r="P676" s="63"/>
      <c r="Q676" s="53"/>
      <c r="R676" s="64"/>
      <c r="S676" s="54"/>
      <c r="V676" s="32"/>
      <c r="W676" s="29"/>
    </row>
    <row r="677" spans="1:27" ht="24" customHeight="1">
      <c r="A677" s="100"/>
      <c r="B677" s="121"/>
      <c r="C677" s="57" t="s">
        <v>82</v>
      </c>
      <c r="D677" s="16">
        <f t="shared" ref="D677:L677" si="236">IF(((D675="")*AND(D676="")),"",(D675-D676)*3)</f>
        <v>10165.77</v>
      </c>
      <c r="E677" s="16">
        <f t="shared" si="236"/>
        <v>10355.25</v>
      </c>
      <c r="F677" s="16">
        <f t="shared" si="236"/>
        <v>10145.280000000006</v>
      </c>
      <c r="G677" s="16">
        <f t="shared" si="236"/>
        <v>10294.079999999991</v>
      </c>
      <c r="H677" s="16">
        <f t="shared" si="236"/>
        <v>10248.419999999998</v>
      </c>
      <c r="I677" s="16">
        <f t="shared" si="236"/>
        <v>10079.910000000003</v>
      </c>
      <c r="J677" s="16">
        <f t="shared" si="236"/>
        <v>10331.100000000002</v>
      </c>
      <c r="K677" s="16">
        <f t="shared" si="236"/>
        <v>10347.660000000003</v>
      </c>
      <c r="L677" s="16">
        <f t="shared" si="236"/>
        <v>10389.569999999996</v>
      </c>
      <c r="M677" s="16">
        <f t="shared" si="231"/>
        <v>10261.893333333333</v>
      </c>
      <c r="N677" s="65"/>
      <c r="O677" s="65"/>
      <c r="P677" s="66"/>
      <c r="Q677" s="65"/>
      <c r="R677" s="67"/>
      <c r="S677" s="58"/>
      <c r="V677" s="33"/>
      <c r="W677" s="29"/>
    </row>
    <row r="678" spans="1:27">
      <c r="A678" s="98">
        <v>43600</v>
      </c>
      <c r="B678" s="120" t="s">
        <v>348</v>
      </c>
      <c r="C678" s="57" t="s">
        <v>79</v>
      </c>
      <c r="D678" s="9">
        <v>29245.360000000001</v>
      </c>
      <c r="E678" s="9">
        <v>29069.1</v>
      </c>
      <c r="F678" s="9">
        <v>29049.61</v>
      </c>
      <c r="G678" s="9">
        <v>29044.71</v>
      </c>
      <c r="H678" s="9">
        <v>29224.81</v>
      </c>
      <c r="I678" s="9">
        <v>29017.07</v>
      </c>
      <c r="J678" s="9">
        <v>29842.87</v>
      </c>
      <c r="K678" s="9">
        <v>29126.55</v>
      </c>
      <c r="L678" s="9">
        <v>29950.720000000001</v>
      </c>
      <c r="M678" s="16">
        <f t="shared" si="231"/>
        <v>29285.644444444442</v>
      </c>
      <c r="N678" s="59">
        <f>IF((L679=""),"",MAX(D680:L680))</f>
        <v>15833.489999999994</v>
      </c>
      <c r="O678" s="59">
        <f>IF(L679="","",MIN(D680:L680))</f>
        <v>12453.870000000003</v>
      </c>
      <c r="P678" s="60">
        <f>IF((L680=""),"",AVERAGE(D680:L680))</f>
        <v>13742.733333333334</v>
      </c>
      <c r="Q678" s="156">
        <f>IF((L679=""),"",((N678-O678)/(N678+O678)*100))</f>
        <v>11.947456390416045</v>
      </c>
      <c r="R678" s="61" t="str">
        <f>IF(L679="","",IF(Q678&lt;Z678,IF(O678&gt;V678,IF(N678&lt;W678,"PASS","FAIL"),"FAIL"),"FAIL"))</f>
        <v>FAIL</v>
      </c>
      <c r="S678" s="62" t="s">
        <v>242</v>
      </c>
      <c r="T678" s="9" t="s">
        <v>243</v>
      </c>
      <c r="V678" s="110">
        <v>10000</v>
      </c>
      <c r="W678" s="110">
        <v>15600</v>
      </c>
      <c r="X678" s="111">
        <v>8090</v>
      </c>
      <c r="Y678" s="111">
        <v>12070</v>
      </c>
      <c r="Z678" s="112">
        <v>15</v>
      </c>
      <c r="AA678" s="112">
        <v>6</v>
      </c>
    </row>
    <row r="679" spans="1:27" ht="15.75">
      <c r="A679" s="99"/>
      <c r="B679" s="121"/>
      <c r="C679" s="57" t="s">
        <v>80</v>
      </c>
      <c r="D679" s="9">
        <v>24841.31</v>
      </c>
      <c r="E679" s="9">
        <v>24614.6</v>
      </c>
      <c r="F679" s="9">
        <v>24653.87</v>
      </c>
      <c r="G679" s="9">
        <v>24601.63</v>
      </c>
      <c r="H679" s="9">
        <v>24805.54</v>
      </c>
      <c r="I679" s="9">
        <v>24865.78</v>
      </c>
      <c r="J679" s="9">
        <v>24565.040000000001</v>
      </c>
      <c r="K679" s="9">
        <v>24638.34</v>
      </c>
      <c r="L679" s="9">
        <v>24756.49</v>
      </c>
      <c r="M679" s="16">
        <f t="shared" si="231"/>
        <v>24704.733333333334</v>
      </c>
      <c r="N679" s="53"/>
      <c r="O679" s="53"/>
      <c r="P679" s="63"/>
      <c r="Q679" s="53"/>
      <c r="R679" s="64"/>
      <c r="S679" s="54"/>
      <c r="V679" s="32"/>
      <c r="W679" s="29"/>
    </row>
    <row r="680" spans="1:27" ht="24" customHeight="1">
      <c r="A680" s="100"/>
      <c r="B680" s="121"/>
      <c r="C680" s="57" t="s">
        <v>82</v>
      </c>
      <c r="D680" s="16">
        <f t="shared" ref="D680:L680" si="237">IF(((D678="")*AND(D679="")),"",(D678-D679)*3)</f>
        <v>13212.149999999998</v>
      </c>
      <c r="E680" s="16">
        <f t="shared" si="237"/>
        <v>13363.5</v>
      </c>
      <c r="F680" s="16">
        <f t="shared" si="237"/>
        <v>13187.220000000005</v>
      </c>
      <c r="G680" s="16">
        <f t="shared" si="237"/>
        <v>13329.239999999994</v>
      </c>
      <c r="H680" s="16">
        <f t="shared" si="237"/>
        <v>13257.810000000001</v>
      </c>
      <c r="I680" s="16">
        <f t="shared" si="237"/>
        <v>12453.870000000003</v>
      </c>
      <c r="J680" s="16">
        <f t="shared" si="237"/>
        <v>15833.489999999994</v>
      </c>
      <c r="K680" s="16">
        <f t="shared" si="237"/>
        <v>13464.629999999997</v>
      </c>
      <c r="L680" s="16">
        <f t="shared" si="237"/>
        <v>15582.689999999999</v>
      </c>
      <c r="M680" s="16">
        <f t="shared" si="231"/>
        <v>13742.733333333334</v>
      </c>
      <c r="N680" s="65"/>
      <c r="O680" s="65"/>
      <c r="P680" s="66"/>
      <c r="Q680" s="65"/>
      <c r="R680" s="67"/>
      <c r="S680" s="58"/>
      <c r="V680" s="33"/>
      <c r="W680" s="29"/>
    </row>
    <row r="681" spans="1:27">
      <c r="A681" s="98">
        <v>43605</v>
      </c>
      <c r="B681" s="120" t="s">
        <v>348</v>
      </c>
      <c r="C681" s="57" t="s">
        <v>79</v>
      </c>
      <c r="D681" s="9">
        <v>29211.119999999999</v>
      </c>
      <c r="E681" s="9">
        <v>29139.77</v>
      </c>
      <c r="F681" s="9">
        <v>29159.11</v>
      </c>
      <c r="G681" s="9">
        <v>29112.95</v>
      </c>
      <c r="H681" s="9">
        <v>29238.27</v>
      </c>
      <c r="I681" s="9">
        <v>29291.38</v>
      </c>
      <c r="J681" s="9">
        <v>29164.68</v>
      </c>
      <c r="K681" s="9">
        <v>29111.27</v>
      </c>
      <c r="L681" s="9">
        <v>29214.04</v>
      </c>
      <c r="M681" s="16">
        <f t="shared" si="231"/>
        <v>29182.509999999995</v>
      </c>
      <c r="N681" s="59">
        <f>IF((L682=""),"",MAX(D683:L683))</f>
        <v>14178.359999999997</v>
      </c>
      <c r="O681" s="59">
        <f>IF(L682="","",MIN(D683:L683))</f>
        <v>13145.939999999999</v>
      </c>
      <c r="P681" s="60">
        <f>IF((L683=""),"",AVERAGE(D683:L683))</f>
        <v>13775.373333333333</v>
      </c>
      <c r="Q681" s="156">
        <f>IF((L682=""),"",((N681-O681)/(N681+O681)*100))</f>
        <v>3.7783950549510816</v>
      </c>
      <c r="R681" s="61" t="str">
        <f>IF(L682="","",IF(Q681&lt;Z681,IF(O681&gt;V681,IF(N681&lt;W681,"PASS","FAIL"),"FAIL"),"FAIL"))</f>
        <v>PASS</v>
      </c>
      <c r="S681" s="62">
        <v>1335</v>
      </c>
      <c r="T681" s="9" t="s">
        <v>244</v>
      </c>
      <c r="V681" s="110">
        <v>10000</v>
      </c>
      <c r="W681" s="110">
        <v>15600</v>
      </c>
      <c r="X681" s="111">
        <v>8090</v>
      </c>
      <c r="Y681" s="111">
        <v>12070</v>
      </c>
      <c r="Z681" s="112">
        <v>15</v>
      </c>
      <c r="AA681" s="112">
        <v>6</v>
      </c>
    </row>
    <row r="682" spans="1:27" ht="15.75">
      <c r="A682" s="99"/>
      <c r="B682" s="121"/>
      <c r="C682" s="57" t="s">
        <v>80</v>
      </c>
      <c r="D682" s="9">
        <v>24829.14</v>
      </c>
      <c r="E682" s="9">
        <v>24512.69</v>
      </c>
      <c r="F682" s="9">
        <v>24512.15</v>
      </c>
      <c r="G682" s="9">
        <v>24501.15</v>
      </c>
      <c r="H682" s="9">
        <v>24512.15</v>
      </c>
      <c r="I682" s="9">
        <v>24842.33</v>
      </c>
      <c r="J682" s="9">
        <v>24492.81</v>
      </c>
      <c r="K682" s="9">
        <v>24482.68</v>
      </c>
      <c r="L682" s="9">
        <v>24631.37</v>
      </c>
      <c r="M682" s="16">
        <f t="shared" si="231"/>
        <v>24590.718888888885</v>
      </c>
      <c r="N682" s="53"/>
      <c r="O682" s="53"/>
      <c r="P682" s="63"/>
      <c r="Q682" s="53"/>
      <c r="R682" s="64"/>
      <c r="S682" s="54"/>
      <c r="V682" s="32"/>
      <c r="W682" s="29"/>
    </row>
    <row r="683" spans="1:27" ht="24" customHeight="1">
      <c r="A683" s="100"/>
      <c r="B683" s="121"/>
      <c r="C683" s="57" t="s">
        <v>82</v>
      </c>
      <c r="D683" s="16">
        <f t="shared" ref="D683:L683" si="238">IF(((D681="")*AND(D682="")),"",(D681-D682)*3)</f>
        <v>13145.939999999999</v>
      </c>
      <c r="E683" s="16">
        <f t="shared" si="238"/>
        <v>13881.240000000005</v>
      </c>
      <c r="F683" s="16">
        <f t="shared" si="238"/>
        <v>13940.879999999997</v>
      </c>
      <c r="G683" s="16">
        <f t="shared" si="238"/>
        <v>13835.399999999998</v>
      </c>
      <c r="H683" s="16">
        <f t="shared" si="238"/>
        <v>14178.359999999997</v>
      </c>
      <c r="I683" s="16">
        <f t="shared" si="238"/>
        <v>13347.149999999998</v>
      </c>
      <c r="J683" s="16">
        <f t="shared" si="238"/>
        <v>14015.609999999997</v>
      </c>
      <c r="K683" s="16">
        <f t="shared" si="238"/>
        <v>13885.77</v>
      </c>
      <c r="L683" s="16">
        <f t="shared" si="238"/>
        <v>13748.010000000006</v>
      </c>
      <c r="M683" s="16">
        <f t="shared" si="231"/>
        <v>13775.373333333333</v>
      </c>
      <c r="N683" s="65"/>
      <c r="O683" s="65"/>
      <c r="P683" s="66"/>
      <c r="Q683" s="65"/>
      <c r="R683" s="67"/>
      <c r="S683" s="58"/>
      <c r="V683" s="33"/>
      <c r="W683" s="29"/>
    </row>
    <row r="684" spans="1:27" ht="15.75">
      <c r="A684" s="98">
        <v>43609</v>
      </c>
      <c r="B684" s="120" t="s">
        <v>348</v>
      </c>
      <c r="C684" s="57" t="s">
        <v>79</v>
      </c>
      <c r="D684">
        <v>29434.89</v>
      </c>
      <c r="E684">
        <v>29297.79</v>
      </c>
      <c r="F684">
        <v>29263.37</v>
      </c>
      <c r="G684">
        <v>29274.799999999999</v>
      </c>
      <c r="H684">
        <v>29399.279999999999</v>
      </c>
      <c r="I684">
        <v>29411.19</v>
      </c>
      <c r="J684">
        <v>29270.28</v>
      </c>
      <c r="K684">
        <v>29277.46</v>
      </c>
      <c r="L684">
        <v>29394.29</v>
      </c>
      <c r="M684" s="16">
        <f t="shared" ref="M684:M686" si="239">SUM(D684:L684)/9</f>
        <v>29335.927777777775</v>
      </c>
      <c r="N684" s="59">
        <f>IF((L685=""),"",MAX(D686:L686))</f>
        <v>11924.759999999995</v>
      </c>
      <c r="O684" s="59">
        <f>IF(L685="","",MIN(D686:L686))</f>
        <v>11339.310000000001</v>
      </c>
      <c r="P684" s="60">
        <f>IF((L686=""),"",AVERAGE(D686:L686))</f>
        <v>11707.739999999998</v>
      </c>
      <c r="Q684" s="156">
        <f>IF((L685=""),"",((N684-O684)/(N684+O684)*100))</f>
        <v>2.5165416025656455</v>
      </c>
      <c r="R684" s="61" t="str">
        <f>IF(L685="","",IF(Q684&lt;Z684,IF(O684&gt;V684,IF(N684&lt;W684,"PASS","FAIL"),"FAIL"),"FAIL"))</f>
        <v>PASS</v>
      </c>
      <c r="S684" s="62">
        <v>1335</v>
      </c>
      <c r="T684" s="9" t="s">
        <v>245</v>
      </c>
      <c r="V684" s="110">
        <v>10000</v>
      </c>
      <c r="W684" s="110">
        <v>15600</v>
      </c>
      <c r="X684" s="111">
        <v>8090</v>
      </c>
      <c r="Y684" s="111">
        <v>12070</v>
      </c>
      <c r="Z684" s="112">
        <v>15</v>
      </c>
      <c r="AA684" s="112">
        <v>6</v>
      </c>
    </row>
    <row r="685" spans="1:27" ht="15.75">
      <c r="A685" s="99"/>
      <c r="B685" s="122"/>
      <c r="C685" s="57" t="s">
        <v>80</v>
      </c>
      <c r="D685">
        <v>25526.22</v>
      </c>
      <c r="E685">
        <v>25359.26</v>
      </c>
      <c r="F685">
        <v>25364.91</v>
      </c>
      <c r="G685">
        <v>25353.91</v>
      </c>
      <c r="H685">
        <v>25563.58</v>
      </c>
      <c r="I685">
        <v>25436.27</v>
      </c>
      <c r="J685">
        <v>25309.49</v>
      </c>
      <c r="K685">
        <v>25371.97</v>
      </c>
      <c r="L685">
        <v>25614.52</v>
      </c>
      <c r="M685" s="16">
        <f t="shared" si="239"/>
        <v>25433.347777777773</v>
      </c>
      <c r="N685" s="53"/>
      <c r="O685" s="53"/>
      <c r="P685" s="63"/>
      <c r="Q685" s="53"/>
      <c r="R685" s="64"/>
      <c r="S685" s="54"/>
      <c r="V685" s="32"/>
      <c r="W685" s="29"/>
    </row>
    <row r="686" spans="1:27">
      <c r="A686" s="100"/>
      <c r="B686" s="122"/>
      <c r="C686" s="57" t="s">
        <v>82</v>
      </c>
      <c r="D686" s="16">
        <f t="shared" ref="D686:L686" si="240">IF(((D684="")*AND(D685="")),"",(D684-D685)*3)</f>
        <v>11726.009999999995</v>
      </c>
      <c r="E686" s="16">
        <f t="shared" si="240"/>
        <v>11815.590000000007</v>
      </c>
      <c r="F686" s="16">
        <f t="shared" si="240"/>
        <v>11695.379999999997</v>
      </c>
      <c r="G686" s="16">
        <f t="shared" si="240"/>
        <v>11762.669999999998</v>
      </c>
      <c r="H686" s="16">
        <f t="shared" si="240"/>
        <v>11507.099999999991</v>
      </c>
      <c r="I686" s="16">
        <f t="shared" si="240"/>
        <v>11924.759999999995</v>
      </c>
      <c r="J686" s="16">
        <f t="shared" si="240"/>
        <v>11882.369999999992</v>
      </c>
      <c r="K686" s="16">
        <f t="shared" si="240"/>
        <v>11716.469999999994</v>
      </c>
      <c r="L686" s="16">
        <f t="shared" si="240"/>
        <v>11339.310000000001</v>
      </c>
      <c r="M686" s="16">
        <f t="shared" si="239"/>
        <v>11707.739999999998</v>
      </c>
      <c r="N686" s="65"/>
      <c r="O686" s="65"/>
      <c r="P686" s="66"/>
      <c r="Q686" s="65"/>
      <c r="R686" s="67"/>
      <c r="S686" s="58"/>
      <c r="V686" s="33"/>
      <c r="W686" s="29"/>
    </row>
    <row r="687" spans="1:27" ht="15.75">
      <c r="A687" s="98">
        <v>43613</v>
      </c>
      <c r="B687" s="120" t="s">
        <v>348</v>
      </c>
      <c r="C687" s="57" t="s">
        <v>79</v>
      </c>
      <c r="D687">
        <v>29350.77</v>
      </c>
      <c r="E687">
        <v>29238.21</v>
      </c>
      <c r="F687">
        <v>29233.83</v>
      </c>
      <c r="G687">
        <v>29226.65</v>
      </c>
      <c r="H687">
        <v>29353.58</v>
      </c>
      <c r="I687">
        <v>29361.95</v>
      </c>
      <c r="J687">
        <v>29234.28</v>
      </c>
      <c r="K687">
        <v>29220.22</v>
      </c>
      <c r="L687">
        <v>29362.86</v>
      </c>
      <c r="M687" s="16"/>
      <c r="N687" s="59">
        <f>IF((L688=""),"",MAX(D689:L689))</f>
        <v>12858.810000000001</v>
      </c>
      <c r="O687" s="59">
        <f>IF(L688="","",MIN(D689:L689))</f>
        <v>12259.140000000003</v>
      </c>
      <c r="P687" s="60">
        <f>IF((L689=""),"",AVERAGE(D689:L689))</f>
        <v>12658.910000000002</v>
      </c>
      <c r="Q687" s="156">
        <f>IF((L688=""),"",((N687-O687)/(N687+O687)*100))</f>
        <v>2.3874161705075383</v>
      </c>
      <c r="R687" s="61" t="str">
        <f>IF(L688="","",IF(Q687&lt;Z687,IF(O687&gt;V687,IF(N687&lt;W687,"PASS","FAIL"),"FAIL"),"FAIL"))</f>
        <v>PASS</v>
      </c>
      <c r="S687" s="62">
        <v>1340</v>
      </c>
      <c r="T687" s="9" t="s">
        <v>283</v>
      </c>
      <c r="V687" s="110">
        <v>10000</v>
      </c>
      <c r="W687" s="110">
        <v>15600</v>
      </c>
      <c r="X687" s="111">
        <v>8090</v>
      </c>
      <c r="Y687" s="111">
        <v>12070</v>
      </c>
      <c r="Z687" s="112">
        <v>15</v>
      </c>
      <c r="AA687" s="112">
        <v>6</v>
      </c>
    </row>
    <row r="688" spans="1:27" ht="15.75">
      <c r="A688" s="99"/>
      <c r="B688" s="122"/>
      <c r="C688" s="57" t="s">
        <v>80</v>
      </c>
      <c r="D688">
        <v>25261.68</v>
      </c>
      <c r="E688">
        <v>24985.48</v>
      </c>
      <c r="F688">
        <v>24998.42</v>
      </c>
      <c r="G688">
        <v>24951.18</v>
      </c>
      <c r="H688">
        <v>25127.200000000001</v>
      </c>
      <c r="I688">
        <v>25275.57</v>
      </c>
      <c r="J688">
        <v>24989.98</v>
      </c>
      <c r="K688">
        <v>24939.52</v>
      </c>
      <c r="L688">
        <v>25076.59</v>
      </c>
      <c r="M688" s="16"/>
      <c r="N688" s="53"/>
      <c r="O688" s="53"/>
      <c r="P688" s="63"/>
      <c r="Q688" s="53"/>
      <c r="R688" s="64"/>
      <c r="S688" s="54"/>
      <c r="V688" s="32"/>
      <c r="W688" s="29"/>
    </row>
    <row r="689" spans="1:27">
      <c r="A689" s="100"/>
      <c r="B689" s="122"/>
      <c r="C689" s="57" t="s">
        <v>82</v>
      </c>
      <c r="D689" s="16">
        <f t="shared" ref="D689:L689" si="241">IF(((D687="")*AND(D688="")),"",(D687-D688)*3)</f>
        <v>12267.27</v>
      </c>
      <c r="E689" s="16">
        <f t="shared" si="241"/>
        <v>12758.189999999999</v>
      </c>
      <c r="F689" s="16">
        <f t="shared" si="241"/>
        <v>12706.23000000001</v>
      </c>
      <c r="G689" s="16">
        <f t="shared" si="241"/>
        <v>12826.410000000003</v>
      </c>
      <c r="H689" s="16">
        <f t="shared" si="241"/>
        <v>12679.140000000003</v>
      </c>
      <c r="I689" s="16">
        <f t="shared" si="241"/>
        <v>12259.140000000003</v>
      </c>
      <c r="J689" s="16">
        <f t="shared" si="241"/>
        <v>12732.899999999998</v>
      </c>
      <c r="K689" s="16">
        <f t="shared" si="241"/>
        <v>12842.100000000002</v>
      </c>
      <c r="L689" s="16">
        <f t="shared" si="241"/>
        <v>12858.810000000001</v>
      </c>
      <c r="M689" s="16">
        <f t="shared" ref="M689:M692" si="242">SUM(D689:L689)/9</f>
        <v>12658.910000000002</v>
      </c>
      <c r="N689" s="65"/>
      <c r="O689" s="65"/>
      <c r="P689" s="66"/>
      <c r="Q689" s="65"/>
      <c r="R689" s="67"/>
      <c r="S689" s="58"/>
      <c r="V689" s="33"/>
      <c r="W689" s="29"/>
    </row>
    <row r="690" spans="1:27" ht="15.75">
      <c r="A690" s="98">
        <v>43619</v>
      </c>
      <c r="B690" s="120" t="s">
        <v>348</v>
      </c>
      <c r="C690" s="57" t="s">
        <v>79</v>
      </c>
      <c r="D690">
        <v>29356.15</v>
      </c>
      <c r="E690">
        <v>29236.39</v>
      </c>
      <c r="F690">
        <v>29256.560000000001</v>
      </c>
      <c r="G690">
        <v>29239.35</v>
      </c>
      <c r="H690">
        <v>29357.73</v>
      </c>
      <c r="I690">
        <v>29308.6</v>
      </c>
      <c r="J690">
        <v>29220.13</v>
      </c>
      <c r="K690">
        <v>29243.67</v>
      </c>
      <c r="L690">
        <v>29374.31</v>
      </c>
      <c r="M690" s="16"/>
      <c r="N690" s="59">
        <f>IF((L691=""),"",MAX(D692:L692))</f>
        <v>12045.80999999999</v>
      </c>
      <c r="O690" s="59">
        <f>IF(L691="","",MIN(D692:L692))</f>
        <v>11572.949999999993</v>
      </c>
      <c r="P690" s="60">
        <f>IF((L692=""),"",AVERAGE(D692:L692))</f>
        <v>11905.400000000001</v>
      </c>
      <c r="Q690" s="156">
        <f>IF((L691=""),"",((N690-O690)/(N690+O690)*100))</f>
        <v>2.0020526056405896</v>
      </c>
      <c r="R690" s="61" t="str">
        <f>IF(L691="","",IF(Q690&lt;Z690,IF(O690&gt;V690,IF(N690&lt;W690,"PASS","FAIL"),"FAIL"),"FAIL"))</f>
        <v>PASS</v>
      </c>
      <c r="S690" s="62">
        <v>1159</v>
      </c>
      <c r="T690" s="9" t="s">
        <v>256</v>
      </c>
      <c r="V690" s="110">
        <v>10000</v>
      </c>
      <c r="W690" s="110">
        <v>15600</v>
      </c>
      <c r="X690" s="111">
        <v>8090</v>
      </c>
      <c r="Y690" s="111">
        <v>12070</v>
      </c>
      <c r="Z690" s="112">
        <v>15</v>
      </c>
      <c r="AA690" s="112">
        <v>6</v>
      </c>
    </row>
    <row r="691" spans="1:27" ht="15.75">
      <c r="A691" s="99"/>
      <c r="B691" s="122"/>
      <c r="C691" s="57" t="s">
        <v>80</v>
      </c>
      <c r="D691">
        <v>25455.71</v>
      </c>
      <c r="E691">
        <v>25239.61</v>
      </c>
      <c r="F691">
        <v>25291.759999999998</v>
      </c>
      <c r="G691">
        <v>25224.080000000002</v>
      </c>
      <c r="H691">
        <v>25374.05</v>
      </c>
      <c r="I691">
        <v>25450.95</v>
      </c>
      <c r="J691">
        <v>25242.22</v>
      </c>
      <c r="K691">
        <v>25234.3</v>
      </c>
      <c r="L691">
        <v>25364.01</v>
      </c>
      <c r="M691" s="16"/>
      <c r="N691" s="53"/>
      <c r="O691" s="53"/>
      <c r="P691" s="63"/>
      <c r="Q691" s="53"/>
      <c r="R691" s="64"/>
      <c r="S691" s="54"/>
      <c r="V691" s="32"/>
      <c r="W691" s="29"/>
    </row>
    <row r="692" spans="1:27">
      <c r="A692" s="100"/>
      <c r="B692" s="122"/>
      <c r="C692" s="57" t="s">
        <v>82</v>
      </c>
      <c r="D692" s="16">
        <f t="shared" ref="D692:L692" si="243">IF(((D690="")*AND(D691="")),"",(D690-D691)*3)</f>
        <v>11701.320000000007</v>
      </c>
      <c r="E692" s="16">
        <f t="shared" si="243"/>
        <v>11990.339999999997</v>
      </c>
      <c r="F692" s="16">
        <f t="shared" si="243"/>
        <v>11894.400000000009</v>
      </c>
      <c r="G692" s="16">
        <f t="shared" si="243"/>
        <v>12045.80999999999</v>
      </c>
      <c r="H692" s="16">
        <f t="shared" si="243"/>
        <v>11951.04</v>
      </c>
      <c r="I692" s="16">
        <f t="shared" si="243"/>
        <v>11572.949999999993</v>
      </c>
      <c r="J692" s="16">
        <f t="shared" si="243"/>
        <v>11933.73</v>
      </c>
      <c r="K692" s="16">
        <f t="shared" si="243"/>
        <v>12028.109999999997</v>
      </c>
      <c r="L692" s="16">
        <f t="shared" si="243"/>
        <v>12030.900000000009</v>
      </c>
      <c r="M692" s="16">
        <f t="shared" si="242"/>
        <v>11905.400000000001</v>
      </c>
      <c r="N692" s="65"/>
      <c r="O692" s="65"/>
      <c r="P692" s="66"/>
      <c r="Q692" s="65"/>
      <c r="R692" s="67"/>
      <c r="S692" s="58"/>
      <c r="V692" s="33"/>
      <c r="W692" s="29"/>
    </row>
    <row r="693" spans="1:27" ht="15.75">
      <c r="A693" s="98">
        <v>43623</v>
      </c>
      <c r="B693" s="120" t="s">
        <v>348</v>
      </c>
      <c r="C693" s="57" t="s">
        <v>79</v>
      </c>
      <c r="D693">
        <v>29284.69</v>
      </c>
      <c r="E693">
        <v>29161.29</v>
      </c>
      <c r="F693">
        <v>29166.59</v>
      </c>
      <c r="G693">
        <v>29174.639999999999</v>
      </c>
      <c r="H693">
        <v>29307.31</v>
      </c>
      <c r="I693">
        <v>29263.03</v>
      </c>
      <c r="J693">
        <v>29151.96</v>
      </c>
      <c r="K693">
        <v>29172.959999999999</v>
      </c>
      <c r="L693">
        <v>29331.05</v>
      </c>
      <c r="M693" s="16"/>
      <c r="N693" s="59">
        <f>IF((L694=""),"",MAX(D695:L695))</f>
        <v>12117.659999999993</v>
      </c>
      <c r="O693" s="59">
        <f>IF(L694="","",MIN(D695:L695))</f>
        <v>11442.75</v>
      </c>
      <c r="P693" s="60">
        <f>IF((L695=""),"",AVERAGE(D695:L695))</f>
        <v>11852.926666666666</v>
      </c>
      <c r="Q693" s="156">
        <f>IF((L694=""),"",((N693-O693)/(N693+O693)*100))</f>
        <v>2.8645936127596796</v>
      </c>
      <c r="R693" s="61" t="str">
        <f>IF(L694="","",IF(Q693&lt;Z693,IF(O693&gt;V693,IF(N693&lt;W693,"PASS","FAIL"),"FAIL"),"FAIL"))</f>
        <v>PASS</v>
      </c>
      <c r="S693" s="62">
        <v>1340</v>
      </c>
      <c r="T693" s="9" t="s">
        <v>257</v>
      </c>
      <c r="V693" s="110">
        <v>10000</v>
      </c>
      <c r="W693" s="110">
        <v>15600</v>
      </c>
      <c r="X693" s="111">
        <v>8090</v>
      </c>
      <c r="Y693" s="111">
        <v>12070</v>
      </c>
      <c r="Z693" s="112">
        <v>15</v>
      </c>
      <c r="AA693" s="112">
        <v>6</v>
      </c>
    </row>
    <row r="694" spans="1:27" ht="15.75">
      <c r="A694" s="99"/>
      <c r="B694" s="122"/>
      <c r="C694" s="57" t="s">
        <v>80</v>
      </c>
      <c r="D694">
        <v>25408.6</v>
      </c>
      <c r="E694">
        <v>25192.36</v>
      </c>
      <c r="F694">
        <v>25211.41</v>
      </c>
      <c r="G694">
        <v>25184.400000000001</v>
      </c>
      <c r="H694">
        <v>25352.09</v>
      </c>
      <c r="I694">
        <v>25448.78</v>
      </c>
      <c r="J694">
        <v>25194.87</v>
      </c>
      <c r="K694">
        <v>25170.400000000001</v>
      </c>
      <c r="L694">
        <v>25291.83</v>
      </c>
      <c r="M694" s="16"/>
      <c r="N694" s="53"/>
      <c r="O694" s="53"/>
      <c r="P694" s="63"/>
      <c r="Q694" s="53"/>
      <c r="R694" s="64"/>
      <c r="S694" s="54"/>
      <c r="V694" s="32"/>
      <c r="W694" s="29"/>
    </row>
    <row r="695" spans="1:27">
      <c r="A695" s="100"/>
      <c r="B695" s="122"/>
      <c r="C695" s="57" t="s">
        <v>82</v>
      </c>
      <c r="D695" s="16">
        <f t="shared" ref="D695:L695" si="244">IF(((D693="")*AND(D694="")),"",(D693-D694)*3)</f>
        <v>11628.27</v>
      </c>
      <c r="E695" s="16">
        <f t="shared" si="244"/>
        <v>11906.79</v>
      </c>
      <c r="F695" s="16">
        <f t="shared" si="244"/>
        <v>11865.54</v>
      </c>
      <c r="G695" s="16">
        <f t="shared" si="244"/>
        <v>11970.719999999994</v>
      </c>
      <c r="H695" s="16">
        <f t="shared" si="244"/>
        <v>11865.660000000003</v>
      </c>
      <c r="I695" s="16">
        <f t="shared" si="244"/>
        <v>11442.75</v>
      </c>
      <c r="J695" s="16">
        <f t="shared" si="244"/>
        <v>11871.27</v>
      </c>
      <c r="K695" s="16">
        <f t="shared" si="244"/>
        <v>12007.679999999993</v>
      </c>
      <c r="L695" s="16">
        <f t="shared" si="244"/>
        <v>12117.659999999993</v>
      </c>
      <c r="M695" s="16">
        <f t="shared" ref="M695" si="245">SUM(D695:L695)/9</f>
        <v>11852.926666666666</v>
      </c>
      <c r="N695" s="65"/>
      <c r="O695" s="65"/>
      <c r="P695" s="66"/>
      <c r="Q695" s="65"/>
      <c r="R695" s="67"/>
      <c r="S695" s="58"/>
      <c r="V695" s="33"/>
      <c r="W695" s="29"/>
    </row>
    <row r="696" spans="1:27" ht="15.75">
      <c r="A696" s="98">
        <v>43629</v>
      </c>
      <c r="B696" s="120" t="s">
        <v>348</v>
      </c>
      <c r="C696" s="57" t="s">
        <v>79</v>
      </c>
      <c r="D696">
        <v>26883.35</v>
      </c>
      <c r="E696">
        <v>28973.040000000001</v>
      </c>
      <c r="F696">
        <v>28961.81</v>
      </c>
      <c r="G696">
        <v>28976.82</v>
      </c>
      <c r="H696">
        <v>29113.39</v>
      </c>
      <c r="I696">
        <v>29135.35</v>
      </c>
      <c r="J696">
        <v>28979.86</v>
      </c>
      <c r="K696">
        <v>28968.639999999999</v>
      </c>
      <c r="L696">
        <v>29062.13</v>
      </c>
      <c r="M696" s="16"/>
      <c r="N696" s="59">
        <f>IF((L697=""),"",MAX(D698:L698))</f>
        <v>10860.780000000006</v>
      </c>
      <c r="O696" s="59">
        <f>IF(L697="","",MIN(D698:L698))</f>
        <v>-2707.5300000000061</v>
      </c>
      <c r="P696" s="60">
        <f>IF((L698=""),"",AVERAGE(D698:L698))</f>
        <v>9211.51</v>
      </c>
      <c r="Q696" s="156">
        <f>IF((L697=""),"",((N696-O696)/(N696+O696)*100))</f>
        <v>166.41596909207999</v>
      </c>
      <c r="R696" s="61" t="str">
        <f>IF(L697="","",IF(Q696&lt;Z696,IF(O696&gt;V696,IF(N696&lt;W696,"PASS","FAIL"),"FAIL"),"FAIL"))</f>
        <v>FAIL</v>
      </c>
      <c r="S696" s="62">
        <v>1428</v>
      </c>
      <c r="T696" s="9" t="s">
        <v>259</v>
      </c>
      <c r="V696" s="110">
        <v>10000</v>
      </c>
      <c r="W696" s="110">
        <v>15600</v>
      </c>
      <c r="X696" s="111">
        <v>8090</v>
      </c>
      <c r="Y696" s="111">
        <v>12070</v>
      </c>
      <c r="Z696" s="112">
        <v>15</v>
      </c>
      <c r="AA696" s="112">
        <v>6</v>
      </c>
    </row>
    <row r="697" spans="1:27" ht="15.75">
      <c r="A697" s="99"/>
      <c r="B697" s="122"/>
      <c r="C697" s="57" t="s">
        <v>80</v>
      </c>
      <c r="D697">
        <v>27785.86</v>
      </c>
      <c r="E697">
        <v>25373.07</v>
      </c>
      <c r="F697">
        <v>25440.48</v>
      </c>
      <c r="G697">
        <v>25382.78</v>
      </c>
      <c r="H697">
        <v>25568.61</v>
      </c>
      <c r="I697">
        <v>25674.6</v>
      </c>
      <c r="J697">
        <v>25388.34</v>
      </c>
      <c r="K697">
        <v>25364.25</v>
      </c>
      <c r="L697">
        <v>25441.87</v>
      </c>
      <c r="M697" s="16"/>
      <c r="N697" s="53"/>
      <c r="O697" s="53"/>
      <c r="P697" s="63"/>
      <c r="Q697" s="53"/>
      <c r="R697" s="64"/>
      <c r="S697" s="54"/>
      <c r="V697" s="32"/>
      <c r="W697" s="29"/>
    </row>
    <row r="698" spans="1:27">
      <c r="A698" s="100"/>
      <c r="B698" s="122"/>
      <c r="C698" s="57" t="s">
        <v>82</v>
      </c>
      <c r="D698" s="16">
        <f t="shared" ref="D698:L698" si="246">IF(((D696="")*AND(D697="")),"",(D696-D697)*3)</f>
        <v>-2707.5300000000061</v>
      </c>
      <c r="E698" s="16">
        <f t="shared" si="246"/>
        <v>10799.910000000003</v>
      </c>
      <c r="F698" s="16">
        <f t="shared" si="246"/>
        <v>10563.990000000005</v>
      </c>
      <c r="G698" s="16">
        <f t="shared" si="246"/>
        <v>10782.120000000003</v>
      </c>
      <c r="H698" s="16">
        <f t="shared" si="246"/>
        <v>10634.339999999997</v>
      </c>
      <c r="I698" s="16">
        <f t="shared" si="246"/>
        <v>10382.25</v>
      </c>
      <c r="J698" s="16">
        <f t="shared" si="246"/>
        <v>10774.560000000001</v>
      </c>
      <c r="K698" s="16">
        <f t="shared" si="246"/>
        <v>10813.169999999998</v>
      </c>
      <c r="L698" s="16">
        <f t="shared" si="246"/>
        <v>10860.780000000006</v>
      </c>
      <c r="M698" s="16">
        <f t="shared" ref="M698" si="247">SUM(D698:L698)/9</f>
        <v>9211.51</v>
      </c>
      <c r="N698" s="65"/>
      <c r="O698" s="65"/>
      <c r="P698" s="66"/>
      <c r="Q698" s="65"/>
      <c r="R698" s="67"/>
      <c r="S698" s="58"/>
      <c r="V698" s="33"/>
      <c r="W698" s="29"/>
    </row>
    <row r="699" spans="1:27" ht="15.75">
      <c r="A699" s="98">
        <v>43630</v>
      </c>
      <c r="B699" s="120" t="s">
        <v>348</v>
      </c>
      <c r="C699" s="57" t="s">
        <v>79</v>
      </c>
      <c r="D699">
        <v>29257.79</v>
      </c>
      <c r="E699">
        <v>29115.08</v>
      </c>
      <c r="F699">
        <v>29083.73</v>
      </c>
      <c r="G699">
        <v>29106.9</v>
      </c>
      <c r="H699">
        <v>29234.2</v>
      </c>
      <c r="I699">
        <v>29242.69</v>
      </c>
      <c r="J699">
        <v>29104.82</v>
      </c>
      <c r="K699">
        <v>29096.2</v>
      </c>
      <c r="L699">
        <v>29241.9</v>
      </c>
      <c r="M699" s="16"/>
      <c r="N699" s="59">
        <f>IF((L700=""),"",MAX(D701:L701))</f>
        <v>12203.700000000004</v>
      </c>
      <c r="O699" s="59">
        <f>IF(L700="","",MIN(D701:L701))</f>
        <v>11674.409999999993</v>
      </c>
      <c r="P699" s="60">
        <f>IF((L701=""),"",AVERAGE(D701:L701))</f>
        <v>12021.376666666671</v>
      </c>
      <c r="Q699" s="156">
        <f>IF((L700=""),"",((N699-O699)/(N699+O699)*100))</f>
        <v>2.216632723444242</v>
      </c>
      <c r="R699" s="61" t="str">
        <f>IF(L700="","",IF(Q699&lt;Z699,IF(O699&gt;V699,IF(N699&lt;W699,"PASS","FAIL"),"FAIL"),"FAIL"))</f>
        <v>PASS</v>
      </c>
      <c r="S699" s="62">
        <v>1428</v>
      </c>
      <c r="T699" s="9" t="s">
        <v>258</v>
      </c>
      <c r="V699" s="110">
        <v>10000</v>
      </c>
      <c r="W699" s="110">
        <v>15600</v>
      </c>
      <c r="X699" s="111">
        <v>8090</v>
      </c>
      <c r="Y699" s="111">
        <v>12070</v>
      </c>
      <c r="Z699" s="112">
        <v>15</v>
      </c>
      <c r="AA699" s="112">
        <v>6</v>
      </c>
    </row>
    <row r="700" spans="1:27" ht="15.75">
      <c r="A700" s="99"/>
      <c r="B700" s="122"/>
      <c r="C700" s="57" t="s">
        <v>80</v>
      </c>
      <c r="D700">
        <v>25344.44</v>
      </c>
      <c r="E700">
        <v>25072.58</v>
      </c>
      <c r="F700">
        <v>25083.21</v>
      </c>
      <c r="G700">
        <v>25052.67</v>
      </c>
      <c r="H700">
        <v>25244.23</v>
      </c>
      <c r="I700">
        <v>25351.22</v>
      </c>
      <c r="J700">
        <v>25063.51</v>
      </c>
      <c r="K700">
        <v>25028.3</v>
      </c>
      <c r="L700">
        <v>25179.02</v>
      </c>
      <c r="M700" s="16"/>
      <c r="N700" s="53"/>
      <c r="O700" s="53"/>
      <c r="P700" s="63"/>
      <c r="Q700" s="53"/>
      <c r="R700" s="64"/>
      <c r="S700" s="54"/>
      <c r="V700" s="32"/>
      <c r="W700" s="29"/>
    </row>
    <row r="701" spans="1:27">
      <c r="A701" s="100"/>
      <c r="B701" s="122"/>
      <c r="C701" s="57" t="s">
        <v>82</v>
      </c>
      <c r="D701" s="16">
        <f t="shared" ref="D701:L701" si="248">IF(((D699="")*AND(D700="")),"",(D699-D700)*3)</f>
        <v>11740.050000000007</v>
      </c>
      <c r="E701" s="16">
        <f t="shared" si="248"/>
        <v>12127.5</v>
      </c>
      <c r="F701" s="16">
        <f t="shared" si="248"/>
        <v>12001.560000000001</v>
      </c>
      <c r="G701" s="16">
        <f t="shared" si="248"/>
        <v>12162.69000000001</v>
      </c>
      <c r="H701" s="16">
        <f t="shared" si="248"/>
        <v>11969.910000000003</v>
      </c>
      <c r="I701" s="16">
        <f t="shared" si="248"/>
        <v>11674.409999999993</v>
      </c>
      <c r="J701" s="16">
        <f t="shared" si="248"/>
        <v>12123.930000000004</v>
      </c>
      <c r="K701" s="16">
        <f t="shared" si="248"/>
        <v>12203.700000000004</v>
      </c>
      <c r="L701" s="16">
        <f t="shared" si="248"/>
        <v>12188.640000000003</v>
      </c>
      <c r="M701" s="16">
        <f t="shared" ref="M701" si="249">SUM(D701:L701)/9</f>
        <v>12021.376666666671</v>
      </c>
      <c r="N701" s="65"/>
      <c r="O701" s="65"/>
      <c r="P701" s="66"/>
      <c r="Q701" s="65"/>
      <c r="R701" s="67"/>
      <c r="S701" s="58"/>
      <c r="V701" s="33"/>
      <c r="W701" s="29"/>
    </row>
    <row r="702" spans="1:27" ht="15.75">
      <c r="A702" s="98">
        <v>43634</v>
      </c>
      <c r="B702" s="120" t="s">
        <v>348</v>
      </c>
      <c r="C702" s="57" t="s">
        <v>79</v>
      </c>
      <c r="D702">
        <v>29232.03</v>
      </c>
      <c r="E702">
        <v>29087.11</v>
      </c>
      <c r="F702">
        <v>29136.77</v>
      </c>
      <c r="G702">
        <v>29097.360000000001</v>
      </c>
      <c r="H702">
        <v>29195.58</v>
      </c>
      <c r="I702">
        <v>29224.31</v>
      </c>
      <c r="J702">
        <v>29091.96</v>
      </c>
      <c r="K702">
        <v>29081.41</v>
      </c>
      <c r="L702">
        <v>29175.99</v>
      </c>
      <c r="M702" s="16"/>
      <c r="N702" s="59">
        <f>IF((L703=""),"",MAX(D704:L704))</f>
        <v>12611.610000000008</v>
      </c>
      <c r="O702" s="59">
        <f>IF(L703="","",MIN(D704:L704))</f>
        <v>11966.189999999999</v>
      </c>
      <c r="P702" s="60">
        <f>IF((L704=""),"",AVERAGE(D704:L704))</f>
        <v>12366.463333333337</v>
      </c>
      <c r="Q702" s="156">
        <f>IF((L703=""),"",((N702-O702)/(N702+O702)*100))</f>
        <v>2.6260283670629958</v>
      </c>
      <c r="R702" s="61" t="str">
        <f>IF(L703="","",IF(Q702&lt;Z702,IF(O702&gt;V702,IF(N702&lt;W702,"PASS","FAIL"),"FAIL"),"FAIL"))</f>
        <v>PASS</v>
      </c>
      <c r="S702" s="62">
        <v>1335</v>
      </c>
      <c r="V702" s="110">
        <v>10000</v>
      </c>
      <c r="W702" s="110">
        <v>15600</v>
      </c>
      <c r="X702" s="111">
        <v>8090</v>
      </c>
      <c r="Y702" s="111">
        <v>12070</v>
      </c>
      <c r="Z702" s="112">
        <v>15</v>
      </c>
      <c r="AA702" s="112">
        <v>6</v>
      </c>
    </row>
    <row r="703" spans="1:27" ht="15.75">
      <c r="A703" s="99"/>
      <c r="B703" s="122"/>
      <c r="C703" s="57" t="s">
        <v>80</v>
      </c>
      <c r="D703">
        <v>25243.3</v>
      </c>
      <c r="E703">
        <v>25032.59</v>
      </c>
      <c r="F703">
        <v>25098.26</v>
      </c>
      <c r="G703">
        <v>24914.37</v>
      </c>
      <c r="H703">
        <v>24991.71</v>
      </c>
      <c r="I703">
        <v>25025.85</v>
      </c>
      <c r="J703">
        <v>24921.72</v>
      </c>
      <c r="K703">
        <v>24975.65</v>
      </c>
      <c r="L703">
        <v>25019.68</v>
      </c>
      <c r="M703" s="16"/>
      <c r="N703" s="53"/>
      <c r="O703" s="53"/>
      <c r="P703" s="63"/>
      <c r="Q703" s="53"/>
      <c r="R703" s="64"/>
      <c r="S703" s="54"/>
      <c r="V703" s="32"/>
      <c r="W703" s="29"/>
    </row>
    <row r="704" spans="1:27">
      <c r="A704" s="100"/>
      <c r="B704" s="122"/>
      <c r="C704" s="57" t="s">
        <v>82</v>
      </c>
      <c r="D704" s="16">
        <f t="shared" ref="D704:L704" si="250">IF(((D702="")*AND(D703="")),"",(D702-D703)*3)</f>
        <v>11966.189999999999</v>
      </c>
      <c r="E704" s="16">
        <f t="shared" si="250"/>
        <v>12163.560000000001</v>
      </c>
      <c r="F704" s="16">
        <f t="shared" si="250"/>
        <v>12115.530000000006</v>
      </c>
      <c r="G704" s="16">
        <f t="shared" si="250"/>
        <v>12548.970000000005</v>
      </c>
      <c r="H704" s="16">
        <f t="shared" si="250"/>
        <v>12611.610000000008</v>
      </c>
      <c r="I704" s="16">
        <f t="shared" si="250"/>
        <v>12595.380000000008</v>
      </c>
      <c r="J704" s="16">
        <f t="shared" si="250"/>
        <v>12510.719999999994</v>
      </c>
      <c r="K704" s="16">
        <f t="shared" si="250"/>
        <v>12317.279999999995</v>
      </c>
      <c r="L704" s="16">
        <f t="shared" si="250"/>
        <v>12468.930000000004</v>
      </c>
      <c r="M704" s="16">
        <f t="shared" ref="M704" si="251">SUM(D704:L704)/9</f>
        <v>12366.463333333337</v>
      </c>
      <c r="N704" s="65"/>
      <c r="O704" s="65"/>
      <c r="P704" s="66"/>
      <c r="Q704" s="65"/>
      <c r="R704" s="67"/>
      <c r="S704" s="58"/>
      <c r="V704" s="33"/>
      <c r="W704" s="29"/>
    </row>
    <row r="705" spans="1:27" ht="15.75">
      <c r="A705" s="98">
        <v>43640</v>
      </c>
      <c r="B705" s="120" t="s">
        <v>348</v>
      </c>
      <c r="C705" s="57" t="s">
        <v>79</v>
      </c>
      <c r="D705">
        <v>29200.43</v>
      </c>
      <c r="E705">
        <v>29073.48</v>
      </c>
      <c r="F705">
        <v>29059.200000000001</v>
      </c>
      <c r="G705">
        <v>29055.86</v>
      </c>
      <c r="H705">
        <v>29186.400000000001</v>
      </c>
      <c r="I705">
        <v>29211.57</v>
      </c>
      <c r="J705">
        <v>29065.97</v>
      </c>
      <c r="K705">
        <v>29045.35</v>
      </c>
      <c r="L705">
        <v>29159.77</v>
      </c>
      <c r="M705" s="16"/>
      <c r="N705" s="59">
        <f>IF((L706=""),"",MAX(D707:L707))</f>
        <v>11055.810000000001</v>
      </c>
      <c r="O705" s="59">
        <f>IF(L706="","",MIN(D707:L707))</f>
        <v>10553.399999999998</v>
      </c>
      <c r="P705" s="60">
        <f>IF((L707=""),"",AVERAGE(D707:L707))</f>
        <v>10886.596666666668</v>
      </c>
      <c r="Q705" s="156">
        <f>IF((L706=""),"",((N705-O705)/(N705+O705)*100))</f>
        <v>2.3249808762097435</v>
      </c>
      <c r="R705" s="61" t="str">
        <f>IF(L706="","",IF(Q705&lt;Z705,IF(O705&gt;V705,IF(N705&lt;W705,"PASS","FAIL"),"FAIL"),"FAIL"))</f>
        <v>PASS</v>
      </c>
      <c r="S705" s="62">
        <v>1340</v>
      </c>
      <c r="T705" s="9" t="s">
        <v>265</v>
      </c>
      <c r="V705" s="110">
        <v>10000</v>
      </c>
      <c r="W705" s="110">
        <v>15600</v>
      </c>
      <c r="X705" s="111">
        <v>8090</v>
      </c>
      <c r="Y705" s="111">
        <v>12070</v>
      </c>
      <c r="Z705" s="112">
        <v>15</v>
      </c>
      <c r="AA705" s="112">
        <v>6</v>
      </c>
    </row>
    <row r="706" spans="1:27" ht="15.75">
      <c r="A706" s="99"/>
      <c r="B706" s="122"/>
      <c r="C706" s="57" t="s">
        <v>80</v>
      </c>
      <c r="D706">
        <v>25647.57</v>
      </c>
      <c r="E706">
        <v>25427.33</v>
      </c>
      <c r="F706">
        <v>25437.3</v>
      </c>
      <c r="G706">
        <v>25370.59</v>
      </c>
      <c r="H706">
        <v>25543.23</v>
      </c>
      <c r="I706">
        <v>25693.77</v>
      </c>
      <c r="J706">
        <v>25416.85</v>
      </c>
      <c r="K706">
        <v>25376.89</v>
      </c>
      <c r="L706">
        <v>25484.71</v>
      </c>
      <c r="M706" s="16"/>
      <c r="N706" s="53"/>
      <c r="O706" s="53"/>
      <c r="P706" s="63"/>
      <c r="Q706" s="53"/>
      <c r="R706" s="64"/>
      <c r="S706" s="54"/>
      <c r="V706" s="32"/>
      <c r="W706" s="29"/>
    </row>
    <row r="707" spans="1:27">
      <c r="A707" s="100"/>
      <c r="B707" s="122"/>
      <c r="C707" s="57" t="s">
        <v>82</v>
      </c>
      <c r="D707" s="16">
        <f t="shared" ref="D707:L707" si="252">IF(((D705="")*AND(D706="")),"",(D705-D706)*3)</f>
        <v>10658.580000000002</v>
      </c>
      <c r="E707" s="16">
        <f t="shared" si="252"/>
        <v>10938.449999999993</v>
      </c>
      <c r="F707" s="16">
        <f t="shared" si="252"/>
        <v>10865.700000000004</v>
      </c>
      <c r="G707" s="16">
        <f t="shared" si="252"/>
        <v>11055.810000000001</v>
      </c>
      <c r="H707" s="16">
        <f t="shared" si="252"/>
        <v>10929.510000000006</v>
      </c>
      <c r="I707" s="16">
        <f t="shared" si="252"/>
        <v>10553.399999999998</v>
      </c>
      <c r="J707" s="16">
        <f t="shared" si="252"/>
        <v>10947.360000000008</v>
      </c>
      <c r="K707" s="16">
        <f t="shared" si="252"/>
        <v>11005.379999999997</v>
      </c>
      <c r="L707" s="16">
        <f t="shared" si="252"/>
        <v>11025.180000000004</v>
      </c>
      <c r="M707" s="16">
        <f t="shared" ref="M707" si="253">SUM(D707:L707)/9</f>
        <v>10886.596666666668</v>
      </c>
      <c r="N707" s="65"/>
      <c r="O707" s="65"/>
      <c r="P707" s="66"/>
      <c r="Q707" s="65"/>
      <c r="R707" s="67"/>
      <c r="S707" s="58"/>
      <c r="V707" s="33"/>
      <c r="W707" s="29"/>
    </row>
    <row r="708" spans="1:27" ht="15.75">
      <c r="A708" s="86">
        <v>43644</v>
      </c>
      <c r="B708" s="120" t="s">
        <v>348</v>
      </c>
      <c r="C708" s="57" t="s">
        <v>79</v>
      </c>
      <c r="D708">
        <v>28996.44</v>
      </c>
      <c r="E708">
        <v>28890.2</v>
      </c>
      <c r="F708">
        <v>28876.02</v>
      </c>
      <c r="G708">
        <v>28892.92</v>
      </c>
      <c r="H708">
        <v>29021.51</v>
      </c>
      <c r="I708">
        <v>29006.58</v>
      </c>
      <c r="J708">
        <v>28871.31</v>
      </c>
      <c r="K708">
        <v>28894.59</v>
      </c>
      <c r="L708">
        <v>29040.36</v>
      </c>
      <c r="M708" s="16"/>
      <c r="N708" s="59">
        <f>IF((L709=""),"",MAX(D710:L710))</f>
        <v>10520.939999999999</v>
      </c>
      <c r="O708" s="59">
        <f>IF(L709="","",MIN(D710:L710))</f>
        <v>9788.3400000000074</v>
      </c>
      <c r="P708" s="60">
        <f>IF((L710=""),"",AVERAGE(D710:L710))</f>
        <v>10232.806666666669</v>
      </c>
      <c r="Q708" s="156">
        <f>IF((L709=""),"",((N708-O708)/(N708+O708)*100))</f>
        <v>3.6072179811396121</v>
      </c>
      <c r="R708" s="61" t="str">
        <f>IF(L709="","",IF(Q708&lt;Z708,IF(O708&gt;V708,IF(N708&lt;W708,"PASS","FAIL"),"FAIL"),"FAIL"))</f>
        <v>FAIL</v>
      </c>
      <c r="S708" s="62">
        <v>1340</v>
      </c>
      <c r="T708" s="9" t="s">
        <v>266</v>
      </c>
      <c r="V708" s="110">
        <v>10000</v>
      </c>
      <c r="W708" s="110">
        <v>15600</v>
      </c>
      <c r="X708" s="111">
        <v>8090</v>
      </c>
      <c r="Y708" s="111">
        <v>12070</v>
      </c>
      <c r="Z708" s="112">
        <v>15</v>
      </c>
      <c r="AA708" s="112">
        <v>6</v>
      </c>
    </row>
    <row r="709" spans="1:27" ht="15.75">
      <c r="A709" s="99"/>
      <c r="B709" s="122"/>
      <c r="C709" s="57" t="s">
        <v>80</v>
      </c>
      <c r="D709">
        <v>25697.66</v>
      </c>
      <c r="E709">
        <v>25458.26</v>
      </c>
      <c r="F709">
        <v>25473.69</v>
      </c>
      <c r="G709">
        <v>25433.67</v>
      </c>
      <c r="H709">
        <v>25573.79</v>
      </c>
      <c r="I709">
        <v>25743.8</v>
      </c>
      <c r="J709">
        <v>25454.51</v>
      </c>
      <c r="K709">
        <v>25422.75</v>
      </c>
      <c r="L709">
        <v>25533.38</v>
      </c>
      <c r="M709" s="16"/>
      <c r="N709" s="53"/>
      <c r="O709" s="53"/>
      <c r="P709" s="63"/>
      <c r="Q709" s="53"/>
      <c r="R709" s="64"/>
      <c r="S709" s="54"/>
      <c r="V709" s="32"/>
      <c r="W709" s="29"/>
    </row>
    <row r="710" spans="1:27">
      <c r="A710" s="100"/>
      <c r="B710" s="122"/>
      <c r="C710" s="57" t="s">
        <v>82</v>
      </c>
      <c r="D710" s="16">
        <f t="shared" ref="D710:L710" si="254">IF(((D708="")*AND(D709="")),"",(D708-D709)*3)</f>
        <v>9896.3399999999965</v>
      </c>
      <c r="E710" s="16">
        <f t="shared" si="254"/>
        <v>10295.820000000007</v>
      </c>
      <c r="F710" s="16">
        <f t="shared" si="254"/>
        <v>10206.990000000005</v>
      </c>
      <c r="G710" s="16">
        <f t="shared" si="254"/>
        <v>10377.75</v>
      </c>
      <c r="H710" s="16">
        <f t="shared" si="254"/>
        <v>10343.159999999993</v>
      </c>
      <c r="I710" s="16">
        <f t="shared" si="254"/>
        <v>9788.3400000000074</v>
      </c>
      <c r="J710" s="16">
        <f t="shared" si="254"/>
        <v>10250.400000000009</v>
      </c>
      <c r="K710" s="16">
        <f t="shared" si="254"/>
        <v>10415.52</v>
      </c>
      <c r="L710" s="16">
        <f t="shared" si="254"/>
        <v>10520.939999999999</v>
      </c>
      <c r="M710" s="16">
        <f t="shared" ref="M710" si="255">SUM(D710:L710)/9</f>
        <v>10232.806666666669</v>
      </c>
      <c r="N710" s="65"/>
      <c r="O710" s="65"/>
      <c r="P710" s="66"/>
      <c r="Q710" s="65"/>
      <c r="R710" s="67"/>
      <c r="S710" s="58"/>
      <c r="V710" s="33"/>
      <c r="W710" s="29"/>
    </row>
    <row r="711" spans="1:27" ht="15.75">
      <c r="A711" s="86">
        <v>43648</v>
      </c>
      <c r="B711" s="120" t="s">
        <v>348</v>
      </c>
      <c r="C711" s="57" t="s">
        <v>79</v>
      </c>
      <c r="D711">
        <v>29349.599999999999</v>
      </c>
      <c r="E711">
        <v>29203.59</v>
      </c>
      <c r="F711">
        <v>29223.83</v>
      </c>
      <c r="G711">
        <v>29180.639999999999</v>
      </c>
      <c r="H711">
        <v>29275.18</v>
      </c>
      <c r="I711">
        <v>29279.88</v>
      </c>
      <c r="J711">
        <v>29184.41</v>
      </c>
      <c r="K711">
        <v>29183.14</v>
      </c>
      <c r="L711">
        <v>29266.16</v>
      </c>
      <c r="M711" s="16"/>
      <c r="N711" s="59">
        <f>IF((L712=""),"",MAX(D713:L713))</f>
        <v>11973.75</v>
      </c>
      <c r="O711" s="59">
        <f>IF(L712="","",MIN(D713:L713))</f>
        <v>11251.140000000003</v>
      </c>
      <c r="P711" s="60">
        <f>IF((L713=""),"",AVERAGE(D713:L713))</f>
        <v>11714.023333333333</v>
      </c>
      <c r="Q711" s="156">
        <f>IF((L712=""),"",((N711-O711)/(N711+O711)*100))</f>
        <v>3.1113602690906039</v>
      </c>
      <c r="R711" s="61" t="str">
        <f>IF(L712="","",IF(Q711&lt;Z711,IF(O711&gt;V711,IF(N711&lt;W711,"PASS","FAIL"),"FAIL"),"FAIL"))</f>
        <v>PASS</v>
      </c>
      <c r="S711" s="62">
        <v>1159</v>
      </c>
      <c r="T711" s="9" t="s">
        <v>268</v>
      </c>
      <c r="V711" s="110">
        <v>10000</v>
      </c>
      <c r="W711" s="110">
        <v>15600</v>
      </c>
      <c r="X711" s="111">
        <v>8090</v>
      </c>
      <c r="Y711" s="111">
        <v>12070</v>
      </c>
      <c r="Z711" s="112">
        <v>15</v>
      </c>
      <c r="AA711" s="112">
        <v>6</v>
      </c>
    </row>
    <row r="712" spans="1:27" ht="15.75">
      <c r="A712" s="99"/>
      <c r="B712" s="122"/>
      <c r="C712" s="57" t="s">
        <v>80</v>
      </c>
      <c r="D712">
        <v>25531.33</v>
      </c>
      <c r="E712">
        <v>25269.4</v>
      </c>
      <c r="F712">
        <v>25318.37</v>
      </c>
      <c r="G712">
        <v>25230.25</v>
      </c>
      <c r="H712">
        <v>25365.200000000001</v>
      </c>
      <c r="I712">
        <v>25529.5</v>
      </c>
      <c r="J712">
        <v>25277.56</v>
      </c>
      <c r="K712">
        <v>25207.84</v>
      </c>
      <c r="L712">
        <v>25274.91</v>
      </c>
      <c r="M712" s="16"/>
      <c r="N712" s="53"/>
      <c r="O712" s="53"/>
      <c r="P712" s="63"/>
      <c r="Q712" s="53"/>
      <c r="R712" s="64"/>
      <c r="S712" s="54"/>
      <c r="V712" s="32"/>
      <c r="W712" s="29"/>
    </row>
    <row r="713" spans="1:27">
      <c r="A713" s="100"/>
      <c r="B713" s="122"/>
      <c r="C713" s="57" t="s">
        <v>82</v>
      </c>
      <c r="D713" s="16">
        <f t="shared" ref="D713:L713" si="256">IF(((D711="")*AND(D712="")),"",(D711-D712)*3)</f>
        <v>11454.80999999999</v>
      </c>
      <c r="E713" s="16">
        <f t="shared" si="256"/>
        <v>11802.569999999996</v>
      </c>
      <c r="F713" s="16">
        <f t="shared" si="256"/>
        <v>11716.380000000008</v>
      </c>
      <c r="G713" s="16">
        <f t="shared" si="256"/>
        <v>11851.169999999998</v>
      </c>
      <c r="H713" s="16">
        <f t="shared" si="256"/>
        <v>11729.939999999999</v>
      </c>
      <c r="I713" s="16">
        <f t="shared" si="256"/>
        <v>11251.140000000003</v>
      </c>
      <c r="J713" s="16">
        <f t="shared" si="256"/>
        <v>11720.549999999996</v>
      </c>
      <c r="K713" s="16">
        <f t="shared" si="256"/>
        <v>11925.899999999998</v>
      </c>
      <c r="L713" s="16">
        <f t="shared" si="256"/>
        <v>11973.75</v>
      </c>
      <c r="M713" s="16">
        <f t="shared" ref="M713" si="257">SUM(D713:L713)/9</f>
        <v>11714.023333333333</v>
      </c>
      <c r="N713" s="65"/>
      <c r="O713" s="65"/>
      <c r="P713" s="66"/>
      <c r="Q713" s="65"/>
      <c r="R713" s="67"/>
      <c r="S713" s="58"/>
      <c r="V713" s="33"/>
      <c r="W713" s="29"/>
    </row>
    <row r="714" spans="1:27" ht="15.75">
      <c r="A714" s="86">
        <v>43653</v>
      </c>
      <c r="B714" s="120" t="s">
        <v>348</v>
      </c>
      <c r="C714" s="57" t="s">
        <v>79</v>
      </c>
      <c r="D714">
        <v>29220.44</v>
      </c>
      <c r="E714">
        <v>29094.23</v>
      </c>
      <c r="F714">
        <v>29126.26</v>
      </c>
      <c r="G714">
        <v>29076.41</v>
      </c>
      <c r="H714">
        <v>29189.29</v>
      </c>
      <c r="I714">
        <v>29211.56</v>
      </c>
      <c r="J714">
        <v>29080.06</v>
      </c>
      <c r="K714">
        <v>29069.09</v>
      </c>
      <c r="L714">
        <v>29159.360000000001</v>
      </c>
      <c r="M714" s="16"/>
      <c r="N714" s="59">
        <f>IF((L715=""),"",MAX(D716:L716))</f>
        <v>12226.050000000007</v>
      </c>
      <c r="O714" s="59">
        <f>IF(L715="","",MIN(D716:L716))</f>
        <v>11632.02</v>
      </c>
      <c r="P714" s="60">
        <f>IF((L716=""),"",AVERAGE(D716:L716))</f>
        <v>12043.773333333334</v>
      </c>
      <c r="Q714" s="156">
        <f>IF((L715=""),"",((N714-O714)/(N714+O714)*100))</f>
        <v>2.4898493465733229</v>
      </c>
      <c r="R714" s="61" t="str">
        <f>IF(L715="","",IF(Q714&lt;Z714,IF(O714&gt;V714,IF(N714&lt;W714,"PASS","FAIL"),"FAIL"),"FAIL"))</f>
        <v>PASS</v>
      </c>
      <c r="S714" s="62">
        <v>1335</v>
      </c>
      <c r="T714" s="9" t="s">
        <v>269</v>
      </c>
      <c r="V714" s="110">
        <v>10000</v>
      </c>
      <c r="W714" s="110">
        <v>15600</v>
      </c>
      <c r="X714" s="111">
        <v>8090</v>
      </c>
      <c r="Y714" s="111">
        <v>12070</v>
      </c>
      <c r="Z714" s="112">
        <v>15</v>
      </c>
      <c r="AA714" s="112">
        <v>6</v>
      </c>
    </row>
    <row r="715" spans="1:27" ht="15.75">
      <c r="A715" s="99"/>
      <c r="B715" s="122"/>
      <c r="C715" s="57" t="s">
        <v>80</v>
      </c>
      <c r="D715">
        <v>25275.39</v>
      </c>
      <c r="E715">
        <v>25050.45</v>
      </c>
      <c r="F715">
        <v>25116.86</v>
      </c>
      <c r="G715">
        <v>25024.15</v>
      </c>
      <c r="H715">
        <v>25144.98</v>
      </c>
      <c r="I715">
        <v>25334.22</v>
      </c>
      <c r="J715">
        <v>25048.29</v>
      </c>
      <c r="K715">
        <v>25017.03</v>
      </c>
      <c r="L715">
        <v>25084.01</v>
      </c>
      <c r="M715" s="16"/>
      <c r="N715" s="53"/>
      <c r="O715" s="53"/>
      <c r="P715" s="63"/>
      <c r="Q715" s="53"/>
      <c r="R715" s="64"/>
      <c r="S715" s="54"/>
    </row>
    <row r="716" spans="1:27">
      <c r="A716" s="100"/>
      <c r="B716" s="122"/>
      <c r="C716" s="57" t="s">
        <v>82</v>
      </c>
      <c r="D716" s="16">
        <f t="shared" ref="D716:L716" si="258">IF(((D714="")*AND(D715="")),"",(D714-D715)*3)</f>
        <v>11835.149999999998</v>
      </c>
      <c r="E716" s="16">
        <f t="shared" si="258"/>
        <v>12131.339999999997</v>
      </c>
      <c r="F716" s="16">
        <f t="shared" si="258"/>
        <v>12028.199999999993</v>
      </c>
      <c r="G716" s="16">
        <f t="shared" si="258"/>
        <v>12156.779999999995</v>
      </c>
      <c r="H716" s="16">
        <f t="shared" si="258"/>
        <v>12132.930000000004</v>
      </c>
      <c r="I716" s="16">
        <f t="shared" si="258"/>
        <v>11632.02</v>
      </c>
      <c r="J716" s="16">
        <f t="shared" si="258"/>
        <v>12095.310000000001</v>
      </c>
      <c r="K716" s="16">
        <f t="shared" si="258"/>
        <v>12156.180000000004</v>
      </c>
      <c r="L716" s="16">
        <f t="shared" si="258"/>
        <v>12226.050000000007</v>
      </c>
      <c r="M716" s="16">
        <f t="shared" ref="M716" si="259">SUM(D716:L716)/9</f>
        <v>12043.773333333334</v>
      </c>
      <c r="N716" s="65"/>
      <c r="O716" s="65"/>
      <c r="P716" s="66"/>
      <c r="Q716" s="65"/>
      <c r="R716" s="67"/>
      <c r="S716" s="58"/>
    </row>
    <row r="717" spans="1:27" ht="15.75">
      <c r="A717" s="86">
        <v>43656</v>
      </c>
      <c r="B717" s="120" t="s">
        <v>348</v>
      </c>
      <c r="C717" s="57" t="s">
        <v>79</v>
      </c>
      <c r="D717">
        <v>29237.38</v>
      </c>
      <c r="E717">
        <v>29092.2</v>
      </c>
      <c r="F717">
        <v>29116.93</v>
      </c>
      <c r="G717">
        <v>29082.799999999999</v>
      </c>
      <c r="H717">
        <v>29185.61</v>
      </c>
      <c r="I717">
        <v>29177.68</v>
      </c>
      <c r="J717">
        <v>29064.21</v>
      </c>
      <c r="K717">
        <v>29088.41</v>
      </c>
      <c r="L717">
        <v>29195.94</v>
      </c>
      <c r="M717" s="16"/>
      <c r="N717" s="59">
        <f>IF((L718=""),"",MAX(D719:L719))</f>
        <v>12190.800000000007</v>
      </c>
      <c r="O717" s="59">
        <f>IF(L718="","",MIN(D719:L719))</f>
        <v>11707.98</v>
      </c>
      <c r="P717" s="60">
        <f>IF((L719=""),"",AVERAGE(D719:L719))</f>
        <v>12044.043333333333</v>
      </c>
      <c r="Q717" s="156">
        <f>IF((L718=""),"",((N717-O717)/(N717+O717)*100))</f>
        <v>2.0202704907949567</v>
      </c>
      <c r="R717" s="61" t="str">
        <f>IF(L718="","",IF(Q717&lt;Z717,IF(O717&gt;V717,IF(N717&lt;W717,"PASS","FAIL"),"FAIL"),"FAIL"))</f>
        <v>PASS</v>
      </c>
      <c r="S717" s="62">
        <v>121</v>
      </c>
      <c r="T717" s="9" t="s">
        <v>270</v>
      </c>
      <c r="V717" s="110">
        <v>10000</v>
      </c>
      <c r="W717" s="110">
        <v>15600</v>
      </c>
      <c r="X717" s="111">
        <v>8090</v>
      </c>
      <c r="Y717" s="111">
        <v>12070</v>
      </c>
      <c r="Z717" s="112">
        <v>15</v>
      </c>
      <c r="AA717" s="112">
        <v>6</v>
      </c>
    </row>
    <row r="718" spans="1:27" ht="15.75">
      <c r="A718" s="99"/>
      <c r="B718" s="122"/>
      <c r="C718" s="57" t="s">
        <v>80</v>
      </c>
      <c r="D718">
        <v>25226.400000000001</v>
      </c>
      <c r="E718">
        <v>25028.6</v>
      </c>
      <c r="F718">
        <v>25087.85</v>
      </c>
      <c r="G718">
        <v>25040.47</v>
      </c>
      <c r="H718">
        <v>25262.15</v>
      </c>
      <c r="I718">
        <v>25117.78</v>
      </c>
      <c r="J718">
        <v>25005.84</v>
      </c>
      <c r="K718">
        <v>25046.66</v>
      </c>
      <c r="L718">
        <v>25293.279999999999</v>
      </c>
      <c r="M718" s="16"/>
      <c r="N718" s="53"/>
      <c r="O718" s="53"/>
      <c r="P718" s="63"/>
      <c r="Q718" s="53"/>
      <c r="R718" s="64"/>
      <c r="S718" s="54"/>
    </row>
    <row r="719" spans="1:27">
      <c r="A719" s="100"/>
      <c r="B719" s="122"/>
      <c r="C719" s="57" t="s">
        <v>82</v>
      </c>
      <c r="D719" s="16">
        <f t="shared" ref="D719:L719" si="260">IF(((D717="")*AND(D718="")),"",(D717-D718)*3)</f>
        <v>12032.939999999999</v>
      </c>
      <c r="E719" s="16">
        <f t="shared" si="260"/>
        <v>12190.800000000007</v>
      </c>
      <c r="F719" s="16">
        <f t="shared" si="260"/>
        <v>12087.240000000005</v>
      </c>
      <c r="G719" s="16">
        <f t="shared" si="260"/>
        <v>12126.989999999994</v>
      </c>
      <c r="H719" s="16">
        <f t="shared" si="260"/>
        <v>11770.379999999997</v>
      </c>
      <c r="I719" s="16">
        <f t="shared" si="260"/>
        <v>12179.700000000004</v>
      </c>
      <c r="J719" s="16">
        <f t="shared" si="260"/>
        <v>12175.109999999997</v>
      </c>
      <c r="K719" s="16">
        <f t="shared" si="260"/>
        <v>12125.25</v>
      </c>
      <c r="L719" s="16">
        <f t="shared" si="260"/>
        <v>11707.98</v>
      </c>
      <c r="M719" s="16">
        <f t="shared" ref="M719" si="261">SUM(D719:L719)/9</f>
        <v>12044.043333333333</v>
      </c>
      <c r="N719" s="65"/>
      <c r="O719" s="65"/>
      <c r="P719" s="66"/>
      <c r="Q719" s="65"/>
      <c r="R719" s="67"/>
      <c r="S719" s="58"/>
    </row>
    <row r="720" spans="1:27" ht="15.75">
      <c r="A720" s="86">
        <v>43661</v>
      </c>
      <c r="B720" s="120" t="s">
        <v>348</v>
      </c>
      <c r="C720" s="57" t="s">
        <v>79</v>
      </c>
      <c r="D720">
        <v>29119.33</v>
      </c>
      <c r="E720">
        <v>29038.59</v>
      </c>
      <c r="F720">
        <v>29087.32</v>
      </c>
      <c r="G720">
        <v>29041.42</v>
      </c>
      <c r="H720">
        <v>29172.58</v>
      </c>
      <c r="I720">
        <v>29129.93</v>
      </c>
      <c r="J720">
        <v>29043.98</v>
      </c>
      <c r="K720">
        <v>29012.83</v>
      </c>
      <c r="L720">
        <v>29127.35</v>
      </c>
      <c r="M720" s="16"/>
      <c r="N720" s="59">
        <f>IF((L721=""),"",MAX(D722:L722))</f>
        <v>12114.419999999998</v>
      </c>
      <c r="O720" s="59">
        <f>IF(L721="","",MIN(D722:L722))</f>
        <v>11737.529999999995</v>
      </c>
      <c r="P720" s="60">
        <f>IF((L722=""),"",AVERAGE(D722:L722))</f>
        <v>11966.769999999999</v>
      </c>
      <c r="Q720" s="156">
        <f>IF((L721=""),"",((N720-O720)/(N720+O720)*100))</f>
        <v>1.5801223799312136</v>
      </c>
      <c r="R720" s="61" t="str">
        <f>IF(L721="","",IF(Q720&lt;Z720,IF(O720&gt;V720,IF(N720&lt;W720,"PASS","FAIL"),"FAIL"),"FAIL"))</f>
        <v>PASS</v>
      </c>
      <c r="S720" s="62">
        <v>1335</v>
      </c>
      <c r="T720" s="9" t="s">
        <v>272</v>
      </c>
      <c r="V720" s="110">
        <v>10000</v>
      </c>
      <c r="W720" s="110">
        <v>15600</v>
      </c>
      <c r="X720" s="111">
        <v>8090</v>
      </c>
      <c r="Y720" s="111">
        <v>12070</v>
      </c>
      <c r="Z720" s="112">
        <v>15</v>
      </c>
      <c r="AA720" s="112">
        <v>6</v>
      </c>
    </row>
    <row r="721" spans="1:27" ht="15.75">
      <c r="A721" s="99"/>
      <c r="B721" s="96"/>
      <c r="C721" s="57" t="s">
        <v>80</v>
      </c>
      <c r="D721">
        <v>25141.71</v>
      </c>
      <c r="E721">
        <v>25029.93</v>
      </c>
      <c r="F721">
        <v>25102.86</v>
      </c>
      <c r="G721">
        <v>25028.95</v>
      </c>
      <c r="H721">
        <v>25233.42</v>
      </c>
      <c r="I721">
        <v>25109.63</v>
      </c>
      <c r="J721">
        <v>25005.84</v>
      </c>
      <c r="K721">
        <v>25005.84</v>
      </c>
      <c r="L721">
        <v>25214.84</v>
      </c>
      <c r="M721" s="16"/>
      <c r="N721" s="53"/>
      <c r="O721" s="53"/>
      <c r="P721" s="63"/>
      <c r="Q721" s="53"/>
      <c r="R721" s="64"/>
      <c r="S721" s="54"/>
    </row>
    <row r="722" spans="1:27">
      <c r="A722" s="100"/>
      <c r="B722" s="123"/>
      <c r="C722" s="57" t="s">
        <v>82</v>
      </c>
      <c r="D722" s="16">
        <f t="shared" ref="D722:L722" si="262">IF(((D720="")*AND(D721="")),"",(D720-D721)*3)</f>
        <v>11932.860000000008</v>
      </c>
      <c r="E722" s="16">
        <f t="shared" si="262"/>
        <v>12025.98</v>
      </c>
      <c r="F722" s="16">
        <f t="shared" si="262"/>
        <v>11953.379999999997</v>
      </c>
      <c r="G722" s="16">
        <f t="shared" si="262"/>
        <v>12037.409999999993</v>
      </c>
      <c r="H722" s="16">
        <f t="shared" si="262"/>
        <v>11817.48000000001</v>
      </c>
      <c r="I722" s="16">
        <f t="shared" si="262"/>
        <v>12060.899999999998</v>
      </c>
      <c r="J722" s="16">
        <f t="shared" si="262"/>
        <v>12114.419999999998</v>
      </c>
      <c r="K722" s="16">
        <f t="shared" si="262"/>
        <v>12020.970000000005</v>
      </c>
      <c r="L722" s="16">
        <f t="shared" si="262"/>
        <v>11737.529999999995</v>
      </c>
      <c r="M722" s="16">
        <f t="shared" ref="M722" si="263">SUM(D722:L722)/9</f>
        <v>11966.769999999999</v>
      </c>
      <c r="N722" s="65"/>
      <c r="O722" s="65"/>
      <c r="P722" s="66"/>
      <c r="Q722" s="65"/>
      <c r="R722" s="67"/>
      <c r="S722" s="58"/>
    </row>
    <row r="723" spans="1:27" ht="15.75">
      <c r="A723" s="86">
        <v>43665</v>
      </c>
      <c r="B723" s="120" t="s">
        <v>348</v>
      </c>
      <c r="C723" s="57" t="s">
        <v>79</v>
      </c>
      <c r="D723">
        <v>29199.17</v>
      </c>
      <c r="E723">
        <v>29080.41</v>
      </c>
      <c r="F723">
        <v>29085.279999999999</v>
      </c>
      <c r="G723">
        <v>29067.51</v>
      </c>
      <c r="H723">
        <v>29179.49</v>
      </c>
      <c r="I723">
        <v>29194.79</v>
      </c>
      <c r="J723">
        <v>29083.38</v>
      </c>
      <c r="K723">
        <v>29077.55</v>
      </c>
      <c r="L723">
        <v>29202.12</v>
      </c>
      <c r="M723" s="16"/>
      <c r="N723" s="59">
        <f>IF((L724=""),"",MAX(D725:L725))</f>
        <v>13482</v>
      </c>
      <c r="O723" s="59">
        <f>IF(L724="","",MIN(D725:L725))</f>
        <v>12449.52</v>
      </c>
      <c r="P723" s="60">
        <f>IF((L725=""),"",AVERAGE(D725:L725))</f>
        <v>13128.193333333333</v>
      </c>
      <c r="Q723" s="156">
        <f>IF((L724=""),"",((N723-O723)/(N723+O723)*100))</f>
        <v>3.9815637494446894</v>
      </c>
      <c r="R723" s="61" t="str">
        <f>IF(L724="","",IF(Q723&lt;Z723,IF(O723&gt;V723,IF(N723&lt;W723,"PASS","FAIL"),"FAIL"),"FAIL"))</f>
        <v>PASS</v>
      </c>
      <c r="S723" s="62">
        <v>1335</v>
      </c>
      <c r="T723" s="9" t="s">
        <v>274</v>
      </c>
      <c r="V723" s="110">
        <v>10000</v>
      </c>
      <c r="W723" s="110">
        <v>15600</v>
      </c>
      <c r="X723" s="111">
        <v>8090</v>
      </c>
      <c r="Y723" s="111">
        <v>12070</v>
      </c>
      <c r="Z723" s="112">
        <v>15</v>
      </c>
      <c r="AA723" s="112">
        <v>6</v>
      </c>
    </row>
    <row r="724" spans="1:27" ht="15.75">
      <c r="A724" s="99"/>
      <c r="B724" s="96"/>
      <c r="C724" s="57" t="s">
        <v>80</v>
      </c>
      <c r="D724">
        <v>24936.5</v>
      </c>
      <c r="E724">
        <v>24657.5</v>
      </c>
      <c r="F724">
        <v>24660.33</v>
      </c>
      <c r="G724">
        <v>24632.17</v>
      </c>
      <c r="H724">
        <v>24816.240000000002</v>
      </c>
      <c r="I724">
        <v>25044.95</v>
      </c>
      <c r="J724">
        <v>24690.9</v>
      </c>
      <c r="K724">
        <v>24583.55</v>
      </c>
      <c r="L724">
        <v>24762.98</v>
      </c>
      <c r="M724" s="16"/>
      <c r="N724" s="53"/>
      <c r="O724" s="53"/>
      <c r="P724" s="63"/>
      <c r="Q724" s="53"/>
      <c r="R724" s="64"/>
      <c r="S724" s="54"/>
    </row>
    <row r="725" spans="1:27">
      <c r="A725" s="100"/>
      <c r="B725" s="123"/>
      <c r="C725" s="57" t="s">
        <v>82</v>
      </c>
      <c r="D725" s="16">
        <f t="shared" ref="D725:L725" si="264">IF(((D723="")*AND(D724="")),"",(D723-D724)*3)</f>
        <v>12788.009999999995</v>
      </c>
      <c r="E725" s="16">
        <f t="shared" si="264"/>
        <v>13268.73</v>
      </c>
      <c r="F725" s="16">
        <f t="shared" si="264"/>
        <v>13274.849999999991</v>
      </c>
      <c r="G725" s="16">
        <f t="shared" si="264"/>
        <v>13306.02</v>
      </c>
      <c r="H725" s="16">
        <f t="shared" si="264"/>
        <v>13089.75</v>
      </c>
      <c r="I725" s="16">
        <f t="shared" si="264"/>
        <v>12449.52</v>
      </c>
      <c r="J725" s="16">
        <f t="shared" si="264"/>
        <v>13177.439999999999</v>
      </c>
      <c r="K725" s="16">
        <f t="shared" si="264"/>
        <v>13482</v>
      </c>
      <c r="L725" s="16">
        <f t="shared" si="264"/>
        <v>13317.419999999998</v>
      </c>
      <c r="M725" s="16">
        <f t="shared" ref="M725" si="265">SUM(D725:L725)/9</f>
        <v>13128.193333333333</v>
      </c>
      <c r="N725" s="65"/>
      <c r="O725" s="65"/>
      <c r="P725" s="66"/>
      <c r="Q725" s="65"/>
      <c r="R725" s="67"/>
      <c r="S725" s="58"/>
    </row>
    <row r="726" spans="1:27" ht="15.75">
      <c r="A726" s="86">
        <v>43669</v>
      </c>
      <c r="B726" s="120" t="s">
        <v>348</v>
      </c>
      <c r="C726" s="57" t="s">
        <v>79</v>
      </c>
      <c r="D726">
        <v>29105.41</v>
      </c>
      <c r="E726">
        <v>28957.1</v>
      </c>
      <c r="F726">
        <v>28964.34</v>
      </c>
      <c r="G726">
        <v>28937.02</v>
      </c>
      <c r="H726">
        <v>29033.55</v>
      </c>
      <c r="I726">
        <v>29045.52</v>
      </c>
      <c r="J726">
        <v>28926.42</v>
      </c>
      <c r="K726">
        <v>28948.99</v>
      </c>
      <c r="L726">
        <v>29050.35</v>
      </c>
      <c r="M726" s="16"/>
      <c r="N726" s="59">
        <f>IF((L727=""),"",MAX(D728:L728))</f>
        <v>10856.099999999991</v>
      </c>
      <c r="O726" s="59">
        <f>IF(L727="","",MIN(D728:L728))</f>
        <v>10105.589999999997</v>
      </c>
      <c r="P726" s="60">
        <f>IF((L728=""),"",AVERAGE(D728:L728))</f>
        <v>10564.32</v>
      </c>
      <c r="Q726" s="156">
        <f>IF((L727=""),"",((N726-O726)/(N726+O726)*100))</f>
        <v>3.580388794987404</v>
      </c>
      <c r="R726" s="61" t="str">
        <f>IF(L727="","",IF(Q726&lt;Z726,IF(O726&gt;V726,IF(N726&lt;W726,"PASS","FAIL"),"FAIL"),"FAIL"))</f>
        <v>PASS</v>
      </c>
      <c r="S726" s="62">
        <v>1340</v>
      </c>
      <c r="T726" s="18" t="s">
        <v>276</v>
      </c>
      <c r="V726" s="110">
        <v>10000</v>
      </c>
      <c r="W726" s="110">
        <v>15600</v>
      </c>
      <c r="X726" s="111">
        <v>8090</v>
      </c>
      <c r="Y726" s="111">
        <v>12070</v>
      </c>
      <c r="Z726" s="112">
        <v>15</v>
      </c>
      <c r="AA726" s="112">
        <v>6</v>
      </c>
    </row>
    <row r="727" spans="1:27" ht="15.75">
      <c r="A727" s="99"/>
      <c r="B727" s="96"/>
      <c r="C727" s="57" t="s">
        <v>80</v>
      </c>
      <c r="D727">
        <v>25640.87</v>
      </c>
      <c r="E727">
        <v>25400.3</v>
      </c>
      <c r="F727">
        <v>25465.55</v>
      </c>
      <c r="G727">
        <v>25389.84</v>
      </c>
      <c r="H727">
        <v>25513.119999999999</v>
      </c>
      <c r="I727">
        <v>25676.99</v>
      </c>
      <c r="J727">
        <v>25407.01</v>
      </c>
      <c r="K727">
        <v>25350.41</v>
      </c>
      <c r="L727">
        <v>25431.65</v>
      </c>
      <c r="M727" s="16"/>
      <c r="N727" s="53"/>
      <c r="O727" s="53"/>
      <c r="P727" s="63"/>
      <c r="Q727" s="53"/>
      <c r="R727" s="64"/>
      <c r="S727" s="54"/>
    </row>
    <row r="728" spans="1:27">
      <c r="A728" s="100"/>
      <c r="B728" s="123"/>
      <c r="C728" s="57" t="s">
        <v>82</v>
      </c>
      <c r="D728" s="16">
        <f t="shared" ref="D728:L728" si="266">IF(((D726="")*AND(D727="")),"",(D726-D727)*3)</f>
        <v>10393.620000000003</v>
      </c>
      <c r="E728" s="16">
        <f t="shared" si="266"/>
        <v>10670.399999999998</v>
      </c>
      <c r="F728" s="16">
        <f t="shared" si="266"/>
        <v>10496.370000000003</v>
      </c>
      <c r="G728" s="16">
        <f t="shared" si="266"/>
        <v>10641.54</v>
      </c>
      <c r="H728" s="16">
        <f t="shared" si="266"/>
        <v>10561.29</v>
      </c>
      <c r="I728" s="16">
        <f t="shared" si="266"/>
        <v>10105.589999999997</v>
      </c>
      <c r="J728" s="16">
        <f t="shared" si="266"/>
        <v>10558.23</v>
      </c>
      <c r="K728" s="16">
        <f t="shared" si="266"/>
        <v>10795.740000000005</v>
      </c>
      <c r="L728" s="16">
        <f t="shared" si="266"/>
        <v>10856.099999999991</v>
      </c>
      <c r="M728" s="16">
        <f t="shared" ref="M728" si="267">SUM(D728:L728)/9</f>
        <v>10564.32</v>
      </c>
      <c r="N728" s="65"/>
      <c r="O728" s="65"/>
      <c r="P728" s="66"/>
      <c r="Q728" s="65"/>
      <c r="R728" s="67"/>
      <c r="S728" s="58"/>
    </row>
    <row r="729" spans="1:27" ht="15.75">
      <c r="A729" s="86">
        <v>43673</v>
      </c>
      <c r="B729" s="120" t="s">
        <v>348</v>
      </c>
      <c r="C729" s="57" t="s">
        <v>79</v>
      </c>
      <c r="D729">
        <v>29059.919999999998</v>
      </c>
      <c r="E729">
        <v>28928.91</v>
      </c>
      <c r="F729">
        <v>28968.28</v>
      </c>
      <c r="G729">
        <v>28933.39</v>
      </c>
      <c r="H729">
        <v>29032.78</v>
      </c>
      <c r="I729">
        <v>29051.200000000001</v>
      </c>
      <c r="J729">
        <v>28921.63</v>
      </c>
      <c r="K729">
        <v>28912.52</v>
      </c>
      <c r="L729">
        <v>29003.17</v>
      </c>
      <c r="M729" s="16"/>
      <c r="N729" s="59">
        <f>IF((L730=""),"",MAX(D731:L731))</f>
        <v>11658.719999999994</v>
      </c>
      <c r="O729" s="59">
        <f>IF(L730="","",MIN(D731:L731))</f>
        <v>11311.379999999997</v>
      </c>
      <c r="P729" s="60">
        <f>IF((L731=""),"",AVERAGE(D731:L731))</f>
        <v>11519.436666666665</v>
      </c>
      <c r="Q729" s="156">
        <f>IF((L730=""),"",((N729-O729)/(N729+O729)*100))</f>
        <v>1.512139694646504</v>
      </c>
      <c r="R729" s="61" t="str">
        <f>IF(L730="","",IF(Q729&lt;Z729,IF(O729&gt;V729,IF(N729&lt;W729,"PASS","FAIL"),"FAIL"),"FAIL"))</f>
        <v>PASS</v>
      </c>
      <c r="S729" s="62">
        <v>1340</v>
      </c>
      <c r="T729" s="9" t="s">
        <v>282</v>
      </c>
      <c r="V729" s="110">
        <v>10000</v>
      </c>
      <c r="W729" s="110">
        <v>15600</v>
      </c>
      <c r="X729" s="111">
        <v>8090</v>
      </c>
      <c r="Y729" s="111">
        <v>12070</v>
      </c>
      <c r="Z729" s="112">
        <v>15</v>
      </c>
      <c r="AA729" s="112">
        <v>6</v>
      </c>
    </row>
    <row r="730" spans="1:27" ht="15.75">
      <c r="A730" s="99"/>
      <c r="B730" s="96"/>
      <c r="C730" s="57" t="s">
        <v>80</v>
      </c>
      <c r="D730">
        <v>25280.63</v>
      </c>
      <c r="E730">
        <v>25070.33</v>
      </c>
      <c r="F730">
        <v>25105.21</v>
      </c>
      <c r="G730">
        <v>25047.15</v>
      </c>
      <c r="H730">
        <v>25198.23</v>
      </c>
      <c r="I730">
        <v>25280.74</v>
      </c>
      <c r="J730">
        <v>25055.96</v>
      </c>
      <c r="K730">
        <v>25037.51</v>
      </c>
      <c r="L730">
        <v>25177.73</v>
      </c>
      <c r="M730" s="16"/>
      <c r="N730" s="53"/>
      <c r="O730" s="53"/>
      <c r="P730" s="63"/>
      <c r="Q730" s="53"/>
      <c r="R730" s="64"/>
      <c r="S730" s="54"/>
    </row>
    <row r="731" spans="1:27">
      <c r="A731" s="100"/>
      <c r="B731" s="123"/>
      <c r="C731" s="57" t="s">
        <v>82</v>
      </c>
      <c r="D731" s="16">
        <f t="shared" ref="D731:L731" si="268">IF(((D729="")*AND(D730="")),"",(D729-D730)*3)</f>
        <v>11337.869999999992</v>
      </c>
      <c r="E731" s="16">
        <f t="shared" si="268"/>
        <v>11575.739999999994</v>
      </c>
      <c r="F731" s="16">
        <f t="shared" si="268"/>
        <v>11589.21</v>
      </c>
      <c r="G731" s="16">
        <f t="shared" si="268"/>
        <v>11658.719999999994</v>
      </c>
      <c r="H731" s="16">
        <f t="shared" si="268"/>
        <v>11503.649999999998</v>
      </c>
      <c r="I731" s="16">
        <f t="shared" si="268"/>
        <v>11311.379999999997</v>
      </c>
      <c r="J731" s="16">
        <f t="shared" si="268"/>
        <v>11597.010000000006</v>
      </c>
      <c r="K731" s="16">
        <f t="shared" si="268"/>
        <v>11625.030000000006</v>
      </c>
      <c r="L731" s="16">
        <f t="shared" si="268"/>
        <v>11476.319999999996</v>
      </c>
      <c r="M731" s="16">
        <f t="shared" ref="M731" si="269">SUM(D731:L731)/9</f>
        <v>11519.436666666665</v>
      </c>
      <c r="N731" s="65"/>
      <c r="O731" s="65"/>
      <c r="P731" s="66"/>
      <c r="Q731" s="65"/>
      <c r="R731" s="67"/>
      <c r="S731" s="58"/>
    </row>
    <row r="732" spans="1:27" ht="15.75">
      <c r="A732" s="86">
        <v>43677</v>
      </c>
      <c r="B732" s="120" t="s">
        <v>348</v>
      </c>
      <c r="C732" s="57" t="s">
        <v>79</v>
      </c>
      <c r="D732">
        <v>29104.240000000002</v>
      </c>
      <c r="E732">
        <v>28999.09</v>
      </c>
      <c r="F732">
        <v>29023.57</v>
      </c>
      <c r="G732">
        <v>28988.97</v>
      </c>
      <c r="H732">
        <v>29088.799999999999</v>
      </c>
      <c r="I732">
        <v>29083.19</v>
      </c>
      <c r="J732">
        <v>28978.94</v>
      </c>
      <c r="K732">
        <v>28978.25</v>
      </c>
      <c r="L732">
        <v>29113.09</v>
      </c>
      <c r="M732" s="16"/>
      <c r="N732" s="59">
        <f>IF((L733=""),"",MAX(D734:L734))</f>
        <v>11613.96</v>
      </c>
      <c r="O732" s="59">
        <f>IF(L733="","",MIN(D734:L734))</f>
        <v>11089.679999999993</v>
      </c>
      <c r="P732" s="60">
        <f>IF((L734=""),"",AVERAGE(D734:L734))</f>
        <v>11485.479999999998</v>
      </c>
      <c r="Q732" s="156">
        <f>IF((L733=""),"",((N732-O732)/(N732+O732)*100))</f>
        <v>2.3092332330851191</v>
      </c>
      <c r="R732" s="61" t="str">
        <f>IF(L733="","",IF(Q732&lt;Z732,IF(O732&gt;V732,IF(N732&lt;W732,"PASS","FAIL"),"FAIL"),"FAIL"))</f>
        <v>PASS</v>
      </c>
      <c r="S732" s="62">
        <v>1159</v>
      </c>
      <c r="T732" s="9" t="s">
        <v>279</v>
      </c>
      <c r="V732" s="110">
        <v>10000</v>
      </c>
      <c r="W732" s="110">
        <v>15600</v>
      </c>
      <c r="X732" s="111">
        <v>8090</v>
      </c>
      <c r="Y732" s="111">
        <v>12070</v>
      </c>
      <c r="Z732" s="112">
        <v>15</v>
      </c>
      <c r="AA732" s="112">
        <v>6</v>
      </c>
    </row>
    <row r="733" spans="1:27" ht="15.75">
      <c r="A733" s="99"/>
      <c r="B733" s="96"/>
      <c r="C733" s="57" t="s">
        <v>80</v>
      </c>
      <c r="D733">
        <v>25326.49</v>
      </c>
      <c r="E733">
        <v>25141.41</v>
      </c>
      <c r="F733">
        <v>25203.48</v>
      </c>
      <c r="G733">
        <v>25118.6</v>
      </c>
      <c r="H733">
        <v>25228.880000000001</v>
      </c>
      <c r="I733">
        <v>25386.63</v>
      </c>
      <c r="J733">
        <v>25133.07</v>
      </c>
      <c r="K733">
        <v>25121.37</v>
      </c>
      <c r="L733">
        <v>25241.77</v>
      </c>
      <c r="M733" s="16"/>
      <c r="N733" s="53"/>
      <c r="O733" s="53"/>
      <c r="P733" s="63"/>
      <c r="Q733" s="53"/>
      <c r="R733" s="64"/>
      <c r="S733" s="54"/>
    </row>
    <row r="734" spans="1:27">
      <c r="A734" s="100"/>
      <c r="B734" s="123"/>
      <c r="C734" s="57" t="s">
        <v>82</v>
      </c>
      <c r="D734" s="16">
        <f t="shared" ref="D734:L734" si="270">IF(((D732="")*AND(D733="")),"",(D732-D733)*3)</f>
        <v>11333.25</v>
      </c>
      <c r="E734" s="16">
        <f t="shared" si="270"/>
        <v>11573.04</v>
      </c>
      <c r="F734" s="16">
        <f t="shared" si="270"/>
        <v>11460.27</v>
      </c>
      <c r="G734" s="16">
        <f t="shared" si="270"/>
        <v>11611.110000000008</v>
      </c>
      <c r="H734" s="16">
        <f t="shared" si="270"/>
        <v>11579.759999999995</v>
      </c>
      <c r="I734" s="16">
        <f t="shared" si="270"/>
        <v>11089.679999999993</v>
      </c>
      <c r="J734" s="16">
        <f t="shared" si="270"/>
        <v>11537.609999999997</v>
      </c>
      <c r="K734" s="16">
        <f t="shared" si="270"/>
        <v>11570.640000000003</v>
      </c>
      <c r="L734" s="16">
        <f t="shared" si="270"/>
        <v>11613.96</v>
      </c>
      <c r="M734" s="16"/>
      <c r="N734" s="65"/>
      <c r="O734" s="65"/>
      <c r="P734" s="66"/>
      <c r="Q734" s="65"/>
      <c r="R734" s="67"/>
      <c r="S734" s="58"/>
      <c r="V734" s="33"/>
      <c r="W734" s="29"/>
    </row>
    <row r="735" spans="1:27" ht="15.75">
      <c r="A735" s="86">
        <v>43682</v>
      </c>
      <c r="B735" s="120" t="s">
        <v>348</v>
      </c>
      <c r="C735" s="57" t="s">
        <v>79</v>
      </c>
      <c r="D735">
        <v>29023.63</v>
      </c>
      <c r="E735">
        <v>28900.03</v>
      </c>
      <c r="F735">
        <v>28945.41</v>
      </c>
      <c r="G735">
        <v>28908.25</v>
      </c>
      <c r="H735">
        <v>28993.3</v>
      </c>
      <c r="I735">
        <v>29007.16</v>
      </c>
      <c r="J735">
        <v>28892.49</v>
      </c>
      <c r="K735">
        <v>28903.95</v>
      </c>
      <c r="L735">
        <v>29033.01</v>
      </c>
      <c r="M735" s="16"/>
      <c r="N735" s="59">
        <f>IF((L736=""),"",MAX(D737:L737))</f>
        <v>11636.909999999993</v>
      </c>
      <c r="O735" s="59">
        <f>IF(L736="","",MIN(D737:L737))</f>
        <v>11075.819999999996</v>
      </c>
      <c r="P735" s="60">
        <f>IF((L737=""),"",AVERAGE(D737:L737))</f>
        <v>11438.593333333331</v>
      </c>
      <c r="Q735" s="156">
        <f>IF((L736=""),"",((N735-O735)/(N735+O735)*100))</f>
        <v>2.4703767446713663</v>
      </c>
      <c r="R735" s="61" t="str">
        <f>IF(L736="","",IF(Q735&lt;Z735,IF(O735&gt;V735,IF(N735&lt;W735,"PASS","FAIL"),"FAIL"),"FAIL"))</f>
        <v>PASS</v>
      </c>
      <c r="S735" s="62">
        <v>1340</v>
      </c>
      <c r="T735" s="9" t="s">
        <v>281</v>
      </c>
      <c r="V735" s="110">
        <v>10000</v>
      </c>
      <c r="W735" s="110">
        <v>15600</v>
      </c>
      <c r="X735" s="111">
        <v>8090</v>
      </c>
      <c r="Y735" s="111">
        <v>12070</v>
      </c>
      <c r="Z735" s="112">
        <v>15</v>
      </c>
      <c r="AA735" s="112">
        <v>6</v>
      </c>
    </row>
    <row r="736" spans="1:27" ht="15.75">
      <c r="A736" s="99"/>
      <c r="B736" s="122"/>
      <c r="C736" s="57" t="s">
        <v>80</v>
      </c>
      <c r="D736">
        <v>25291.25</v>
      </c>
      <c r="E736">
        <v>25077.85</v>
      </c>
      <c r="F736">
        <v>25144.11</v>
      </c>
      <c r="G736">
        <v>25044</v>
      </c>
      <c r="H736">
        <v>25148.11</v>
      </c>
      <c r="I736">
        <v>25315.22</v>
      </c>
      <c r="J736">
        <v>25078.79</v>
      </c>
      <c r="K736">
        <v>25038.080000000002</v>
      </c>
      <c r="L736">
        <v>25154.04</v>
      </c>
      <c r="M736" s="16"/>
      <c r="N736" s="53"/>
      <c r="O736" s="53"/>
      <c r="P736" s="63"/>
      <c r="Q736" s="53"/>
      <c r="R736" s="64"/>
      <c r="S736" s="54"/>
      <c r="V736" s="32"/>
      <c r="W736" s="29"/>
    </row>
    <row r="737" spans="1:27">
      <c r="A737" s="100"/>
      <c r="B737" s="122"/>
      <c r="C737" s="57" t="s">
        <v>82</v>
      </c>
      <c r="D737" s="16">
        <f t="shared" ref="D737:L737" si="271">IF(((D735="")*AND(D736="")),"",(D735-D736)*3)</f>
        <v>11197.140000000003</v>
      </c>
      <c r="E737" s="16">
        <f t="shared" si="271"/>
        <v>11466.54</v>
      </c>
      <c r="F737" s="16">
        <f t="shared" si="271"/>
        <v>11403.899999999998</v>
      </c>
      <c r="G737" s="16">
        <f t="shared" si="271"/>
        <v>11592.75</v>
      </c>
      <c r="H737" s="16">
        <f t="shared" si="271"/>
        <v>11535.569999999996</v>
      </c>
      <c r="I737" s="16">
        <f t="shared" si="271"/>
        <v>11075.819999999996</v>
      </c>
      <c r="J737" s="16">
        <f t="shared" si="271"/>
        <v>11441.100000000002</v>
      </c>
      <c r="K737" s="16">
        <f t="shared" si="271"/>
        <v>11597.609999999997</v>
      </c>
      <c r="L737" s="16">
        <f t="shared" si="271"/>
        <v>11636.909999999993</v>
      </c>
      <c r="M737" s="16"/>
      <c r="N737" s="65"/>
      <c r="O737" s="65"/>
      <c r="P737" s="66"/>
      <c r="Q737" s="65"/>
      <c r="R737" s="67"/>
      <c r="S737" s="58"/>
      <c r="V737" s="33"/>
      <c r="W737" s="29"/>
    </row>
    <row r="738" spans="1:27" ht="15.75">
      <c r="A738" s="86">
        <v>43690</v>
      </c>
      <c r="B738" s="120" t="s">
        <v>348</v>
      </c>
      <c r="C738" s="57" t="s">
        <v>79</v>
      </c>
      <c r="D738">
        <v>29310.74</v>
      </c>
      <c r="E738">
        <v>29189.08</v>
      </c>
      <c r="F738">
        <v>29193.77</v>
      </c>
      <c r="G738">
        <v>29170.57</v>
      </c>
      <c r="H738">
        <v>29256.63</v>
      </c>
      <c r="I738">
        <v>29272.83</v>
      </c>
      <c r="J738">
        <v>29161.99</v>
      </c>
      <c r="K738">
        <v>29163.5</v>
      </c>
      <c r="L738">
        <v>29279.84</v>
      </c>
      <c r="M738" s="16"/>
      <c r="N738" s="59">
        <f>IF((L739=""),"",MAX(D740:L740))</f>
        <v>10881.720000000005</v>
      </c>
      <c r="O738" s="59">
        <f>IF(L739="","",MIN(D740:L740))</f>
        <v>10450.02</v>
      </c>
      <c r="P738" s="60">
        <f>IF((L740=""),"",AVERAGE(D740:L740))</f>
        <v>10705.320000000003</v>
      </c>
      <c r="Q738" s="156">
        <f>IF((L739=""),"",((N738-O738)/(N738+O738)*100))</f>
        <v>2.0237448984471227</v>
      </c>
      <c r="R738" s="61" t="str">
        <f>IF(L739="","",IF(Q738&lt;Z738,IF(O738&gt;V738,IF(N738&lt;W738,"PASS","FAIL"),"FAIL"),"FAIL"))</f>
        <v>PASS</v>
      </c>
      <c r="S738" s="62">
        <v>1159</v>
      </c>
      <c r="T738" s="9" t="s">
        <v>296</v>
      </c>
      <c r="V738" s="110">
        <v>10000</v>
      </c>
      <c r="W738" s="110">
        <v>15600</v>
      </c>
      <c r="X738" s="111">
        <v>8090</v>
      </c>
      <c r="Y738" s="111">
        <v>12070</v>
      </c>
      <c r="Z738" s="112">
        <v>15</v>
      </c>
      <c r="AA738" s="112">
        <v>6</v>
      </c>
    </row>
    <row r="739" spans="1:27" ht="15.75">
      <c r="A739" s="99"/>
      <c r="B739" s="96"/>
      <c r="C739" s="57" t="s">
        <v>80</v>
      </c>
      <c r="D739">
        <v>25789.439999999999</v>
      </c>
      <c r="E739">
        <v>25599.57</v>
      </c>
      <c r="F739">
        <v>25631.29</v>
      </c>
      <c r="G739">
        <v>25571.89</v>
      </c>
      <c r="H739">
        <v>25701.73</v>
      </c>
      <c r="I739">
        <v>25789.49</v>
      </c>
      <c r="J739">
        <v>25602.51</v>
      </c>
      <c r="K739">
        <v>25544.47</v>
      </c>
      <c r="L739">
        <v>25652.6</v>
      </c>
      <c r="M739" s="16"/>
      <c r="N739" s="53"/>
      <c r="O739" s="53"/>
      <c r="P739" s="63"/>
      <c r="Q739" s="53"/>
      <c r="R739" s="64"/>
      <c r="S739" s="54"/>
      <c r="V739" s="32"/>
      <c r="W739" s="29"/>
    </row>
    <row r="740" spans="1:27">
      <c r="A740" s="100"/>
      <c r="B740" s="123"/>
      <c r="C740" s="57" t="s">
        <v>82</v>
      </c>
      <c r="D740" s="16">
        <f t="shared" ref="D740" si="272">IF(((D738="")*AND(D739="")),"",(D738-D739)*3)</f>
        <v>10563.900000000009</v>
      </c>
      <c r="E740" s="16">
        <f t="shared" ref="E740:L740" si="273">IF(((E738="")*AND(E739="")),"",(E738-E739)*3)</f>
        <v>10768.530000000006</v>
      </c>
      <c r="F740" s="16">
        <f t="shared" si="273"/>
        <v>10687.439999999999</v>
      </c>
      <c r="G740" s="16">
        <f t="shared" si="273"/>
        <v>10796.04</v>
      </c>
      <c r="H740" s="16">
        <f t="shared" si="273"/>
        <v>10664.700000000004</v>
      </c>
      <c r="I740" s="16">
        <f t="shared" si="273"/>
        <v>10450.02</v>
      </c>
      <c r="J740" s="16">
        <f t="shared" si="273"/>
        <v>10678.44000000001</v>
      </c>
      <c r="K740" s="16">
        <f t="shared" si="273"/>
        <v>10857.089999999997</v>
      </c>
      <c r="L740" s="16">
        <f t="shared" si="273"/>
        <v>10881.720000000005</v>
      </c>
      <c r="M740" s="16"/>
      <c r="N740" s="65"/>
      <c r="O740" s="65"/>
      <c r="P740" s="66"/>
      <c r="Q740" s="65"/>
      <c r="R740" s="67"/>
      <c r="S740" s="58"/>
      <c r="V740" s="33"/>
      <c r="W740" s="29"/>
    </row>
    <row r="741" spans="1:27" ht="15.75">
      <c r="A741" s="86">
        <v>43696</v>
      </c>
      <c r="B741" s="120" t="s">
        <v>348</v>
      </c>
      <c r="C741" s="57" t="s">
        <v>79</v>
      </c>
      <c r="D741">
        <v>28965.59</v>
      </c>
      <c r="E741">
        <v>28839.69</v>
      </c>
      <c r="F741">
        <v>28871.77</v>
      </c>
      <c r="G741">
        <v>28827.01</v>
      </c>
      <c r="H741">
        <v>28917.78</v>
      </c>
      <c r="I741">
        <v>28927.27</v>
      </c>
      <c r="J741">
        <v>28819.38</v>
      </c>
      <c r="K741">
        <v>28827.7</v>
      </c>
      <c r="L741">
        <v>28970.52</v>
      </c>
      <c r="M741" s="16"/>
      <c r="N741" s="59">
        <f>IF((L742=""),"",MAX(D743:L743))</f>
        <v>10533.990000000005</v>
      </c>
      <c r="O741" s="59">
        <f>IF(L742="","",MIN(D743:L743))</f>
        <v>10165.109999999997</v>
      </c>
      <c r="P741" s="60">
        <f>IF((L743=""),"",AVERAGE(D743:L743))</f>
        <v>10374.173333333332</v>
      </c>
      <c r="Q741" s="156">
        <f>IF((L742=""),"",((N741-O741)/(N741+O741)*100))</f>
        <v>1.7821064683972165</v>
      </c>
      <c r="R741" s="61" t="str">
        <f>IF(L742="","",IF(Q741&lt;Z741,IF(O741&gt;V741,IF(N741&lt;W741,"PASS","FAIL"),"FAIL"),"FAIL"))</f>
        <v>PASS</v>
      </c>
      <c r="S741" s="62">
        <v>1340</v>
      </c>
      <c r="T741" s="9" t="s">
        <v>298</v>
      </c>
      <c r="V741" s="110">
        <v>10000</v>
      </c>
      <c r="W741" s="110">
        <v>15600</v>
      </c>
      <c r="X741" s="111">
        <v>8090</v>
      </c>
      <c r="Y741" s="111">
        <v>12070</v>
      </c>
      <c r="Z741" s="112">
        <v>15</v>
      </c>
      <c r="AA741" s="112">
        <v>6</v>
      </c>
    </row>
    <row r="742" spans="1:27" ht="15.75">
      <c r="A742" s="99"/>
      <c r="B742" s="96"/>
      <c r="C742" s="57" t="s">
        <v>80</v>
      </c>
      <c r="D742">
        <v>25539.84</v>
      </c>
      <c r="E742">
        <v>25357.200000000001</v>
      </c>
      <c r="F742">
        <v>25441.4</v>
      </c>
      <c r="G742">
        <v>25360.35</v>
      </c>
      <c r="H742">
        <v>25446.62</v>
      </c>
      <c r="I742">
        <v>25538.9</v>
      </c>
      <c r="J742">
        <v>25364.83</v>
      </c>
      <c r="K742">
        <v>25335.86</v>
      </c>
      <c r="L742">
        <v>25459.19</v>
      </c>
      <c r="M742" s="16"/>
      <c r="N742" s="53"/>
      <c r="O742" s="53"/>
      <c r="P742" s="63"/>
      <c r="Q742" s="53"/>
      <c r="R742" s="64"/>
      <c r="S742" s="54"/>
      <c r="V742" s="32"/>
      <c r="W742" s="29"/>
    </row>
    <row r="743" spans="1:27">
      <c r="A743" s="100"/>
      <c r="B743" s="123"/>
      <c r="C743" s="57" t="s">
        <v>82</v>
      </c>
      <c r="D743" s="16">
        <f t="shared" ref="D743" si="274">IF(((D741="")*AND(D742="")),"",(D741-D742)*3)</f>
        <v>10277.25</v>
      </c>
      <c r="E743" s="16">
        <f t="shared" ref="E743:L743" si="275">IF(((E741="")*AND(E742="")),"",(E741-E742)*3)</f>
        <v>10447.469999999994</v>
      </c>
      <c r="F743" s="16">
        <f t="shared" si="275"/>
        <v>10291.109999999997</v>
      </c>
      <c r="G743" s="16">
        <f t="shared" si="275"/>
        <v>10399.98</v>
      </c>
      <c r="H743" s="16">
        <f t="shared" si="275"/>
        <v>10413.48</v>
      </c>
      <c r="I743" s="16">
        <f t="shared" si="275"/>
        <v>10165.109999999997</v>
      </c>
      <c r="J743" s="16">
        <f t="shared" si="275"/>
        <v>10363.649999999998</v>
      </c>
      <c r="K743" s="16">
        <f t="shared" si="275"/>
        <v>10475.52</v>
      </c>
      <c r="L743" s="16">
        <f t="shared" si="275"/>
        <v>10533.990000000005</v>
      </c>
      <c r="M743" s="16"/>
      <c r="N743" s="65"/>
      <c r="O743" s="65"/>
      <c r="P743" s="66"/>
      <c r="Q743" s="65"/>
      <c r="R743" s="67"/>
      <c r="S743" s="58"/>
      <c r="V743" s="33"/>
      <c r="W743" s="29"/>
    </row>
    <row r="744" spans="1:27" ht="15.75">
      <c r="A744" s="86">
        <v>43704</v>
      </c>
      <c r="B744" s="120" t="s">
        <v>348</v>
      </c>
      <c r="C744" s="57" t="s">
        <v>79</v>
      </c>
      <c r="D744">
        <v>28922.92</v>
      </c>
      <c r="E744">
        <v>28783.82</v>
      </c>
      <c r="F744">
        <v>28777.22</v>
      </c>
      <c r="G744">
        <v>28766.880000000001</v>
      </c>
      <c r="H744">
        <v>28879.07</v>
      </c>
      <c r="I744">
        <v>28890.77</v>
      </c>
      <c r="J744">
        <v>28750.32</v>
      </c>
      <c r="K744">
        <v>28765.31</v>
      </c>
      <c r="L744">
        <v>28852.28</v>
      </c>
      <c r="M744" s="16"/>
      <c r="N744" s="59">
        <f>IF((L745=""),"",MAX(D746:L746))</f>
        <v>12072.089999999997</v>
      </c>
      <c r="O744" s="59">
        <f>IF(L745="","",MIN(D746:L746))</f>
        <v>11135.970000000005</v>
      </c>
      <c r="P744" s="60">
        <f>IF((L746=""),"",AVERAGE(D746:L746))</f>
        <v>11702.393333333333</v>
      </c>
      <c r="Q744" s="156">
        <f>IF((L745=""),"",((N744-O744)/(N744+O744)*100))</f>
        <v>4.0335986721854029</v>
      </c>
      <c r="R744" s="61" t="str">
        <f>IF(L745="","",IF(Q744&lt;Z744,IF(O744&gt;V744,IF(N744&lt;W744,"PASS","FAIL"),"FAIL"),"FAIL"))</f>
        <v>PASS</v>
      </c>
      <c r="S744" s="62">
        <v>1159</v>
      </c>
      <c r="T744" s="9" t="s">
        <v>301</v>
      </c>
      <c r="V744" s="110">
        <v>10000</v>
      </c>
      <c r="W744" s="110">
        <v>15600</v>
      </c>
      <c r="X744" s="111">
        <v>8090</v>
      </c>
      <c r="Y744" s="111">
        <v>12070</v>
      </c>
      <c r="Z744" s="112">
        <v>15</v>
      </c>
      <c r="AA744" s="112">
        <v>6</v>
      </c>
    </row>
    <row r="745" spans="1:27" ht="15.75">
      <c r="A745" s="99"/>
      <c r="B745" s="122"/>
      <c r="C745" s="57" t="s">
        <v>80</v>
      </c>
      <c r="D745">
        <v>25108.5</v>
      </c>
      <c r="E745">
        <v>24844.799999999999</v>
      </c>
      <c r="F745">
        <v>24868.22</v>
      </c>
      <c r="G745">
        <v>24817.74</v>
      </c>
      <c r="H745">
        <v>24994.48</v>
      </c>
      <c r="I745">
        <v>25178.78</v>
      </c>
      <c r="J745">
        <v>24862.22</v>
      </c>
      <c r="K745">
        <v>24778.42</v>
      </c>
      <c r="L745">
        <v>24828.25</v>
      </c>
      <c r="M745" s="16"/>
      <c r="N745" s="53"/>
      <c r="O745" s="53"/>
      <c r="P745" s="63"/>
      <c r="Q745" s="53"/>
      <c r="R745" s="64"/>
      <c r="S745" s="54"/>
      <c r="V745" s="32"/>
      <c r="W745" s="29"/>
    </row>
    <row r="746" spans="1:27">
      <c r="A746" s="100"/>
      <c r="B746" s="122"/>
      <c r="C746" s="57" t="s">
        <v>82</v>
      </c>
      <c r="D746" s="16">
        <f t="shared" ref="D746" si="276">IF(((D744="")*AND(D745="")),"",(D744-D745)*3)</f>
        <v>11443.259999999995</v>
      </c>
      <c r="E746" s="16">
        <f t="shared" ref="E746:L746" si="277">IF(((E744="")*AND(E745="")),"",(E744-E745)*3)</f>
        <v>11817.060000000001</v>
      </c>
      <c r="F746" s="16">
        <f t="shared" si="277"/>
        <v>11727</v>
      </c>
      <c r="G746" s="16">
        <f t="shared" si="277"/>
        <v>11847.419999999998</v>
      </c>
      <c r="H746" s="16">
        <f t="shared" si="277"/>
        <v>11653.77</v>
      </c>
      <c r="I746" s="16">
        <f t="shared" si="277"/>
        <v>11135.970000000005</v>
      </c>
      <c r="J746" s="16">
        <f t="shared" si="277"/>
        <v>11664.299999999996</v>
      </c>
      <c r="K746" s="16">
        <f t="shared" si="277"/>
        <v>11960.670000000009</v>
      </c>
      <c r="L746" s="16">
        <f t="shared" si="277"/>
        <v>12072.089999999997</v>
      </c>
      <c r="M746" s="16"/>
      <c r="N746" s="65"/>
      <c r="O746" s="65"/>
      <c r="P746" s="66"/>
      <c r="Q746" s="65"/>
      <c r="R746" s="67"/>
      <c r="S746" s="58"/>
      <c r="V746" s="33"/>
      <c r="W746" s="29"/>
    </row>
    <row r="747" spans="1:27" ht="15.75">
      <c r="A747" s="86">
        <v>43710</v>
      </c>
      <c r="B747" s="120" t="s">
        <v>348</v>
      </c>
      <c r="C747" s="57" t="s">
        <v>79</v>
      </c>
      <c r="D747">
        <v>29178.37</v>
      </c>
      <c r="E747">
        <v>29058.25</v>
      </c>
      <c r="F747">
        <v>29052.85</v>
      </c>
      <c r="G747">
        <v>29052.49</v>
      </c>
      <c r="H747">
        <v>29173.32</v>
      </c>
      <c r="I747">
        <v>29182</v>
      </c>
      <c r="J747">
        <v>29051.7</v>
      </c>
      <c r="K747">
        <v>29055.1</v>
      </c>
      <c r="L747">
        <v>29184.720000000001</v>
      </c>
      <c r="M747" s="16"/>
      <c r="N747" s="59">
        <f>IF((L748=""),"",MAX(D749:L749))</f>
        <v>10740.870000000003</v>
      </c>
      <c r="O747" s="59">
        <f>IF(L748="","",MIN(D749:L749))</f>
        <v>10302.600000000002</v>
      </c>
      <c r="P747" s="60">
        <f>IF((L749=""),"",AVERAGE(D749:L749))</f>
        <v>10599.553333333335</v>
      </c>
      <c r="Q747" s="156">
        <f>IF((L748=""),"",((N747-O747)/(N747+O747)*100))</f>
        <v>2.0826888341133869</v>
      </c>
      <c r="R747" s="61" t="str">
        <f>IF(L748="","",IF(Q747&lt;Z747,IF(O747&gt;V747,IF(N747&lt;W747,"PASS","FAIL"),"FAIL"),"FAIL"))</f>
        <v>PASS</v>
      </c>
      <c r="S747" s="62" t="s">
        <v>303</v>
      </c>
      <c r="T747" s="9" t="s">
        <v>304</v>
      </c>
      <c r="V747" s="110">
        <v>10000</v>
      </c>
      <c r="W747" s="110">
        <v>15600</v>
      </c>
      <c r="X747" s="111">
        <v>8090</v>
      </c>
      <c r="Y747" s="111">
        <v>12070</v>
      </c>
      <c r="Z747" s="112">
        <v>15</v>
      </c>
      <c r="AA747" s="112">
        <v>6</v>
      </c>
    </row>
    <row r="748" spans="1:27" ht="15.75">
      <c r="A748" s="99"/>
      <c r="B748" s="122"/>
      <c r="C748" s="57" t="s">
        <v>80</v>
      </c>
      <c r="D748">
        <v>25700.27</v>
      </c>
      <c r="E748">
        <v>25514.3</v>
      </c>
      <c r="F748">
        <v>25528.52</v>
      </c>
      <c r="G748">
        <v>25484.47</v>
      </c>
      <c r="H748">
        <v>25610.76</v>
      </c>
      <c r="I748">
        <v>25747.8</v>
      </c>
      <c r="J748">
        <v>25521.33</v>
      </c>
      <c r="K748">
        <v>25478.26</v>
      </c>
      <c r="L748">
        <v>25604.43</v>
      </c>
      <c r="M748" s="16"/>
      <c r="N748" s="53"/>
      <c r="O748" s="53"/>
      <c r="P748" s="63"/>
      <c r="Q748" s="53"/>
      <c r="R748" s="64"/>
      <c r="S748" s="54"/>
      <c r="V748" s="32"/>
      <c r="W748" s="29"/>
    </row>
    <row r="749" spans="1:27">
      <c r="A749" s="100"/>
      <c r="B749" s="122"/>
      <c r="C749" s="57" t="s">
        <v>82</v>
      </c>
      <c r="D749" s="16">
        <f t="shared" ref="D749:L749" si="278">IF(((D747="")*AND(D748="")),"",(D747-D748)*3)</f>
        <v>10434.299999999996</v>
      </c>
      <c r="E749" s="16">
        <f t="shared" si="278"/>
        <v>10631.850000000002</v>
      </c>
      <c r="F749" s="16">
        <f t="shared" si="278"/>
        <v>10572.989999999994</v>
      </c>
      <c r="G749" s="16">
        <f t="shared" si="278"/>
        <v>10704.060000000001</v>
      </c>
      <c r="H749" s="16">
        <f t="shared" si="278"/>
        <v>10687.680000000004</v>
      </c>
      <c r="I749" s="16">
        <f t="shared" si="278"/>
        <v>10302.600000000002</v>
      </c>
      <c r="J749" s="16">
        <f t="shared" si="278"/>
        <v>10591.109999999997</v>
      </c>
      <c r="K749" s="16">
        <f t="shared" si="278"/>
        <v>10730.52</v>
      </c>
      <c r="L749" s="16">
        <f t="shared" si="278"/>
        <v>10740.870000000003</v>
      </c>
      <c r="M749" s="16"/>
      <c r="N749" s="65"/>
      <c r="O749" s="65"/>
      <c r="P749" s="66"/>
      <c r="Q749" s="65"/>
      <c r="R749" s="67"/>
      <c r="S749" s="58"/>
      <c r="V749" s="33"/>
      <c r="W749" s="29"/>
    </row>
    <row r="750" spans="1:27" ht="15.75">
      <c r="A750" s="86">
        <v>43719</v>
      </c>
      <c r="B750" s="120" t="s">
        <v>348</v>
      </c>
      <c r="C750" s="57" t="s">
        <v>79</v>
      </c>
      <c r="D750">
        <v>29374.27</v>
      </c>
      <c r="E750">
        <v>29271.4</v>
      </c>
      <c r="F750">
        <v>29291.07</v>
      </c>
      <c r="G750">
        <v>29276.1</v>
      </c>
      <c r="H750">
        <v>29382.97</v>
      </c>
      <c r="I750">
        <v>29357.26</v>
      </c>
      <c r="J750">
        <v>29251.24</v>
      </c>
      <c r="K750">
        <v>29271.49</v>
      </c>
      <c r="L750">
        <v>29395.98</v>
      </c>
      <c r="M750" s="16"/>
      <c r="N750" s="59">
        <f>IF((L751=""),"",MAX(D752:L752))</f>
        <v>11454.240000000005</v>
      </c>
      <c r="O750" s="59">
        <f>IF(L751="","",MIN(D752:L752))</f>
        <v>10878.839999999997</v>
      </c>
      <c r="P750" s="60">
        <f>IF((L752=""),"",AVERAGE(D752:L752))</f>
        <v>11258.133333333335</v>
      </c>
      <c r="Q750" s="156">
        <f>IF((L751=""),"",((N750-O750)/(N750+O750)*100))</f>
        <v>2.5764471358182961</v>
      </c>
      <c r="R750" s="61" t="str">
        <f>IF(L751="","",IF(Q750&lt;Z750,IF(O750&gt;V750,IF(N750&lt;W750,"PASS","FAIL"),"FAIL"),"FAIL"))</f>
        <v>PASS</v>
      </c>
      <c r="S750" s="62">
        <v>1335</v>
      </c>
      <c r="T750" s="9" t="s">
        <v>306</v>
      </c>
      <c r="V750" s="110">
        <v>10000</v>
      </c>
      <c r="W750" s="110">
        <v>15600</v>
      </c>
      <c r="X750" s="111">
        <v>8090</v>
      </c>
      <c r="Y750" s="111">
        <v>12070</v>
      </c>
      <c r="Z750" s="112">
        <v>15</v>
      </c>
      <c r="AA750" s="112">
        <v>6</v>
      </c>
    </row>
    <row r="751" spans="1:27" ht="15.75">
      <c r="A751" s="99"/>
      <c r="B751" s="122"/>
      <c r="C751" s="57" t="s">
        <v>80</v>
      </c>
      <c r="D751">
        <v>25700.21</v>
      </c>
      <c r="E751">
        <v>25491.78</v>
      </c>
      <c r="F751">
        <v>25547.22</v>
      </c>
      <c r="G751">
        <v>25487.74</v>
      </c>
      <c r="H751">
        <v>25603.58</v>
      </c>
      <c r="I751">
        <v>25730.98</v>
      </c>
      <c r="J751">
        <v>25500.84</v>
      </c>
      <c r="K751">
        <v>25453.41</v>
      </c>
      <c r="L751">
        <v>25581.62</v>
      </c>
      <c r="M751" s="16"/>
      <c r="N751" s="53"/>
      <c r="O751" s="53"/>
      <c r="P751" s="63"/>
      <c r="Q751" s="53"/>
      <c r="R751" s="64"/>
      <c r="S751" s="54"/>
      <c r="V751" s="32"/>
      <c r="W751" s="29"/>
    </row>
    <row r="752" spans="1:27">
      <c r="A752" s="100"/>
      <c r="B752" s="122"/>
      <c r="C752" s="57" t="s">
        <v>82</v>
      </c>
      <c r="D752" s="16">
        <f t="shared" ref="D752:L752" si="279">IF(((D750="")*AND(D751="")),"",(D750-D751)*3)</f>
        <v>11022.180000000004</v>
      </c>
      <c r="E752" s="16">
        <f t="shared" si="279"/>
        <v>11338.860000000008</v>
      </c>
      <c r="F752" s="16">
        <f t="shared" si="279"/>
        <v>11231.549999999996</v>
      </c>
      <c r="G752" s="16">
        <f t="shared" si="279"/>
        <v>11365.079999999991</v>
      </c>
      <c r="H752" s="16">
        <f t="shared" si="279"/>
        <v>11338.169999999998</v>
      </c>
      <c r="I752" s="16">
        <f t="shared" si="279"/>
        <v>10878.839999999997</v>
      </c>
      <c r="J752" s="16">
        <f t="shared" si="279"/>
        <v>11251.200000000004</v>
      </c>
      <c r="K752" s="16">
        <f t="shared" si="279"/>
        <v>11454.240000000005</v>
      </c>
      <c r="L752" s="16">
        <f t="shared" si="279"/>
        <v>11443.080000000002</v>
      </c>
      <c r="M752" s="16"/>
      <c r="N752" s="65"/>
      <c r="O752" s="65"/>
      <c r="P752" s="66"/>
      <c r="Q752" s="65"/>
      <c r="R752" s="67"/>
      <c r="S752" s="58"/>
      <c r="V752" s="33"/>
      <c r="W752" s="29"/>
    </row>
    <row r="753" spans="1:27" ht="15.75">
      <c r="A753" s="86">
        <v>43724</v>
      </c>
      <c r="B753" s="120" t="s">
        <v>348</v>
      </c>
      <c r="C753" s="57" t="s">
        <v>79</v>
      </c>
      <c r="D753">
        <v>28888.68</v>
      </c>
      <c r="E753">
        <v>28755.85</v>
      </c>
      <c r="F753">
        <v>28738.1</v>
      </c>
      <c r="G753">
        <v>28733.23</v>
      </c>
      <c r="H753">
        <v>28869.439999999999</v>
      </c>
      <c r="I753">
        <v>28841.8</v>
      </c>
      <c r="J753">
        <v>28732.23</v>
      </c>
      <c r="K753">
        <v>28729.31</v>
      </c>
      <c r="L753">
        <v>28850.84</v>
      </c>
      <c r="M753" s="16"/>
      <c r="N753" s="59">
        <f>IF((L754=""),"",MAX(D755:L755))</f>
        <v>10458.359999999997</v>
      </c>
      <c r="O753" s="59">
        <f>IF(L754="","",MIN(D755:L755))</f>
        <v>9778.02</v>
      </c>
      <c r="P753" s="60">
        <f>IF((L755=""),"",AVERAGE(D755:L755))</f>
        <v>10231.886666666665</v>
      </c>
      <c r="Q753" s="156">
        <f>IF((L754=""),"",((N753-O753)/(N753+O753)*100))</f>
        <v>3.3619649364164768</v>
      </c>
      <c r="R753" s="61" t="str">
        <f>IF(L754="","",IF(Q753&lt;Z753,IF(O753&gt;V753,IF(N753&lt;W753,"PASS","FAIL"),"FAIL"),"FAIL"))</f>
        <v>FAIL</v>
      </c>
      <c r="S753" s="62" t="s">
        <v>307</v>
      </c>
      <c r="T753" s="9" t="s">
        <v>308</v>
      </c>
      <c r="V753" s="110">
        <v>10000</v>
      </c>
      <c r="W753" s="110">
        <v>15600</v>
      </c>
      <c r="X753" s="111">
        <v>8090</v>
      </c>
      <c r="Y753" s="111">
        <v>12070</v>
      </c>
      <c r="Z753" s="112">
        <v>15</v>
      </c>
      <c r="AA753" s="112">
        <v>6</v>
      </c>
    </row>
    <row r="754" spans="1:27" ht="15.75">
      <c r="A754" s="99"/>
      <c r="B754" s="122"/>
      <c r="C754" s="57" t="s">
        <v>80</v>
      </c>
      <c r="D754">
        <v>25538.57</v>
      </c>
      <c r="E754">
        <v>25311.72</v>
      </c>
      <c r="F754">
        <v>25326.46</v>
      </c>
      <c r="G754">
        <v>25289.75</v>
      </c>
      <c r="H754">
        <v>25451.96</v>
      </c>
      <c r="I754">
        <v>25582.46</v>
      </c>
      <c r="J754">
        <v>25325.05</v>
      </c>
      <c r="K754">
        <v>25253.13</v>
      </c>
      <c r="L754">
        <v>25364.720000000001</v>
      </c>
      <c r="M754" s="16"/>
      <c r="N754" s="53"/>
      <c r="O754" s="53"/>
      <c r="P754" s="63"/>
      <c r="Q754" s="53"/>
      <c r="R754" s="64"/>
      <c r="S754" s="54"/>
      <c r="V754" s="32"/>
      <c r="W754" s="29"/>
    </row>
    <row r="755" spans="1:27">
      <c r="A755" s="100"/>
      <c r="B755" s="122"/>
      <c r="C755" s="57" t="s">
        <v>82</v>
      </c>
      <c r="D755" s="16">
        <f t="shared" ref="D755:L755" si="280">IF(((D753="")*AND(D754="")),"",(D753-D754)*3)</f>
        <v>10050.330000000002</v>
      </c>
      <c r="E755" s="16">
        <f t="shared" si="280"/>
        <v>10332.389999999992</v>
      </c>
      <c r="F755" s="16">
        <f t="shared" si="280"/>
        <v>10234.919999999998</v>
      </c>
      <c r="G755" s="16">
        <f t="shared" si="280"/>
        <v>10330.439999999999</v>
      </c>
      <c r="H755" s="16">
        <f t="shared" si="280"/>
        <v>10252.439999999999</v>
      </c>
      <c r="I755" s="16">
        <f t="shared" si="280"/>
        <v>9778.02</v>
      </c>
      <c r="J755" s="16">
        <f t="shared" si="280"/>
        <v>10221.540000000001</v>
      </c>
      <c r="K755" s="16">
        <f t="shared" si="280"/>
        <v>10428.540000000001</v>
      </c>
      <c r="L755" s="16">
        <f t="shared" si="280"/>
        <v>10458.359999999997</v>
      </c>
      <c r="M755" s="16"/>
      <c r="N755" s="65"/>
      <c r="O755" s="65"/>
      <c r="P755" s="66"/>
      <c r="Q755" s="65"/>
      <c r="R755" s="67"/>
      <c r="S755" s="58"/>
      <c r="V755" s="33"/>
      <c r="W755" s="29"/>
    </row>
    <row r="756" spans="1:27" ht="15.75">
      <c r="A756" s="86">
        <v>43728</v>
      </c>
      <c r="B756" s="120" t="s">
        <v>348</v>
      </c>
      <c r="C756" s="57" t="s">
        <v>79</v>
      </c>
      <c r="D756">
        <v>29026.240000000002</v>
      </c>
      <c r="E756">
        <v>28927.18</v>
      </c>
      <c r="F756">
        <v>28944.87</v>
      </c>
      <c r="G756">
        <v>28923</v>
      </c>
      <c r="H756">
        <v>29044.2</v>
      </c>
      <c r="I756">
        <v>29025.33</v>
      </c>
      <c r="J756">
        <v>28908.639999999999</v>
      </c>
      <c r="K756">
        <v>28913.33</v>
      </c>
      <c r="L756">
        <v>29048.58</v>
      </c>
      <c r="M756" s="16"/>
      <c r="N756" s="59">
        <f>IF((L757=""),"",MAX(D758:L758))</f>
        <v>11178.509999999995</v>
      </c>
      <c r="O756" s="59">
        <f>IF(L757="","",MIN(D758:L758))</f>
        <v>10677.930000000004</v>
      </c>
      <c r="P756" s="60">
        <f>IF((L758=""),"",AVERAGE(D758:L758))</f>
        <v>11021.903333333334</v>
      </c>
      <c r="Q756" s="156">
        <f>IF((L757=""),"",((N756-O756)/(N756+O756)*100))</f>
        <v>2.2903089432679375</v>
      </c>
      <c r="R756" s="61" t="str">
        <f>IF(L757="","",IF(Q756&lt;Z756,IF(O756&gt;V756,IF(N756&lt;W756,"PASS","FAIL"),"FAIL"),"FAIL"))</f>
        <v>PASS</v>
      </c>
      <c r="S756" s="62">
        <v>1159</v>
      </c>
      <c r="T756" s="9" t="s">
        <v>310</v>
      </c>
      <c r="V756" s="110">
        <v>10000</v>
      </c>
      <c r="W756" s="110">
        <v>15600</v>
      </c>
      <c r="X756" s="111">
        <v>8090</v>
      </c>
      <c r="Y756" s="111">
        <v>12070</v>
      </c>
      <c r="Z756" s="112">
        <v>15</v>
      </c>
      <c r="AA756" s="112">
        <v>6</v>
      </c>
    </row>
    <row r="757" spans="1:27" ht="15.75">
      <c r="A757" s="99"/>
      <c r="B757" s="122"/>
      <c r="C757" s="57" t="s">
        <v>80</v>
      </c>
      <c r="D757">
        <v>25441.279999999999</v>
      </c>
      <c r="E757">
        <v>25228.19</v>
      </c>
      <c r="F757">
        <v>25266.33</v>
      </c>
      <c r="G757">
        <v>25196.83</v>
      </c>
      <c r="H757">
        <v>25353.040000000001</v>
      </c>
      <c r="I757">
        <v>25466.02</v>
      </c>
      <c r="J757">
        <v>25222.81</v>
      </c>
      <c r="K757">
        <v>25193.98</v>
      </c>
      <c r="L757">
        <v>25327.18</v>
      </c>
      <c r="M757" s="16"/>
      <c r="N757" s="53"/>
      <c r="O757" s="53"/>
      <c r="P757" s="63"/>
      <c r="Q757" s="53"/>
      <c r="R757" s="64"/>
      <c r="S757" s="54"/>
      <c r="V757" s="32"/>
      <c r="W757" s="29"/>
    </row>
    <row r="758" spans="1:27">
      <c r="A758" s="100"/>
      <c r="B758" s="122"/>
      <c r="C758" s="57" t="s">
        <v>82</v>
      </c>
      <c r="D758" s="16">
        <f t="shared" ref="D758:L758" si="281">IF(((D756="")*AND(D757="")),"",(D756-D757)*3)</f>
        <v>10754.880000000008</v>
      </c>
      <c r="E758" s="16">
        <f t="shared" si="281"/>
        <v>11096.970000000005</v>
      </c>
      <c r="F758" s="16">
        <f t="shared" si="281"/>
        <v>11035.619999999992</v>
      </c>
      <c r="G758" s="16">
        <f t="shared" si="281"/>
        <v>11178.509999999995</v>
      </c>
      <c r="H758" s="16">
        <f t="shared" si="281"/>
        <v>11073.48</v>
      </c>
      <c r="I758" s="16">
        <f t="shared" si="281"/>
        <v>10677.930000000004</v>
      </c>
      <c r="J758" s="16">
        <f t="shared" si="281"/>
        <v>11057.489999999994</v>
      </c>
      <c r="K758" s="16">
        <f t="shared" si="281"/>
        <v>11158.050000000007</v>
      </c>
      <c r="L758" s="16">
        <f t="shared" si="281"/>
        <v>11164.200000000004</v>
      </c>
      <c r="M758" s="16"/>
      <c r="N758" s="65"/>
      <c r="O758" s="65"/>
      <c r="P758" s="66"/>
      <c r="Q758" s="65"/>
      <c r="R758" s="67"/>
      <c r="S758" s="58"/>
      <c r="V758" s="33"/>
      <c r="W758" s="29"/>
    </row>
    <row r="759" spans="1:27" ht="15.75">
      <c r="A759" s="86">
        <v>43733</v>
      </c>
      <c r="B759" s="120" t="s">
        <v>348</v>
      </c>
      <c r="C759" s="57" t="s">
        <v>79</v>
      </c>
      <c r="D759" s="109">
        <v>28801.79</v>
      </c>
      <c r="E759" s="109">
        <v>28740.44</v>
      </c>
      <c r="F759" s="109">
        <v>28756.3</v>
      </c>
      <c r="G759" s="109">
        <v>28729.94</v>
      </c>
      <c r="H759" s="109">
        <v>28814.22</v>
      </c>
      <c r="I759" s="109">
        <v>28892.21</v>
      </c>
      <c r="J759" s="109">
        <v>28732.26</v>
      </c>
      <c r="K759" s="109">
        <v>28722.19</v>
      </c>
      <c r="L759" s="109">
        <v>28843.200000000001</v>
      </c>
      <c r="M759" s="16"/>
      <c r="N759" s="59">
        <f>IF((L760=""),"",MAX(D761:L761))</f>
        <v>9602.1299999999974</v>
      </c>
      <c r="O759" s="59">
        <f>IF(L760="","",MIN(D761:L761))</f>
        <v>8926.0500000000065</v>
      </c>
      <c r="P759" s="60">
        <f>IF((L761=""),"",AVERAGE(D761:L761))</f>
        <v>9344.1566666666658</v>
      </c>
      <c r="Q759" s="156">
        <f>IF((L760=""),"",((N759-O759)/(N759+O759)*100))</f>
        <v>3.6489282811371151</v>
      </c>
      <c r="R759" s="61" t="str">
        <f>IF(L760="","",IF(Q759&lt;Z759,IF(O759&gt;V759,IF(N759&lt;W759,"PASS","FAIL"),"FAIL"),"FAIL"))</f>
        <v>FAIL</v>
      </c>
      <c r="S759" s="62">
        <v>1428</v>
      </c>
      <c r="V759" s="110">
        <v>10000</v>
      </c>
      <c r="W759" s="110">
        <v>15600</v>
      </c>
      <c r="X759" s="111">
        <v>8090</v>
      </c>
      <c r="Y759" s="111">
        <v>12070</v>
      </c>
      <c r="Z759" s="112">
        <v>15</v>
      </c>
      <c r="AA759" s="112">
        <v>6</v>
      </c>
    </row>
    <row r="760" spans="1:27" ht="15.75">
      <c r="A760" s="99"/>
      <c r="B760" s="122"/>
      <c r="C760" s="57" t="s">
        <v>80</v>
      </c>
      <c r="D760" s="109">
        <v>25623.91</v>
      </c>
      <c r="E760" s="109">
        <v>25574.99</v>
      </c>
      <c r="F760" s="109">
        <v>25650.18</v>
      </c>
      <c r="G760" s="109">
        <v>25609.19</v>
      </c>
      <c r="H760" s="109">
        <v>25783.78</v>
      </c>
      <c r="I760" s="109">
        <v>25691.5</v>
      </c>
      <c r="J760" s="109">
        <v>25571.18</v>
      </c>
      <c r="K760" s="109">
        <v>25627.5</v>
      </c>
      <c r="L760" s="109">
        <v>25867.85</v>
      </c>
      <c r="M760" s="16"/>
      <c r="N760" s="53"/>
      <c r="O760" s="53"/>
      <c r="P760" s="63"/>
      <c r="Q760" s="53"/>
      <c r="R760" s="64"/>
      <c r="S760" s="54"/>
      <c r="V760" s="32"/>
      <c r="W760" s="29"/>
    </row>
    <row r="761" spans="1:27">
      <c r="A761" s="100"/>
      <c r="B761" s="122"/>
      <c r="C761" s="57" t="s">
        <v>82</v>
      </c>
      <c r="D761" s="16">
        <f t="shared" ref="D761:L761" si="282">IF(((D759="")*AND(D760="")),"",(D759-D760)*3)</f>
        <v>9533.6400000000031</v>
      </c>
      <c r="E761" s="16">
        <f t="shared" si="282"/>
        <v>9496.3499999999913</v>
      </c>
      <c r="F761" s="16">
        <f t="shared" si="282"/>
        <v>9318.3599999999969</v>
      </c>
      <c r="G761" s="16">
        <f t="shared" si="282"/>
        <v>9362.25</v>
      </c>
      <c r="H761" s="16">
        <f t="shared" si="282"/>
        <v>9091.320000000007</v>
      </c>
      <c r="I761" s="16">
        <f t="shared" si="282"/>
        <v>9602.1299999999974</v>
      </c>
      <c r="J761" s="16">
        <f t="shared" si="282"/>
        <v>9483.2399999999943</v>
      </c>
      <c r="K761" s="16">
        <f t="shared" si="282"/>
        <v>9284.0699999999961</v>
      </c>
      <c r="L761" s="16">
        <f t="shared" si="282"/>
        <v>8926.0500000000065</v>
      </c>
      <c r="M761" s="16"/>
      <c r="N761" s="65"/>
      <c r="O761" s="65"/>
      <c r="P761" s="66"/>
      <c r="Q761" s="65"/>
      <c r="R761" s="67"/>
      <c r="S761" s="58"/>
      <c r="V761" s="33"/>
      <c r="W761" s="29"/>
    </row>
    <row r="762" spans="1:27" ht="15.75">
      <c r="A762" s="86">
        <v>43734</v>
      </c>
      <c r="B762" s="120" t="s">
        <v>348</v>
      </c>
      <c r="C762" s="57" t="s">
        <v>79</v>
      </c>
      <c r="D762">
        <v>28809.27</v>
      </c>
      <c r="E762">
        <v>28737.34</v>
      </c>
      <c r="F762">
        <v>28750.79</v>
      </c>
      <c r="G762">
        <v>28724.959999999999</v>
      </c>
      <c r="H762">
        <v>28822.53</v>
      </c>
      <c r="I762">
        <v>28889</v>
      </c>
      <c r="J762">
        <v>28735.4</v>
      </c>
      <c r="K762">
        <v>28720.75</v>
      </c>
      <c r="L762">
        <v>28849.09</v>
      </c>
      <c r="M762" s="16"/>
      <c r="N762" s="59">
        <f>IF((L763=""),"",MAX(D764:L764))</f>
        <v>10568.879999999997</v>
      </c>
      <c r="O762" s="59">
        <f>IF(L763="","",MIN(D764:L764))</f>
        <v>9864.4199999999983</v>
      </c>
      <c r="P762" s="60">
        <f>IF((L764=""),"",AVERAGE(D764:L764))</f>
        <v>10399.41</v>
      </c>
      <c r="Q762" s="156">
        <f>IF((L763=""),"",((N762-O762)/(N762+O762)*100))</f>
        <v>3.4476075817415652</v>
      </c>
      <c r="R762" s="61" t="str">
        <f>IF(L763="","",IF(Q762&lt;Z762,IF(O762&gt;V762,IF(N762&lt;W762,"PASS","FAIL"),"FAIL"),"FAIL"))</f>
        <v>FAIL</v>
      </c>
      <c r="S762" s="62">
        <v>1159</v>
      </c>
      <c r="T762" s="9" t="s">
        <v>314</v>
      </c>
      <c r="V762" s="110">
        <v>10000</v>
      </c>
      <c r="W762" s="110">
        <v>15600</v>
      </c>
      <c r="X762" s="111">
        <v>8090</v>
      </c>
      <c r="Y762" s="111">
        <v>12070</v>
      </c>
      <c r="Z762" s="112">
        <v>15</v>
      </c>
      <c r="AA762" s="112">
        <v>6</v>
      </c>
    </row>
    <row r="763" spans="1:27" ht="15.75">
      <c r="A763" s="99"/>
      <c r="B763" s="122"/>
      <c r="C763" s="57" t="s">
        <v>80</v>
      </c>
      <c r="D763">
        <v>25359.65</v>
      </c>
      <c r="E763">
        <v>25244.51</v>
      </c>
      <c r="F763">
        <v>25271.88</v>
      </c>
      <c r="G763">
        <v>25234.12</v>
      </c>
      <c r="H763">
        <v>25315.48</v>
      </c>
      <c r="I763">
        <v>25600.86</v>
      </c>
      <c r="J763">
        <v>25287.71</v>
      </c>
      <c r="K763">
        <v>25200.560000000001</v>
      </c>
      <c r="L763">
        <v>25326.13</v>
      </c>
      <c r="M763" s="16"/>
      <c r="N763" s="53"/>
      <c r="O763" s="53"/>
      <c r="P763" s="63"/>
      <c r="Q763" s="53"/>
      <c r="R763" s="64"/>
      <c r="S763" s="54"/>
      <c r="V763" s="32"/>
      <c r="W763" s="29"/>
    </row>
    <row r="764" spans="1:27">
      <c r="A764" s="100"/>
      <c r="B764" s="122"/>
      <c r="C764" s="57" t="s">
        <v>82</v>
      </c>
      <c r="D764" s="16">
        <f t="shared" ref="D764:L764" si="283">IF(((D762="")*AND(D763="")),"",(D762-D763)*3)</f>
        <v>10348.859999999997</v>
      </c>
      <c r="E764" s="16">
        <f t="shared" si="283"/>
        <v>10478.490000000005</v>
      </c>
      <c r="F764" s="16">
        <f t="shared" si="283"/>
        <v>10436.73</v>
      </c>
      <c r="G764" s="16">
        <f t="shared" si="283"/>
        <v>10472.52</v>
      </c>
      <c r="H764" s="16">
        <f t="shared" si="283"/>
        <v>10521.149999999998</v>
      </c>
      <c r="I764" s="16">
        <f t="shared" si="283"/>
        <v>9864.4199999999983</v>
      </c>
      <c r="J764" s="16">
        <f t="shared" si="283"/>
        <v>10343.070000000007</v>
      </c>
      <c r="K764" s="16">
        <f t="shared" si="283"/>
        <v>10560.569999999996</v>
      </c>
      <c r="L764" s="16">
        <f t="shared" si="283"/>
        <v>10568.879999999997</v>
      </c>
      <c r="M764" s="16"/>
      <c r="N764" s="65"/>
      <c r="O764" s="65"/>
      <c r="P764" s="66"/>
      <c r="Q764" s="65"/>
      <c r="R764" s="67"/>
      <c r="S764" s="58"/>
      <c r="V764" s="33"/>
      <c r="W764" s="29"/>
    </row>
    <row r="765" spans="1:27" ht="15.75">
      <c r="A765" s="86">
        <v>43739</v>
      </c>
      <c r="B765" s="120" t="s">
        <v>348</v>
      </c>
      <c r="C765" s="57" t="s">
        <v>79</v>
      </c>
      <c r="D765" s="109">
        <v>28794.639999999999</v>
      </c>
      <c r="E765" s="109">
        <v>28708.74</v>
      </c>
      <c r="F765" s="109">
        <v>28731.66</v>
      </c>
      <c r="G765" s="109">
        <v>28712.16</v>
      </c>
      <c r="H765" s="109">
        <v>28839.4</v>
      </c>
      <c r="I765" s="109">
        <v>28822.58</v>
      </c>
      <c r="J765" s="109">
        <v>28719.46</v>
      </c>
      <c r="K765" s="109">
        <v>28697.52</v>
      </c>
      <c r="L765" s="109">
        <v>28799.49</v>
      </c>
      <c r="M765" s="16"/>
      <c r="N765" s="59">
        <f>IF((L766=""),"",MAX(D767:L767))</f>
        <v>10224.27</v>
      </c>
      <c r="O765" s="59">
        <f>IF(L766="","",MIN(D767:L767))</f>
        <v>9738.48</v>
      </c>
      <c r="P765" s="60">
        <f>IF((L767=""),"",AVERAGE(D767:L767))</f>
        <v>9967.2266666666692</v>
      </c>
      <c r="Q765" s="156">
        <f>IF((L766=""),"",((N765-O765)/(N765+O765)*100))</f>
        <v>2.4334823608971754</v>
      </c>
      <c r="R765" s="61" t="str">
        <f>IF(L766="","",IF(Q765&lt;Z765,IF(O765&gt;V765,IF(N765&lt;W765,"PASS","FAIL"),"FAIL"),"FAIL"))</f>
        <v>FAIL</v>
      </c>
      <c r="S765" s="62">
        <v>64</v>
      </c>
      <c r="T765" s="9" t="s">
        <v>315</v>
      </c>
      <c r="V765" s="110">
        <v>10000</v>
      </c>
      <c r="W765" s="110">
        <v>15600</v>
      </c>
      <c r="X765" s="111">
        <v>8090</v>
      </c>
      <c r="Y765" s="111">
        <v>12070</v>
      </c>
      <c r="Z765" s="112">
        <v>15</v>
      </c>
      <c r="AA765" s="112">
        <v>6</v>
      </c>
    </row>
    <row r="766" spans="1:27" ht="15.75">
      <c r="A766" s="99"/>
      <c r="B766" s="122"/>
      <c r="C766" s="57" t="s">
        <v>80</v>
      </c>
      <c r="D766" s="109">
        <v>25453.21</v>
      </c>
      <c r="E766" s="109">
        <v>25395.64</v>
      </c>
      <c r="F766" s="109">
        <v>25419.45</v>
      </c>
      <c r="G766" s="109">
        <v>25411.56</v>
      </c>
      <c r="H766" s="109">
        <v>25593.24</v>
      </c>
      <c r="I766" s="109">
        <v>25471.19</v>
      </c>
      <c r="J766" s="109">
        <v>25389.55</v>
      </c>
      <c r="K766" s="109">
        <v>25398.73</v>
      </c>
      <c r="L766" s="109">
        <v>25391.4</v>
      </c>
      <c r="M766" s="16"/>
      <c r="N766" s="53"/>
      <c r="O766" s="53"/>
      <c r="P766" s="63"/>
      <c r="Q766" s="53"/>
      <c r="R766" s="64"/>
      <c r="S766" s="54"/>
      <c r="V766" s="32"/>
      <c r="W766" s="29"/>
    </row>
    <row r="767" spans="1:27">
      <c r="A767" s="100"/>
      <c r="B767" s="122"/>
      <c r="C767" s="57" t="s">
        <v>82</v>
      </c>
      <c r="D767" s="16">
        <f t="shared" ref="D767:L767" si="284">IF(((D765="")*AND(D766="")),"",(D765-D766)*3)</f>
        <v>10024.290000000001</v>
      </c>
      <c r="E767" s="16">
        <f t="shared" si="284"/>
        <v>9939.3000000000065</v>
      </c>
      <c r="F767" s="16">
        <f t="shared" si="284"/>
        <v>9936.6299999999974</v>
      </c>
      <c r="G767" s="16">
        <f t="shared" si="284"/>
        <v>9901.7999999999956</v>
      </c>
      <c r="H767" s="16">
        <f t="shared" si="284"/>
        <v>9738.48</v>
      </c>
      <c r="I767" s="16">
        <f t="shared" si="284"/>
        <v>10054.170000000009</v>
      </c>
      <c r="J767" s="16">
        <f t="shared" si="284"/>
        <v>9989.73</v>
      </c>
      <c r="K767" s="16">
        <f t="shared" si="284"/>
        <v>9896.3700000000026</v>
      </c>
      <c r="L767" s="16">
        <f t="shared" si="284"/>
        <v>10224.27</v>
      </c>
      <c r="M767" s="16"/>
      <c r="N767" s="65"/>
      <c r="O767" s="65"/>
      <c r="P767" s="66"/>
      <c r="Q767" s="65"/>
      <c r="R767" s="67"/>
      <c r="S767" s="58"/>
      <c r="V767" s="33"/>
      <c r="W767" s="29"/>
    </row>
    <row r="768" spans="1:27" ht="15.75">
      <c r="A768" s="86">
        <v>43742</v>
      </c>
      <c r="B768" s="120" t="s">
        <v>348</v>
      </c>
      <c r="C768" s="57" t="s">
        <v>79</v>
      </c>
      <c r="D768">
        <v>29004.84</v>
      </c>
      <c r="E768">
        <v>28896</v>
      </c>
      <c r="F768">
        <v>28866.47</v>
      </c>
      <c r="G768">
        <v>28887.74</v>
      </c>
      <c r="H768">
        <v>28992.85</v>
      </c>
      <c r="I768">
        <v>29030</v>
      </c>
      <c r="J768">
        <v>28877.33</v>
      </c>
      <c r="K768">
        <v>28873.66</v>
      </c>
      <c r="L768">
        <v>29010.71</v>
      </c>
      <c r="M768" s="16"/>
      <c r="N768" s="59">
        <f>IF((L769=""),"",MAX(D770:L770))</f>
        <v>10987.740000000005</v>
      </c>
      <c r="O768" s="59">
        <f>IF(L769="","",MIN(D770:L770))</f>
        <v>10603.409999999993</v>
      </c>
      <c r="P768" s="60">
        <f>IF((L770=""),"",AVERAGE(D770:L770))</f>
        <v>10838.46</v>
      </c>
      <c r="Q768" s="156">
        <f>IF((L769=""),"",((N768-O768)/(N768+O768)*100))</f>
        <v>1.7800348754003963</v>
      </c>
      <c r="R768" s="61" t="str">
        <f>IF(L769="","",IF(Q768&lt;Z768,IF(O768&gt;V768,IF(N768&lt;W768,"PASS","FAIL"),"FAIL"),"FAIL"))</f>
        <v>PASS</v>
      </c>
      <c r="S768" s="62">
        <v>121</v>
      </c>
      <c r="T768" s="9" t="s">
        <v>317</v>
      </c>
      <c r="V768" s="110">
        <v>10000</v>
      </c>
      <c r="W768" s="110">
        <v>15600</v>
      </c>
      <c r="X768" s="111">
        <v>8090</v>
      </c>
      <c r="Y768" s="111">
        <v>12070</v>
      </c>
      <c r="Z768" s="112">
        <v>15</v>
      </c>
      <c r="AA768" s="112">
        <v>6</v>
      </c>
    </row>
    <row r="769" spans="1:27" ht="15.75">
      <c r="A769" s="99"/>
      <c r="B769" s="122"/>
      <c r="C769" s="57" t="s">
        <v>80</v>
      </c>
      <c r="D769">
        <v>25352.2</v>
      </c>
      <c r="E769">
        <v>25245.83</v>
      </c>
      <c r="F769">
        <v>25275.78</v>
      </c>
      <c r="G769">
        <v>25277.41</v>
      </c>
      <c r="H769">
        <v>25430.13</v>
      </c>
      <c r="I769">
        <v>25367.42</v>
      </c>
      <c r="J769">
        <v>25238.240000000002</v>
      </c>
      <c r="K769">
        <v>25260.97</v>
      </c>
      <c r="L769">
        <v>25476.240000000002</v>
      </c>
      <c r="M769" s="16"/>
      <c r="N769" s="53"/>
      <c r="O769" s="53"/>
      <c r="P769" s="63"/>
      <c r="Q769" s="53"/>
      <c r="R769" s="64"/>
      <c r="S769" s="54"/>
      <c r="V769" s="32"/>
      <c r="W769" s="29"/>
    </row>
    <row r="770" spans="1:27">
      <c r="A770" s="100"/>
      <c r="B770" s="122"/>
      <c r="C770" s="57" t="s">
        <v>82</v>
      </c>
      <c r="D770" s="16">
        <f t="shared" ref="D770:L770" si="285">IF(((D768="")*AND(D769="")),"",(D768-D769)*3)</f>
        <v>10957.919999999998</v>
      </c>
      <c r="E770" s="16">
        <f t="shared" si="285"/>
        <v>10950.509999999995</v>
      </c>
      <c r="F770" s="16">
        <f t="shared" si="285"/>
        <v>10772.070000000007</v>
      </c>
      <c r="G770" s="16">
        <f t="shared" si="285"/>
        <v>10830.990000000005</v>
      </c>
      <c r="H770" s="16">
        <f t="shared" si="285"/>
        <v>10688.159999999993</v>
      </c>
      <c r="I770" s="16">
        <f t="shared" si="285"/>
        <v>10987.740000000005</v>
      </c>
      <c r="J770" s="16">
        <f t="shared" si="285"/>
        <v>10917.27</v>
      </c>
      <c r="K770" s="16">
        <f t="shared" si="285"/>
        <v>10838.069999999996</v>
      </c>
      <c r="L770" s="16">
        <f t="shared" si="285"/>
        <v>10603.409999999993</v>
      </c>
      <c r="M770" s="16"/>
      <c r="N770" s="65"/>
      <c r="O770" s="65"/>
      <c r="P770" s="66"/>
      <c r="Q770" s="65"/>
      <c r="R770" s="67"/>
      <c r="S770" s="58"/>
      <c r="V770" s="33"/>
      <c r="W770" s="29"/>
    </row>
    <row r="771" spans="1:27" ht="15.75">
      <c r="A771" s="86">
        <v>43747</v>
      </c>
      <c r="B771" s="120" t="s">
        <v>348</v>
      </c>
      <c r="C771" s="57" t="s">
        <v>79</v>
      </c>
      <c r="D771">
        <v>29307.26</v>
      </c>
      <c r="E771">
        <v>29162.31</v>
      </c>
      <c r="F771">
        <v>29137.71</v>
      </c>
      <c r="G771">
        <v>29133.7</v>
      </c>
      <c r="H771">
        <v>29224.7</v>
      </c>
      <c r="I771">
        <v>29246.3</v>
      </c>
      <c r="J771">
        <v>29135.01</v>
      </c>
      <c r="K771">
        <v>29152.34</v>
      </c>
      <c r="L771">
        <v>29264.959999999999</v>
      </c>
      <c r="M771" s="16"/>
      <c r="N771" s="59">
        <f>IF((L772=""),"",MAX(D773:L773))</f>
        <v>11555.25</v>
      </c>
      <c r="O771" s="59">
        <f>IF(L772="","",MIN(D773:L773))</f>
        <v>10998.359999999997</v>
      </c>
      <c r="P771" s="60">
        <f>IF((L773=""),"",AVERAGE(D773:L773))</f>
        <v>11357.400000000001</v>
      </c>
      <c r="Q771" s="156">
        <f>IF((L772=""),"",((N771-O771)/(N771+O771)*100))</f>
        <v>2.4691834256245588</v>
      </c>
      <c r="R771" s="61" t="str">
        <f>IF(L772="","",IF(Q771&lt;Z771,IF(O771&gt;V771,IF(N771&lt;W771,"PASS","FAIL"),"FAIL"),"FAIL"))</f>
        <v>PASS</v>
      </c>
      <c r="S771" s="62">
        <v>1335</v>
      </c>
      <c r="T771" s="9" t="s">
        <v>318</v>
      </c>
      <c r="V771" s="110">
        <v>10000</v>
      </c>
      <c r="W771" s="110">
        <v>15600</v>
      </c>
      <c r="X771" s="111">
        <v>8090</v>
      </c>
      <c r="Y771" s="111">
        <v>12070</v>
      </c>
      <c r="Z771" s="112">
        <v>15</v>
      </c>
      <c r="AA771" s="112">
        <v>6</v>
      </c>
    </row>
    <row r="772" spans="1:27" ht="15.75">
      <c r="A772" s="99"/>
      <c r="B772" s="122"/>
      <c r="C772" s="57" t="s">
        <v>80</v>
      </c>
      <c r="D772">
        <v>25476.55</v>
      </c>
      <c r="E772">
        <v>25316.85</v>
      </c>
      <c r="F772">
        <v>25355.759999999998</v>
      </c>
      <c r="G772">
        <v>25348.6</v>
      </c>
      <c r="H772">
        <v>25550.71</v>
      </c>
      <c r="I772">
        <v>25415.67</v>
      </c>
      <c r="J772">
        <v>25283.26</v>
      </c>
      <c r="K772">
        <v>25345.85</v>
      </c>
      <c r="L772">
        <v>25598.84</v>
      </c>
      <c r="M772" s="16"/>
      <c r="N772" s="53"/>
      <c r="O772" s="53"/>
      <c r="P772" s="63"/>
      <c r="Q772" s="53"/>
      <c r="R772" s="64"/>
      <c r="S772" s="54"/>
      <c r="V772" s="32"/>
      <c r="W772" s="29"/>
    </row>
    <row r="773" spans="1:27">
      <c r="A773" s="100"/>
      <c r="B773" s="122"/>
      <c r="C773" s="57" t="s">
        <v>82</v>
      </c>
      <c r="D773" s="16">
        <f t="shared" ref="D773:L773" si="286">IF(((D771="")*AND(D772="")),"",(D771-D772)*3)</f>
        <v>11492.129999999997</v>
      </c>
      <c r="E773" s="16">
        <f t="shared" si="286"/>
        <v>11536.380000000008</v>
      </c>
      <c r="F773" s="16">
        <f t="shared" si="286"/>
        <v>11345.850000000002</v>
      </c>
      <c r="G773" s="16">
        <f t="shared" si="286"/>
        <v>11355.300000000007</v>
      </c>
      <c r="H773" s="16">
        <f t="shared" si="286"/>
        <v>11021.970000000005</v>
      </c>
      <c r="I773" s="16">
        <f t="shared" si="286"/>
        <v>11491.890000000003</v>
      </c>
      <c r="J773" s="16">
        <f t="shared" si="286"/>
        <v>11555.25</v>
      </c>
      <c r="K773" s="16">
        <f t="shared" si="286"/>
        <v>11419.470000000005</v>
      </c>
      <c r="L773" s="16">
        <f t="shared" si="286"/>
        <v>10998.359999999997</v>
      </c>
      <c r="M773" s="16"/>
      <c r="N773" s="65"/>
      <c r="O773" s="65"/>
      <c r="P773" s="66"/>
      <c r="Q773" s="65"/>
      <c r="R773" s="67"/>
      <c r="S773" s="58"/>
      <c r="V773" s="33"/>
      <c r="W773" s="29"/>
    </row>
    <row r="774" spans="1:27" ht="15.75">
      <c r="A774" s="86">
        <v>43753</v>
      </c>
      <c r="B774" s="120" t="s">
        <v>348</v>
      </c>
      <c r="C774" s="57" t="s">
        <v>79</v>
      </c>
      <c r="D774">
        <v>29422.98</v>
      </c>
      <c r="E774">
        <v>29315.32</v>
      </c>
      <c r="F774">
        <v>29304.93</v>
      </c>
      <c r="G774">
        <v>29298.97</v>
      </c>
      <c r="H774">
        <v>29410.28</v>
      </c>
      <c r="I774">
        <v>29377.15</v>
      </c>
      <c r="J774">
        <v>29275.96</v>
      </c>
      <c r="K774">
        <v>29303.95</v>
      </c>
      <c r="L774">
        <v>29419.4</v>
      </c>
      <c r="M774" s="16"/>
      <c r="N774" s="59">
        <f>IF((L775=""),"",MAX(D776:L776))</f>
        <v>13194.660000000003</v>
      </c>
      <c r="O774" s="59">
        <f>IF(L775="","",MIN(D776:L776))</f>
        <v>12422.760000000006</v>
      </c>
      <c r="P774" s="60">
        <f>IF((L776=""),"",AVERAGE(D776:L776))</f>
        <v>12939.300000000005</v>
      </c>
      <c r="Q774" s="156">
        <f>IF((L775=""),"",((N774-O774)/(N774+O774)*100))</f>
        <v>3.0131839974517245</v>
      </c>
      <c r="R774" s="61" t="str">
        <f>IF(L775="","",IF(Q774&lt;Z774,IF(O774&gt;V774,IF(N774&lt;W774,"PASS","FAIL"),"FAIL"),"FAIL"))</f>
        <v>PASS</v>
      </c>
      <c r="S774" s="62">
        <v>1340</v>
      </c>
      <c r="T774" s="9" t="s">
        <v>320</v>
      </c>
      <c r="V774" s="110">
        <v>10000</v>
      </c>
      <c r="W774" s="110">
        <v>15600</v>
      </c>
      <c r="X774" s="111">
        <v>8090</v>
      </c>
      <c r="Y774" s="111">
        <v>12070</v>
      </c>
      <c r="Z774" s="112">
        <v>15</v>
      </c>
      <c r="AA774" s="112">
        <v>6</v>
      </c>
    </row>
    <row r="775" spans="1:27" ht="15.75">
      <c r="A775" s="99"/>
      <c r="B775" s="122"/>
      <c r="C775" s="57" t="s">
        <v>80</v>
      </c>
      <c r="D775">
        <v>25188.17</v>
      </c>
      <c r="E775">
        <v>24970.51</v>
      </c>
      <c r="F775">
        <v>24990.14</v>
      </c>
      <c r="G775">
        <v>24930.94</v>
      </c>
      <c r="H775">
        <v>25080.720000000001</v>
      </c>
      <c r="I775">
        <v>25236.23</v>
      </c>
      <c r="J775">
        <v>24966.71</v>
      </c>
      <c r="K775">
        <v>24926.44</v>
      </c>
      <c r="L775">
        <v>25021.18</v>
      </c>
      <c r="M775" s="16"/>
      <c r="N775" s="53"/>
      <c r="O775" s="53"/>
      <c r="P775" s="63"/>
      <c r="Q775" s="53"/>
      <c r="R775" s="64"/>
      <c r="S775" s="54"/>
      <c r="V775" s="32"/>
      <c r="W775" s="29"/>
    </row>
    <row r="776" spans="1:27">
      <c r="A776" s="100"/>
      <c r="B776" s="122"/>
      <c r="C776" s="57" t="s">
        <v>82</v>
      </c>
      <c r="D776" s="16">
        <f t="shared" ref="D776:L776" si="287">IF(((D774="")*AND(D775="")),"",(D774-D775)*3)</f>
        <v>12704.430000000004</v>
      </c>
      <c r="E776" s="16">
        <f t="shared" si="287"/>
        <v>13034.430000000004</v>
      </c>
      <c r="F776" s="16">
        <f t="shared" si="287"/>
        <v>12944.370000000003</v>
      </c>
      <c r="G776" s="16">
        <f t="shared" si="287"/>
        <v>13104.090000000007</v>
      </c>
      <c r="H776" s="16">
        <f t="shared" si="287"/>
        <v>12988.679999999993</v>
      </c>
      <c r="I776" s="16">
        <f t="shared" si="287"/>
        <v>12422.760000000006</v>
      </c>
      <c r="J776" s="16">
        <f t="shared" si="287"/>
        <v>12927.75</v>
      </c>
      <c r="K776" s="16">
        <f t="shared" si="287"/>
        <v>13132.530000000006</v>
      </c>
      <c r="L776" s="16">
        <f t="shared" si="287"/>
        <v>13194.660000000003</v>
      </c>
      <c r="M776" s="16"/>
      <c r="N776" s="65"/>
      <c r="O776" s="65"/>
      <c r="P776" s="66"/>
      <c r="Q776" s="65"/>
      <c r="R776" s="67"/>
      <c r="S776" s="58"/>
      <c r="V776" s="33"/>
      <c r="W776" s="29"/>
    </row>
    <row r="777" spans="1:27" ht="15.75">
      <c r="A777" s="86">
        <v>43759</v>
      </c>
      <c r="B777" s="120" t="s">
        <v>348</v>
      </c>
      <c r="C777" s="57" t="s">
        <v>79</v>
      </c>
      <c r="D777">
        <v>29264.14</v>
      </c>
      <c r="E777">
        <v>29146.880000000001</v>
      </c>
      <c r="F777">
        <v>29139.23</v>
      </c>
      <c r="G777">
        <v>29139.64</v>
      </c>
      <c r="H777">
        <v>29264.19</v>
      </c>
      <c r="I777">
        <v>29252.09</v>
      </c>
      <c r="J777">
        <v>29130.79</v>
      </c>
      <c r="K777">
        <v>29127.08</v>
      </c>
      <c r="L777">
        <v>29229.65</v>
      </c>
      <c r="M777" s="16"/>
      <c r="N777" s="59">
        <f>IF((L778=""),"",MAX(D779:L779))</f>
        <v>11994.060000000001</v>
      </c>
      <c r="O777" s="59">
        <f>IF(L778="","",MIN(D779:L779))</f>
        <v>11417.130000000008</v>
      </c>
      <c r="P777" s="60">
        <f>IF((L779=""),"",AVERAGE(D779:L779))</f>
        <v>11806.480000000001</v>
      </c>
      <c r="Q777" s="156">
        <f>IF((L778=""),"",((N777-O777)/(N777+O777)*100))</f>
        <v>2.4643343631827035</v>
      </c>
      <c r="R777" s="61" t="str">
        <f>IF(L778="","",IF(Q777&lt;Z777,IF(O777&gt;V777,IF(N777&lt;W777,"PASS","FAIL"),"FAIL"),"FAIL"))</f>
        <v>PASS</v>
      </c>
      <c r="S777" s="62">
        <v>1428</v>
      </c>
      <c r="T777" s="9" t="s">
        <v>325</v>
      </c>
      <c r="V777" s="110">
        <v>10000</v>
      </c>
      <c r="W777" s="110">
        <v>15600</v>
      </c>
      <c r="X777" s="111">
        <v>8090</v>
      </c>
      <c r="Y777" s="111">
        <v>12070</v>
      </c>
      <c r="Z777" s="112">
        <v>15</v>
      </c>
      <c r="AA777" s="112">
        <v>6</v>
      </c>
    </row>
    <row r="778" spans="1:27" ht="15.75">
      <c r="A778" s="99"/>
      <c r="B778" s="122"/>
      <c r="C778" s="57" t="s">
        <v>80</v>
      </c>
      <c r="D778">
        <v>25295.45</v>
      </c>
      <c r="E778">
        <v>25165</v>
      </c>
      <c r="F778">
        <v>25193.74</v>
      </c>
      <c r="G778">
        <v>25192.720000000001</v>
      </c>
      <c r="H778">
        <v>25420.05</v>
      </c>
      <c r="I778">
        <v>25254.07</v>
      </c>
      <c r="J778">
        <v>25141.89</v>
      </c>
      <c r="K778">
        <v>25187.39</v>
      </c>
      <c r="L778">
        <v>25423.94</v>
      </c>
      <c r="M778" s="16"/>
      <c r="N778" s="53"/>
      <c r="O778" s="53"/>
      <c r="P778" s="63"/>
      <c r="Q778" s="53"/>
      <c r="R778" s="64"/>
      <c r="S778" s="54"/>
      <c r="V778" s="32"/>
      <c r="W778" s="29"/>
    </row>
    <row r="779" spans="1:27">
      <c r="A779" s="100"/>
      <c r="B779" s="122"/>
      <c r="C779" s="57" t="s">
        <v>82</v>
      </c>
      <c r="D779" s="16">
        <f t="shared" ref="D779:L779" si="288">IF(((D777="")*AND(D778="")),"",(D777-D778)*3)</f>
        <v>11906.069999999996</v>
      </c>
      <c r="E779" s="16">
        <f t="shared" si="288"/>
        <v>11945.640000000003</v>
      </c>
      <c r="F779" s="16">
        <f t="shared" si="288"/>
        <v>11836.469999999994</v>
      </c>
      <c r="G779" s="16">
        <f t="shared" si="288"/>
        <v>11840.759999999995</v>
      </c>
      <c r="H779" s="16">
        <f t="shared" si="288"/>
        <v>11532.419999999998</v>
      </c>
      <c r="I779" s="16">
        <f t="shared" si="288"/>
        <v>11994.060000000001</v>
      </c>
      <c r="J779" s="16">
        <f t="shared" si="288"/>
        <v>11966.700000000004</v>
      </c>
      <c r="K779" s="16">
        <f t="shared" si="288"/>
        <v>11819.070000000007</v>
      </c>
      <c r="L779" s="16">
        <f t="shared" si="288"/>
        <v>11417.130000000008</v>
      </c>
      <c r="M779" s="16"/>
      <c r="N779" s="65"/>
      <c r="O779" s="65"/>
      <c r="P779" s="66"/>
      <c r="Q779" s="65"/>
      <c r="R779" s="67"/>
      <c r="S779" s="58"/>
      <c r="V779" s="33"/>
      <c r="W779" s="29"/>
    </row>
    <row r="780" spans="1:27" ht="15.75">
      <c r="A780" s="86">
        <v>43766</v>
      </c>
      <c r="B780" s="120" t="s">
        <v>348</v>
      </c>
      <c r="C780" s="57" t="s">
        <v>79</v>
      </c>
      <c r="D780">
        <v>29262.13</v>
      </c>
      <c r="E780">
        <v>29118.37</v>
      </c>
      <c r="F780">
        <v>29118.28</v>
      </c>
      <c r="G780">
        <v>29101.99</v>
      </c>
      <c r="H780">
        <v>29219.88</v>
      </c>
      <c r="I780">
        <v>29247.759999999998</v>
      </c>
      <c r="J780">
        <v>29112.799999999999</v>
      </c>
      <c r="K780">
        <v>29102.93</v>
      </c>
      <c r="L780">
        <v>29212.01</v>
      </c>
      <c r="M780" s="16"/>
      <c r="N780" s="59">
        <f>IF((L781=""),"",MAX(D782:L782))</f>
        <v>11817.899999999998</v>
      </c>
      <c r="O780" s="59">
        <f>IF(L781="","",MIN(D782:L782))</f>
        <v>11502.419999999998</v>
      </c>
      <c r="P780" s="60">
        <f>IF((L782=""),"",AVERAGE(D782:L782))</f>
        <v>11684.079999999998</v>
      </c>
      <c r="Q780" s="156">
        <f>IF((L781=""),"",((N780-O780)/(N780+O780)*100))</f>
        <v>1.3528116252264104</v>
      </c>
      <c r="R780" s="61" t="str">
        <f>IF(L781="","",IF(Q780&lt;Z780,IF(O780&gt;V780,IF(N780&lt;W780,"PASS","FAIL"),"FAIL"),"FAIL"))</f>
        <v>PASS</v>
      </c>
      <c r="S780" s="62">
        <v>1428</v>
      </c>
      <c r="T780" s="9" t="s">
        <v>326</v>
      </c>
      <c r="V780" s="110">
        <v>10000</v>
      </c>
      <c r="W780" s="110">
        <v>15600</v>
      </c>
      <c r="X780" s="111">
        <v>8090</v>
      </c>
      <c r="Y780" s="111">
        <v>12070</v>
      </c>
      <c r="Z780" s="112">
        <v>15</v>
      </c>
      <c r="AA780" s="112">
        <v>6</v>
      </c>
    </row>
    <row r="781" spans="1:27" ht="15.75">
      <c r="A781" s="99"/>
      <c r="B781" s="122"/>
      <c r="C781" s="57" t="s">
        <v>80</v>
      </c>
      <c r="D781">
        <v>25375.07</v>
      </c>
      <c r="E781">
        <v>25203.759999999998</v>
      </c>
      <c r="F781">
        <v>25243.38</v>
      </c>
      <c r="G781">
        <v>25191.79</v>
      </c>
      <c r="H781">
        <v>25385.74</v>
      </c>
      <c r="I781">
        <v>25308.46</v>
      </c>
      <c r="J781">
        <v>25179.68</v>
      </c>
      <c r="K781">
        <v>25187.56</v>
      </c>
      <c r="L781">
        <v>25368.47</v>
      </c>
      <c r="M781" s="16"/>
      <c r="N781" s="53"/>
      <c r="O781" s="53"/>
      <c r="P781" s="63"/>
      <c r="Q781" s="53"/>
      <c r="R781" s="64"/>
      <c r="S781" s="54"/>
      <c r="V781" s="32"/>
      <c r="W781" s="29"/>
    </row>
    <row r="782" spans="1:27">
      <c r="A782" s="100"/>
      <c r="B782" s="122"/>
      <c r="C782" s="57" t="s">
        <v>82</v>
      </c>
      <c r="D782" s="16">
        <f t="shared" ref="D782:L782" si="289">IF(((D780="")*AND(D781="")),"",(D780-D781)*3)</f>
        <v>11661.180000000004</v>
      </c>
      <c r="E782" s="16">
        <f t="shared" si="289"/>
        <v>11743.830000000002</v>
      </c>
      <c r="F782" s="16">
        <f t="shared" si="289"/>
        <v>11624.699999999993</v>
      </c>
      <c r="G782" s="16">
        <f t="shared" si="289"/>
        <v>11730.600000000002</v>
      </c>
      <c r="H782" s="16">
        <f t="shared" si="289"/>
        <v>11502.419999999998</v>
      </c>
      <c r="I782" s="16">
        <f t="shared" si="289"/>
        <v>11817.899999999998</v>
      </c>
      <c r="J782" s="16">
        <f t="shared" si="289"/>
        <v>11799.359999999997</v>
      </c>
      <c r="K782" s="16">
        <f t="shared" si="289"/>
        <v>11746.109999999997</v>
      </c>
      <c r="L782" s="16">
        <f t="shared" si="289"/>
        <v>11530.619999999992</v>
      </c>
      <c r="M782" s="16"/>
      <c r="N782" s="65"/>
      <c r="O782" s="65"/>
      <c r="P782" s="66"/>
      <c r="Q782" s="65"/>
      <c r="R782" s="67"/>
      <c r="S782" s="58"/>
      <c r="V782" s="33"/>
      <c r="W782" s="29"/>
    </row>
    <row r="783" spans="1:27" ht="15.75">
      <c r="A783" s="86">
        <v>43770</v>
      </c>
      <c r="B783" s="120" t="s">
        <v>348</v>
      </c>
      <c r="C783" s="57" t="s">
        <v>79</v>
      </c>
      <c r="D783" s="109">
        <v>29199.35</v>
      </c>
      <c r="E783" s="109">
        <v>29044.21</v>
      </c>
      <c r="F783" s="109">
        <v>29056.04</v>
      </c>
      <c r="G783" s="109">
        <v>29031.040000000001</v>
      </c>
      <c r="H783" s="109">
        <v>29147.79</v>
      </c>
      <c r="I783" s="109">
        <v>29182.83</v>
      </c>
      <c r="J783" s="109">
        <v>29039.69</v>
      </c>
      <c r="K783" s="109">
        <v>29041.96</v>
      </c>
      <c r="L783" s="109">
        <v>29159.14</v>
      </c>
      <c r="M783" s="16"/>
      <c r="N783" s="59">
        <f>IF((L784=""),"",MAX(D785:L785))</f>
        <v>12166.590000000007</v>
      </c>
      <c r="O783" s="59">
        <f>IF(L784="","",MIN(D785:L785))</f>
        <v>11566.739999999994</v>
      </c>
      <c r="P783" s="60">
        <f>IF((L785=""),"",AVERAGE(D785:L785))</f>
        <v>11989.61</v>
      </c>
      <c r="Q783" s="156">
        <f>IF((L784=""),"",((N783-O783)/(N783+O783)*100))</f>
        <v>2.5274582201486813</v>
      </c>
      <c r="R783" s="61" t="str">
        <f>IF(L784="","",IF(Q783&lt;Z783,IF(O783&gt;V783,IF(N783&lt;W783,"PASS","FAIL"),"FAIL"),"FAIL"))</f>
        <v>PASS</v>
      </c>
      <c r="S783" s="62">
        <v>1428</v>
      </c>
      <c r="V783" s="110">
        <v>10000</v>
      </c>
      <c r="W783" s="110">
        <v>15600</v>
      </c>
      <c r="X783" s="111">
        <v>8090</v>
      </c>
      <c r="Y783" s="111">
        <v>12070</v>
      </c>
      <c r="Z783" s="112">
        <v>15</v>
      </c>
      <c r="AA783" s="112">
        <v>6</v>
      </c>
    </row>
    <row r="784" spans="1:27" ht="15.75">
      <c r="A784" s="99"/>
      <c r="B784" s="122"/>
      <c r="C784" s="57" t="s">
        <v>80</v>
      </c>
      <c r="D784" s="109">
        <v>25193.45</v>
      </c>
      <c r="E784" s="109">
        <v>24997.79</v>
      </c>
      <c r="F784" s="109">
        <v>25027.58</v>
      </c>
      <c r="G784" s="109">
        <v>25002.76</v>
      </c>
      <c r="H784" s="109">
        <v>25266.76</v>
      </c>
      <c r="I784" s="109">
        <v>25127.3</v>
      </c>
      <c r="J784" s="109">
        <v>24984.9</v>
      </c>
      <c r="K784" s="109">
        <v>25029.119999999999</v>
      </c>
      <c r="L784" s="109">
        <v>25303.56</v>
      </c>
      <c r="M784" s="16"/>
      <c r="N784" s="53"/>
      <c r="O784" s="53"/>
      <c r="P784" s="63"/>
      <c r="Q784" s="53"/>
      <c r="R784" s="64"/>
      <c r="S784" s="54"/>
      <c r="V784" s="32"/>
      <c r="W784" s="29"/>
    </row>
    <row r="785" spans="1:27">
      <c r="A785" s="100"/>
      <c r="B785" s="122"/>
      <c r="C785" s="57" t="s">
        <v>82</v>
      </c>
      <c r="D785" s="16">
        <f t="shared" ref="D785:L785" si="290">IF(((D783="")*AND(D784="")),"",(D783-D784)*3)</f>
        <v>12017.699999999993</v>
      </c>
      <c r="E785" s="16">
        <f t="shared" si="290"/>
        <v>12139.259999999995</v>
      </c>
      <c r="F785" s="16">
        <f t="shared" si="290"/>
        <v>12085.379999999997</v>
      </c>
      <c r="G785" s="16">
        <f t="shared" si="290"/>
        <v>12084.840000000007</v>
      </c>
      <c r="H785" s="16">
        <f t="shared" si="290"/>
        <v>11643.090000000007</v>
      </c>
      <c r="I785" s="16">
        <f t="shared" si="290"/>
        <v>12166.590000000007</v>
      </c>
      <c r="J785" s="16">
        <f t="shared" si="290"/>
        <v>12164.369999999992</v>
      </c>
      <c r="K785" s="16">
        <f t="shared" si="290"/>
        <v>12038.52</v>
      </c>
      <c r="L785" s="16">
        <f t="shared" si="290"/>
        <v>11566.739999999994</v>
      </c>
      <c r="M785" s="16"/>
      <c r="N785" s="65"/>
      <c r="O785" s="65"/>
      <c r="P785" s="66"/>
      <c r="Q785" s="65"/>
      <c r="R785" s="67"/>
      <c r="S785" s="58"/>
      <c r="V785" s="33"/>
      <c r="W785" s="29"/>
    </row>
    <row r="786" spans="1:27" ht="15.75">
      <c r="A786" s="86">
        <v>43773</v>
      </c>
      <c r="B786" s="120" t="s">
        <v>348</v>
      </c>
      <c r="C786" s="57" t="s">
        <v>79</v>
      </c>
      <c r="D786">
        <v>29155.47</v>
      </c>
      <c r="E786">
        <v>29020.9</v>
      </c>
      <c r="F786">
        <v>29001.38</v>
      </c>
      <c r="G786">
        <v>29023.39</v>
      </c>
      <c r="H786">
        <v>29129.37</v>
      </c>
      <c r="I786">
        <v>29087.040000000001</v>
      </c>
      <c r="J786">
        <v>28990.04</v>
      </c>
      <c r="K786">
        <v>29017.27</v>
      </c>
      <c r="L786">
        <v>29161.919999999998</v>
      </c>
      <c r="M786" s="16"/>
      <c r="N786" s="59">
        <f>IF((L787=""),"",MAX(D788:L788))</f>
        <v>11114.609999999997</v>
      </c>
      <c r="O786" s="59">
        <f>IF(L787="","",MIN(D788:L788))</f>
        <v>10357.919999999998</v>
      </c>
      <c r="P786" s="60">
        <f>IF((L788=""),"",AVERAGE(D788:L788))</f>
        <v>10775.996666666668</v>
      </c>
      <c r="Q786" s="156">
        <f>IF((L787=""),"",((N786-O786)/(N786+O786)*100))</f>
        <v>3.5239908850983039</v>
      </c>
      <c r="R786" s="61" t="str">
        <f>IF(L787="","",IF(Q786&lt;Z786,IF(O786&gt;V786,IF(N786&lt;W786,"PASS","FAIL"),"FAIL"),"FAIL"))</f>
        <v>PASS</v>
      </c>
      <c r="S786" s="62">
        <v>64</v>
      </c>
      <c r="U786" s="9" t="s">
        <v>327</v>
      </c>
      <c r="V786" s="110">
        <v>10000</v>
      </c>
      <c r="W786" s="110">
        <v>15600</v>
      </c>
      <c r="X786" s="111">
        <v>8090</v>
      </c>
      <c r="Y786" s="111">
        <v>12070</v>
      </c>
      <c r="Z786" s="112">
        <v>15</v>
      </c>
      <c r="AA786" s="112">
        <v>6</v>
      </c>
    </row>
    <row r="787" spans="1:27" ht="15.75">
      <c r="A787" s="99"/>
      <c r="B787" s="122"/>
      <c r="C787" s="57" t="s">
        <v>80</v>
      </c>
      <c r="D787">
        <v>25618.03</v>
      </c>
      <c r="E787">
        <v>25423.040000000001</v>
      </c>
      <c r="F787">
        <v>25420.44</v>
      </c>
      <c r="G787">
        <v>25380.07</v>
      </c>
      <c r="H787">
        <v>25507.09</v>
      </c>
      <c r="I787">
        <v>25634.400000000001</v>
      </c>
      <c r="J787">
        <v>25455.99</v>
      </c>
      <c r="K787">
        <v>25362.68</v>
      </c>
      <c r="L787">
        <v>25457.05</v>
      </c>
      <c r="M787" s="16"/>
      <c r="N787" s="53"/>
      <c r="O787" s="53"/>
      <c r="P787" s="63"/>
      <c r="Q787" s="53"/>
      <c r="R787" s="64"/>
      <c r="S787" s="54"/>
      <c r="V787" s="32"/>
      <c r="W787" s="29"/>
    </row>
    <row r="788" spans="1:27">
      <c r="A788" s="100"/>
      <c r="B788" s="122"/>
      <c r="C788" s="57" t="s">
        <v>82</v>
      </c>
      <c r="D788" s="16">
        <f t="shared" ref="D788:L788" si="291">IF(((D786="")*AND(D787="")),"",(D786-D787)*3)</f>
        <v>10612.320000000007</v>
      </c>
      <c r="E788" s="16">
        <f t="shared" si="291"/>
        <v>10793.580000000002</v>
      </c>
      <c r="F788" s="16">
        <f t="shared" si="291"/>
        <v>10742.820000000007</v>
      </c>
      <c r="G788" s="16">
        <f t="shared" si="291"/>
        <v>10929.96</v>
      </c>
      <c r="H788" s="16">
        <f t="shared" si="291"/>
        <v>10866.839999999997</v>
      </c>
      <c r="I788" s="16">
        <f t="shared" si="291"/>
        <v>10357.919999999998</v>
      </c>
      <c r="J788" s="16">
        <f t="shared" si="291"/>
        <v>10602.149999999998</v>
      </c>
      <c r="K788" s="16">
        <f t="shared" si="291"/>
        <v>10963.77</v>
      </c>
      <c r="L788" s="16">
        <f t="shared" si="291"/>
        <v>11114.609999999997</v>
      </c>
      <c r="M788" s="16"/>
      <c r="N788" s="65"/>
      <c r="O788" s="65"/>
      <c r="P788" s="66"/>
      <c r="Q788" s="65"/>
      <c r="R788" s="67"/>
      <c r="S788" s="58"/>
      <c r="V788" s="33"/>
      <c r="W788" s="29"/>
    </row>
    <row r="789" spans="1:27" ht="15.75">
      <c r="A789" s="86">
        <v>43776</v>
      </c>
      <c r="B789" s="120" t="s">
        <v>348</v>
      </c>
      <c r="C789" s="57" t="s">
        <v>79</v>
      </c>
      <c r="D789">
        <v>29111.58</v>
      </c>
      <c r="E789">
        <v>29004.1</v>
      </c>
      <c r="F789">
        <v>29000.62</v>
      </c>
      <c r="G789">
        <v>29018.28</v>
      </c>
      <c r="H789">
        <v>29158.7</v>
      </c>
      <c r="I789">
        <v>29124.14</v>
      </c>
      <c r="J789">
        <v>29004.12</v>
      </c>
      <c r="K789">
        <v>29000.34</v>
      </c>
      <c r="L789">
        <v>29106.959999999999</v>
      </c>
      <c r="M789" s="16"/>
      <c r="N789" s="59">
        <f>IF((L790=""),"",MAX(D791:L791))</f>
        <v>11060.069999999996</v>
      </c>
      <c r="O789" s="59">
        <f>IF(L790="","",MIN(D791:L791))</f>
        <v>10345.259999999995</v>
      </c>
      <c r="P789" s="60">
        <f>IF((L791=""),"",AVERAGE(D791:L791))</f>
        <v>10754.929999999998</v>
      </c>
      <c r="Q789" s="156">
        <f>IF((L790=""),"",((N789-O789)/(N789+O789)*100))</f>
        <v>3.3394019153173611</v>
      </c>
      <c r="R789" s="61" t="str">
        <f>IF(L790="","",IF(Q789&lt;Z789,IF(O789&gt;V789,IF(N789&lt;W789,"PASS","FAIL"),"FAIL"),"FAIL"))</f>
        <v>PASS</v>
      </c>
      <c r="S789" s="62">
        <v>102</v>
      </c>
      <c r="V789" s="110">
        <v>10000</v>
      </c>
      <c r="W789" s="110">
        <v>15600</v>
      </c>
      <c r="X789" s="111">
        <v>8090</v>
      </c>
      <c r="Y789" s="111">
        <v>12070</v>
      </c>
      <c r="Z789" s="112">
        <v>15</v>
      </c>
      <c r="AA789" s="112">
        <v>6</v>
      </c>
    </row>
    <row r="790" spans="1:27" ht="15.75">
      <c r="A790" s="99"/>
      <c r="B790" s="122"/>
      <c r="C790" s="57" t="s">
        <v>80</v>
      </c>
      <c r="D790">
        <v>25552.9</v>
      </c>
      <c r="E790">
        <v>25417.88</v>
      </c>
      <c r="F790">
        <v>25429.360000000001</v>
      </c>
      <c r="G790">
        <v>25407.91</v>
      </c>
      <c r="H790">
        <v>25525.23</v>
      </c>
      <c r="I790">
        <v>25675.72</v>
      </c>
      <c r="J790">
        <v>25459.03</v>
      </c>
      <c r="K790">
        <v>25375.75</v>
      </c>
      <c r="L790">
        <v>25420.27</v>
      </c>
      <c r="M790" s="16"/>
      <c r="N790" s="53"/>
      <c r="O790" s="53"/>
      <c r="P790" s="63"/>
      <c r="Q790" s="53"/>
      <c r="R790" s="64"/>
      <c r="S790" s="54"/>
      <c r="V790" s="32"/>
      <c r="W790" s="29"/>
    </row>
    <row r="791" spans="1:27">
      <c r="A791" s="100"/>
      <c r="B791" s="122"/>
      <c r="C791" s="57" t="s">
        <v>82</v>
      </c>
      <c r="D791" s="16">
        <f t="shared" ref="D791:L791" si="292">IF(((D789="")*AND(D790="")),"",(D789-D790)*3)</f>
        <v>10676.04</v>
      </c>
      <c r="E791" s="16">
        <f t="shared" si="292"/>
        <v>10758.659999999993</v>
      </c>
      <c r="F791" s="16">
        <f t="shared" si="292"/>
        <v>10713.779999999995</v>
      </c>
      <c r="G791" s="16">
        <f t="shared" si="292"/>
        <v>10831.109999999997</v>
      </c>
      <c r="H791" s="16">
        <f t="shared" si="292"/>
        <v>10900.410000000003</v>
      </c>
      <c r="I791" s="16">
        <f t="shared" si="292"/>
        <v>10345.259999999995</v>
      </c>
      <c r="J791" s="16">
        <f t="shared" si="292"/>
        <v>10635.27</v>
      </c>
      <c r="K791" s="16">
        <f t="shared" si="292"/>
        <v>10873.77</v>
      </c>
      <c r="L791" s="16">
        <f t="shared" si="292"/>
        <v>11060.069999999996</v>
      </c>
      <c r="M791" s="16"/>
      <c r="N791" s="65"/>
      <c r="O791" s="65"/>
      <c r="P791" s="66"/>
      <c r="Q791" s="65"/>
      <c r="R791" s="67"/>
      <c r="S791" s="58"/>
      <c r="V791" s="33"/>
      <c r="W791" s="29"/>
    </row>
    <row r="792" spans="1:27" ht="15.75">
      <c r="A792" s="86">
        <v>43782</v>
      </c>
      <c r="B792" s="120" t="s">
        <v>348</v>
      </c>
      <c r="C792" s="57" t="s">
        <v>79</v>
      </c>
      <c r="D792">
        <v>29065.14</v>
      </c>
      <c r="E792">
        <v>28926.22</v>
      </c>
      <c r="F792">
        <v>28887.65</v>
      </c>
      <c r="G792">
        <v>28914.86</v>
      </c>
      <c r="H792">
        <v>29032.73</v>
      </c>
      <c r="I792">
        <v>29031.62</v>
      </c>
      <c r="J792">
        <v>28914.79</v>
      </c>
      <c r="K792">
        <v>28914.22</v>
      </c>
      <c r="L792">
        <v>29027.19</v>
      </c>
      <c r="M792" s="16"/>
      <c r="N792" s="59">
        <f>IF((L793=""),"",MAX(D794:L794))</f>
        <v>12007.319999999996</v>
      </c>
      <c r="O792" s="59">
        <f>IF(L793="","",MIN(D794:L794))</f>
        <v>10673.879999999997</v>
      </c>
      <c r="P792" s="60">
        <f>IF((L794=""),"",AVERAGE(D794:L794))</f>
        <v>11382.836666666664</v>
      </c>
      <c r="Q792" s="156">
        <f>IF((L793=""),"",((N792-O792)/(N792+O792)*100))</f>
        <v>5.8790540183059052</v>
      </c>
      <c r="R792" s="61" t="str">
        <f>IF(L793="","",IF(Q792&lt;Z792,IF(O792&gt;V792,IF(N792&lt;W792,"PASS","FAIL"),"FAIL"),"FAIL"))</f>
        <v>PASS</v>
      </c>
      <c r="S792" s="62">
        <v>1340</v>
      </c>
      <c r="T792" s="9" t="s">
        <v>328</v>
      </c>
      <c r="V792" s="110">
        <v>10000</v>
      </c>
      <c r="W792" s="110">
        <v>15600</v>
      </c>
      <c r="X792" s="111">
        <v>8090</v>
      </c>
      <c r="Y792" s="111">
        <v>12070</v>
      </c>
      <c r="Z792" s="112">
        <v>15</v>
      </c>
      <c r="AA792" s="112">
        <v>6</v>
      </c>
    </row>
    <row r="793" spans="1:27" ht="15.75">
      <c r="A793" s="99"/>
      <c r="B793" s="122"/>
      <c r="C793" s="57" t="s">
        <v>80</v>
      </c>
      <c r="D793">
        <v>25311.5</v>
      </c>
      <c r="E793">
        <v>25092.33</v>
      </c>
      <c r="F793">
        <v>25157.79</v>
      </c>
      <c r="G793">
        <v>25104.93</v>
      </c>
      <c r="H793">
        <v>25192.080000000002</v>
      </c>
      <c r="I793">
        <v>25473.66</v>
      </c>
      <c r="J793">
        <v>25191.37</v>
      </c>
      <c r="K793">
        <v>25017.5</v>
      </c>
      <c r="L793">
        <v>25024.75</v>
      </c>
      <c r="M793" s="16"/>
      <c r="N793" s="53"/>
      <c r="O793" s="53"/>
      <c r="P793" s="63"/>
      <c r="Q793" s="53"/>
      <c r="R793" s="64"/>
      <c r="S793" s="54"/>
      <c r="V793" s="32"/>
      <c r="W793" s="29"/>
    </row>
    <row r="794" spans="1:27">
      <c r="A794" s="100"/>
      <c r="B794" s="122"/>
      <c r="C794" s="57" t="s">
        <v>82</v>
      </c>
      <c r="D794" s="16">
        <f t="shared" ref="D794:L794" si="293">IF(((D792="")*AND(D793="")),"",(D792-D793)*3)</f>
        <v>11260.919999999998</v>
      </c>
      <c r="E794" s="16">
        <f t="shared" si="293"/>
        <v>11501.669999999998</v>
      </c>
      <c r="F794" s="16">
        <f t="shared" si="293"/>
        <v>11189.580000000002</v>
      </c>
      <c r="G794" s="16">
        <f t="shared" si="293"/>
        <v>11429.79</v>
      </c>
      <c r="H794" s="16">
        <f t="shared" si="293"/>
        <v>11521.949999999993</v>
      </c>
      <c r="I794" s="16">
        <f t="shared" si="293"/>
        <v>10673.879999999997</v>
      </c>
      <c r="J794" s="16">
        <f t="shared" si="293"/>
        <v>11170.260000000006</v>
      </c>
      <c r="K794" s="16">
        <f t="shared" si="293"/>
        <v>11690.160000000003</v>
      </c>
      <c r="L794" s="16">
        <f t="shared" si="293"/>
        <v>12007.319999999996</v>
      </c>
      <c r="M794" s="16"/>
      <c r="N794" s="65"/>
      <c r="O794" s="65"/>
      <c r="P794" s="66"/>
      <c r="Q794" s="65"/>
      <c r="R794" s="67"/>
      <c r="S794" s="58"/>
      <c r="V794" s="33"/>
      <c r="W794" s="29"/>
    </row>
    <row r="795" spans="1:27" ht="15.75">
      <c r="A795" s="86">
        <v>43789</v>
      </c>
      <c r="B795" s="120" t="s">
        <v>348</v>
      </c>
      <c r="C795" s="57" t="s">
        <v>79</v>
      </c>
      <c r="D795">
        <v>29065.89</v>
      </c>
      <c r="E795">
        <v>28942.22</v>
      </c>
      <c r="F795">
        <v>28913.73</v>
      </c>
      <c r="G795">
        <v>28932.49</v>
      </c>
      <c r="H795">
        <v>29034.85</v>
      </c>
      <c r="I795">
        <v>29052.32</v>
      </c>
      <c r="J795">
        <v>28938.73</v>
      </c>
      <c r="K795">
        <v>28934.51</v>
      </c>
      <c r="L795">
        <v>29057.17</v>
      </c>
      <c r="M795" s="16"/>
      <c r="N795" s="59">
        <f>IF((L796=""),"",MAX(D797:L797))</f>
        <v>13718.639999999992</v>
      </c>
      <c r="O795" s="59">
        <f>IF(L796="","",MIN(D797:L797))</f>
        <v>11864.700000000004</v>
      </c>
      <c r="P795" s="60">
        <f>IF((L797=""),"",AVERAGE(D797:L797))</f>
        <v>12848.589999999997</v>
      </c>
      <c r="Q795" s="156">
        <f>IF((L796=""),"",((N795-O795)/(N795+O795)*100))</f>
        <v>7.2466691213891075</v>
      </c>
      <c r="R795" s="61" t="str">
        <f>IF(L796="","",IF(Q795&lt;Z795,IF(O795&gt;V795,IF(N795&lt;W795,"PASS","FAIL"),"FAIL"),"FAIL"))</f>
        <v>PASS</v>
      </c>
      <c r="S795" s="62">
        <v>74</v>
      </c>
      <c r="T795" s="9" t="s">
        <v>331</v>
      </c>
      <c r="V795" s="110">
        <v>10000</v>
      </c>
      <c r="W795" s="110">
        <v>15600</v>
      </c>
      <c r="X795" s="111">
        <v>8090</v>
      </c>
      <c r="Y795" s="111">
        <v>12070</v>
      </c>
      <c r="Z795" s="112">
        <v>15</v>
      </c>
      <c r="AA795" s="112">
        <v>6</v>
      </c>
    </row>
    <row r="796" spans="1:27" ht="15.75">
      <c r="A796" s="99"/>
      <c r="B796" s="122"/>
      <c r="C796" s="57" t="s">
        <v>80</v>
      </c>
      <c r="D796">
        <v>24806.79</v>
      </c>
      <c r="E796">
        <v>24610.09</v>
      </c>
      <c r="F796">
        <v>24703.62</v>
      </c>
      <c r="G796">
        <v>24637.5</v>
      </c>
      <c r="H796">
        <v>24712.1</v>
      </c>
      <c r="I796">
        <v>25097.42</v>
      </c>
      <c r="J796">
        <v>24787.4</v>
      </c>
      <c r="K796">
        <v>24486.93</v>
      </c>
      <c r="L796">
        <v>24484.29</v>
      </c>
      <c r="M796" s="16"/>
      <c r="N796" s="53"/>
      <c r="O796" s="53"/>
      <c r="P796" s="63"/>
      <c r="Q796" s="53"/>
      <c r="R796" s="61"/>
      <c r="S796" s="54"/>
      <c r="V796" s="32"/>
      <c r="W796" s="29"/>
    </row>
    <row r="797" spans="1:27">
      <c r="A797" s="100"/>
      <c r="B797" s="122"/>
      <c r="C797" s="57" t="s">
        <v>82</v>
      </c>
      <c r="D797" s="16">
        <f t="shared" ref="D797:L797" si="294">IF(((D795="")*AND(D796="")),"",(D795-D796)*3)</f>
        <v>12777.299999999996</v>
      </c>
      <c r="E797" s="16">
        <f t="shared" si="294"/>
        <v>12996.390000000003</v>
      </c>
      <c r="F797" s="16">
        <f t="shared" si="294"/>
        <v>12630.330000000002</v>
      </c>
      <c r="G797" s="16">
        <f t="shared" si="294"/>
        <v>12884.970000000005</v>
      </c>
      <c r="H797" s="16">
        <f t="shared" si="294"/>
        <v>12968.25</v>
      </c>
      <c r="I797" s="16">
        <f t="shared" si="294"/>
        <v>11864.700000000004</v>
      </c>
      <c r="J797" s="16">
        <f t="shared" si="294"/>
        <v>12453.989999999994</v>
      </c>
      <c r="K797" s="16">
        <f t="shared" si="294"/>
        <v>13342.739999999994</v>
      </c>
      <c r="L797" s="16">
        <f t="shared" si="294"/>
        <v>13718.639999999992</v>
      </c>
      <c r="M797" s="16"/>
      <c r="N797" s="65"/>
      <c r="O797" s="65"/>
      <c r="P797" s="66"/>
      <c r="Q797" s="65"/>
      <c r="R797" s="61"/>
      <c r="S797" s="58"/>
      <c r="V797" s="33"/>
      <c r="W797" s="29"/>
    </row>
    <row r="798" spans="1:27" ht="15.75">
      <c r="A798" s="86">
        <v>43794</v>
      </c>
      <c r="B798" s="120" t="s">
        <v>348</v>
      </c>
      <c r="C798" s="57" t="s">
        <v>79</v>
      </c>
      <c r="D798" s="109">
        <v>29003.73</v>
      </c>
      <c r="E798" s="109">
        <v>28907.5</v>
      </c>
      <c r="F798" s="109">
        <v>28936.68</v>
      </c>
      <c r="G798" s="109">
        <v>28931.54</v>
      </c>
      <c r="H798" s="109">
        <v>29024.61</v>
      </c>
      <c r="I798" s="109">
        <v>29034.22</v>
      </c>
      <c r="J798" s="109">
        <v>28915.74</v>
      </c>
      <c r="K798" s="109">
        <v>28909.040000000001</v>
      </c>
      <c r="L798" s="109">
        <v>29030.42</v>
      </c>
      <c r="M798" s="16"/>
      <c r="N798" s="59">
        <f>IF((L799=""),"",MAX(D800:L800))</f>
        <v>13038.27</v>
      </c>
      <c r="O798" s="59">
        <f>IF(L799="","",MIN(D800:L800))</f>
        <v>11631</v>
      </c>
      <c r="P798" s="60">
        <f>IF((L800=""),"",AVERAGE(D800:L800))</f>
        <v>12417.203333333338</v>
      </c>
      <c r="Q798" s="156">
        <f>IF((L799=""),"",((N798-O798)/(N798+O798)*100))</f>
        <v>5.7045465877182444</v>
      </c>
      <c r="R798" s="61" t="str">
        <f t="shared" ref="R798" si="295">IF(L799="","",IF(Q798&lt;Z798,IF(O798&gt;V798,IF(N798&lt;W798,"PASS","FAIL"),"FAIL"),"FAIL"))</f>
        <v>PASS</v>
      </c>
      <c r="S798" s="62">
        <v>1428</v>
      </c>
      <c r="T798" s="9" t="s">
        <v>335</v>
      </c>
      <c r="V798" s="110">
        <v>10000</v>
      </c>
      <c r="W798" s="110">
        <v>15600</v>
      </c>
      <c r="X798" s="111">
        <v>8090</v>
      </c>
      <c r="Y798" s="111">
        <v>12070</v>
      </c>
      <c r="Z798" s="112">
        <v>15</v>
      </c>
      <c r="AA798" s="112">
        <v>6</v>
      </c>
    </row>
    <row r="799" spans="1:27" ht="15.75">
      <c r="A799" s="99"/>
      <c r="B799" s="122"/>
      <c r="C799" s="57" t="s">
        <v>80</v>
      </c>
      <c r="D799" s="109">
        <v>24756.57</v>
      </c>
      <c r="E799" s="109">
        <v>24732.32</v>
      </c>
      <c r="F799" s="109">
        <v>24863.35</v>
      </c>
      <c r="G799" s="109">
        <v>24772.46</v>
      </c>
      <c r="H799" s="109">
        <v>24928.94</v>
      </c>
      <c r="I799" s="109">
        <v>24688.13</v>
      </c>
      <c r="J799" s="109">
        <v>24676.07</v>
      </c>
      <c r="K799" s="109">
        <v>24870.61</v>
      </c>
      <c r="L799" s="109">
        <v>25153.42</v>
      </c>
      <c r="M799" s="16"/>
      <c r="N799" s="53"/>
      <c r="O799" s="53"/>
      <c r="P799" s="63"/>
      <c r="Q799" s="53"/>
      <c r="R799" s="64"/>
      <c r="S799" s="54"/>
      <c r="V799" s="32"/>
      <c r="W799" s="29"/>
    </row>
    <row r="800" spans="1:27">
      <c r="A800" s="100"/>
      <c r="B800" s="122"/>
      <c r="C800" s="57" t="s">
        <v>82</v>
      </c>
      <c r="D800" s="16">
        <f t="shared" ref="D800:L800" si="296">IF(((D798="")*AND(D799="")),"",(D798-D799)*3)</f>
        <v>12741.48</v>
      </c>
      <c r="E800" s="16">
        <f t="shared" si="296"/>
        <v>12525.54</v>
      </c>
      <c r="F800" s="16">
        <f t="shared" si="296"/>
        <v>12219.990000000005</v>
      </c>
      <c r="G800" s="16">
        <f t="shared" si="296"/>
        <v>12477.240000000005</v>
      </c>
      <c r="H800" s="16">
        <f t="shared" si="296"/>
        <v>12287.010000000006</v>
      </c>
      <c r="I800" s="16">
        <f t="shared" si="296"/>
        <v>13038.27</v>
      </c>
      <c r="J800" s="16">
        <f t="shared" si="296"/>
        <v>12719.010000000006</v>
      </c>
      <c r="K800" s="16">
        <f t="shared" si="296"/>
        <v>12115.29</v>
      </c>
      <c r="L800" s="16">
        <f t="shared" si="296"/>
        <v>11631</v>
      </c>
      <c r="M800" s="16"/>
      <c r="N800" s="65"/>
      <c r="O800" s="65"/>
      <c r="P800" s="66"/>
      <c r="Q800" s="65"/>
      <c r="R800" s="67"/>
      <c r="S800" s="58"/>
      <c r="V800" s="33"/>
      <c r="W800" s="29"/>
    </row>
    <row r="801" spans="1:27" ht="15.75">
      <c r="A801" s="86">
        <v>43798</v>
      </c>
      <c r="B801" s="120" t="s">
        <v>348</v>
      </c>
      <c r="C801" s="57" t="s">
        <v>79</v>
      </c>
      <c r="D801">
        <v>29058.25</v>
      </c>
      <c r="E801">
        <v>28950.15</v>
      </c>
      <c r="F801">
        <v>28949.59</v>
      </c>
      <c r="G801">
        <v>28962.95</v>
      </c>
      <c r="H801">
        <v>29057.54</v>
      </c>
      <c r="I801">
        <v>29043.75</v>
      </c>
      <c r="J801">
        <v>28946.41</v>
      </c>
      <c r="K801">
        <v>28957.39</v>
      </c>
      <c r="L801">
        <v>29097.97</v>
      </c>
      <c r="M801" s="16"/>
      <c r="N801" s="59">
        <f>IF((L802=""),"",MAX(D803:L803))</f>
        <v>13611.240000000005</v>
      </c>
      <c r="O801" s="59">
        <f>IF(L802="","",MIN(D803:L803))</f>
        <v>11849.100000000002</v>
      </c>
      <c r="P801" s="60">
        <f>IF((L803=""),"",AVERAGE(D803:L803))</f>
        <v>12858.276666666668</v>
      </c>
      <c r="Q801" s="156">
        <f>IF((L802=""),"",((N801-O801)/(N801+O801)*100))</f>
        <v>6.9211173142228368</v>
      </c>
      <c r="R801" s="61" t="str">
        <f t="shared" ref="R801" si="297">IF(L802="","",IF(Q801&lt;Z801,IF(O801&gt;V801,IF(N801&lt;W801,"PASS","FAIL"),"FAIL"),"FAIL"))</f>
        <v>PASS</v>
      </c>
      <c r="S801" s="62">
        <v>74</v>
      </c>
      <c r="U801" s="9" t="s">
        <v>338</v>
      </c>
      <c r="V801" s="110">
        <v>10000</v>
      </c>
      <c r="W801" s="110">
        <v>15600</v>
      </c>
      <c r="X801" s="111">
        <v>8090</v>
      </c>
      <c r="Y801" s="111">
        <v>12070</v>
      </c>
      <c r="Z801" s="112">
        <v>15</v>
      </c>
      <c r="AA801" s="112">
        <v>6</v>
      </c>
    </row>
    <row r="802" spans="1:27" ht="15.75">
      <c r="A802" s="99"/>
      <c r="B802" s="122"/>
      <c r="C802" s="57" t="s">
        <v>80</v>
      </c>
      <c r="D802">
        <v>24859.7</v>
      </c>
      <c r="E802">
        <v>24639.59</v>
      </c>
      <c r="F802">
        <v>24699.89</v>
      </c>
      <c r="G802">
        <v>24626.560000000001</v>
      </c>
      <c r="H802">
        <v>24697.09</v>
      </c>
      <c r="I802">
        <v>25094.05</v>
      </c>
      <c r="J802">
        <v>24754.38</v>
      </c>
      <c r="K802">
        <v>24517.02</v>
      </c>
      <c r="L802">
        <v>24560.89</v>
      </c>
      <c r="M802" s="16"/>
      <c r="N802" s="53"/>
      <c r="O802" s="53"/>
      <c r="P802" s="63"/>
      <c r="Q802" s="53"/>
      <c r="R802" s="64"/>
      <c r="S802" s="54"/>
      <c r="V802" s="110"/>
      <c r="W802" s="110"/>
      <c r="X802" s="111"/>
      <c r="Y802" s="111"/>
      <c r="Z802" s="112"/>
      <c r="AA802" s="112"/>
    </row>
    <row r="803" spans="1:27">
      <c r="A803" s="100"/>
      <c r="B803" s="122"/>
      <c r="C803" s="57" t="s">
        <v>82</v>
      </c>
      <c r="D803" s="16">
        <f t="shared" ref="D803:L803" si="298">IF(((D801="")*AND(D802="")),"",(D801-D802)*3)</f>
        <v>12595.649999999998</v>
      </c>
      <c r="E803" s="16">
        <f t="shared" si="298"/>
        <v>12931.680000000004</v>
      </c>
      <c r="F803" s="16">
        <f t="shared" si="298"/>
        <v>12749.100000000002</v>
      </c>
      <c r="G803" s="16">
        <f t="shared" si="298"/>
        <v>13009.169999999998</v>
      </c>
      <c r="H803" s="16">
        <f t="shared" si="298"/>
        <v>13081.350000000002</v>
      </c>
      <c r="I803" s="16">
        <f t="shared" si="298"/>
        <v>11849.100000000002</v>
      </c>
      <c r="J803" s="16">
        <f t="shared" si="298"/>
        <v>12576.089999999997</v>
      </c>
      <c r="K803" s="16">
        <f t="shared" si="298"/>
        <v>13321.109999999997</v>
      </c>
      <c r="L803" s="16">
        <f t="shared" si="298"/>
        <v>13611.240000000005</v>
      </c>
      <c r="M803" s="16"/>
      <c r="N803" s="65"/>
      <c r="O803" s="65"/>
      <c r="P803" s="66"/>
      <c r="Q803" s="65"/>
      <c r="R803" s="67"/>
      <c r="S803" s="58"/>
      <c r="V803" s="110"/>
      <c r="W803" s="110"/>
      <c r="X803" s="111"/>
      <c r="Y803" s="111"/>
      <c r="Z803" s="112"/>
      <c r="AA803" s="112"/>
    </row>
    <row r="804" spans="1:27" ht="15.75">
      <c r="A804" s="86">
        <v>43798</v>
      </c>
      <c r="B804" s="120" t="s">
        <v>348</v>
      </c>
      <c r="C804" s="57" t="s">
        <v>79</v>
      </c>
      <c r="D804">
        <v>29141.119999999999</v>
      </c>
      <c r="E804">
        <v>28925.98</v>
      </c>
      <c r="F804">
        <v>28920.06</v>
      </c>
      <c r="G804">
        <v>28962.93</v>
      </c>
      <c r="H804">
        <v>29072.799999999999</v>
      </c>
      <c r="I804">
        <v>29109.919999999998</v>
      </c>
      <c r="J804">
        <v>28913.599999999999</v>
      </c>
      <c r="K804">
        <v>28964.53</v>
      </c>
      <c r="L804">
        <v>29101.93</v>
      </c>
      <c r="M804" s="16"/>
      <c r="N804" s="59">
        <f>IF((L805=""),"",MAX(D806:L806))</f>
        <v>13799.339999999997</v>
      </c>
      <c r="O804" s="59">
        <f>IF(L805="","",MIN(D806:L806))</f>
        <v>12155.73</v>
      </c>
      <c r="P804" s="60">
        <f>IF((L806=""),"",AVERAGE(D806:L806))</f>
        <v>12963.739999999998</v>
      </c>
      <c r="Q804" s="156">
        <f>IF((L805=""),"",((N804-O804)/(N804+O804)*100))</f>
        <v>6.3325200047620642</v>
      </c>
      <c r="R804" s="61" t="str">
        <f>IF(L805="","",IF(Q804&lt;Z804,IF(O804&gt;V804,IF(N804&lt;W804,"PASS","FAIL"),"FAIL"),"FAIL"))</f>
        <v>PASS</v>
      </c>
      <c r="S804" s="62" t="s">
        <v>337</v>
      </c>
      <c r="V804" s="110">
        <v>10000</v>
      </c>
      <c r="W804" s="110">
        <v>15600</v>
      </c>
      <c r="X804" s="111">
        <v>8090</v>
      </c>
      <c r="Y804" s="111">
        <v>12070</v>
      </c>
      <c r="Z804" s="112">
        <v>15</v>
      </c>
      <c r="AA804" s="112">
        <v>6</v>
      </c>
    </row>
    <row r="805" spans="1:27" ht="15.75">
      <c r="A805" s="99"/>
      <c r="B805" s="122"/>
      <c r="C805" s="57" t="s">
        <v>80</v>
      </c>
      <c r="D805">
        <v>24894.85</v>
      </c>
      <c r="E805">
        <v>24563.95</v>
      </c>
      <c r="F805">
        <v>24693.41</v>
      </c>
      <c r="G805">
        <v>24579.94</v>
      </c>
      <c r="H805">
        <v>24730.84</v>
      </c>
      <c r="I805">
        <v>25058.01</v>
      </c>
      <c r="J805">
        <v>24699.49</v>
      </c>
      <c r="K805">
        <v>24499.01</v>
      </c>
      <c r="L805">
        <v>24502.15</v>
      </c>
      <c r="M805" s="16"/>
      <c r="N805" s="53"/>
      <c r="O805" s="53"/>
      <c r="P805" s="63"/>
      <c r="Q805" s="53"/>
      <c r="R805" s="64"/>
      <c r="S805" s="54"/>
    </row>
    <row r="806" spans="1:27">
      <c r="A806" s="100"/>
      <c r="B806" s="122"/>
      <c r="C806" s="57" t="s">
        <v>82</v>
      </c>
      <c r="D806" s="16">
        <f t="shared" ref="D806:L806" si="299">IF(((D804="")*AND(D805="")),"",(D804-D805)*3)</f>
        <v>12738.810000000001</v>
      </c>
      <c r="E806" s="16">
        <f t="shared" si="299"/>
        <v>13086.089999999997</v>
      </c>
      <c r="F806" s="16">
        <f t="shared" si="299"/>
        <v>12679.950000000004</v>
      </c>
      <c r="G806" s="16">
        <f t="shared" si="299"/>
        <v>13148.970000000005</v>
      </c>
      <c r="H806" s="16">
        <f t="shared" si="299"/>
        <v>13025.879999999997</v>
      </c>
      <c r="I806" s="16">
        <f t="shared" si="299"/>
        <v>12155.73</v>
      </c>
      <c r="J806" s="16">
        <f t="shared" si="299"/>
        <v>12642.329999999991</v>
      </c>
      <c r="K806" s="16">
        <f t="shared" si="299"/>
        <v>13396.560000000001</v>
      </c>
      <c r="L806" s="16">
        <f t="shared" si="299"/>
        <v>13799.339999999997</v>
      </c>
      <c r="M806" s="16"/>
      <c r="N806" s="65"/>
      <c r="O806" s="65"/>
      <c r="P806" s="66"/>
      <c r="Q806" s="65"/>
      <c r="R806" s="67"/>
      <c r="S806" s="58"/>
    </row>
    <row r="807" spans="1:27" ht="15.75">
      <c r="A807" s="86">
        <v>43798</v>
      </c>
      <c r="B807" s="120" t="s">
        <v>348</v>
      </c>
      <c r="C807" s="57" t="s">
        <v>79</v>
      </c>
      <c r="D807">
        <v>29029.71</v>
      </c>
      <c r="E807">
        <v>28900.59</v>
      </c>
      <c r="F807">
        <v>28909.040000000001</v>
      </c>
      <c r="G807">
        <v>28893.37</v>
      </c>
      <c r="H807">
        <v>29004.65</v>
      </c>
      <c r="I807">
        <v>29002.560000000001</v>
      </c>
      <c r="J807">
        <v>28883.040000000001</v>
      </c>
      <c r="K807">
        <v>28904.58</v>
      </c>
      <c r="L807">
        <v>28990.74</v>
      </c>
      <c r="M807" s="16"/>
      <c r="N807" s="59">
        <f>IF((L808=""),"",MAX(D809:L809))</f>
        <v>12159.060000000001</v>
      </c>
      <c r="O807" s="59">
        <f>IF(L808="","",MIN(D809:L809))</f>
        <v>11239.590000000007</v>
      </c>
      <c r="P807" s="60">
        <f>IF((L809=""),"",AVERAGE(D809:L809))</f>
        <v>11579.920000000002</v>
      </c>
      <c r="Q807" s="156">
        <f>IF((L808=""),"",((N807-O807)/(N807+O807)*100))</f>
        <v>3.9295856812251713</v>
      </c>
      <c r="R807" s="61" t="str">
        <f>IF(L808="","",IF(Q807&lt;Z807,IF(O807&gt;V807,IF(N807&lt;W807,"PASS","FAIL"),"FAIL"),"FAIL"))</f>
        <v>PASS</v>
      </c>
      <c r="S807" s="62">
        <v>1340</v>
      </c>
      <c r="V807" s="110">
        <v>10000</v>
      </c>
      <c r="W807" s="110">
        <v>15600</v>
      </c>
      <c r="X807" s="111">
        <v>8090</v>
      </c>
      <c r="Y807" s="111">
        <v>12070</v>
      </c>
      <c r="Z807" s="112">
        <v>15</v>
      </c>
      <c r="AA807" s="112">
        <v>6</v>
      </c>
    </row>
    <row r="808" spans="1:27" ht="15.75">
      <c r="A808" s="99"/>
      <c r="B808" s="122"/>
      <c r="C808" s="57" t="s">
        <v>80</v>
      </c>
      <c r="D808">
        <v>25238.07</v>
      </c>
      <c r="E808">
        <v>25056.32</v>
      </c>
      <c r="F808">
        <v>25127.82</v>
      </c>
      <c r="G808">
        <v>25055.07</v>
      </c>
      <c r="H808">
        <v>25141.62</v>
      </c>
      <c r="I808">
        <v>25443.84</v>
      </c>
      <c r="J808">
        <v>25136.51</v>
      </c>
      <c r="K808">
        <v>24974.83</v>
      </c>
      <c r="L808">
        <v>24937.72</v>
      </c>
      <c r="M808" s="16"/>
      <c r="N808" s="53"/>
      <c r="O808" s="53"/>
      <c r="P808" s="63"/>
      <c r="Q808" s="53"/>
      <c r="R808" s="64"/>
      <c r="S808" s="54"/>
    </row>
    <row r="809" spans="1:27">
      <c r="A809" s="100"/>
      <c r="B809" s="122"/>
      <c r="C809" s="57" t="s">
        <v>82</v>
      </c>
      <c r="D809" s="16">
        <f t="shared" ref="D809:L809" si="300">IF(((D807="")*AND(D808="")),"",(D807-D808)*3)</f>
        <v>11374.919999999998</v>
      </c>
      <c r="E809" s="16">
        <f t="shared" si="300"/>
        <v>11532.810000000001</v>
      </c>
      <c r="F809" s="16">
        <f t="shared" si="300"/>
        <v>11343.660000000003</v>
      </c>
      <c r="G809" s="16">
        <f t="shared" si="300"/>
        <v>11514.899999999998</v>
      </c>
      <c r="H809" s="16">
        <f t="shared" si="300"/>
        <v>11589.090000000007</v>
      </c>
      <c r="I809" s="16">
        <v>11676</v>
      </c>
      <c r="J809" s="16">
        <f t="shared" si="300"/>
        <v>11239.590000000007</v>
      </c>
      <c r="K809" s="16">
        <f t="shared" si="300"/>
        <v>11789.25</v>
      </c>
      <c r="L809" s="16">
        <f t="shared" si="300"/>
        <v>12159.060000000001</v>
      </c>
      <c r="M809" s="16"/>
      <c r="N809" s="65"/>
      <c r="O809" s="65"/>
      <c r="P809" s="66"/>
      <c r="Q809" s="65"/>
      <c r="R809" s="67"/>
      <c r="S809" s="58"/>
    </row>
    <row r="810" spans="1:27" ht="15.75">
      <c r="A810" s="86">
        <v>43799</v>
      </c>
      <c r="B810" s="120" t="s">
        <v>348</v>
      </c>
      <c r="C810" s="57" t="s">
        <v>79</v>
      </c>
      <c r="D810">
        <v>29404.97</v>
      </c>
      <c r="E810">
        <v>29274.74</v>
      </c>
      <c r="F810">
        <v>29280.11</v>
      </c>
      <c r="G810">
        <v>29261.23</v>
      </c>
      <c r="H810">
        <v>29376</v>
      </c>
      <c r="I810">
        <v>29363.47</v>
      </c>
      <c r="J810">
        <v>29246.01</v>
      </c>
      <c r="K810">
        <v>29258.19</v>
      </c>
      <c r="L810">
        <v>29384.59</v>
      </c>
      <c r="M810" s="16"/>
      <c r="N810" s="59">
        <f>IF((L811=""),"",MAX(D812:L812))</f>
        <v>14168.069999999996</v>
      </c>
      <c r="O810" s="59">
        <f>IF(L811="","",MIN(D812:L812))</f>
        <v>11676</v>
      </c>
      <c r="P810" s="60">
        <f>IF((L812=""),"",AVERAGE(D812:L812))</f>
        <v>13503.516666666666</v>
      </c>
      <c r="Q810" s="156">
        <f>IF((L811=""),"",((N810-O810)/(N810+O810)*100))</f>
        <v>9.6427149438923365</v>
      </c>
      <c r="R810" s="61" t="str">
        <f>IF(L811="","",IF(Q810&lt;Z810,IF(O810&gt;V810,IF(N810&lt;W810,"PASS","FAIL"),"FAIL"),"FAIL"))</f>
        <v>PASS</v>
      </c>
      <c r="S810" s="62">
        <v>1340</v>
      </c>
      <c r="U810" s="9" t="s">
        <v>338</v>
      </c>
      <c r="V810" s="110">
        <v>10000</v>
      </c>
      <c r="W810" s="110">
        <v>15600</v>
      </c>
      <c r="X810" s="111">
        <v>8090</v>
      </c>
      <c r="Y810" s="111">
        <v>12070</v>
      </c>
      <c r="Z810" s="112">
        <v>15</v>
      </c>
      <c r="AA810" s="112">
        <v>6</v>
      </c>
    </row>
    <row r="811" spans="1:27" ht="15.75">
      <c r="A811" s="99"/>
      <c r="B811" s="122"/>
      <c r="C811" s="57" t="s">
        <v>80</v>
      </c>
      <c r="D811">
        <v>24951.13</v>
      </c>
      <c r="E811">
        <v>24694.35</v>
      </c>
      <c r="F811">
        <v>24772.720000000001</v>
      </c>
      <c r="G811">
        <v>24648.89</v>
      </c>
      <c r="H811">
        <v>24756.16</v>
      </c>
      <c r="I811">
        <v>25113.360000000001</v>
      </c>
      <c r="J811">
        <v>24781.26</v>
      </c>
      <c r="K811">
        <v>24600.880000000001</v>
      </c>
      <c r="L811">
        <v>24661.9</v>
      </c>
      <c r="M811" s="16"/>
      <c r="N811" s="53"/>
      <c r="O811" s="53"/>
      <c r="P811" s="63"/>
      <c r="Q811" s="53"/>
      <c r="R811" s="64"/>
      <c r="S811" s="54"/>
    </row>
    <row r="812" spans="1:27">
      <c r="A812" s="100"/>
      <c r="B812" s="122"/>
      <c r="C812" s="57" t="s">
        <v>82</v>
      </c>
      <c r="D812" s="16">
        <f t="shared" ref="D812:H812" si="301">IF(((D810="")*AND(D811="")),"",(D810-D811)*3)</f>
        <v>13361.52</v>
      </c>
      <c r="E812" s="16">
        <f t="shared" si="301"/>
        <v>13741.170000000009</v>
      </c>
      <c r="F812" s="16">
        <f t="shared" si="301"/>
        <v>13522.169999999998</v>
      </c>
      <c r="G812" s="16">
        <f t="shared" si="301"/>
        <v>13837.02</v>
      </c>
      <c r="H812" s="16">
        <f t="shared" si="301"/>
        <v>13859.52</v>
      </c>
      <c r="I812" s="16">
        <v>11676</v>
      </c>
      <c r="J812" s="16">
        <f t="shared" ref="J812:L812" si="302">IF(((J810="")*AND(J811="")),"",(J810-J811)*3)</f>
        <v>13394.25</v>
      </c>
      <c r="K812" s="16">
        <f t="shared" si="302"/>
        <v>13971.929999999993</v>
      </c>
      <c r="L812" s="16">
        <f t="shared" si="302"/>
        <v>14168.069999999996</v>
      </c>
      <c r="M812" s="16"/>
      <c r="N812" s="65"/>
      <c r="O812" s="65"/>
      <c r="P812" s="66"/>
      <c r="Q812" s="65"/>
      <c r="R812" s="67"/>
      <c r="S812" s="58"/>
    </row>
    <row r="813" spans="1:27" ht="15.75">
      <c r="A813" s="86">
        <v>43800</v>
      </c>
      <c r="B813" s="120" t="s">
        <v>348</v>
      </c>
      <c r="C813" s="57" t="s">
        <v>79</v>
      </c>
      <c r="D813">
        <v>29262.49</v>
      </c>
      <c r="E813">
        <v>29132.9</v>
      </c>
      <c r="F813">
        <v>29140.080000000002</v>
      </c>
      <c r="G813">
        <v>29141.78</v>
      </c>
      <c r="H813">
        <v>29275.22</v>
      </c>
      <c r="I813">
        <v>29218.28</v>
      </c>
      <c r="J813">
        <v>29122.400000000001</v>
      </c>
      <c r="K813">
        <v>29127.64</v>
      </c>
      <c r="L813">
        <v>29247.96</v>
      </c>
      <c r="M813" s="16"/>
      <c r="N813" s="59">
        <f>IF((L814=""),"",MAX(D815:L815))</f>
        <v>13170.090000000007</v>
      </c>
      <c r="O813" s="59">
        <f>IF(L814="","",MIN(D815:L815))</f>
        <v>12120.389999999992</v>
      </c>
      <c r="P813" s="60">
        <f>IF((L815=""),"",AVERAGE(D815:L815))</f>
        <v>12731.330000000004</v>
      </c>
      <c r="Q813" s="156">
        <f>IF((L814=""),"",((N813-O813)/(N813+O813)*100))</f>
        <v>4.1505736545926188</v>
      </c>
      <c r="R813" s="61" t="str">
        <f>IF(L814="","",IF(Q813&lt;Z813,IF(O813&gt;V813,IF(N813&lt;W813,"PASS","FAIL"),"FAIL"),"FAIL"))</f>
        <v>PASS</v>
      </c>
      <c r="S813" s="62">
        <v>74</v>
      </c>
      <c r="T813" s="9" t="s">
        <v>339</v>
      </c>
      <c r="V813" s="110">
        <v>10000</v>
      </c>
      <c r="W813" s="110">
        <v>15600</v>
      </c>
      <c r="X813" s="111">
        <v>8090</v>
      </c>
      <c r="Y813" s="111">
        <v>12070</v>
      </c>
      <c r="Z813" s="112">
        <v>15</v>
      </c>
      <c r="AA813" s="112">
        <v>6</v>
      </c>
    </row>
    <row r="814" spans="1:27" ht="15.75">
      <c r="A814" s="99"/>
      <c r="B814" s="122"/>
      <c r="C814" s="57" t="s">
        <v>80</v>
      </c>
      <c r="D814">
        <v>25172.25</v>
      </c>
      <c r="E814">
        <v>24874.67</v>
      </c>
      <c r="F814">
        <v>24912.25</v>
      </c>
      <c r="G814">
        <v>24785.3</v>
      </c>
      <c r="H814">
        <v>24885.19</v>
      </c>
      <c r="I814">
        <v>25178.15</v>
      </c>
      <c r="J814">
        <v>24884.95</v>
      </c>
      <c r="K814">
        <v>24844.080000000002</v>
      </c>
      <c r="L814">
        <v>24937.919999999998</v>
      </c>
      <c r="M814" s="16"/>
      <c r="N814" s="53"/>
      <c r="O814" s="53"/>
      <c r="P814" s="63"/>
      <c r="Q814" s="53"/>
      <c r="R814" s="64"/>
      <c r="S814" s="54"/>
    </row>
    <row r="815" spans="1:27">
      <c r="A815" s="100"/>
      <c r="B815" s="122"/>
      <c r="C815" s="57" t="s">
        <v>82</v>
      </c>
      <c r="D815" s="16">
        <f t="shared" ref="D815:L815" si="303">IF(((D813="")*AND(D814="")),"",(D813-D814)*3)</f>
        <v>12270.720000000005</v>
      </c>
      <c r="E815" s="16">
        <f t="shared" si="303"/>
        <v>12774.69000000001</v>
      </c>
      <c r="F815" s="16">
        <f t="shared" si="303"/>
        <v>12683.490000000005</v>
      </c>
      <c r="G815" s="16">
        <f t="shared" si="303"/>
        <v>13069.439999999999</v>
      </c>
      <c r="H815" s="16">
        <f t="shared" si="303"/>
        <v>13170.090000000007</v>
      </c>
      <c r="I815" s="16">
        <f t="shared" si="303"/>
        <v>12120.389999999992</v>
      </c>
      <c r="J815" s="16">
        <f t="shared" si="303"/>
        <v>12712.350000000002</v>
      </c>
      <c r="K815" s="16">
        <f t="shared" si="303"/>
        <v>12850.679999999993</v>
      </c>
      <c r="L815" s="16">
        <f t="shared" si="303"/>
        <v>12930.120000000003</v>
      </c>
      <c r="M815" s="16"/>
      <c r="N815" s="65"/>
      <c r="O815" s="65"/>
      <c r="P815" s="66"/>
      <c r="Q815" s="65"/>
      <c r="R815" s="67"/>
      <c r="S815" s="58"/>
    </row>
    <row r="816" spans="1:27" ht="31.5">
      <c r="A816" s="86">
        <v>43801</v>
      </c>
      <c r="B816" s="120" t="s">
        <v>348</v>
      </c>
      <c r="C816" s="57" t="s">
        <v>79</v>
      </c>
      <c r="D816">
        <v>29337.55</v>
      </c>
      <c r="E816">
        <v>29232.85</v>
      </c>
      <c r="F816">
        <v>29243.51</v>
      </c>
      <c r="G816">
        <v>29258.74</v>
      </c>
      <c r="H816">
        <v>29360.63</v>
      </c>
      <c r="I816">
        <v>29361.19</v>
      </c>
      <c r="J816">
        <v>29247.22</v>
      </c>
      <c r="K816">
        <v>29211.48</v>
      </c>
      <c r="L816">
        <v>29336.83</v>
      </c>
      <c r="M816" s="16"/>
      <c r="N816" s="59">
        <f>IF((L817=""),"",MAX(D818:L818))</f>
        <v>13278.990000000005</v>
      </c>
      <c r="O816" s="59">
        <f>IF(L817="","",MIN(D818:L818))</f>
        <v>12577.199999999993</v>
      </c>
      <c r="P816" s="60">
        <f>IF((L818=""),"",AVERAGE(D818:L818))</f>
        <v>12947.323333333332</v>
      </c>
      <c r="Q816" s="156">
        <f>IF((L817=""),"",((N816-O816)/(N816+O816)*100))</f>
        <v>2.7142049930790724</v>
      </c>
      <c r="R816" s="61" t="str">
        <f>IF(L817="","",IF(Q816&lt;Z816,IF(O816&gt;V816,IF(N816&lt;W816,"PASS","FAIL"),"FAIL"),"FAIL"))</f>
        <v>PASS</v>
      </c>
      <c r="S816" s="62">
        <v>1159</v>
      </c>
      <c r="T816" s="9" t="s">
        <v>341</v>
      </c>
      <c r="U816" s="3" t="s">
        <v>356</v>
      </c>
      <c r="V816" s="110">
        <v>10000</v>
      </c>
      <c r="W816" s="110">
        <v>15600</v>
      </c>
      <c r="X816" s="111">
        <v>8090</v>
      </c>
      <c r="Y816" s="111">
        <v>12070</v>
      </c>
      <c r="Z816" s="112">
        <v>15</v>
      </c>
      <c r="AA816" s="112">
        <v>6</v>
      </c>
    </row>
    <row r="817" spans="1:27" ht="15.75">
      <c r="A817" s="99"/>
      <c r="B817" s="122"/>
      <c r="C817" s="57" t="s">
        <v>80</v>
      </c>
      <c r="D817">
        <v>25056.26</v>
      </c>
      <c r="E817">
        <v>24883.07</v>
      </c>
      <c r="F817">
        <v>24987.83</v>
      </c>
      <c r="G817">
        <v>24911.05</v>
      </c>
      <c r="H817">
        <v>25029.03</v>
      </c>
      <c r="I817">
        <v>25168.79</v>
      </c>
      <c r="J817">
        <v>24946.32</v>
      </c>
      <c r="K817">
        <v>24855.18</v>
      </c>
      <c r="L817">
        <v>24910.5</v>
      </c>
      <c r="M817" s="16"/>
      <c r="N817" s="53"/>
      <c r="O817" s="53"/>
      <c r="P817" s="63"/>
      <c r="Q817" s="53"/>
      <c r="R817" s="64"/>
      <c r="S817" s="54"/>
      <c r="V817" s="32"/>
      <c r="W817" s="29"/>
    </row>
    <row r="818" spans="1:27">
      <c r="A818" s="100"/>
      <c r="B818" s="122"/>
      <c r="C818" s="57" t="s">
        <v>82</v>
      </c>
      <c r="D818" s="16">
        <f t="shared" ref="D818:L818" si="304">IF(((D816="")*AND(D817="")),"",(D816-D817)*3)</f>
        <v>12843.870000000003</v>
      </c>
      <c r="E818" s="16">
        <f t="shared" si="304"/>
        <v>13049.339999999997</v>
      </c>
      <c r="F818" s="16">
        <f t="shared" si="304"/>
        <v>12767.03999999999</v>
      </c>
      <c r="G818" s="16">
        <f t="shared" si="304"/>
        <v>13043.070000000007</v>
      </c>
      <c r="H818" s="16">
        <f t="shared" si="304"/>
        <v>12994.800000000007</v>
      </c>
      <c r="I818" s="16">
        <f t="shared" si="304"/>
        <v>12577.199999999993</v>
      </c>
      <c r="J818" s="16">
        <f t="shared" si="304"/>
        <v>12902.700000000004</v>
      </c>
      <c r="K818" s="16">
        <f t="shared" si="304"/>
        <v>13068.899999999998</v>
      </c>
      <c r="L818" s="16">
        <f t="shared" si="304"/>
        <v>13278.990000000005</v>
      </c>
      <c r="M818" s="16"/>
      <c r="N818" s="65"/>
      <c r="O818" s="65"/>
      <c r="P818" s="66"/>
      <c r="Q818" s="65"/>
      <c r="R818" s="67"/>
      <c r="S818" s="58"/>
      <c r="V818" s="33"/>
      <c r="W818" s="29"/>
    </row>
    <row r="819" spans="1:27" ht="15.75">
      <c r="A819" s="86">
        <v>43805</v>
      </c>
      <c r="B819" s="120" t="s">
        <v>348</v>
      </c>
      <c r="C819" s="57" t="s">
        <v>79</v>
      </c>
      <c r="D819">
        <v>29068.2</v>
      </c>
      <c r="E819">
        <v>28920.69</v>
      </c>
      <c r="F819">
        <v>28914.080000000002</v>
      </c>
      <c r="G819">
        <v>28914.3</v>
      </c>
      <c r="H819">
        <v>29019.200000000001</v>
      </c>
      <c r="I819">
        <v>29014.1</v>
      </c>
      <c r="J819">
        <v>28902.959999999999</v>
      </c>
      <c r="K819">
        <v>28913.65</v>
      </c>
      <c r="L819">
        <v>29000.18</v>
      </c>
      <c r="M819" s="16"/>
      <c r="N819" s="59">
        <f>IF((L820=""),"",MAX(D821:L821))</f>
        <v>17163.899999999998</v>
      </c>
      <c r="O819" s="59">
        <f>IF(L820="","",MIN(D821:L821))</f>
        <v>14659.619999999992</v>
      </c>
      <c r="P819" s="60">
        <f>IF((L821=""),"",AVERAGE(D821:L821))</f>
        <v>16177.969999999998</v>
      </c>
      <c r="Q819" s="156">
        <f>IF((L820=""),"",((N819-O819)/(N819+O819)*100))</f>
        <v>7.8692740463657289</v>
      </c>
      <c r="R819" s="61" t="str">
        <f>IF(L820="","",IF(Q819&lt;Z819,IF(O819&gt;V819,IF(N819&lt;W819,"PASS","FAIL"),"FAIL"),"FAIL"))</f>
        <v>FAIL</v>
      </c>
      <c r="S819" s="62" t="s">
        <v>208</v>
      </c>
      <c r="V819" s="110">
        <v>10000</v>
      </c>
      <c r="W819" s="110">
        <v>15600</v>
      </c>
      <c r="X819" s="111">
        <v>8090</v>
      </c>
      <c r="Y819" s="111">
        <v>12070</v>
      </c>
      <c r="Z819" s="112">
        <v>15</v>
      </c>
      <c r="AA819" s="112">
        <v>6</v>
      </c>
    </row>
    <row r="820" spans="1:27" ht="15.75">
      <c r="A820" s="99"/>
      <c r="B820" s="122"/>
      <c r="C820" s="57" t="s">
        <v>80</v>
      </c>
      <c r="D820">
        <v>23959.74</v>
      </c>
      <c r="E820">
        <v>23477.61</v>
      </c>
      <c r="F820">
        <v>23387.34</v>
      </c>
      <c r="G820">
        <v>23398.19</v>
      </c>
      <c r="H820">
        <v>23641.69</v>
      </c>
      <c r="I820">
        <v>24127.56</v>
      </c>
      <c r="J820">
        <v>23585.83</v>
      </c>
      <c r="K820">
        <v>23276.61</v>
      </c>
      <c r="L820">
        <v>23278.880000000001</v>
      </c>
      <c r="M820" s="16"/>
      <c r="N820" s="53"/>
      <c r="O820" s="53"/>
      <c r="P820" s="63"/>
      <c r="Q820" s="53"/>
      <c r="R820" s="64"/>
      <c r="S820" s="54"/>
      <c r="V820" s="32"/>
      <c r="W820" s="29"/>
    </row>
    <row r="821" spans="1:27">
      <c r="A821" s="100"/>
      <c r="B821" s="122"/>
      <c r="C821" s="57" t="s">
        <v>82</v>
      </c>
      <c r="D821" s="16">
        <f t="shared" ref="D821:L821" si="305">IF(((D819="")*AND(D820="")),"",(D819-D820)*3)</f>
        <v>15325.379999999997</v>
      </c>
      <c r="E821" s="16">
        <f t="shared" si="305"/>
        <v>16329.239999999994</v>
      </c>
      <c r="F821" s="16">
        <f t="shared" si="305"/>
        <v>16580.220000000005</v>
      </c>
      <c r="G821" s="16">
        <f t="shared" si="305"/>
        <v>16548.330000000002</v>
      </c>
      <c r="H821" s="16">
        <f t="shared" si="305"/>
        <v>16132.530000000006</v>
      </c>
      <c r="I821" s="16">
        <f t="shared" si="305"/>
        <v>14659.619999999992</v>
      </c>
      <c r="J821" s="16">
        <f t="shared" si="305"/>
        <v>15951.389999999992</v>
      </c>
      <c r="K821" s="16">
        <f t="shared" si="305"/>
        <v>16911.120000000003</v>
      </c>
      <c r="L821" s="16">
        <f t="shared" si="305"/>
        <v>17163.899999999998</v>
      </c>
      <c r="M821" s="16"/>
      <c r="N821" s="65"/>
      <c r="O821" s="65"/>
      <c r="P821" s="66"/>
      <c r="Q821" s="65"/>
      <c r="R821" s="67"/>
      <c r="S821" s="58"/>
      <c r="V821" s="33"/>
      <c r="W821" s="29"/>
    </row>
    <row r="822" spans="1:27" ht="15.75">
      <c r="A822" s="86">
        <v>43805</v>
      </c>
      <c r="B822" s="120" t="s">
        <v>348</v>
      </c>
      <c r="C822" s="57" t="s">
        <v>79</v>
      </c>
      <c r="D822">
        <v>29273.19</v>
      </c>
      <c r="E822">
        <v>29158.240000000002</v>
      </c>
      <c r="F822">
        <v>29155.64</v>
      </c>
      <c r="G822">
        <v>29154.799999999999</v>
      </c>
      <c r="H822">
        <v>29270.98</v>
      </c>
      <c r="I822">
        <v>29256.75</v>
      </c>
      <c r="J822">
        <v>29145.65</v>
      </c>
      <c r="K822">
        <v>29154.9</v>
      </c>
      <c r="L822">
        <v>29261.63</v>
      </c>
      <c r="M822" s="16"/>
      <c r="N822" s="59">
        <f>IF((L823=""),"",MAX(D824:L824))</f>
        <v>15768.54</v>
      </c>
      <c r="O822" s="59">
        <f>IF(L823="","",MIN(D824:L824))</f>
        <v>14088.839999999997</v>
      </c>
      <c r="P822" s="60">
        <f>IF((L824=""),"",AVERAGE(D824:L824))</f>
        <v>15164.793333333335</v>
      </c>
      <c r="Q822" s="156">
        <f>IF((L823=""),"",((N822-O822)/(N822+O822)*100))</f>
        <v>5.6257447907351699</v>
      </c>
      <c r="R822" s="61" t="str">
        <f>IF(L823="","",IF(Q822&lt;Z822,IF(O822&gt;V822,IF(N822&lt;W822,"PASS","FAIL"),"FAIL"),"FAIL"))</f>
        <v>FAIL</v>
      </c>
      <c r="S822" s="62">
        <v>1159</v>
      </c>
      <c r="V822" s="110">
        <v>10000</v>
      </c>
      <c r="W822" s="110">
        <v>15600</v>
      </c>
      <c r="X822" s="111">
        <v>8090</v>
      </c>
      <c r="Y822" s="111">
        <v>12070</v>
      </c>
      <c r="Z822" s="112">
        <v>15</v>
      </c>
      <c r="AA822" s="112">
        <v>6</v>
      </c>
    </row>
    <row r="823" spans="1:27" ht="15.75">
      <c r="A823" s="99"/>
      <c r="B823" s="122"/>
      <c r="C823" s="57" t="s">
        <v>80</v>
      </c>
      <c r="D823">
        <v>24290.65</v>
      </c>
      <c r="E823">
        <v>24023.88</v>
      </c>
      <c r="F823">
        <v>24084.07</v>
      </c>
      <c r="G823">
        <v>24033.39</v>
      </c>
      <c r="H823">
        <v>24266.03</v>
      </c>
      <c r="I823">
        <v>24560.47</v>
      </c>
      <c r="J823">
        <v>24144.29</v>
      </c>
      <c r="K823">
        <v>23929.17</v>
      </c>
      <c r="L823">
        <v>24005.45</v>
      </c>
      <c r="M823" s="16"/>
      <c r="N823" s="53"/>
      <c r="O823" s="53"/>
      <c r="P823" s="63"/>
      <c r="Q823" s="53"/>
      <c r="R823" s="64"/>
      <c r="S823" s="54"/>
      <c r="V823" s="32"/>
      <c r="W823" s="29"/>
    </row>
    <row r="824" spans="1:27">
      <c r="A824" s="100"/>
      <c r="B824" s="122"/>
      <c r="C824" s="57" t="s">
        <v>82</v>
      </c>
      <c r="D824" s="16">
        <f t="shared" ref="D824:L824" si="306">IF(((D822="")*AND(D823="")),"",(D822-D823)*3)</f>
        <v>14947.619999999992</v>
      </c>
      <c r="E824" s="16">
        <f t="shared" si="306"/>
        <v>15403.080000000002</v>
      </c>
      <c r="F824" s="16">
        <f t="shared" si="306"/>
        <v>15214.71</v>
      </c>
      <c r="G824" s="16">
        <f t="shared" si="306"/>
        <v>15364.23</v>
      </c>
      <c r="H824" s="16">
        <f t="shared" si="306"/>
        <v>15014.850000000002</v>
      </c>
      <c r="I824" s="16">
        <f t="shared" si="306"/>
        <v>14088.839999999997</v>
      </c>
      <c r="J824" s="16">
        <f t="shared" si="306"/>
        <v>15004.080000000002</v>
      </c>
      <c r="K824" s="16">
        <f t="shared" si="306"/>
        <v>15677.19000000001</v>
      </c>
      <c r="L824" s="16">
        <f t="shared" si="306"/>
        <v>15768.54</v>
      </c>
      <c r="M824" s="16"/>
      <c r="N824" s="65"/>
      <c r="O824" s="65"/>
      <c r="P824" s="66"/>
      <c r="Q824" s="65"/>
      <c r="R824" s="67"/>
      <c r="S824" s="58"/>
      <c r="V824" s="33"/>
      <c r="W824" s="29"/>
    </row>
    <row r="825" spans="1:27" ht="15.75">
      <c r="A825" s="86">
        <v>43805</v>
      </c>
      <c r="B825" s="120" t="s">
        <v>348</v>
      </c>
      <c r="C825" s="57" t="s">
        <v>79</v>
      </c>
      <c r="D825">
        <v>29254.37</v>
      </c>
      <c r="E825">
        <v>29137.58</v>
      </c>
      <c r="F825">
        <v>29152.31</v>
      </c>
      <c r="G825">
        <v>29149.11</v>
      </c>
      <c r="H825">
        <v>29241.18</v>
      </c>
      <c r="I825">
        <v>29272.79</v>
      </c>
      <c r="J825">
        <v>29145.49</v>
      </c>
      <c r="K825">
        <v>29155.58</v>
      </c>
      <c r="L825">
        <v>29299.33</v>
      </c>
      <c r="M825" s="16"/>
      <c r="N825" s="59">
        <f>IF((L826=""),"",MAX(D827:L827))</f>
        <v>14409.930000000004</v>
      </c>
      <c r="O825" s="59">
        <f>IF(L826="","",MIN(D827:L827))</f>
        <v>12809.25</v>
      </c>
      <c r="P825" s="60">
        <f>IF((L827=""),"",AVERAGE(D827:L827))</f>
        <v>13727.723333333335</v>
      </c>
      <c r="Q825" s="156">
        <f>IF((L826=""),"",((N825-O825)/(N825+O825)*100))</f>
        <v>5.880706178510902</v>
      </c>
      <c r="R825" s="61" t="str">
        <f>IF(L826="","",IF(Q825&lt;Z825,IF(O825&gt;V825,IF(N825&lt;W825,"PASS","FAIL"),"FAIL"),"FAIL"))</f>
        <v>PASS</v>
      </c>
      <c r="S825" s="62" t="s">
        <v>349</v>
      </c>
      <c r="T825" s="9" t="s">
        <v>344</v>
      </c>
      <c r="U825" s="3" t="s">
        <v>355</v>
      </c>
      <c r="V825" s="110">
        <v>10000</v>
      </c>
      <c r="W825" s="110">
        <v>15600</v>
      </c>
      <c r="X825" s="111">
        <v>8090</v>
      </c>
      <c r="Y825" s="111">
        <v>12070</v>
      </c>
      <c r="Z825" s="112">
        <v>15</v>
      </c>
      <c r="AA825" s="112">
        <v>6</v>
      </c>
    </row>
    <row r="826" spans="1:27" ht="15.75">
      <c r="A826" s="99"/>
      <c r="B826" s="122"/>
      <c r="C826" s="57" t="s">
        <v>80</v>
      </c>
      <c r="D826">
        <v>24791.93</v>
      </c>
      <c r="E826">
        <v>24530.9</v>
      </c>
      <c r="F826">
        <v>24568.23</v>
      </c>
      <c r="G826">
        <v>24504.15</v>
      </c>
      <c r="H826">
        <v>24690</v>
      </c>
      <c r="I826">
        <v>25003.040000000001</v>
      </c>
      <c r="J826">
        <v>24624.74</v>
      </c>
      <c r="K826">
        <v>24415.56</v>
      </c>
      <c r="L826">
        <v>24496.02</v>
      </c>
      <c r="M826" s="16"/>
      <c r="N826" s="53"/>
      <c r="O826" s="53"/>
      <c r="P826" s="63"/>
      <c r="Q826" s="53"/>
      <c r="R826" s="64"/>
      <c r="S826" s="54"/>
      <c r="V826" s="32"/>
      <c r="W826" s="29"/>
    </row>
    <row r="827" spans="1:27">
      <c r="A827" s="100"/>
      <c r="B827" s="122"/>
      <c r="C827" s="57" t="s">
        <v>82</v>
      </c>
      <c r="D827" s="16">
        <f t="shared" ref="D827:L827" si="307">IF(((D825="")*AND(D826="")),"",(D825-D826)*3)</f>
        <v>13387.319999999996</v>
      </c>
      <c r="E827" s="16">
        <f t="shared" si="307"/>
        <v>13820.04</v>
      </c>
      <c r="F827" s="16">
        <f t="shared" si="307"/>
        <v>13752.240000000005</v>
      </c>
      <c r="G827" s="16">
        <f t="shared" si="307"/>
        <v>13934.879999999997</v>
      </c>
      <c r="H827" s="16">
        <f t="shared" si="307"/>
        <v>13653.54</v>
      </c>
      <c r="I827" s="16">
        <f t="shared" si="307"/>
        <v>12809.25</v>
      </c>
      <c r="J827" s="16">
        <f t="shared" si="307"/>
        <v>13562.25</v>
      </c>
      <c r="K827" s="16">
        <f t="shared" si="307"/>
        <v>14220.060000000001</v>
      </c>
      <c r="L827" s="16">
        <f t="shared" si="307"/>
        <v>14409.930000000004</v>
      </c>
      <c r="M827" s="16"/>
      <c r="N827" s="65"/>
      <c r="O827" s="65"/>
      <c r="P827" s="66"/>
      <c r="Q827" s="65"/>
      <c r="R827" s="67"/>
      <c r="S827" s="58"/>
      <c r="V827" s="33"/>
      <c r="W827" s="29"/>
    </row>
    <row r="828" spans="1:27" ht="15.75">
      <c r="A828" s="86">
        <v>43809</v>
      </c>
      <c r="B828" s="120" t="s">
        <v>348</v>
      </c>
      <c r="C828" s="57" t="s">
        <v>79</v>
      </c>
      <c r="D828">
        <v>28992.62</v>
      </c>
      <c r="E828">
        <v>28849.279999999999</v>
      </c>
      <c r="F828">
        <v>28829.81</v>
      </c>
      <c r="G828">
        <v>28846.22</v>
      </c>
      <c r="H828">
        <v>28977.02</v>
      </c>
      <c r="I828">
        <v>28943.63</v>
      </c>
      <c r="J828">
        <v>28838.1</v>
      </c>
      <c r="K828">
        <v>28841.22</v>
      </c>
      <c r="L828">
        <v>28984.11</v>
      </c>
      <c r="M828" s="16"/>
      <c r="N828" s="59">
        <f>IF((L829=""),"",MAX(D830:L830))</f>
        <v>13736.129999999997</v>
      </c>
      <c r="O828" s="59">
        <f>IF(L829="","",MIN(D830:L830))</f>
        <v>11737.110000000008</v>
      </c>
      <c r="P828" s="60">
        <f>IF((L830=""),"",AVERAGE(D830:L830))</f>
        <v>12816.023333333333</v>
      </c>
      <c r="Q828" s="156">
        <f>IF((L829=""),"",((N828-O828)/(N828+O828)*100))</f>
        <v>7.8475294073309438</v>
      </c>
      <c r="R828" s="61" t="str">
        <f>IF(L829="","",IF(Q828&lt;Z828,IF(O828&gt;V828,IF(N828&lt;W828,"PASS","FAIL"),"FAIL"),"FAIL"))</f>
        <v>PASS</v>
      </c>
      <c r="S828" s="62">
        <v>1340</v>
      </c>
      <c r="V828" s="110">
        <v>10000</v>
      </c>
      <c r="W828" s="110">
        <v>15600</v>
      </c>
      <c r="X828" s="111">
        <v>8090</v>
      </c>
      <c r="Y828" s="111">
        <v>12070</v>
      </c>
      <c r="Z828" s="112">
        <v>15</v>
      </c>
      <c r="AA828" s="112">
        <v>6</v>
      </c>
    </row>
    <row r="829" spans="1:27" ht="15.75">
      <c r="A829" s="99"/>
      <c r="B829" s="122"/>
      <c r="C829" s="57" t="s">
        <v>80</v>
      </c>
      <c r="D829">
        <v>24843.99</v>
      </c>
      <c r="E829">
        <v>24546.98</v>
      </c>
      <c r="F829">
        <v>24587.99</v>
      </c>
      <c r="G829">
        <v>24512.69</v>
      </c>
      <c r="H829">
        <v>24664.84</v>
      </c>
      <c r="I829">
        <v>25031.26</v>
      </c>
      <c r="J829">
        <v>24639.040000000001</v>
      </c>
      <c r="K829">
        <v>24421.75</v>
      </c>
      <c r="L829">
        <v>24405.4</v>
      </c>
      <c r="M829" s="16"/>
      <c r="N829" s="53"/>
      <c r="O829" s="53"/>
      <c r="P829" s="63"/>
      <c r="Q829" s="53"/>
      <c r="R829" s="64"/>
      <c r="S829" s="54"/>
      <c r="V829" s="110"/>
      <c r="W829" s="110"/>
      <c r="X829" s="111"/>
      <c r="Y829" s="111"/>
      <c r="Z829" s="112"/>
      <c r="AA829" s="112"/>
    </row>
    <row r="830" spans="1:27">
      <c r="A830" s="100"/>
      <c r="B830" s="122"/>
      <c r="C830" s="57" t="s">
        <v>82</v>
      </c>
      <c r="D830" s="16">
        <f t="shared" ref="D830:L830" si="308">IF(((D828="")*AND(D829="")),"",(D828-D829)*3)</f>
        <v>12445.889999999992</v>
      </c>
      <c r="E830" s="16">
        <f t="shared" si="308"/>
        <v>12906.899999999998</v>
      </c>
      <c r="F830" s="16">
        <f t="shared" si="308"/>
        <v>12725.46</v>
      </c>
      <c r="G830" s="16">
        <f t="shared" si="308"/>
        <v>13000.590000000007</v>
      </c>
      <c r="H830" s="16">
        <f t="shared" si="308"/>
        <v>12936.54</v>
      </c>
      <c r="I830" s="16">
        <f t="shared" si="308"/>
        <v>11737.110000000008</v>
      </c>
      <c r="J830" s="16">
        <f t="shared" si="308"/>
        <v>12597.179999999993</v>
      </c>
      <c r="K830" s="16">
        <f t="shared" si="308"/>
        <v>13258.410000000003</v>
      </c>
      <c r="L830" s="16">
        <f t="shared" si="308"/>
        <v>13736.129999999997</v>
      </c>
      <c r="M830" s="16"/>
      <c r="N830" s="65"/>
      <c r="O830" s="65"/>
      <c r="P830" s="66"/>
      <c r="Q830" s="65"/>
      <c r="R830" s="67"/>
      <c r="S830" s="58"/>
      <c r="V830" s="110"/>
      <c r="W830" s="110"/>
      <c r="X830" s="111"/>
      <c r="Y830" s="111"/>
      <c r="Z830" s="112"/>
      <c r="AA830" s="112"/>
    </row>
    <row r="831" spans="1:27" ht="15.75">
      <c r="A831" s="86">
        <v>43809</v>
      </c>
      <c r="B831" s="120" t="s">
        <v>348</v>
      </c>
      <c r="C831" s="57" t="s">
        <v>79</v>
      </c>
      <c r="D831">
        <v>29247.919999999998</v>
      </c>
      <c r="E831">
        <v>29136.51</v>
      </c>
      <c r="F831">
        <v>29104.75</v>
      </c>
      <c r="G831">
        <v>29112.83</v>
      </c>
      <c r="H831">
        <v>29247.41</v>
      </c>
      <c r="I831">
        <v>29263.77</v>
      </c>
      <c r="J831">
        <v>29119.53</v>
      </c>
      <c r="K831">
        <v>29133.13</v>
      </c>
      <c r="L831">
        <v>29238.28</v>
      </c>
      <c r="M831" s="16"/>
      <c r="N831" s="59">
        <f>IF((L832=""),"",MAX(D833:L833))</f>
        <v>12873.240000000005</v>
      </c>
      <c r="O831" s="59">
        <f>IF(L832="","",MIN(D833:L833))</f>
        <v>11569.469999999994</v>
      </c>
      <c r="P831" s="60">
        <f>IF((L833=""),"",AVERAGE(D833:L833))</f>
        <v>12262.096666666666</v>
      </c>
      <c r="Q831" s="156">
        <f>IF((L832=""),"",((N831-O831)/(N831+O831)*100))</f>
        <v>5.3339830157949404</v>
      </c>
      <c r="R831" s="61" t="str">
        <f>IF(L832="","",IF(Q831&lt;Z831,IF(O831&gt;V831,IF(N831&lt;W831,"PASS","FAIL"),"FAIL"),"FAIL"))</f>
        <v>PASS</v>
      </c>
      <c r="S831" s="62">
        <v>1340</v>
      </c>
      <c r="T831" s="9" t="s">
        <v>351</v>
      </c>
      <c r="V831" s="110">
        <v>10000</v>
      </c>
      <c r="W831" s="110">
        <v>15600</v>
      </c>
      <c r="X831" s="111">
        <v>8090</v>
      </c>
      <c r="Y831" s="111">
        <v>12070</v>
      </c>
      <c r="Z831" s="112">
        <v>15</v>
      </c>
      <c r="AA831" s="112">
        <v>6</v>
      </c>
    </row>
    <row r="832" spans="1:27" ht="15.75">
      <c r="A832" s="99"/>
      <c r="B832" s="122"/>
      <c r="C832" s="57" t="s">
        <v>80</v>
      </c>
      <c r="D832">
        <v>25101.89</v>
      </c>
      <c r="E832">
        <v>24980.93</v>
      </c>
      <c r="F832">
        <v>25046.82</v>
      </c>
      <c r="G832">
        <v>25029.77</v>
      </c>
      <c r="H832">
        <v>25278.63</v>
      </c>
      <c r="I832">
        <v>24972.69</v>
      </c>
      <c r="J832">
        <v>24956.1</v>
      </c>
      <c r="K832">
        <v>25069.22</v>
      </c>
      <c r="L832">
        <v>25381.79</v>
      </c>
      <c r="M832" s="16"/>
      <c r="N832" s="53"/>
      <c r="O832" s="53"/>
      <c r="P832" s="63"/>
      <c r="Q832" s="53"/>
      <c r="R832" s="64"/>
      <c r="S832" s="54"/>
    </row>
    <row r="833" spans="1:27">
      <c r="A833" s="100"/>
      <c r="B833" s="122"/>
      <c r="C833" s="57" t="s">
        <v>82</v>
      </c>
      <c r="D833" s="16">
        <f t="shared" ref="D833:L833" si="309">IF(((D831="")*AND(D832="")),"",(D831-D832)*3)</f>
        <v>12438.089999999997</v>
      </c>
      <c r="E833" s="16">
        <f t="shared" si="309"/>
        <v>12466.739999999994</v>
      </c>
      <c r="F833" s="16">
        <f t="shared" si="309"/>
        <v>12173.79</v>
      </c>
      <c r="G833" s="16">
        <f t="shared" si="309"/>
        <v>12249.180000000004</v>
      </c>
      <c r="H833" s="16">
        <f t="shared" si="309"/>
        <v>11906.339999999997</v>
      </c>
      <c r="I833" s="16">
        <f t="shared" si="309"/>
        <v>12873.240000000005</v>
      </c>
      <c r="J833" s="16">
        <f t="shared" si="309"/>
        <v>12490.29</v>
      </c>
      <c r="K833" s="16">
        <f t="shared" si="309"/>
        <v>12191.73</v>
      </c>
      <c r="L833" s="16">
        <f t="shared" si="309"/>
        <v>11569.469999999994</v>
      </c>
      <c r="M833" s="16"/>
      <c r="N833" s="65"/>
      <c r="O833" s="65"/>
      <c r="P833" s="66"/>
      <c r="Q833" s="65"/>
      <c r="R833" s="67"/>
      <c r="S833" s="58"/>
    </row>
    <row r="834" spans="1:27" ht="15.75">
      <c r="A834" s="86">
        <v>43815</v>
      </c>
      <c r="B834" s="120" t="s">
        <v>348</v>
      </c>
      <c r="C834" s="57" t="s">
        <v>79</v>
      </c>
      <c r="D834">
        <v>29220.79</v>
      </c>
      <c r="E834">
        <v>29102.42</v>
      </c>
      <c r="F834">
        <v>29119.8</v>
      </c>
      <c r="G834">
        <v>29105.01</v>
      </c>
      <c r="H834">
        <v>29239.66</v>
      </c>
      <c r="I834">
        <v>29200.68</v>
      </c>
      <c r="J834">
        <v>29109.7</v>
      </c>
      <c r="K834">
        <v>29086.32</v>
      </c>
      <c r="L834">
        <v>29194.55</v>
      </c>
      <c r="M834" s="16"/>
      <c r="N834" s="59">
        <f>IF((L835=""),"",MAX(D836:L836))</f>
        <v>14480.310000000001</v>
      </c>
      <c r="O834" s="59">
        <f>IF(L835="","",MIN(D836:L836))</f>
        <v>12783.48</v>
      </c>
      <c r="P834" s="60">
        <f>IF((L836=""),"",AVERAGE(D836:L836))</f>
        <v>13701.626666666667</v>
      </c>
      <c r="Q834" s="156">
        <f>IF((L835=""),"",((N834-O834)/(N834+O834)*100))</f>
        <v>6.2237495227186006</v>
      </c>
      <c r="R834" s="61" t="str">
        <f>IF(L835="","",IF(Q834&lt;Z834,IF(O834&gt;V834,IF(N834&lt;W834,"PASS","FAIL"),"FAIL"),"FAIL"))</f>
        <v>PASS</v>
      </c>
      <c r="S834" s="62">
        <v>1159</v>
      </c>
      <c r="V834" s="110">
        <v>10000</v>
      </c>
      <c r="W834" s="110">
        <v>15600</v>
      </c>
      <c r="X834" s="111">
        <v>8090</v>
      </c>
      <c r="Y834" s="111">
        <v>12070</v>
      </c>
      <c r="Z834" s="112">
        <v>15</v>
      </c>
      <c r="AA834" s="112">
        <v>6</v>
      </c>
    </row>
    <row r="835" spans="1:27" ht="15.75">
      <c r="A835" s="99"/>
      <c r="B835" s="122"/>
      <c r="C835" s="57" t="s">
        <v>80</v>
      </c>
      <c r="D835">
        <v>24593.17</v>
      </c>
      <c r="E835">
        <v>24463.65</v>
      </c>
      <c r="F835">
        <v>24575.07</v>
      </c>
      <c r="G835">
        <v>24522.44</v>
      </c>
      <c r="H835">
        <v>24847.85</v>
      </c>
      <c r="I835">
        <v>24373.91</v>
      </c>
      <c r="J835">
        <v>24398.54</v>
      </c>
      <c r="K835">
        <v>24566.03</v>
      </c>
      <c r="L835">
        <v>24933.39</v>
      </c>
      <c r="M835" s="16"/>
      <c r="N835" s="53"/>
      <c r="O835" s="53"/>
      <c r="P835" s="63"/>
      <c r="Q835" s="53"/>
      <c r="R835" s="64"/>
      <c r="S835" s="54"/>
    </row>
    <row r="836" spans="1:27">
      <c r="A836" s="100"/>
      <c r="B836" s="122"/>
      <c r="C836" s="57" t="s">
        <v>82</v>
      </c>
      <c r="D836" s="16">
        <f t="shared" ref="D836:L836" si="310">IF(((D834="")*AND(D835="")),"",(D834-D835)*3)</f>
        <v>13882.860000000008</v>
      </c>
      <c r="E836" s="16">
        <f t="shared" si="310"/>
        <v>13916.30999999999</v>
      </c>
      <c r="F836" s="16">
        <f t="shared" si="310"/>
        <v>13634.189999999999</v>
      </c>
      <c r="G836" s="16">
        <f t="shared" si="310"/>
        <v>13747.71</v>
      </c>
      <c r="H836" s="16">
        <f t="shared" si="310"/>
        <v>13175.430000000004</v>
      </c>
      <c r="I836" s="16">
        <f t="shared" si="310"/>
        <v>14480.310000000001</v>
      </c>
      <c r="J836" s="16">
        <f t="shared" si="310"/>
        <v>14133.48</v>
      </c>
      <c r="K836" s="16">
        <f t="shared" si="310"/>
        <v>13560.870000000003</v>
      </c>
      <c r="L836" s="16">
        <f t="shared" si="310"/>
        <v>12783.48</v>
      </c>
      <c r="M836" s="16"/>
      <c r="N836" s="65"/>
      <c r="O836" s="65"/>
      <c r="P836" s="66"/>
      <c r="Q836" s="65"/>
      <c r="R836" s="67"/>
      <c r="S836" s="58"/>
    </row>
    <row r="837" spans="1:27" ht="15.75">
      <c r="A837" s="86">
        <v>43816</v>
      </c>
      <c r="B837" s="120" t="s">
        <v>348</v>
      </c>
      <c r="C837" s="57" t="s">
        <v>79</v>
      </c>
      <c r="D837">
        <v>29219.62</v>
      </c>
      <c r="E837">
        <v>29101.91</v>
      </c>
      <c r="F837">
        <v>29161.63</v>
      </c>
      <c r="G837">
        <v>29115.91</v>
      </c>
      <c r="H837">
        <v>29218.84</v>
      </c>
      <c r="I837">
        <v>29246.21</v>
      </c>
      <c r="J837">
        <v>29109.52</v>
      </c>
      <c r="K837">
        <v>29120.1</v>
      </c>
      <c r="L837">
        <v>29220.89</v>
      </c>
      <c r="M837" s="16"/>
      <c r="N837" s="59">
        <f>IF((L838=""),"",MAX(D839:L839))</f>
        <v>13657.109999999997</v>
      </c>
      <c r="O837" s="59">
        <f>IF(L838="","",MIN(D839:L839))</f>
        <v>12436.529999999995</v>
      </c>
      <c r="P837" s="60">
        <f>IF((L839=""),"",AVERAGE(D839:L839))</f>
        <v>13220.376666666665</v>
      </c>
      <c r="Q837" s="156">
        <f>IF((L838=""),"",((N837-O837)/(N837+O837)*100))</f>
        <v>4.6776915754183861</v>
      </c>
      <c r="R837" s="61" t="str">
        <f>IF(L838="","",IF(Q837&lt;Z837,IF(O837&gt;V837,IF(N837&lt;W837,"PASS","FAIL"),"FAIL"),"FAIL"))</f>
        <v>PASS</v>
      </c>
      <c r="S837" s="62">
        <v>1159</v>
      </c>
      <c r="T837" s="9" t="s">
        <v>354</v>
      </c>
      <c r="V837" s="110">
        <v>10000</v>
      </c>
      <c r="W837" s="110">
        <v>15600</v>
      </c>
      <c r="X837" s="111">
        <v>8090</v>
      </c>
      <c r="Y837" s="111">
        <v>12070</v>
      </c>
      <c r="Z837" s="112">
        <v>15</v>
      </c>
      <c r="AA837" s="112">
        <v>6</v>
      </c>
    </row>
    <row r="838" spans="1:27" ht="15.75">
      <c r="A838" s="99"/>
      <c r="B838" s="122"/>
      <c r="C838" s="57" t="s">
        <v>80</v>
      </c>
      <c r="D838">
        <v>24815.79</v>
      </c>
      <c r="E838">
        <v>24603.25</v>
      </c>
      <c r="F838">
        <v>24708.71</v>
      </c>
      <c r="G838">
        <v>24667.67</v>
      </c>
      <c r="H838">
        <v>24918.94</v>
      </c>
      <c r="I838">
        <v>24725.32</v>
      </c>
      <c r="J838">
        <v>24557.15</v>
      </c>
      <c r="K838">
        <v>24781.29</v>
      </c>
      <c r="L838">
        <v>25075.38</v>
      </c>
      <c r="M838" s="16"/>
      <c r="N838" s="53"/>
      <c r="O838" s="53"/>
      <c r="P838" s="63"/>
      <c r="Q838" s="53"/>
      <c r="R838" s="64"/>
      <c r="S838" s="54"/>
    </row>
    <row r="839" spans="1:27">
      <c r="A839" s="100"/>
      <c r="B839" s="122"/>
      <c r="C839" s="57" t="s">
        <v>82</v>
      </c>
      <c r="D839" s="16">
        <f t="shared" ref="D839:L839" si="311">IF(((D837="")*AND(D838="")),"",(D837-D838)*3)</f>
        <v>13211.489999999994</v>
      </c>
      <c r="E839" s="16">
        <f t="shared" si="311"/>
        <v>13495.98</v>
      </c>
      <c r="F839" s="16">
        <f t="shared" si="311"/>
        <v>13358.760000000006</v>
      </c>
      <c r="G839" s="16">
        <f t="shared" si="311"/>
        <v>13344.720000000005</v>
      </c>
      <c r="H839" s="16">
        <f t="shared" si="311"/>
        <v>12899.700000000004</v>
      </c>
      <c r="I839" s="16">
        <f t="shared" si="311"/>
        <v>13562.669999999998</v>
      </c>
      <c r="J839" s="16">
        <f t="shared" si="311"/>
        <v>13657.109999999997</v>
      </c>
      <c r="K839" s="16">
        <f t="shared" si="311"/>
        <v>13016.429999999993</v>
      </c>
      <c r="L839" s="16">
        <f t="shared" si="311"/>
        <v>12436.529999999995</v>
      </c>
      <c r="M839" s="16"/>
      <c r="N839" s="65"/>
      <c r="O839" s="65"/>
      <c r="P839" s="66"/>
      <c r="Q839" s="65"/>
      <c r="R839" s="67"/>
      <c r="S839" s="58"/>
    </row>
    <row r="840" spans="1:27" ht="15.75">
      <c r="A840" s="86">
        <v>43831</v>
      </c>
      <c r="B840" s="120" t="s">
        <v>348</v>
      </c>
      <c r="C840" s="57" t="s">
        <v>79</v>
      </c>
      <c r="D840">
        <v>29291.16</v>
      </c>
      <c r="E840">
        <v>29175.95</v>
      </c>
      <c r="F840">
        <v>29182.28</v>
      </c>
      <c r="G840">
        <v>29191.360000000001</v>
      </c>
      <c r="H840">
        <v>29299.09</v>
      </c>
      <c r="I840">
        <v>29301.11</v>
      </c>
      <c r="J840">
        <v>29168.98</v>
      </c>
      <c r="K840">
        <v>29192.04</v>
      </c>
      <c r="L840">
        <v>29349.61</v>
      </c>
      <c r="M840" s="16"/>
      <c r="N840" s="59">
        <f>IF((L841=""),"",MAX(D842:L842))</f>
        <v>14952.899999999998</v>
      </c>
      <c r="O840" s="59">
        <f>IF(L841="","",MIN(D842:L842))</f>
        <v>13768.859999999997</v>
      </c>
      <c r="P840" s="60">
        <f>IF((L842=""),"",AVERAGE(D842:L842))</f>
        <v>14519.433333333334</v>
      </c>
      <c r="Q840" s="156">
        <f>IF((L841=""),"",((N840-O840)/(N840+O840)*100))</f>
        <v>4.1224493206544484</v>
      </c>
      <c r="R840" s="61" t="str">
        <f>IF(L841="","",IF(Q840&lt;Z840,IF(O840&gt;V840,IF(N840&lt;W840,"PASS","FAIL"),"FAIL"),"FAIL"))</f>
        <v>PASS</v>
      </c>
      <c r="S840" s="62">
        <v>1335</v>
      </c>
      <c r="T840" s="9" t="s">
        <v>359</v>
      </c>
      <c r="V840" s="110">
        <v>10000</v>
      </c>
      <c r="W840" s="110">
        <v>15600</v>
      </c>
      <c r="X840" s="111">
        <v>8090</v>
      </c>
      <c r="Y840" s="111">
        <v>12070</v>
      </c>
      <c r="Z840" s="112">
        <v>15</v>
      </c>
      <c r="AA840" s="112">
        <v>6</v>
      </c>
    </row>
    <row r="841" spans="1:27" ht="15.75">
      <c r="A841" s="99"/>
      <c r="B841" s="122"/>
      <c r="C841" s="57" t="s">
        <v>80</v>
      </c>
      <c r="D841">
        <v>24501.8</v>
      </c>
      <c r="E841">
        <v>24292.79</v>
      </c>
      <c r="F841">
        <v>24332.41</v>
      </c>
      <c r="G841">
        <v>24213.1</v>
      </c>
      <c r="H841">
        <v>24580.27</v>
      </c>
      <c r="I841">
        <v>24316.81</v>
      </c>
      <c r="J841">
        <v>24200.080000000002</v>
      </c>
      <c r="K841">
        <v>24396.03</v>
      </c>
      <c r="L841">
        <v>24759.99</v>
      </c>
      <c r="M841" s="16"/>
      <c r="N841" s="53"/>
      <c r="O841" s="53"/>
      <c r="P841" s="63"/>
      <c r="Q841" s="53"/>
      <c r="R841" s="64"/>
      <c r="S841" s="54"/>
    </row>
    <row r="842" spans="1:27">
      <c r="A842" s="100"/>
      <c r="B842" s="122"/>
      <c r="C842" s="57" t="s">
        <v>82</v>
      </c>
      <c r="D842" s="16">
        <f t="shared" ref="D842:L842" si="312">IF(((D840="")*AND(D841="")),"",(D840-D841)*3)</f>
        <v>14368.080000000002</v>
      </c>
      <c r="E842" s="16">
        <f t="shared" si="312"/>
        <v>14649.48</v>
      </c>
      <c r="F842" s="16">
        <f t="shared" si="312"/>
        <v>14549.609999999997</v>
      </c>
      <c r="G842" s="16">
        <f t="shared" si="312"/>
        <v>14934.780000000006</v>
      </c>
      <c r="H842" s="16">
        <f t="shared" si="312"/>
        <v>14156.46</v>
      </c>
      <c r="I842" s="16">
        <f t="shared" si="312"/>
        <v>14952.899999999998</v>
      </c>
      <c r="J842" s="16">
        <f t="shared" si="312"/>
        <v>14906.699999999993</v>
      </c>
      <c r="K842" s="16">
        <f t="shared" si="312"/>
        <v>14388.030000000006</v>
      </c>
      <c r="L842" s="16">
        <f t="shared" si="312"/>
        <v>13768.859999999997</v>
      </c>
      <c r="M842" s="16"/>
      <c r="N842" s="65"/>
      <c r="O842" s="65"/>
      <c r="P842" s="66"/>
      <c r="Q842" s="65"/>
      <c r="R842" s="67"/>
      <c r="S842" s="58"/>
    </row>
    <row r="843" spans="1:27" ht="15.75">
      <c r="A843" s="86">
        <v>43836</v>
      </c>
      <c r="B843" s="120" t="s">
        <v>348</v>
      </c>
      <c r="C843" s="57" t="s">
        <v>79</v>
      </c>
      <c r="D843">
        <v>29252.38</v>
      </c>
      <c r="E843">
        <v>29111.84</v>
      </c>
      <c r="F843">
        <v>29084.73</v>
      </c>
      <c r="G843">
        <v>29102.34</v>
      </c>
      <c r="H843">
        <v>29208.3</v>
      </c>
      <c r="I843">
        <v>29177.07</v>
      </c>
      <c r="J843">
        <v>29092.44</v>
      </c>
      <c r="K843">
        <v>29105.29</v>
      </c>
      <c r="L843">
        <v>29205.21</v>
      </c>
      <c r="M843" s="16"/>
      <c r="N843" s="59">
        <f>IF((L844=""),"",MAX(D845:L845))</f>
        <v>12577.679999999993</v>
      </c>
      <c r="O843" s="59">
        <f>IF(L844="","",MIN(D845:L845))</f>
        <v>11207.700000000004</v>
      </c>
      <c r="P843" s="60">
        <f>IF((L845=""),"",AVERAGE(D845:L845))</f>
        <v>11980.349999999999</v>
      </c>
      <c r="Q843" s="156">
        <f>IF((L844=""),"",((N843-O843)/(N843+O843)*100))</f>
        <v>5.7597566236065552</v>
      </c>
      <c r="R843" s="61" t="str">
        <f>IF(L844="","",IF(Q843&lt;Z843,IF(O843&gt;V843,IF(N843&lt;W843,"PASS","FAIL"),"FAIL"),"FAIL"))</f>
        <v>PASS</v>
      </c>
      <c r="S843" s="62">
        <v>1340</v>
      </c>
      <c r="T843" s="9" t="s">
        <v>361</v>
      </c>
      <c r="V843" s="110">
        <v>10000</v>
      </c>
      <c r="W843" s="110">
        <v>15600</v>
      </c>
      <c r="X843" s="111">
        <v>8090</v>
      </c>
      <c r="Y843" s="111">
        <v>12070</v>
      </c>
      <c r="Z843" s="112">
        <v>15</v>
      </c>
      <c r="AA843" s="112">
        <v>6</v>
      </c>
    </row>
    <row r="844" spans="1:27" ht="15.75">
      <c r="A844" s="99"/>
      <c r="B844" s="122"/>
      <c r="C844" s="57" t="s">
        <v>80</v>
      </c>
      <c r="D844">
        <v>25367.18</v>
      </c>
      <c r="E844">
        <v>25105.200000000001</v>
      </c>
      <c r="F844">
        <v>25104.12</v>
      </c>
      <c r="G844">
        <v>25050.58</v>
      </c>
      <c r="H844">
        <v>25185.51</v>
      </c>
      <c r="I844">
        <v>25441.17</v>
      </c>
      <c r="J844">
        <v>25148.39</v>
      </c>
      <c r="K844">
        <v>24983.75</v>
      </c>
      <c r="L844">
        <v>25012.65</v>
      </c>
      <c r="M844"/>
      <c r="N844" s="53"/>
      <c r="O844" s="53"/>
      <c r="P844" s="63"/>
      <c r="Q844" s="53"/>
      <c r="R844" s="64"/>
      <c r="S844" s="54"/>
    </row>
    <row r="845" spans="1:27">
      <c r="A845" s="100"/>
      <c r="B845" s="122"/>
      <c r="C845" s="57" t="s">
        <v>82</v>
      </c>
      <c r="D845" s="16">
        <f t="shared" ref="D845:L845" si="313">IF(((D843="")*AND(D844="")),"",(D843-D844)*3)</f>
        <v>11655.600000000002</v>
      </c>
      <c r="E845" s="16">
        <f t="shared" si="313"/>
        <v>12019.919999999998</v>
      </c>
      <c r="F845" s="16">
        <f t="shared" si="313"/>
        <v>11941.830000000002</v>
      </c>
      <c r="G845" s="16">
        <f t="shared" si="313"/>
        <v>12155.279999999995</v>
      </c>
      <c r="H845" s="16">
        <f t="shared" si="313"/>
        <v>12068.370000000003</v>
      </c>
      <c r="I845" s="16">
        <f t="shared" si="313"/>
        <v>11207.700000000004</v>
      </c>
      <c r="J845" s="16">
        <f t="shared" si="313"/>
        <v>11832.149999999998</v>
      </c>
      <c r="K845" s="16">
        <f t="shared" si="313"/>
        <v>12364.620000000003</v>
      </c>
      <c r="L845" s="16">
        <f t="shared" si="313"/>
        <v>12577.679999999993</v>
      </c>
      <c r="M845" s="16"/>
      <c r="N845" s="65"/>
      <c r="O845" s="65"/>
      <c r="P845" s="66"/>
      <c r="Q845" s="65"/>
      <c r="R845" s="67"/>
      <c r="S845" s="58"/>
    </row>
    <row r="846" spans="1:27" ht="15.75">
      <c r="A846" s="86">
        <v>43840</v>
      </c>
      <c r="B846" s="120" t="s">
        <v>348</v>
      </c>
      <c r="C846" s="57" t="s">
        <v>79</v>
      </c>
      <c r="D846">
        <v>29081.25</v>
      </c>
      <c r="E846">
        <v>28974.35</v>
      </c>
      <c r="F846">
        <v>28965.360000000001</v>
      </c>
      <c r="G846">
        <v>28974.880000000001</v>
      </c>
      <c r="H846">
        <v>29098.880000000001</v>
      </c>
      <c r="I846">
        <v>29067.33</v>
      </c>
      <c r="J846">
        <v>28967.67</v>
      </c>
      <c r="K846">
        <v>28960.33</v>
      </c>
      <c r="L846">
        <v>29077.71</v>
      </c>
      <c r="M846" s="16"/>
      <c r="N846" s="59">
        <f>IF((L847=""),"",MAX(D848:L848))</f>
        <v>13088.129999999997</v>
      </c>
      <c r="O846" s="59">
        <f>IF(L847="","",MIN(D848:L848))</f>
        <v>11858.04</v>
      </c>
      <c r="P846" s="60">
        <f>IF((L848=""),"",AVERAGE(D848:L848))</f>
        <v>12674.476666666664</v>
      </c>
      <c r="Q846" s="156">
        <f>IF((L847=""),"",((N846-O846)/(N846+O846)*100))</f>
        <v>4.93097738049567</v>
      </c>
      <c r="R846" s="61" t="str">
        <f>IF(L847="","",IF(Q846&lt;Z846,IF(O846&gt;V846,IF(N846&lt;W846,"PASS","FAIL"),"FAIL"),"FAIL"))</f>
        <v>PASS</v>
      </c>
      <c r="S846" s="62">
        <v>1340</v>
      </c>
      <c r="T846" s="9" t="s">
        <v>363</v>
      </c>
      <c r="V846" s="110">
        <v>10000</v>
      </c>
      <c r="W846" s="110">
        <v>15600</v>
      </c>
      <c r="X846" s="111">
        <v>8090</v>
      </c>
      <c r="Y846" s="111">
        <v>12070</v>
      </c>
      <c r="Z846" s="112">
        <v>15</v>
      </c>
      <c r="AA846" s="112">
        <v>6</v>
      </c>
    </row>
    <row r="847" spans="1:27" ht="15.75">
      <c r="A847" s="99"/>
      <c r="B847" s="122"/>
      <c r="C847" s="57" t="s">
        <v>80</v>
      </c>
      <c r="D847">
        <v>24988.97</v>
      </c>
      <c r="E847">
        <v>24695.119999999999</v>
      </c>
      <c r="F847">
        <v>24746.69</v>
      </c>
      <c r="G847">
        <v>24663.74</v>
      </c>
      <c r="H847">
        <v>24835.09</v>
      </c>
      <c r="I847">
        <v>25114.65</v>
      </c>
      <c r="J847">
        <v>24767.82</v>
      </c>
      <c r="K847">
        <v>24617.25</v>
      </c>
      <c r="L847">
        <v>24715</v>
      </c>
      <c r="M847"/>
      <c r="N847" s="53"/>
      <c r="O847" s="53"/>
      <c r="P847" s="63"/>
      <c r="Q847" s="53"/>
      <c r="R847" s="64"/>
      <c r="S847" s="54"/>
    </row>
    <row r="848" spans="1:27">
      <c r="A848" s="100"/>
      <c r="B848" s="122"/>
      <c r="C848" s="57" t="s">
        <v>82</v>
      </c>
      <c r="D848" s="16">
        <f t="shared" ref="D848:L848" si="314">IF(((D846="")*AND(D847="")),"",(D846-D847)*3)</f>
        <v>12276.839999999997</v>
      </c>
      <c r="E848" s="16">
        <f t="shared" si="314"/>
        <v>12837.689999999999</v>
      </c>
      <c r="F848" s="16">
        <f t="shared" si="314"/>
        <v>12656.010000000006</v>
      </c>
      <c r="G848" s="16">
        <f t="shared" si="314"/>
        <v>12933.419999999998</v>
      </c>
      <c r="H848" s="16">
        <f t="shared" si="314"/>
        <v>12791.370000000003</v>
      </c>
      <c r="I848" s="16">
        <f t="shared" si="314"/>
        <v>11858.04</v>
      </c>
      <c r="J848" s="16">
        <f t="shared" si="314"/>
        <v>12599.549999999996</v>
      </c>
      <c r="K848" s="16">
        <f t="shared" si="314"/>
        <v>13029.240000000005</v>
      </c>
      <c r="L848" s="16">
        <f t="shared" si="314"/>
        <v>13088.129999999997</v>
      </c>
      <c r="M848" s="16"/>
      <c r="N848" s="65"/>
      <c r="O848" s="65"/>
      <c r="P848" s="66"/>
      <c r="Q848" s="65"/>
      <c r="R848" s="67"/>
      <c r="S848" s="58"/>
    </row>
    <row r="849" spans="1:27" ht="15.75">
      <c r="A849" s="86">
        <v>43844</v>
      </c>
      <c r="B849" s="120" t="s">
        <v>348</v>
      </c>
      <c r="C849" s="57" t="s">
        <v>79</v>
      </c>
      <c r="D849">
        <v>29046.31</v>
      </c>
      <c r="E849">
        <v>28922.73</v>
      </c>
      <c r="F849">
        <v>28911.79</v>
      </c>
      <c r="G849">
        <v>28931.51</v>
      </c>
      <c r="H849">
        <v>29058.1</v>
      </c>
      <c r="I849">
        <v>29009.89</v>
      </c>
      <c r="J849">
        <v>28912.82</v>
      </c>
      <c r="K849">
        <v>28924.05</v>
      </c>
      <c r="L849">
        <v>29026.98</v>
      </c>
      <c r="M849" s="16"/>
      <c r="N849" s="59">
        <f>IF((L850=""),"",MAX(D851:L851))</f>
        <v>13066.469999999994</v>
      </c>
      <c r="O849" s="59">
        <f>IF(L850="","",MIN(D851:L851))</f>
        <v>11975.609999999997</v>
      </c>
      <c r="P849" s="60">
        <f>IF((L851=""),"",AVERAGE(D851:L851))</f>
        <v>12722.816666666664</v>
      </c>
      <c r="Q849" s="156">
        <f>IF((L850=""),"",((N849-O849)/(N849+O849)*100))</f>
        <v>4.3561077993521202</v>
      </c>
      <c r="R849" s="61" t="str">
        <f>IF(L850="","",IF(Q849&lt;Z849,IF(O849&gt;V849,IF(N849&lt;W849,"PASS","FAIL"),"FAIL"),"FAIL"))</f>
        <v>PASS</v>
      </c>
      <c r="S849" s="62">
        <v>1159</v>
      </c>
      <c r="T849" s="9" t="s">
        <v>365</v>
      </c>
      <c r="V849" s="110">
        <v>10000</v>
      </c>
      <c r="W849" s="110">
        <v>15600</v>
      </c>
      <c r="X849" s="111">
        <v>8090</v>
      </c>
      <c r="Y849" s="111">
        <v>12070</v>
      </c>
      <c r="Z849" s="112">
        <v>15</v>
      </c>
      <c r="AA849" s="112">
        <v>6</v>
      </c>
    </row>
    <row r="850" spans="1:27" ht="15.75">
      <c r="A850" s="99"/>
      <c r="B850" s="122"/>
      <c r="C850" s="57" t="s">
        <v>80</v>
      </c>
      <c r="D850">
        <v>24920.98</v>
      </c>
      <c r="E850">
        <v>24636.76</v>
      </c>
      <c r="F850">
        <v>24626.47</v>
      </c>
      <c r="G850">
        <v>24604.25</v>
      </c>
      <c r="H850">
        <v>24820.639999999999</v>
      </c>
      <c r="I850">
        <v>25018.02</v>
      </c>
      <c r="J850">
        <v>24688.83</v>
      </c>
      <c r="K850">
        <v>24568.560000000001</v>
      </c>
      <c r="L850">
        <v>24691.22</v>
      </c>
      <c r="M850"/>
      <c r="N850" s="53"/>
      <c r="O850" s="53"/>
      <c r="P850" s="63"/>
      <c r="Q850" s="53"/>
      <c r="R850" s="64"/>
      <c r="S850" s="54"/>
    </row>
    <row r="851" spans="1:27">
      <c r="A851" s="100"/>
      <c r="B851" s="122"/>
      <c r="C851" s="57" t="s">
        <v>82</v>
      </c>
      <c r="D851" s="16">
        <f t="shared" ref="D851:L851" si="315">IF(((D849="")*AND(D850="")),"",(D849-D850)*3)</f>
        <v>12375.990000000005</v>
      </c>
      <c r="E851" s="16">
        <f t="shared" si="315"/>
        <v>12857.910000000003</v>
      </c>
      <c r="F851" s="16">
        <f t="shared" si="315"/>
        <v>12855.96</v>
      </c>
      <c r="G851" s="16">
        <f t="shared" si="315"/>
        <v>12981.779999999995</v>
      </c>
      <c r="H851" s="16">
        <f t="shared" si="315"/>
        <v>12712.379999999997</v>
      </c>
      <c r="I851" s="16">
        <f t="shared" si="315"/>
        <v>11975.609999999997</v>
      </c>
      <c r="J851" s="16">
        <f t="shared" si="315"/>
        <v>12671.969999999994</v>
      </c>
      <c r="K851" s="16">
        <f t="shared" si="315"/>
        <v>13066.469999999994</v>
      </c>
      <c r="L851" s="16">
        <f t="shared" si="315"/>
        <v>13007.279999999995</v>
      </c>
      <c r="M851" s="16"/>
      <c r="N851" s="65"/>
      <c r="O851" s="65"/>
      <c r="P851" s="66"/>
      <c r="Q851" s="65"/>
      <c r="R851" s="67"/>
      <c r="S851" s="58"/>
    </row>
    <row r="852" spans="1:27" ht="15.75">
      <c r="A852" s="86">
        <v>43859</v>
      </c>
      <c r="B852" s="120" t="s">
        <v>348</v>
      </c>
      <c r="C852" s="57" t="s">
        <v>79</v>
      </c>
      <c r="D852">
        <v>29264.77</v>
      </c>
      <c r="E852">
        <v>29146.46</v>
      </c>
      <c r="F852">
        <v>29165.63</v>
      </c>
      <c r="G852">
        <v>29158.49</v>
      </c>
      <c r="H852">
        <v>29260.89</v>
      </c>
      <c r="I852">
        <v>29241.46</v>
      </c>
      <c r="J852">
        <v>29134.13</v>
      </c>
      <c r="K852">
        <v>29153.57</v>
      </c>
      <c r="L852">
        <v>29296.09</v>
      </c>
      <c r="M852" s="16"/>
      <c r="N852" s="59">
        <f>IF((L853=""),"",MAX(D854:L854))</f>
        <v>13443.510000000006</v>
      </c>
      <c r="O852" s="59">
        <f>IF(L853="","",MIN(D854:L854))</f>
        <v>12222.719999999994</v>
      </c>
      <c r="P852" s="60">
        <f>IF((L854=""),"",AVERAGE(D854:L854))</f>
        <v>13074.813333333332</v>
      </c>
      <c r="Q852" s="156">
        <f>IF((L853=""),"",((N852-O852)/(N852+O852)*100))</f>
        <v>4.7564055959913549</v>
      </c>
      <c r="R852" s="61" t="str">
        <f>IF(L853="","",IF(Q852&lt;Z852,IF(O852&gt;V852,IF(N852&lt;W852,"PASS","FAIL"),"FAIL"),"FAIL"))</f>
        <v>PASS</v>
      </c>
      <c r="S852" s="62">
        <v>74</v>
      </c>
      <c r="T852" s="125" t="s">
        <v>367</v>
      </c>
      <c r="V852" s="110">
        <v>10000</v>
      </c>
      <c r="W852" s="110">
        <v>15600</v>
      </c>
      <c r="X852" s="111">
        <v>8090</v>
      </c>
      <c r="Y852" s="111">
        <v>12070</v>
      </c>
      <c r="Z852" s="112">
        <v>15</v>
      </c>
      <c r="AA852" s="112">
        <v>6</v>
      </c>
    </row>
    <row r="853" spans="1:27" ht="15.75">
      <c r="A853" s="99"/>
      <c r="B853" s="122"/>
      <c r="C853" s="57" t="s">
        <v>80</v>
      </c>
      <c r="D853">
        <v>25110.34</v>
      </c>
      <c r="E853">
        <v>24771.08</v>
      </c>
      <c r="F853">
        <v>24728.05</v>
      </c>
      <c r="G853">
        <v>24702.720000000001</v>
      </c>
      <c r="H853">
        <v>24818.36</v>
      </c>
      <c r="I853">
        <v>25167.22</v>
      </c>
      <c r="J853">
        <v>24798.05</v>
      </c>
      <c r="K853">
        <v>24686.31</v>
      </c>
      <c r="L853">
        <v>24814.92</v>
      </c>
      <c r="M853"/>
      <c r="N853" s="53"/>
      <c r="O853" s="53"/>
      <c r="P853" s="63"/>
      <c r="Q853" s="53"/>
      <c r="R853" s="64"/>
      <c r="S853" s="54"/>
    </row>
    <row r="854" spans="1:27">
      <c r="A854" s="100"/>
      <c r="B854" s="122"/>
      <c r="C854" s="57" t="s">
        <v>82</v>
      </c>
      <c r="D854" s="16">
        <f t="shared" ref="D854:L854" si="316">IF(((D852="")*AND(D853="")),"",(D852-D853)*3)</f>
        <v>12463.29</v>
      </c>
      <c r="E854" s="16">
        <f t="shared" si="316"/>
        <v>13126.139999999992</v>
      </c>
      <c r="F854" s="16">
        <f t="shared" si="316"/>
        <v>13312.740000000005</v>
      </c>
      <c r="G854" s="16">
        <f t="shared" si="316"/>
        <v>13367.310000000001</v>
      </c>
      <c r="H854" s="16">
        <f t="shared" si="316"/>
        <v>13327.589999999997</v>
      </c>
      <c r="I854" s="16">
        <f t="shared" si="316"/>
        <v>12222.719999999994</v>
      </c>
      <c r="J854" s="16">
        <f t="shared" si="316"/>
        <v>13008.240000000005</v>
      </c>
      <c r="K854" s="16">
        <f t="shared" si="316"/>
        <v>13401.779999999995</v>
      </c>
      <c r="L854" s="16">
        <f t="shared" si="316"/>
        <v>13443.510000000006</v>
      </c>
      <c r="M854" s="16"/>
      <c r="N854" s="65"/>
      <c r="O854" s="65"/>
      <c r="P854" s="66"/>
      <c r="Q854" s="65"/>
      <c r="R854" s="67"/>
      <c r="S854" s="58"/>
    </row>
    <row r="855" spans="1:27" ht="15.75">
      <c r="A855" s="86">
        <v>43864</v>
      </c>
      <c r="B855" s="120" t="s">
        <v>348</v>
      </c>
      <c r="C855" s="57" t="s">
        <v>79</v>
      </c>
      <c r="D855">
        <v>29183.119999999999</v>
      </c>
      <c r="E855">
        <v>29059.47</v>
      </c>
      <c r="F855">
        <v>29041.9</v>
      </c>
      <c r="G855">
        <v>29065.48</v>
      </c>
      <c r="H855">
        <v>29181.94</v>
      </c>
      <c r="I855">
        <v>29188.78</v>
      </c>
      <c r="J855">
        <v>29067.59</v>
      </c>
      <c r="K855">
        <v>29049.43</v>
      </c>
      <c r="L855">
        <v>29145.64</v>
      </c>
      <c r="M855" s="16"/>
      <c r="N855" s="59">
        <f>IF((L856=""),"",MAX(D857:L857))</f>
        <v>11716.259999999995</v>
      </c>
      <c r="O855" s="59">
        <f>IF(L856="","",MIN(D857:L857))</f>
        <v>10623.27</v>
      </c>
      <c r="P855" s="60">
        <f>IF((L857=""),"",AVERAGE(D857:L857))</f>
        <v>11354.419999999998</v>
      </c>
      <c r="Q855" s="156">
        <f>IF((L856=""),"",((N855-O855)/(N855+O855)*100))</f>
        <v>4.8926275530416019</v>
      </c>
      <c r="R855" s="61" t="str">
        <f>IF(L856="","",IF(Q855&lt;Z855,IF(O855&gt;V855,IF(N855&lt;W855,"PASS","FAIL"),"FAIL"),"FAIL"))</f>
        <v>PASS</v>
      </c>
      <c r="S855" s="62">
        <v>1159</v>
      </c>
      <c r="T855" s="9" t="s">
        <v>372</v>
      </c>
      <c r="V855" s="110">
        <v>10000</v>
      </c>
      <c r="W855" s="110">
        <v>15600</v>
      </c>
      <c r="X855" s="111">
        <v>8090</v>
      </c>
      <c r="Y855" s="111">
        <v>12070</v>
      </c>
      <c r="Z855" s="112">
        <v>15</v>
      </c>
      <c r="AA855" s="112">
        <v>6</v>
      </c>
    </row>
    <row r="856" spans="1:27" ht="15.75">
      <c r="A856" s="99"/>
      <c r="B856" s="122"/>
      <c r="C856" s="57" t="s">
        <v>80</v>
      </c>
      <c r="D856">
        <v>25535.41</v>
      </c>
      <c r="E856">
        <v>25264.09</v>
      </c>
      <c r="F856">
        <v>25277.61</v>
      </c>
      <c r="G856">
        <v>25192.99</v>
      </c>
      <c r="H856">
        <v>25308.82</v>
      </c>
      <c r="I856">
        <v>25647.69</v>
      </c>
      <c r="J856">
        <v>25295.23</v>
      </c>
      <c r="K856">
        <v>25158.03</v>
      </c>
      <c r="L856">
        <v>25240.22</v>
      </c>
      <c r="M856"/>
      <c r="N856" s="53"/>
      <c r="O856" s="53"/>
      <c r="P856" s="63"/>
      <c r="Q856" s="53"/>
      <c r="R856" s="64"/>
      <c r="S856" s="54"/>
    </row>
    <row r="857" spans="1:27">
      <c r="A857" s="100"/>
      <c r="B857" s="122"/>
      <c r="C857" s="57" t="s">
        <v>82</v>
      </c>
      <c r="D857" s="16">
        <f t="shared" ref="D857:L857" si="317">IF(((D855="")*AND(D856="")),"",(D855-D856)*3)</f>
        <v>10943.129999999997</v>
      </c>
      <c r="E857" s="16">
        <f t="shared" si="317"/>
        <v>11386.140000000003</v>
      </c>
      <c r="F857" s="16">
        <f t="shared" si="317"/>
        <v>11292.870000000003</v>
      </c>
      <c r="G857" s="16">
        <f t="shared" si="317"/>
        <v>11617.469999999994</v>
      </c>
      <c r="H857" s="16">
        <f t="shared" si="317"/>
        <v>11619.359999999997</v>
      </c>
      <c r="I857" s="16">
        <f t="shared" si="317"/>
        <v>10623.27</v>
      </c>
      <c r="J857" s="16">
        <f t="shared" si="317"/>
        <v>11317.080000000002</v>
      </c>
      <c r="K857" s="16">
        <f t="shared" si="317"/>
        <v>11674.200000000004</v>
      </c>
      <c r="L857" s="16">
        <f t="shared" si="317"/>
        <v>11716.259999999995</v>
      </c>
      <c r="M857" s="16"/>
      <c r="N857" s="65"/>
      <c r="O857" s="65"/>
      <c r="P857" s="66"/>
      <c r="Q857" s="65"/>
      <c r="R857" s="67"/>
      <c r="S857" s="58"/>
    </row>
    <row r="858" spans="1:27" ht="15.75">
      <c r="A858" s="86">
        <v>43868</v>
      </c>
      <c r="B858" s="120" t="s">
        <v>348</v>
      </c>
      <c r="C858" s="57" t="s">
        <v>79</v>
      </c>
      <c r="D858">
        <v>29142.959999999999</v>
      </c>
      <c r="E858">
        <v>29039.22</v>
      </c>
      <c r="F858">
        <v>29039.01</v>
      </c>
      <c r="G858">
        <v>29064.91</v>
      </c>
      <c r="H858">
        <v>29196.66</v>
      </c>
      <c r="I858">
        <v>29172.69</v>
      </c>
      <c r="J858">
        <v>29048.639999999999</v>
      </c>
      <c r="K858">
        <v>29055.86</v>
      </c>
      <c r="L858">
        <v>29194.42</v>
      </c>
      <c r="M858" s="16"/>
      <c r="N858" s="59">
        <f>IF((L859=""),"",MAX(D860:L860))</f>
        <v>11935.139999999992</v>
      </c>
      <c r="O858" s="59">
        <f>IF(L859="","",MIN(D860:L860))</f>
        <v>10769.549999999996</v>
      </c>
      <c r="P858" s="60">
        <f>IF((L860=""),"",AVERAGE(D860:L860))</f>
        <v>11503.956666666661</v>
      </c>
      <c r="Q858" s="156">
        <f>IF((L859=""),"",((N858-O858)/(N858+O858)*100))</f>
        <v>5.133697046733503</v>
      </c>
      <c r="R858" s="61" t="str">
        <f>IF(L859="","",IF(Q858&lt;Z858,IF(O858&gt;V858,IF(N858&lt;W858,"PASS","FAIL"),"FAIL"),"FAIL"))</f>
        <v>PASS</v>
      </c>
      <c r="S858" s="62">
        <v>1335</v>
      </c>
      <c r="T858" s="9" t="s">
        <v>373</v>
      </c>
      <c r="V858" s="110">
        <v>10000</v>
      </c>
      <c r="W858" s="110">
        <v>15600</v>
      </c>
      <c r="X858" s="111">
        <v>8090</v>
      </c>
      <c r="Y858" s="111">
        <v>12070</v>
      </c>
      <c r="Z858" s="112">
        <v>15</v>
      </c>
      <c r="AA858" s="112">
        <v>6</v>
      </c>
    </row>
    <row r="859" spans="1:27" ht="15.75">
      <c r="A859" s="99"/>
      <c r="B859" s="122"/>
      <c r="C859" s="57" t="s">
        <v>80</v>
      </c>
      <c r="D859">
        <v>25298.2</v>
      </c>
      <c r="E859">
        <v>25178.06</v>
      </c>
      <c r="F859">
        <v>25173.55</v>
      </c>
      <c r="G859">
        <v>25181.85</v>
      </c>
      <c r="H859">
        <v>25430.27</v>
      </c>
      <c r="I859">
        <v>25194.31</v>
      </c>
      <c r="J859">
        <v>25114.560000000001</v>
      </c>
      <c r="K859">
        <v>25267.13</v>
      </c>
      <c r="L859">
        <v>25604.57</v>
      </c>
      <c r="M859"/>
      <c r="N859" s="53"/>
      <c r="O859" s="53"/>
      <c r="P859" s="63"/>
      <c r="Q859" s="53"/>
      <c r="R859" s="64"/>
      <c r="S859" s="54"/>
    </row>
    <row r="860" spans="1:27">
      <c r="A860" s="100"/>
      <c r="B860" s="122"/>
      <c r="C860" s="57" t="s">
        <v>82</v>
      </c>
      <c r="D860" s="16">
        <f t="shared" ref="D860:L860" si="318">IF(((D858="")*AND(D859="")),"",(D858-D859)*3)</f>
        <v>11534.279999999995</v>
      </c>
      <c r="E860" s="16">
        <f t="shared" si="318"/>
        <v>11583.48</v>
      </c>
      <c r="F860" s="16">
        <f t="shared" si="318"/>
        <v>11596.379999999997</v>
      </c>
      <c r="G860" s="16">
        <f t="shared" si="318"/>
        <v>11649.180000000004</v>
      </c>
      <c r="H860" s="16">
        <f t="shared" si="318"/>
        <v>11299.169999999998</v>
      </c>
      <c r="I860" s="16">
        <f t="shared" si="318"/>
        <v>11935.139999999992</v>
      </c>
      <c r="J860" s="16">
        <f t="shared" si="318"/>
        <v>11802.239999999994</v>
      </c>
      <c r="K860" s="16">
        <f t="shared" si="318"/>
        <v>11366.189999999999</v>
      </c>
      <c r="L860" s="16">
        <f t="shared" si="318"/>
        <v>10769.549999999996</v>
      </c>
      <c r="M860" s="16"/>
      <c r="N860" s="65"/>
      <c r="O860" s="65"/>
      <c r="P860" s="66"/>
      <c r="Q860" s="65"/>
      <c r="R860" s="67"/>
      <c r="S860" s="58"/>
    </row>
    <row r="861" spans="1:27" ht="15.75">
      <c r="A861" s="86">
        <v>43872</v>
      </c>
      <c r="B861" s="120" t="s">
        <v>348</v>
      </c>
      <c r="C861" s="57" t="s">
        <v>79</v>
      </c>
      <c r="D861">
        <v>29188.22</v>
      </c>
      <c r="E861">
        <v>29040.86</v>
      </c>
      <c r="F861">
        <v>29029.25</v>
      </c>
      <c r="G861">
        <v>29031.55</v>
      </c>
      <c r="H861">
        <v>29148.21</v>
      </c>
      <c r="I861">
        <v>29127.41</v>
      </c>
      <c r="J861">
        <v>29007.5</v>
      </c>
      <c r="K861">
        <v>29028.959999999999</v>
      </c>
      <c r="L861">
        <v>29164.07</v>
      </c>
      <c r="M861" s="16"/>
      <c r="N861" s="59">
        <f>IF((L862=""),"",MAX(D863:L863))</f>
        <v>11789.069999999996</v>
      </c>
      <c r="O861" s="59">
        <f>IF(L862="","",MIN(D863:L863))</f>
        <v>10634.279999999995</v>
      </c>
      <c r="P861" s="60">
        <f>IF((L863=""),"",AVERAGE(D863:L863))</f>
        <v>11386.393333333333</v>
      </c>
      <c r="Q861" s="156">
        <f>IF((L862=""),"",((N861-O861)/(N861+O861)*100))</f>
        <v>5.1499441430473203</v>
      </c>
      <c r="R861" s="61" t="str">
        <f>IF(L862="","",IF(Q861&lt;Z861,IF(O861&gt;V861,IF(N861&lt;W861,"PASS","FAIL"),"FAIL"),"FAIL"))</f>
        <v>PASS</v>
      </c>
      <c r="S861" s="62">
        <v>1428</v>
      </c>
      <c r="T861" s="9" t="s">
        <v>375</v>
      </c>
      <c r="V861" s="110">
        <v>10000</v>
      </c>
      <c r="W861" s="110">
        <v>15600</v>
      </c>
      <c r="X861" s="111">
        <v>8090</v>
      </c>
      <c r="Y861" s="111">
        <v>12070</v>
      </c>
      <c r="Z861" s="112">
        <v>15</v>
      </c>
      <c r="AA861" s="112">
        <v>6</v>
      </c>
    </row>
    <row r="862" spans="1:27" ht="15.75">
      <c r="A862" s="99"/>
      <c r="B862" s="122"/>
      <c r="C862" s="57" t="s">
        <v>80</v>
      </c>
      <c r="D862">
        <v>25544.87</v>
      </c>
      <c r="E862">
        <v>25222.17</v>
      </c>
      <c r="F862">
        <v>25229.97</v>
      </c>
      <c r="G862">
        <v>25149.21</v>
      </c>
      <c r="H862">
        <v>25263.02</v>
      </c>
      <c r="I862">
        <v>25582.65</v>
      </c>
      <c r="J862">
        <v>25255.48</v>
      </c>
      <c r="K862">
        <v>25125.1</v>
      </c>
      <c r="L862">
        <v>25234.38</v>
      </c>
      <c r="M862"/>
      <c r="N862" s="53"/>
      <c r="O862" s="53"/>
      <c r="P862" s="63"/>
      <c r="Q862" s="53"/>
      <c r="R862" s="64"/>
      <c r="S862" s="54"/>
    </row>
    <row r="863" spans="1:27">
      <c r="A863" s="100"/>
      <c r="B863" s="122"/>
      <c r="C863" s="57" t="s">
        <v>82</v>
      </c>
      <c r="D863" s="16">
        <f t="shared" ref="D863:L863" si="319">IF(((D861="")*AND(D862="")),"",(D861-D862)*3)</f>
        <v>10930.050000000007</v>
      </c>
      <c r="E863" s="16">
        <f t="shared" si="319"/>
        <v>11456.070000000007</v>
      </c>
      <c r="F863" s="16">
        <f t="shared" si="319"/>
        <v>11397.839999999997</v>
      </c>
      <c r="G863" s="16">
        <f t="shared" si="319"/>
        <v>11647.02</v>
      </c>
      <c r="H863" s="16">
        <f t="shared" si="319"/>
        <v>11655.569999999996</v>
      </c>
      <c r="I863" s="16">
        <f t="shared" si="319"/>
        <v>10634.279999999995</v>
      </c>
      <c r="J863" s="16">
        <f t="shared" si="319"/>
        <v>11256.060000000001</v>
      </c>
      <c r="K863" s="16">
        <f t="shared" si="319"/>
        <v>11711.580000000002</v>
      </c>
      <c r="L863" s="16">
        <f t="shared" si="319"/>
        <v>11789.069999999996</v>
      </c>
      <c r="M863" s="16"/>
      <c r="N863" s="65"/>
      <c r="O863" s="65"/>
      <c r="P863" s="66"/>
      <c r="Q863" s="65"/>
      <c r="R863" s="67"/>
      <c r="S863" s="58"/>
    </row>
    <row r="864" spans="1:27" ht="15.75">
      <c r="A864" s="86">
        <v>43875</v>
      </c>
      <c r="B864" s="120" t="s">
        <v>348</v>
      </c>
      <c r="C864" s="57" t="s">
        <v>79</v>
      </c>
      <c r="D864">
        <v>29244</v>
      </c>
      <c r="E864">
        <v>29017</v>
      </c>
      <c r="F864">
        <v>29036</v>
      </c>
      <c r="G864">
        <v>29186</v>
      </c>
      <c r="H864">
        <v>29230</v>
      </c>
      <c r="I864">
        <v>29211</v>
      </c>
      <c r="J864">
        <v>29043</v>
      </c>
      <c r="K864">
        <v>29196</v>
      </c>
      <c r="L864">
        <v>29198</v>
      </c>
      <c r="M864" s="16"/>
      <c r="N864" s="59">
        <f>IF((L865=""),"",MAX(D866:L866))</f>
        <v>12609</v>
      </c>
      <c r="O864" s="59">
        <f>IF(L865="","",MIN(D866:L866))</f>
        <v>11262</v>
      </c>
      <c r="P864" s="60">
        <f>IF((L866=""),"",AVERAGE(D866:L866))</f>
        <v>12181.333333333334</v>
      </c>
      <c r="Q864" s="156">
        <f>IF((L865=""),"",((N864-O864)/(N864+O864)*100))</f>
        <v>5.6428302123916048</v>
      </c>
      <c r="R864" s="61" t="str">
        <f>IF(L865="","",IF(Q864&lt;Z864,IF(O864&gt;V864,IF(N864&lt;W864,"PASS","FAIL"),"FAIL"),"FAIL"))</f>
        <v>PASS</v>
      </c>
      <c r="S864" s="62">
        <v>64</v>
      </c>
      <c r="V864" s="110">
        <v>10000</v>
      </c>
      <c r="W864" s="110">
        <v>15600</v>
      </c>
      <c r="X864" s="111">
        <v>8090</v>
      </c>
      <c r="Y864" s="111">
        <v>12070</v>
      </c>
      <c r="Z864" s="112">
        <v>15</v>
      </c>
      <c r="AA864" s="112">
        <v>6</v>
      </c>
    </row>
    <row r="865" spans="1:27" ht="15.75">
      <c r="A865" s="99"/>
      <c r="B865" s="122"/>
      <c r="C865" s="57" t="s">
        <v>80</v>
      </c>
      <c r="D865">
        <v>25169</v>
      </c>
      <c r="E865">
        <v>24917</v>
      </c>
      <c r="F865">
        <v>24977</v>
      </c>
      <c r="G865">
        <v>24983</v>
      </c>
      <c r="H865">
        <v>25327</v>
      </c>
      <c r="I865">
        <v>25059</v>
      </c>
      <c r="J865">
        <v>24938</v>
      </c>
      <c r="K865">
        <v>25003</v>
      </c>
      <c r="L865">
        <v>25444</v>
      </c>
      <c r="M865"/>
      <c r="N865" s="53"/>
      <c r="O865" s="53"/>
      <c r="P865" s="63"/>
      <c r="Q865" s="53"/>
      <c r="R865" s="64"/>
      <c r="S865" s="54"/>
    </row>
    <row r="866" spans="1:27">
      <c r="A866" s="100"/>
      <c r="B866" s="122"/>
      <c r="C866" s="57" t="s">
        <v>82</v>
      </c>
      <c r="D866" s="16">
        <f t="shared" ref="D866:L866" si="320">IF(((D864="")*AND(D865="")),"",(D864-D865)*3)</f>
        <v>12225</v>
      </c>
      <c r="E866" s="16">
        <f t="shared" si="320"/>
        <v>12300</v>
      </c>
      <c r="F866" s="16">
        <f t="shared" si="320"/>
        <v>12177</v>
      </c>
      <c r="G866" s="16">
        <f t="shared" si="320"/>
        <v>12609</v>
      </c>
      <c r="H866" s="16">
        <f t="shared" si="320"/>
        <v>11709</v>
      </c>
      <c r="I866" s="16">
        <f t="shared" si="320"/>
        <v>12456</v>
      </c>
      <c r="J866" s="16">
        <f t="shared" si="320"/>
        <v>12315</v>
      </c>
      <c r="K866" s="16">
        <f t="shared" si="320"/>
        <v>12579</v>
      </c>
      <c r="L866" s="16">
        <f t="shared" si="320"/>
        <v>11262</v>
      </c>
      <c r="M866" s="16"/>
      <c r="N866" s="65"/>
      <c r="O866" s="65"/>
      <c r="P866" s="66"/>
      <c r="Q866" s="65"/>
      <c r="R866" s="67"/>
      <c r="S866" s="58"/>
    </row>
    <row r="867" spans="1:27" ht="15.75">
      <c r="A867" s="86">
        <v>43884</v>
      </c>
      <c r="B867" s="120" t="s">
        <v>348</v>
      </c>
      <c r="C867" s="57" t="s">
        <v>79</v>
      </c>
      <c r="D867">
        <v>29189</v>
      </c>
      <c r="E867">
        <v>29006</v>
      </c>
      <c r="F867">
        <v>28972</v>
      </c>
      <c r="G867">
        <v>28966</v>
      </c>
      <c r="H867">
        <v>29149</v>
      </c>
      <c r="I867">
        <v>29196</v>
      </c>
      <c r="J867">
        <v>28989</v>
      </c>
      <c r="K867">
        <v>28998</v>
      </c>
      <c r="L867">
        <v>29180</v>
      </c>
      <c r="M867" s="16"/>
      <c r="N867" s="59">
        <f>IF((L868=""),"",MAX(D869:L869))</f>
        <v>13413</v>
      </c>
      <c r="O867" s="59">
        <f>IF(L868="","",MIN(D869:L869))</f>
        <v>11973</v>
      </c>
      <c r="P867" s="60">
        <f>IF((L869=""),"",AVERAGE(D869:L869))</f>
        <v>12883.666666666666</v>
      </c>
      <c r="Q867" s="156">
        <f>IF((L868=""),"",((N867-O867)/(N867+O867)*100))</f>
        <v>5.6724178681162849</v>
      </c>
      <c r="R867" s="61" t="str">
        <f>IF(L868="","",IF(Q867&lt;Z867,IF(O867&gt;V867,IF(N867&lt;W867,"PASS","FAIL"),"FAIL"),"FAIL"))</f>
        <v>PASS</v>
      </c>
      <c r="S867" s="62">
        <v>1159</v>
      </c>
      <c r="T867" s="9" t="s">
        <v>377</v>
      </c>
      <c r="V867" s="110">
        <v>10000</v>
      </c>
      <c r="W867" s="110">
        <v>15600</v>
      </c>
      <c r="X867" s="111">
        <v>8090</v>
      </c>
      <c r="Y867" s="111">
        <v>12070</v>
      </c>
      <c r="Z867" s="112">
        <v>15</v>
      </c>
      <c r="AA867" s="112">
        <v>6</v>
      </c>
    </row>
    <row r="868" spans="1:27" ht="15.75">
      <c r="A868" s="99"/>
      <c r="B868" s="122"/>
      <c r="C868" s="57" t="s">
        <v>80</v>
      </c>
      <c r="D868">
        <v>24822</v>
      </c>
      <c r="E868">
        <v>24535</v>
      </c>
      <c r="F868">
        <v>24622</v>
      </c>
      <c r="G868">
        <v>24644</v>
      </c>
      <c r="H868">
        <v>25075</v>
      </c>
      <c r="I868">
        <v>25205</v>
      </c>
      <c r="J868">
        <v>24733</v>
      </c>
      <c r="K868">
        <v>24550</v>
      </c>
      <c r="L868">
        <v>24808</v>
      </c>
      <c r="M868"/>
      <c r="N868" s="53"/>
      <c r="O868" s="53"/>
      <c r="P868" s="63"/>
      <c r="Q868" s="53"/>
      <c r="R868" s="64"/>
      <c r="S868" s="54"/>
    </row>
    <row r="869" spans="1:27">
      <c r="A869" s="100"/>
      <c r="B869" s="122"/>
      <c r="C869" s="57" t="s">
        <v>82</v>
      </c>
      <c r="D869" s="16">
        <f t="shared" ref="D869:L869" si="321">IF(((D867="")*AND(D868="")),"",(D867-D868)*3)</f>
        <v>13101</v>
      </c>
      <c r="E869" s="16">
        <f t="shared" si="321"/>
        <v>13413</v>
      </c>
      <c r="F869" s="16">
        <f t="shared" si="321"/>
        <v>13050</v>
      </c>
      <c r="G869" s="16">
        <f t="shared" si="321"/>
        <v>12966</v>
      </c>
      <c r="H869" s="16">
        <f t="shared" si="321"/>
        <v>12222</v>
      </c>
      <c r="I869" s="16">
        <f t="shared" si="321"/>
        <v>11973</v>
      </c>
      <c r="J869" s="16">
        <f t="shared" si="321"/>
        <v>12768</v>
      </c>
      <c r="K869" s="16">
        <f t="shared" si="321"/>
        <v>13344</v>
      </c>
      <c r="L869" s="16">
        <f t="shared" si="321"/>
        <v>13116</v>
      </c>
      <c r="M869" s="16"/>
      <c r="N869" s="65"/>
      <c r="O869" s="65"/>
      <c r="P869" s="66"/>
      <c r="Q869" s="65"/>
      <c r="R869" s="67"/>
      <c r="S869" s="58"/>
    </row>
    <row r="870" spans="1:27" ht="15.75">
      <c r="A870" s="86">
        <v>43888</v>
      </c>
      <c r="B870" s="120" t="s">
        <v>348</v>
      </c>
      <c r="C870" s="57" t="s">
        <v>79</v>
      </c>
      <c r="D870">
        <v>29393</v>
      </c>
      <c r="E870">
        <v>29340</v>
      </c>
      <c r="F870">
        <v>29149</v>
      </c>
      <c r="G870">
        <v>29213</v>
      </c>
      <c r="H870">
        <v>29447</v>
      </c>
      <c r="I870">
        <v>29276</v>
      </c>
      <c r="J870">
        <v>29225</v>
      </c>
      <c r="K870">
        <v>29228</v>
      </c>
      <c r="L870">
        <v>29403</v>
      </c>
      <c r="M870" s="16"/>
      <c r="N870" s="59">
        <f>IF((L871=""),"",MAX(D872:L872))</f>
        <v>14991</v>
      </c>
      <c r="O870" s="59">
        <f>IF(L871="","",MIN(D872:L872))</f>
        <v>14085</v>
      </c>
      <c r="P870" s="60">
        <f>IF((L872=""),"",AVERAGE(D872:L872))</f>
        <v>14538.666666666666</v>
      </c>
      <c r="Q870" s="156">
        <f>IF((L871=""),"",((N870-O870)/(N870+O870)*100))</f>
        <v>3.1159719356170035</v>
      </c>
      <c r="R870" s="61" t="str">
        <f>IF(L871="","",IF(Q870&lt;Z870,IF(O870&gt;V870,IF(N870&lt;W870,"PASS","FAIL"),"FAIL"),"FAIL"))</f>
        <v>PASS</v>
      </c>
      <c r="S870" s="62">
        <v>1335</v>
      </c>
      <c r="T870" s="9" t="s">
        <v>380</v>
      </c>
      <c r="V870" s="110">
        <v>10000</v>
      </c>
      <c r="W870" s="110">
        <v>15600</v>
      </c>
      <c r="X870" s="111">
        <v>8090</v>
      </c>
      <c r="Y870" s="111">
        <v>12070</v>
      </c>
      <c r="Z870" s="112">
        <v>15</v>
      </c>
      <c r="AA870" s="112">
        <v>6</v>
      </c>
    </row>
    <row r="871" spans="1:27" ht="15.75">
      <c r="A871" s="99"/>
      <c r="B871" s="122"/>
      <c r="C871" s="57" t="s">
        <v>80</v>
      </c>
      <c r="D871">
        <v>24698</v>
      </c>
      <c r="E871">
        <v>24384</v>
      </c>
      <c r="F871">
        <v>24296</v>
      </c>
      <c r="G871">
        <v>24280</v>
      </c>
      <c r="H871">
        <v>24450</v>
      </c>
      <c r="I871">
        <v>24580</v>
      </c>
      <c r="J871">
        <v>24442</v>
      </c>
      <c r="K871">
        <v>24478</v>
      </c>
      <c r="L871">
        <v>24450</v>
      </c>
      <c r="M871"/>
      <c r="N871" s="53"/>
      <c r="O871" s="53"/>
      <c r="P871" s="63"/>
      <c r="Q871" s="53"/>
      <c r="R871" s="64"/>
      <c r="S871" s="54"/>
    </row>
    <row r="872" spans="1:27">
      <c r="A872" s="100"/>
      <c r="B872" s="122"/>
      <c r="C872" s="57" t="s">
        <v>82</v>
      </c>
      <c r="D872" s="16">
        <f t="shared" ref="D872:L872" si="322">IF(((D870="")*AND(D871="")),"",(D870-D871)*3)</f>
        <v>14085</v>
      </c>
      <c r="E872" s="16">
        <f t="shared" si="322"/>
        <v>14868</v>
      </c>
      <c r="F872" s="16">
        <f t="shared" si="322"/>
        <v>14559</v>
      </c>
      <c r="G872" s="16">
        <f t="shared" si="322"/>
        <v>14799</v>
      </c>
      <c r="H872" s="16">
        <f t="shared" si="322"/>
        <v>14991</v>
      </c>
      <c r="I872" s="16">
        <f t="shared" si="322"/>
        <v>14088</v>
      </c>
      <c r="J872" s="16">
        <f t="shared" si="322"/>
        <v>14349</v>
      </c>
      <c r="K872" s="16">
        <f t="shared" si="322"/>
        <v>14250</v>
      </c>
      <c r="L872" s="16">
        <f t="shared" si="322"/>
        <v>14859</v>
      </c>
      <c r="M872" s="16"/>
      <c r="N872" s="65"/>
      <c r="O872" s="65"/>
      <c r="P872" s="66"/>
      <c r="Q872" s="65"/>
      <c r="R872" s="67"/>
      <c r="S872" s="58"/>
    </row>
    <row r="873" spans="1:27" ht="15.75">
      <c r="A873" s="86">
        <v>43892</v>
      </c>
      <c r="B873" s="120" t="s">
        <v>348</v>
      </c>
      <c r="C873" s="57" t="s">
        <v>79</v>
      </c>
      <c r="D873">
        <v>29263</v>
      </c>
      <c r="E873">
        <v>29043</v>
      </c>
      <c r="F873">
        <v>29040</v>
      </c>
      <c r="G873">
        <v>29042</v>
      </c>
      <c r="H873">
        <v>29222</v>
      </c>
      <c r="I873">
        <v>29170</v>
      </c>
      <c r="J873">
        <v>29035</v>
      </c>
      <c r="K873">
        <v>29085</v>
      </c>
      <c r="L873">
        <v>29238</v>
      </c>
      <c r="M873" s="16"/>
      <c r="N873" s="59">
        <f>IF((L874=""),"",MAX(D875:L875))</f>
        <v>15417</v>
      </c>
      <c r="O873" s="59">
        <f>IF(L874="","",MIN(D875:L875))</f>
        <v>12261</v>
      </c>
      <c r="P873" s="60">
        <f>IF((L875=""),"",AVERAGE(D875:L875))</f>
        <v>13172.333333333334</v>
      </c>
      <c r="Q873" s="156">
        <f>IF((L874=""),"",((N873-O873)/(N873+O873)*100))</f>
        <v>11.402557988293951</v>
      </c>
      <c r="R873" s="61" t="str">
        <f>IF(L874="","",IF(Q873&lt;Z873,IF(O873&gt;V873,IF(N873&lt;W873,"PASS","FAIL"),"FAIL"),"FAIL"))</f>
        <v>PASS</v>
      </c>
      <c r="S873" s="62">
        <v>1340</v>
      </c>
      <c r="T873" s="9" t="s">
        <v>338</v>
      </c>
      <c r="V873" s="110">
        <v>10000</v>
      </c>
      <c r="W873" s="110">
        <v>15600</v>
      </c>
      <c r="X873" s="111">
        <v>8090</v>
      </c>
      <c r="Y873" s="111">
        <v>12070</v>
      </c>
      <c r="Z873" s="112">
        <v>15</v>
      </c>
      <c r="AA873" s="112">
        <v>6</v>
      </c>
    </row>
    <row r="874" spans="1:27" ht="15.75">
      <c r="A874" s="99"/>
      <c r="B874" s="122"/>
      <c r="C874" s="57" t="s">
        <v>80</v>
      </c>
      <c r="D874">
        <v>24946</v>
      </c>
      <c r="E874">
        <v>24809</v>
      </c>
      <c r="F874">
        <v>24902</v>
      </c>
      <c r="G874">
        <v>24955</v>
      </c>
      <c r="H874">
        <v>24418</v>
      </c>
      <c r="I874">
        <v>24031</v>
      </c>
      <c r="J874">
        <v>24821</v>
      </c>
      <c r="K874">
        <v>24817</v>
      </c>
      <c r="L874">
        <v>24922</v>
      </c>
      <c r="M874"/>
      <c r="N874" s="53"/>
      <c r="O874" s="53"/>
      <c r="P874" s="63"/>
      <c r="Q874" s="53"/>
      <c r="R874" s="64"/>
      <c r="S874" s="54"/>
    </row>
    <row r="875" spans="1:27">
      <c r="A875" s="100"/>
      <c r="B875" s="122"/>
      <c r="C875" s="57" t="s">
        <v>82</v>
      </c>
      <c r="D875" s="16">
        <f t="shared" ref="D875:L875" si="323">IF(((D873="")*AND(D874="")),"",(D873-D874)*3)</f>
        <v>12951</v>
      </c>
      <c r="E875" s="16">
        <f t="shared" si="323"/>
        <v>12702</v>
      </c>
      <c r="F875" s="16">
        <f t="shared" si="323"/>
        <v>12414</v>
      </c>
      <c r="G875" s="16">
        <f t="shared" si="323"/>
        <v>12261</v>
      </c>
      <c r="H875" s="16">
        <f t="shared" si="323"/>
        <v>14412</v>
      </c>
      <c r="I875" s="16">
        <f t="shared" si="323"/>
        <v>15417</v>
      </c>
      <c r="J875" s="16">
        <f t="shared" si="323"/>
        <v>12642</v>
      </c>
      <c r="K875" s="16">
        <f t="shared" si="323"/>
        <v>12804</v>
      </c>
      <c r="L875" s="16">
        <f t="shared" si="323"/>
        <v>12948</v>
      </c>
      <c r="M875" s="16"/>
      <c r="N875" s="65"/>
      <c r="O875" s="65"/>
      <c r="P875" s="66"/>
      <c r="Q875" s="65"/>
      <c r="R875" s="67"/>
      <c r="S875" s="58"/>
    </row>
    <row r="876" spans="1:27" ht="15.75">
      <c r="A876" s="86">
        <v>43892</v>
      </c>
      <c r="B876" s="120" t="s">
        <v>348</v>
      </c>
      <c r="C876" s="57" t="s">
        <v>79</v>
      </c>
      <c r="D876">
        <v>29278</v>
      </c>
      <c r="E876">
        <v>29092</v>
      </c>
      <c r="F876">
        <v>29080</v>
      </c>
      <c r="G876">
        <v>29095</v>
      </c>
      <c r="H876">
        <v>29255</v>
      </c>
      <c r="I876">
        <v>29273</v>
      </c>
      <c r="J876">
        <v>29085</v>
      </c>
      <c r="K876">
        <v>29073</v>
      </c>
      <c r="L876">
        <v>29266</v>
      </c>
      <c r="M876" s="16"/>
      <c r="N876" s="59">
        <f>IF((L877=""),"",MAX(D878:L878))</f>
        <v>12864</v>
      </c>
      <c r="O876" s="59">
        <f>IF(L877="","",MIN(D878:L878))</f>
        <v>11679</v>
      </c>
      <c r="P876" s="60">
        <f>IF((L878=""),"",AVERAGE(D878:L878))</f>
        <v>12511.333333333334</v>
      </c>
      <c r="Q876" s="156">
        <f>IF((L877=""),"",((N876-O876)/(N876+O876)*100))</f>
        <v>4.8282606038381619</v>
      </c>
      <c r="R876" s="61" t="str">
        <f>IF(L877="","",IF(Q876&lt;Z876,IF(O876&gt;V876,IF(N876&lt;W876,"PASS","FAIL"),"FAIL"),"FAIL"))</f>
        <v>PASS</v>
      </c>
      <c r="S876" s="62">
        <v>1159</v>
      </c>
      <c r="T876" s="9" t="s">
        <v>382</v>
      </c>
      <c r="V876" s="110">
        <v>10000</v>
      </c>
      <c r="W876" s="110">
        <v>15600</v>
      </c>
      <c r="X876" s="111">
        <v>8090</v>
      </c>
      <c r="Y876" s="111">
        <v>12070</v>
      </c>
      <c r="Z876" s="112">
        <v>15</v>
      </c>
      <c r="AA876" s="112">
        <v>6</v>
      </c>
    </row>
    <row r="877" spans="1:27" ht="15.75">
      <c r="A877" s="99"/>
      <c r="B877" s="122"/>
      <c r="C877" s="57" t="s">
        <v>80</v>
      </c>
      <c r="D877">
        <v>25055</v>
      </c>
      <c r="E877">
        <v>24829</v>
      </c>
      <c r="F877">
        <v>24907</v>
      </c>
      <c r="G877">
        <v>24859</v>
      </c>
      <c r="H877">
        <v>25211</v>
      </c>
      <c r="I877">
        <v>24985</v>
      </c>
      <c r="J877">
        <v>24804</v>
      </c>
      <c r="K877">
        <v>24940</v>
      </c>
      <c r="L877">
        <v>25373</v>
      </c>
      <c r="M877"/>
      <c r="N877" s="53"/>
      <c r="O877" s="53"/>
      <c r="P877" s="63"/>
      <c r="Q877" s="53"/>
      <c r="R877" s="64"/>
      <c r="S877" s="54"/>
    </row>
    <row r="878" spans="1:27">
      <c r="A878" s="100"/>
      <c r="B878" s="122"/>
      <c r="C878" s="57" t="s">
        <v>82</v>
      </c>
      <c r="D878" s="16">
        <f t="shared" ref="D878:L878" si="324">IF(((D876="")*AND(D877="")),"",(D876-D877)*3)</f>
        <v>12669</v>
      </c>
      <c r="E878" s="16">
        <f t="shared" si="324"/>
        <v>12789</v>
      </c>
      <c r="F878" s="16">
        <f t="shared" si="324"/>
        <v>12519</v>
      </c>
      <c r="G878" s="16">
        <f t="shared" si="324"/>
        <v>12708</v>
      </c>
      <c r="H878" s="16">
        <f t="shared" si="324"/>
        <v>12132</v>
      </c>
      <c r="I878" s="16">
        <f t="shared" si="324"/>
        <v>12864</v>
      </c>
      <c r="J878" s="16">
        <f t="shared" si="324"/>
        <v>12843</v>
      </c>
      <c r="K878" s="16">
        <f t="shared" si="324"/>
        <v>12399</v>
      </c>
      <c r="L878" s="16">
        <f t="shared" si="324"/>
        <v>11679</v>
      </c>
      <c r="M878" s="16"/>
      <c r="N878" s="65"/>
      <c r="O878" s="65"/>
      <c r="P878" s="66"/>
      <c r="Q878" s="65"/>
      <c r="R878" s="67"/>
      <c r="S878" s="58"/>
    </row>
    <row r="879" spans="1:27" ht="15.75">
      <c r="A879" s="86">
        <v>43896</v>
      </c>
      <c r="B879" s="120" t="s">
        <v>348</v>
      </c>
      <c r="C879" s="57" t="s">
        <v>79</v>
      </c>
      <c r="D879">
        <v>29196</v>
      </c>
      <c r="E879">
        <v>28969</v>
      </c>
      <c r="F879">
        <v>28941</v>
      </c>
      <c r="G879">
        <v>28940</v>
      </c>
      <c r="H879">
        <v>29128</v>
      </c>
      <c r="I879">
        <v>29150</v>
      </c>
      <c r="J879">
        <v>28949</v>
      </c>
      <c r="K879">
        <v>28950</v>
      </c>
      <c r="L879">
        <v>29113</v>
      </c>
      <c r="M879" s="16"/>
      <c r="N879" s="59">
        <f>IF((L880=""),"",MAX(D881:L881))</f>
        <v>14280</v>
      </c>
      <c r="O879" s="59">
        <f>IF(L880="","",MIN(D881:L881))</f>
        <v>12768</v>
      </c>
      <c r="P879" s="60">
        <f>IF((L881=""),"",AVERAGE(D881:L881))</f>
        <v>13732.333333333334</v>
      </c>
      <c r="Q879" s="156">
        <f>IF((L880=""),"",((N879-O879)/(N879+O879)*100))</f>
        <v>5.5900621118012426</v>
      </c>
      <c r="R879" s="61" t="str">
        <f>IF(L880="","",IF(Q879&lt;Z879,IF(O879&gt;V879,IF(N879&lt;W879,"PASS","FAIL"),"FAIL"),"FAIL"))</f>
        <v>PASS</v>
      </c>
      <c r="S879" s="62">
        <v>1340</v>
      </c>
      <c r="T879" s="9" t="s">
        <v>384</v>
      </c>
      <c r="V879" s="110">
        <v>10000</v>
      </c>
      <c r="W879" s="110">
        <v>15600</v>
      </c>
      <c r="X879" s="111">
        <v>8090</v>
      </c>
      <c r="Y879" s="111">
        <v>12070</v>
      </c>
      <c r="Z879" s="112">
        <v>15</v>
      </c>
      <c r="AA879" s="112">
        <v>6</v>
      </c>
    </row>
    <row r="880" spans="1:27" ht="15.75">
      <c r="A880" s="99"/>
      <c r="B880" s="122"/>
      <c r="C880" s="57" t="s">
        <v>80</v>
      </c>
      <c r="D880">
        <v>24531</v>
      </c>
      <c r="E880">
        <v>24209</v>
      </c>
      <c r="F880">
        <v>24270</v>
      </c>
      <c r="G880">
        <v>24334</v>
      </c>
      <c r="H880">
        <v>24761</v>
      </c>
      <c r="I880">
        <v>24894</v>
      </c>
      <c r="J880">
        <v>24376</v>
      </c>
      <c r="K880">
        <v>24248</v>
      </c>
      <c r="L880">
        <v>24516</v>
      </c>
      <c r="M880"/>
      <c r="N880" s="53"/>
      <c r="O880" s="53"/>
      <c r="P880" s="63"/>
      <c r="Q880" s="53"/>
      <c r="R880" s="64"/>
      <c r="S880" s="54"/>
    </row>
    <row r="881" spans="1:27">
      <c r="A881" s="100"/>
      <c r="B881" s="122"/>
      <c r="C881" s="57" t="s">
        <v>82</v>
      </c>
      <c r="D881" s="16">
        <f t="shared" ref="D881:L881" si="325">IF(((D879="")*AND(D880="")),"",(D879-D880)*3)</f>
        <v>13995</v>
      </c>
      <c r="E881" s="16">
        <f t="shared" si="325"/>
        <v>14280</v>
      </c>
      <c r="F881" s="16">
        <f t="shared" si="325"/>
        <v>14013</v>
      </c>
      <c r="G881" s="16">
        <f t="shared" si="325"/>
        <v>13818</v>
      </c>
      <c r="H881" s="16">
        <f t="shared" si="325"/>
        <v>13101</v>
      </c>
      <c r="I881" s="16">
        <f t="shared" si="325"/>
        <v>12768</v>
      </c>
      <c r="J881" s="16">
        <f t="shared" si="325"/>
        <v>13719</v>
      </c>
      <c r="K881" s="16">
        <f t="shared" si="325"/>
        <v>14106</v>
      </c>
      <c r="L881" s="16">
        <f t="shared" si="325"/>
        <v>13791</v>
      </c>
      <c r="M881" s="16"/>
      <c r="N881" s="65"/>
      <c r="O881" s="65"/>
      <c r="P881" s="66"/>
      <c r="Q881" s="65"/>
      <c r="R881" s="67"/>
      <c r="S881" s="58"/>
    </row>
    <row r="882" spans="1:27" ht="15.75">
      <c r="A882" s="86">
        <v>43902</v>
      </c>
      <c r="B882" s="120" t="s">
        <v>348</v>
      </c>
      <c r="C882" s="57" t="s">
        <v>79</v>
      </c>
      <c r="D882">
        <v>29202</v>
      </c>
      <c r="E882">
        <v>29014</v>
      </c>
      <c r="F882">
        <v>29020</v>
      </c>
      <c r="G882">
        <v>29016</v>
      </c>
      <c r="H882">
        <v>29211</v>
      </c>
      <c r="I882">
        <v>29215</v>
      </c>
      <c r="J882">
        <v>29014</v>
      </c>
      <c r="K882">
        <v>28997</v>
      </c>
      <c r="L882">
        <v>29168</v>
      </c>
      <c r="M882" s="16"/>
      <c r="N882" s="59">
        <f>IF((L883=""),"",MAX(D884:L884))</f>
        <v>11469</v>
      </c>
      <c r="O882" s="59">
        <f>IF(L883="","",MIN(D884:L884))</f>
        <v>10287</v>
      </c>
      <c r="P882" s="60">
        <f>IF((L884=""),"",AVERAGE(D884:L884))</f>
        <v>11202</v>
      </c>
      <c r="Q882" s="156">
        <f>IF((L883=""),"",((N882-O882)/(N882+O882)*100))</f>
        <v>5.4329840044125755</v>
      </c>
      <c r="R882" s="61" t="str">
        <f>IF(L883="","",IF(Q882&lt;Z882,IF(O882&gt;V882,IF(N882&lt;W882,"PASS","FAIL"),"FAIL"),"FAIL"))</f>
        <v>PASS</v>
      </c>
      <c r="S882" s="62">
        <v>1159</v>
      </c>
      <c r="T882" s="9" t="s">
        <v>386</v>
      </c>
      <c r="V882" s="110">
        <v>10000</v>
      </c>
      <c r="W882" s="110">
        <v>15600</v>
      </c>
      <c r="X882" s="111">
        <v>8090</v>
      </c>
      <c r="Y882" s="111">
        <v>12070</v>
      </c>
      <c r="Z882" s="112">
        <v>15</v>
      </c>
      <c r="AA882" s="112">
        <v>6</v>
      </c>
    </row>
    <row r="883" spans="1:27" ht="15.75">
      <c r="A883" s="99"/>
      <c r="B883" s="122"/>
      <c r="C883" s="57" t="s">
        <v>80</v>
      </c>
      <c r="D883">
        <v>25457</v>
      </c>
      <c r="E883">
        <v>25214</v>
      </c>
      <c r="F883">
        <v>25283</v>
      </c>
      <c r="G883">
        <v>25204</v>
      </c>
      <c r="H883">
        <v>25443</v>
      </c>
      <c r="I883">
        <v>25399</v>
      </c>
      <c r="J883">
        <v>25191</v>
      </c>
      <c r="K883">
        <v>25321</v>
      </c>
      <c r="L883">
        <v>25739</v>
      </c>
      <c r="M883"/>
      <c r="N883" s="53"/>
      <c r="O883" s="53"/>
      <c r="P883" s="63"/>
      <c r="Q883" s="53"/>
      <c r="R883" s="64"/>
      <c r="S883" s="54"/>
    </row>
    <row r="884" spans="1:27">
      <c r="A884" s="100"/>
      <c r="B884" s="122"/>
      <c r="C884" s="57" t="s">
        <v>82</v>
      </c>
      <c r="D884" s="16">
        <f t="shared" ref="D884:L884" si="326">IF(((D882="")*AND(D883="")),"",(D882-D883)*3)</f>
        <v>11235</v>
      </c>
      <c r="E884" s="16">
        <f t="shared" si="326"/>
        <v>11400</v>
      </c>
      <c r="F884" s="16">
        <f t="shared" si="326"/>
        <v>11211</v>
      </c>
      <c r="G884" s="16">
        <f t="shared" si="326"/>
        <v>11436</v>
      </c>
      <c r="H884" s="16">
        <f t="shared" si="326"/>
        <v>11304</v>
      </c>
      <c r="I884" s="16">
        <f t="shared" si="326"/>
        <v>11448</v>
      </c>
      <c r="J884" s="16">
        <f t="shared" si="326"/>
        <v>11469</v>
      </c>
      <c r="K884" s="16">
        <f t="shared" si="326"/>
        <v>11028</v>
      </c>
      <c r="L884" s="16">
        <f t="shared" si="326"/>
        <v>10287</v>
      </c>
      <c r="M884" s="16"/>
      <c r="N884" s="65"/>
      <c r="O884" s="65"/>
      <c r="P884" s="66"/>
      <c r="Q884" s="65"/>
      <c r="R884" s="67"/>
      <c r="S884" s="58"/>
    </row>
    <row r="885" spans="1:27" ht="15.75">
      <c r="A885" s="86">
        <v>43906</v>
      </c>
      <c r="B885" s="120" t="s">
        <v>348</v>
      </c>
      <c r="C885" s="57" t="s">
        <v>79</v>
      </c>
      <c r="D885" s="109">
        <v>29032.82</v>
      </c>
      <c r="E885" s="109">
        <v>28879.59</v>
      </c>
      <c r="F885" s="109">
        <v>28893.200000000001</v>
      </c>
      <c r="G885" s="109">
        <v>28870.84</v>
      </c>
      <c r="H885" s="109">
        <v>28985.08</v>
      </c>
      <c r="I885" s="109">
        <v>29012.48</v>
      </c>
      <c r="J885" s="109">
        <v>28881.919999999998</v>
      </c>
      <c r="K885" s="109">
        <v>28868.29</v>
      </c>
      <c r="L885" s="109">
        <v>28962.05</v>
      </c>
      <c r="M885" s="16"/>
      <c r="N885" s="59">
        <f>IF((L886=""),"",MAX(D887:L887))</f>
        <v>11810.04</v>
      </c>
      <c r="O885" s="59">
        <f>IF(L886="","",MIN(D887:L887))</f>
        <v>10820.580000000002</v>
      </c>
      <c r="P885" s="60">
        <f>IF((L887=""),"",AVERAGE(D887:L887))</f>
        <v>11503.863333333335</v>
      </c>
      <c r="Q885" s="156">
        <f>IF((L886=""),"",((N885-O885)/(N885+O885)*100))</f>
        <v>4.3722178181596396</v>
      </c>
      <c r="R885" s="61" t="str">
        <f>IF(L886="","",IF(Q885&lt;Z885,IF(O885&gt;V885,IF(N885&lt;W885,"PASS","FAIL"),"FAIL"),"FAIL"))</f>
        <v>PASS</v>
      </c>
      <c r="S885" s="62">
        <v>1428</v>
      </c>
      <c r="T885" s="9" t="s">
        <v>387</v>
      </c>
      <c r="V885" s="110">
        <v>10000</v>
      </c>
      <c r="W885" s="110">
        <v>15600</v>
      </c>
      <c r="X885" s="111">
        <v>8090</v>
      </c>
      <c r="Y885" s="111">
        <v>12070</v>
      </c>
      <c r="Z885" s="112">
        <v>15</v>
      </c>
      <c r="AA885" s="112">
        <v>6</v>
      </c>
    </row>
    <row r="886" spans="1:27" ht="15.75">
      <c r="A886" s="99"/>
      <c r="B886" s="122"/>
      <c r="C886" s="57" t="s">
        <v>80</v>
      </c>
      <c r="D886" s="109">
        <v>25328.84</v>
      </c>
      <c r="E886" s="109">
        <v>24999.53</v>
      </c>
      <c r="F886" s="109">
        <v>25035.7</v>
      </c>
      <c r="G886" s="109">
        <v>24956.91</v>
      </c>
      <c r="H886" s="109">
        <v>25137.39</v>
      </c>
      <c r="I886" s="109">
        <v>25405.62</v>
      </c>
      <c r="J886" s="109">
        <v>25047.18</v>
      </c>
      <c r="K886" s="109">
        <v>24931.61</v>
      </c>
      <c r="L886" s="109">
        <v>25031.9</v>
      </c>
      <c r="M886"/>
      <c r="N886" s="53"/>
      <c r="O886" s="53"/>
      <c r="P886" s="63"/>
      <c r="Q886" s="53"/>
      <c r="R886" s="64"/>
      <c r="S886" s="54"/>
    </row>
    <row r="887" spans="1:27">
      <c r="A887" s="100"/>
      <c r="B887" s="122"/>
      <c r="C887" s="57" t="s">
        <v>82</v>
      </c>
      <c r="D887" s="16">
        <f t="shared" ref="D887:L887" si="327">IF(((D885="")*AND(D886="")),"",(D885-D886)*3)</f>
        <v>11111.939999999999</v>
      </c>
      <c r="E887" s="16">
        <f t="shared" si="327"/>
        <v>11640.180000000004</v>
      </c>
      <c r="F887" s="16">
        <f t="shared" si="327"/>
        <v>11572.5</v>
      </c>
      <c r="G887" s="16">
        <f t="shared" si="327"/>
        <v>11741.79</v>
      </c>
      <c r="H887" s="16">
        <f t="shared" si="327"/>
        <v>11543.070000000007</v>
      </c>
      <c r="I887" s="16">
        <f t="shared" si="327"/>
        <v>10820.580000000002</v>
      </c>
      <c r="J887" s="16">
        <f t="shared" si="327"/>
        <v>11504.219999999994</v>
      </c>
      <c r="K887" s="16">
        <f t="shared" si="327"/>
        <v>11810.04</v>
      </c>
      <c r="L887" s="16">
        <f t="shared" si="327"/>
        <v>11790.449999999993</v>
      </c>
      <c r="M887" s="16"/>
      <c r="N887" s="65"/>
      <c r="O887" s="65"/>
      <c r="P887" s="66"/>
      <c r="Q887" s="65"/>
      <c r="R887" s="67"/>
      <c r="S887" s="58"/>
    </row>
    <row r="888" spans="1:27" ht="15.75">
      <c r="A888" s="86">
        <v>43949</v>
      </c>
      <c r="B888" s="120" t="s">
        <v>348</v>
      </c>
      <c r="C888" s="57" t="s">
        <v>79</v>
      </c>
      <c r="D888">
        <v>29464.11</v>
      </c>
      <c r="E888">
        <v>29319.13</v>
      </c>
      <c r="F888">
        <v>29341.69</v>
      </c>
      <c r="G888">
        <v>29312.84</v>
      </c>
      <c r="H888">
        <v>29424.47</v>
      </c>
      <c r="I888">
        <v>29414.52</v>
      </c>
      <c r="J888">
        <v>29312.43</v>
      </c>
      <c r="K888">
        <v>29296.84</v>
      </c>
      <c r="L888">
        <v>29462.09</v>
      </c>
      <c r="M888" s="16"/>
      <c r="N888" s="59">
        <f>IF((L889=""),"",MAX(D890:L890))</f>
        <v>13313.970000000005</v>
      </c>
      <c r="O888" s="59">
        <f>IF(L889="","",MIN(D890:L890))</f>
        <v>12606.689999999999</v>
      </c>
      <c r="P888" s="60">
        <f>IF((L890=""),"",AVERAGE(D890:L890))</f>
        <v>13099.953333333335</v>
      </c>
      <c r="Q888" s="156">
        <f>IF((L889=""),"",((N888-O888)/(N888+O888)*100))</f>
        <v>2.7286342245915267</v>
      </c>
      <c r="R888" s="61" t="str">
        <f>IF(L889="","",IF(Q888&lt;Z888,IF(O888&gt;V888,IF(N888&lt;W888,"PASS","FAIL"),"FAIL"),"FAIL"))</f>
        <v>PASS</v>
      </c>
      <c r="S888" s="62">
        <v>121</v>
      </c>
      <c r="T888" s="9" t="s">
        <v>390</v>
      </c>
      <c r="V888" s="110">
        <v>10000</v>
      </c>
      <c r="W888" s="110">
        <v>15600</v>
      </c>
      <c r="X888" s="111">
        <v>8090</v>
      </c>
      <c r="Y888" s="111">
        <v>12070</v>
      </c>
      <c r="Z888" s="112">
        <v>15</v>
      </c>
      <c r="AA888" s="112">
        <v>6</v>
      </c>
    </row>
    <row r="889" spans="1:27" ht="15.75">
      <c r="A889" s="99"/>
      <c r="B889" s="122"/>
      <c r="C889" s="57" t="s">
        <v>80</v>
      </c>
      <c r="D889">
        <v>25150.46</v>
      </c>
      <c r="E889">
        <v>24896.19</v>
      </c>
      <c r="F889">
        <v>24968.49</v>
      </c>
      <c r="G889">
        <v>24893.13</v>
      </c>
      <c r="H889">
        <v>25074.57</v>
      </c>
      <c r="I889">
        <v>25212.29</v>
      </c>
      <c r="J889">
        <v>24927.56</v>
      </c>
      <c r="K889">
        <v>24858.85</v>
      </c>
      <c r="L889">
        <v>25066.720000000001</v>
      </c>
      <c r="M889"/>
      <c r="N889" s="53"/>
      <c r="O889" s="53"/>
      <c r="P889" s="63"/>
      <c r="Q889" s="53"/>
      <c r="R889" s="64"/>
      <c r="S889" s="54"/>
    </row>
    <row r="890" spans="1:27">
      <c r="A890" s="100"/>
      <c r="B890" s="122"/>
      <c r="C890" s="57" t="s">
        <v>82</v>
      </c>
      <c r="D890" s="16">
        <f t="shared" ref="D890:L890" si="328">IF(((D888="")*AND(D889="")),"",(D888-D889)*3)</f>
        <v>12940.950000000004</v>
      </c>
      <c r="E890" s="16">
        <f t="shared" si="328"/>
        <v>13268.820000000007</v>
      </c>
      <c r="F890" s="16">
        <f t="shared" si="328"/>
        <v>13119.599999999991</v>
      </c>
      <c r="G890" s="16">
        <f t="shared" si="328"/>
        <v>13259.129999999997</v>
      </c>
      <c r="H890" s="16">
        <f t="shared" si="328"/>
        <v>13049.700000000004</v>
      </c>
      <c r="I890" s="16">
        <f t="shared" si="328"/>
        <v>12606.689999999999</v>
      </c>
      <c r="J890" s="16">
        <f t="shared" si="328"/>
        <v>13154.609999999997</v>
      </c>
      <c r="K890" s="16">
        <f t="shared" si="328"/>
        <v>13313.970000000005</v>
      </c>
      <c r="L890" s="16">
        <f t="shared" si="328"/>
        <v>13186.109999999997</v>
      </c>
      <c r="M890" s="16"/>
      <c r="N890" s="65"/>
      <c r="O890" s="65"/>
      <c r="P890" s="66"/>
      <c r="Q890" s="65"/>
      <c r="R890" s="67"/>
      <c r="S890" s="58"/>
    </row>
    <row r="891" spans="1:27" ht="15.75">
      <c r="A891" s="86">
        <v>43957</v>
      </c>
      <c r="B891" s="120" t="s">
        <v>348</v>
      </c>
      <c r="C891" s="57" t="s">
        <v>79</v>
      </c>
      <c r="D891" s="109">
        <v>29478.6</v>
      </c>
      <c r="E891" s="109">
        <v>29345.03</v>
      </c>
      <c r="F891" s="109">
        <v>29325.3</v>
      </c>
      <c r="G891" s="109">
        <v>29319.62</v>
      </c>
      <c r="H891" s="109">
        <v>29435.55</v>
      </c>
      <c r="I891" s="109">
        <v>29430.54</v>
      </c>
      <c r="J891" s="109">
        <v>29326.53</v>
      </c>
      <c r="K891" s="109">
        <v>29316.19</v>
      </c>
      <c r="L891" s="109">
        <v>29439.63</v>
      </c>
      <c r="M891" s="16"/>
      <c r="N891" s="59">
        <f>IF((L892=""),"",MAX(D893:L893))</f>
        <v>13125.27</v>
      </c>
      <c r="O891" s="59">
        <f>IF(L892="","",MIN(D893:L893))</f>
        <v>12487.350000000002</v>
      </c>
      <c r="P891" s="60">
        <f>IF((L893=""),"",AVERAGE(D893:L893))</f>
        <v>12890.96</v>
      </c>
      <c r="Q891" s="156">
        <f>IF((L892=""),"",((N891-O891)/(N891+O891)*100))</f>
        <v>2.4906471887686545</v>
      </c>
      <c r="R891" s="61" t="str">
        <f>IF(L892="","",IF(Q891&lt;Z891,IF(O891&gt;V891,IF(N891&lt;W891,"PASS","FAIL"),"FAIL"),"FAIL"))</f>
        <v>PASS</v>
      </c>
      <c r="S891" s="62">
        <v>1428</v>
      </c>
      <c r="T891" s="9" t="s">
        <v>392</v>
      </c>
      <c r="V891" s="110">
        <v>10000</v>
      </c>
      <c r="W891" s="110">
        <v>15600</v>
      </c>
      <c r="X891" s="111">
        <v>8090</v>
      </c>
      <c r="Y891" s="111">
        <v>12070</v>
      </c>
      <c r="Z891" s="112">
        <v>15</v>
      </c>
      <c r="AA891" s="112">
        <v>6</v>
      </c>
    </row>
    <row r="892" spans="1:27" ht="15.75">
      <c r="A892" s="99"/>
      <c r="B892" s="122"/>
      <c r="C892" s="57" t="s">
        <v>80</v>
      </c>
      <c r="D892" s="109">
        <v>25235.84</v>
      </c>
      <c r="E892" s="109">
        <v>24985.119999999999</v>
      </c>
      <c r="F892" s="109">
        <v>25044.06</v>
      </c>
      <c r="G892" s="109">
        <v>24977.3</v>
      </c>
      <c r="H892" s="109">
        <v>25168.69</v>
      </c>
      <c r="I892" s="109">
        <v>25268.09</v>
      </c>
      <c r="J892" s="109">
        <v>25011.43</v>
      </c>
      <c r="K892" s="109">
        <v>24941.1</v>
      </c>
      <c r="L892" s="109">
        <v>25112.48</v>
      </c>
      <c r="M892"/>
      <c r="N892" s="53"/>
      <c r="O892" s="53"/>
      <c r="P892" s="63"/>
      <c r="Q892" s="53"/>
      <c r="R892" s="64"/>
      <c r="S892" s="54"/>
    </row>
    <row r="893" spans="1:27">
      <c r="A893" s="100"/>
      <c r="B893" s="122"/>
      <c r="C893" s="57" t="s">
        <v>82</v>
      </c>
      <c r="D893" s="16">
        <f t="shared" ref="D893:L893" si="329">IF(((D891="")*AND(D892="")),"",(D891-D892)*3)</f>
        <v>12728.279999999995</v>
      </c>
      <c r="E893" s="16">
        <f t="shared" si="329"/>
        <v>13079.73</v>
      </c>
      <c r="F893" s="16">
        <f t="shared" si="329"/>
        <v>12843.719999999994</v>
      </c>
      <c r="G893" s="16">
        <f t="shared" si="329"/>
        <v>13026.96</v>
      </c>
      <c r="H893" s="16">
        <f t="shared" si="329"/>
        <v>12800.580000000002</v>
      </c>
      <c r="I893" s="16">
        <f t="shared" si="329"/>
        <v>12487.350000000002</v>
      </c>
      <c r="J893" s="16">
        <f t="shared" si="329"/>
        <v>12945.299999999996</v>
      </c>
      <c r="K893" s="16">
        <f t="shared" si="329"/>
        <v>13125.27</v>
      </c>
      <c r="L893" s="16">
        <f t="shared" si="329"/>
        <v>12981.450000000004</v>
      </c>
      <c r="M893" s="16"/>
      <c r="N893" s="65"/>
      <c r="O893" s="65"/>
      <c r="P893" s="66"/>
      <c r="Q893" s="65"/>
      <c r="R893" s="67"/>
      <c r="S893" s="58"/>
    </row>
    <row r="894" spans="1:27" ht="15.75">
      <c r="A894" s="86">
        <v>43980</v>
      </c>
      <c r="B894" s="120" t="s">
        <v>348</v>
      </c>
      <c r="C894" s="57" t="s">
        <v>79</v>
      </c>
      <c r="D894">
        <v>29264.13</v>
      </c>
      <c r="E894">
        <v>29140.09</v>
      </c>
      <c r="F894">
        <v>29140.68</v>
      </c>
      <c r="G894">
        <v>29157.5</v>
      </c>
      <c r="H894">
        <v>29268.26</v>
      </c>
      <c r="I894">
        <v>29283.13</v>
      </c>
      <c r="J894">
        <v>29150.36</v>
      </c>
      <c r="K894">
        <v>29130.37</v>
      </c>
      <c r="L894">
        <v>29237.65</v>
      </c>
      <c r="M894" s="16"/>
      <c r="N894" s="59">
        <f>IF((L895=""),"",MAX(D896:L896))</f>
        <v>12078.929999999993</v>
      </c>
      <c r="O894" s="59">
        <f>IF(L895="","",MIN(D896:L896))</f>
        <v>11350.080000000002</v>
      </c>
      <c r="P894" s="60">
        <f>IF((L896=""),"",AVERAGE(D896:L896))</f>
        <v>11796.576666666668</v>
      </c>
      <c r="Q894" s="156">
        <f>IF((L895=""),"",((N894-O894)/(N894+O894)*100))</f>
        <v>3.1108868876661515</v>
      </c>
      <c r="R894" s="61" t="str">
        <f>IF(L895="","",IF(Q894&lt;Z894,IF(O894&gt;V894,IF(N894&lt;W894,"PASS","FAIL"),"FAIL"),"FAIL"))</f>
        <v>PASS</v>
      </c>
      <c r="S894" s="62">
        <v>1159</v>
      </c>
      <c r="V894" s="110">
        <v>10000</v>
      </c>
      <c r="W894" s="110">
        <v>15600</v>
      </c>
      <c r="X894" s="111">
        <v>8090</v>
      </c>
      <c r="Y894" s="111">
        <v>12070</v>
      </c>
      <c r="Z894" s="112">
        <v>15</v>
      </c>
      <c r="AA894" s="112">
        <v>6</v>
      </c>
    </row>
    <row r="895" spans="1:27" ht="15.75">
      <c r="A895" s="99"/>
      <c r="B895" s="122"/>
      <c r="C895" s="57" t="s">
        <v>80</v>
      </c>
      <c r="D895">
        <v>25365.599999999999</v>
      </c>
      <c r="E895">
        <v>25136.080000000002</v>
      </c>
      <c r="F895">
        <v>25227</v>
      </c>
      <c r="G895">
        <v>25214.76</v>
      </c>
      <c r="H895">
        <v>25364.17</v>
      </c>
      <c r="I895">
        <v>25499.77</v>
      </c>
      <c r="J895">
        <v>25254.74</v>
      </c>
      <c r="K895">
        <v>25104.06</v>
      </c>
      <c r="L895">
        <v>25216.26</v>
      </c>
      <c r="M895"/>
      <c r="N895" s="53"/>
      <c r="O895" s="53"/>
      <c r="P895" s="63"/>
      <c r="Q895" s="53"/>
      <c r="R895" s="64"/>
      <c r="S895" s="54"/>
    </row>
    <row r="896" spans="1:27">
      <c r="A896" s="100"/>
      <c r="B896" s="122"/>
      <c r="C896" s="57" t="s">
        <v>82</v>
      </c>
      <c r="D896" s="16">
        <f t="shared" ref="D896:L896" si="330">IF(((D894="")*AND(D895="")),"",(D894-D895)*3)</f>
        <v>11695.590000000007</v>
      </c>
      <c r="E896" s="16">
        <f t="shared" si="330"/>
        <v>12012.029999999995</v>
      </c>
      <c r="F896" s="16">
        <f t="shared" si="330"/>
        <v>11741.04</v>
      </c>
      <c r="G896" s="16">
        <f t="shared" si="330"/>
        <v>11828.220000000005</v>
      </c>
      <c r="H896" s="16">
        <f t="shared" si="330"/>
        <v>11712.27</v>
      </c>
      <c r="I896" s="16">
        <f t="shared" si="330"/>
        <v>11350.080000000002</v>
      </c>
      <c r="J896" s="16">
        <f t="shared" si="330"/>
        <v>11686.859999999997</v>
      </c>
      <c r="K896" s="16">
        <f t="shared" si="330"/>
        <v>12078.929999999993</v>
      </c>
      <c r="L896" s="16">
        <f t="shared" si="330"/>
        <v>12064.170000000009</v>
      </c>
      <c r="M896" s="16"/>
      <c r="N896" s="65"/>
      <c r="O896" s="65"/>
      <c r="P896" s="66"/>
      <c r="Q896" s="65"/>
      <c r="R896" s="67"/>
      <c r="S896" s="58"/>
    </row>
    <row r="897" spans="1:27" ht="15.75">
      <c r="A897" s="86">
        <v>43986</v>
      </c>
      <c r="B897" s="120" t="s">
        <v>348</v>
      </c>
      <c r="C897" s="57" t="s">
        <v>79</v>
      </c>
      <c r="D897">
        <v>29354.74</v>
      </c>
      <c r="E897">
        <v>29220.02</v>
      </c>
      <c r="F897">
        <v>29232.35</v>
      </c>
      <c r="G897">
        <v>29182.46</v>
      </c>
      <c r="H897">
        <v>29264.99</v>
      </c>
      <c r="I897">
        <v>29319.67</v>
      </c>
      <c r="J897">
        <v>29188.39</v>
      </c>
      <c r="K897">
        <v>29196.55</v>
      </c>
      <c r="L897">
        <v>29329.49</v>
      </c>
      <c r="M897" s="16"/>
      <c r="N897" s="59">
        <f>IF((L898=""),"",MAX(D899:L899))</f>
        <v>12506.910000000003</v>
      </c>
      <c r="O897" s="59">
        <f>IF(L898="","",MIN(D899:L899))</f>
        <v>11977.680000000004</v>
      </c>
      <c r="P897" s="60">
        <f>IF((L899=""),"",AVERAGE(D899:L899))</f>
        <v>12282.859999999999</v>
      </c>
      <c r="Q897" s="156">
        <f>IF((L898=""),"",((N897-O897)/(N897+O897)*100))</f>
        <v>2.161481977031265</v>
      </c>
      <c r="R897" s="61" t="str">
        <f>IF(L898="","",IF(Q897&lt;Z897,IF(O897&gt;V897,IF(N897&lt;W897,"PASS","FAIL"),"FAIL"),"FAIL"))</f>
        <v>PASS</v>
      </c>
      <c r="S897" s="62">
        <v>1159</v>
      </c>
      <c r="V897" s="110">
        <v>10000</v>
      </c>
      <c r="W897" s="110">
        <v>15600</v>
      </c>
      <c r="X897" s="111">
        <v>8090</v>
      </c>
      <c r="Y897" s="111">
        <v>12070</v>
      </c>
      <c r="Z897" s="112">
        <v>15</v>
      </c>
      <c r="AA897" s="112">
        <v>6</v>
      </c>
    </row>
    <row r="898" spans="1:27" ht="15.75">
      <c r="A898" s="99"/>
      <c r="B898" s="122"/>
      <c r="C898" s="57" t="s">
        <v>80</v>
      </c>
      <c r="D898">
        <v>25264.14</v>
      </c>
      <c r="E898">
        <v>25086.79</v>
      </c>
      <c r="F898">
        <v>25122.29</v>
      </c>
      <c r="G898">
        <v>25039.83</v>
      </c>
      <c r="H898">
        <v>25259.91</v>
      </c>
      <c r="I898">
        <v>25183.02</v>
      </c>
      <c r="J898">
        <v>25019.42</v>
      </c>
      <c r="K898">
        <v>25127.75</v>
      </c>
      <c r="L898">
        <v>25336.93</v>
      </c>
      <c r="M898"/>
      <c r="N898" s="53"/>
      <c r="O898" s="53"/>
      <c r="P898" s="63"/>
      <c r="Q898" s="53"/>
      <c r="R898" s="64"/>
      <c r="S898" s="54"/>
    </row>
    <row r="899" spans="1:27">
      <c r="A899" s="100"/>
      <c r="B899" s="122"/>
      <c r="C899" s="57" t="s">
        <v>82</v>
      </c>
      <c r="D899" s="16">
        <f t="shared" ref="D899:L899" si="331">IF(((D897="")*AND(D898="")),"",(D897-D898)*3)</f>
        <v>12271.800000000007</v>
      </c>
      <c r="E899" s="16">
        <f t="shared" si="331"/>
        <v>12399.689999999999</v>
      </c>
      <c r="F899" s="16">
        <f t="shared" si="331"/>
        <v>12330.179999999993</v>
      </c>
      <c r="G899" s="16">
        <f t="shared" si="331"/>
        <v>12427.889999999992</v>
      </c>
      <c r="H899" s="16">
        <f t="shared" si="331"/>
        <v>12015.240000000005</v>
      </c>
      <c r="I899" s="16">
        <f t="shared" si="331"/>
        <v>12409.949999999993</v>
      </c>
      <c r="J899" s="16">
        <f t="shared" si="331"/>
        <v>12506.910000000003</v>
      </c>
      <c r="K899" s="16">
        <f t="shared" si="331"/>
        <v>12206.399999999998</v>
      </c>
      <c r="L899" s="16">
        <f t="shared" si="331"/>
        <v>11977.680000000004</v>
      </c>
      <c r="M899" s="16"/>
      <c r="N899" s="65"/>
      <c r="O899" s="65"/>
      <c r="P899" s="66"/>
      <c r="Q899" s="65"/>
      <c r="R899" s="67"/>
      <c r="S899" s="58"/>
    </row>
    <row r="900" spans="1:27" ht="15.75">
      <c r="A900" s="86">
        <v>43993</v>
      </c>
      <c r="B900" s="120" t="s">
        <v>348</v>
      </c>
      <c r="C900" s="57" t="s">
        <v>79</v>
      </c>
      <c r="D900" s="109">
        <v>29157.86</v>
      </c>
      <c r="E900" s="109">
        <v>29036.02</v>
      </c>
      <c r="F900" s="109">
        <v>29000.17</v>
      </c>
      <c r="G900" s="109">
        <v>29018.38</v>
      </c>
      <c r="H900" s="109">
        <v>29131.84</v>
      </c>
      <c r="I900" s="109">
        <v>29130.33</v>
      </c>
      <c r="J900" s="109">
        <v>29015.19</v>
      </c>
      <c r="K900" s="109">
        <v>29001</v>
      </c>
      <c r="L900" s="109">
        <v>29126.84</v>
      </c>
      <c r="M900" s="16"/>
      <c r="N900" s="59">
        <f>IF((L901=""),"",MAX(D902:L902))</f>
        <v>11321.430000000004</v>
      </c>
      <c r="O900" s="59">
        <f>IF(L901="","",MIN(D902:L902))</f>
        <v>10772.25</v>
      </c>
      <c r="P900" s="60">
        <f>IF((L902=""),"",AVERAGE(D902:L902))</f>
        <v>11084.480000000001</v>
      </c>
      <c r="Q900" s="156">
        <f>IF((L901=""),"",((N900-O900)/(N900+O900)*100))</f>
        <v>2.4856882149103443</v>
      </c>
      <c r="R900" s="61" t="str">
        <f>IF(L901="","",IF(Q900&lt;Z900,IF(O900&gt;V900,IF(N900&lt;W900,"PASS","FAIL"),"FAIL"),"FAIL"))</f>
        <v>PASS</v>
      </c>
      <c r="S900" s="62">
        <v>1428</v>
      </c>
      <c r="V900" s="110">
        <v>10000</v>
      </c>
      <c r="W900" s="110">
        <v>15600</v>
      </c>
      <c r="X900" s="111">
        <v>8090</v>
      </c>
      <c r="Y900" s="111">
        <v>12070</v>
      </c>
      <c r="Z900" s="112">
        <v>15</v>
      </c>
      <c r="AA900" s="112">
        <v>6</v>
      </c>
    </row>
    <row r="901" spans="1:27" ht="15.75">
      <c r="A901" s="99"/>
      <c r="B901" s="122"/>
      <c r="C901" s="57" t="s">
        <v>80</v>
      </c>
      <c r="D901" s="109">
        <v>25493.79</v>
      </c>
      <c r="E901" s="109">
        <v>25294.560000000001</v>
      </c>
      <c r="F901" s="109">
        <v>25308.36</v>
      </c>
      <c r="G901" s="109">
        <v>25307.46</v>
      </c>
      <c r="H901" s="109">
        <v>25505.48</v>
      </c>
      <c r="I901" s="109">
        <v>25356.52</v>
      </c>
      <c r="J901" s="109">
        <v>25253.69</v>
      </c>
      <c r="K901" s="109">
        <v>25308.240000000002</v>
      </c>
      <c r="L901" s="109">
        <v>25536.09</v>
      </c>
      <c r="M901"/>
      <c r="N901" s="53"/>
      <c r="O901" s="53"/>
      <c r="P901" s="63"/>
      <c r="Q901" s="53"/>
      <c r="R901" s="64"/>
      <c r="S901" s="54"/>
    </row>
    <row r="902" spans="1:27">
      <c r="A902" s="100"/>
      <c r="B902" s="122"/>
      <c r="C902" s="57" t="s">
        <v>82</v>
      </c>
      <c r="D902" s="16">
        <f t="shared" ref="D902:L902" si="332">IF(((D900="")*AND(D901="")),"",(D900-D901)*3)</f>
        <v>10992.21</v>
      </c>
      <c r="E902" s="16">
        <f t="shared" si="332"/>
        <v>11224.379999999997</v>
      </c>
      <c r="F902" s="16">
        <f t="shared" si="332"/>
        <v>11075.429999999993</v>
      </c>
      <c r="G902" s="16">
        <f t="shared" si="332"/>
        <v>11132.760000000006</v>
      </c>
      <c r="H902" s="16">
        <f t="shared" si="332"/>
        <v>10879.080000000002</v>
      </c>
      <c r="I902" s="16">
        <f t="shared" si="332"/>
        <v>11321.430000000004</v>
      </c>
      <c r="J902" s="16">
        <f t="shared" si="332"/>
        <v>11284.5</v>
      </c>
      <c r="K902" s="16">
        <f t="shared" si="332"/>
        <v>11078.279999999995</v>
      </c>
      <c r="L902" s="16">
        <f t="shared" si="332"/>
        <v>10772.25</v>
      </c>
      <c r="M902" s="16"/>
      <c r="N902" s="65"/>
      <c r="O902" s="65"/>
      <c r="P902" s="66"/>
      <c r="Q902" s="65"/>
      <c r="R902" s="67"/>
      <c r="S902" s="58"/>
    </row>
    <row r="903" spans="1:27" ht="15.75">
      <c r="A903" s="86">
        <v>43994</v>
      </c>
      <c r="B903" s="120" t="s">
        <v>348</v>
      </c>
      <c r="C903" s="57" t="s">
        <v>79</v>
      </c>
      <c r="D903">
        <v>29350.05</v>
      </c>
      <c r="E903">
        <v>29195.07</v>
      </c>
      <c r="F903">
        <v>29205.13</v>
      </c>
      <c r="G903">
        <v>29172.15</v>
      </c>
      <c r="H903">
        <v>29265.83</v>
      </c>
      <c r="I903">
        <v>29276.42</v>
      </c>
      <c r="J903">
        <v>29162.83</v>
      </c>
      <c r="K903">
        <v>29183.040000000001</v>
      </c>
      <c r="L903">
        <v>29312.43</v>
      </c>
      <c r="M903" s="16"/>
      <c r="N903" s="59">
        <f>IF((L904=""),"",MAX(D905:L905))</f>
        <v>13149.75</v>
      </c>
      <c r="O903" s="59">
        <f>IF(L904="","",MIN(D905:L905))</f>
        <v>12120.299999999996</v>
      </c>
      <c r="P903" s="60">
        <f>IF((L905=""),"",AVERAGE(D905:L905))</f>
        <v>12738.166666666668</v>
      </c>
      <c r="Q903" s="156">
        <f>IF((L904=""),"",((N903-O903)/(N903+O903)*100))</f>
        <v>4.0737948678376359</v>
      </c>
      <c r="R903" s="61" t="str">
        <f>IF(L904="","",IF(Q903&lt;Z903,IF(O903&gt;V903,IF(N903&lt;W903,"PASS","FAIL"),"FAIL"),"FAIL"))</f>
        <v>PASS</v>
      </c>
      <c r="S903" s="62">
        <v>1159</v>
      </c>
      <c r="T903" s="9" t="s">
        <v>402</v>
      </c>
      <c r="V903" s="110">
        <v>10000</v>
      </c>
      <c r="W903" s="110">
        <v>15600</v>
      </c>
      <c r="X903" s="111">
        <v>8090</v>
      </c>
      <c r="Y903" s="111">
        <v>12070</v>
      </c>
      <c r="Z903" s="112">
        <v>15</v>
      </c>
      <c r="AA903" s="112">
        <v>6</v>
      </c>
    </row>
    <row r="904" spans="1:27" ht="15.75">
      <c r="A904" s="99"/>
      <c r="B904" s="122"/>
      <c r="C904" s="57" t="s">
        <v>80</v>
      </c>
      <c r="D904">
        <v>25111.08</v>
      </c>
      <c r="E904">
        <v>24910.98</v>
      </c>
      <c r="F904">
        <v>24922.35</v>
      </c>
      <c r="G904">
        <v>24904.799999999999</v>
      </c>
      <c r="H904">
        <v>25089.599999999999</v>
      </c>
      <c r="I904">
        <v>25236.32</v>
      </c>
      <c r="J904">
        <v>24955.200000000001</v>
      </c>
      <c r="K904">
        <v>24848.94</v>
      </c>
      <c r="L904">
        <v>24929.18</v>
      </c>
      <c r="M904"/>
      <c r="N904" s="53"/>
      <c r="O904" s="53"/>
      <c r="P904" s="63"/>
      <c r="Q904" s="53"/>
      <c r="R904" s="64"/>
      <c r="S904" s="54"/>
    </row>
    <row r="905" spans="1:27">
      <c r="A905" s="100"/>
      <c r="B905" s="122"/>
      <c r="C905" s="57" t="s">
        <v>82</v>
      </c>
      <c r="D905" s="16">
        <f t="shared" ref="D905:L905" si="333">IF(((D903="")*AND(D904="")),"",(D903-D904)*3)</f>
        <v>12716.909999999993</v>
      </c>
      <c r="E905" s="16">
        <f t="shared" si="333"/>
        <v>12852.27</v>
      </c>
      <c r="F905" s="16">
        <f t="shared" si="333"/>
        <v>12848.340000000007</v>
      </c>
      <c r="G905" s="16">
        <f t="shared" si="333"/>
        <v>12802.050000000007</v>
      </c>
      <c r="H905" s="16">
        <f t="shared" si="333"/>
        <v>12528.69000000001</v>
      </c>
      <c r="I905" s="16">
        <f t="shared" si="333"/>
        <v>12120.299999999996</v>
      </c>
      <c r="J905" s="16">
        <f t="shared" si="333"/>
        <v>12622.890000000003</v>
      </c>
      <c r="K905" s="16">
        <f t="shared" si="333"/>
        <v>13002.300000000007</v>
      </c>
      <c r="L905" s="16">
        <f t="shared" si="333"/>
        <v>13149.75</v>
      </c>
      <c r="M905" s="16"/>
      <c r="N905" s="65"/>
      <c r="O905" s="65"/>
      <c r="P905" s="66"/>
      <c r="Q905" s="65"/>
      <c r="R905" s="67"/>
      <c r="S905" s="58"/>
    </row>
    <row r="906" spans="1:27" ht="15.75">
      <c r="A906" s="86">
        <v>43998</v>
      </c>
      <c r="B906" s="120" t="s">
        <v>348</v>
      </c>
      <c r="C906" s="57" t="s">
        <v>79</v>
      </c>
      <c r="D906">
        <v>29172.79</v>
      </c>
      <c r="E906">
        <v>29038.63</v>
      </c>
      <c r="F906">
        <v>29037.27</v>
      </c>
      <c r="G906">
        <v>29053.66</v>
      </c>
      <c r="H906">
        <v>29151.439999999999</v>
      </c>
      <c r="I906">
        <v>29182.81</v>
      </c>
      <c r="J906">
        <v>29042.21</v>
      </c>
      <c r="K906">
        <v>29040.39</v>
      </c>
      <c r="L906">
        <v>29132.6</v>
      </c>
      <c r="M906" s="16"/>
      <c r="N906" s="59">
        <f>IF((L907=""),"",MAX(D908:L908))</f>
        <v>12486.21</v>
      </c>
      <c r="O906" s="59">
        <f>IF(L907="","",MIN(D908:L908))</f>
        <v>11867.699999999993</v>
      </c>
      <c r="P906" s="60">
        <f>IF((L908=""),"",AVERAGE(D908:L908))</f>
        <v>12157.536666666665</v>
      </c>
      <c r="Q906" s="156">
        <f>IF((L907=""),"",((N906-O906)/(N906+O906)*100))</f>
        <v>2.5396743274488811</v>
      </c>
      <c r="R906" s="61" t="str">
        <f>IF(L907="","",IF(Q906&lt;Z906,IF(O906&gt;V906,IF(N906&lt;W906,"PASS","FAIL"),"FAIL"),"FAIL"))</f>
        <v>PASS</v>
      </c>
      <c r="S906" s="62">
        <v>102</v>
      </c>
      <c r="V906" s="110">
        <v>10000</v>
      </c>
      <c r="W906" s="110">
        <v>15600</v>
      </c>
      <c r="X906" s="111">
        <v>8090</v>
      </c>
      <c r="Y906" s="111">
        <v>12070</v>
      </c>
      <c r="Z906" s="112">
        <v>15</v>
      </c>
      <c r="AA906" s="112">
        <v>6</v>
      </c>
    </row>
    <row r="907" spans="1:27" ht="15.75">
      <c r="A907" s="99"/>
      <c r="B907" s="122"/>
      <c r="C907" s="57" t="s">
        <v>80</v>
      </c>
      <c r="D907">
        <v>25141.64</v>
      </c>
      <c r="E907">
        <v>24962.240000000002</v>
      </c>
      <c r="F907">
        <v>25020.06</v>
      </c>
      <c r="G907">
        <v>24995.1</v>
      </c>
      <c r="H907">
        <v>25138.06</v>
      </c>
      <c r="I907">
        <v>25020.74</v>
      </c>
      <c r="J907">
        <v>24950.67</v>
      </c>
      <c r="K907">
        <v>24973.98</v>
      </c>
      <c r="L907">
        <v>25176.7</v>
      </c>
      <c r="M907"/>
      <c r="N907" s="53"/>
      <c r="O907" s="53"/>
      <c r="P907" s="63"/>
      <c r="Q907" s="53"/>
      <c r="R907" s="64"/>
      <c r="S907" s="54"/>
    </row>
    <row r="908" spans="1:27">
      <c r="A908" s="100"/>
      <c r="B908" s="122"/>
      <c r="C908" s="57" t="s">
        <v>82</v>
      </c>
      <c r="D908" s="16">
        <f t="shared" ref="D908:L908" si="334">IF(((D906="")*AND(D907="")),"",(D906-D907)*3)</f>
        <v>12093.450000000004</v>
      </c>
      <c r="E908" s="16">
        <f t="shared" si="334"/>
        <v>12229.169999999998</v>
      </c>
      <c r="F908" s="16">
        <f t="shared" si="334"/>
        <v>12051.629999999997</v>
      </c>
      <c r="G908" s="16">
        <f t="shared" si="334"/>
        <v>12175.680000000004</v>
      </c>
      <c r="H908" s="16">
        <f t="shared" si="334"/>
        <v>12040.139999999992</v>
      </c>
      <c r="I908" s="16">
        <f t="shared" si="334"/>
        <v>12486.21</v>
      </c>
      <c r="J908" s="16">
        <f t="shared" si="334"/>
        <v>12274.620000000003</v>
      </c>
      <c r="K908" s="16">
        <f t="shared" si="334"/>
        <v>12199.23</v>
      </c>
      <c r="L908" s="16">
        <f t="shared" si="334"/>
        <v>11867.699999999993</v>
      </c>
      <c r="M908" s="16"/>
      <c r="N908" s="65"/>
      <c r="O908" s="65"/>
      <c r="P908" s="66"/>
      <c r="Q908" s="65"/>
      <c r="R908" s="67"/>
      <c r="S908" s="58"/>
    </row>
    <row r="909" spans="1:27" ht="15.75">
      <c r="A909" s="86">
        <v>44001</v>
      </c>
      <c r="B909" s="120" t="s">
        <v>348</v>
      </c>
      <c r="C909" s="57" t="s">
        <v>79</v>
      </c>
      <c r="D909">
        <v>29249.67</v>
      </c>
      <c r="E909">
        <v>29107.39</v>
      </c>
      <c r="F909">
        <v>29135.68</v>
      </c>
      <c r="G909">
        <v>29104.77</v>
      </c>
      <c r="H909">
        <v>29226.19</v>
      </c>
      <c r="I909">
        <v>29239.18</v>
      </c>
      <c r="J909">
        <v>29105.279999999999</v>
      </c>
      <c r="K909">
        <v>29101.48</v>
      </c>
      <c r="L909">
        <v>29166.93</v>
      </c>
      <c r="M909" s="16"/>
      <c r="N909" s="59">
        <f>IF((L910=""),"",MAX(D911:L911))</f>
        <v>11079.240000000005</v>
      </c>
      <c r="O909" s="59">
        <f>IF(L910="","",MIN(D911:L911))</f>
        <v>10576.799999999996</v>
      </c>
      <c r="P909" s="60">
        <f>IF((L911=""),"",AVERAGE(D911:L911))</f>
        <v>10788.953333333329</v>
      </c>
      <c r="Q909" s="156">
        <f>IF((L910=""),"",((N909-O909)/(N909+O909)*100))</f>
        <v>2.3200917619288179</v>
      </c>
      <c r="R909" s="61" t="str">
        <f>IF(L910="","",IF(Q909&lt;Z909,IF(O909&gt;V909,IF(N909&lt;W909,"PASS","FAIL"),"FAIL"),"FAIL"))</f>
        <v>PASS</v>
      </c>
      <c r="S909" s="62">
        <v>1428</v>
      </c>
      <c r="T909" s="9" t="s">
        <v>406</v>
      </c>
      <c r="V909" s="110">
        <v>10000</v>
      </c>
      <c r="W909" s="110">
        <v>15600</v>
      </c>
      <c r="X909" s="111">
        <v>8090</v>
      </c>
      <c r="Y909" s="111">
        <v>12070</v>
      </c>
      <c r="Z909" s="112">
        <v>15</v>
      </c>
      <c r="AA909" s="112">
        <v>6</v>
      </c>
    </row>
    <row r="910" spans="1:27" ht="15.75">
      <c r="A910" s="99"/>
      <c r="B910" s="122"/>
      <c r="C910" s="57" t="s">
        <v>80</v>
      </c>
      <c r="D910">
        <v>25660.16</v>
      </c>
      <c r="E910">
        <v>25504.880000000001</v>
      </c>
      <c r="F910">
        <v>25568.240000000002</v>
      </c>
      <c r="G910">
        <v>25503.96</v>
      </c>
      <c r="H910">
        <v>25679.91</v>
      </c>
      <c r="I910">
        <v>25546.1</v>
      </c>
      <c r="J910">
        <v>25463.97</v>
      </c>
      <c r="K910">
        <v>25501.16</v>
      </c>
      <c r="L910">
        <v>25641.33</v>
      </c>
      <c r="M910"/>
      <c r="N910" s="53"/>
      <c r="O910" s="53"/>
      <c r="P910" s="63"/>
      <c r="Q910" s="53"/>
      <c r="R910" s="64"/>
      <c r="S910" s="54"/>
    </row>
    <row r="911" spans="1:27">
      <c r="A911" s="100"/>
      <c r="B911" s="122"/>
      <c r="C911" s="57" t="s">
        <v>82</v>
      </c>
      <c r="D911" s="16">
        <f t="shared" ref="D911:L911" si="335">IF(((D909="")*AND(D910="")),"",(D909-D910)*3)</f>
        <v>10768.529999999995</v>
      </c>
      <c r="E911" s="16">
        <f t="shared" si="335"/>
        <v>10807.529999999995</v>
      </c>
      <c r="F911" s="16">
        <f t="shared" si="335"/>
        <v>10702.319999999996</v>
      </c>
      <c r="G911" s="16">
        <f t="shared" si="335"/>
        <v>10802.430000000004</v>
      </c>
      <c r="H911" s="16">
        <f t="shared" si="335"/>
        <v>10638.839999999997</v>
      </c>
      <c r="I911" s="16">
        <f t="shared" si="335"/>
        <v>11079.240000000005</v>
      </c>
      <c r="J911" s="16">
        <f t="shared" si="335"/>
        <v>10923.929999999993</v>
      </c>
      <c r="K911" s="16">
        <f t="shared" si="335"/>
        <v>10800.96</v>
      </c>
      <c r="L911" s="16">
        <f t="shared" si="335"/>
        <v>10576.799999999996</v>
      </c>
      <c r="M911" s="16"/>
      <c r="N911" s="65"/>
      <c r="O911" s="65"/>
      <c r="P911" s="66"/>
      <c r="Q911" s="65"/>
      <c r="R911" s="67"/>
      <c r="S911" s="58"/>
    </row>
    <row r="912" spans="1:27" ht="15.75">
      <c r="A912" s="86">
        <v>44006</v>
      </c>
      <c r="B912" s="120" t="s">
        <v>348</v>
      </c>
      <c r="C912" s="57" t="s">
        <v>79</v>
      </c>
      <c r="D912">
        <v>29258.2</v>
      </c>
      <c r="E912">
        <v>29118.880000000001</v>
      </c>
      <c r="F912">
        <v>29086.25</v>
      </c>
      <c r="G912">
        <v>29111.31</v>
      </c>
      <c r="H912">
        <v>29232.21</v>
      </c>
      <c r="I912">
        <v>29196.07</v>
      </c>
      <c r="J912">
        <v>29109.33</v>
      </c>
      <c r="K912">
        <v>29103.03</v>
      </c>
      <c r="L912">
        <v>29223.85</v>
      </c>
      <c r="M912" s="16"/>
      <c r="N912" s="59">
        <f>IF((L913=""),"",MAX(D914:L914))</f>
        <v>13452</v>
      </c>
      <c r="O912" s="59">
        <f>IF(L913="","",MIN(D914:L914))</f>
        <v>12477.779999999995</v>
      </c>
      <c r="P912" s="60">
        <f>IF((L914=""),"",AVERAGE(D914:L914))</f>
        <v>12873.123333333333</v>
      </c>
      <c r="Q912" s="156">
        <f>IF((L913=""),"",((N912-O912)/(N912+O912)*100))</f>
        <v>3.7571471875195432</v>
      </c>
      <c r="R912" s="61" t="str">
        <f>IF(L913="","",IF(Q912&lt;Z912,IF(O912&gt;V912,IF(N912&lt;W912,"PASS","FAIL"),"FAIL"),"FAIL"))</f>
        <v>PASS</v>
      </c>
      <c r="S912" s="62">
        <v>121</v>
      </c>
      <c r="T912" s="9" t="s">
        <v>408</v>
      </c>
      <c r="V912" s="110">
        <v>10000</v>
      </c>
      <c r="W912" s="110">
        <v>15600</v>
      </c>
      <c r="X912" s="111">
        <v>8090</v>
      </c>
      <c r="Y912" s="111">
        <v>12070</v>
      </c>
      <c r="Z912" s="112">
        <v>15</v>
      </c>
      <c r="AA912" s="112">
        <v>6</v>
      </c>
    </row>
    <row r="913" spans="1:27" ht="15.75">
      <c r="A913" s="99"/>
      <c r="B913" s="122"/>
      <c r="C913" s="57" t="s">
        <v>80</v>
      </c>
      <c r="D913">
        <v>25002.39</v>
      </c>
      <c r="E913">
        <v>24820.81</v>
      </c>
      <c r="F913">
        <v>24602.25</v>
      </c>
      <c r="G913">
        <v>24828.33</v>
      </c>
      <c r="H913">
        <v>24999.26</v>
      </c>
      <c r="I913">
        <v>24849.54</v>
      </c>
      <c r="J913">
        <v>24796.98</v>
      </c>
      <c r="K913">
        <v>24855.61</v>
      </c>
      <c r="L913">
        <v>25064.59</v>
      </c>
      <c r="M913"/>
      <c r="N913" s="53"/>
      <c r="O913" s="53"/>
      <c r="P913" s="63"/>
      <c r="Q913" s="53"/>
      <c r="R913" s="64"/>
      <c r="S913" s="54"/>
    </row>
    <row r="914" spans="1:27">
      <c r="A914" s="100"/>
      <c r="B914" s="122"/>
      <c r="C914" s="57" t="s">
        <v>82</v>
      </c>
      <c r="D914" s="16">
        <f t="shared" ref="D914:L914" si="336">IF(((D912="")*AND(D913="")),"",(D912-D913)*3)</f>
        <v>12767.430000000004</v>
      </c>
      <c r="E914" s="16">
        <f t="shared" si="336"/>
        <v>12894.21</v>
      </c>
      <c r="F914" s="16">
        <f t="shared" si="336"/>
        <v>13452</v>
      </c>
      <c r="G914" s="16">
        <f t="shared" si="336"/>
        <v>12848.939999999999</v>
      </c>
      <c r="H914" s="16">
        <f t="shared" si="336"/>
        <v>12698.850000000002</v>
      </c>
      <c r="I914" s="16">
        <f t="shared" si="336"/>
        <v>13039.589999999997</v>
      </c>
      <c r="J914" s="16">
        <f t="shared" si="336"/>
        <v>12937.050000000007</v>
      </c>
      <c r="K914" s="16">
        <f t="shared" si="336"/>
        <v>12742.259999999995</v>
      </c>
      <c r="L914" s="16">
        <f t="shared" si="336"/>
        <v>12477.779999999995</v>
      </c>
      <c r="M914" s="16"/>
      <c r="N914" s="65"/>
      <c r="O914" s="65"/>
      <c r="P914" s="66"/>
      <c r="Q914" s="65"/>
      <c r="R914" s="67"/>
      <c r="S914" s="58"/>
    </row>
    <row r="915" spans="1:27" ht="15.75">
      <c r="A915" s="86">
        <v>44011</v>
      </c>
      <c r="B915" s="120" t="s">
        <v>348</v>
      </c>
      <c r="C915" s="57" t="s">
        <v>79</v>
      </c>
      <c r="D915">
        <v>29161.11</v>
      </c>
      <c r="E915">
        <v>29036.27</v>
      </c>
      <c r="F915">
        <v>29059.37</v>
      </c>
      <c r="G915">
        <v>29036.02</v>
      </c>
      <c r="H915">
        <v>29142.29</v>
      </c>
      <c r="I915">
        <v>29152.31</v>
      </c>
      <c r="J915">
        <v>29035.279999999999</v>
      </c>
      <c r="K915">
        <v>29024.55</v>
      </c>
      <c r="L915">
        <v>29114.04</v>
      </c>
      <c r="M915" s="16"/>
      <c r="N915" s="59">
        <f>IF((L916=""),"",MAX(D917:L917))</f>
        <v>11781.27</v>
      </c>
      <c r="O915" s="59">
        <f>IF(L916="","",MIN(D917:L917))</f>
        <v>11139.360000000008</v>
      </c>
      <c r="P915" s="60">
        <f>IF((L917=""),"",AVERAGE(D917:L917))</f>
        <v>11486.593333333338</v>
      </c>
      <c r="Q915" s="156">
        <f>IF((L916=""),"",((N915-O915)/(N915+O915)*100))</f>
        <v>2.8005774710380664</v>
      </c>
      <c r="R915" s="61" t="str">
        <f>IF(L916="","",IF(Q915&lt;Z915,IF(O915&gt;V915,IF(N915&lt;W915,"PASS","FAIL"),"FAIL"),"FAIL"))</f>
        <v>PASS</v>
      </c>
      <c r="S915" s="62">
        <v>1335</v>
      </c>
      <c r="T915" s="9" t="s">
        <v>409</v>
      </c>
      <c r="V915" s="110">
        <v>10000</v>
      </c>
      <c r="W915" s="110">
        <v>15600</v>
      </c>
      <c r="X915" s="111">
        <v>8090</v>
      </c>
      <c r="Y915" s="111">
        <v>12070</v>
      </c>
      <c r="Z915" s="112">
        <v>15</v>
      </c>
      <c r="AA915" s="112">
        <v>6</v>
      </c>
    </row>
    <row r="916" spans="1:27" ht="15.75">
      <c r="A916" s="99"/>
      <c r="B916" s="122"/>
      <c r="C916" s="57" t="s">
        <v>80</v>
      </c>
      <c r="D916">
        <v>25363.42</v>
      </c>
      <c r="E916">
        <v>25200.400000000001</v>
      </c>
      <c r="F916">
        <v>25247.01</v>
      </c>
      <c r="G916">
        <v>25181.15</v>
      </c>
      <c r="H916">
        <v>25310.19</v>
      </c>
      <c r="I916">
        <v>25439.19</v>
      </c>
      <c r="J916">
        <v>25216.1</v>
      </c>
      <c r="K916">
        <v>25157.05</v>
      </c>
      <c r="L916">
        <v>25186.95</v>
      </c>
      <c r="M916"/>
      <c r="N916" s="53"/>
      <c r="O916" s="53"/>
      <c r="P916" s="63"/>
      <c r="Q916" s="53"/>
      <c r="R916" s="64"/>
      <c r="S916" s="54"/>
    </row>
    <row r="917" spans="1:27">
      <c r="A917" s="100"/>
      <c r="B917" s="122"/>
      <c r="C917" s="57" t="s">
        <v>82</v>
      </c>
      <c r="D917" s="16">
        <f t="shared" ref="D917:L917" si="337">IF(((D915="")*AND(D916="")),"",(D915-D916)*3)</f>
        <v>11393.070000000007</v>
      </c>
      <c r="E917" s="16">
        <f t="shared" si="337"/>
        <v>11507.609999999997</v>
      </c>
      <c r="F917" s="16">
        <f t="shared" si="337"/>
        <v>11437.080000000002</v>
      </c>
      <c r="G917" s="16">
        <f t="shared" si="337"/>
        <v>11564.609999999997</v>
      </c>
      <c r="H917" s="16">
        <f t="shared" si="337"/>
        <v>11496.300000000007</v>
      </c>
      <c r="I917" s="16">
        <f t="shared" si="337"/>
        <v>11139.360000000008</v>
      </c>
      <c r="J917" s="16">
        <f t="shared" si="337"/>
        <v>11457.54</v>
      </c>
      <c r="K917" s="16">
        <f t="shared" si="337"/>
        <v>11602.5</v>
      </c>
      <c r="L917" s="16">
        <f t="shared" si="337"/>
        <v>11781.27</v>
      </c>
      <c r="M917" s="16"/>
      <c r="N917" s="65"/>
      <c r="O917" s="65"/>
      <c r="P917" s="66"/>
      <c r="Q917" s="65"/>
      <c r="R917" s="67"/>
      <c r="S917" s="58"/>
    </row>
    <row r="918" spans="1:27" ht="15.75">
      <c r="A918" s="86">
        <v>44015</v>
      </c>
      <c r="B918" s="120" t="s">
        <v>348</v>
      </c>
      <c r="C918" s="57" t="s">
        <v>79</v>
      </c>
      <c r="D918">
        <v>29022.400000000001</v>
      </c>
      <c r="E918">
        <v>28886.3</v>
      </c>
      <c r="F918">
        <v>28879.37</v>
      </c>
      <c r="G918">
        <v>28878.12</v>
      </c>
      <c r="H918">
        <v>29019.24</v>
      </c>
      <c r="I918">
        <v>29024.54</v>
      </c>
      <c r="J918">
        <v>28881.02</v>
      </c>
      <c r="K918">
        <v>28873.16</v>
      </c>
      <c r="L918">
        <v>29012.959999999999</v>
      </c>
      <c r="M918" s="16"/>
      <c r="N918" s="59">
        <f>IF((L919=""),"",MAX(D920:L920))</f>
        <v>12850.02</v>
      </c>
      <c r="O918" s="59">
        <f>IF(L919="","",MIN(D920:L920))</f>
        <v>11787.120000000003</v>
      </c>
      <c r="P918" s="60">
        <f>IF((L920=""),"",AVERAGE(D920:L920))</f>
        <v>12413.076666666668</v>
      </c>
      <c r="Q918" s="156">
        <f>IF((L919=""),"",((N918-O918)/(N918+O918)*100))</f>
        <v>4.3142182899476067</v>
      </c>
      <c r="R918" s="61" t="str">
        <f>IF(L919="","",IF(Q918&lt;Z918,IF(O918&gt;V918,IF(N918&lt;W918,"PASS","FAIL"),"FAIL"),"FAIL"))</f>
        <v>PASS</v>
      </c>
      <c r="S918" s="62">
        <v>1159</v>
      </c>
      <c r="T918" s="9" t="s">
        <v>411</v>
      </c>
      <c r="V918" s="110">
        <v>10000</v>
      </c>
      <c r="W918" s="110">
        <v>15600</v>
      </c>
      <c r="X918" s="111">
        <v>8090</v>
      </c>
      <c r="Y918" s="111">
        <v>12070</v>
      </c>
      <c r="Z918" s="112">
        <v>15</v>
      </c>
      <c r="AA918" s="112">
        <v>6</v>
      </c>
    </row>
    <row r="919" spans="1:27" ht="15.75">
      <c r="A919" s="99"/>
      <c r="B919" s="122"/>
      <c r="C919" s="57" t="s">
        <v>80</v>
      </c>
      <c r="D919">
        <v>24941.279999999999</v>
      </c>
      <c r="E919">
        <v>24737.69</v>
      </c>
      <c r="F919">
        <v>24792.02</v>
      </c>
      <c r="G919">
        <v>24682.49</v>
      </c>
      <c r="H919">
        <v>24834.31</v>
      </c>
      <c r="I919">
        <v>25095.5</v>
      </c>
      <c r="J919">
        <v>24765.33</v>
      </c>
      <c r="K919">
        <v>24659.64</v>
      </c>
      <c r="L919">
        <v>24729.62</v>
      </c>
      <c r="M919"/>
      <c r="N919" s="53"/>
      <c r="O919" s="53"/>
      <c r="P919" s="63"/>
      <c r="Q919" s="53"/>
      <c r="R919" s="64"/>
      <c r="S919" s="54"/>
    </row>
    <row r="920" spans="1:27">
      <c r="A920" s="100"/>
      <c r="B920" s="122"/>
      <c r="C920" s="57" t="s">
        <v>82</v>
      </c>
      <c r="D920" s="16">
        <f t="shared" ref="D920:L920" si="338">IF(((D918="")*AND(D919="")),"",(D918-D919)*3)</f>
        <v>12243.360000000008</v>
      </c>
      <c r="E920" s="16">
        <f t="shared" si="338"/>
        <v>12445.830000000002</v>
      </c>
      <c r="F920" s="16">
        <f t="shared" si="338"/>
        <v>12262.049999999996</v>
      </c>
      <c r="G920" s="16">
        <f t="shared" si="338"/>
        <v>12586.889999999992</v>
      </c>
      <c r="H920" s="16">
        <f t="shared" si="338"/>
        <v>12554.79</v>
      </c>
      <c r="I920" s="16">
        <f t="shared" si="338"/>
        <v>11787.120000000003</v>
      </c>
      <c r="J920" s="16">
        <f t="shared" si="338"/>
        <v>12347.069999999996</v>
      </c>
      <c r="K920" s="16">
        <f t="shared" si="338"/>
        <v>12640.560000000001</v>
      </c>
      <c r="L920" s="16">
        <f t="shared" si="338"/>
        <v>12850.02</v>
      </c>
      <c r="M920" s="16"/>
      <c r="N920" s="65"/>
      <c r="O920" s="65"/>
      <c r="P920" s="66"/>
      <c r="Q920" s="65"/>
      <c r="R920" s="67"/>
      <c r="S920" s="58"/>
    </row>
    <row r="921" spans="1:27" ht="15.75">
      <c r="A921" s="86">
        <v>44019</v>
      </c>
      <c r="B921" s="120" t="s">
        <v>348</v>
      </c>
      <c r="C921" s="57" t="s">
        <v>79</v>
      </c>
      <c r="D921">
        <v>29022.04</v>
      </c>
      <c r="E921">
        <v>28905.01</v>
      </c>
      <c r="F921">
        <v>28888.53</v>
      </c>
      <c r="G921">
        <v>28902.43</v>
      </c>
      <c r="H921">
        <v>29010.880000000001</v>
      </c>
      <c r="I921">
        <v>29039.81</v>
      </c>
      <c r="J921">
        <v>28900.83</v>
      </c>
      <c r="K921">
        <v>28878.83</v>
      </c>
      <c r="L921">
        <v>29026.92</v>
      </c>
      <c r="M921" s="16"/>
      <c r="N921" s="59">
        <f>IF((L922=""),"",MAX(D923:L923))</f>
        <v>15741.570000000007</v>
      </c>
      <c r="O921" s="59">
        <f>IF(L922="","",MIN(D923:L923))</f>
        <v>14610.390000000003</v>
      </c>
      <c r="P921" s="60">
        <f>IF((L923=""),"",AVERAGE(D923:L923))</f>
        <v>15328.703333333335</v>
      </c>
      <c r="Q921" s="156">
        <f>IF((L922=""),"",((N921-O921)/(N921+O921)*100))</f>
        <v>3.7268762873962786</v>
      </c>
      <c r="R921" s="61" t="str">
        <f>IF(L922="","",IF(Q921&lt;Z921,IF(O921&gt;V921,IF(N921&lt;W921,"PASS","FAIL"),"FAIL"),"FAIL"))</f>
        <v>FAIL</v>
      </c>
      <c r="S921" s="62">
        <v>1340</v>
      </c>
      <c r="V921" s="110">
        <v>10000</v>
      </c>
      <c r="W921" s="110">
        <v>15600</v>
      </c>
      <c r="X921" s="111">
        <v>8090</v>
      </c>
      <c r="Y921" s="111">
        <v>12070</v>
      </c>
      <c r="Z921" s="112">
        <v>15</v>
      </c>
      <c r="AA921" s="112">
        <v>6</v>
      </c>
    </row>
    <row r="922" spans="1:27" ht="15.75">
      <c r="A922" s="99"/>
      <c r="B922" s="122"/>
      <c r="C922" s="57" t="s">
        <v>80</v>
      </c>
      <c r="D922">
        <v>24081.759999999998</v>
      </c>
      <c r="E922">
        <v>23752.98</v>
      </c>
      <c r="F922">
        <v>23688.880000000001</v>
      </c>
      <c r="G922">
        <v>23670.560000000001</v>
      </c>
      <c r="H922">
        <v>23971.91</v>
      </c>
      <c r="I922">
        <v>24169.68</v>
      </c>
      <c r="J922">
        <v>23765.78</v>
      </c>
      <c r="K922">
        <v>23631.64</v>
      </c>
      <c r="L922">
        <v>23855.98</v>
      </c>
      <c r="M922"/>
      <c r="N922" s="53"/>
      <c r="O922" s="53"/>
      <c r="P922" s="63"/>
      <c r="Q922" s="53"/>
      <c r="R922" s="64"/>
      <c r="S922" s="54"/>
    </row>
    <row r="923" spans="1:27">
      <c r="A923" s="100"/>
      <c r="B923" s="122"/>
      <c r="C923" s="57" t="s">
        <v>82</v>
      </c>
      <c r="D923" s="16">
        <f t="shared" ref="D923:L923" si="339">IF(((D921="")*AND(D922="")),"",(D921-D922)*3)</f>
        <v>14820.840000000007</v>
      </c>
      <c r="E923" s="16">
        <f t="shared" si="339"/>
        <v>15456.089999999997</v>
      </c>
      <c r="F923" s="16">
        <f t="shared" si="339"/>
        <v>15598.949999999993</v>
      </c>
      <c r="G923" s="16">
        <f t="shared" si="339"/>
        <v>15695.609999999997</v>
      </c>
      <c r="H923" s="16">
        <f t="shared" si="339"/>
        <v>15116.910000000003</v>
      </c>
      <c r="I923" s="16">
        <f t="shared" si="339"/>
        <v>14610.390000000003</v>
      </c>
      <c r="J923" s="16">
        <f t="shared" si="339"/>
        <v>15405.150000000009</v>
      </c>
      <c r="K923" s="16">
        <f t="shared" si="339"/>
        <v>15741.570000000007</v>
      </c>
      <c r="L923" s="16">
        <f t="shared" si="339"/>
        <v>15512.819999999996</v>
      </c>
      <c r="M923" s="16"/>
      <c r="N923" s="65"/>
      <c r="O923" s="65"/>
      <c r="P923" s="66"/>
      <c r="Q923" s="65"/>
      <c r="R923" s="67"/>
      <c r="S923" s="58"/>
    </row>
    <row r="924" spans="1:27" ht="15.75">
      <c r="A924" s="86">
        <v>44019</v>
      </c>
      <c r="B924" s="120" t="s">
        <v>348</v>
      </c>
      <c r="C924" s="57" t="s">
        <v>79</v>
      </c>
      <c r="D924">
        <v>29191.33</v>
      </c>
      <c r="E924">
        <v>29079.93</v>
      </c>
      <c r="F924">
        <v>29113.03</v>
      </c>
      <c r="G924">
        <v>29094.34</v>
      </c>
      <c r="H924">
        <v>29217.54</v>
      </c>
      <c r="I924">
        <v>29214.21</v>
      </c>
      <c r="J924">
        <v>29084.86</v>
      </c>
      <c r="K924">
        <v>29070.54</v>
      </c>
      <c r="L924">
        <v>29184.85</v>
      </c>
      <c r="M924" s="16"/>
      <c r="N924" s="59">
        <f>IF((L925=""),"",MAX(D926:L926))</f>
        <v>13760.069999999996</v>
      </c>
      <c r="O924" s="59">
        <f>IF(L925="","",MIN(D926:L926))</f>
        <v>12731.909999999993</v>
      </c>
      <c r="P924" s="60">
        <f>IF((L926=""),"",AVERAGE(D926:L926))</f>
        <v>13413.763333333331</v>
      </c>
      <c r="Q924" s="156">
        <f>IF((L925=""),"",((N924-O924)/(N924+O924)*100))</f>
        <v>3.8810236154489171</v>
      </c>
      <c r="R924" s="61" t="str">
        <f>IF(L925="","",IF(Q924&lt;Z924,IF(O924&gt;V924,IF(N924&lt;W924,"PASS","FAIL"),"FAIL"),"FAIL"))</f>
        <v>PASS</v>
      </c>
      <c r="S924" s="62">
        <v>1340</v>
      </c>
      <c r="T924" s="9" t="s">
        <v>413</v>
      </c>
      <c r="V924" s="110">
        <v>10000</v>
      </c>
      <c r="W924" s="110">
        <v>15600</v>
      </c>
      <c r="X924" s="111">
        <v>8090</v>
      </c>
      <c r="Y924" s="111">
        <v>12070</v>
      </c>
      <c r="Z924" s="112">
        <v>15</v>
      </c>
      <c r="AA924" s="112">
        <v>6</v>
      </c>
    </row>
    <row r="925" spans="1:27" ht="15.75">
      <c r="A925" s="99"/>
      <c r="B925" s="122"/>
      <c r="C925" s="57" t="s">
        <v>80</v>
      </c>
      <c r="D925">
        <v>24694.29</v>
      </c>
      <c r="E925">
        <v>24547.98</v>
      </c>
      <c r="F925">
        <v>24649.88</v>
      </c>
      <c r="G925">
        <v>24595.81</v>
      </c>
      <c r="H925">
        <v>24805.5</v>
      </c>
      <c r="I925">
        <v>24627.52</v>
      </c>
      <c r="J925">
        <v>24544.26</v>
      </c>
      <c r="K925">
        <v>24603.22</v>
      </c>
      <c r="L925">
        <v>24940.880000000001</v>
      </c>
      <c r="M925"/>
      <c r="N925" s="53"/>
      <c r="O925" s="53"/>
      <c r="P925" s="63"/>
      <c r="Q925" s="53"/>
      <c r="R925" s="64"/>
      <c r="S925" s="54"/>
    </row>
    <row r="926" spans="1:27">
      <c r="A926" s="100"/>
      <c r="B926" s="122"/>
      <c r="C926" s="57" t="s">
        <v>82</v>
      </c>
      <c r="D926" s="16">
        <f t="shared" ref="D926:L926" si="340">IF(((D924="")*AND(D925="")),"",(D924-D925)*3)</f>
        <v>13491.120000000003</v>
      </c>
      <c r="E926" s="16">
        <f t="shared" si="340"/>
        <v>13595.850000000002</v>
      </c>
      <c r="F926" s="16">
        <f t="shared" si="340"/>
        <v>13389.449999999993</v>
      </c>
      <c r="G926" s="16">
        <f t="shared" si="340"/>
        <v>13495.589999999997</v>
      </c>
      <c r="H926" s="16">
        <f t="shared" si="340"/>
        <v>13236.120000000003</v>
      </c>
      <c r="I926" s="16">
        <f t="shared" si="340"/>
        <v>13760.069999999996</v>
      </c>
      <c r="J926" s="16">
        <f t="shared" si="340"/>
        <v>13621.800000000007</v>
      </c>
      <c r="K926" s="16">
        <f t="shared" si="340"/>
        <v>13401.96</v>
      </c>
      <c r="L926" s="16">
        <f t="shared" si="340"/>
        <v>12731.909999999993</v>
      </c>
      <c r="M926" s="16"/>
      <c r="N926" s="65"/>
      <c r="O926" s="65"/>
      <c r="P926" s="66"/>
      <c r="Q926" s="65"/>
      <c r="R926" s="67"/>
      <c r="S926" s="58"/>
    </row>
    <row r="927" spans="1:27" ht="15.75">
      <c r="A927" s="86">
        <v>44023</v>
      </c>
      <c r="B927" s="120" t="s">
        <v>348</v>
      </c>
      <c r="C927" s="57" t="s">
        <v>79</v>
      </c>
      <c r="D927">
        <v>29189.97</v>
      </c>
      <c r="E927">
        <v>29050.92</v>
      </c>
      <c r="F927">
        <v>29036.959999999999</v>
      </c>
      <c r="G927">
        <v>29066.61</v>
      </c>
      <c r="H927">
        <v>29160.68</v>
      </c>
      <c r="I927">
        <v>29198.48</v>
      </c>
      <c r="J927">
        <v>29055.25</v>
      </c>
      <c r="K927">
        <v>29049.21</v>
      </c>
      <c r="L927">
        <v>29172.28</v>
      </c>
      <c r="M927" s="16"/>
      <c r="N927" s="59">
        <f>IF((L928=""),"",MAX(D929:L929))</f>
        <v>13457.640000000003</v>
      </c>
      <c r="O927" s="59">
        <f>IF(L928="","",MIN(D929:L929))</f>
        <v>12477.96</v>
      </c>
      <c r="P927" s="60">
        <f>IF((L929=""),"",AVERAGE(D929:L929))</f>
        <v>13110.16</v>
      </c>
      <c r="Q927" s="156">
        <f>IF((L928=""),"",((N927-O927)/(N927+O927)*100))</f>
        <v>3.777356220793056</v>
      </c>
      <c r="R927" s="61" t="str">
        <f>IF(L928="","",IF(Q927&lt;Z927,IF(O927&gt;V927,IF(N927&lt;W927,"PASS","FAIL"),"FAIL"),"FAIL"))</f>
        <v>PASS</v>
      </c>
      <c r="S927" s="62">
        <v>1335</v>
      </c>
      <c r="T927" s="9" t="s">
        <v>416</v>
      </c>
      <c r="V927" s="110">
        <v>10000</v>
      </c>
      <c r="W927" s="110">
        <v>15600</v>
      </c>
      <c r="X927" s="111">
        <v>8090</v>
      </c>
      <c r="Y927" s="111">
        <v>12070</v>
      </c>
      <c r="Z927" s="112">
        <v>15</v>
      </c>
      <c r="AA927" s="112">
        <v>6</v>
      </c>
    </row>
    <row r="928" spans="1:27" ht="15.75">
      <c r="A928" s="99"/>
      <c r="B928" s="122"/>
      <c r="C928" s="57" t="s">
        <v>80</v>
      </c>
      <c r="D928">
        <v>24784.01</v>
      </c>
      <c r="E928">
        <v>24626.9</v>
      </c>
      <c r="F928">
        <v>24683.43</v>
      </c>
      <c r="G928">
        <v>24670.59</v>
      </c>
      <c r="H928">
        <v>24878.82</v>
      </c>
      <c r="I928">
        <v>24712.6</v>
      </c>
      <c r="J928">
        <v>24607.41</v>
      </c>
      <c r="K928">
        <v>24673.16</v>
      </c>
      <c r="L928">
        <v>25012.959999999999</v>
      </c>
      <c r="M928"/>
      <c r="N928" s="53"/>
      <c r="O928" s="53"/>
      <c r="P928" s="63"/>
      <c r="Q928" s="53"/>
      <c r="R928" s="64"/>
      <c r="S928" s="54"/>
    </row>
    <row r="929" spans="1:27">
      <c r="A929" s="100"/>
      <c r="B929" s="122"/>
      <c r="C929" s="57" t="s">
        <v>82</v>
      </c>
      <c r="D929" s="16">
        <f t="shared" ref="D929:L929" si="341">IF(((D927="")*AND(D928="")),"",(D927-D928)*3)</f>
        <v>13217.880000000008</v>
      </c>
      <c r="E929" s="16">
        <f t="shared" si="341"/>
        <v>13272.05999999999</v>
      </c>
      <c r="F929" s="16">
        <f t="shared" si="341"/>
        <v>13060.589999999997</v>
      </c>
      <c r="G929" s="16">
        <f t="shared" si="341"/>
        <v>13188.060000000001</v>
      </c>
      <c r="H929" s="16">
        <f t="shared" si="341"/>
        <v>12845.580000000002</v>
      </c>
      <c r="I929" s="16">
        <f t="shared" si="341"/>
        <v>13457.640000000003</v>
      </c>
      <c r="J929" s="16">
        <f t="shared" si="341"/>
        <v>13343.52</v>
      </c>
      <c r="K929" s="16">
        <f t="shared" si="341"/>
        <v>13128.149999999998</v>
      </c>
      <c r="L929" s="16">
        <f t="shared" si="341"/>
        <v>12477.96</v>
      </c>
      <c r="M929" s="16"/>
      <c r="N929" s="65"/>
      <c r="O929" s="65"/>
      <c r="P929" s="66"/>
      <c r="Q929" s="65"/>
      <c r="R929" s="67"/>
      <c r="S929" s="58"/>
    </row>
    <row r="930" spans="1:27" ht="15.75">
      <c r="A930" s="86">
        <v>44028</v>
      </c>
      <c r="B930" s="120" t="s">
        <v>348</v>
      </c>
      <c r="C930" s="57" t="s">
        <v>79</v>
      </c>
      <c r="D930">
        <v>29342.33</v>
      </c>
      <c r="E930">
        <v>29196.639999999999</v>
      </c>
      <c r="F930">
        <v>29166.35</v>
      </c>
      <c r="G930">
        <v>29167.62</v>
      </c>
      <c r="H930">
        <v>29300.73</v>
      </c>
      <c r="I930">
        <v>29276.639999999999</v>
      </c>
      <c r="J930">
        <v>29166.07</v>
      </c>
      <c r="K930">
        <v>29187.52</v>
      </c>
      <c r="L930">
        <v>29328.67</v>
      </c>
      <c r="M930" s="16"/>
      <c r="N930" s="59">
        <f>IF((L931=""),"",MAX(D932:L932))</f>
        <v>13415.46</v>
      </c>
      <c r="O930" s="59">
        <f>IF(L931="","",MIN(D932:L932))</f>
        <v>12557.549999999996</v>
      </c>
      <c r="P930" s="60">
        <f>IF((L932=""),"",AVERAGE(D932:L932))</f>
        <v>13032.919999999996</v>
      </c>
      <c r="Q930" s="156">
        <f>IF((L931=""),"",((N930-O930)/(N930+O930)*100))</f>
        <v>3.3030827000798277</v>
      </c>
      <c r="R930" s="61" t="str">
        <f>IF(L931="","",IF(Q930&lt;Z930,IF(O930&gt;V930,IF(N930&lt;W930,"PASS","FAIL"),"FAIL"),"FAIL"))</f>
        <v>PASS</v>
      </c>
      <c r="S930" s="62">
        <v>1159</v>
      </c>
      <c r="T930" s="9" t="s">
        <v>418</v>
      </c>
      <c r="V930" s="110">
        <v>10000</v>
      </c>
      <c r="W930" s="110">
        <v>15600</v>
      </c>
      <c r="X930" s="111">
        <v>8090</v>
      </c>
      <c r="Y930" s="111">
        <v>12070</v>
      </c>
      <c r="Z930" s="112">
        <v>15</v>
      </c>
      <c r="AA930" s="112">
        <v>6</v>
      </c>
    </row>
    <row r="931" spans="1:27" ht="15.75">
      <c r="A931" s="99"/>
      <c r="B931" s="122"/>
      <c r="C931" s="57" t="s">
        <v>80</v>
      </c>
      <c r="D931">
        <v>24964.37</v>
      </c>
      <c r="E931">
        <v>24784.26</v>
      </c>
      <c r="F931">
        <v>24860.27</v>
      </c>
      <c r="G931">
        <v>24820.81</v>
      </c>
      <c r="H931">
        <v>25063.72</v>
      </c>
      <c r="I931">
        <v>24804.82</v>
      </c>
      <c r="J931">
        <v>24761.68</v>
      </c>
      <c r="K931">
        <v>24831.06</v>
      </c>
      <c r="L931">
        <v>25142.82</v>
      </c>
      <c r="M931"/>
      <c r="N931" s="53"/>
      <c r="O931" s="53"/>
      <c r="P931" s="63"/>
      <c r="Q931" s="53"/>
      <c r="R931" s="64"/>
      <c r="S931" s="54"/>
    </row>
    <row r="932" spans="1:27">
      <c r="A932" s="100"/>
      <c r="B932" s="122"/>
      <c r="C932" s="57" t="s">
        <v>82</v>
      </c>
      <c r="D932" s="16">
        <f t="shared" ref="D932:L932" si="342">IF(((D930="")*AND(D931="")),"",(D930-D931)*3)</f>
        <v>13133.880000000008</v>
      </c>
      <c r="E932" s="16">
        <f t="shared" si="342"/>
        <v>13237.140000000003</v>
      </c>
      <c r="F932" s="16">
        <f t="shared" si="342"/>
        <v>12918.239999999994</v>
      </c>
      <c r="G932" s="16">
        <f t="shared" si="342"/>
        <v>13040.429999999993</v>
      </c>
      <c r="H932" s="16">
        <f t="shared" si="342"/>
        <v>12711.029999999995</v>
      </c>
      <c r="I932" s="16">
        <f t="shared" si="342"/>
        <v>13415.46</v>
      </c>
      <c r="J932" s="16">
        <f t="shared" si="342"/>
        <v>13213.169999999998</v>
      </c>
      <c r="K932" s="16">
        <f t="shared" si="342"/>
        <v>13069.379999999997</v>
      </c>
      <c r="L932" s="16">
        <f t="shared" si="342"/>
        <v>12557.549999999996</v>
      </c>
      <c r="M932" s="16"/>
      <c r="N932" s="65"/>
      <c r="O932" s="65"/>
      <c r="P932" s="66"/>
      <c r="Q932" s="65"/>
      <c r="R932" s="67"/>
      <c r="S932" s="58"/>
    </row>
    <row r="933" spans="1:27" ht="15.75">
      <c r="A933" s="86">
        <v>44032</v>
      </c>
      <c r="B933" s="120" t="s">
        <v>348</v>
      </c>
      <c r="C933" s="57" t="s">
        <v>79</v>
      </c>
      <c r="D933">
        <v>29322.09</v>
      </c>
      <c r="E933">
        <v>29195.51</v>
      </c>
      <c r="F933">
        <v>29188.3</v>
      </c>
      <c r="G933">
        <v>29171.360000000001</v>
      </c>
      <c r="H933">
        <v>29281.599999999999</v>
      </c>
      <c r="I933">
        <v>29307.7</v>
      </c>
      <c r="J933">
        <v>29179.77</v>
      </c>
      <c r="K933">
        <v>29175.82</v>
      </c>
      <c r="L933">
        <v>29285.59</v>
      </c>
      <c r="M933" s="16"/>
      <c r="N933" s="59">
        <f>IF((L934=""),"",MAX(D935:L935))</f>
        <v>13104.450000000004</v>
      </c>
      <c r="O933" s="59">
        <f>IF(L934="","",MIN(D935:L935))</f>
        <v>12247.29</v>
      </c>
      <c r="P933" s="60">
        <f>IF((L935=""),"",AVERAGE(D935:L935))</f>
        <v>12808.486666666664</v>
      </c>
      <c r="Q933" s="156">
        <f>IF((L934=""),"",((N933-O933)/(N933+O933)*100))</f>
        <v>3.3810697017246283</v>
      </c>
      <c r="R933" s="61" t="str">
        <f>IF(L934="","",IF(Q933&lt;Z933,IF(O933&gt;V933,IF(N933&lt;W933,"PASS","FAIL"),"FAIL"),"FAIL"))</f>
        <v>PASS</v>
      </c>
      <c r="S933" s="62">
        <v>1340</v>
      </c>
      <c r="T933" s="9" t="s">
        <v>420</v>
      </c>
      <c r="V933" s="110">
        <v>10000</v>
      </c>
      <c r="W933" s="110">
        <v>15600</v>
      </c>
      <c r="X933" s="111">
        <v>8090</v>
      </c>
      <c r="Y933" s="111">
        <v>12070</v>
      </c>
      <c r="Z933" s="112">
        <v>15</v>
      </c>
      <c r="AA933" s="112">
        <v>6</v>
      </c>
    </row>
    <row r="934" spans="1:27" ht="15.75">
      <c r="A934" s="99"/>
      <c r="B934" s="122"/>
      <c r="C934" s="57" t="s">
        <v>80</v>
      </c>
      <c r="D934">
        <v>25046.66</v>
      </c>
      <c r="E934">
        <v>24865.56</v>
      </c>
      <c r="F934">
        <v>24931.49</v>
      </c>
      <c r="G934">
        <v>24877.17</v>
      </c>
      <c r="H934">
        <v>25078.43</v>
      </c>
      <c r="I934">
        <v>24939.55</v>
      </c>
      <c r="J934">
        <v>24838.02</v>
      </c>
      <c r="K934">
        <v>24902.240000000002</v>
      </c>
      <c r="L934">
        <v>25203.16</v>
      </c>
      <c r="M934"/>
      <c r="N934" s="53"/>
      <c r="O934" s="53"/>
      <c r="P934" s="63"/>
      <c r="Q934" s="53"/>
      <c r="R934" s="64"/>
      <c r="S934" s="54"/>
    </row>
    <row r="935" spans="1:27">
      <c r="A935" s="100"/>
      <c r="B935" s="122"/>
      <c r="C935" s="57" t="s">
        <v>82</v>
      </c>
      <c r="D935" s="16">
        <f t="shared" ref="D935:L935" si="343">IF(((D933="")*AND(D934="")),"",(D933-D934)*3)</f>
        <v>12826.29</v>
      </c>
      <c r="E935" s="16">
        <f t="shared" si="343"/>
        <v>12989.849999999991</v>
      </c>
      <c r="F935" s="16">
        <f t="shared" si="343"/>
        <v>12770.429999999993</v>
      </c>
      <c r="G935" s="16">
        <f t="shared" si="343"/>
        <v>12882.570000000007</v>
      </c>
      <c r="H935" s="16">
        <f t="shared" si="343"/>
        <v>12609.509999999995</v>
      </c>
      <c r="I935" s="16">
        <f t="shared" si="343"/>
        <v>13104.450000000004</v>
      </c>
      <c r="J935" s="16">
        <f t="shared" si="343"/>
        <v>13025.25</v>
      </c>
      <c r="K935" s="16">
        <f t="shared" si="343"/>
        <v>12820.739999999994</v>
      </c>
      <c r="L935" s="16">
        <f t="shared" si="343"/>
        <v>12247.29</v>
      </c>
      <c r="M935" s="16"/>
      <c r="N935" s="65"/>
      <c r="O935" s="65"/>
      <c r="P935" s="66"/>
      <c r="Q935" s="65"/>
      <c r="R935" s="67"/>
      <c r="S935" s="58"/>
    </row>
    <row r="936" spans="1:27" ht="15.75">
      <c r="A936" s="86">
        <v>44036</v>
      </c>
      <c r="B936" s="120" t="s">
        <v>348</v>
      </c>
      <c r="C936" s="57" t="s">
        <v>79</v>
      </c>
      <c r="D936">
        <v>29143.19</v>
      </c>
      <c r="E936">
        <v>28994.45</v>
      </c>
      <c r="F936">
        <v>29003</v>
      </c>
      <c r="G936">
        <v>29003.32</v>
      </c>
      <c r="H936">
        <v>29131.98</v>
      </c>
      <c r="I936">
        <v>29094.48</v>
      </c>
      <c r="J936">
        <v>28993.54</v>
      </c>
      <c r="K936">
        <v>28995.46</v>
      </c>
      <c r="L936">
        <v>29135.87</v>
      </c>
      <c r="M936" s="16"/>
      <c r="N936" s="59">
        <f>IF((L937=""),"",MAX(D938:L938))</f>
        <v>11311.830000000002</v>
      </c>
      <c r="O936" s="59">
        <f>IF(L937="","",MIN(D938:L938))</f>
        <v>10911.029999999995</v>
      </c>
      <c r="P936" s="60">
        <f>IF((L938=""),"",AVERAGE(D938:L938))</f>
        <v>11149.003333333332</v>
      </c>
      <c r="Q936" s="156">
        <f>IF((L937=""),"",((N936-O936)/(N936+O936)*100))</f>
        <v>1.8035482381655945</v>
      </c>
      <c r="R936" s="61" t="str">
        <f>IF(L937="","",IF(Q936&lt;Z936,IF(O936&gt;V936,IF(N936&lt;W936,"PASS","FAIL"),"FAIL"),"FAIL"))</f>
        <v>PASS</v>
      </c>
      <c r="S936" s="62">
        <v>1340</v>
      </c>
      <c r="T936" s="9" t="s">
        <v>422</v>
      </c>
      <c r="V936" s="110">
        <v>10000</v>
      </c>
      <c r="W936" s="110">
        <v>15600</v>
      </c>
      <c r="X936" s="111">
        <v>8090</v>
      </c>
      <c r="Y936" s="111">
        <v>12070</v>
      </c>
      <c r="Z936" s="112">
        <v>15</v>
      </c>
      <c r="AA936" s="112">
        <v>6</v>
      </c>
    </row>
    <row r="937" spans="1:27" ht="15.75">
      <c r="A937" s="99"/>
      <c r="B937" s="122"/>
      <c r="C937" s="57" t="s">
        <v>80</v>
      </c>
      <c r="D937">
        <v>25463.87</v>
      </c>
      <c r="E937">
        <v>25227.11</v>
      </c>
      <c r="F937">
        <v>25288.59</v>
      </c>
      <c r="G937">
        <v>25253.75</v>
      </c>
      <c r="H937">
        <v>25494.97</v>
      </c>
      <c r="I937">
        <v>25399.27</v>
      </c>
      <c r="J937">
        <v>25236.33</v>
      </c>
      <c r="K937">
        <v>25224.85</v>
      </c>
      <c r="L937">
        <v>25459.54</v>
      </c>
      <c r="M937"/>
      <c r="N937" s="53"/>
      <c r="O937" s="53"/>
      <c r="P937" s="63"/>
      <c r="Q937" s="53"/>
      <c r="R937" s="64"/>
      <c r="S937" s="54"/>
    </row>
    <row r="938" spans="1:27">
      <c r="A938" s="100"/>
      <c r="B938" s="122"/>
      <c r="C938" s="57" t="s">
        <v>82</v>
      </c>
      <c r="D938" s="16">
        <f t="shared" ref="D938:L938" si="344">IF(((D936="")*AND(D937="")),"",(D936-D937)*3)</f>
        <v>11037.96</v>
      </c>
      <c r="E938" s="16">
        <f t="shared" si="344"/>
        <v>11302.02</v>
      </c>
      <c r="F938" s="16">
        <f t="shared" si="344"/>
        <v>11143.23</v>
      </c>
      <c r="G938" s="16">
        <f t="shared" si="344"/>
        <v>11248.71</v>
      </c>
      <c r="H938" s="16">
        <f t="shared" si="344"/>
        <v>10911.029999999995</v>
      </c>
      <c r="I938" s="16">
        <f t="shared" si="344"/>
        <v>11085.629999999997</v>
      </c>
      <c r="J938" s="16">
        <f t="shared" si="344"/>
        <v>11271.629999999997</v>
      </c>
      <c r="K938" s="16">
        <f t="shared" si="344"/>
        <v>11311.830000000002</v>
      </c>
      <c r="L938" s="16">
        <f t="shared" si="344"/>
        <v>11028.989999999994</v>
      </c>
      <c r="M938" s="16"/>
      <c r="N938" s="65"/>
      <c r="O938" s="65"/>
      <c r="P938" s="66"/>
      <c r="Q938" s="65"/>
      <c r="R938" s="67"/>
      <c r="S938" s="58"/>
    </row>
    <row r="939" spans="1:27" ht="15.75">
      <c r="A939" s="86">
        <v>44040</v>
      </c>
      <c r="B939" s="120" t="s">
        <v>348</v>
      </c>
      <c r="C939" s="57" t="s">
        <v>79</v>
      </c>
      <c r="D939">
        <v>29195.52</v>
      </c>
      <c r="E939">
        <v>29067.81</v>
      </c>
      <c r="F939">
        <v>29068.639999999999</v>
      </c>
      <c r="G939">
        <v>29067.46</v>
      </c>
      <c r="H939">
        <v>29186.17</v>
      </c>
      <c r="I939">
        <v>29211.919999999998</v>
      </c>
      <c r="J939">
        <v>29074.9</v>
      </c>
      <c r="K939">
        <v>29044.11</v>
      </c>
      <c r="L939">
        <v>29152.18</v>
      </c>
      <c r="M939" s="16"/>
      <c r="N939" s="59">
        <f>IF((L940=""),"",MAX(D941:L941))</f>
        <v>11539.620000000003</v>
      </c>
      <c r="O939" s="59">
        <f>IF(L940="","",MIN(D941:L941))</f>
        <v>10776.659999999993</v>
      </c>
      <c r="P939" s="60">
        <f>IF((L941=""),"",AVERAGE(D941:L941))</f>
        <v>11268.359999999999</v>
      </c>
      <c r="Q939" s="156">
        <f>IF((L940=""),"",((N939-O939)/(N939+O939)*100))</f>
        <v>3.4188493781222058</v>
      </c>
      <c r="R939" s="61" t="str">
        <f>IF(L940="","",IF(Q939&lt;Z939,IF(O939&gt;V939,IF(N939&lt;W939,"PASS","FAIL"),"FAIL"),"FAIL"))</f>
        <v>PASS</v>
      </c>
      <c r="S939" s="62">
        <v>102</v>
      </c>
      <c r="T939" s="9" t="s">
        <v>426</v>
      </c>
      <c r="V939" s="110">
        <v>10000</v>
      </c>
      <c r="W939" s="110">
        <v>15600</v>
      </c>
      <c r="X939" s="111">
        <v>8090</v>
      </c>
      <c r="Y939" s="111">
        <v>12070</v>
      </c>
      <c r="Z939" s="112">
        <v>15</v>
      </c>
      <c r="AA939" s="112">
        <v>6</v>
      </c>
    </row>
    <row r="940" spans="1:27" ht="15.75">
      <c r="A940" s="99"/>
      <c r="B940" s="122"/>
      <c r="C940" s="57" t="s">
        <v>80</v>
      </c>
      <c r="D940">
        <v>25565.66</v>
      </c>
      <c r="E940">
        <v>25284.75</v>
      </c>
      <c r="F940">
        <v>25282.92</v>
      </c>
      <c r="G940">
        <v>25220.92</v>
      </c>
      <c r="H940">
        <v>25393.19</v>
      </c>
      <c r="I940">
        <v>25619.7</v>
      </c>
      <c r="J940">
        <v>25295.24</v>
      </c>
      <c r="K940">
        <v>25227.360000000001</v>
      </c>
      <c r="L940">
        <v>25373.89</v>
      </c>
      <c r="M940"/>
      <c r="N940" s="53"/>
      <c r="O940" s="53"/>
      <c r="P940" s="63"/>
      <c r="Q940" s="53"/>
      <c r="R940" s="64"/>
      <c r="S940" s="54"/>
    </row>
    <row r="941" spans="1:27">
      <c r="A941" s="100"/>
      <c r="B941" s="122"/>
      <c r="C941" s="57" t="s">
        <v>82</v>
      </c>
      <c r="D941" s="16">
        <f t="shared" ref="D941:L941" si="345">IF(((D939="")*AND(D940="")),"",(D939-D940)*3)</f>
        <v>10889.580000000002</v>
      </c>
      <c r="E941" s="16">
        <f t="shared" si="345"/>
        <v>11349.180000000004</v>
      </c>
      <c r="F941" s="16">
        <f t="shared" si="345"/>
        <v>11357.160000000003</v>
      </c>
      <c r="G941" s="16">
        <f t="shared" si="345"/>
        <v>11539.620000000003</v>
      </c>
      <c r="H941" s="16">
        <f t="shared" si="345"/>
        <v>11378.939999999999</v>
      </c>
      <c r="I941" s="16">
        <f t="shared" si="345"/>
        <v>10776.659999999993</v>
      </c>
      <c r="J941" s="16">
        <f t="shared" si="345"/>
        <v>11338.98</v>
      </c>
      <c r="K941" s="16">
        <f t="shared" si="345"/>
        <v>11450.25</v>
      </c>
      <c r="L941" s="16">
        <f t="shared" si="345"/>
        <v>11334.870000000003</v>
      </c>
      <c r="M941" s="16"/>
      <c r="N941" s="65"/>
      <c r="O941" s="65"/>
      <c r="P941" s="66"/>
      <c r="Q941" s="65"/>
      <c r="R941" s="67"/>
      <c r="S941" s="58"/>
    </row>
    <row r="942" spans="1:27" ht="15.75">
      <c r="A942" s="86">
        <v>44042</v>
      </c>
      <c r="B942" s="120" t="s">
        <v>348</v>
      </c>
      <c r="C942" s="57" t="s">
        <v>79</v>
      </c>
      <c r="D942">
        <v>29060.45</v>
      </c>
      <c r="E942">
        <v>28973.95</v>
      </c>
      <c r="F942">
        <v>28975.16</v>
      </c>
      <c r="G942">
        <v>28959.17</v>
      </c>
      <c r="H942">
        <v>29060.43</v>
      </c>
      <c r="I942">
        <v>29101.55</v>
      </c>
      <c r="J942">
        <v>28964.73</v>
      </c>
      <c r="K942">
        <v>28955.15</v>
      </c>
      <c r="L942">
        <v>29067.58</v>
      </c>
      <c r="M942" s="16"/>
      <c r="N942" s="59">
        <f>IF((L943=""),"",MAX(D944:L944))</f>
        <v>11183.819999999996</v>
      </c>
      <c r="O942" s="59">
        <f>IF(L943="","",MIN(D944:L944))</f>
        <v>10630.050000000007</v>
      </c>
      <c r="P942" s="60">
        <f>IF((L944=""),"",AVERAGE(D944:L944))</f>
        <v>10978.173333333334</v>
      </c>
      <c r="Q942" s="156">
        <f>IF((L943=""),"",((N942-O942)/(N942+O942)*100))</f>
        <v>2.538614193629968</v>
      </c>
      <c r="R942" s="61" t="str">
        <f>IF(L943="","",IF(Q942&lt;Z942,IF(O942&gt;V942,IF(N942&lt;W942,"PASS","FAIL"),"FAIL"),"FAIL"))</f>
        <v>PASS</v>
      </c>
      <c r="S942" s="62" t="s">
        <v>428</v>
      </c>
      <c r="T942" s="9" t="s">
        <v>430</v>
      </c>
      <c r="V942" s="110">
        <v>10000</v>
      </c>
      <c r="W942" s="110">
        <v>15600</v>
      </c>
      <c r="X942" s="111">
        <v>8090</v>
      </c>
      <c r="Y942" s="111">
        <v>12070</v>
      </c>
      <c r="Z942" s="112">
        <v>15</v>
      </c>
      <c r="AA942" s="112">
        <v>6</v>
      </c>
    </row>
    <row r="943" spans="1:27" ht="15.75">
      <c r="A943" s="99"/>
      <c r="B943" s="122"/>
      <c r="C943" s="57" t="s">
        <v>80</v>
      </c>
      <c r="D943">
        <v>25517.1</v>
      </c>
      <c r="E943">
        <v>25265.040000000001</v>
      </c>
      <c r="F943">
        <v>25279.85</v>
      </c>
      <c r="G943">
        <v>25231.23</v>
      </c>
      <c r="H943">
        <v>25344.28</v>
      </c>
      <c r="I943">
        <v>25556.37</v>
      </c>
      <c r="J943">
        <v>25274.92</v>
      </c>
      <c r="K943">
        <v>25250.14</v>
      </c>
      <c r="L943">
        <v>25464.720000000001</v>
      </c>
      <c r="M943"/>
      <c r="N943" s="53"/>
      <c r="O943" s="53"/>
      <c r="P943" s="63"/>
      <c r="Q943" s="53"/>
      <c r="R943" s="64"/>
      <c r="S943" s="54"/>
      <c r="V943" s="110"/>
      <c r="W943" s="110"/>
      <c r="X943" s="111"/>
      <c r="Y943" s="111"/>
      <c r="Z943" s="112"/>
      <c r="AA943" s="112"/>
    </row>
    <row r="944" spans="1:27">
      <c r="A944" s="100"/>
      <c r="B944" s="122"/>
      <c r="C944" s="57" t="s">
        <v>82</v>
      </c>
      <c r="D944" s="16">
        <f t="shared" ref="D944:L944" si="346">IF(((D942="")*AND(D943="")),"",(D942-D943)*3)</f>
        <v>10630.050000000007</v>
      </c>
      <c r="E944" s="16">
        <f t="shared" si="346"/>
        <v>11126.73</v>
      </c>
      <c r="F944" s="16">
        <f t="shared" si="346"/>
        <v>11085.930000000004</v>
      </c>
      <c r="G944" s="16">
        <f t="shared" si="346"/>
        <v>11183.819999999996</v>
      </c>
      <c r="H944" s="16">
        <f t="shared" si="346"/>
        <v>11148.450000000004</v>
      </c>
      <c r="I944" s="16">
        <f t="shared" si="346"/>
        <v>10635.54</v>
      </c>
      <c r="J944" s="16">
        <f t="shared" si="346"/>
        <v>11069.430000000004</v>
      </c>
      <c r="K944" s="16">
        <f t="shared" si="346"/>
        <v>11115.030000000006</v>
      </c>
      <c r="L944" s="16">
        <f t="shared" si="346"/>
        <v>10808.580000000002</v>
      </c>
      <c r="M944" s="16"/>
      <c r="N944" s="65"/>
      <c r="O944" s="65"/>
      <c r="P944" s="66"/>
      <c r="Q944" s="65"/>
      <c r="R944" s="67"/>
      <c r="S944" s="58"/>
      <c r="V944" s="110"/>
      <c r="W944" s="110"/>
      <c r="X944" s="111"/>
      <c r="Y944" s="111"/>
      <c r="Z944" s="112"/>
      <c r="AA944" s="112"/>
    </row>
    <row r="945" spans="1:27" ht="15.75">
      <c r="A945" s="86">
        <v>44046</v>
      </c>
      <c r="B945" s="120" t="s">
        <v>348</v>
      </c>
      <c r="C945" s="57" t="s">
        <v>79</v>
      </c>
      <c r="D945">
        <v>29060.45</v>
      </c>
      <c r="E945">
        <v>28973.95</v>
      </c>
      <c r="F945">
        <v>28975.16</v>
      </c>
      <c r="G945">
        <v>28959.17</v>
      </c>
      <c r="H945">
        <v>29060.43</v>
      </c>
      <c r="I945">
        <v>29101.55</v>
      </c>
      <c r="J945">
        <v>28964.73</v>
      </c>
      <c r="K945">
        <v>28955.15</v>
      </c>
      <c r="L945">
        <v>29067.58</v>
      </c>
      <c r="M945" s="16"/>
      <c r="N945" s="59">
        <f>IF((L946=""),"",MAX(D947:L947))</f>
        <v>10404.239999999994</v>
      </c>
      <c r="O945" s="59">
        <f>IF(L946="","",MIN(D947:L947))</f>
        <v>10000.830000000002</v>
      </c>
      <c r="P945" s="60">
        <f>IF((L947=""),"",AVERAGE(D947:L947))</f>
        <v>10226.94</v>
      </c>
      <c r="Q945" s="156">
        <f>IF((L946=""),"",((N945-O945)/(N945+O945)*100))</f>
        <v>1.9770086552018329</v>
      </c>
      <c r="R945" s="61" t="str">
        <f>IF(L946="","",IF(Q945&lt;Z945,IF(O945&gt;V945,IF(N945&lt;W945,"PASS","FAIL"),"FAIL"),"FAIL"))</f>
        <v>PASS</v>
      </c>
      <c r="S945" s="62">
        <v>74</v>
      </c>
      <c r="V945" s="110">
        <v>10000</v>
      </c>
      <c r="W945" s="110">
        <v>15600</v>
      </c>
      <c r="X945" s="111">
        <v>8090</v>
      </c>
      <c r="Y945" s="111">
        <v>12070</v>
      </c>
      <c r="Z945" s="112">
        <v>15</v>
      </c>
      <c r="AA945" s="112">
        <v>6</v>
      </c>
    </row>
    <row r="946" spans="1:27" ht="15.75">
      <c r="A946" s="99"/>
      <c r="B946" s="122"/>
      <c r="C946" s="57" t="s">
        <v>80</v>
      </c>
      <c r="D946">
        <v>25726.84</v>
      </c>
      <c r="E946">
        <v>25619.68</v>
      </c>
      <c r="F946">
        <v>25520.26</v>
      </c>
      <c r="G946">
        <v>25491.09</v>
      </c>
      <c r="H946">
        <v>25671.68</v>
      </c>
      <c r="I946">
        <v>25686.16</v>
      </c>
      <c r="J946">
        <v>25558.29</v>
      </c>
      <c r="K946">
        <v>25523.91</v>
      </c>
      <c r="L946">
        <v>25639.439999999999</v>
      </c>
      <c r="M946"/>
      <c r="N946" s="53"/>
      <c r="O946" s="53"/>
      <c r="P946" s="63"/>
      <c r="Q946" s="53"/>
      <c r="R946" s="64"/>
      <c r="S946" s="54"/>
    </row>
    <row r="947" spans="1:27">
      <c r="A947" s="100"/>
      <c r="B947" s="122"/>
      <c r="C947" s="57" t="s">
        <v>82</v>
      </c>
      <c r="D947" s="16">
        <f t="shared" ref="D947:L947" si="347">IF(((D945="")*AND(D946="")),"",(D945-D946)*3)</f>
        <v>10000.830000000002</v>
      </c>
      <c r="E947" s="16">
        <f t="shared" si="347"/>
        <v>10062.810000000001</v>
      </c>
      <c r="F947" s="16">
        <f t="shared" si="347"/>
        <v>10364.700000000004</v>
      </c>
      <c r="G947" s="16">
        <f t="shared" si="347"/>
        <v>10404.239999999994</v>
      </c>
      <c r="H947" s="16">
        <f t="shared" si="347"/>
        <v>10166.25</v>
      </c>
      <c r="I947" s="16">
        <f t="shared" si="347"/>
        <v>10246.169999999998</v>
      </c>
      <c r="J947" s="16">
        <f t="shared" si="347"/>
        <v>10219.319999999996</v>
      </c>
      <c r="K947" s="16">
        <f t="shared" si="347"/>
        <v>10293.720000000005</v>
      </c>
      <c r="L947" s="16">
        <f t="shared" si="347"/>
        <v>10284.420000000009</v>
      </c>
      <c r="M947" s="16"/>
      <c r="N947" s="65"/>
      <c r="O947" s="65"/>
      <c r="P947" s="66"/>
      <c r="Q947" s="65"/>
      <c r="R947" s="67"/>
      <c r="S947" s="58"/>
    </row>
    <row r="948" spans="1:27" ht="15.75">
      <c r="A948" s="86">
        <v>44046</v>
      </c>
      <c r="B948" s="120" t="s">
        <v>348</v>
      </c>
      <c r="C948" s="57" t="s">
        <v>79</v>
      </c>
      <c r="D948">
        <v>29195.52</v>
      </c>
      <c r="E948">
        <v>29067.81</v>
      </c>
      <c r="F948">
        <v>29068.639999999999</v>
      </c>
      <c r="G948">
        <v>29067.46</v>
      </c>
      <c r="H948">
        <v>29186.17</v>
      </c>
      <c r="I948">
        <v>29211.919999999998</v>
      </c>
      <c r="J948">
        <v>29074.9</v>
      </c>
      <c r="K948">
        <v>29044.11</v>
      </c>
      <c r="L948">
        <v>29152.18</v>
      </c>
      <c r="M948" s="16"/>
      <c r="N948" s="59">
        <f>IF((L949=""),"",MAX(D950:L950))</f>
        <v>10448.430000000004</v>
      </c>
      <c r="O948" s="59">
        <f>IF(L949="","",MIN(D950:L950))</f>
        <v>9435.5099999999948</v>
      </c>
      <c r="P948" s="60">
        <f>IF((L950=""),"",AVERAGE(D950:L950))</f>
        <v>10168.57</v>
      </c>
      <c r="Q948" s="156">
        <f>IF((L949=""),"",((N948-O948)/(N948+O948)*100))</f>
        <v>5.0941614187128366</v>
      </c>
      <c r="R948" s="61" t="str">
        <f>IF(L949="","",IF(Q948&lt;Z948,IF(O948&gt;V948,IF(N948&lt;W948,"PASS","FAIL"),"FAIL"),"FAIL"))</f>
        <v>FAIL</v>
      </c>
      <c r="S948" s="62">
        <v>74</v>
      </c>
      <c r="V948" s="110">
        <v>10000</v>
      </c>
      <c r="W948" s="110">
        <v>15600</v>
      </c>
      <c r="X948" s="111">
        <v>8090</v>
      </c>
      <c r="Y948" s="111">
        <v>12070</v>
      </c>
      <c r="Z948" s="112">
        <v>15</v>
      </c>
      <c r="AA948" s="112">
        <v>6</v>
      </c>
    </row>
    <row r="949" spans="1:27" ht="15.75">
      <c r="A949" s="99"/>
      <c r="B949" s="122"/>
      <c r="C949" s="57" t="s">
        <v>80</v>
      </c>
      <c r="D949">
        <v>25739</v>
      </c>
      <c r="E949">
        <v>25585</v>
      </c>
      <c r="F949">
        <v>25618</v>
      </c>
      <c r="G949">
        <v>25630</v>
      </c>
      <c r="H949">
        <v>26041</v>
      </c>
      <c r="I949">
        <v>25893</v>
      </c>
      <c r="J949">
        <v>25602</v>
      </c>
      <c r="K949">
        <v>25586</v>
      </c>
      <c r="L949">
        <v>25869</v>
      </c>
      <c r="M949"/>
      <c r="N949" s="53"/>
      <c r="O949" s="53"/>
      <c r="P949" s="63"/>
      <c r="Q949" s="53"/>
      <c r="R949" s="64"/>
      <c r="S949" s="54"/>
    </row>
    <row r="950" spans="1:27">
      <c r="A950" s="100"/>
      <c r="B950" s="122"/>
      <c r="C950" s="57" t="s">
        <v>82</v>
      </c>
      <c r="D950" s="16">
        <f t="shared" ref="D950:L950" si="348">IF(((D948="")*AND(D949="")),"",(D948-D949)*3)</f>
        <v>10369.560000000001</v>
      </c>
      <c r="E950" s="16">
        <f t="shared" si="348"/>
        <v>10448.430000000004</v>
      </c>
      <c r="F950" s="16">
        <f t="shared" si="348"/>
        <v>10351.919999999998</v>
      </c>
      <c r="G950" s="16">
        <f t="shared" si="348"/>
        <v>10312.379999999997</v>
      </c>
      <c r="H950" s="16">
        <f t="shared" si="348"/>
        <v>9435.5099999999948</v>
      </c>
      <c r="I950" s="16">
        <f t="shared" si="348"/>
        <v>9956.7599999999948</v>
      </c>
      <c r="J950" s="16">
        <f t="shared" si="348"/>
        <v>10418.700000000004</v>
      </c>
      <c r="K950" s="16">
        <f t="shared" si="348"/>
        <v>10374.330000000002</v>
      </c>
      <c r="L950" s="16">
        <f t="shared" si="348"/>
        <v>9849.5400000000009</v>
      </c>
      <c r="M950" s="16"/>
      <c r="N950" s="65"/>
      <c r="O950" s="65"/>
      <c r="P950" s="66"/>
      <c r="Q950" s="65"/>
      <c r="R950" s="67"/>
      <c r="S950" s="58"/>
    </row>
    <row r="951" spans="1:27" ht="15.75">
      <c r="A951" s="86">
        <v>44046</v>
      </c>
      <c r="B951" s="120" t="s">
        <v>348</v>
      </c>
      <c r="C951" s="57" t="s">
        <v>79</v>
      </c>
      <c r="D951">
        <v>29228</v>
      </c>
      <c r="E951">
        <v>29011</v>
      </c>
      <c r="F951">
        <v>28993</v>
      </c>
      <c r="G951">
        <v>29019</v>
      </c>
      <c r="H951">
        <v>29195</v>
      </c>
      <c r="I951">
        <v>29186</v>
      </c>
      <c r="J951">
        <v>29007</v>
      </c>
      <c r="K951">
        <v>29002</v>
      </c>
      <c r="L951">
        <v>29187</v>
      </c>
      <c r="M951" s="16"/>
      <c r="N951" s="59">
        <f>IF((L952=""),"",MAX(D953:L953))</f>
        <v>12828</v>
      </c>
      <c r="O951" s="59">
        <f>IF(L952="","",MIN(D953:L953))</f>
        <v>11679</v>
      </c>
      <c r="P951" s="60">
        <f>IF((L953=""),"",AVERAGE(D953:L953))</f>
        <v>12444</v>
      </c>
      <c r="Q951" s="156">
        <f>IF((L952=""),"",((N951-O951)/(N951+O951)*100))</f>
        <v>4.6884563594075157</v>
      </c>
      <c r="R951" s="61" t="str">
        <f>IF(L952="","",IF(Q951&lt;Z951,IF(O951&gt;V951,IF(N951&lt;W951,"PASS","FAIL"),"FAIL"),"FAIL"))</f>
        <v>PASS</v>
      </c>
      <c r="S951" s="62">
        <v>1159</v>
      </c>
      <c r="T951" s="9" t="s">
        <v>432</v>
      </c>
      <c r="U951" s="114" t="s">
        <v>431</v>
      </c>
      <c r="V951" s="110">
        <v>10000</v>
      </c>
      <c r="W951" s="110">
        <v>15600</v>
      </c>
      <c r="X951" s="111">
        <v>8090</v>
      </c>
      <c r="Y951" s="111">
        <v>12070</v>
      </c>
      <c r="Z951" s="112">
        <v>15</v>
      </c>
      <c r="AA951" s="112">
        <v>6</v>
      </c>
    </row>
    <row r="952" spans="1:27" ht="15.75">
      <c r="A952" s="99"/>
      <c r="B952" s="122"/>
      <c r="C952" s="57" t="s">
        <v>80</v>
      </c>
      <c r="D952">
        <v>25164</v>
      </c>
      <c r="E952">
        <v>24811</v>
      </c>
      <c r="F952">
        <v>24816</v>
      </c>
      <c r="G952">
        <v>24868</v>
      </c>
      <c r="H952">
        <v>25302</v>
      </c>
      <c r="I952">
        <v>25101</v>
      </c>
      <c r="J952">
        <v>24785</v>
      </c>
      <c r="K952">
        <v>24726</v>
      </c>
      <c r="L952">
        <v>24923</v>
      </c>
      <c r="M952"/>
      <c r="N952" s="53"/>
      <c r="O952" s="53"/>
      <c r="P952" s="63"/>
      <c r="Q952" s="53"/>
      <c r="R952" s="64"/>
      <c r="S952" s="54"/>
      <c r="T952" s="114"/>
      <c r="U952" s="114"/>
    </row>
    <row r="953" spans="1:27">
      <c r="A953" s="100"/>
      <c r="B953" s="122"/>
      <c r="C953" s="57" t="s">
        <v>82</v>
      </c>
      <c r="D953" s="16">
        <f t="shared" ref="D953:L953" si="349">IF(((D951="")*AND(D952="")),"",(D951-D952)*3)</f>
        <v>12192</v>
      </c>
      <c r="E953" s="16">
        <f t="shared" si="349"/>
        <v>12600</v>
      </c>
      <c r="F953" s="16">
        <f t="shared" si="349"/>
        <v>12531</v>
      </c>
      <c r="G953" s="16">
        <f t="shared" si="349"/>
        <v>12453</v>
      </c>
      <c r="H953" s="16">
        <f t="shared" si="349"/>
        <v>11679</v>
      </c>
      <c r="I953" s="16">
        <f t="shared" si="349"/>
        <v>12255</v>
      </c>
      <c r="J953" s="16">
        <f t="shared" si="349"/>
        <v>12666</v>
      </c>
      <c r="K953" s="16">
        <f t="shared" si="349"/>
        <v>12828</v>
      </c>
      <c r="L953" s="16">
        <f t="shared" si="349"/>
        <v>12792</v>
      </c>
      <c r="M953" s="16"/>
      <c r="N953" s="65"/>
      <c r="O953" s="65"/>
      <c r="P953" s="66"/>
      <c r="Q953" s="65"/>
      <c r="R953" s="67"/>
      <c r="S953" s="58"/>
    </row>
    <row r="954" spans="1:27" ht="15.75">
      <c r="A954" s="86">
        <v>44050</v>
      </c>
      <c r="B954" s="120" t="s">
        <v>348</v>
      </c>
      <c r="C954" s="57" t="s">
        <v>79</v>
      </c>
      <c r="D954">
        <v>29060.45</v>
      </c>
      <c r="E954">
        <v>28916.78</v>
      </c>
      <c r="F954">
        <v>28894.12</v>
      </c>
      <c r="G954">
        <v>28895.5</v>
      </c>
      <c r="H954">
        <v>29017.55</v>
      </c>
      <c r="I954">
        <v>28992.45</v>
      </c>
      <c r="J954">
        <v>28900.32</v>
      </c>
      <c r="K954">
        <v>28893.94</v>
      </c>
      <c r="L954">
        <v>29013.74</v>
      </c>
      <c r="M954" s="16"/>
      <c r="N954" s="59">
        <f>IF((L955=""),"",MAX(D956:L956))</f>
        <v>13077.870000000003</v>
      </c>
      <c r="O954" s="59">
        <f>IF(L955="","",MIN(D956:L956))</f>
        <v>12149.100000000002</v>
      </c>
      <c r="P954" s="60">
        <f>IF((L956=""),"",AVERAGE(D956:L956))</f>
        <v>12731.706666666667</v>
      </c>
      <c r="Q954" s="156">
        <f>IF((L955=""),"",((N954-O954)/(N954+O954)*100))</f>
        <v>3.6816549906706997</v>
      </c>
      <c r="R954" s="61" t="str">
        <f>IF(L955="","",IF(Q954&lt;Z954,IF(O954&gt;V954,IF(N954&lt;W954,"PASS","FAIL"),"FAIL"),"FAIL"))</f>
        <v>PASS</v>
      </c>
      <c r="S954" s="62">
        <v>1159</v>
      </c>
      <c r="T954" s="9" t="s">
        <v>434</v>
      </c>
      <c r="U954" s="114"/>
      <c r="V954" s="110">
        <v>10000</v>
      </c>
      <c r="W954" s="110">
        <v>15600</v>
      </c>
      <c r="X954" s="111">
        <v>8090</v>
      </c>
      <c r="Y954" s="111">
        <v>12070</v>
      </c>
      <c r="Z954" s="112">
        <v>15</v>
      </c>
      <c r="AA954" s="112">
        <v>6</v>
      </c>
    </row>
    <row r="955" spans="1:27" ht="15.75">
      <c r="A955" s="99"/>
      <c r="B955" s="122"/>
      <c r="C955" s="57" t="s">
        <v>80</v>
      </c>
      <c r="D955">
        <v>25010.75</v>
      </c>
      <c r="E955">
        <v>24641.96</v>
      </c>
      <c r="F955">
        <v>24618.81</v>
      </c>
      <c r="G955">
        <v>24536.21</v>
      </c>
      <c r="H955">
        <v>24688.71</v>
      </c>
      <c r="I955">
        <v>24888.26</v>
      </c>
      <c r="J955">
        <v>24595.279999999999</v>
      </c>
      <c r="K955">
        <v>24583.14</v>
      </c>
      <c r="L955">
        <v>24826.61</v>
      </c>
      <c r="M955"/>
      <c r="N955" s="53"/>
      <c r="O955" s="53"/>
      <c r="P955" s="63"/>
      <c r="Q955" s="53"/>
      <c r="R955" s="64"/>
      <c r="S955" s="54"/>
      <c r="T955" s="114"/>
      <c r="U955" s="114"/>
    </row>
    <row r="956" spans="1:27">
      <c r="A956" s="100"/>
      <c r="B956" s="122"/>
      <c r="C956" s="57" t="s">
        <v>82</v>
      </c>
      <c r="D956" s="16">
        <f t="shared" ref="D956:L956" si="350">IF(((D954="")*AND(D955="")),"",(D954-D955)*3)</f>
        <v>12149.100000000002</v>
      </c>
      <c r="E956" s="16">
        <f t="shared" si="350"/>
        <v>12824.46</v>
      </c>
      <c r="F956" s="16">
        <f t="shared" si="350"/>
        <v>12825.929999999993</v>
      </c>
      <c r="G956" s="16">
        <f t="shared" si="350"/>
        <v>13077.870000000003</v>
      </c>
      <c r="H956" s="16">
        <f t="shared" si="350"/>
        <v>12986.52</v>
      </c>
      <c r="I956" s="16">
        <f t="shared" si="350"/>
        <v>12312.570000000007</v>
      </c>
      <c r="J956" s="16">
        <f t="shared" si="350"/>
        <v>12915.120000000003</v>
      </c>
      <c r="K956" s="16">
        <f t="shared" si="350"/>
        <v>12932.399999999998</v>
      </c>
      <c r="L956" s="16">
        <f t="shared" si="350"/>
        <v>12561.390000000003</v>
      </c>
      <c r="M956" s="16"/>
      <c r="N956" s="65"/>
      <c r="O956" s="65"/>
      <c r="P956" s="66"/>
      <c r="Q956" s="65"/>
      <c r="R956" s="67"/>
      <c r="S956" s="58"/>
    </row>
    <row r="957" spans="1:27" ht="15.75">
      <c r="A957" s="86">
        <v>44056</v>
      </c>
      <c r="B957" s="120" t="s">
        <v>348</v>
      </c>
      <c r="C957" s="57" t="s">
        <v>79</v>
      </c>
      <c r="D957">
        <v>28888.1</v>
      </c>
      <c r="E957">
        <v>28775.14</v>
      </c>
      <c r="F957">
        <v>28756.84</v>
      </c>
      <c r="G957">
        <v>28770.28</v>
      </c>
      <c r="H957">
        <v>28891.98</v>
      </c>
      <c r="I957">
        <v>28937.45</v>
      </c>
      <c r="J957">
        <v>28782.560000000001</v>
      </c>
      <c r="K957">
        <v>28765.98</v>
      </c>
      <c r="L957">
        <v>28899.07</v>
      </c>
      <c r="M957" s="16"/>
      <c r="N957" s="59">
        <f>IF((L958=""),"",MAX(D959:L959))</f>
        <v>12664.98</v>
      </c>
      <c r="O957" s="59">
        <f>IF(L958="","",MIN(D959:L959))</f>
        <v>11648.549999999996</v>
      </c>
      <c r="P957" s="60">
        <f>IF((L959=""),"",AVERAGE(D959:L959))</f>
        <v>12309.886666666665</v>
      </c>
      <c r="Q957" s="156">
        <f>IF((L958=""),"",((N957-O957)/(N957+O957)*100))</f>
        <v>4.1805118384702027</v>
      </c>
      <c r="R957" s="61" t="str">
        <f>IF(L958="","",IF(Q957&lt;Z957,IF(O957&gt;V957,IF(N957&lt;W957,"PASS","FAIL"),"FAIL"),"FAIL"))</f>
        <v>PASS</v>
      </c>
      <c r="S957" s="62">
        <v>1159</v>
      </c>
      <c r="T957" s="9" t="s">
        <v>435</v>
      </c>
      <c r="U957" s="114"/>
      <c r="V957" s="110">
        <v>10000</v>
      </c>
      <c r="W957" s="110">
        <v>15600</v>
      </c>
      <c r="X957" s="111">
        <v>8090</v>
      </c>
      <c r="Y957" s="111">
        <v>12070</v>
      </c>
      <c r="Z957" s="112">
        <v>15</v>
      </c>
      <c r="AA957" s="112">
        <v>6</v>
      </c>
    </row>
    <row r="958" spans="1:27" ht="15.75">
      <c r="A958" s="99"/>
      <c r="B958" s="122"/>
      <c r="C958" s="57" t="s">
        <v>80</v>
      </c>
      <c r="D958">
        <v>25005.25</v>
      </c>
      <c r="E958">
        <v>24653.45</v>
      </c>
      <c r="F958">
        <v>24630.91</v>
      </c>
      <c r="G958">
        <v>24548.62</v>
      </c>
      <c r="H958">
        <v>24710.799999999999</v>
      </c>
      <c r="I958">
        <v>24935.1</v>
      </c>
      <c r="J958">
        <v>24616.71</v>
      </c>
      <c r="K958">
        <v>24605.11</v>
      </c>
      <c r="L958">
        <v>24831.79</v>
      </c>
      <c r="M958"/>
      <c r="N958" s="53"/>
      <c r="O958" s="53"/>
      <c r="P958" s="63"/>
      <c r="Q958" s="53"/>
      <c r="R958" s="64"/>
      <c r="S958" s="54"/>
      <c r="T958" s="114"/>
      <c r="U958" s="114"/>
    </row>
    <row r="959" spans="1:27">
      <c r="A959" s="100"/>
      <c r="B959" s="122"/>
      <c r="C959" s="57" t="s">
        <v>82</v>
      </c>
      <c r="D959" s="16">
        <f t="shared" ref="D959:L959" si="351">IF(((D957="")*AND(D958="")),"",(D957-D958)*3)</f>
        <v>11648.549999999996</v>
      </c>
      <c r="E959" s="16">
        <f t="shared" si="351"/>
        <v>12365.069999999996</v>
      </c>
      <c r="F959" s="16">
        <f t="shared" si="351"/>
        <v>12377.79</v>
      </c>
      <c r="G959" s="16">
        <f t="shared" si="351"/>
        <v>12664.98</v>
      </c>
      <c r="H959" s="16">
        <f t="shared" si="351"/>
        <v>12543.54</v>
      </c>
      <c r="I959" s="16">
        <f t="shared" si="351"/>
        <v>12007.050000000007</v>
      </c>
      <c r="J959" s="16">
        <f t="shared" si="351"/>
        <v>12497.550000000007</v>
      </c>
      <c r="K959" s="16">
        <f t="shared" si="351"/>
        <v>12482.609999999997</v>
      </c>
      <c r="L959" s="16">
        <f t="shared" si="351"/>
        <v>12201.839999999997</v>
      </c>
      <c r="M959" s="16"/>
      <c r="N959" s="65"/>
      <c r="O959" s="65"/>
      <c r="P959" s="66"/>
      <c r="Q959" s="65"/>
      <c r="R959" s="67"/>
      <c r="S959" s="58"/>
    </row>
    <row r="960" spans="1:27" ht="15.75">
      <c r="A960" s="86">
        <v>44060</v>
      </c>
      <c r="B960" s="120" t="s">
        <v>348</v>
      </c>
      <c r="C960" s="57" t="s">
        <v>79</v>
      </c>
      <c r="D960">
        <v>28946.83</v>
      </c>
      <c r="E960">
        <v>28879.79</v>
      </c>
      <c r="F960">
        <v>28952.53</v>
      </c>
      <c r="G960">
        <v>28905.29</v>
      </c>
      <c r="H960">
        <v>29026.41</v>
      </c>
      <c r="I960">
        <v>29030.69</v>
      </c>
      <c r="J960">
        <v>28833.26</v>
      </c>
      <c r="K960">
        <v>28873</v>
      </c>
      <c r="L960">
        <v>28973.040000000001</v>
      </c>
      <c r="M960" s="16"/>
      <c r="N960" s="59">
        <f>IF((L961=""),"",MAX(D962:L962))</f>
        <v>11427.149999999998</v>
      </c>
      <c r="O960" s="59">
        <f>IF(L961="","",MIN(D962:L962))</f>
        <v>10569.330000000002</v>
      </c>
      <c r="P960" s="60">
        <f>IF((L962=""),"",AVERAGE(D962:L962))</f>
        <v>11064.843333333332</v>
      </c>
      <c r="Q960" s="156">
        <f>IF((L961=""),"",((N960-O960)/(N960+O960)*100))</f>
        <v>3.8998057871077378</v>
      </c>
      <c r="R960" s="61" t="str">
        <f>IF(L961="","",IF(Q960&lt;Z960,IF(O960&gt;V960,IF(N960&lt;W960,"PASS","FAIL"),"FAIL"),"FAIL"))</f>
        <v>PASS</v>
      </c>
      <c r="S960" s="62">
        <v>1159</v>
      </c>
      <c r="T960" s="9" t="s">
        <v>437</v>
      </c>
      <c r="U960" s="114"/>
      <c r="V960" s="110">
        <v>10000</v>
      </c>
      <c r="W960" s="110">
        <v>15600</v>
      </c>
      <c r="X960" s="111">
        <v>8090</v>
      </c>
      <c r="Y960" s="111">
        <v>12070</v>
      </c>
      <c r="Z960" s="112">
        <v>15</v>
      </c>
      <c r="AA960" s="112">
        <v>6</v>
      </c>
    </row>
    <row r="961" spans="1:27" ht="15.75">
      <c r="B961" s="122"/>
      <c r="C961" s="57" t="s">
        <v>80</v>
      </c>
      <c r="D961">
        <v>25423.72</v>
      </c>
      <c r="E961">
        <v>25162.25</v>
      </c>
      <c r="F961">
        <v>25174.2</v>
      </c>
      <c r="G961">
        <v>25129.8</v>
      </c>
      <c r="H961">
        <v>25217.360000000001</v>
      </c>
      <c r="I961">
        <v>25440.29</v>
      </c>
      <c r="J961">
        <v>25208.97</v>
      </c>
      <c r="K961">
        <v>25148.26</v>
      </c>
      <c r="L961">
        <v>25321.46</v>
      </c>
      <c r="M961"/>
      <c r="N961" s="53"/>
      <c r="O961" s="53"/>
      <c r="P961" s="63"/>
      <c r="Q961" s="53"/>
      <c r="R961" s="64"/>
      <c r="S961" s="54"/>
      <c r="T961" s="114"/>
      <c r="U961" s="114"/>
    </row>
    <row r="962" spans="1:27">
      <c r="B962" s="122"/>
      <c r="C962" s="57" t="s">
        <v>82</v>
      </c>
      <c r="D962" s="16">
        <f t="shared" ref="D962:L962" si="352">IF(((D960="")*AND(D961="")),"",(D960-D961)*3)</f>
        <v>10569.330000000002</v>
      </c>
      <c r="E962" s="16">
        <f t="shared" si="352"/>
        <v>11152.620000000003</v>
      </c>
      <c r="F962" s="16">
        <f t="shared" si="352"/>
        <v>11334.989999999994</v>
      </c>
      <c r="G962" s="16">
        <f t="shared" si="352"/>
        <v>11326.470000000005</v>
      </c>
      <c r="H962" s="16">
        <f t="shared" si="352"/>
        <v>11427.149999999998</v>
      </c>
      <c r="I962" s="16">
        <f t="shared" si="352"/>
        <v>10771.199999999993</v>
      </c>
      <c r="J962" s="16">
        <f t="shared" si="352"/>
        <v>10872.869999999992</v>
      </c>
      <c r="K962" s="16">
        <f t="shared" si="352"/>
        <v>11174.220000000005</v>
      </c>
      <c r="L962" s="16">
        <f t="shared" si="352"/>
        <v>10954.740000000005</v>
      </c>
      <c r="M962" s="16"/>
      <c r="N962" s="65"/>
      <c r="O962" s="65"/>
      <c r="P962" s="66"/>
      <c r="Q962" s="65"/>
      <c r="R962" s="67"/>
      <c r="S962" s="58"/>
    </row>
    <row r="963" spans="1:27" ht="15.75">
      <c r="A963" s="86">
        <v>44064</v>
      </c>
      <c r="B963" s="120" t="s">
        <v>348</v>
      </c>
      <c r="C963" s="57" t="s">
        <v>79</v>
      </c>
      <c r="D963">
        <v>28932.560000000001</v>
      </c>
      <c r="E963">
        <v>28854.05</v>
      </c>
      <c r="F963">
        <v>28837.66</v>
      </c>
      <c r="G963">
        <v>28858.400000000001</v>
      </c>
      <c r="H963">
        <v>28963.18</v>
      </c>
      <c r="I963">
        <v>29004.1</v>
      </c>
      <c r="J963">
        <v>28850.47</v>
      </c>
      <c r="K963">
        <v>28830.11</v>
      </c>
      <c r="L963">
        <v>28946.03</v>
      </c>
      <c r="M963" s="16"/>
      <c r="N963" s="59">
        <f>IF((L964=""),"",MAX(D965:L965))</f>
        <v>12370.71</v>
      </c>
      <c r="O963" s="59">
        <f>IF(L964="","",MIN(D965:L965))</f>
        <v>11589.899999999998</v>
      </c>
      <c r="P963" s="60">
        <f>IF((L965=""),"",AVERAGE(D965:L965))</f>
        <v>12068.92</v>
      </c>
      <c r="Q963" s="156">
        <f>IF((L964=""),"",((N963-O963)/(N963+O963)*100))</f>
        <v>3.2587233797470159</v>
      </c>
      <c r="R963" s="61" t="str">
        <f>IF(L964="","",IF(Q963&lt;Z963,IF(O963&gt;V963,IF(N963&lt;W963,"PASS","FAIL"),"FAIL"),"FAIL"))</f>
        <v>PASS</v>
      </c>
      <c r="S963" s="62">
        <v>1335</v>
      </c>
      <c r="T963" s="9" t="s">
        <v>439</v>
      </c>
      <c r="U963" s="114"/>
      <c r="V963" s="110">
        <v>10000</v>
      </c>
      <c r="W963" s="110">
        <v>15600</v>
      </c>
      <c r="X963" s="111">
        <v>8090</v>
      </c>
      <c r="Y963" s="111">
        <v>12070</v>
      </c>
      <c r="Z963" s="112">
        <v>15</v>
      </c>
      <c r="AA963" s="112">
        <v>6</v>
      </c>
    </row>
    <row r="964" spans="1:27" ht="15.75">
      <c r="B964" s="122"/>
      <c r="C964" s="57" t="s">
        <v>80</v>
      </c>
      <c r="D964">
        <v>24825.59</v>
      </c>
      <c r="E964">
        <v>24730.48</v>
      </c>
      <c r="F964">
        <v>24784.83</v>
      </c>
      <c r="G964">
        <v>24799.759999999998</v>
      </c>
      <c r="H964">
        <v>25099.88</v>
      </c>
      <c r="I964">
        <v>25050.73</v>
      </c>
      <c r="J964">
        <v>24756.01</v>
      </c>
      <c r="K964">
        <v>24754.95</v>
      </c>
      <c r="L964">
        <v>25067.57</v>
      </c>
      <c r="M964"/>
      <c r="N964" s="53"/>
      <c r="O964" s="53"/>
      <c r="P964" s="63"/>
      <c r="Q964" s="53"/>
      <c r="R964" s="64"/>
      <c r="S964" s="54"/>
      <c r="T964" s="114"/>
      <c r="U964" s="114"/>
    </row>
    <row r="965" spans="1:27">
      <c r="B965" s="122"/>
      <c r="C965" s="57" t="s">
        <v>82</v>
      </c>
      <c r="D965" s="16">
        <f t="shared" ref="D965:L965" si="353">IF(((D963="")*AND(D964="")),"",(D963-D964)*3)</f>
        <v>12320.910000000003</v>
      </c>
      <c r="E965" s="16">
        <f t="shared" si="353"/>
        <v>12370.71</v>
      </c>
      <c r="F965" s="16">
        <f t="shared" si="353"/>
        <v>12158.489999999994</v>
      </c>
      <c r="G965" s="16">
        <f t="shared" si="353"/>
        <v>12175.920000000009</v>
      </c>
      <c r="H965" s="16">
        <f t="shared" si="353"/>
        <v>11589.899999999998</v>
      </c>
      <c r="I965" s="16">
        <f t="shared" si="353"/>
        <v>11860.109999999997</v>
      </c>
      <c r="J965" s="16">
        <f t="shared" si="353"/>
        <v>12283.380000000008</v>
      </c>
      <c r="K965" s="16">
        <f t="shared" si="353"/>
        <v>12225.48</v>
      </c>
      <c r="L965" s="16">
        <f t="shared" si="353"/>
        <v>11635.379999999997</v>
      </c>
      <c r="M965" s="16"/>
      <c r="N965" s="65"/>
      <c r="O965" s="65"/>
      <c r="P965" s="66"/>
      <c r="Q965" s="65"/>
      <c r="R965" s="67"/>
      <c r="S965" s="58"/>
    </row>
    <row r="966" spans="1:27" ht="15.75">
      <c r="A966" s="86">
        <v>44074</v>
      </c>
      <c r="B966" s="120" t="s">
        <v>348</v>
      </c>
      <c r="C966" s="57" t="s">
        <v>79</v>
      </c>
      <c r="D966">
        <v>29023.52</v>
      </c>
      <c r="E966">
        <v>28782.55</v>
      </c>
      <c r="F966">
        <v>28786.44</v>
      </c>
      <c r="G966">
        <v>28780.44</v>
      </c>
      <c r="H966">
        <v>29004.81</v>
      </c>
      <c r="I966">
        <v>28942.02</v>
      </c>
      <c r="J966">
        <v>28790.3</v>
      </c>
      <c r="K966">
        <v>28773.95</v>
      </c>
      <c r="L966">
        <v>28955.93</v>
      </c>
      <c r="M966" s="16"/>
      <c r="N966" s="59">
        <f>IF((L967=""),"",MAX(D968:L968))</f>
        <v>11179.800000000007</v>
      </c>
      <c r="O966" s="59">
        <f>IF(L967="","",MIN(D968:L968))</f>
        <v>10210.169999999998</v>
      </c>
      <c r="P966" s="60">
        <f>IF((L968=""),"",AVERAGE(D968:L968))</f>
        <v>10529.900000000001</v>
      </c>
      <c r="Q966" s="156">
        <f>IF((L967=""),"",((N966-O966)/(N966+O966)*100))</f>
        <v>4.5331059370350122</v>
      </c>
      <c r="R966" s="61" t="str">
        <f>IF(L967="","",IF(Q966&lt;Z966,IF(O966&gt;V966,IF(N966&lt;W966,"PASS","FAIL"),"FAIL"),"FAIL"))</f>
        <v>PASS</v>
      </c>
      <c r="S966" s="62">
        <v>74</v>
      </c>
      <c r="T966" s="125" t="s">
        <v>440</v>
      </c>
      <c r="U966" s="114"/>
      <c r="V966" s="110">
        <v>10000</v>
      </c>
      <c r="W966" s="110">
        <v>15600</v>
      </c>
      <c r="X966" s="111">
        <v>8090</v>
      </c>
      <c r="Y966" s="111">
        <v>12070</v>
      </c>
      <c r="Z966" s="112">
        <v>15</v>
      </c>
      <c r="AA966" s="112">
        <v>6</v>
      </c>
    </row>
    <row r="967" spans="1:27" ht="15.75">
      <c r="B967" s="122"/>
      <c r="C967" s="57" t="s">
        <v>80</v>
      </c>
      <c r="D967">
        <v>25505.01</v>
      </c>
      <c r="E967">
        <v>25279.72</v>
      </c>
      <c r="F967">
        <v>25332.98</v>
      </c>
      <c r="G967">
        <v>25377.05</v>
      </c>
      <c r="H967">
        <v>25437.3</v>
      </c>
      <c r="I967">
        <v>25215.42</v>
      </c>
      <c r="J967">
        <v>25314.639999999999</v>
      </c>
      <c r="K967">
        <v>25331.32</v>
      </c>
      <c r="L967">
        <v>25456.82</v>
      </c>
      <c r="M967"/>
      <c r="N967" s="53"/>
      <c r="O967" s="53"/>
      <c r="P967" s="63"/>
      <c r="Q967" s="53"/>
      <c r="R967" s="64"/>
      <c r="S967" s="54"/>
      <c r="T967" s="114"/>
      <c r="U967" s="114"/>
    </row>
    <row r="968" spans="1:27">
      <c r="B968" s="122"/>
      <c r="C968" s="57" t="s">
        <v>82</v>
      </c>
      <c r="D968" s="16">
        <f t="shared" ref="D968:L968" si="354">IF(((D966="")*AND(D967="")),"",(D966-D967)*3)</f>
        <v>10555.530000000006</v>
      </c>
      <c r="E968" s="16">
        <f t="shared" si="354"/>
        <v>10508.489999999994</v>
      </c>
      <c r="F968" s="16">
        <f t="shared" si="354"/>
        <v>10360.379999999997</v>
      </c>
      <c r="G968" s="16">
        <f t="shared" si="354"/>
        <v>10210.169999999998</v>
      </c>
      <c r="H968" s="16">
        <f t="shared" si="354"/>
        <v>10702.530000000006</v>
      </c>
      <c r="I968" s="16">
        <f t="shared" si="354"/>
        <v>11179.800000000007</v>
      </c>
      <c r="J968" s="16">
        <f t="shared" si="354"/>
        <v>10426.98</v>
      </c>
      <c r="K968" s="16">
        <f t="shared" si="354"/>
        <v>10327.890000000003</v>
      </c>
      <c r="L968" s="16">
        <f t="shared" si="354"/>
        <v>10497.330000000002</v>
      </c>
      <c r="M968" s="16"/>
      <c r="N968" s="65"/>
      <c r="O968" s="65"/>
      <c r="P968" s="66"/>
      <c r="Q968" s="65"/>
      <c r="R968" s="67"/>
      <c r="S968" s="58"/>
    </row>
    <row r="969" spans="1:27" ht="15.75">
      <c r="A969" s="86">
        <v>44078</v>
      </c>
      <c r="B969" s="120" t="s">
        <v>348</v>
      </c>
      <c r="C969" s="57" t="s">
        <v>79</v>
      </c>
      <c r="D969">
        <v>28911.49</v>
      </c>
      <c r="E969">
        <v>28717.439999999999</v>
      </c>
      <c r="F969">
        <v>28700.79</v>
      </c>
      <c r="G969">
        <v>28717.34</v>
      </c>
      <c r="H969">
        <v>28878.31</v>
      </c>
      <c r="I969">
        <v>28920.57</v>
      </c>
      <c r="J969">
        <v>28718.39</v>
      </c>
      <c r="K969">
        <v>28722.41</v>
      </c>
      <c r="L969">
        <v>28912.57</v>
      </c>
      <c r="M969" s="16"/>
      <c r="N969" s="59">
        <f>IF((L970=""),"",MAX(D971:L971))</f>
        <v>11895.060000000001</v>
      </c>
      <c r="O969" s="59">
        <f>IF(L970="","",MIN(D971:L971))</f>
        <v>11365.98</v>
      </c>
      <c r="P969" s="60">
        <f>IF((L971=""),"",AVERAGE(D971:L971))</f>
        <v>11585.579999999998</v>
      </c>
      <c r="Q969" s="156">
        <f>IF((L970=""),"",((N969-O969)/(N969+O969)*100))</f>
        <v>2.2745328669741411</v>
      </c>
      <c r="R969" s="61" t="str">
        <f>IF(L970="","",IF(Q969&lt;Z969,IF(O969&gt;V969,IF(N969&lt;W969,"PASS","FAIL"),"FAIL"),"FAIL"))</f>
        <v>PASS</v>
      </c>
      <c r="S969" s="62">
        <v>74</v>
      </c>
      <c r="T969" s="125" t="s">
        <v>442</v>
      </c>
      <c r="U969" s="114"/>
      <c r="V969" s="110">
        <v>10000</v>
      </c>
      <c r="W969" s="110">
        <v>15600</v>
      </c>
      <c r="X969" s="111">
        <v>8090</v>
      </c>
      <c r="Y969" s="111">
        <v>12070</v>
      </c>
      <c r="Z969" s="112">
        <v>15</v>
      </c>
      <c r="AA969" s="112">
        <v>6</v>
      </c>
    </row>
    <row r="970" spans="1:27" ht="15.75">
      <c r="B970" s="122"/>
      <c r="C970" s="57" t="s">
        <v>80</v>
      </c>
      <c r="D970">
        <v>24946.47</v>
      </c>
      <c r="E970">
        <v>24784.49</v>
      </c>
      <c r="F970">
        <v>24871.62</v>
      </c>
      <c r="G970">
        <v>24928.68</v>
      </c>
      <c r="H970">
        <v>25079.42</v>
      </c>
      <c r="I970">
        <v>25114.63</v>
      </c>
      <c r="J970">
        <v>24825.34</v>
      </c>
      <c r="K970">
        <v>24887.77</v>
      </c>
      <c r="L970">
        <v>25004.15</v>
      </c>
      <c r="M970"/>
      <c r="N970" s="53"/>
      <c r="O970" s="53"/>
      <c r="P970" s="63"/>
      <c r="Q970" s="53"/>
      <c r="R970" s="64"/>
      <c r="S970" s="54"/>
      <c r="T970" s="114"/>
      <c r="U970" s="114"/>
    </row>
    <row r="971" spans="1:27">
      <c r="B971" s="122"/>
      <c r="C971" s="57" t="s">
        <v>82</v>
      </c>
      <c r="D971" s="16">
        <f t="shared" ref="D971:L971" si="355">IF(((D969="")*AND(D970="")),"",(D969-D970)*3)</f>
        <v>11895.060000000001</v>
      </c>
      <c r="E971" s="16">
        <f t="shared" si="355"/>
        <v>11798.849999999991</v>
      </c>
      <c r="F971" s="16">
        <f t="shared" si="355"/>
        <v>11487.510000000006</v>
      </c>
      <c r="G971" s="16">
        <f t="shared" si="355"/>
        <v>11365.98</v>
      </c>
      <c r="H971" s="16">
        <f t="shared" si="355"/>
        <v>11396.670000000009</v>
      </c>
      <c r="I971" s="16">
        <f t="shared" si="355"/>
        <v>11417.819999999996</v>
      </c>
      <c r="J971" s="16">
        <f t="shared" si="355"/>
        <v>11679.149999999998</v>
      </c>
      <c r="K971" s="16">
        <f t="shared" si="355"/>
        <v>11503.919999999998</v>
      </c>
      <c r="L971" s="16">
        <f t="shared" si="355"/>
        <v>11725.259999999995</v>
      </c>
      <c r="M971" s="16"/>
      <c r="N971" s="65"/>
      <c r="O971" s="65"/>
      <c r="P971" s="66"/>
      <c r="Q971" s="65"/>
      <c r="R971" s="67"/>
      <c r="S971" s="58"/>
    </row>
    <row r="972" spans="1:27" ht="15.75">
      <c r="A972" s="86">
        <v>44082</v>
      </c>
      <c r="B972" s="120" t="s">
        <v>348</v>
      </c>
      <c r="C972" s="57" t="s">
        <v>79</v>
      </c>
      <c r="D972">
        <v>28823.29</v>
      </c>
      <c r="E972">
        <v>28721.51</v>
      </c>
      <c r="F972">
        <v>28711.38</v>
      </c>
      <c r="G972">
        <v>28723.99</v>
      </c>
      <c r="H972">
        <v>28741.01</v>
      </c>
      <c r="I972">
        <v>28862.78</v>
      </c>
      <c r="J972">
        <v>28723.61</v>
      </c>
      <c r="K972">
        <v>28727.71</v>
      </c>
      <c r="L972">
        <v>28849.62</v>
      </c>
      <c r="M972" s="16"/>
      <c r="N972" s="59">
        <f>IF((L973=""),"",MAX(D974:L974))</f>
        <v>12118.29</v>
      </c>
      <c r="O972" s="59">
        <f>IF(L973="","",MIN(D974:L974))</f>
        <v>11166.569999999996</v>
      </c>
      <c r="P972" s="60">
        <f>IF((L974=""),"",AVERAGE(D974:L974))</f>
        <v>11623.176666666666</v>
      </c>
      <c r="Q972" s="156">
        <f>IF((L973=""),"",((N972-O972)/(N972+O972)*100))</f>
        <v>4.0872910552178752</v>
      </c>
      <c r="R972" s="61" t="str">
        <f>IF(L973="","",IF(Q972&lt;Z972,IF(O972&gt;V972,IF(N972&lt;W972,"PASS","FAIL"),"FAIL"),"FAIL"))</f>
        <v>PASS</v>
      </c>
      <c r="S972" s="62">
        <v>1159</v>
      </c>
      <c r="T972" s="125" t="s">
        <v>444</v>
      </c>
      <c r="U972" s="114"/>
      <c r="V972" s="110">
        <v>10000</v>
      </c>
      <c r="W972" s="110">
        <v>15600</v>
      </c>
      <c r="X972" s="111">
        <v>8090</v>
      </c>
      <c r="Y972" s="111">
        <v>12070</v>
      </c>
      <c r="Z972" s="112">
        <v>15</v>
      </c>
      <c r="AA972" s="112">
        <v>6</v>
      </c>
    </row>
    <row r="973" spans="1:27" ht="15.75">
      <c r="B973" s="122"/>
      <c r="C973" s="57" t="s">
        <v>80</v>
      </c>
      <c r="D973">
        <v>24783.86</v>
      </c>
      <c r="E973">
        <v>24774.41</v>
      </c>
      <c r="F973">
        <v>24811.05</v>
      </c>
      <c r="G973">
        <v>24821.62</v>
      </c>
      <c r="H973">
        <v>25015.06</v>
      </c>
      <c r="I973">
        <v>25050.34</v>
      </c>
      <c r="J973">
        <v>24808.98</v>
      </c>
      <c r="K973">
        <v>24822.62</v>
      </c>
      <c r="L973">
        <v>25127.43</v>
      </c>
      <c r="M973"/>
      <c r="N973" s="53"/>
      <c r="O973" s="53"/>
      <c r="P973" s="63"/>
      <c r="Q973" s="53"/>
      <c r="R973" s="64"/>
      <c r="S973" s="54"/>
      <c r="T973" s="114"/>
      <c r="U973" s="114"/>
    </row>
    <row r="974" spans="1:27">
      <c r="B974" s="122"/>
      <c r="C974" s="57" t="s">
        <v>82</v>
      </c>
      <c r="D974" s="16">
        <f t="shared" ref="D974:L974" si="356">IF(((D972="")*AND(D973="")),"",(D972-D973)*3)</f>
        <v>12118.29</v>
      </c>
      <c r="E974" s="16">
        <f t="shared" si="356"/>
        <v>11841.299999999996</v>
      </c>
      <c r="F974" s="16">
        <f t="shared" si="356"/>
        <v>11700.990000000005</v>
      </c>
      <c r="G974" s="16">
        <f t="shared" si="356"/>
        <v>11707.110000000008</v>
      </c>
      <c r="H974" s="16">
        <f t="shared" si="356"/>
        <v>11177.849999999991</v>
      </c>
      <c r="I974" s="16">
        <f t="shared" si="356"/>
        <v>11437.319999999996</v>
      </c>
      <c r="J974" s="16">
        <f t="shared" si="356"/>
        <v>11743.890000000003</v>
      </c>
      <c r="K974" s="16">
        <f t="shared" si="356"/>
        <v>11715.27</v>
      </c>
      <c r="L974" s="16">
        <f t="shared" si="356"/>
        <v>11166.569999999996</v>
      </c>
      <c r="M974" s="16"/>
      <c r="N974" s="65"/>
      <c r="O974" s="65"/>
      <c r="P974" s="66"/>
      <c r="Q974" s="65"/>
      <c r="R974" s="67"/>
      <c r="S974" s="58"/>
    </row>
    <row r="975" spans="1:27" ht="15.75">
      <c r="A975" s="86">
        <v>44083</v>
      </c>
      <c r="B975" s="120" t="s">
        <v>348</v>
      </c>
      <c r="C975" s="57" t="s">
        <v>79</v>
      </c>
      <c r="D975" s="109">
        <v>29354.9</v>
      </c>
      <c r="E975" s="109">
        <v>29235.37</v>
      </c>
      <c r="F975" s="109">
        <v>29236.77</v>
      </c>
      <c r="G975" s="109">
        <v>29238.89</v>
      </c>
      <c r="H975" s="109">
        <v>29370.63</v>
      </c>
      <c r="I975" s="109">
        <v>29354.23</v>
      </c>
      <c r="J975" s="109">
        <v>29224.15</v>
      </c>
      <c r="K975" s="109">
        <v>29413.63</v>
      </c>
      <c r="L975" s="109">
        <v>29322.65</v>
      </c>
      <c r="M975" s="16"/>
      <c r="N975" s="59">
        <f>IF((L976=""),"",MAX(D977:L977))</f>
        <v>12839.640000000003</v>
      </c>
      <c r="O975" s="59">
        <f>IF(L976="","",MIN(D977:L977))</f>
        <v>11765.700000000004</v>
      </c>
      <c r="P975" s="60">
        <f>IF((L977=""),"",AVERAGE(D977:L977))</f>
        <v>12272.216666666667</v>
      </c>
      <c r="Q975" s="156">
        <f>IF((L976=""),"",((N975-O975)/(N975+O975)*100))</f>
        <v>4.3646623050118318</v>
      </c>
      <c r="R975" s="61" t="str">
        <f>IF(L976="","",IF(Q975&lt;Z975,IF(O975&gt;V975,IF(N975&lt;W975,"PASS","FAIL"),"FAIL"),"FAIL"))</f>
        <v>PASS</v>
      </c>
      <c r="S975" s="62">
        <v>64</v>
      </c>
      <c r="T975" s="125" t="s">
        <v>446</v>
      </c>
      <c r="U975" s="114" t="s">
        <v>445</v>
      </c>
      <c r="V975" s="110">
        <v>10000</v>
      </c>
      <c r="W975" s="110">
        <v>15600</v>
      </c>
      <c r="X975" s="111">
        <v>8090</v>
      </c>
      <c r="Y975" s="111">
        <v>12070</v>
      </c>
      <c r="Z975" s="112">
        <v>15</v>
      </c>
      <c r="AA975" s="112">
        <v>6</v>
      </c>
    </row>
    <row r="976" spans="1:27" ht="15.75">
      <c r="B976" s="122"/>
      <c r="C976" s="57" t="s">
        <v>80</v>
      </c>
      <c r="D976" s="109">
        <v>25200.6</v>
      </c>
      <c r="E976" s="109">
        <v>25092.15</v>
      </c>
      <c r="F976" s="109">
        <v>25150.54</v>
      </c>
      <c r="G976" s="109">
        <v>25187.81</v>
      </c>
      <c r="H976" s="109">
        <v>25448.73</v>
      </c>
      <c r="I976" s="109">
        <v>25257.22</v>
      </c>
      <c r="J976" s="109">
        <v>25116.33</v>
      </c>
      <c r="K976" s="109">
        <v>25133.75</v>
      </c>
      <c r="L976" s="109">
        <v>25347.439999999999</v>
      </c>
      <c r="M976"/>
      <c r="N976" s="53"/>
      <c r="O976" s="53"/>
      <c r="P976" s="63"/>
      <c r="Q976" s="53"/>
      <c r="R976" s="64"/>
      <c r="S976" s="54"/>
      <c r="T976" s="114"/>
      <c r="U976" s="114"/>
    </row>
    <row r="977" spans="1:27">
      <c r="B977" s="122"/>
      <c r="C977" s="57" t="s">
        <v>82</v>
      </c>
      <c r="D977" s="16">
        <f t="shared" ref="D977:L977" si="357">IF(((D975="")*AND(D976="")),"",(D975-D976)*3)</f>
        <v>12462.900000000009</v>
      </c>
      <c r="E977" s="16">
        <f t="shared" si="357"/>
        <v>12429.659999999993</v>
      </c>
      <c r="F977" s="16">
        <f t="shared" si="357"/>
        <v>12258.689999999999</v>
      </c>
      <c r="G977" s="16">
        <f t="shared" si="357"/>
        <v>12153.239999999994</v>
      </c>
      <c r="H977" s="16">
        <f t="shared" si="357"/>
        <v>11765.700000000004</v>
      </c>
      <c r="I977" s="16">
        <f t="shared" si="357"/>
        <v>12291.029999999995</v>
      </c>
      <c r="J977" s="16">
        <f t="shared" si="357"/>
        <v>12323.46</v>
      </c>
      <c r="K977" s="16">
        <f t="shared" si="357"/>
        <v>12839.640000000003</v>
      </c>
      <c r="L977" s="16">
        <f t="shared" si="357"/>
        <v>11925.630000000008</v>
      </c>
      <c r="M977" s="16"/>
      <c r="N977" s="65"/>
      <c r="O977" s="65"/>
      <c r="P977" s="66"/>
      <c r="Q977" s="65"/>
      <c r="R977" s="67"/>
      <c r="S977" s="58"/>
    </row>
    <row r="978" spans="1:27" ht="15.75">
      <c r="A978" s="86">
        <v>44091</v>
      </c>
      <c r="B978" s="120" t="s">
        <v>348</v>
      </c>
      <c r="C978" s="57" t="s">
        <v>79</v>
      </c>
      <c r="D978">
        <v>29269.05</v>
      </c>
      <c r="E978">
        <v>29123.69</v>
      </c>
      <c r="F978">
        <v>29139.599999999999</v>
      </c>
      <c r="G978">
        <v>29114.66</v>
      </c>
      <c r="H978">
        <v>29213.21</v>
      </c>
      <c r="I978">
        <v>29282.1</v>
      </c>
      <c r="J978">
        <v>29138.75</v>
      </c>
      <c r="K978">
        <v>29106.18</v>
      </c>
      <c r="L978">
        <v>29248.080000000002</v>
      </c>
      <c r="M978" s="16"/>
      <c r="N978" s="59">
        <f>IF((L979=""),"",MAX(D980:L980))</f>
        <v>13335.600000000002</v>
      </c>
      <c r="O978" s="59">
        <f>IF(L979="","",MIN(D980:L980))</f>
        <v>12437.189999999999</v>
      </c>
      <c r="P978" s="60">
        <f>IF((L980=""),"",AVERAGE(D980:L980))</f>
        <v>13010.573333333334</v>
      </c>
      <c r="Q978" s="156">
        <f>IF((L979=""),"",((N978-O978)/(N978+O978)*100))</f>
        <v>3.48588569572795</v>
      </c>
      <c r="R978" s="61" t="str">
        <f>IF(L979="","",IF(Q978&lt;Z978,IF(O978&gt;V978,IF(N978&lt;W978,"PASS","FAIL"),"FAIL"),"FAIL"))</f>
        <v>PASS</v>
      </c>
      <c r="S978" s="62" t="s">
        <v>242</v>
      </c>
      <c r="T978" s="125" t="s">
        <v>448</v>
      </c>
      <c r="U978" s="114"/>
      <c r="V978" s="110">
        <v>10000</v>
      </c>
      <c r="W978" s="110">
        <v>15600</v>
      </c>
      <c r="X978" s="111">
        <v>8090</v>
      </c>
      <c r="Y978" s="111">
        <v>12070</v>
      </c>
      <c r="Z978" s="112">
        <v>15</v>
      </c>
      <c r="AA978" s="112">
        <v>6</v>
      </c>
    </row>
    <row r="979" spans="1:27" ht="15.75">
      <c r="B979" s="122"/>
      <c r="C979" s="57" t="s">
        <v>80</v>
      </c>
      <c r="D979">
        <v>25123.32</v>
      </c>
      <c r="E979">
        <v>24808.21</v>
      </c>
      <c r="F979">
        <v>24802.6</v>
      </c>
      <c r="G979">
        <v>24688.68</v>
      </c>
      <c r="H979">
        <v>24768.01</v>
      </c>
      <c r="I979">
        <v>25070.14</v>
      </c>
      <c r="J979">
        <v>24773.439999999999</v>
      </c>
      <c r="K979">
        <v>24723.54</v>
      </c>
      <c r="L979">
        <v>24845.66</v>
      </c>
      <c r="M979"/>
      <c r="N979" s="53"/>
      <c r="O979" s="53"/>
      <c r="P979" s="63"/>
      <c r="Q979" s="53"/>
      <c r="R979" s="64"/>
      <c r="S979" s="54"/>
      <c r="T979" s="114"/>
      <c r="U979" s="114"/>
    </row>
    <row r="980" spans="1:27">
      <c r="B980" s="122"/>
      <c r="C980" s="57" t="s">
        <v>82</v>
      </c>
      <c r="D980" s="16">
        <f t="shared" ref="D980:L980" si="358">IF(((D978="")*AND(D979="")),"",(D978-D979)*3)</f>
        <v>12437.189999999999</v>
      </c>
      <c r="E980" s="16">
        <f t="shared" si="358"/>
        <v>12946.439999999999</v>
      </c>
      <c r="F980" s="16">
        <f t="shared" si="358"/>
        <v>13011</v>
      </c>
      <c r="G980" s="16">
        <f t="shared" si="358"/>
        <v>13277.939999999999</v>
      </c>
      <c r="H980" s="16">
        <f t="shared" si="358"/>
        <v>13335.600000000002</v>
      </c>
      <c r="I980" s="16">
        <f t="shared" si="358"/>
        <v>12635.879999999997</v>
      </c>
      <c r="J980" s="16">
        <f t="shared" si="358"/>
        <v>13095.930000000004</v>
      </c>
      <c r="K980" s="16">
        <f t="shared" si="358"/>
        <v>13147.919999999998</v>
      </c>
      <c r="L980" s="16">
        <f t="shared" si="358"/>
        <v>13207.260000000006</v>
      </c>
      <c r="M980" s="16"/>
      <c r="N980" s="65"/>
      <c r="O980" s="65"/>
      <c r="P980" s="66"/>
      <c r="Q980" s="65"/>
      <c r="R980" s="67"/>
      <c r="S980" s="58"/>
    </row>
    <row r="981" spans="1:27" ht="15.75">
      <c r="A981" s="86">
        <v>44095</v>
      </c>
      <c r="B981" s="120" t="s">
        <v>348</v>
      </c>
      <c r="C981" s="57" t="s">
        <v>79</v>
      </c>
      <c r="D981">
        <v>29143.19</v>
      </c>
      <c r="E981">
        <v>28993.119999999999</v>
      </c>
      <c r="F981">
        <v>28958.71</v>
      </c>
      <c r="G981">
        <v>28983.49</v>
      </c>
      <c r="H981">
        <v>29102.94</v>
      </c>
      <c r="I981">
        <v>29059.84</v>
      </c>
      <c r="J981">
        <v>28961.119999999999</v>
      </c>
      <c r="K981">
        <v>28991.1</v>
      </c>
      <c r="L981">
        <v>29119.38</v>
      </c>
      <c r="M981" s="16"/>
      <c r="N981" s="59">
        <f>IF((L982=""),"",MAX(D983:L983))</f>
        <v>14465.46</v>
      </c>
      <c r="O981" s="59">
        <f>IF(L982="","",MIN(D983:L983))</f>
        <v>13012.589999999997</v>
      </c>
      <c r="P981" s="60">
        <f>IF((L983=""),"",AVERAGE(D983:L983))</f>
        <v>13931.94</v>
      </c>
      <c r="Q981" s="156">
        <f>IF((L982=""),"",((N981-O981)/(N981+O981)*100))</f>
        <v>5.2873839300823855</v>
      </c>
      <c r="R981" s="61" t="str">
        <f>IF(L982="","",IF(Q981&lt;Z981,IF(O981&gt;V981,IF(N981&lt;W981,"PASS","FAIL"),"FAIL"),"FAIL"))</f>
        <v>PASS</v>
      </c>
      <c r="S981" s="62">
        <v>1428</v>
      </c>
      <c r="T981" s="125" t="s">
        <v>450</v>
      </c>
      <c r="U981" s="114"/>
      <c r="V981" s="110">
        <v>10000</v>
      </c>
      <c r="W981" s="110">
        <v>15600</v>
      </c>
      <c r="X981" s="111">
        <v>8090</v>
      </c>
      <c r="Y981" s="111">
        <v>12070</v>
      </c>
      <c r="Z981" s="112">
        <v>15</v>
      </c>
      <c r="AA981" s="112">
        <v>6</v>
      </c>
    </row>
    <row r="982" spans="1:27" ht="15.75">
      <c r="B982" s="122"/>
      <c r="C982" s="57" t="s">
        <v>80</v>
      </c>
      <c r="D982">
        <v>24805.66</v>
      </c>
      <c r="E982">
        <v>24381.759999999998</v>
      </c>
      <c r="F982">
        <v>24291.25</v>
      </c>
      <c r="G982">
        <v>24166.59</v>
      </c>
      <c r="H982">
        <v>24281.119999999999</v>
      </c>
      <c r="I982">
        <v>24670.97</v>
      </c>
      <c r="J982">
        <v>24309.8</v>
      </c>
      <c r="K982">
        <v>24228.01</v>
      </c>
      <c r="L982">
        <v>24381.91</v>
      </c>
      <c r="M982"/>
      <c r="N982" s="53"/>
      <c r="O982" s="53"/>
      <c r="P982" s="63"/>
      <c r="Q982" s="53"/>
      <c r="R982" s="64"/>
      <c r="S982" s="54"/>
      <c r="T982" s="114"/>
      <c r="U982" s="114"/>
    </row>
    <row r="983" spans="1:27">
      <c r="B983" s="122"/>
      <c r="C983" s="57" t="s">
        <v>82</v>
      </c>
      <c r="D983" s="16">
        <f t="shared" ref="D983:L983" si="359">IF(((D981="")*AND(D982="")),"",(D981-D982)*3)</f>
        <v>13012.589999999997</v>
      </c>
      <c r="E983" s="16">
        <f t="shared" si="359"/>
        <v>13834.080000000002</v>
      </c>
      <c r="F983" s="16">
        <f t="shared" si="359"/>
        <v>14002.379999999997</v>
      </c>
      <c r="G983" s="16">
        <f t="shared" si="359"/>
        <v>14450.700000000004</v>
      </c>
      <c r="H983" s="16">
        <f t="shared" si="359"/>
        <v>14465.46</v>
      </c>
      <c r="I983" s="16">
        <f t="shared" si="359"/>
        <v>13166.609999999997</v>
      </c>
      <c r="J983" s="16">
        <f t="shared" si="359"/>
        <v>13953.96</v>
      </c>
      <c r="K983" s="16">
        <f t="shared" si="359"/>
        <v>14289.27</v>
      </c>
      <c r="L983" s="16">
        <f t="shared" si="359"/>
        <v>14212.410000000003</v>
      </c>
      <c r="M983" s="16"/>
      <c r="N983" s="65"/>
      <c r="O983" s="65"/>
      <c r="P983" s="66"/>
      <c r="Q983" s="65"/>
      <c r="R983" s="67"/>
      <c r="S983" s="58"/>
    </row>
    <row r="984" spans="1:27" ht="15.75">
      <c r="A984" s="86">
        <v>44102</v>
      </c>
      <c r="B984" s="120" t="s">
        <v>348</v>
      </c>
      <c r="C984" s="57" t="s">
        <v>79</v>
      </c>
      <c r="D984">
        <v>29156.07</v>
      </c>
      <c r="E984">
        <v>28992.12</v>
      </c>
      <c r="F984">
        <v>29001.21</v>
      </c>
      <c r="G984">
        <v>29007.39</v>
      </c>
      <c r="H984">
        <v>29200.85</v>
      </c>
      <c r="I984">
        <v>29188.04</v>
      </c>
      <c r="J984">
        <v>28994.9</v>
      </c>
      <c r="K984">
        <v>28999.05</v>
      </c>
      <c r="L984">
        <v>29182.65</v>
      </c>
      <c r="M984" s="16"/>
      <c r="N984" s="59">
        <f>IF((L985=""),"",MAX(D986:L986))</f>
        <v>17902.139999999992</v>
      </c>
      <c r="O984" s="59">
        <f>IF(L985="","",MIN(D986:L986))</f>
        <v>14943.359999999997</v>
      </c>
      <c r="P984" s="60">
        <f>IF((L986=""),"",AVERAGE(D986:L986))</f>
        <v>16865.093333333334</v>
      </c>
      <c r="Q984" s="156">
        <f>IF((L985=""),"",((N984-O984)/(N984+O984)*100))</f>
        <v>9.0081746357948465</v>
      </c>
      <c r="R984" s="61" t="str">
        <f>IF(L985="","",IF(Q984&lt;Z984,IF(O984&gt;V984,IF(N984&lt;W984,"PASS","FAIL"),"FAIL"),"FAIL"))</f>
        <v>FAIL</v>
      </c>
      <c r="S984" s="62">
        <v>74</v>
      </c>
      <c r="T984" s="125"/>
      <c r="U984" s="114"/>
      <c r="V984" s="110">
        <v>10000</v>
      </c>
      <c r="W984" s="110">
        <v>15600</v>
      </c>
      <c r="X984" s="111">
        <v>8090</v>
      </c>
      <c r="Y984" s="111">
        <v>12070</v>
      </c>
      <c r="Z984" s="112">
        <v>15</v>
      </c>
      <c r="AA984" s="112">
        <v>6</v>
      </c>
    </row>
    <row r="985" spans="1:27" ht="15.75">
      <c r="B985" s="122"/>
      <c r="C985" s="57" t="s">
        <v>80</v>
      </c>
      <c r="D985">
        <v>23201.26</v>
      </c>
      <c r="E985">
        <v>23024.74</v>
      </c>
      <c r="F985">
        <v>23142.69</v>
      </c>
      <c r="G985">
        <v>23435.58</v>
      </c>
      <c r="H985">
        <v>24219.73</v>
      </c>
      <c r="I985">
        <v>23524.75</v>
      </c>
      <c r="J985">
        <v>23139.08</v>
      </c>
      <c r="K985">
        <v>23349.14</v>
      </c>
      <c r="L985">
        <v>24090.03</v>
      </c>
      <c r="M985"/>
      <c r="N985" s="53"/>
      <c r="O985" s="53"/>
      <c r="P985" s="63"/>
      <c r="Q985" s="53"/>
      <c r="R985" s="64"/>
      <c r="S985" s="54"/>
      <c r="T985" s="114"/>
      <c r="U985" s="114"/>
    </row>
    <row r="986" spans="1:27">
      <c r="B986" s="122"/>
      <c r="C986" s="57" t="s">
        <v>82</v>
      </c>
      <c r="D986" s="16">
        <f t="shared" ref="D986:L986" si="360">IF(((D984="")*AND(D985="")),"",(D984-D985)*3)</f>
        <v>17864.430000000004</v>
      </c>
      <c r="E986" s="16">
        <f t="shared" si="360"/>
        <v>17902.139999999992</v>
      </c>
      <c r="F986" s="16">
        <f t="shared" si="360"/>
        <v>17575.560000000001</v>
      </c>
      <c r="G986" s="16">
        <f t="shared" si="360"/>
        <v>16715.429999999993</v>
      </c>
      <c r="H986" s="16">
        <f t="shared" si="360"/>
        <v>14943.359999999997</v>
      </c>
      <c r="I986" s="16">
        <f t="shared" si="360"/>
        <v>16989.870000000003</v>
      </c>
      <c r="J986" s="16">
        <f t="shared" si="360"/>
        <v>17567.46</v>
      </c>
      <c r="K986" s="16">
        <f t="shared" si="360"/>
        <v>16949.73</v>
      </c>
      <c r="L986" s="16">
        <f t="shared" si="360"/>
        <v>15277.860000000008</v>
      </c>
      <c r="M986" s="16"/>
      <c r="N986" s="65"/>
      <c r="O986" s="65"/>
      <c r="P986" s="66"/>
      <c r="Q986" s="65"/>
      <c r="R986" s="67"/>
      <c r="S986" s="58"/>
    </row>
    <row r="987" spans="1:27" ht="15.75">
      <c r="A987" s="86">
        <v>44102</v>
      </c>
      <c r="B987" s="120" t="s">
        <v>348</v>
      </c>
      <c r="C987" s="57" t="s">
        <v>79</v>
      </c>
      <c r="D987">
        <v>29113.7</v>
      </c>
      <c r="E987">
        <v>28989.279999999999</v>
      </c>
      <c r="F987">
        <v>28989.599999999999</v>
      </c>
      <c r="G987">
        <v>28982.21</v>
      </c>
      <c r="H987">
        <v>29111.919999999998</v>
      </c>
      <c r="I987">
        <v>29145.67</v>
      </c>
      <c r="J987">
        <v>28980.91</v>
      </c>
      <c r="K987">
        <v>28982.28</v>
      </c>
      <c r="L987">
        <v>29082.42</v>
      </c>
      <c r="M987" s="16"/>
      <c r="N987" s="59">
        <f>IF((L988=""),"",MAX(D989:L989))</f>
        <v>11896.259999999995</v>
      </c>
      <c r="O987" s="59">
        <f>IF(L988="","",MIN(D989:L989))</f>
        <v>10997.970000000005</v>
      </c>
      <c r="P987" s="60">
        <f>IF((L989=""),"",AVERAGE(D989:L989))</f>
        <v>11480.836666666662</v>
      </c>
      <c r="Q987" s="156">
        <f>IF((L988=""),"",((N987-O987)/(N987+O987)*100))</f>
        <v>3.9236523787871005</v>
      </c>
      <c r="R987" s="61" t="str">
        <f>IF(L988="","",IF(Q987&lt;Z987,IF(O987&gt;V987,IF(N987&lt;W987,"PASS","FAIL"),"FAIL"),"FAIL"))</f>
        <v>PASS</v>
      </c>
      <c r="S987" s="62">
        <v>74</v>
      </c>
      <c r="T987" s="125" t="s">
        <v>451</v>
      </c>
      <c r="U987" s="114"/>
      <c r="V987" s="110">
        <v>10000</v>
      </c>
      <c r="W987" s="110">
        <v>15600</v>
      </c>
      <c r="X987" s="111">
        <v>8090</v>
      </c>
      <c r="Y987" s="111">
        <v>12070</v>
      </c>
      <c r="Z987" s="112">
        <v>15</v>
      </c>
      <c r="AA987" s="112">
        <v>6</v>
      </c>
    </row>
    <row r="988" spans="1:27" ht="15.75">
      <c r="B988" s="122"/>
      <c r="C988" s="57" t="s">
        <v>80</v>
      </c>
      <c r="D988">
        <v>25447.71</v>
      </c>
      <c r="E988">
        <v>25172.46</v>
      </c>
      <c r="F988">
        <v>25181.83</v>
      </c>
      <c r="G988">
        <v>25078.31</v>
      </c>
      <c r="H988">
        <v>25146.5</v>
      </c>
      <c r="I988">
        <v>25418.87</v>
      </c>
      <c r="J988">
        <v>25147.94</v>
      </c>
      <c r="K988">
        <v>25109.24</v>
      </c>
      <c r="L988">
        <v>25232.62</v>
      </c>
      <c r="M988"/>
      <c r="N988" s="53"/>
      <c r="O988" s="53"/>
      <c r="P988" s="63"/>
      <c r="Q988" s="53"/>
      <c r="R988" s="64"/>
      <c r="S988" s="54"/>
      <c r="T988" s="114"/>
      <c r="U988" s="114"/>
    </row>
    <row r="989" spans="1:27">
      <c r="B989" s="122"/>
      <c r="C989" s="57" t="s">
        <v>82</v>
      </c>
      <c r="D989" s="16">
        <f t="shared" ref="D989:L989" si="361">IF(((D987="")*AND(D988="")),"",(D987-D988)*3)</f>
        <v>10997.970000000005</v>
      </c>
      <c r="E989" s="16">
        <f t="shared" si="361"/>
        <v>11450.46</v>
      </c>
      <c r="F989" s="16">
        <f t="shared" si="361"/>
        <v>11423.30999999999</v>
      </c>
      <c r="G989" s="16">
        <f t="shared" si="361"/>
        <v>11711.699999999993</v>
      </c>
      <c r="H989" s="16">
        <f t="shared" si="361"/>
        <v>11896.259999999995</v>
      </c>
      <c r="I989" s="16">
        <f t="shared" si="361"/>
        <v>11180.399999999998</v>
      </c>
      <c r="J989" s="16">
        <f t="shared" si="361"/>
        <v>11498.910000000003</v>
      </c>
      <c r="K989" s="16">
        <f t="shared" si="361"/>
        <v>11619.119999999992</v>
      </c>
      <c r="L989" s="16">
        <f t="shared" si="361"/>
        <v>11549.399999999998</v>
      </c>
      <c r="M989" s="16"/>
      <c r="N989" s="65"/>
      <c r="O989" s="65"/>
      <c r="P989" s="66"/>
      <c r="Q989" s="65"/>
      <c r="R989" s="67"/>
      <c r="S989" s="58"/>
    </row>
    <row r="990" spans="1:27" ht="15.75">
      <c r="A990" s="86">
        <v>44106</v>
      </c>
      <c r="B990" s="120" t="s">
        <v>348</v>
      </c>
      <c r="C990" s="57" t="s">
        <v>79</v>
      </c>
      <c r="D990">
        <v>29088.400000000001</v>
      </c>
      <c r="E990">
        <v>28959.54</v>
      </c>
      <c r="F990">
        <v>28969.09</v>
      </c>
      <c r="G990">
        <v>28952.47</v>
      </c>
      <c r="H990">
        <v>29058.74</v>
      </c>
      <c r="I990">
        <v>29076.05</v>
      </c>
      <c r="J990">
        <v>28952.9</v>
      </c>
      <c r="K990">
        <v>28948.68</v>
      </c>
      <c r="L990">
        <v>29065.33</v>
      </c>
      <c r="M990" s="16"/>
      <c r="N990" s="59">
        <f>IF((L991=""),"",MAX(D992:L992))</f>
        <v>13082.130000000008</v>
      </c>
      <c r="O990" s="59">
        <f>IF(L991="","",MIN(D992:L992))</f>
        <v>11961.900000000009</v>
      </c>
      <c r="P990" s="60">
        <f>IF((L992=""),"",AVERAGE(D992:L992))</f>
        <v>12616.146666666667</v>
      </c>
      <c r="Q990" s="156">
        <f>IF((L991=""),"",((N990-O990)/(N990+O990)*100))</f>
        <v>4.4730420782917077</v>
      </c>
      <c r="R990" s="61" t="str">
        <f>IF(L991="","",IF(Q990&lt;Z990,IF(O990&gt;V990,IF(N990&lt;W990,"PASS","FAIL"),"FAIL"),"FAIL"))</f>
        <v>PASS</v>
      </c>
      <c r="S990" s="62">
        <v>1159</v>
      </c>
      <c r="T990" s="125" t="s">
        <v>453</v>
      </c>
      <c r="U990" s="114"/>
      <c r="V990" s="110">
        <v>10000</v>
      </c>
      <c r="W990" s="110">
        <v>15600</v>
      </c>
      <c r="X990" s="111">
        <v>8090</v>
      </c>
      <c r="Y990" s="111">
        <v>12070</v>
      </c>
      <c r="Z990" s="112">
        <v>15</v>
      </c>
      <c r="AA990" s="112">
        <v>6</v>
      </c>
    </row>
    <row r="991" spans="1:27" ht="15.75">
      <c r="B991" s="122"/>
      <c r="C991" s="57" t="s">
        <v>80</v>
      </c>
      <c r="D991">
        <v>25101.1</v>
      </c>
      <c r="E991">
        <v>24759.15</v>
      </c>
      <c r="F991">
        <v>24791.38</v>
      </c>
      <c r="G991">
        <v>24615.34</v>
      </c>
      <c r="H991">
        <v>24698.03</v>
      </c>
      <c r="I991">
        <v>25037.75</v>
      </c>
      <c r="J991">
        <v>24704.49</v>
      </c>
      <c r="K991">
        <v>24680.17</v>
      </c>
      <c r="L991">
        <v>24835.35</v>
      </c>
      <c r="M991"/>
      <c r="N991" s="53"/>
      <c r="O991" s="53"/>
      <c r="P991" s="63"/>
      <c r="Q991" s="53"/>
      <c r="R991" s="64"/>
      <c r="S991" s="54"/>
      <c r="T991" s="114"/>
      <c r="U991" s="114"/>
    </row>
    <row r="992" spans="1:27">
      <c r="B992" s="122"/>
      <c r="C992" s="57" t="s">
        <v>82</v>
      </c>
      <c r="D992" s="16">
        <f t="shared" ref="D992:L992" si="362">IF(((D990="")*AND(D991="")),"",(D990-D991)*3)</f>
        <v>11961.900000000009</v>
      </c>
      <c r="E992" s="16">
        <f t="shared" si="362"/>
        <v>12601.169999999998</v>
      </c>
      <c r="F992" s="16">
        <f t="shared" si="362"/>
        <v>12533.129999999997</v>
      </c>
      <c r="G992" s="16">
        <f t="shared" si="362"/>
        <v>13011.390000000003</v>
      </c>
      <c r="H992" s="16">
        <f t="shared" si="362"/>
        <v>13082.130000000008</v>
      </c>
      <c r="I992" s="16">
        <f t="shared" si="362"/>
        <v>12114.899999999998</v>
      </c>
      <c r="J992" s="16">
        <f t="shared" si="362"/>
        <v>12745.23</v>
      </c>
      <c r="K992" s="16">
        <f t="shared" si="362"/>
        <v>12805.530000000006</v>
      </c>
      <c r="L992" s="16">
        <f t="shared" si="362"/>
        <v>12689.94000000001</v>
      </c>
      <c r="M992" s="16"/>
      <c r="N992" s="65"/>
      <c r="O992" s="65"/>
      <c r="P992" s="66"/>
      <c r="Q992" s="65"/>
      <c r="R992" s="67"/>
      <c r="S992" s="58"/>
    </row>
    <row r="993" spans="1:27" ht="15.75">
      <c r="A993" s="86">
        <v>44111</v>
      </c>
      <c r="B993" s="120" t="s">
        <v>348</v>
      </c>
      <c r="C993" s="57" t="s">
        <v>79</v>
      </c>
      <c r="D993">
        <v>29051.19</v>
      </c>
      <c r="E993">
        <v>28915.14</v>
      </c>
      <c r="F993">
        <v>28948.21</v>
      </c>
      <c r="G993">
        <v>28907.83</v>
      </c>
      <c r="H993">
        <v>29018.32</v>
      </c>
      <c r="I993">
        <v>29057.32</v>
      </c>
      <c r="J993">
        <v>28920.39</v>
      </c>
      <c r="K993">
        <v>28929.9</v>
      </c>
      <c r="L993">
        <v>29001.439999999999</v>
      </c>
      <c r="M993" s="16"/>
      <c r="N993" s="59">
        <f>IF((L994=""),"",MAX(D995:L995))</f>
        <v>12172.919999999998</v>
      </c>
      <c r="O993" s="59">
        <f>IF(L994="","",MIN(D995:L995))</f>
        <v>11241.54</v>
      </c>
      <c r="P993" s="60">
        <f>IF((L995=""),"",AVERAGE(D995:L995))</f>
        <v>11792.533333333333</v>
      </c>
      <c r="Q993" s="156">
        <f>IF((L994=""),"",((N993-O993)/(N993+O993)*100))</f>
        <v>3.9777983348751045</v>
      </c>
      <c r="R993" s="61" t="str">
        <f>IF(L994="","",IF(Q993&lt;Z993,IF(O993&gt;V993,IF(N993&lt;W993,"PASS","FAIL"),"FAIL"),"FAIL"))</f>
        <v>PASS</v>
      </c>
      <c r="S993" s="62">
        <v>1159</v>
      </c>
      <c r="T993" s="125" t="s">
        <v>455</v>
      </c>
      <c r="U993" s="114"/>
      <c r="V993" s="110">
        <v>10000</v>
      </c>
      <c r="W993" s="110">
        <v>15600</v>
      </c>
      <c r="X993" s="111">
        <v>8090</v>
      </c>
      <c r="Y993" s="111">
        <v>12070</v>
      </c>
      <c r="Z993" s="112">
        <v>15</v>
      </c>
      <c r="AA993" s="112">
        <v>6</v>
      </c>
    </row>
    <row r="994" spans="1:27" ht="15.75">
      <c r="B994" s="122"/>
      <c r="C994" s="57" t="s">
        <v>80</v>
      </c>
      <c r="D994">
        <v>24995.65</v>
      </c>
      <c r="E994">
        <v>24857.5</v>
      </c>
      <c r="F994">
        <v>25035.61</v>
      </c>
      <c r="G994">
        <v>25009.56</v>
      </c>
      <c r="H994">
        <v>25271.14</v>
      </c>
      <c r="I994">
        <v>25120.43</v>
      </c>
      <c r="J994">
        <v>24945.39</v>
      </c>
      <c r="K994">
        <v>24936.92</v>
      </c>
      <c r="L994">
        <v>25199.94</v>
      </c>
      <c r="M994"/>
      <c r="N994" s="53"/>
      <c r="O994" s="53"/>
      <c r="P994" s="63"/>
      <c r="Q994" s="53"/>
      <c r="R994" s="64"/>
      <c r="S994" s="54"/>
      <c r="T994" s="114"/>
      <c r="U994" s="114"/>
    </row>
    <row r="995" spans="1:27">
      <c r="B995" s="122"/>
      <c r="C995" s="57" t="s">
        <v>82</v>
      </c>
      <c r="D995" s="16">
        <f t="shared" ref="D995:L995" si="363">IF(((D993="")*AND(D994="")),"",(D993-D994)*3)</f>
        <v>12166.619999999992</v>
      </c>
      <c r="E995" s="16">
        <f t="shared" si="363"/>
        <v>12172.919999999998</v>
      </c>
      <c r="F995" s="16">
        <f t="shared" si="363"/>
        <v>11737.799999999996</v>
      </c>
      <c r="G995" s="16">
        <f t="shared" si="363"/>
        <v>11694.810000000001</v>
      </c>
      <c r="H995" s="16">
        <f t="shared" si="363"/>
        <v>11241.54</v>
      </c>
      <c r="I995" s="16">
        <f t="shared" si="363"/>
        <v>11810.669999999998</v>
      </c>
      <c r="J995" s="16">
        <f t="shared" si="363"/>
        <v>11925</v>
      </c>
      <c r="K995" s="16">
        <f t="shared" si="363"/>
        <v>11978.94000000001</v>
      </c>
      <c r="L995" s="16">
        <f t="shared" si="363"/>
        <v>11404.5</v>
      </c>
      <c r="M995" s="16"/>
      <c r="N995" s="65"/>
      <c r="O995" s="65"/>
      <c r="P995" s="66"/>
      <c r="Q995" s="65"/>
      <c r="R995" s="67"/>
      <c r="S995" s="58"/>
    </row>
    <row r="996" spans="1:27" ht="15.75">
      <c r="A996" s="86">
        <v>44116</v>
      </c>
      <c r="B996" s="120" t="s">
        <v>348</v>
      </c>
      <c r="C996" s="57" t="s">
        <v>79</v>
      </c>
      <c r="D996">
        <v>29142.29</v>
      </c>
      <c r="E996">
        <v>28966.3</v>
      </c>
      <c r="F996">
        <v>28967.360000000001</v>
      </c>
      <c r="G996">
        <v>28964.04</v>
      </c>
      <c r="H996">
        <v>29074.29</v>
      </c>
      <c r="I996">
        <v>29230.62</v>
      </c>
      <c r="J996">
        <v>28957.919999999998</v>
      </c>
      <c r="K996">
        <v>28963.57</v>
      </c>
      <c r="L996">
        <v>29081.71</v>
      </c>
      <c r="M996" s="16"/>
      <c r="N996" s="59">
        <f>IF((L997=""),"",MAX(D998:L998))</f>
        <v>13353.719999999994</v>
      </c>
      <c r="O996" s="59">
        <f>IF(L997="","",MIN(D998:L998))</f>
        <v>12186.240000000005</v>
      </c>
      <c r="P996" s="60">
        <f>IF((L998=""),"",AVERAGE(D998:L998))</f>
        <v>12940.3</v>
      </c>
      <c r="Q996" s="156">
        <f>IF((L997=""),"",((N996-O996)/(N996+O996)*100))</f>
        <v>4.5711896181512763</v>
      </c>
      <c r="R996" s="61" t="str">
        <f>IF(L997="","",IF(Q996&lt;Z996,IF(O996&gt;V996,IF(N996&lt;W996,"PASS","FAIL"),"FAIL"),"FAIL"))</f>
        <v>PASS</v>
      </c>
      <c r="S996" s="62">
        <v>1159</v>
      </c>
      <c r="T996" s="125" t="s">
        <v>461</v>
      </c>
      <c r="U996" s="114"/>
      <c r="V996" s="110">
        <v>10000</v>
      </c>
      <c r="W996" s="110">
        <v>15600</v>
      </c>
      <c r="X996" s="111">
        <v>8090</v>
      </c>
      <c r="Y996" s="111">
        <v>12070</v>
      </c>
      <c r="Z996" s="112">
        <v>15</v>
      </c>
      <c r="AA996" s="112">
        <v>6</v>
      </c>
    </row>
    <row r="997" spans="1:27" ht="15.75">
      <c r="B997" s="122"/>
      <c r="C997" s="57" t="s">
        <v>80</v>
      </c>
      <c r="D997">
        <v>24691.39</v>
      </c>
      <c r="E997">
        <v>24546.1</v>
      </c>
      <c r="F997">
        <v>24683.11</v>
      </c>
      <c r="G997">
        <v>24658.57</v>
      </c>
      <c r="H997">
        <v>25012.21</v>
      </c>
      <c r="I997">
        <v>24779.38</v>
      </c>
      <c r="J997">
        <v>24607.33</v>
      </c>
      <c r="K997">
        <v>24628.37</v>
      </c>
      <c r="L997">
        <v>24920.74</v>
      </c>
      <c r="M997"/>
      <c r="N997" s="53"/>
      <c r="O997" s="53"/>
      <c r="P997" s="63"/>
      <c r="Q997" s="53"/>
      <c r="R997" s="64"/>
      <c r="S997" s="54"/>
      <c r="T997" s="114"/>
      <c r="U997" s="114"/>
    </row>
    <row r="998" spans="1:27" ht="27.75" customHeight="1">
      <c r="B998" s="122"/>
      <c r="C998" s="57" t="s">
        <v>82</v>
      </c>
      <c r="D998" s="16">
        <f t="shared" ref="D998:L998" si="364">IF(((D996="")*AND(D997="")),"",(D996-D997)*3)</f>
        <v>13352.700000000004</v>
      </c>
      <c r="E998" s="16">
        <f t="shared" si="364"/>
        <v>13260.600000000002</v>
      </c>
      <c r="F998" s="16">
        <f t="shared" si="364"/>
        <v>12852.75</v>
      </c>
      <c r="G998" s="16">
        <f t="shared" si="364"/>
        <v>12916.410000000003</v>
      </c>
      <c r="H998" s="16">
        <f t="shared" si="364"/>
        <v>12186.240000000005</v>
      </c>
      <c r="I998" s="16">
        <f t="shared" si="364"/>
        <v>13353.719999999994</v>
      </c>
      <c r="J998" s="16">
        <f t="shared" si="364"/>
        <v>13051.76999999999</v>
      </c>
      <c r="K998" s="16">
        <f t="shared" si="364"/>
        <v>13005.600000000002</v>
      </c>
      <c r="L998" s="16">
        <f t="shared" si="364"/>
        <v>12482.909999999993</v>
      </c>
      <c r="M998" s="16"/>
      <c r="N998" s="65"/>
      <c r="O998" s="65"/>
      <c r="P998" s="66"/>
      <c r="Q998" s="65"/>
      <c r="R998" s="67"/>
      <c r="S998" s="58"/>
    </row>
    <row r="999" spans="1:27" ht="15.75">
      <c r="A999" s="86">
        <v>44123</v>
      </c>
      <c r="B999" s="120" t="s">
        <v>348</v>
      </c>
      <c r="C999" s="57" t="s">
        <v>79</v>
      </c>
      <c r="D999">
        <v>29332.93</v>
      </c>
      <c r="E999">
        <v>29143.58</v>
      </c>
      <c r="F999">
        <v>29131.93</v>
      </c>
      <c r="G999">
        <v>29158.49</v>
      </c>
      <c r="H999">
        <v>29398.09</v>
      </c>
      <c r="I999">
        <v>29370.52</v>
      </c>
      <c r="J999">
        <v>29172.09</v>
      </c>
      <c r="K999">
        <v>29173.94</v>
      </c>
      <c r="L999">
        <v>29332.1</v>
      </c>
      <c r="M999" s="16"/>
      <c r="N999" s="59">
        <f>IF((L1000=""),"",MAX(D1001:L1001))</f>
        <v>15428.490000000005</v>
      </c>
      <c r="O999" s="59">
        <f>IF(L1000="","",MIN(D1001:L1001))</f>
        <v>13770.810000000001</v>
      </c>
      <c r="P999" s="60">
        <f>IF((L1001=""),"",AVERAGE(D1001:L1001))</f>
        <v>14741.020000000002</v>
      </c>
      <c r="Q999" s="156">
        <f>IF((L1000=""),"",((N999-O999)/(N999+O999)*100))</f>
        <v>5.6771223967697981</v>
      </c>
      <c r="R999" s="61" t="str">
        <f>IF(L1000="","",IF(Q999&lt;Z999,IF(O999&gt;V999,IF(N999&lt;W999,"PASS","FAIL"),"FAIL"),"FAIL"))</f>
        <v>PASS</v>
      </c>
      <c r="S999" s="62">
        <v>1335</v>
      </c>
      <c r="T999" s="125" t="s">
        <v>463</v>
      </c>
      <c r="U999" s="114"/>
      <c r="V999" s="110">
        <v>10000</v>
      </c>
      <c r="W999" s="110">
        <v>15600</v>
      </c>
      <c r="X999" s="111">
        <v>8090</v>
      </c>
      <c r="Y999" s="111">
        <v>12070</v>
      </c>
      <c r="Z999" s="112">
        <v>15</v>
      </c>
      <c r="AA999" s="112">
        <v>6</v>
      </c>
    </row>
    <row r="1000" spans="1:27" ht="15.75">
      <c r="B1000" s="122"/>
      <c r="C1000" s="57" t="s">
        <v>80</v>
      </c>
      <c r="D1000">
        <v>24209.22</v>
      </c>
      <c r="E1000">
        <v>24000.75</v>
      </c>
      <c r="F1000">
        <v>24337.18</v>
      </c>
      <c r="G1000">
        <v>24271.919999999998</v>
      </c>
      <c r="H1000">
        <v>24807.82</v>
      </c>
      <c r="I1000">
        <v>24418.51</v>
      </c>
      <c r="J1000">
        <v>24120.35</v>
      </c>
      <c r="K1000">
        <v>24146.6</v>
      </c>
      <c r="L1000">
        <v>24678.26</v>
      </c>
      <c r="M1000"/>
      <c r="N1000" s="53"/>
      <c r="O1000" s="53"/>
      <c r="P1000" s="63"/>
      <c r="Q1000" s="53"/>
      <c r="R1000" s="64"/>
      <c r="S1000" s="54"/>
      <c r="T1000" s="114"/>
      <c r="U1000" s="114"/>
    </row>
    <row r="1001" spans="1:27">
      <c r="B1001" s="122"/>
      <c r="C1001" s="57" t="s">
        <v>82</v>
      </c>
      <c r="D1001" s="16">
        <f t="shared" ref="D1001:L1001" si="365">IF(((D999="")*AND(D1000="")),"",(D999-D1000)*3)</f>
        <v>15371.129999999997</v>
      </c>
      <c r="E1001" s="16">
        <f t="shared" si="365"/>
        <v>15428.490000000005</v>
      </c>
      <c r="F1001" s="16">
        <f t="shared" si="365"/>
        <v>14384.25</v>
      </c>
      <c r="G1001" s="16">
        <f t="shared" si="365"/>
        <v>14659.71000000001</v>
      </c>
      <c r="H1001" s="16">
        <f t="shared" si="365"/>
        <v>13770.810000000001</v>
      </c>
      <c r="I1001" s="16">
        <f t="shared" si="365"/>
        <v>14856.030000000006</v>
      </c>
      <c r="J1001" s="16">
        <f t="shared" si="365"/>
        <v>15155.220000000005</v>
      </c>
      <c r="K1001" s="16">
        <f t="shared" si="365"/>
        <v>15082.02</v>
      </c>
      <c r="L1001" s="16">
        <f t="shared" si="365"/>
        <v>13961.52</v>
      </c>
      <c r="M1001" s="16"/>
      <c r="N1001" s="65"/>
      <c r="O1001" s="65"/>
      <c r="P1001" s="66"/>
      <c r="Q1001" s="65"/>
      <c r="R1001" s="67"/>
      <c r="S1001" s="58"/>
    </row>
    <row r="1002" spans="1:27" ht="15.75">
      <c r="A1002" s="86">
        <v>44127</v>
      </c>
      <c r="B1002" s="120" t="s">
        <v>348</v>
      </c>
      <c r="C1002" s="57" t="s">
        <v>79</v>
      </c>
      <c r="D1002">
        <v>29030.92</v>
      </c>
      <c r="E1002">
        <v>28874.19</v>
      </c>
      <c r="F1002">
        <v>28871.53</v>
      </c>
      <c r="G1002">
        <v>28853.73</v>
      </c>
      <c r="H1002">
        <v>28959.279999999999</v>
      </c>
      <c r="I1002">
        <v>28993.23</v>
      </c>
      <c r="J1002">
        <v>28858.32</v>
      </c>
      <c r="K1002">
        <v>28870.57</v>
      </c>
      <c r="L1002">
        <v>28982.65</v>
      </c>
      <c r="M1002" s="16"/>
      <c r="N1002" s="59">
        <f>IF((L1003=""),"",MAX(D1004:L1004))</f>
        <v>12793.409999999993</v>
      </c>
      <c r="O1002" s="59">
        <f>IF(L1003="","",MIN(D1004:L1004))</f>
        <v>11692.409999999993</v>
      </c>
      <c r="P1002" s="60">
        <f>IF((L1004=""),"",AVERAGE(D1004:L1004))</f>
        <v>12569.403333333328</v>
      </c>
      <c r="Q1002" s="156">
        <f>IF((L1003=""),"",((N1002-O1002)/(N1002+O1002)*100))</f>
        <v>4.4964800035285757</v>
      </c>
      <c r="R1002" s="61" t="str">
        <f>IF(L1003="","",IF(Q1002&lt;Z1002,IF(O1002&gt;V1002,IF(N1002&lt;W1002,"PASS","FAIL"),"FAIL"),"FAIL"))</f>
        <v>PASS</v>
      </c>
      <c r="S1002" s="62">
        <v>74</v>
      </c>
      <c r="T1002" s="125" t="s">
        <v>465</v>
      </c>
      <c r="U1002" s="114"/>
      <c r="V1002" s="110">
        <v>10000</v>
      </c>
      <c r="W1002" s="110">
        <v>15600</v>
      </c>
      <c r="X1002" s="111">
        <v>8090</v>
      </c>
      <c r="Y1002" s="111">
        <v>12070</v>
      </c>
      <c r="Z1002" s="112">
        <v>15</v>
      </c>
      <c r="AA1002" s="112">
        <v>6</v>
      </c>
    </row>
    <row r="1003" spans="1:27" ht="15.75">
      <c r="B1003" s="122"/>
      <c r="C1003" s="57" t="s">
        <v>80</v>
      </c>
      <c r="D1003">
        <v>25133.45</v>
      </c>
      <c r="E1003">
        <v>24659.13</v>
      </c>
      <c r="F1003">
        <v>24719.32</v>
      </c>
      <c r="G1003">
        <v>24604.29</v>
      </c>
      <c r="H1003">
        <v>24694.81</v>
      </c>
      <c r="I1003">
        <v>24762.74</v>
      </c>
      <c r="J1003">
        <v>24669.07</v>
      </c>
      <c r="K1003">
        <v>24620.6</v>
      </c>
      <c r="L1003">
        <v>24722.799999999999</v>
      </c>
      <c r="M1003"/>
      <c r="N1003" s="53"/>
      <c r="O1003" s="53"/>
      <c r="P1003" s="63"/>
      <c r="Q1003" s="53"/>
      <c r="R1003" s="64"/>
      <c r="S1003" s="54"/>
      <c r="T1003" s="114"/>
      <c r="U1003" s="114"/>
    </row>
    <row r="1004" spans="1:27">
      <c r="B1004" s="122"/>
      <c r="C1004" s="57" t="s">
        <v>82</v>
      </c>
      <c r="D1004" s="16">
        <f t="shared" ref="D1004:L1004" si="366">IF(((D1002="")*AND(D1003="")),"",(D1002-D1003)*3)</f>
        <v>11692.409999999993</v>
      </c>
      <c r="E1004" s="16">
        <f t="shared" si="366"/>
        <v>12645.179999999993</v>
      </c>
      <c r="F1004" s="16">
        <f t="shared" si="366"/>
        <v>12456.629999999997</v>
      </c>
      <c r="G1004" s="16">
        <f t="shared" si="366"/>
        <v>12748.319999999996</v>
      </c>
      <c r="H1004" s="16">
        <f t="shared" si="366"/>
        <v>12793.409999999993</v>
      </c>
      <c r="I1004" s="16">
        <f t="shared" si="366"/>
        <v>12691.469999999994</v>
      </c>
      <c r="J1004" s="16">
        <f t="shared" si="366"/>
        <v>12567.75</v>
      </c>
      <c r="K1004" s="16">
        <f t="shared" si="366"/>
        <v>12749.910000000003</v>
      </c>
      <c r="L1004" s="16">
        <f t="shared" si="366"/>
        <v>12779.550000000007</v>
      </c>
      <c r="M1004" s="16"/>
      <c r="N1004" s="65"/>
      <c r="O1004" s="65"/>
      <c r="P1004" s="66"/>
      <c r="Q1004" s="65"/>
      <c r="R1004" s="67"/>
      <c r="S1004" s="58"/>
    </row>
    <row r="1005" spans="1:27" ht="15.75">
      <c r="A1005" s="86">
        <v>44132</v>
      </c>
      <c r="B1005" s="120" t="s">
        <v>348</v>
      </c>
      <c r="C1005" s="57" t="s">
        <v>79</v>
      </c>
      <c r="D1005">
        <v>28963.29</v>
      </c>
      <c r="E1005">
        <v>28846.32</v>
      </c>
      <c r="F1005">
        <v>28860.880000000001</v>
      </c>
      <c r="G1005">
        <v>28833.9</v>
      </c>
      <c r="H1005">
        <v>28969.3</v>
      </c>
      <c r="I1005">
        <v>28876.09</v>
      </c>
      <c r="J1005">
        <v>28840.34</v>
      </c>
      <c r="K1005">
        <v>28837.8</v>
      </c>
      <c r="L1005">
        <v>28959.75</v>
      </c>
      <c r="M1005" s="16"/>
      <c r="N1005" s="59">
        <f>IF((L1006=""),"",MAX(D1007:L1007))</f>
        <v>12294.060000000001</v>
      </c>
      <c r="O1005" s="59">
        <f>IF(L1006="","",MIN(D1007:L1007))</f>
        <v>11243.939999999999</v>
      </c>
      <c r="P1005" s="60">
        <f>IF((L1007=""),"",AVERAGE(D1007:L1007))</f>
        <v>11892.423333333332</v>
      </c>
      <c r="Q1005" s="156">
        <f>IF((L1006=""),"",((N1005-O1005)/(N1005+O1005)*100))</f>
        <v>4.4613815957175742</v>
      </c>
      <c r="R1005" s="61" t="str">
        <f>IF(L1006="","",IF(Q1005&lt;Z1005,IF(O1005&gt;V1005,IF(N1005&lt;W1005,"PASS","FAIL"),"FAIL"),"FAIL"))</f>
        <v>PASS</v>
      </c>
      <c r="S1005" s="62">
        <v>1159</v>
      </c>
      <c r="T1005" s="125" t="s">
        <v>471</v>
      </c>
      <c r="U1005" s="114"/>
      <c r="V1005" s="110">
        <v>10000</v>
      </c>
      <c r="W1005" s="110">
        <v>15600</v>
      </c>
      <c r="X1005" s="111">
        <v>8090</v>
      </c>
      <c r="Y1005" s="111">
        <v>12070</v>
      </c>
      <c r="Z1005" s="112">
        <v>15</v>
      </c>
      <c r="AA1005" s="112">
        <v>6</v>
      </c>
    </row>
    <row r="1006" spans="1:27" ht="15.75">
      <c r="B1006" s="122"/>
      <c r="C1006" s="57" t="s">
        <v>80</v>
      </c>
      <c r="D1006">
        <v>25191.9</v>
      </c>
      <c r="E1006">
        <v>24870.91</v>
      </c>
      <c r="F1006">
        <v>24891.55</v>
      </c>
      <c r="G1006">
        <v>24754.41</v>
      </c>
      <c r="H1006">
        <v>24871.279999999999</v>
      </c>
      <c r="I1006">
        <v>25128.11</v>
      </c>
      <c r="J1006">
        <v>24824.880000000001</v>
      </c>
      <c r="K1006">
        <v>24806.85</v>
      </c>
      <c r="L1006">
        <v>24970.51</v>
      </c>
      <c r="M1006"/>
      <c r="N1006" s="53"/>
      <c r="O1006" s="53"/>
      <c r="P1006" s="63"/>
      <c r="Q1006" s="53"/>
      <c r="R1006" s="64"/>
      <c r="S1006" s="54"/>
      <c r="T1006" s="114"/>
      <c r="U1006" s="114"/>
    </row>
    <row r="1007" spans="1:27" ht="28.5" customHeight="1">
      <c r="B1007" s="122"/>
      <c r="C1007" s="57" t="s">
        <v>82</v>
      </c>
      <c r="D1007" s="16">
        <f t="shared" ref="D1007:L1007" si="367">IF(((D1005="")*AND(D1006="")),"",(D1005-D1006)*3)</f>
        <v>11314.169999999998</v>
      </c>
      <c r="E1007" s="16">
        <f t="shared" si="367"/>
        <v>11926.23</v>
      </c>
      <c r="F1007" s="16">
        <f t="shared" si="367"/>
        <v>11907.990000000005</v>
      </c>
      <c r="G1007" s="16">
        <f t="shared" si="367"/>
        <v>12238.470000000005</v>
      </c>
      <c r="H1007" s="16">
        <f t="shared" si="367"/>
        <v>12294.060000000001</v>
      </c>
      <c r="I1007" s="16">
        <f t="shared" si="367"/>
        <v>11243.939999999999</v>
      </c>
      <c r="J1007" s="16">
        <f t="shared" si="367"/>
        <v>12046.379999999997</v>
      </c>
      <c r="K1007" s="16">
        <f t="shared" si="367"/>
        <v>12092.850000000002</v>
      </c>
      <c r="L1007" s="16">
        <f t="shared" si="367"/>
        <v>11967.720000000005</v>
      </c>
      <c r="M1007" s="16"/>
      <c r="N1007" s="65"/>
      <c r="O1007" s="65"/>
      <c r="P1007" s="66"/>
      <c r="Q1007" s="65"/>
      <c r="R1007" s="67"/>
      <c r="S1007" s="58"/>
    </row>
    <row r="1008" spans="1:27" ht="15.75">
      <c r="A1008" s="86">
        <v>44146</v>
      </c>
      <c r="B1008" s="120" t="s">
        <v>348</v>
      </c>
      <c r="C1008" s="57" t="s">
        <v>79</v>
      </c>
      <c r="D1008">
        <v>29224.68</v>
      </c>
      <c r="E1008">
        <v>29079.96</v>
      </c>
      <c r="F1008">
        <v>29062.54</v>
      </c>
      <c r="G1008">
        <v>29081.37</v>
      </c>
      <c r="H1008">
        <v>29182.55</v>
      </c>
      <c r="I1008">
        <v>29166.74</v>
      </c>
      <c r="J1008">
        <v>29064.95</v>
      </c>
      <c r="K1008">
        <v>29092.63</v>
      </c>
      <c r="L1008">
        <v>29236.01</v>
      </c>
      <c r="M1008" s="16"/>
      <c r="N1008" s="59">
        <f>IF((L1009=""),"",MAX(D1010:L1010))</f>
        <v>11741.25</v>
      </c>
      <c r="O1008" s="59">
        <f>IF(L1009="","",MIN(D1010:L1010))</f>
        <v>10422.149999999998</v>
      </c>
      <c r="P1008" s="60">
        <f>IF((L1010=""),"",AVERAGE(D1010:L1010))</f>
        <v>11206.676666666666</v>
      </c>
      <c r="Q1008" s="156">
        <f>IF((L1009=""),"",((N1008-O1008)/(N1008+O1008)*100))</f>
        <v>5.9517041609139492</v>
      </c>
      <c r="R1008" s="61" t="str">
        <f>IF(L1009="","",IF(Q1008&lt;Z1008,IF(O1008&gt;V1008,IF(N1008&lt;W1008,"PASS","FAIL"),"FAIL"),"FAIL"))</f>
        <v>PASS</v>
      </c>
      <c r="S1008" s="62">
        <v>74</v>
      </c>
      <c r="T1008" s="125"/>
      <c r="U1008" s="114"/>
      <c r="V1008" s="110">
        <v>10000</v>
      </c>
      <c r="W1008" s="110">
        <v>15600</v>
      </c>
      <c r="X1008" s="111">
        <v>8090</v>
      </c>
      <c r="Y1008" s="111">
        <v>12070</v>
      </c>
      <c r="Z1008" s="112">
        <v>15</v>
      </c>
      <c r="AA1008" s="112">
        <v>6</v>
      </c>
    </row>
    <row r="1009" spans="1:27" ht="15.75">
      <c r="B1009" s="122"/>
      <c r="C1009" s="57" t="s">
        <v>80</v>
      </c>
      <c r="D1009">
        <v>25516.12</v>
      </c>
      <c r="E1009">
        <v>25195.61</v>
      </c>
      <c r="F1009">
        <v>25148.79</v>
      </c>
      <c r="G1009">
        <v>25300.58</v>
      </c>
      <c r="H1009">
        <v>25708.5</v>
      </c>
      <c r="I1009">
        <v>25477.18</v>
      </c>
      <c r="J1009">
        <v>25185.119999999999</v>
      </c>
      <c r="K1009">
        <v>25296</v>
      </c>
      <c r="L1009">
        <v>25743.5</v>
      </c>
      <c r="M1009"/>
      <c r="N1009" s="53"/>
      <c r="O1009" s="53"/>
      <c r="P1009" s="63"/>
      <c r="Q1009" s="53"/>
      <c r="R1009" s="64"/>
      <c r="S1009" s="54"/>
      <c r="T1009" s="114"/>
      <c r="U1009" s="114"/>
    </row>
    <row r="1010" spans="1:27" ht="28.5" customHeight="1">
      <c r="B1010" s="122"/>
      <c r="C1010" s="57" t="s">
        <v>82</v>
      </c>
      <c r="D1010" s="16">
        <f t="shared" ref="D1010:L1010" si="368">IF(((D1008="")*AND(D1009="")),"",(D1008-D1009)*3)</f>
        <v>11125.680000000004</v>
      </c>
      <c r="E1010" s="16">
        <f t="shared" si="368"/>
        <v>11653.049999999996</v>
      </c>
      <c r="F1010" s="16">
        <f t="shared" si="368"/>
        <v>11741.25</v>
      </c>
      <c r="G1010" s="16">
        <f t="shared" si="368"/>
        <v>11342.369999999992</v>
      </c>
      <c r="H1010" s="16">
        <f t="shared" si="368"/>
        <v>10422.149999999998</v>
      </c>
      <c r="I1010" s="16">
        <f t="shared" si="368"/>
        <v>11068.680000000004</v>
      </c>
      <c r="J1010" s="16">
        <f t="shared" si="368"/>
        <v>11639.490000000005</v>
      </c>
      <c r="K1010" s="16">
        <f t="shared" si="368"/>
        <v>11389.890000000003</v>
      </c>
      <c r="L1010" s="16">
        <f t="shared" si="368"/>
        <v>10477.529999999995</v>
      </c>
      <c r="M1010" s="16"/>
      <c r="N1010" s="65"/>
      <c r="O1010" s="65"/>
      <c r="P1010" s="66"/>
      <c r="Q1010" s="65"/>
      <c r="R1010" s="67"/>
      <c r="S1010" s="58"/>
    </row>
    <row r="1011" spans="1:27" ht="15.75">
      <c r="A1011" s="86">
        <v>44151</v>
      </c>
      <c r="B1011" s="120" t="s">
        <v>348</v>
      </c>
      <c r="C1011" s="57" t="s">
        <v>79</v>
      </c>
      <c r="D1011">
        <v>28848.06</v>
      </c>
      <c r="E1011">
        <v>28722.76</v>
      </c>
      <c r="F1011">
        <v>28690.03</v>
      </c>
      <c r="G1011">
        <v>28724.05</v>
      </c>
      <c r="H1011">
        <v>28822.71</v>
      </c>
      <c r="I1011">
        <v>28790.68</v>
      </c>
      <c r="J1011">
        <v>28714.39</v>
      </c>
      <c r="K1011">
        <v>28711.52</v>
      </c>
      <c r="L1011">
        <v>28848.49</v>
      </c>
      <c r="M1011" s="16"/>
      <c r="N1011" s="59">
        <f>IF((L1012=""),"",MAX(D1013:L1013))</f>
        <v>11450.310000000001</v>
      </c>
      <c r="O1011" s="59">
        <f>IF(L1012="","",MIN(D1013:L1013))</f>
        <v>10485.720000000005</v>
      </c>
      <c r="P1011" s="60">
        <f>IF((L1013=""),"",AVERAGE(D1013:L1013))</f>
        <v>10905.483333333334</v>
      </c>
      <c r="Q1011" s="156">
        <f>IF((L1012=""),"",((N1011-O1011)/(N1011+O1011)*100))</f>
        <v>4.397286108744364</v>
      </c>
      <c r="R1011" s="61" t="str">
        <f>IF(L1012="","",IF(Q1011&lt;Z1011,IF(O1011&gt;V1011,IF(N1011&lt;W1011,"PASS","FAIL"),"FAIL"),"FAIL"))</f>
        <v>PASS</v>
      </c>
      <c r="S1011" s="62">
        <v>1340</v>
      </c>
      <c r="T1011" s="125" t="s">
        <v>476</v>
      </c>
      <c r="U1011" s="114"/>
      <c r="V1011" s="110">
        <v>10000</v>
      </c>
      <c r="W1011" s="110">
        <v>15600</v>
      </c>
      <c r="X1011" s="111">
        <v>8090</v>
      </c>
      <c r="Y1011" s="111">
        <v>12070</v>
      </c>
      <c r="Z1011" s="112">
        <v>15</v>
      </c>
      <c r="AA1011" s="112">
        <v>6</v>
      </c>
    </row>
    <row r="1012" spans="1:27" ht="15.75">
      <c r="B1012" s="122"/>
      <c r="C1012" s="57" t="s">
        <v>80</v>
      </c>
      <c r="D1012">
        <v>25329.439999999999</v>
      </c>
      <c r="E1012">
        <v>25103.66</v>
      </c>
      <c r="F1012">
        <v>24873.26</v>
      </c>
      <c r="G1012">
        <v>24941.279999999999</v>
      </c>
      <c r="H1012">
        <v>25259.55</v>
      </c>
      <c r="I1012">
        <v>25265.11</v>
      </c>
      <c r="J1012">
        <v>25020.639999999999</v>
      </c>
      <c r="K1012">
        <v>25010.05</v>
      </c>
      <c r="L1012">
        <v>25353.25</v>
      </c>
      <c r="M1012"/>
      <c r="N1012" s="53"/>
      <c r="O1012" s="53"/>
      <c r="P1012" s="63"/>
      <c r="Q1012" s="53"/>
      <c r="R1012" s="64"/>
      <c r="S1012" s="54"/>
      <c r="T1012" s="114"/>
      <c r="U1012" s="114"/>
    </row>
    <row r="1013" spans="1:27">
      <c r="B1013" s="122"/>
      <c r="C1013" s="57" t="s">
        <v>82</v>
      </c>
      <c r="D1013" s="16">
        <f t="shared" ref="D1013:L1013" si="369">IF(((D1011="")*AND(D1012="")),"",(D1011-D1012)*3)</f>
        <v>10555.860000000008</v>
      </c>
      <c r="E1013" s="16">
        <f t="shared" si="369"/>
        <v>10857.299999999996</v>
      </c>
      <c r="F1013" s="16">
        <f t="shared" si="369"/>
        <v>11450.310000000001</v>
      </c>
      <c r="G1013" s="16">
        <f t="shared" si="369"/>
        <v>11348.310000000001</v>
      </c>
      <c r="H1013" s="16">
        <f t="shared" si="369"/>
        <v>10689.48</v>
      </c>
      <c r="I1013" s="16">
        <f t="shared" si="369"/>
        <v>10576.71</v>
      </c>
      <c r="J1013" s="16">
        <f t="shared" si="369"/>
        <v>11081.25</v>
      </c>
      <c r="K1013" s="16">
        <f t="shared" si="369"/>
        <v>11104.410000000003</v>
      </c>
      <c r="L1013" s="16">
        <f t="shared" si="369"/>
        <v>10485.720000000005</v>
      </c>
      <c r="M1013" s="16"/>
      <c r="N1013" s="65"/>
      <c r="O1013" s="65"/>
      <c r="P1013" s="66"/>
      <c r="Q1013" s="65"/>
      <c r="R1013" s="67"/>
      <c r="S1013" s="58"/>
    </row>
    <row r="1014" spans="1:27" ht="15.75">
      <c r="A1014" s="86">
        <v>44155</v>
      </c>
      <c r="B1014" s="120" t="s">
        <v>348</v>
      </c>
      <c r="C1014" s="57" t="s">
        <v>79</v>
      </c>
      <c r="D1014">
        <v>29261.8</v>
      </c>
      <c r="E1014">
        <v>29104.080000000002</v>
      </c>
      <c r="F1014">
        <v>29079.9</v>
      </c>
      <c r="G1014">
        <v>29087.19</v>
      </c>
      <c r="H1014">
        <v>29205.88</v>
      </c>
      <c r="I1014">
        <v>29172.16</v>
      </c>
      <c r="J1014">
        <v>29065.89</v>
      </c>
      <c r="K1014">
        <v>29099.01</v>
      </c>
      <c r="L1014">
        <v>29245.84</v>
      </c>
      <c r="M1014" s="16"/>
      <c r="N1014" s="59">
        <f>IF((L1015=""),"",MAX(D1016:L1016))</f>
        <v>11802.570000000007</v>
      </c>
      <c r="O1014" s="59">
        <f>IF(L1015="","",MIN(D1016:L1016))</f>
        <v>10500.390000000003</v>
      </c>
      <c r="P1014" s="60">
        <f>IF((L1016=""),"",AVERAGE(D1016:L1016))</f>
        <v>11276.150000000003</v>
      </c>
      <c r="Q1014" s="156">
        <f>IF((L1015=""),"",((N1014-O1014)/(N1014+O1014)*100))</f>
        <v>5.8385972086216507</v>
      </c>
      <c r="R1014" s="61" t="str">
        <f>IF(L1015="","",IF(Q1014&lt;Z1014,IF(O1014&gt;V1014,IF(N1014&lt;W1014,"PASS","FAIL"),"FAIL"),"FAIL"))</f>
        <v>PASS</v>
      </c>
      <c r="S1014" s="62">
        <v>1340</v>
      </c>
      <c r="T1014" s="125" t="s">
        <v>478</v>
      </c>
      <c r="U1014" s="114"/>
      <c r="V1014" s="110">
        <v>10000</v>
      </c>
      <c r="W1014" s="110">
        <v>15600</v>
      </c>
      <c r="X1014" s="111">
        <v>8090</v>
      </c>
      <c r="Y1014" s="111">
        <v>12070</v>
      </c>
      <c r="Z1014" s="112">
        <v>15</v>
      </c>
      <c r="AA1014" s="112">
        <v>6</v>
      </c>
    </row>
    <row r="1015" spans="1:27" ht="15.75">
      <c r="B1015" s="122"/>
      <c r="C1015" s="57" t="s">
        <v>80</v>
      </c>
      <c r="D1015">
        <v>25761.67</v>
      </c>
      <c r="E1015">
        <v>25293.05</v>
      </c>
      <c r="F1015">
        <v>25145.71</v>
      </c>
      <c r="G1015">
        <v>25176.12</v>
      </c>
      <c r="H1015">
        <v>25470.94</v>
      </c>
      <c r="I1015">
        <v>25620.15</v>
      </c>
      <c r="J1015">
        <v>25236.46</v>
      </c>
      <c r="K1015">
        <v>25222.03</v>
      </c>
      <c r="L1015">
        <v>25567.17</v>
      </c>
      <c r="M1015"/>
      <c r="N1015" s="53"/>
      <c r="O1015" s="53"/>
      <c r="P1015" s="63"/>
      <c r="Q1015" s="53"/>
      <c r="R1015" s="64"/>
      <c r="S1015" s="54"/>
      <c r="T1015" s="114"/>
      <c r="U1015" s="114"/>
    </row>
    <row r="1016" spans="1:27">
      <c r="B1016" s="122"/>
      <c r="C1016" s="57" t="s">
        <v>82</v>
      </c>
      <c r="D1016" s="16">
        <f t="shared" ref="D1016:L1016" si="370">IF(((D1014="")*AND(D1015="")),"",(D1014-D1015)*3)</f>
        <v>10500.390000000003</v>
      </c>
      <c r="E1016" s="16">
        <f t="shared" si="370"/>
        <v>11433.090000000007</v>
      </c>
      <c r="F1016" s="16">
        <f t="shared" si="370"/>
        <v>11802.570000000007</v>
      </c>
      <c r="G1016" s="16">
        <f t="shared" si="370"/>
        <v>11733.21</v>
      </c>
      <c r="H1016" s="16">
        <f t="shared" si="370"/>
        <v>11204.820000000007</v>
      </c>
      <c r="I1016" s="16">
        <f t="shared" si="370"/>
        <v>10656.029999999995</v>
      </c>
      <c r="J1016" s="16">
        <f t="shared" si="370"/>
        <v>11488.29</v>
      </c>
      <c r="K1016" s="16">
        <f t="shared" si="370"/>
        <v>11630.939999999999</v>
      </c>
      <c r="L1016" s="16">
        <f t="shared" si="370"/>
        <v>11036.010000000006</v>
      </c>
      <c r="M1016" s="16"/>
      <c r="N1016" s="65"/>
      <c r="O1016" s="65"/>
      <c r="P1016" s="66"/>
      <c r="Q1016" s="65"/>
      <c r="R1016" s="67"/>
      <c r="S1016" s="58"/>
    </row>
    <row r="1017" spans="1:27" ht="15.75">
      <c r="A1017" s="86">
        <v>44159</v>
      </c>
      <c r="B1017" s="120" t="s">
        <v>348</v>
      </c>
      <c r="C1017" s="57" t="s">
        <v>79</v>
      </c>
      <c r="D1017">
        <v>29125.200000000001</v>
      </c>
      <c r="E1017">
        <v>28978.35</v>
      </c>
      <c r="F1017">
        <v>28953.54</v>
      </c>
      <c r="G1017">
        <v>28988.5</v>
      </c>
      <c r="H1017">
        <v>29108.959999999999</v>
      </c>
      <c r="I1017">
        <v>29071.83</v>
      </c>
      <c r="J1017">
        <v>28973.040000000001</v>
      </c>
      <c r="K1017">
        <v>29003.56</v>
      </c>
      <c r="L1017">
        <v>29175.25</v>
      </c>
      <c r="M1017" s="16"/>
      <c r="N1017" s="59">
        <f>IF((L1018=""),"",MAX(D1019:L1019))</f>
        <v>13164.930000000004</v>
      </c>
      <c r="O1017" s="59">
        <f>IF(L1018="","",MIN(D1019:L1019))</f>
        <v>11991.21</v>
      </c>
      <c r="P1017" s="60">
        <f>IF((L1019=""),"",AVERAGE(D1019:L1019))</f>
        <v>12706.763333333336</v>
      </c>
      <c r="Q1017" s="156">
        <f>IF((L1018=""),"",((N1017-O1017)/(N1017+O1017)*100))</f>
        <v>4.6657396564019944</v>
      </c>
      <c r="R1017" s="61" t="str">
        <f>IF(L1018="","",IF(Q1017&lt;Z1017,IF(O1017&gt;V1017,IF(N1017&lt;W1017,"PASS","FAIL"),"FAIL"),"FAIL"))</f>
        <v>PASS</v>
      </c>
      <c r="S1017" s="62">
        <v>1159</v>
      </c>
      <c r="T1017" s="125" t="s">
        <v>480</v>
      </c>
      <c r="U1017" s="114"/>
      <c r="V1017" s="110">
        <v>10000</v>
      </c>
      <c r="W1017" s="110">
        <v>15600</v>
      </c>
      <c r="X1017" s="111">
        <v>8090</v>
      </c>
      <c r="Y1017" s="111">
        <v>12070</v>
      </c>
      <c r="Z1017" s="112">
        <v>15</v>
      </c>
      <c r="AA1017" s="112">
        <v>6</v>
      </c>
    </row>
    <row r="1018" spans="1:27" ht="15.75">
      <c r="B1018" s="122"/>
      <c r="C1018" s="57" t="s">
        <v>80</v>
      </c>
      <c r="D1018">
        <v>24736.89</v>
      </c>
      <c r="E1018">
        <v>24609.06</v>
      </c>
      <c r="F1018">
        <v>24705</v>
      </c>
      <c r="G1018">
        <v>24761.8</v>
      </c>
      <c r="H1018">
        <v>25111.89</v>
      </c>
      <c r="I1018">
        <v>24824.21</v>
      </c>
      <c r="J1018">
        <v>24710.22</v>
      </c>
      <c r="K1018">
        <v>24717.919999999998</v>
      </c>
      <c r="L1018">
        <v>25080.95</v>
      </c>
      <c r="M1018"/>
      <c r="N1018" s="53"/>
      <c r="O1018" s="53"/>
      <c r="P1018" s="63"/>
      <c r="Q1018" s="53"/>
      <c r="R1018" s="64"/>
      <c r="S1018" s="54"/>
      <c r="T1018" s="114"/>
      <c r="U1018" s="114"/>
    </row>
    <row r="1019" spans="1:27">
      <c r="B1019" s="122"/>
      <c r="C1019" s="57" t="s">
        <v>82</v>
      </c>
      <c r="D1019" s="16">
        <f t="shared" ref="D1019:L1019" si="371">IF(((D1017="")*AND(D1018="")),"",(D1017-D1018)*3)</f>
        <v>13164.930000000004</v>
      </c>
      <c r="E1019" s="16">
        <f t="shared" si="371"/>
        <v>13107.869999999992</v>
      </c>
      <c r="F1019" s="16">
        <f t="shared" si="371"/>
        <v>12745.620000000003</v>
      </c>
      <c r="G1019" s="16">
        <f t="shared" si="371"/>
        <v>12680.100000000002</v>
      </c>
      <c r="H1019" s="16">
        <f t="shared" si="371"/>
        <v>11991.21</v>
      </c>
      <c r="I1019" s="16">
        <f t="shared" si="371"/>
        <v>12742.860000000008</v>
      </c>
      <c r="J1019" s="16">
        <f t="shared" si="371"/>
        <v>12788.46</v>
      </c>
      <c r="K1019" s="16">
        <f t="shared" si="371"/>
        <v>12856.920000000009</v>
      </c>
      <c r="L1019" s="16">
        <f t="shared" si="371"/>
        <v>12282.899999999998</v>
      </c>
      <c r="M1019" s="16"/>
      <c r="N1019" s="65"/>
      <c r="O1019" s="65"/>
      <c r="P1019" s="66"/>
      <c r="Q1019" s="65"/>
      <c r="R1019" s="67"/>
      <c r="S1019" s="58"/>
    </row>
    <row r="1020" spans="1:27" ht="15.75">
      <c r="A1020" s="86">
        <v>44187</v>
      </c>
      <c r="B1020" s="120" t="s">
        <v>348</v>
      </c>
      <c r="C1020" s="57" t="s">
        <v>79</v>
      </c>
      <c r="D1020">
        <v>28932.49</v>
      </c>
      <c r="E1020">
        <v>28810.37</v>
      </c>
      <c r="F1020">
        <v>28786.01</v>
      </c>
      <c r="G1020">
        <v>28814.46</v>
      </c>
      <c r="H1020">
        <v>28920.02</v>
      </c>
      <c r="I1020">
        <v>28882.73</v>
      </c>
      <c r="J1020">
        <v>28785.06</v>
      </c>
      <c r="K1020">
        <v>28827.94</v>
      </c>
      <c r="L1020">
        <v>28963.75</v>
      </c>
      <c r="M1020" s="16"/>
      <c r="N1020" s="59">
        <f>IF((L1021=""),"",MAX(D1022:L1022))</f>
        <v>13531.830000000002</v>
      </c>
      <c r="O1020" s="59">
        <f>IF(L1021="","",MIN(D1022:L1022))</f>
        <v>11660.399999999998</v>
      </c>
      <c r="P1020" s="60">
        <f>IF((L1022=""),"",AVERAGE(D1022:L1022))</f>
        <v>12806.576666666668</v>
      </c>
      <c r="Q1020" s="156">
        <f>IF((L1021=""),"",((N1020-O1020)/(N1020+O1020)*100))</f>
        <v>7.428600008812257</v>
      </c>
      <c r="R1020" s="61" t="str">
        <f>IF(L1021="","",IF(Q1020&lt;Z1020,IF(O1020&gt;V1020,IF(N1020&lt;W1020,"PASS","FAIL"),"FAIL"),"FAIL"))</f>
        <v>PASS</v>
      </c>
      <c r="S1020" s="62">
        <v>121</v>
      </c>
      <c r="T1020" s="125"/>
      <c r="U1020" s="114"/>
      <c r="V1020" s="110">
        <v>10000</v>
      </c>
      <c r="W1020" s="110">
        <v>15600</v>
      </c>
      <c r="X1020" s="111">
        <v>8090</v>
      </c>
      <c r="Y1020" s="111">
        <v>12070</v>
      </c>
      <c r="Z1020" s="112">
        <v>15</v>
      </c>
      <c r="AA1020" s="112">
        <v>6</v>
      </c>
    </row>
    <row r="1021" spans="1:27" ht="15.75">
      <c r="B1021" s="122"/>
      <c r="C1021" s="57" t="s">
        <v>80</v>
      </c>
      <c r="D1021">
        <v>24545.18</v>
      </c>
      <c r="E1021">
        <v>24299.759999999998</v>
      </c>
      <c r="F1021">
        <v>24405.35</v>
      </c>
      <c r="G1021">
        <v>24515.5</v>
      </c>
      <c r="H1021">
        <v>25033.22</v>
      </c>
      <c r="I1021">
        <v>24667.58</v>
      </c>
      <c r="J1021">
        <v>24402.16</v>
      </c>
      <c r="K1021">
        <v>24467.5</v>
      </c>
      <c r="L1021">
        <v>24966.85</v>
      </c>
      <c r="M1021"/>
      <c r="N1021" s="53"/>
      <c r="O1021" s="53"/>
      <c r="P1021" s="63"/>
      <c r="Q1021" s="53"/>
      <c r="R1021" s="64"/>
      <c r="S1021" s="54"/>
      <c r="T1021" s="114"/>
      <c r="U1021" s="114"/>
    </row>
    <row r="1022" spans="1:27">
      <c r="B1022" s="122"/>
      <c r="C1022" s="57" t="s">
        <v>82</v>
      </c>
      <c r="D1022" s="16">
        <f t="shared" ref="D1022:L1022" si="372">IF(((D1020="")*AND(D1021="")),"",(D1020-D1021)*3)</f>
        <v>13161.930000000004</v>
      </c>
      <c r="E1022" s="16">
        <f t="shared" si="372"/>
        <v>13531.830000000002</v>
      </c>
      <c r="F1022" s="16">
        <f t="shared" si="372"/>
        <v>13141.98</v>
      </c>
      <c r="G1022" s="16">
        <f t="shared" si="372"/>
        <v>12896.879999999997</v>
      </c>
      <c r="H1022" s="16">
        <f t="shared" si="372"/>
        <v>11660.399999999998</v>
      </c>
      <c r="I1022" s="16">
        <f t="shared" si="372"/>
        <v>12645.449999999993</v>
      </c>
      <c r="J1022" s="16">
        <f t="shared" si="372"/>
        <v>13148.700000000004</v>
      </c>
      <c r="K1022" s="16">
        <f t="shared" si="372"/>
        <v>13081.319999999996</v>
      </c>
      <c r="L1022" s="16">
        <f t="shared" si="372"/>
        <v>11990.700000000004</v>
      </c>
      <c r="M1022" s="16"/>
      <c r="N1022" s="65"/>
      <c r="O1022" s="65"/>
      <c r="P1022" s="66"/>
      <c r="Q1022" s="65"/>
      <c r="R1022" s="67"/>
      <c r="S1022" s="58"/>
    </row>
    <row r="1023" spans="1:27" ht="15.75">
      <c r="A1023" s="86">
        <v>44187</v>
      </c>
      <c r="B1023" s="120" t="s">
        <v>348</v>
      </c>
      <c r="C1023" s="57" t="s">
        <v>79</v>
      </c>
      <c r="D1023">
        <v>28973.79</v>
      </c>
      <c r="E1023">
        <v>28827.23</v>
      </c>
      <c r="F1023">
        <v>28793.22</v>
      </c>
      <c r="G1023">
        <v>28818.13</v>
      </c>
      <c r="H1023">
        <v>28921.9</v>
      </c>
      <c r="I1023">
        <v>28915.599999999999</v>
      </c>
      <c r="J1023">
        <v>28815.38</v>
      </c>
      <c r="K1023">
        <v>28805.51</v>
      </c>
      <c r="L1023">
        <v>28937.66</v>
      </c>
      <c r="M1023" s="16"/>
      <c r="N1023" s="59">
        <f>IF((L1024=""),"",MAX(D1025:L1025))</f>
        <v>13342.98</v>
      </c>
      <c r="O1023" s="59">
        <f>IF(L1024="","",MIN(D1025:L1025))</f>
        <v>11657.010000000006</v>
      </c>
      <c r="P1023" s="60">
        <f>IF((L1025=""),"",AVERAGE(D1025:L1025))</f>
        <v>12700.080000000002</v>
      </c>
      <c r="Q1023" s="156">
        <f>IF((L1024=""),"",((N1023-O1023)/(N1023+O1023)*100))</f>
        <v>6.7438826975530528</v>
      </c>
      <c r="R1023" s="61" t="str">
        <f>IF(L1024="","",IF(Q1023&lt;AA1023,IF(O1023&gt;X1023,IF(N1023&lt;Y1023,"PASS","FAIL"),"FAIL"),"FAIL"))</f>
        <v>PASS</v>
      </c>
      <c r="S1023" s="62">
        <v>1159</v>
      </c>
      <c r="T1023" s="125" t="s">
        <v>489</v>
      </c>
      <c r="U1023" s="114" t="s">
        <v>484</v>
      </c>
      <c r="V1023" s="110">
        <v>10000</v>
      </c>
      <c r="W1023" s="110">
        <v>15600</v>
      </c>
      <c r="X1023" s="111">
        <v>10000</v>
      </c>
      <c r="Y1023" s="111">
        <v>15600</v>
      </c>
      <c r="Z1023" s="112">
        <v>15</v>
      </c>
      <c r="AA1023" s="112">
        <v>10</v>
      </c>
    </row>
    <row r="1024" spans="1:27" ht="15.75">
      <c r="B1024" s="122"/>
      <c r="C1024" s="57" t="s">
        <v>80</v>
      </c>
      <c r="D1024">
        <v>25088.12</v>
      </c>
      <c r="E1024">
        <v>24583.46</v>
      </c>
      <c r="F1024">
        <v>24480.62</v>
      </c>
      <c r="G1024">
        <v>24370.47</v>
      </c>
      <c r="H1024">
        <v>24555.45</v>
      </c>
      <c r="I1024">
        <v>24927.8</v>
      </c>
      <c r="J1024">
        <v>24493.51</v>
      </c>
      <c r="K1024">
        <v>24479.15</v>
      </c>
      <c r="L1024">
        <v>24729.599999999999</v>
      </c>
      <c r="M1024"/>
      <c r="N1024" s="53"/>
      <c r="O1024" s="53"/>
      <c r="P1024" s="63"/>
      <c r="Q1024" s="53"/>
      <c r="R1024" s="64"/>
      <c r="S1024" s="54"/>
      <c r="T1024" s="114"/>
      <c r="U1024" s="114"/>
    </row>
    <row r="1025" spans="1:27">
      <c r="B1025" s="122"/>
      <c r="C1025" s="57" t="s">
        <v>82</v>
      </c>
      <c r="D1025" s="16">
        <f t="shared" ref="D1025:L1025" si="373">IF(((D1023="")*AND(D1024="")),"",(D1023-D1024)*3)</f>
        <v>11657.010000000006</v>
      </c>
      <c r="E1025" s="16">
        <f t="shared" si="373"/>
        <v>12731.310000000001</v>
      </c>
      <c r="F1025" s="16">
        <f t="shared" si="373"/>
        <v>12937.800000000007</v>
      </c>
      <c r="G1025" s="16">
        <f t="shared" si="373"/>
        <v>13342.98</v>
      </c>
      <c r="H1025" s="16">
        <f t="shared" si="373"/>
        <v>13099.350000000002</v>
      </c>
      <c r="I1025" s="16">
        <f t="shared" si="373"/>
        <v>11963.399999999998</v>
      </c>
      <c r="J1025" s="16">
        <f t="shared" si="373"/>
        <v>12965.610000000008</v>
      </c>
      <c r="K1025" s="16">
        <f t="shared" si="373"/>
        <v>12979.079999999991</v>
      </c>
      <c r="L1025" s="16">
        <f t="shared" si="373"/>
        <v>12624.180000000004</v>
      </c>
      <c r="M1025" s="16"/>
      <c r="N1025" s="65"/>
      <c r="O1025" s="65"/>
      <c r="P1025" s="66"/>
      <c r="Q1025" s="65"/>
      <c r="R1025" s="67"/>
      <c r="S1025" s="58"/>
    </row>
    <row r="1026" spans="1:27">
      <c r="Z1026" s="112"/>
      <c r="AA1026" s="112"/>
    </row>
    <row r="1027" spans="1:27" ht="15.75">
      <c r="A1027" s="86">
        <v>44193</v>
      </c>
      <c r="B1027" s="120" t="s">
        <v>348</v>
      </c>
      <c r="C1027" s="57" t="s">
        <v>79</v>
      </c>
      <c r="D1027">
        <v>28960.880000000001</v>
      </c>
      <c r="E1027">
        <v>28810.31</v>
      </c>
      <c r="F1027">
        <v>28772.43</v>
      </c>
      <c r="G1027">
        <v>28804.36</v>
      </c>
      <c r="H1027">
        <v>28898.48</v>
      </c>
      <c r="I1027">
        <v>28912.94</v>
      </c>
      <c r="J1027">
        <v>28783.09</v>
      </c>
      <c r="K1027">
        <v>28798.720000000001</v>
      </c>
      <c r="L1027">
        <v>28934.83</v>
      </c>
      <c r="M1027" s="16"/>
      <c r="N1027" s="59">
        <f>IF((L1028=""),"",MAX(D1029:L1029))</f>
        <v>13198.379999999997</v>
      </c>
      <c r="O1027" s="59">
        <f>IF(L1028="","",MIN(D1029:L1029))</f>
        <v>11565.810000000001</v>
      </c>
      <c r="P1027" s="60">
        <f>IF((L1029=""),"",AVERAGE(D1029:L1029))</f>
        <v>12565.56</v>
      </c>
      <c r="Q1027" s="156">
        <f>IF((L1028=""),"",((N1027-O1027)/(N1027+O1027)*100))</f>
        <v>6.5924627456015976</v>
      </c>
      <c r="R1027" s="61" t="str">
        <f>IF(L1028="","",IF(Q1027&lt;AA1027,IF(O1027&gt;X1027,IF(N1027&lt;Y1027,"PASS","FAIL"),"FAIL"),"FAIL"))</f>
        <v>PASS</v>
      </c>
      <c r="S1027" s="62">
        <v>1159</v>
      </c>
      <c r="T1027" s="125" t="s">
        <v>488</v>
      </c>
      <c r="U1027" s="114"/>
      <c r="V1027" s="110">
        <v>10000</v>
      </c>
      <c r="W1027" s="110">
        <v>15600</v>
      </c>
      <c r="X1027" s="111">
        <v>10000</v>
      </c>
      <c r="Y1027" s="111">
        <v>15600</v>
      </c>
      <c r="Z1027" s="112">
        <v>15</v>
      </c>
      <c r="AA1027" s="112">
        <v>10</v>
      </c>
    </row>
    <row r="1028" spans="1:27" ht="15.75">
      <c r="B1028" s="122"/>
      <c r="C1028" s="57" t="s">
        <v>80</v>
      </c>
      <c r="D1028">
        <v>25105.61</v>
      </c>
      <c r="E1028">
        <v>24601.27</v>
      </c>
      <c r="F1028">
        <v>24513.03</v>
      </c>
      <c r="G1028">
        <v>24404.9</v>
      </c>
      <c r="H1028">
        <v>24589.72</v>
      </c>
      <c r="I1028">
        <v>24974.53</v>
      </c>
      <c r="J1028">
        <v>24532.13</v>
      </c>
      <c r="K1028">
        <v>24498.2</v>
      </c>
      <c r="L1028">
        <v>24759.97</v>
      </c>
      <c r="M1028"/>
      <c r="N1028" s="53"/>
      <c r="O1028" s="53"/>
      <c r="P1028" s="63"/>
      <c r="Q1028" s="53"/>
      <c r="R1028" s="64"/>
      <c r="S1028" s="54"/>
      <c r="T1028" s="114"/>
      <c r="U1028" s="114"/>
    </row>
    <row r="1029" spans="1:27">
      <c r="B1029" s="122"/>
      <c r="C1029" s="57" t="s">
        <v>82</v>
      </c>
      <c r="D1029" s="16">
        <f t="shared" ref="D1029:L1029" si="374">IF(((D1027="")*AND(D1028="")),"",(D1027-D1028)*3)</f>
        <v>11565.810000000001</v>
      </c>
      <c r="E1029" s="16">
        <f t="shared" si="374"/>
        <v>12627.120000000003</v>
      </c>
      <c r="F1029" s="16">
        <f t="shared" si="374"/>
        <v>12778.200000000004</v>
      </c>
      <c r="G1029" s="16">
        <f t="shared" si="374"/>
        <v>13198.379999999997</v>
      </c>
      <c r="H1029" s="16">
        <f t="shared" si="374"/>
        <v>12926.279999999995</v>
      </c>
      <c r="I1029" s="16">
        <f t="shared" si="374"/>
        <v>11815.23</v>
      </c>
      <c r="J1029" s="16">
        <f t="shared" si="374"/>
        <v>12752.879999999997</v>
      </c>
      <c r="K1029" s="16">
        <f t="shared" si="374"/>
        <v>12901.560000000001</v>
      </c>
      <c r="L1029" s="16">
        <f t="shared" si="374"/>
        <v>12524.580000000002</v>
      </c>
      <c r="M1029" s="16"/>
      <c r="N1029" s="65"/>
      <c r="O1029" s="65"/>
      <c r="P1029" s="66"/>
      <c r="Q1029" s="65"/>
      <c r="R1029" s="67"/>
      <c r="S1029" s="58"/>
    </row>
    <row r="1030" spans="1:27" ht="15.75">
      <c r="A1030" s="86">
        <v>44201</v>
      </c>
      <c r="B1030" s="120" t="s">
        <v>348</v>
      </c>
      <c r="C1030" s="57" t="s">
        <v>79</v>
      </c>
      <c r="D1030">
        <v>28878.98</v>
      </c>
      <c r="E1030">
        <v>28750.2</v>
      </c>
      <c r="F1030">
        <v>28734.31</v>
      </c>
      <c r="G1030">
        <v>28748.21</v>
      </c>
      <c r="H1030">
        <v>28860.85</v>
      </c>
      <c r="I1030">
        <v>28854.81</v>
      </c>
      <c r="J1030">
        <v>28752.14</v>
      </c>
      <c r="K1030">
        <v>28744.15</v>
      </c>
      <c r="L1030">
        <v>28909.9</v>
      </c>
      <c r="M1030" s="16"/>
      <c r="N1030" s="59">
        <f>IF((L1031=""),"",MAX(D1032:L1032))</f>
        <v>13776.330000000002</v>
      </c>
      <c r="O1030" s="59">
        <f>IF(L1031="","",MIN(D1032:L1032))</f>
        <v>12094.379999999997</v>
      </c>
      <c r="P1030" s="60">
        <f>IF((L1032=""),"",AVERAGE(D1032:L1032))</f>
        <v>13183.433333333332</v>
      </c>
      <c r="Q1030" s="156">
        <f>IF((L1031=""),"",((N1030-O1030)/(N1030+O1030)*100))</f>
        <v>6.5013677630030422</v>
      </c>
      <c r="R1030" s="61" t="str">
        <f>IF(L1031="","",IF(Q1030&lt;AA1030,IF(O1030&gt;X1030,IF(N1030&lt;Y1030,"PASS","FAIL"),"FAIL"),"FAIL"))</f>
        <v>PASS</v>
      </c>
      <c r="S1030" s="62">
        <v>1159</v>
      </c>
      <c r="T1030" s="125" t="s">
        <v>491</v>
      </c>
      <c r="U1030" s="114"/>
      <c r="V1030" s="110">
        <v>10000</v>
      </c>
      <c r="W1030" s="110">
        <v>15600</v>
      </c>
      <c r="X1030" s="111">
        <v>10000</v>
      </c>
      <c r="Y1030" s="111">
        <v>15600</v>
      </c>
      <c r="Z1030" s="112">
        <v>15</v>
      </c>
      <c r="AA1030" s="112">
        <v>10</v>
      </c>
    </row>
    <row r="1031" spans="1:27" ht="15.75">
      <c r="B1031" s="122"/>
      <c r="C1031" s="57" t="s">
        <v>80</v>
      </c>
      <c r="D1031">
        <v>24847.52</v>
      </c>
      <c r="E1031">
        <v>24320.14</v>
      </c>
      <c r="F1031">
        <v>24248.53</v>
      </c>
      <c r="G1031">
        <v>24156.1</v>
      </c>
      <c r="H1031">
        <v>24355.63</v>
      </c>
      <c r="I1031">
        <v>24710.79</v>
      </c>
      <c r="J1031">
        <v>24280.560000000001</v>
      </c>
      <c r="K1031">
        <v>24238.35</v>
      </c>
      <c r="L1031">
        <v>24525.63</v>
      </c>
      <c r="M1031"/>
      <c r="N1031" s="53"/>
      <c r="O1031" s="53"/>
      <c r="P1031" s="63"/>
      <c r="Q1031" s="53"/>
      <c r="R1031" s="64"/>
      <c r="S1031" s="54"/>
      <c r="T1031" s="114"/>
      <c r="U1031" s="114"/>
    </row>
    <row r="1032" spans="1:27">
      <c r="B1032" s="122"/>
      <c r="C1032" s="57" t="s">
        <v>82</v>
      </c>
      <c r="D1032" s="16">
        <f t="shared" ref="D1032:L1032" si="375">IF(((D1030="")*AND(D1031="")),"",(D1030-D1031)*3)</f>
        <v>12094.379999999997</v>
      </c>
      <c r="E1032" s="16">
        <f t="shared" si="375"/>
        <v>13290.180000000004</v>
      </c>
      <c r="F1032" s="16">
        <f t="shared" si="375"/>
        <v>13457.340000000007</v>
      </c>
      <c r="G1032" s="16">
        <f t="shared" si="375"/>
        <v>13776.330000000002</v>
      </c>
      <c r="H1032" s="16">
        <f t="shared" si="375"/>
        <v>13515.659999999993</v>
      </c>
      <c r="I1032" s="16">
        <f t="shared" si="375"/>
        <v>12432.060000000001</v>
      </c>
      <c r="J1032" s="16">
        <f t="shared" si="375"/>
        <v>13414.739999999994</v>
      </c>
      <c r="K1032" s="16">
        <f t="shared" si="375"/>
        <v>13517.400000000009</v>
      </c>
      <c r="L1032" s="16">
        <f t="shared" si="375"/>
        <v>13152.810000000001</v>
      </c>
      <c r="M1032" s="16"/>
      <c r="N1032" s="65"/>
      <c r="O1032" s="65"/>
      <c r="P1032" s="66"/>
      <c r="Q1032" s="65"/>
      <c r="R1032" s="67"/>
      <c r="S1032" s="58"/>
    </row>
    <row r="1033" spans="1:27" ht="15.75">
      <c r="A1033" s="86">
        <v>44207</v>
      </c>
      <c r="B1033" s="120" t="s">
        <v>348</v>
      </c>
      <c r="C1033" s="57" t="s">
        <v>79</v>
      </c>
      <c r="D1033">
        <v>28895.34</v>
      </c>
      <c r="E1033">
        <v>28752.959999999999</v>
      </c>
      <c r="F1033">
        <v>28734.03</v>
      </c>
      <c r="G1033">
        <v>28738.36</v>
      </c>
      <c r="H1033">
        <v>28821.34</v>
      </c>
      <c r="I1033">
        <v>28852.78</v>
      </c>
      <c r="J1033">
        <v>28732.53</v>
      </c>
      <c r="K1033">
        <v>28742.74</v>
      </c>
      <c r="L1033">
        <v>28852.48</v>
      </c>
      <c r="M1033" s="16"/>
      <c r="N1033" s="59">
        <f>IF((L1034=""),"",MAX(D1035:L1035))</f>
        <v>13436.820000000007</v>
      </c>
      <c r="O1033" s="59">
        <f>IF(L1034="","",MIN(D1035:L1035))</f>
        <v>11647.470000000005</v>
      </c>
      <c r="P1033" s="60">
        <f>IF((L1035=""),"",AVERAGE(D1035:L1035))</f>
        <v>12746.426666666666</v>
      </c>
      <c r="Q1033" s="156">
        <f>IF((L1034=""),"",((N1033-O1033)/(N1033+O1033)*100))</f>
        <v>7.1333491998378324</v>
      </c>
      <c r="R1033" s="61" t="str">
        <f>IF(L1034="","",IF(Q1033&lt;AA1033,IF(O1033&gt;X1033,IF(N1033&lt;Y1033,"PASS","FAIL"),"FAIL"),"FAIL"))</f>
        <v>PASS</v>
      </c>
      <c r="S1033" s="62">
        <v>121</v>
      </c>
      <c r="T1033" s="125" t="s">
        <v>494</v>
      </c>
      <c r="U1033" s="114"/>
      <c r="V1033" s="110">
        <v>10000</v>
      </c>
      <c r="W1033" s="110">
        <v>15600</v>
      </c>
      <c r="X1033" s="111">
        <v>10000</v>
      </c>
      <c r="Y1033" s="111">
        <v>15600</v>
      </c>
      <c r="Z1033" s="112">
        <v>15</v>
      </c>
      <c r="AA1033" s="112">
        <v>10</v>
      </c>
    </row>
    <row r="1034" spans="1:27" ht="15.75">
      <c r="B1034" s="122"/>
      <c r="C1034" s="57" t="s">
        <v>80</v>
      </c>
      <c r="D1034">
        <v>25012.85</v>
      </c>
      <c r="E1034">
        <v>24471.37</v>
      </c>
      <c r="F1034">
        <v>24385.9</v>
      </c>
      <c r="G1034">
        <v>24259.42</v>
      </c>
      <c r="H1034">
        <v>24444.880000000001</v>
      </c>
      <c r="I1034">
        <v>24870.38</v>
      </c>
      <c r="J1034">
        <v>24393.87</v>
      </c>
      <c r="K1034">
        <v>24376.39</v>
      </c>
      <c r="L1034">
        <v>24668.22</v>
      </c>
      <c r="M1034"/>
      <c r="N1034" s="53"/>
      <c r="O1034" s="53"/>
      <c r="P1034" s="63"/>
      <c r="Q1034" s="53"/>
      <c r="R1034" s="64"/>
      <c r="S1034" s="54"/>
      <c r="T1034" s="114"/>
      <c r="U1034" s="114"/>
    </row>
    <row r="1035" spans="1:27">
      <c r="B1035" s="122"/>
      <c r="C1035" s="57" t="s">
        <v>82</v>
      </c>
      <c r="D1035" s="16">
        <f t="shared" ref="D1035:L1035" si="376">IF(((D1033="")*AND(D1034="")),"",(D1033-D1034)*3)</f>
        <v>11647.470000000005</v>
      </c>
      <c r="E1035" s="16">
        <f t="shared" si="376"/>
        <v>12844.77</v>
      </c>
      <c r="F1035" s="16">
        <f t="shared" si="376"/>
        <v>13044.389999999992</v>
      </c>
      <c r="G1035" s="16">
        <f t="shared" si="376"/>
        <v>13436.820000000007</v>
      </c>
      <c r="H1035" s="16">
        <f t="shared" si="376"/>
        <v>13129.379999999997</v>
      </c>
      <c r="I1035" s="16">
        <f t="shared" si="376"/>
        <v>11947.199999999993</v>
      </c>
      <c r="J1035" s="16">
        <f t="shared" si="376"/>
        <v>13015.98</v>
      </c>
      <c r="K1035" s="16">
        <f t="shared" si="376"/>
        <v>13099.050000000007</v>
      </c>
      <c r="L1035" s="16">
        <f t="shared" si="376"/>
        <v>12552.779999999995</v>
      </c>
      <c r="M1035" s="16"/>
      <c r="N1035" s="65"/>
      <c r="O1035" s="65"/>
      <c r="P1035" s="66"/>
      <c r="Q1035" s="65"/>
      <c r="R1035" s="67"/>
      <c r="S1035" s="58"/>
    </row>
    <row r="1036" spans="1:27" ht="15.75">
      <c r="A1036" s="86">
        <v>44216</v>
      </c>
      <c r="B1036" s="120" t="s">
        <v>348</v>
      </c>
      <c r="C1036" s="57" t="s">
        <v>79</v>
      </c>
      <c r="D1036">
        <v>28889.74</v>
      </c>
      <c r="E1036">
        <v>28742.85</v>
      </c>
      <c r="F1036">
        <v>28697.94</v>
      </c>
      <c r="G1036">
        <v>28726.65</v>
      </c>
      <c r="H1036">
        <v>28833.3</v>
      </c>
      <c r="I1036">
        <v>28814.21</v>
      </c>
      <c r="J1036">
        <v>28707.15</v>
      </c>
      <c r="K1036">
        <v>28726.59</v>
      </c>
      <c r="L1036">
        <v>28871.07</v>
      </c>
      <c r="M1036" s="16"/>
      <c r="N1036" s="59">
        <f>IF((L1037=""),"",MAX(D1038:L1038))</f>
        <v>15388.410000000003</v>
      </c>
      <c r="O1036" s="59">
        <f>IF(L1037="","",MIN(D1038:L1038))</f>
        <v>13029.360000000008</v>
      </c>
      <c r="P1036" s="60">
        <f>IF((L1038=""),"",AVERAGE(D1038:L1038))</f>
        <v>14491.86</v>
      </c>
      <c r="Q1036" s="156">
        <f>IF((L1037=""),"",((N1036-O1036)/(N1036+O1036)*100))</f>
        <v>8.3013199135611089</v>
      </c>
      <c r="R1036" s="61" t="str">
        <f>IF(L1037="","",IF(Q1036&lt;AA1036,IF(O1036&gt;X1036,IF(N1036&lt;Y1036,"PASS","FAIL"),"FAIL"),"FAIL"))</f>
        <v>PASS</v>
      </c>
      <c r="S1036" s="62">
        <v>74</v>
      </c>
      <c r="T1036" s="125" t="s">
        <v>495</v>
      </c>
      <c r="U1036" s="114"/>
      <c r="V1036" s="110">
        <v>10000</v>
      </c>
      <c r="W1036" s="110">
        <v>15600</v>
      </c>
      <c r="X1036" s="111">
        <v>10000</v>
      </c>
      <c r="Y1036" s="111">
        <v>15600</v>
      </c>
      <c r="Z1036" s="112">
        <v>15</v>
      </c>
      <c r="AA1036" s="112">
        <v>10</v>
      </c>
    </row>
    <row r="1037" spans="1:27" ht="15.75">
      <c r="B1037" s="122"/>
      <c r="C1037" s="57" t="s">
        <v>80</v>
      </c>
      <c r="D1037">
        <v>24546.62</v>
      </c>
      <c r="E1037">
        <v>23897.7</v>
      </c>
      <c r="F1037">
        <v>23744.080000000002</v>
      </c>
      <c r="G1037">
        <v>23597.18</v>
      </c>
      <c r="H1037">
        <v>23802.59</v>
      </c>
      <c r="I1037">
        <v>24338.59</v>
      </c>
      <c r="J1037">
        <v>23775.55</v>
      </c>
      <c r="K1037">
        <v>23775.16</v>
      </c>
      <c r="L1037">
        <v>24056.45</v>
      </c>
      <c r="M1037"/>
      <c r="N1037" s="53"/>
      <c r="O1037" s="53"/>
      <c r="P1037" s="63"/>
      <c r="Q1037" s="53"/>
      <c r="R1037" s="64"/>
      <c r="S1037" s="54"/>
      <c r="T1037" s="114"/>
      <c r="U1037" s="114"/>
    </row>
    <row r="1038" spans="1:27">
      <c r="B1038" s="122"/>
      <c r="C1038" s="57" t="s">
        <v>82</v>
      </c>
      <c r="D1038" s="16">
        <f t="shared" ref="D1038:L1038" si="377">IF(((D1036="")*AND(D1037="")),"",(D1036-D1037)*3)</f>
        <v>13029.360000000008</v>
      </c>
      <c r="E1038" s="16">
        <f t="shared" si="377"/>
        <v>14535.449999999993</v>
      </c>
      <c r="F1038" s="16">
        <f t="shared" si="377"/>
        <v>14861.579999999991</v>
      </c>
      <c r="G1038" s="16">
        <f t="shared" si="377"/>
        <v>15388.410000000003</v>
      </c>
      <c r="H1038" s="16">
        <f t="shared" si="377"/>
        <v>15092.129999999997</v>
      </c>
      <c r="I1038" s="16">
        <f t="shared" si="377"/>
        <v>13426.859999999997</v>
      </c>
      <c r="J1038" s="16">
        <f t="shared" si="377"/>
        <v>14794.800000000007</v>
      </c>
      <c r="K1038" s="16">
        <f t="shared" si="377"/>
        <v>14854.29</v>
      </c>
      <c r="L1038" s="16">
        <f t="shared" si="377"/>
        <v>14443.859999999997</v>
      </c>
      <c r="M1038" s="16"/>
      <c r="N1038" s="65"/>
      <c r="O1038" s="65"/>
      <c r="P1038" s="66"/>
      <c r="Q1038" s="65"/>
      <c r="R1038" s="67"/>
      <c r="S1038" s="58"/>
    </row>
    <row r="1039" spans="1:27" ht="15.75">
      <c r="A1039" s="86">
        <v>44221</v>
      </c>
      <c r="B1039" s="120" t="s">
        <v>348</v>
      </c>
      <c r="C1039" s="57" t="s">
        <v>79</v>
      </c>
      <c r="D1039">
        <v>29000.34</v>
      </c>
      <c r="E1039">
        <v>28885.05</v>
      </c>
      <c r="F1039">
        <v>28861.88</v>
      </c>
      <c r="G1039">
        <v>28893.96</v>
      </c>
      <c r="H1039">
        <v>29019.47</v>
      </c>
      <c r="I1039">
        <v>29007.93</v>
      </c>
      <c r="J1039">
        <v>28874.71</v>
      </c>
      <c r="K1039">
        <v>28878.26</v>
      </c>
      <c r="L1039">
        <v>29020.89</v>
      </c>
      <c r="M1039" s="16"/>
      <c r="N1039" s="59">
        <f>IF((L1040=""),"",MAX(D1041:L1041))</f>
        <v>13463.759999999995</v>
      </c>
      <c r="O1039" s="59">
        <f>IF(L1040="","",MIN(D1041:L1041))</f>
        <v>11796.27</v>
      </c>
      <c r="P1039" s="60">
        <f>IF((L1041=""),"",AVERAGE(D1041:L1041))</f>
        <v>12838.606666666667</v>
      </c>
      <c r="Q1039" s="156">
        <f>IF((L1040=""),"",((N1039-O1039)/(N1039+O1039)*100))</f>
        <v>6.6012985732795837</v>
      </c>
      <c r="R1039" s="61" t="str">
        <f>IF(L1040="","",IF(Q1039&lt;AA1039,IF(O1039&gt;X1039,IF(N1039&lt;Y1039,"PASS","FAIL"),"FAIL"),"FAIL"))</f>
        <v>PASS</v>
      </c>
      <c r="S1039" s="62">
        <v>1335</v>
      </c>
      <c r="T1039" s="125" t="s">
        <v>497</v>
      </c>
      <c r="U1039" s="114"/>
      <c r="V1039" s="110">
        <v>10000</v>
      </c>
      <c r="W1039" s="110">
        <v>15600</v>
      </c>
      <c r="X1039" s="111">
        <v>10000</v>
      </c>
      <c r="Y1039" s="111">
        <v>15600</v>
      </c>
      <c r="Z1039" s="112">
        <v>15</v>
      </c>
      <c r="AA1039" s="112">
        <v>10</v>
      </c>
    </row>
    <row r="1040" spans="1:27" ht="15.75">
      <c r="B1040" s="122"/>
      <c r="C1040" s="57" t="s">
        <v>80</v>
      </c>
      <c r="D1040">
        <v>25068.25</v>
      </c>
      <c r="E1040">
        <v>24610.42</v>
      </c>
      <c r="F1040">
        <v>24523.3</v>
      </c>
      <c r="G1040">
        <v>24406.04</v>
      </c>
      <c r="H1040">
        <v>24547.96</v>
      </c>
      <c r="I1040">
        <v>24952.7</v>
      </c>
      <c r="J1040">
        <v>24519.52</v>
      </c>
      <c r="K1040">
        <v>24516.27</v>
      </c>
      <c r="L1040">
        <v>24782.21</v>
      </c>
      <c r="M1040"/>
      <c r="N1040" s="53"/>
      <c r="O1040" s="53"/>
      <c r="P1040" s="63"/>
      <c r="Q1040" s="53"/>
      <c r="R1040" s="64"/>
      <c r="S1040" s="54"/>
      <c r="T1040" s="114"/>
      <c r="U1040" s="114"/>
    </row>
    <row r="1041" spans="1:27">
      <c r="B1041" s="122"/>
      <c r="C1041" s="57" t="s">
        <v>82</v>
      </c>
      <c r="D1041" s="16">
        <f t="shared" ref="D1041:L1041" si="378">IF(((D1039="")*AND(D1040="")),"",(D1039-D1040)*3)</f>
        <v>11796.27</v>
      </c>
      <c r="E1041" s="16">
        <f t="shared" si="378"/>
        <v>12823.890000000003</v>
      </c>
      <c r="F1041" s="16">
        <f t="shared" si="378"/>
        <v>13015.740000000005</v>
      </c>
      <c r="G1041" s="16">
        <f t="shared" si="378"/>
        <v>13463.759999999995</v>
      </c>
      <c r="H1041" s="16">
        <f t="shared" si="378"/>
        <v>13414.530000000006</v>
      </c>
      <c r="I1041" s="16">
        <f t="shared" si="378"/>
        <v>12165.689999999999</v>
      </c>
      <c r="J1041" s="16">
        <f t="shared" si="378"/>
        <v>13065.569999999996</v>
      </c>
      <c r="K1041" s="16">
        <f t="shared" si="378"/>
        <v>13085.969999999994</v>
      </c>
      <c r="L1041" s="16">
        <f t="shared" si="378"/>
        <v>12716.04</v>
      </c>
      <c r="M1041" s="16"/>
      <c r="N1041" s="65"/>
      <c r="O1041" s="65"/>
      <c r="P1041" s="66"/>
      <c r="Q1041" s="65"/>
      <c r="R1041" s="67"/>
      <c r="S1041" s="58"/>
    </row>
    <row r="1042" spans="1:27" ht="15.75">
      <c r="A1042" s="86">
        <v>44224</v>
      </c>
      <c r="B1042" s="120" t="s">
        <v>348</v>
      </c>
      <c r="C1042" s="57" t="s">
        <v>79</v>
      </c>
      <c r="D1042">
        <v>29111.93</v>
      </c>
      <c r="E1042">
        <v>28996.48</v>
      </c>
      <c r="F1042">
        <v>28960.53</v>
      </c>
      <c r="G1042">
        <v>28977.3</v>
      </c>
      <c r="H1042">
        <v>29104.35</v>
      </c>
      <c r="I1042">
        <v>29087.41</v>
      </c>
      <c r="J1042">
        <v>28972.43</v>
      </c>
      <c r="K1042">
        <v>28985.52</v>
      </c>
      <c r="L1042">
        <v>29112.18</v>
      </c>
      <c r="M1042" s="16"/>
      <c r="N1042" s="59">
        <f>IF((L1043=""),"",MAX(D1044:L1044))</f>
        <v>15105.48</v>
      </c>
      <c r="O1042" s="59">
        <f>IF(L1043="","",MIN(D1044:L1044))</f>
        <v>13062.029999999995</v>
      </c>
      <c r="P1042" s="60">
        <f>IF((L1044=""),"",AVERAGE(D1044:L1044))</f>
        <v>14295.099999999999</v>
      </c>
      <c r="Q1042" s="156">
        <f>IF((L1043=""),"",((N1042-O1042)/(N1042+O1042)*100))</f>
        <v>7.2546348612284319</v>
      </c>
      <c r="R1042" s="61" t="str">
        <f>IF(L1043="","",IF(Q1042&lt;AA1042,IF(O1042&gt;X1042,IF(N1042&lt;Y1042,"PASS","FAIL"),"FAIL"),"FAIL"))</f>
        <v>PASS</v>
      </c>
      <c r="S1042" s="62">
        <v>1340</v>
      </c>
      <c r="T1042" s="125" t="s">
        <v>499</v>
      </c>
      <c r="U1042" s="114"/>
      <c r="V1042" s="110">
        <v>10000</v>
      </c>
      <c r="W1042" s="110">
        <v>15600</v>
      </c>
      <c r="X1042" s="111">
        <v>10000</v>
      </c>
      <c r="Y1042" s="111">
        <v>15600</v>
      </c>
      <c r="Z1042" s="112">
        <v>15</v>
      </c>
      <c r="AA1042" s="112">
        <v>10</v>
      </c>
    </row>
    <row r="1043" spans="1:27" ht="15.75">
      <c r="B1043" s="122"/>
      <c r="C1043" s="57" t="s">
        <v>80</v>
      </c>
      <c r="D1043">
        <v>24163.55</v>
      </c>
      <c r="E1043">
        <v>23961.32</v>
      </c>
      <c r="F1043">
        <v>24080.81</v>
      </c>
      <c r="G1043">
        <v>24210.01</v>
      </c>
      <c r="H1043">
        <v>24750.34</v>
      </c>
      <c r="I1043">
        <v>24341.52</v>
      </c>
      <c r="J1043">
        <v>24095</v>
      </c>
      <c r="K1043">
        <v>24147</v>
      </c>
      <c r="L1043">
        <v>24673.279999999999</v>
      </c>
      <c r="M1043"/>
      <c r="N1043" s="53"/>
      <c r="O1043" s="53"/>
      <c r="P1043" s="63"/>
      <c r="Q1043" s="53"/>
      <c r="R1043" s="64"/>
      <c r="S1043" s="54"/>
      <c r="T1043" s="114"/>
      <c r="U1043" s="114"/>
    </row>
    <row r="1044" spans="1:27">
      <c r="B1044" s="122"/>
      <c r="C1044" s="57" t="s">
        <v>82</v>
      </c>
      <c r="D1044" s="16">
        <f t="shared" ref="D1044:L1044" si="379">IF(((D1042="")*AND(D1043="")),"",(D1042-D1043)*3)</f>
        <v>14845.140000000003</v>
      </c>
      <c r="E1044" s="16">
        <f t="shared" si="379"/>
        <v>15105.48</v>
      </c>
      <c r="F1044" s="16">
        <f t="shared" si="379"/>
        <v>14639.159999999993</v>
      </c>
      <c r="G1044" s="16">
        <f t="shared" si="379"/>
        <v>14301.870000000003</v>
      </c>
      <c r="H1044" s="16">
        <f t="shared" si="379"/>
        <v>13062.029999999995</v>
      </c>
      <c r="I1044" s="16">
        <f t="shared" si="379"/>
        <v>14237.669999999998</v>
      </c>
      <c r="J1044" s="16">
        <f t="shared" si="379"/>
        <v>14632.29</v>
      </c>
      <c r="K1044" s="16">
        <f t="shared" si="379"/>
        <v>14515.560000000001</v>
      </c>
      <c r="L1044" s="16">
        <f t="shared" si="379"/>
        <v>13316.700000000004</v>
      </c>
      <c r="M1044" s="16"/>
      <c r="N1044" s="65"/>
      <c r="O1044" s="65"/>
      <c r="P1044" s="66"/>
      <c r="Q1044" s="65"/>
      <c r="R1044" s="67"/>
      <c r="S1044" s="58"/>
    </row>
    <row r="1045" spans="1:27" ht="15.75">
      <c r="A1045" s="86">
        <v>44229</v>
      </c>
      <c r="B1045" s="120" t="s">
        <v>348</v>
      </c>
      <c r="C1045" s="57" t="s">
        <v>79</v>
      </c>
      <c r="D1045">
        <v>29071</v>
      </c>
      <c r="E1045">
        <v>28944</v>
      </c>
      <c r="F1045">
        <v>28908</v>
      </c>
      <c r="G1045">
        <v>28923</v>
      </c>
      <c r="H1045">
        <v>29063</v>
      </c>
      <c r="I1045">
        <v>29033</v>
      </c>
      <c r="J1045">
        <v>28917</v>
      </c>
      <c r="K1045">
        <v>28932</v>
      </c>
      <c r="L1045">
        <v>29084</v>
      </c>
      <c r="M1045" s="16"/>
      <c r="N1045" s="59">
        <f>IF((L1046=""),"",MAX(D1047:L1047))</f>
        <v>14568</v>
      </c>
      <c r="O1045" s="59">
        <f>IF(L1046="","",MIN(D1047:L1047))</f>
        <v>12639</v>
      </c>
      <c r="P1045" s="60">
        <f>IF((L1047=""),"",AVERAGE(D1047:L1047))</f>
        <v>13813</v>
      </c>
      <c r="Q1045" s="156">
        <f>IF((L1046=""),"",((N1045-O1045)/(N1045+O1045)*100))</f>
        <v>7.0900871099349434</v>
      </c>
      <c r="R1045" s="61" t="str">
        <f>IF(L1046="","",IF(Q1045&lt;AA1045,IF(O1045&gt;X1045,IF(N1045&lt;Y1045,"PASS","FAIL"),"FAIL"),"FAIL"))</f>
        <v>PASS</v>
      </c>
      <c r="S1045" s="62" t="s">
        <v>500</v>
      </c>
      <c r="T1045" s="125" t="s">
        <v>502</v>
      </c>
      <c r="U1045" s="114"/>
      <c r="V1045" s="110">
        <v>10000</v>
      </c>
      <c r="W1045" s="110">
        <v>15600</v>
      </c>
      <c r="X1045" s="111">
        <v>10000</v>
      </c>
      <c r="Y1045" s="111">
        <v>15600</v>
      </c>
      <c r="Z1045" s="112">
        <v>15</v>
      </c>
      <c r="AA1045" s="112">
        <v>10</v>
      </c>
    </row>
    <row r="1046" spans="1:27" ht="15.75">
      <c r="B1046" s="122"/>
      <c r="C1046" s="57" t="s">
        <v>80</v>
      </c>
      <c r="D1046">
        <v>24301</v>
      </c>
      <c r="E1046">
        <v>24088</v>
      </c>
      <c r="F1046">
        <v>24218</v>
      </c>
      <c r="G1046">
        <v>24309</v>
      </c>
      <c r="H1046">
        <v>24850</v>
      </c>
      <c r="I1046">
        <v>24466</v>
      </c>
      <c r="J1046">
        <v>24212</v>
      </c>
      <c r="K1046">
        <v>24250</v>
      </c>
      <c r="L1046">
        <v>24742</v>
      </c>
      <c r="M1046"/>
      <c r="N1046" s="53"/>
      <c r="O1046" s="53"/>
      <c r="P1046" s="63"/>
      <c r="Q1046" s="53"/>
      <c r="R1046" s="64"/>
      <c r="S1046" s="54"/>
      <c r="T1046" s="114"/>
      <c r="U1046" s="114"/>
    </row>
    <row r="1047" spans="1:27">
      <c r="B1047" s="122"/>
      <c r="C1047" s="57" t="s">
        <v>82</v>
      </c>
      <c r="D1047" s="16">
        <f t="shared" ref="D1047:L1047" si="380">IF(((D1045="")*AND(D1046="")),"",(D1045-D1046)*3)</f>
        <v>14310</v>
      </c>
      <c r="E1047" s="16">
        <f t="shared" si="380"/>
        <v>14568</v>
      </c>
      <c r="F1047" s="16">
        <f t="shared" si="380"/>
        <v>14070</v>
      </c>
      <c r="G1047" s="16">
        <f t="shared" si="380"/>
        <v>13842</v>
      </c>
      <c r="H1047" s="16">
        <f t="shared" si="380"/>
        <v>12639</v>
      </c>
      <c r="I1047" s="16">
        <f t="shared" si="380"/>
        <v>13701</v>
      </c>
      <c r="J1047" s="16">
        <f t="shared" si="380"/>
        <v>14115</v>
      </c>
      <c r="K1047" s="16">
        <f t="shared" si="380"/>
        <v>14046</v>
      </c>
      <c r="L1047" s="16">
        <f t="shared" si="380"/>
        <v>13026</v>
      </c>
      <c r="M1047" s="16"/>
      <c r="N1047" s="65"/>
      <c r="O1047" s="65"/>
      <c r="P1047" s="66"/>
      <c r="Q1047" s="65"/>
      <c r="R1047" s="67"/>
      <c r="S1047" s="58"/>
    </row>
    <row r="1048" spans="1:27" ht="15.75">
      <c r="A1048" s="86">
        <v>44229</v>
      </c>
      <c r="B1048" s="120" t="s">
        <v>348</v>
      </c>
      <c r="C1048" s="57" t="s">
        <v>79</v>
      </c>
      <c r="D1048">
        <v>29105.32</v>
      </c>
      <c r="E1048">
        <v>28950.57</v>
      </c>
      <c r="F1048">
        <v>28937.5</v>
      </c>
      <c r="G1048">
        <v>28963.95</v>
      </c>
      <c r="H1048">
        <v>29062.14</v>
      </c>
      <c r="I1048">
        <v>29076.99</v>
      </c>
      <c r="J1048">
        <v>28969.759999999998</v>
      </c>
      <c r="K1048">
        <v>28942.95</v>
      </c>
      <c r="L1048">
        <v>29073.61</v>
      </c>
      <c r="M1048" s="16"/>
      <c r="N1048" s="59">
        <f>IF((L1049=""),"",MAX(D1050:L1050))</f>
        <v>15526.949999999993</v>
      </c>
      <c r="O1048" s="59">
        <f>IF(L1049="","",MIN(D1050:L1050))</f>
        <v>13668.27</v>
      </c>
      <c r="P1048" s="60">
        <f>IF((L1050=""),"",AVERAGE(D1050:L1050))</f>
        <v>14910.439999999999</v>
      </c>
      <c r="Q1048" s="156">
        <f>IF((L1049=""),"",((N1048-O1048)/(N1048+O1048)*100))</f>
        <v>6.3663846341969448</v>
      </c>
      <c r="R1048" s="61" t="str">
        <f>IF(L1049="","",IF(Q1048&lt;AA1048,IF(O1048&gt;X1048,IF(N1048&lt;Y1048,"PASS","FAIL"),"FAIL"),"FAIL"))</f>
        <v>PASS</v>
      </c>
      <c r="S1048" s="62">
        <v>1428</v>
      </c>
      <c r="T1048" s="125" t="s">
        <v>503</v>
      </c>
      <c r="U1048" s="114"/>
      <c r="V1048" s="110">
        <v>10000</v>
      </c>
      <c r="W1048" s="110">
        <v>15600</v>
      </c>
      <c r="X1048" s="111">
        <v>10000</v>
      </c>
      <c r="Y1048" s="111">
        <v>15600</v>
      </c>
      <c r="Z1048" s="112">
        <v>15</v>
      </c>
      <c r="AA1048" s="112">
        <v>10</v>
      </c>
    </row>
    <row r="1049" spans="1:27" ht="15.75">
      <c r="B1049" s="122"/>
      <c r="C1049" s="57" t="s">
        <v>80</v>
      </c>
      <c r="D1049">
        <v>23950.34</v>
      </c>
      <c r="E1049">
        <v>23912.2</v>
      </c>
      <c r="F1049">
        <v>23813.47</v>
      </c>
      <c r="G1049">
        <v>23912.17</v>
      </c>
      <c r="H1049">
        <v>24506.05</v>
      </c>
      <c r="I1049">
        <v>24119.4</v>
      </c>
      <c r="J1049">
        <v>23794.11</v>
      </c>
      <c r="K1049">
        <v>23859.29</v>
      </c>
      <c r="L1049">
        <v>24484.44</v>
      </c>
      <c r="M1049"/>
      <c r="N1049" s="53"/>
      <c r="O1049" s="53"/>
      <c r="P1049" s="63"/>
      <c r="Q1049" s="53"/>
      <c r="R1049" s="64"/>
      <c r="S1049" s="54"/>
      <c r="T1049" s="114"/>
      <c r="U1049" s="114"/>
    </row>
    <row r="1050" spans="1:27">
      <c r="B1050" s="122"/>
      <c r="C1050" s="57" t="s">
        <v>82</v>
      </c>
      <c r="D1050" s="16">
        <f t="shared" ref="D1050:L1050" si="381">IF(((D1048="")*AND(D1049="")),"",(D1048-D1049)*3)</f>
        <v>15464.939999999999</v>
      </c>
      <c r="E1050" s="16">
        <f t="shared" si="381"/>
        <v>15115.109999999997</v>
      </c>
      <c r="F1050" s="16">
        <f t="shared" si="381"/>
        <v>15372.089999999997</v>
      </c>
      <c r="G1050" s="16">
        <f t="shared" si="381"/>
        <v>15155.340000000007</v>
      </c>
      <c r="H1050" s="16">
        <f t="shared" si="381"/>
        <v>13668.27</v>
      </c>
      <c r="I1050" s="16">
        <f t="shared" si="381"/>
        <v>14872.77</v>
      </c>
      <c r="J1050" s="16">
        <f t="shared" si="381"/>
        <v>15526.949999999993</v>
      </c>
      <c r="K1050" s="16">
        <f t="shared" si="381"/>
        <v>15250.98</v>
      </c>
      <c r="L1050" s="16">
        <f t="shared" si="381"/>
        <v>13767.510000000006</v>
      </c>
      <c r="M1050" s="16"/>
      <c r="N1050" s="65"/>
      <c r="O1050" s="65"/>
      <c r="P1050" s="66"/>
      <c r="Q1050" s="65"/>
      <c r="R1050" s="67"/>
      <c r="S1050" s="58"/>
    </row>
    <row r="1051" spans="1:27" ht="15.75">
      <c r="A1051" s="86">
        <v>44237</v>
      </c>
      <c r="B1051" s="120" t="s">
        <v>348</v>
      </c>
      <c r="C1051" s="57" t="s">
        <v>79</v>
      </c>
      <c r="D1051">
        <v>29025.61</v>
      </c>
      <c r="E1051">
        <v>28879.86</v>
      </c>
      <c r="F1051">
        <v>28873.42</v>
      </c>
      <c r="G1051">
        <v>28893.31</v>
      </c>
      <c r="H1051">
        <v>28993.27</v>
      </c>
      <c r="I1051">
        <v>28974.33</v>
      </c>
      <c r="J1051">
        <v>28873.48</v>
      </c>
      <c r="K1051">
        <v>28889.78</v>
      </c>
      <c r="L1051">
        <v>29035.23</v>
      </c>
      <c r="M1051" s="16"/>
      <c r="N1051" s="59">
        <f>IF((L1052=""),"",MAX(D1053:L1053))</f>
        <v>14506.080000000002</v>
      </c>
      <c r="O1051" s="59">
        <f>IF(L1052="","",MIN(D1053:L1053))</f>
        <v>12584.490000000005</v>
      </c>
      <c r="P1051" s="60">
        <f>IF((L1053=""),"",AVERAGE(D1053:L1053))</f>
        <v>13782.023333333333</v>
      </c>
      <c r="Q1051" s="156">
        <f>IF((L1052=""),"",((N1051-O1051)/(N1051+O1051)*100))</f>
        <v>7.0932062337558639</v>
      </c>
      <c r="R1051" s="61" t="str">
        <f>IF(L1052="","",IF(Q1051&lt;AA1051,IF(O1051&gt;X1051,IF(N1051&lt;Y1051,"PASS","FAIL"),"FAIL"),"FAIL"))</f>
        <v>PASS</v>
      </c>
      <c r="S1051" s="62">
        <v>74</v>
      </c>
      <c r="T1051" s="125" t="s">
        <v>504</v>
      </c>
      <c r="U1051" s="114"/>
      <c r="V1051" s="110">
        <v>10000</v>
      </c>
      <c r="W1051" s="110">
        <v>15600</v>
      </c>
      <c r="X1051" s="111">
        <v>10000</v>
      </c>
      <c r="Y1051" s="111">
        <v>15600</v>
      </c>
      <c r="Z1051" s="112">
        <v>15</v>
      </c>
      <c r="AA1051" s="112">
        <v>10</v>
      </c>
    </row>
    <row r="1052" spans="1:27" ht="15.75">
      <c r="B1052" s="122"/>
      <c r="C1052" s="57" t="s">
        <v>80</v>
      </c>
      <c r="D1052">
        <v>24280.45</v>
      </c>
      <c r="E1052">
        <v>24044.5</v>
      </c>
      <c r="F1052">
        <v>24172.39</v>
      </c>
      <c r="G1052">
        <v>24275.27</v>
      </c>
      <c r="H1052">
        <v>24798.44</v>
      </c>
      <c r="I1052">
        <v>24447.83</v>
      </c>
      <c r="J1052">
        <v>24182.38</v>
      </c>
      <c r="K1052">
        <v>24193.89</v>
      </c>
      <c r="L1052">
        <v>24697.07</v>
      </c>
      <c r="M1052"/>
      <c r="N1052" s="53"/>
      <c r="O1052" s="53"/>
      <c r="P1052" s="63"/>
      <c r="Q1052" s="53"/>
      <c r="R1052" s="64"/>
      <c r="S1052" s="54"/>
      <c r="T1052" s="114"/>
      <c r="U1052" s="114"/>
    </row>
    <row r="1053" spans="1:27">
      <c r="B1053" s="122"/>
      <c r="C1053" s="57" t="s">
        <v>82</v>
      </c>
      <c r="D1053" s="16">
        <f t="shared" ref="D1053:L1053" si="382">IF(((D1051="")*AND(D1052="")),"",(D1051-D1052)*3)</f>
        <v>14235.48</v>
      </c>
      <c r="E1053" s="16">
        <f t="shared" si="382"/>
        <v>14506.080000000002</v>
      </c>
      <c r="F1053" s="16">
        <f t="shared" si="382"/>
        <v>14103.089999999997</v>
      </c>
      <c r="G1053" s="16">
        <f t="shared" si="382"/>
        <v>13854.120000000003</v>
      </c>
      <c r="H1053" s="16">
        <f t="shared" si="382"/>
        <v>12584.490000000005</v>
      </c>
      <c r="I1053" s="16">
        <f t="shared" si="382"/>
        <v>13579.5</v>
      </c>
      <c r="J1053" s="16">
        <f t="shared" si="382"/>
        <v>14073.299999999996</v>
      </c>
      <c r="K1053" s="16">
        <f t="shared" si="382"/>
        <v>14087.669999999998</v>
      </c>
      <c r="L1053" s="16">
        <f t="shared" si="382"/>
        <v>13014.48</v>
      </c>
      <c r="M1053" s="16"/>
      <c r="N1053" s="65"/>
      <c r="O1053" s="65"/>
      <c r="P1053" s="66"/>
      <c r="Q1053" s="65"/>
      <c r="R1053" s="67"/>
      <c r="S1053" s="58"/>
    </row>
    <row r="1054" spans="1:27" ht="15.75">
      <c r="A1054" s="86">
        <v>44241</v>
      </c>
      <c r="B1054" s="120" t="s">
        <v>348</v>
      </c>
      <c r="C1054" s="57" t="s">
        <v>79</v>
      </c>
      <c r="D1054">
        <v>28936.67</v>
      </c>
      <c r="E1054">
        <v>28836.6</v>
      </c>
      <c r="F1054">
        <v>28821.3</v>
      </c>
      <c r="G1054">
        <v>28861.48</v>
      </c>
      <c r="H1054">
        <v>28967.66</v>
      </c>
      <c r="I1054">
        <v>28926.79</v>
      </c>
      <c r="J1054">
        <v>28833.87</v>
      </c>
      <c r="K1054">
        <v>28850.62</v>
      </c>
      <c r="L1054">
        <v>29029.200000000001</v>
      </c>
      <c r="M1054" s="16"/>
      <c r="N1054" s="59">
        <f>IF((L1055=""),"",MAX(D1056:L1056))</f>
        <v>14207.879999999997</v>
      </c>
      <c r="O1054" s="59">
        <f>IF(L1055="","",MIN(D1056:L1056))</f>
        <v>12171.029999999995</v>
      </c>
      <c r="P1054" s="60">
        <f>IF((L1056=""),"",AVERAGE(D1056:L1056))</f>
        <v>13440.746666666664</v>
      </c>
      <c r="Q1054" s="156">
        <f>IF((L1055=""),"",((N1054-O1054)/(N1054+O1054)*100))</f>
        <v>7.7215093421221832</v>
      </c>
      <c r="R1054" s="61" t="str">
        <f>IF(L1055="","",IF(Q1054&lt;AA1054,IF(O1054&gt;X1054,IF(N1054&lt;Y1054,"PASS","FAIL"),"FAIL"),"FAIL"))</f>
        <v>PASS</v>
      </c>
      <c r="S1054" s="62">
        <v>74</v>
      </c>
      <c r="T1054" s="125" t="s">
        <v>506</v>
      </c>
      <c r="U1054" s="114"/>
      <c r="V1054" s="110">
        <v>10000</v>
      </c>
      <c r="W1054" s="110">
        <v>15600</v>
      </c>
      <c r="X1054" s="111">
        <v>10000</v>
      </c>
      <c r="Y1054" s="111">
        <v>15600</v>
      </c>
      <c r="Z1054" s="112">
        <v>15</v>
      </c>
      <c r="AA1054" s="112">
        <v>10</v>
      </c>
    </row>
    <row r="1055" spans="1:27" ht="15.75">
      <c r="B1055" s="122"/>
      <c r="C1055" s="57" t="s">
        <v>80</v>
      </c>
      <c r="D1055">
        <v>24879.66</v>
      </c>
      <c r="E1055">
        <v>24360.91</v>
      </c>
      <c r="F1055">
        <v>24269.94</v>
      </c>
      <c r="G1055">
        <v>24125.52</v>
      </c>
      <c r="H1055">
        <v>24289.29</v>
      </c>
      <c r="I1055">
        <v>24732.720000000001</v>
      </c>
      <c r="J1055">
        <v>24276.11</v>
      </c>
      <c r="K1055">
        <v>24249.05</v>
      </c>
      <c r="L1055">
        <v>24558.75</v>
      </c>
      <c r="M1055"/>
      <c r="N1055" s="53"/>
      <c r="O1055" s="53"/>
      <c r="P1055" s="63"/>
      <c r="Q1055" s="53"/>
      <c r="R1055" s="64"/>
      <c r="S1055" s="54"/>
      <c r="T1055" s="114"/>
      <c r="U1055" s="114"/>
    </row>
    <row r="1056" spans="1:27">
      <c r="B1056" s="122"/>
      <c r="C1056" s="57" t="s">
        <v>82</v>
      </c>
      <c r="D1056" s="16">
        <f t="shared" ref="D1056:L1056" si="383">IF(((D1054="")*AND(D1055="")),"",(D1054-D1055)*3)</f>
        <v>12171.029999999995</v>
      </c>
      <c r="E1056" s="16">
        <f t="shared" si="383"/>
        <v>13427.069999999996</v>
      </c>
      <c r="F1056" s="16">
        <f t="shared" si="383"/>
        <v>13654.080000000002</v>
      </c>
      <c r="G1056" s="16">
        <f t="shared" si="383"/>
        <v>14207.879999999997</v>
      </c>
      <c r="H1056" s="16">
        <f t="shared" si="383"/>
        <v>14035.109999999997</v>
      </c>
      <c r="I1056" s="16">
        <f t="shared" si="383"/>
        <v>12582.21</v>
      </c>
      <c r="J1056" s="16">
        <f t="shared" si="383"/>
        <v>13673.279999999995</v>
      </c>
      <c r="K1056" s="16">
        <f t="shared" si="383"/>
        <v>13804.71</v>
      </c>
      <c r="L1056" s="16">
        <f t="shared" si="383"/>
        <v>13411.350000000002</v>
      </c>
      <c r="M1056" s="16"/>
      <c r="N1056" s="65"/>
      <c r="O1056" s="65"/>
      <c r="P1056" s="66"/>
      <c r="Q1056" s="65"/>
      <c r="R1056" s="67"/>
      <c r="S1056" s="58"/>
    </row>
    <row r="1057" spans="1:27" ht="15.75">
      <c r="A1057" s="86">
        <v>44245</v>
      </c>
      <c r="B1057" s="120" t="s">
        <v>348</v>
      </c>
      <c r="C1057" s="57" t="s">
        <v>79</v>
      </c>
      <c r="D1057">
        <v>28998.54</v>
      </c>
      <c r="E1057">
        <v>28835.53</v>
      </c>
      <c r="F1057">
        <v>28813.83</v>
      </c>
      <c r="G1057">
        <v>28826.21</v>
      </c>
      <c r="H1057">
        <v>28927.01</v>
      </c>
      <c r="I1057">
        <v>28957.06</v>
      </c>
      <c r="J1057">
        <v>28841.35</v>
      </c>
      <c r="K1057">
        <v>28814.84</v>
      </c>
      <c r="L1057">
        <v>28955.24</v>
      </c>
      <c r="M1057" s="16"/>
      <c r="N1057" s="59">
        <f>IF((L1058=""),"",MAX(D1059:L1059))</f>
        <v>15035.339999999997</v>
      </c>
      <c r="O1057" s="59">
        <f>IF(L1058="","",MIN(D1059:L1059))</f>
        <v>12882.990000000005</v>
      </c>
      <c r="P1057" s="60">
        <f>IF((L1059=""),"",AVERAGE(D1059:L1059))</f>
        <v>14212.000000000004</v>
      </c>
      <c r="Q1057" s="156">
        <f>IF((L1058=""),"",((N1057-O1057)/(N1057+O1057)*100))</f>
        <v>7.709451102555172</v>
      </c>
      <c r="R1057" s="61" t="str">
        <f>IF(L1058="","",IF(Q1057&lt;AA1057,IF(O1057&gt;X1057,IF(N1057&lt;Y1057,"PASS","FAIL"),"FAIL"),"FAIL"))</f>
        <v>PASS</v>
      </c>
      <c r="S1057" s="62">
        <v>1428</v>
      </c>
      <c r="T1057" s="125" t="s">
        <v>508</v>
      </c>
      <c r="U1057" s="114"/>
      <c r="V1057" s="110">
        <v>10000</v>
      </c>
      <c r="W1057" s="110">
        <v>15600</v>
      </c>
      <c r="X1057" s="111">
        <v>10000</v>
      </c>
      <c r="Y1057" s="111">
        <v>15600</v>
      </c>
      <c r="Z1057" s="112">
        <v>15</v>
      </c>
      <c r="AA1057" s="112">
        <v>10</v>
      </c>
    </row>
    <row r="1058" spans="1:27" ht="15.75">
      <c r="B1058" s="122"/>
      <c r="C1058" s="57" t="s">
        <v>80</v>
      </c>
      <c r="D1058">
        <v>24704.21</v>
      </c>
      <c r="E1058">
        <v>24076.32</v>
      </c>
      <c r="F1058">
        <v>23984.57</v>
      </c>
      <c r="G1058">
        <v>23814.43</v>
      </c>
      <c r="H1058">
        <v>24016.69</v>
      </c>
      <c r="I1058">
        <v>24516.53</v>
      </c>
      <c r="J1058">
        <v>23989.06</v>
      </c>
      <c r="K1058">
        <v>23961.32</v>
      </c>
      <c r="L1058">
        <v>24270.48</v>
      </c>
      <c r="M1058"/>
      <c r="N1058" s="53"/>
      <c r="O1058" s="53"/>
      <c r="P1058" s="63"/>
      <c r="Q1058" s="53"/>
      <c r="R1058" s="64"/>
      <c r="S1058" s="54"/>
      <c r="T1058" s="114"/>
      <c r="U1058" s="114"/>
    </row>
    <row r="1059" spans="1:27">
      <c r="B1059" s="122"/>
      <c r="C1059" s="57" t="s">
        <v>82</v>
      </c>
      <c r="D1059" s="16">
        <f t="shared" ref="D1059:L1059" si="384">IF(((D1057="")*AND(D1058="")),"",(D1057-D1058)*3)</f>
        <v>12882.990000000005</v>
      </c>
      <c r="E1059" s="16">
        <f t="shared" si="384"/>
        <v>14277.629999999997</v>
      </c>
      <c r="F1059" s="16">
        <f t="shared" si="384"/>
        <v>14487.780000000006</v>
      </c>
      <c r="G1059" s="16">
        <f t="shared" si="384"/>
        <v>15035.339999999997</v>
      </c>
      <c r="H1059" s="16">
        <f t="shared" si="384"/>
        <v>14730.96</v>
      </c>
      <c r="I1059" s="16">
        <f t="shared" si="384"/>
        <v>13321.590000000007</v>
      </c>
      <c r="J1059" s="16">
        <f t="shared" si="384"/>
        <v>14556.869999999992</v>
      </c>
      <c r="K1059" s="16">
        <f t="shared" si="384"/>
        <v>14560.560000000001</v>
      </c>
      <c r="L1059" s="16">
        <f t="shared" si="384"/>
        <v>14054.280000000006</v>
      </c>
      <c r="M1059" s="16"/>
      <c r="N1059" s="65"/>
      <c r="O1059" s="65"/>
      <c r="P1059" s="66"/>
      <c r="Q1059" s="65"/>
      <c r="R1059" s="67"/>
      <c r="S1059" s="58"/>
    </row>
    <row r="1060" spans="1:27" ht="15.75">
      <c r="A1060" s="86">
        <v>44249</v>
      </c>
      <c r="B1060" s="120" t="s">
        <v>348</v>
      </c>
      <c r="C1060" s="57" t="s">
        <v>79</v>
      </c>
      <c r="D1060">
        <v>28850.76</v>
      </c>
      <c r="E1060">
        <v>28727.16</v>
      </c>
      <c r="F1060">
        <v>28714.44</v>
      </c>
      <c r="G1060">
        <v>28746.71</v>
      </c>
      <c r="H1060">
        <v>28875.15</v>
      </c>
      <c r="I1060">
        <v>28820.38</v>
      </c>
      <c r="J1060">
        <v>28725.86</v>
      </c>
      <c r="K1060">
        <v>28745.62</v>
      </c>
      <c r="L1060">
        <v>28926.959999999999</v>
      </c>
      <c r="M1060" s="16"/>
      <c r="N1060" s="59">
        <f>IF((L1061=""),"",MAX(D1062:L1062))</f>
        <v>14112.659999999993</v>
      </c>
      <c r="O1060" s="59">
        <f>IF(L1061="","",MIN(D1062:L1062))</f>
        <v>12043.919999999998</v>
      </c>
      <c r="P1060" s="60">
        <f>IF((L1062=""),"",AVERAGE(D1062:L1062))</f>
        <v>13342.559999999998</v>
      </c>
      <c r="Q1060" s="156">
        <f>IF((L1061=""),"",((N1060-O1060)/(N1060+O1060)*100))</f>
        <v>7.9090615057472915</v>
      </c>
      <c r="R1060" s="61" t="str">
        <f>IF(L1061="","",IF(Q1060&lt;AA1060,IF(O1060&gt;X1060,IF(N1060&lt;Y1060,"PASS","FAIL"),"FAIL"),"FAIL"))</f>
        <v>PASS</v>
      </c>
      <c r="S1060" s="62">
        <v>74</v>
      </c>
      <c r="T1060" s="125" t="s">
        <v>510</v>
      </c>
      <c r="U1060" s="114"/>
      <c r="V1060" s="110">
        <v>10000</v>
      </c>
      <c r="W1060" s="110">
        <v>15600</v>
      </c>
      <c r="X1060" s="111">
        <v>10000</v>
      </c>
      <c r="Y1060" s="111">
        <v>15600</v>
      </c>
      <c r="Z1060" s="112">
        <v>15</v>
      </c>
      <c r="AA1060" s="112">
        <v>10</v>
      </c>
    </row>
    <row r="1061" spans="1:27" ht="15.75">
      <c r="B1061" s="122"/>
      <c r="C1061" s="57" t="s">
        <v>80</v>
      </c>
      <c r="D1061">
        <v>24836.12</v>
      </c>
      <c r="E1061">
        <v>24292.48</v>
      </c>
      <c r="F1061">
        <v>24146.77</v>
      </c>
      <c r="G1061">
        <v>24042.49</v>
      </c>
      <c r="H1061">
        <v>24223.27</v>
      </c>
      <c r="I1061">
        <v>24685.040000000001</v>
      </c>
      <c r="J1061">
        <v>24221.72</v>
      </c>
      <c r="K1061">
        <v>24173.040000000001</v>
      </c>
      <c r="L1061">
        <v>24484.43</v>
      </c>
      <c r="M1061"/>
      <c r="N1061" s="53"/>
      <c r="O1061" s="53"/>
      <c r="P1061" s="63"/>
      <c r="Q1061" s="53"/>
      <c r="R1061" s="64"/>
      <c r="S1061" s="54"/>
      <c r="T1061" s="114"/>
      <c r="U1061" s="114"/>
    </row>
    <row r="1062" spans="1:27">
      <c r="B1062" s="122"/>
      <c r="C1062" s="57" t="s">
        <v>82</v>
      </c>
      <c r="D1062" s="16">
        <f t="shared" ref="D1062:L1062" si="385">IF(((D1060="")*AND(D1061="")),"",(D1060-D1061)*3)</f>
        <v>12043.919999999998</v>
      </c>
      <c r="E1062" s="16">
        <f t="shared" si="385"/>
        <v>13304.04</v>
      </c>
      <c r="F1062" s="16">
        <f t="shared" si="385"/>
        <v>13703.009999999995</v>
      </c>
      <c r="G1062" s="16">
        <f t="shared" si="385"/>
        <v>14112.659999999993</v>
      </c>
      <c r="H1062" s="16">
        <f t="shared" si="385"/>
        <v>13955.640000000003</v>
      </c>
      <c r="I1062" s="16">
        <f t="shared" si="385"/>
        <v>12406.02</v>
      </c>
      <c r="J1062" s="16">
        <f t="shared" si="385"/>
        <v>13512.419999999998</v>
      </c>
      <c r="K1062" s="16">
        <f t="shared" si="385"/>
        <v>13717.739999999994</v>
      </c>
      <c r="L1062" s="16">
        <f t="shared" si="385"/>
        <v>13327.589999999997</v>
      </c>
      <c r="M1062" s="16"/>
      <c r="N1062" s="65"/>
      <c r="O1062" s="65"/>
      <c r="P1062" s="66"/>
      <c r="Q1062" s="65"/>
      <c r="R1062" s="67"/>
      <c r="S1062" s="58"/>
    </row>
    <row r="1063" spans="1:27" ht="15.75">
      <c r="A1063" s="86">
        <v>44254</v>
      </c>
      <c r="B1063" s="120" t="s">
        <v>348</v>
      </c>
      <c r="C1063" s="57" t="s">
        <v>79</v>
      </c>
      <c r="D1063">
        <v>28860.48</v>
      </c>
      <c r="E1063">
        <v>28758.27</v>
      </c>
      <c r="F1063">
        <v>28748.04</v>
      </c>
      <c r="G1063">
        <v>28762.26</v>
      </c>
      <c r="H1063">
        <v>28902.13</v>
      </c>
      <c r="I1063">
        <v>28860.31</v>
      </c>
      <c r="J1063">
        <v>28769.55</v>
      </c>
      <c r="K1063">
        <v>28746.85</v>
      </c>
      <c r="L1063">
        <v>28930.43</v>
      </c>
      <c r="M1063" s="16"/>
      <c r="N1063" s="59">
        <f>IF((L1064=""),"",MAX(D1065:L1065))</f>
        <v>14152.199999999993</v>
      </c>
      <c r="O1063" s="59">
        <f>IF(L1064="","",MIN(D1065:L1065))</f>
        <v>12038.759999999995</v>
      </c>
      <c r="P1063" s="60">
        <f>IF((L1065=""),"",AVERAGE(D1065:L1065))</f>
        <v>13403.219999999998</v>
      </c>
      <c r="Q1063" s="156">
        <f>IF((L1064=""),"",((N1063-O1063)/(N1063+O1063)*100))</f>
        <v>8.0693491189326387</v>
      </c>
      <c r="R1063" s="61" t="str">
        <f>IF(L1064="","",IF(Q1063&lt;AA1063,IF(O1063&gt;X1063,IF(N1063&lt;Y1063,"PASS","FAIL"),"FAIL"),"FAIL"))</f>
        <v>PASS</v>
      </c>
      <c r="S1063" s="62">
        <v>1335</v>
      </c>
      <c r="T1063" s="125" t="s">
        <v>511</v>
      </c>
      <c r="U1063" s="114"/>
      <c r="V1063" s="110">
        <v>10000</v>
      </c>
      <c r="W1063" s="110">
        <v>15600</v>
      </c>
      <c r="X1063" s="111">
        <v>10000</v>
      </c>
      <c r="Y1063" s="111">
        <v>15600</v>
      </c>
      <c r="Z1063" s="112">
        <v>15</v>
      </c>
      <c r="AA1063" s="112">
        <v>10</v>
      </c>
    </row>
    <row r="1064" spans="1:27" ht="15.75">
      <c r="B1064" s="122"/>
      <c r="C1064" s="57" t="s">
        <v>80</v>
      </c>
      <c r="D1064">
        <v>24847.56</v>
      </c>
      <c r="E1064">
        <v>24287.94</v>
      </c>
      <c r="F1064">
        <v>24140.9</v>
      </c>
      <c r="G1064">
        <v>24044.86</v>
      </c>
      <c r="H1064">
        <v>24240.02</v>
      </c>
      <c r="I1064">
        <v>24660.09</v>
      </c>
      <c r="J1064">
        <v>24202.03</v>
      </c>
      <c r="K1064">
        <v>24191.02</v>
      </c>
      <c r="L1064">
        <v>24514.240000000002</v>
      </c>
      <c r="M1064"/>
      <c r="N1064" s="53"/>
      <c r="O1064" s="53"/>
      <c r="P1064" s="63"/>
      <c r="Q1064" s="53"/>
      <c r="R1064" s="64"/>
      <c r="S1064" s="54"/>
      <c r="T1064" s="114"/>
      <c r="U1064" s="114"/>
    </row>
    <row r="1065" spans="1:27">
      <c r="B1065" s="122"/>
      <c r="C1065" s="57" t="s">
        <v>82</v>
      </c>
      <c r="D1065" s="16">
        <f t="shared" ref="D1065:L1065" si="386">IF(((D1063="")*AND(D1064="")),"",(D1063-D1064)*3)</f>
        <v>12038.759999999995</v>
      </c>
      <c r="E1065" s="16">
        <f t="shared" si="386"/>
        <v>13410.990000000005</v>
      </c>
      <c r="F1065" s="16">
        <f t="shared" si="386"/>
        <v>13821.419999999998</v>
      </c>
      <c r="G1065" s="16">
        <f t="shared" si="386"/>
        <v>14152.199999999993</v>
      </c>
      <c r="H1065" s="16">
        <f t="shared" si="386"/>
        <v>13986.330000000002</v>
      </c>
      <c r="I1065" s="16">
        <f t="shared" si="386"/>
        <v>12600.660000000003</v>
      </c>
      <c r="J1065" s="16">
        <f t="shared" si="386"/>
        <v>13702.560000000001</v>
      </c>
      <c r="K1065" s="16">
        <f t="shared" si="386"/>
        <v>13667.489999999994</v>
      </c>
      <c r="L1065" s="16">
        <f t="shared" si="386"/>
        <v>13248.569999999996</v>
      </c>
      <c r="M1065" s="16"/>
      <c r="N1065" s="65"/>
      <c r="O1065" s="65"/>
      <c r="P1065" s="66"/>
      <c r="Q1065" s="65"/>
      <c r="R1065" s="67"/>
      <c r="S1065" s="58"/>
    </row>
    <row r="1066" spans="1:27" ht="15.75">
      <c r="A1066" s="86">
        <v>44258</v>
      </c>
      <c r="B1066" s="120" t="s">
        <v>348</v>
      </c>
      <c r="C1066" s="57" t="s">
        <v>79</v>
      </c>
      <c r="D1066">
        <v>28907.77</v>
      </c>
      <c r="E1066">
        <v>28741.119999999999</v>
      </c>
      <c r="F1066">
        <v>28736.09</v>
      </c>
      <c r="G1066">
        <v>28734.400000000001</v>
      </c>
      <c r="H1066">
        <v>28852.33</v>
      </c>
      <c r="I1066">
        <v>28857.95</v>
      </c>
      <c r="J1066">
        <v>28743.71</v>
      </c>
      <c r="K1066">
        <v>28732.48</v>
      </c>
      <c r="L1066">
        <v>28891.45</v>
      </c>
      <c r="M1066" s="16"/>
      <c r="N1066" s="59">
        <f>IF((L1067=""),"",MAX(D1068:L1068))</f>
        <v>15474.300000000007</v>
      </c>
      <c r="O1066" s="59">
        <f>IF(L1067="","",MIN(D1068:L1068))</f>
        <v>12933.390000000003</v>
      </c>
      <c r="P1066" s="60">
        <f>IF((L1068=""),"",AVERAGE(D1068:L1068))</f>
        <v>14515.706666666667</v>
      </c>
      <c r="Q1066" s="156">
        <f>IF((L1067=""),"",((N1066-O1066)/(N1066+O1066)*100))</f>
        <v>8.9444442684357757</v>
      </c>
      <c r="R1066" s="61" t="str">
        <f>IF(L1067="","",IF(Q1066&lt;AA1066,IF(O1066&gt;X1066,IF(N1066&lt;Y1066,"PASS","FAIL"),"FAIL"),"FAIL"))</f>
        <v>PASS</v>
      </c>
      <c r="S1066" s="62">
        <v>1428</v>
      </c>
      <c r="T1066" s="125" t="s">
        <v>513</v>
      </c>
      <c r="U1066" s="114"/>
      <c r="V1066" s="110">
        <v>10000</v>
      </c>
      <c r="W1066" s="110">
        <v>15600</v>
      </c>
      <c r="X1066" s="111">
        <v>10000</v>
      </c>
      <c r="Y1066" s="111">
        <v>15600</v>
      </c>
      <c r="Z1066" s="112">
        <v>15</v>
      </c>
      <c r="AA1066" s="112">
        <v>10</v>
      </c>
    </row>
    <row r="1067" spans="1:27" ht="15.75">
      <c r="B1067" s="122"/>
      <c r="C1067" s="57" t="s">
        <v>80</v>
      </c>
      <c r="D1067">
        <v>24596.639999999999</v>
      </c>
      <c r="E1067">
        <v>23872.95</v>
      </c>
      <c r="F1067">
        <v>23718.85</v>
      </c>
      <c r="G1067">
        <v>23576.3</v>
      </c>
      <c r="H1067">
        <v>23856.54</v>
      </c>
      <c r="I1067">
        <v>24386.06</v>
      </c>
      <c r="J1067">
        <v>23771.09</v>
      </c>
      <c r="K1067">
        <v>23743.07</v>
      </c>
      <c r="L1067">
        <v>24128.68</v>
      </c>
      <c r="M1067"/>
      <c r="N1067" s="53"/>
      <c r="O1067" s="53"/>
      <c r="P1067" s="63"/>
      <c r="Q1067" s="53"/>
      <c r="R1067" s="64"/>
      <c r="S1067" s="54"/>
      <c r="T1067" s="114"/>
      <c r="U1067" s="114"/>
    </row>
    <row r="1068" spans="1:27">
      <c r="B1068" s="122"/>
      <c r="C1068" s="57" t="s">
        <v>82</v>
      </c>
      <c r="D1068" s="16">
        <f t="shared" ref="D1068:L1068" si="387">IF(((D1066="")*AND(D1067="")),"",(D1066-D1067)*3)</f>
        <v>12933.390000000003</v>
      </c>
      <c r="E1068" s="16">
        <f t="shared" si="387"/>
        <v>14604.509999999995</v>
      </c>
      <c r="F1068" s="16">
        <f t="shared" si="387"/>
        <v>15051.720000000005</v>
      </c>
      <c r="G1068" s="16">
        <f t="shared" si="387"/>
        <v>15474.300000000007</v>
      </c>
      <c r="H1068" s="16">
        <f t="shared" si="387"/>
        <v>14987.370000000003</v>
      </c>
      <c r="I1068" s="16">
        <f t="shared" si="387"/>
        <v>13415.669999999998</v>
      </c>
      <c r="J1068" s="16">
        <f t="shared" si="387"/>
        <v>14917.859999999997</v>
      </c>
      <c r="K1068" s="16">
        <f t="shared" si="387"/>
        <v>14968.23</v>
      </c>
      <c r="L1068" s="16">
        <f t="shared" si="387"/>
        <v>14288.310000000001</v>
      </c>
      <c r="M1068" s="16"/>
      <c r="N1068" s="65"/>
      <c r="O1068" s="65"/>
      <c r="P1068" s="66"/>
      <c r="Q1068" s="65"/>
      <c r="R1068" s="67"/>
      <c r="S1068" s="58"/>
    </row>
    <row r="1069" spans="1:27" ht="15.75">
      <c r="A1069" s="86">
        <v>44262</v>
      </c>
      <c r="B1069" s="120" t="s">
        <v>348</v>
      </c>
      <c r="C1069" s="57" t="s">
        <v>79</v>
      </c>
      <c r="D1069">
        <v>29001.79</v>
      </c>
      <c r="E1069">
        <v>28836.240000000002</v>
      </c>
      <c r="F1069">
        <v>28797.38</v>
      </c>
      <c r="G1069">
        <v>28818.59</v>
      </c>
      <c r="H1069">
        <v>28934.35</v>
      </c>
      <c r="I1069">
        <v>28935.73</v>
      </c>
      <c r="J1069">
        <v>28811.1</v>
      </c>
      <c r="K1069">
        <v>28822.55</v>
      </c>
      <c r="L1069">
        <v>28970.38</v>
      </c>
      <c r="M1069" s="16"/>
      <c r="N1069" s="59">
        <f>IF((L1070=""),"",MAX(D1071:L1071))</f>
        <v>14528.580000000002</v>
      </c>
      <c r="O1069" s="59">
        <f>IF(L1070="","",MIN(D1071:L1071))</f>
        <v>12259.829999999991</v>
      </c>
      <c r="P1069" s="60">
        <f>IF((L1071=""),"",AVERAGE(D1071:L1071))</f>
        <v>13674.979999999996</v>
      </c>
      <c r="Q1069" s="156">
        <f>IF((L1070=""),"",((N1069-O1069)/(N1069+O1069)*100))</f>
        <v>8.4691476649790385</v>
      </c>
      <c r="R1069" s="61" t="str">
        <f>IF(L1070="","",IF(Q1069&lt;AA1069,IF(O1069&gt;X1069,IF(N1069&lt;Y1069,"PASS","FAIL"),"FAIL"),"FAIL"))</f>
        <v>PASS</v>
      </c>
      <c r="S1069" s="62">
        <v>74</v>
      </c>
      <c r="T1069" s="125" t="s">
        <v>514</v>
      </c>
      <c r="U1069" s="114"/>
      <c r="V1069" s="110">
        <v>10000</v>
      </c>
      <c r="W1069" s="110">
        <v>15600</v>
      </c>
      <c r="X1069" s="111">
        <v>10000</v>
      </c>
      <c r="Y1069" s="111">
        <v>15600</v>
      </c>
      <c r="Z1069" s="112">
        <v>15</v>
      </c>
      <c r="AA1069" s="112">
        <v>10</v>
      </c>
    </row>
    <row r="1070" spans="1:27" ht="15.75">
      <c r="B1070" s="122"/>
      <c r="C1070" s="57" t="s">
        <v>80</v>
      </c>
      <c r="D1070">
        <v>24258.15</v>
      </c>
      <c r="E1070">
        <v>23993.38</v>
      </c>
      <c r="F1070">
        <v>24093.22</v>
      </c>
      <c r="G1070">
        <v>24247</v>
      </c>
      <c r="H1070">
        <v>24847.74</v>
      </c>
      <c r="I1070">
        <v>24454.91</v>
      </c>
      <c r="J1070">
        <v>24119.16</v>
      </c>
      <c r="K1070">
        <v>24158.34</v>
      </c>
      <c r="L1070">
        <v>24731.27</v>
      </c>
      <c r="M1070"/>
      <c r="N1070" s="53"/>
      <c r="O1070" s="53"/>
      <c r="P1070" s="63"/>
      <c r="Q1070" s="53"/>
      <c r="R1070" s="64"/>
      <c r="S1070" s="54"/>
      <c r="T1070" s="114"/>
      <c r="U1070" s="114"/>
    </row>
    <row r="1071" spans="1:27">
      <c r="B1071" s="122"/>
      <c r="C1071" s="57" t="s">
        <v>82</v>
      </c>
      <c r="D1071" s="16">
        <f t="shared" ref="D1071:L1071" si="388">IF(((D1069="")*AND(D1070="")),"",(D1069-D1070)*3)</f>
        <v>14230.919999999998</v>
      </c>
      <c r="E1071" s="16">
        <f t="shared" si="388"/>
        <v>14528.580000000002</v>
      </c>
      <c r="F1071" s="16">
        <f t="shared" si="388"/>
        <v>14112.48</v>
      </c>
      <c r="G1071" s="16">
        <f t="shared" si="388"/>
        <v>13714.77</v>
      </c>
      <c r="H1071" s="16">
        <f t="shared" si="388"/>
        <v>12259.829999999991</v>
      </c>
      <c r="I1071" s="16">
        <f t="shared" si="388"/>
        <v>13442.46</v>
      </c>
      <c r="J1071" s="16">
        <f t="shared" si="388"/>
        <v>14075.819999999996</v>
      </c>
      <c r="K1071" s="16">
        <f t="shared" si="388"/>
        <v>13992.629999999997</v>
      </c>
      <c r="L1071" s="16">
        <f t="shared" si="388"/>
        <v>12717.330000000002</v>
      </c>
      <c r="M1071" s="16"/>
      <c r="N1071" s="65"/>
      <c r="O1071" s="65"/>
      <c r="P1071" s="66"/>
      <c r="Q1071" s="65"/>
      <c r="R1071" s="67"/>
      <c r="S1071" s="58"/>
    </row>
  </sheetData>
  <autoFilter ref="A11:V1025">
    <filterColumn colId="0"/>
    <filterColumn colId="1"/>
    <filterColumn colId="2"/>
    <filterColumn colId="20"/>
  </autoFilter>
  <mergeCells count="1">
    <mergeCell ref="D8:L8"/>
  </mergeCells>
  <conditionalFormatting sqref="R12:R1007 Q841:Q842 Q844:Q845 Q847:Q848 Q850:Q851 Q853:Q854 Q856:Q857 Q859:Q860 Q862:Q863 Q865:Q866 Q868:Q869 Q871:Q872 Q874:Q875 Q877:Q878 Q880:Q881 Q883:Q884 Q886:Q887 Q889:Q890 Q892:Q893 Q895:Q896 Q898:Q899 Q901:Q902 Q904:Q905 Q907:Q908 Q910:Q911 Q913:Q914 Q916:Q917 Q919:Q920 Q922:Q923 Q925:Q926 Q928:Q929 Q931:Q932 Q934:Q935 Q937:Q938 Q940:Q941 Q943:Q944 Q946:Q947 Q949:Q950 Q952:Q953 Q955:Q956 Q958:Q959 Q961:Q962 Q964:Q965 Q967:Q968 Q970:Q971 Q973:Q974 Q976:Q977 Q979:Q980 Q982:Q983 Q985:Q986 Q988:Q989 Q991:Q992 Q994:Q995 Q997:Q998 Q1000:Q1001 Q1003:Q1004 Q1006:Q1007">
    <cfRule type="cellIs" dxfId="132" priority="2560" stopIfTrue="1" operator="equal">
      <formula>"Fail"</formula>
    </cfRule>
    <cfRule type="cellIs" dxfId="131" priority="2561" stopIfTrue="1" operator="equal">
      <formula>"Pass"</formula>
    </cfRule>
  </conditionalFormatting>
  <conditionalFormatting sqref="A603:A707 A709:A710 A712:A713 A715:A716 A718:A719 A721:A722 A724:A725 A727:A728 A730:A731 A733:A767 A1:A11 A352:A353 A769:A65220">
    <cfRule type="cellIs" dxfId="130" priority="2559" stopIfTrue="1" operator="equal">
      <formula>TODAY()</formula>
    </cfRule>
  </conditionalFormatting>
  <conditionalFormatting sqref="R1008:R1010 Q1009:Q1010">
    <cfRule type="cellIs" dxfId="129" priority="121" stopIfTrue="1" operator="equal">
      <formula>"Fail"</formula>
    </cfRule>
    <cfRule type="cellIs" dxfId="128" priority="122" stopIfTrue="1" operator="equal">
      <formula>"Pass"</formula>
    </cfRule>
  </conditionalFormatting>
  <conditionalFormatting sqref="R1011:R1013 Q1012:Q1013">
    <cfRule type="cellIs" dxfId="127" priority="119" stopIfTrue="1" operator="equal">
      <formula>"Fail"</formula>
    </cfRule>
    <cfRule type="cellIs" dxfId="126" priority="120" stopIfTrue="1" operator="equal">
      <formula>"Pass"</formula>
    </cfRule>
  </conditionalFormatting>
  <conditionalFormatting sqref="R1014:R1016 Q1015:Q1016">
    <cfRule type="cellIs" dxfId="125" priority="117" stopIfTrue="1" operator="equal">
      <formula>"Fail"</formula>
    </cfRule>
    <cfRule type="cellIs" dxfId="124" priority="118" stopIfTrue="1" operator="equal">
      <formula>"Pass"</formula>
    </cfRule>
  </conditionalFormatting>
  <conditionalFormatting sqref="R1017:R1019 Q1018:Q1019">
    <cfRule type="cellIs" dxfId="123" priority="115" stopIfTrue="1" operator="equal">
      <formula>"Fail"</formula>
    </cfRule>
    <cfRule type="cellIs" dxfId="122" priority="116" stopIfTrue="1" operator="equal">
      <formula>"Pass"</formula>
    </cfRule>
  </conditionalFormatting>
  <conditionalFormatting sqref="R1020:R1022 Q1021:Q1022">
    <cfRule type="cellIs" dxfId="121" priority="113" stopIfTrue="1" operator="equal">
      <formula>"Fail"</formula>
    </cfRule>
    <cfRule type="cellIs" dxfId="120" priority="114" stopIfTrue="1" operator="equal">
      <formula>"Pass"</formula>
    </cfRule>
  </conditionalFormatting>
  <conditionalFormatting sqref="R1023:R1025 Q1024:Q1025">
    <cfRule type="cellIs" dxfId="119" priority="111" stopIfTrue="1" operator="equal">
      <formula>"Fail"</formula>
    </cfRule>
    <cfRule type="cellIs" dxfId="118" priority="112" stopIfTrue="1" operator="equal">
      <formula>"Pass"</formula>
    </cfRule>
  </conditionalFormatting>
  <conditionalFormatting sqref="Q1027:R1029">
    <cfRule type="cellIs" dxfId="117" priority="109" stopIfTrue="1" operator="equal">
      <formula>"Fail"</formula>
    </cfRule>
    <cfRule type="cellIs" dxfId="116" priority="110" stopIfTrue="1" operator="equal">
      <formula>"Pass"</formula>
    </cfRule>
  </conditionalFormatting>
  <conditionalFormatting sqref="R1027:R1029 Q1028:Q1029">
    <cfRule type="cellIs" dxfId="115" priority="107" stopIfTrue="1" operator="equal">
      <formula>"Fail"</formula>
    </cfRule>
    <cfRule type="cellIs" dxfId="114" priority="108" stopIfTrue="1" operator="equal">
      <formula>"Pass"</formula>
    </cfRule>
  </conditionalFormatting>
  <conditionalFormatting sqref="R1031:R1033 Q1032:Q1033">
    <cfRule type="cellIs" dxfId="113" priority="105" stopIfTrue="1" operator="equal">
      <formula>"Fail"</formula>
    </cfRule>
    <cfRule type="cellIs" dxfId="112" priority="106" stopIfTrue="1" operator="equal">
      <formula>"Pass"</formula>
    </cfRule>
  </conditionalFormatting>
  <conditionalFormatting sqref="Q1030:R1032">
    <cfRule type="cellIs" dxfId="111" priority="103" stopIfTrue="1" operator="equal">
      <formula>"Fail"</formula>
    </cfRule>
    <cfRule type="cellIs" dxfId="110" priority="104" stopIfTrue="1" operator="equal">
      <formula>"Pass"</formula>
    </cfRule>
  </conditionalFormatting>
  <conditionalFormatting sqref="R1030:R1032 Q1031:Q1032">
    <cfRule type="cellIs" dxfId="109" priority="101" stopIfTrue="1" operator="equal">
      <formula>"Fail"</formula>
    </cfRule>
    <cfRule type="cellIs" dxfId="108" priority="102" stopIfTrue="1" operator="equal">
      <formula>"Pass"</formula>
    </cfRule>
  </conditionalFormatting>
  <conditionalFormatting sqref="R1034:R1035 Q1035">
    <cfRule type="cellIs" dxfId="107" priority="99" stopIfTrue="1" operator="equal">
      <formula>"Fail"</formula>
    </cfRule>
    <cfRule type="cellIs" dxfId="106" priority="100" stopIfTrue="1" operator="equal">
      <formula>"Pass"</formula>
    </cfRule>
  </conditionalFormatting>
  <conditionalFormatting sqref="Q1033:R1035">
    <cfRule type="cellIs" dxfId="105" priority="97" stopIfTrue="1" operator="equal">
      <formula>"Fail"</formula>
    </cfRule>
    <cfRule type="cellIs" dxfId="104" priority="98" stopIfTrue="1" operator="equal">
      <formula>"Pass"</formula>
    </cfRule>
  </conditionalFormatting>
  <conditionalFormatting sqref="R1033:R1035 Q1034:Q1035">
    <cfRule type="cellIs" dxfId="103" priority="95" stopIfTrue="1" operator="equal">
      <formula>"Fail"</formula>
    </cfRule>
    <cfRule type="cellIs" dxfId="102" priority="96" stopIfTrue="1" operator="equal">
      <formula>"Pass"</formula>
    </cfRule>
  </conditionalFormatting>
  <conditionalFormatting sqref="Q1036:R1036">
    <cfRule type="cellIs" dxfId="101" priority="93" stopIfTrue="1" operator="equal">
      <formula>"Fail"</formula>
    </cfRule>
    <cfRule type="cellIs" dxfId="100" priority="94" stopIfTrue="1" operator="equal">
      <formula>"Pass"</formula>
    </cfRule>
  </conditionalFormatting>
  <conditionalFormatting sqref="R1037:R1038 Q1038">
    <cfRule type="cellIs" dxfId="99" priority="91" stopIfTrue="1" operator="equal">
      <formula>"Fail"</formula>
    </cfRule>
    <cfRule type="cellIs" dxfId="98" priority="92" stopIfTrue="1" operator="equal">
      <formula>"Pass"</formula>
    </cfRule>
  </conditionalFormatting>
  <conditionalFormatting sqref="Q1036:R1038">
    <cfRule type="cellIs" dxfId="97" priority="89" stopIfTrue="1" operator="equal">
      <formula>"Fail"</formula>
    </cfRule>
    <cfRule type="cellIs" dxfId="96" priority="90" stopIfTrue="1" operator="equal">
      <formula>"Pass"</formula>
    </cfRule>
  </conditionalFormatting>
  <conditionalFormatting sqref="R1036:R1038 Q1037:Q1038">
    <cfRule type="cellIs" dxfId="95" priority="87" stopIfTrue="1" operator="equal">
      <formula>"Fail"</formula>
    </cfRule>
    <cfRule type="cellIs" dxfId="94" priority="88" stopIfTrue="1" operator="equal">
      <formula>"Pass"</formula>
    </cfRule>
  </conditionalFormatting>
  <conditionalFormatting sqref="Q1039:R1039">
    <cfRule type="cellIs" dxfId="93" priority="85" stopIfTrue="1" operator="equal">
      <formula>"Fail"</formula>
    </cfRule>
    <cfRule type="cellIs" dxfId="92" priority="86" stopIfTrue="1" operator="equal">
      <formula>"Pass"</formula>
    </cfRule>
  </conditionalFormatting>
  <conditionalFormatting sqref="R1040:R1041 Q1041">
    <cfRule type="cellIs" dxfId="91" priority="83" stopIfTrue="1" operator="equal">
      <formula>"Fail"</formula>
    </cfRule>
    <cfRule type="cellIs" dxfId="90" priority="84" stopIfTrue="1" operator="equal">
      <formula>"Pass"</formula>
    </cfRule>
  </conditionalFormatting>
  <conditionalFormatting sqref="Q1039:R1041">
    <cfRule type="cellIs" dxfId="89" priority="81" stopIfTrue="1" operator="equal">
      <formula>"Fail"</formula>
    </cfRule>
    <cfRule type="cellIs" dxfId="88" priority="82" stopIfTrue="1" operator="equal">
      <formula>"Pass"</formula>
    </cfRule>
  </conditionalFormatting>
  <conditionalFormatting sqref="R1039:R1041 Q1040:Q1041">
    <cfRule type="cellIs" dxfId="87" priority="79" stopIfTrue="1" operator="equal">
      <formula>"Fail"</formula>
    </cfRule>
    <cfRule type="cellIs" dxfId="86" priority="80" stopIfTrue="1" operator="equal">
      <formula>"Pass"</formula>
    </cfRule>
  </conditionalFormatting>
  <conditionalFormatting sqref="Q1042:R1042">
    <cfRule type="cellIs" dxfId="85" priority="77" stopIfTrue="1" operator="equal">
      <formula>"Fail"</formula>
    </cfRule>
    <cfRule type="cellIs" dxfId="84" priority="78" stopIfTrue="1" operator="equal">
      <formula>"Pass"</formula>
    </cfRule>
  </conditionalFormatting>
  <conditionalFormatting sqref="R1043:R1044 Q1044">
    <cfRule type="cellIs" dxfId="83" priority="75" stopIfTrue="1" operator="equal">
      <formula>"Fail"</formula>
    </cfRule>
    <cfRule type="cellIs" dxfId="82" priority="76" stopIfTrue="1" operator="equal">
      <formula>"Pass"</formula>
    </cfRule>
  </conditionalFormatting>
  <conditionalFormatting sqref="Q1042:R1044">
    <cfRule type="cellIs" dxfId="81" priority="73" stopIfTrue="1" operator="equal">
      <formula>"Fail"</formula>
    </cfRule>
    <cfRule type="cellIs" dxfId="80" priority="74" stopIfTrue="1" operator="equal">
      <formula>"Pass"</formula>
    </cfRule>
  </conditionalFormatting>
  <conditionalFormatting sqref="R1042:R1044 Q1043:Q1044">
    <cfRule type="cellIs" dxfId="79" priority="71" stopIfTrue="1" operator="equal">
      <formula>"Fail"</formula>
    </cfRule>
    <cfRule type="cellIs" dxfId="78" priority="72" stopIfTrue="1" operator="equal">
      <formula>"Pass"</formula>
    </cfRule>
  </conditionalFormatting>
  <conditionalFormatting sqref="Q1045:R1045">
    <cfRule type="cellIs" dxfId="77" priority="69" stopIfTrue="1" operator="equal">
      <formula>"Fail"</formula>
    </cfRule>
    <cfRule type="cellIs" dxfId="76" priority="70" stopIfTrue="1" operator="equal">
      <formula>"Pass"</formula>
    </cfRule>
  </conditionalFormatting>
  <conditionalFormatting sqref="R1046:R1047 Q1047">
    <cfRule type="cellIs" dxfId="75" priority="67" stopIfTrue="1" operator="equal">
      <formula>"Fail"</formula>
    </cfRule>
    <cfRule type="cellIs" dxfId="74" priority="68" stopIfTrue="1" operator="equal">
      <formula>"Pass"</formula>
    </cfRule>
  </conditionalFormatting>
  <conditionalFormatting sqref="Q1045:R1047">
    <cfRule type="cellIs" dxfId="73" priority="65" stopIfTrue="1" operator="equal">
      <formula>"Fail"</formula>
    </cfRule>
    <cfRule type="cellIs" dxfId="72" priority="66" stopIfTrue="1" operator="equal">
      <formula>"Pass"</formula>
    </cfRule>
  </conditionalFormatting>
  <conditionalFormatting sqref="R1045:R1047 Q1046:Q1047">
    <cfRule type="cellIs" dxfId="71" priority="63" stopIfTrue="1" operator="equal">
      <formula>"Fail"</formula>
    </cfRule>
    <cfRule type="cellIs" dxfId="70" priority="64" stopIfTrue="1" operator="equal">
      <formula>"Pass"</formula>
    </cfRule>
  </conditionalFormatting>
  <conditionalFormatting sqref="Q1048:R1048">
    <cfRule type="cellIs" dxfId="69" priority="61" stopIfTrue="1" operator="equal">
      <formula>"Fail"</formula>
    </cfRule>
    <cfRule type="cellIs" dxfId="68" priority="62" stopIfTrue="1" operator="equal">
      <formula>"Pass"</formula>
    </cfRule>
  </conditionalFormatting>
  <conditionalFormatting sqref="R1049:R1050 Q1050">
    <cfRule type="cellIs" dxfId="67" priority="59" stopIfTrue="1" operator="equal">
      <formula>"Fail"</formula>
    </cfRule>
    <cfRule type="cellIs" dxfId="66" priority="60" stopIfTrue="1" operator="equal">
      <formula>"Pass"</formula>
    </cfRule>
  </conditionalFormatting>
  <conditionalFormatting sqref="Q1048:R1050">
    <cfRule type="cellIs" dxfId="65" priority="57" stopIfTrue="1" operator="equal">
      <formula>"Fail"</formula>
    </cfRule>
    <cfRule type="cellIs" dxfId="64" priority="58" stopIfTrue="1" operator="equal">
      <formula>"Pass"</formula>
    </cfRule>
  </conditionalFormatting>
  <conditionalFormatting sqref="R1048:R1050 Q1049:Q1050">
    <cfRule type="cellIs" dxfId="63" priority="55" stopIfTrue="1" operator="equal">
      <formula>"Fail"</formula>
    </cfRule>
    <cfRule type="cellIs" dxfId="62" priority="56" stopIfTrue="1" operator="equal">
      <formula>"Pass"</formula>
    </cfRule>
  </conditionalFormatting>
  <conditionalFormatting sqref="Q1051:R1051">
    <cfRule type="cellIs" dxfId="61" priority="53" stopIfTrue="1" operator="equal">
      <formula>"Fail"</formula>
    </cfRule>
    <cfRule type="cellIs" dxfId="60" priority="54" stopIfTrue="1" operator="equal">
      <formula>"Pass"</formula>
    </cfRule>
  </conditionalFormatting>
  <conditionalFormatting sqref="R1052:R1053 Q1053">
    <cfRule type="cellIs" dxfId="59" priority="51" stopIfTrue="1" operator="equal">
      <formula>"Fail"</formula>
    </cfRule>
    <cfRule type="cellIs" dxfId="58" priority="52" stopIfTrue="1" operator="equal">
      <formula>"Pass"</formula>
    </cfRule>
  </conditionalFormatting>
  <conditionalFormatting sqref="Q1051:R1053">
    <cfRule type="cellIs" dxfId="57" priority="49" stopIfTrue="1" operator="equal">
      <formula>"Fail"</formula>
    </cfRule>
    <cfRule type="cellIs" dxfId="56" priority="50" stopIfTrue="1" operator="equal">
      <formula>"Pass"</formula>
    </cfRule>
  </conditionalFormatting>
  <conditionalFormatting sqref="R1051:R1053 Q1052:Q1053">
    <cfRule type="cellIs" dxfId="55" priority="47" stopIfTrue="1" operator="equal">
      <formula>"Fail"</formula>
    </cfRule>
    <cfRule type="cellIs" dxfId="54" priority="48" stopIfTrue="1" operator="equal">
      <formula>"Pass"</formula>
    </cfRule>
  </conditionalFormatting>
  <conditionalFormatting sqref="Q1054:R1054">
    <cfRule type="cellIs" dxfId="53" priority="45" stopIfTrue="1" operator="equal">
      <formula>"Fail"</formula>
    </cfRule>
    <cfRule type="cellIs" dxfId="52" priority="46" stopIfTrue="1" operator="equal">
      <formula>"Pass"</formula>
    </cfRule>
  </conditionalFormatting>
  <conditionalFormatting sqref="R1055:R1056 Q1056">
    <cfRule type="cellIs" dxfId="51" priority="43" stopIfTrue="1" operator="equal">
      <formula>"Fail"</formula>
    </cfRule>
    <cfRule type="cellIs" dxfId="50" priority="44" stopIfTrue="1" operator="equal">
      <formula>"Pass"</formula>
    </cfRule>
  </conditionalFormatting>
  <conditionalFormatting sqref="Q1054:R1056">
    <cfRule type="cellIs" dxfId="49" priority="41" stopIfTrue="1" operator="equal">
      <formula>"Fail"</formula>
    </cfRule>
    <cfRule type="cellIs" dxfId="48" priority="42" stopIfTrue="1" operator="equal">
      <formula>"Pass"</formula>
    </cfRule>
  </conditionalFormatting>
  <conditionalFormatting sqref="R1054:R1056 Q1055:Q1056">
    <cfRule type="cellIs" dxfId="47" priority="39" stopIfTrue="1" operator="equal">
      <formula>"Fail"</formula>
    </cfRule>
    <cfRule type="cellIs" dxfId="46" priority="40" stopIfTrue="1" operator="equal">
      <formula>"Pass"</formula>
    </cfRule>
  </conditionalFormatting>
  <conditionalFormatting sqref="Q1057:R1057">
    <cfRule type="cellIs" dxfId="45" priority="37" stopIfTrue="1" operator="equal">
      <formula>"Fail"</formula>
    </cfRule>
    <cfRule type="cellIs" dxfId="44" priority="38" stopIfTrue="1" operator="equal">
      <formula>"Pass"</formula>
    </cfRule>
  </conditionalFormatting>
  <conditionalFormatting sqref="R1058:R1059 Q1059">
    <cfRule type="cellIs" dxfId="43" priority="35" stopIfTrue="1" operator="equal">
      <formula>"Fail"</formula>
    </cfRule>
    <cfRule type="cellIs" dxfId="42" priority="36" stopIfTrue="1" operator="equal">
      <formula>"Pass"</formula>
    </cfRule>
  </conditionalFormatting>
  <conditionalFormatting sqref="Q1057:R1059">
    <cfRule type="cellIs" dxfId="41" priority="33" stopIfTrue="1" operator="equal">
      <formula>"Fail"</formula>
    </cfRule>
    <cfRule type="cellIs" dxfId="40" priority="34" stopIfTrue="1" operator="equal">
      <formula>"Pass"</formula>
    </cfRule>
  </conditionalFormatting>
  <conditionalFormatting sqref="R1057:R1059 Q1058:Q1059">
    <cfRule type="cellIs" dxfId="39" priority="31" stopIfTrue="1" operator="equal">
      <formula>"Fail"</formula>
    </cfRule>
    <cfRule type="cellIs" dxfId="38" priority="32" stopIfTrue="1" operator="equal">
      <formula>"Pass"</formula>
    </cfRule>
  </conditionalFormatting>
  <conditionalFormatting sqref="Q1060:R1060">
    <cfRule type="cellIs" dxfId="37" priority="29" stopIfTrue="1" operator="equal">
      <formula>"Fail"</formula>
    </cfRule>
    <cfRule type="cellIs" dxfId="36" priority="30" stopIfTrue="1" operator="equal">
      <formula>"Pass"</formula>
    </cfRule>
  </conditionalFormatting>
  <conditionalFormatting sqref="R1061:R1062 Q1062">
    <cfRule type="cellIs" dxfId="35" priority="27" stopIfTrue="1" operator="equal">
      <formula>"Fail"</formula>
    </cfRule>
    <cfRule type="cellIs" dxfId="34" priority="28" stopIfTrue="1" operator="equal">
      <formula>"Pass"</formula>
    </cfRule>
  </conditionalFormatting>
  <conditionalFormatting sqref="Q1060:R1062">
    <cfRule type="cellIs" dxfId="33" priority="25" stopIfTrue="1" operator="equal">
      <formula>"Fail"</formula>
    </cfRule>
    <cfRule type="cellIs" dxfId="32" priority="26" stopIfTrue="1" operator="equal">
      <formula>"Pass"</formula>
    </cfRule>
  </conditionalFormatting>
  <conditionalFormatting sqref="R1060:R1062 Q1061:Q1062">
    <cfRule type="cellIs" dxfId="31" priority="23" stopIfTrue="1" operator="equal">
      <formula>"Fail"</formula>
    </cfRule>
    <cfRule type="cellIs" dxfId="30" priority="24" stopIfTrue="1" operator="equal">
      <formula>"Pass"</formula>
    </cfRule>
  </conditionalFormatting>
  <conditionalFormatting sqref="Q1063:R1063">
    <cfRule type="cellIs" dxfId="29" priority="21" stopIfTrue="1" operator="equal">
      <formula>"Fail"</formula>
    </cfRule>
    <cfRule type="cellIs" dxfId="28" priority="22" stopIfTrue="1" operator="equal">
      <formula>"Pass"</formula>
    </cfRule>
  </conditionalFormatting>
  <conditionalFormatting sqref="R1064:R1065 Q1065:R1066">
    <cfRule type="cellIs" dxfId="27" priority="19" stopIfTrue="1" operator="equal">
      <formula>"Fail"</formula>
    </cfRule>
    <cfRule type="cellIs" dxfId="26" priority="20" stopIfTrue="1" operator="equal">
      <formula>"Pass"</formula>
    </cfRule>
  </conditionalFormatting>
  <conditionalFormatting sqref="Q1063:R1068">
    <cfRule type="cellIs" dxfId="25" priority="17" stopIfTrue="1" operator="equal">
      <formula>"Fail"</formula>
    </cfRule>
    <cfRule type="cellIs" dxfId="24" priority="18" stopIfTrue="1" operator="equal">
      <formula>"Pass"</formula>
    </cfRule>
  </conditionalFormatting>
  <conditionalFormatting sqref="R1063:R1065 Q1064:R1068">
    <cfRule type="cellIs" dxfId="23" priority="15" stopIfTrue="1" operator="equal">
      <formula>"Fail"</formula>
    </cfRule>
    <cfRule type="cellIs" dxfId="22" priority="16" stopIfTrue="1" operator="equal">
      <formula>"Pass"</formula>
    </cfRule>
  </conditionalFormatting>
  <conditionalFormatting sqref="Q1066:R1066">
    <cfRule type="cellIs" dxfId="21" priority="13" stopIfTrue="1" operator="equal">
      <formula>"Fail"</formula>
    </cfRule>
    <cfRule type="cellIs" dxfId="20" priority="14" stopIfTrue="1" operator="equal">
      <formula>"Pass"</formula>
    </cfRule>
  </conditionalFormatting>
  <conditionalFormatting sqref="R1067:R1068 Q1068">
    <cfRule type="cellIs" dxfId="19" priority="11" stopIfTrue="1" operator="equal">
      <formula>"Fail"</formula>
    </cfRule>
    <cfRule type="cellIs" dxfId="18" priority="12" stopIfTrue="1" operator="equal">
      <formula>"Pass"</formula>
    </cfRule>
  </conditionalFormatting>
  <conditionalFormatting sqref="Q1069:R1069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Q1069:R1071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Q1069:R1071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Q1069:R1069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R1070:R1071 Q1071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6:A179"/>
  <sheetViews>
    <sheetView zoomScale="85" zoomScaleNormal="85" workbookViewId="0">
      <selection activeCell="L23" sqref="L23"/>
    </sheetView>
  </sheetViews>
  <sheetFormatPr defaultRowHeight="15.75"/>
  <cols>
    <col min="1" max="1" width="10.875" customWidth="1"/>
  </cols>
  <sheetData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9:D223"/>
  <sheetViews>
    <sheetView topLeftCell="A15" zoomScale="90" zoomScaleNormal="90" workbookViewId="0">
      <selection activeCell="K41" sqref="K41"/>
    </sheetView>
  </sheetViews>
  <sheetFormatPr defaultRowHeight="15.75"/>
  <sheetData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4">
      <c r="A145" s="2"/>
    </row>
    <row r="146" spans="1:4">
      <c r="A146" s="2"/>
      <c r="D146" s="3"/>
    </row>
    <row r="147" spans="1:4">
      <c r="A147" s="2"/>
    </row>
    <row r="148" spans="1:4">
      <c r="A148" s="2"/>
    </row>
    <row r="149" spans="1:4">
      <c r="A149" s="2"/>
    </row>
    <row r="150" spans="1:4">
      <c r="A150" s="2"/>
    </row>
    <row r="151" spans="1:4">
      <c r="A151" s="2"/>
    </row>
    <row r="152" spans="1:4">
      <c r="A152" s="2"/>
    </row>
    <row r="153" spans="1:4">
      <c r="A153" s="2"/>
    </row>
    <row r="154" spans="1:4">
      <c r="A154" s="2"/>
    </row>
    <row r="155" spans="1:4">
      <c r="A155" s="2"/>
    </row>
    <row r="156" spans="1:4">
      <c r="A156" s="2"/>
    </row>
    <row r="157" spans="1:4">
      <c r="A157" s="2"/>
    </row>
    <row r="158" spans="1:4">
      <c r="A158" s="2"/>
    </row>
    <row r="159" spans="1:4">
      <c r="A159" s="2"/>
    </row>
    <row r="160" spans="1:4">
      <c r="A160" s="2"/>
    </row>
    <row r="161" spans="1:4">
      <c r="A161" s="2"/>
    </row>
    <row r="162" spans="1:4">
      <c r="A162" s="2"/>
    </row>
    <row r="163" spans="1:4">
      <c r="A163" s="2"/>
    </row>
    <row r="164" spans="1:4">
      <c r="A164" s="2"/>
    </row>
    <row r="165" spans="1:4">
      <c r="A165" s="2"/>
      <c r="D165" s="3"/>
    </row>
    <row r="166" spans="1:4">
      <c r="A166" s="2"/>
    </row>
    <row r="167" spans="1:4">
      <c r="A167" s="2"/>
    </row>
    <row r="168" spans="1:4">
      <c r="A168" s="2"/>
    </row>
    <row r="169" spans="1:4">
      <c r="A169" s="2"/>
    </row>
    <row r="170" spans="1:4">
      <c r="A170" s="2"/>
    </row>
    <row r="171" spans="1:4">
      <c r="A171" s="2"/>
    </row>
    <row r="172" spans="1:4">
      <c r="A172" s="2"/>
    </row>
    <row r="173" spans="1:4">
      <c r="A173" s="2"/>
    </row>
    <row r="174" spans="1:4">
      <c r="A174" s="2"/>
    </row>
    <row r="175" spans="1:4">
      <c r="A175" s="2"/>
    </row>
    <row r="176" spans="1:4">
      <c r="A176" s="2"/>
    </row>
    <row r="177" spans="1:4">
      <c r="A177" s="2"/>
    </row>
    <row r="178" spans="1:4">
      <c r="A178" s="2"/>
    </row>
    <row r="179" spans="1:4">
      <c r="A179" s="2"/>
    </row>
    <row r="180" spans="1:4">
      <c r="A180" s="2"/>
    </row>
    <row r="181" spans="1:4">
      <c r="A181" s="2"/>
    </row>
    <row r="182" spans="1:4">
      <c r="A182" s="2"/>
    </row>
    <row r="183" spans="1:4">
      <c r="A183" s="2"/>
    </row>
    <row r="184" spans="1:4">
      <c r="A184" s="2"/>
    </row>
    <row r="185" spans="1:4">
      <c r="A185" s="2"/>
    </row>
    <row r="186" spans="1:4">
      <c r="A186" s="2"/>
      <c r="D186" s="3"/>
    </row>
    <row r="187" spans="1:4">
      <c r="A187" s="2"/>
    </row>
    <row r="188" spans="1:4">
      <c r="A188" s="2"/>
    </row>
    <row r="189" spans="1:4">
      <c r="A189" s="2"/>
    </row>
    <row r="190" spans="1:4">
      <c r="A190" s="2"/>
    </row>
    <row r="191" spans="1:4">
      <c r="A191" s="2"/>
    </row>
    <row r="192" spans="1:4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G20" sqref="G20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Q2:R54"/>
  <sheetViews>
    <sheetView topLeftCell="A43" workbookViewId="0">
      <selection activeCell="R55" sqref="R55"/>
    </sheetView>
  </sheetViews>
  <sheetFormatPr defaultRowHeight="15.75"/>
  <cols>
    <col min="17" max="17" width="11.5" bestFit="1" customWidth="1"/>
  </cols>
  <sheetData>
    <row r="2" spans="18:18">
      <c r="R2" s="156">
        <v>4.8282606038381619</v>
      </c>
    </row>
    <row r="3" spans="18:18">
      <c r="R3" s="156">
        <v>5.5900621118012426</v>
      </c>
    </row>
    <row r="4" spans="18:18">
      <c r="R4" s="156">
        <v>5.4329840044125755</v>
      </c>
    </row>
    <row r="5" spans="18:18">
      <c r="R5" s="156">
        <v>4.3722178181596396</v>
      </c>
    </row>
    <row r="6" spans="18:18">
      <c r="R6" s="156">
        <v>2.7286342245915267</v>
      </c>
    </row>
    <row r="7" spans="18:18">
      <c r="R7" s="156">
        <v>2.4906471887686545</v>
      </c>
    </row>
    <row r="8" spans="18:18">
      <c r="R8" s="156">
        <v>3.1108868876661515</v>
      </c>
    </row>
    <row r="9" spans="18:18">
      <c r="R9" s="156">
        <v>2.161481977031265</v>
      </c>
    </row>
    <row r="10" spans="18:18">
      <c r="R10" s="156">
        <v>2.4856882149103443</v>
      </c>
    </row>
    <row r="11" spans="18:18">
      <c r="R11" s="156">
        <v>4.0737948678376359</v>
      </c>
    </row>
    <row r="12" spans="18:18">
      <c r="R12" s="156">
        <v>2.5396743274488811</v>
      </c>
    </row>
    <row r="13" spans="18:18">
      <c r="R13" s="156">
        <v>2.3200917619288179</v>
      </c>
    </row>
    <row r="14" spans="18:18">
      <c r="R14" s="156">
        <v>3.7571471875195432</v>
      </c>
    </row>
    <row r="15" spans="18:18">
      <c r="R15" s="156">
        <v>2.8005774710380664</v>
      </c>
    </row>
    <row r="16" spans="18:18">
      <c r="R16" s="156">
        <v>4.3142182899476067</v>
      </c>
    </row>
    <row r="17" spans="18:18">
      <c r="R17" s="156">
        <v>3.7268762873962786</v>
      </c>
    </row>
    <row r="18" spans="18:18">
      <c r="R18" s="156">
        <v>3.8810236154489171</v>
      </c>
    </row>
    <row r="19" spans="18:18">
      <c r="R19" s="156">
        <v>3.777356220793056</v>
      </c>
    </row>
    <row r="20" spans="18:18">
      <c r="R20" s="156">
        <v>3.3030827000798277</v>
      </c>
    </row>
    <row r="21" spans="18:18">
      <c r="R21" s="156">
        <v>3.3810697017246283</v>
      </c>
    </row>
    <row r="22" spans="18:18">
      <c r="R22" s="156">
        <v>1.8035482381655945</v>
      </c>
    </row>
    <row r="23" spans="18:18">
      <c r="R23" s="156">
        <v>3.4188493781222058</v>
      </c>
    </row>
    <row r="24" spans="18:18">
      <c r="R24" s="156">
        <v>2.538614193629968</v>
      </c>
    </row>
    <row r="25" spans="18:18">
      <c r="R25" s="156">
        <v>1.9770086552018329</v>
      </c>
    </row>
    <row r="26" spans="18:18">
      <c r="R26" s="156">
        <v>5.0941614187128366</v>
      </c>
    </row>
    <row r="27" spans="18:18">
      <c r="R27" s="156">
        <v>4.6884563594075157</v>
      </c>
    </row>
    <row r="28" spans="18:18">
      <c r="R28" s="156">
        <v>3.6816549906706997</v>
      </c>
    </row>
    <row r="29" spans="18:18">
      <c r="R29" s="156">
        <v>4.1805118384702027</v>
      </c>
    </row>
    <row r="30" spans="18:18">
      <c r="R30" s="156">
        <v>3.8998057871077378</v>
      </c>
    </row>
    <row r="31" spans="18:18">
      <c r="R31" s="156">
        <v>3.2587233797470159</v>
      </c>
    </row>
    <row r="32" spans="18:18">
      <c r="R32" s="156">
        <v>4.5331059370350122</v>
      </c>
    </row>
    <row r="33" spans="18:18">
      <c r="R33" s="156">
        <v>2.2745328669741411</v>
      </c>
    </row>
    <row r="34" spans="18:18">
      <c r="R34" s="156">
        <v>4.0872910552178752</v>
      </c>
    </row>
    <row r="35" spans="18:18">
      <c r="R35" s="156">
        <v>4.3646623050118318</v>
      </c>
    </row>
    <row r="36" spans="18:18">
      <c r="R36" s="156">
        <v>3.48588569572795</v>
      </c>
    </row>
    <row r="37" spans="18:18">
      <c r="R37" s="156">
        <v>5.2873839300823855</v>
      </c>
    </row>
    <row r="38" spans="18:18">
      <c r="R38" s="156">
        <v>9.0081746357948465</v>
      </c>
    </row>
    <row r="39" spans="18:18">
      <c r="R39" s="156">
        <v>3.9236523787871005</v>
      </c>
    </row>
    <row r="40" spans="18:18">
      <c r="R40" s="156">
        <v>4.4730420782917077</v>
      </c>
    </row>
    <row r="41" spans="18:18">
      <c r="R41" s="156">
        <v>3.9777983348751045</v>
      </c>
    </row>
    <row r="42" spans="18:18">
      <c r="R42" s="156">
        <v>4.5711896181512763</v>
      </c>
    </row>
    <row r="43" spans="18:18">
      <c r="R43" s="156">
        <v>5.6771223967697981</v>
      </c>
    </row>
    <row r="44" spans="18:18">
      <c r="R44" s="156">
        <v>4.4964800035285757</v>
      </c>
    </row>
    <row r="45" spans="18:18">
      <c r="R45" s="156">
        <v>4.4613815957175742</v>
      </c>
    </row>
    <row r="46" spans="18:18">
      <c r="R46" s="156">
        <v>5.9517041609139492</v>
      </c>
    </row>
    <row r="47" spans="18:18">
      <c r="R47" s="156">
        <v>4.397286108744364</v>
      </c>
    </row>
    <row r="48" spans="18:18">
      <c r="R48" s="156">
        <v>5.8385972086216507</v>
      </c>
    </row>
    <row r="49" spans="17:18">
      <c r="R49" s="156">
        <v>4.6657396564019944</v>
      </c>
    </row>
    <row r="50" spans="17:18">
      <c r="R50" s="156">
        <v>7.428600008812257</v>
      </c>
    </row>
    <row r="51" spans="17:18">
      <c r="R51" s="156">
        <v>6.7438826975530528</v>
      </c>
    </row>
    <row r="53" spans="17:18">
      <c r="Q53" t="s">
        <v>483</v>
      </c>
      <c r="R53">
        <f>PERCENTILE(R2:R51,0.95)</f>
        <v>6.3874023560654543</v>
      </c>
    </row>
    <row r="54" spans="17:18">
      <c r="Q54" t="s">
        <v>485</v>
      </c>
      <c r="R54">
        <f>PERCENTILE(R2:R51,0.99)</f>
        <v>8.2341830685733743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ASBE1-CP</vt:lpstr>
      <vt:lpstr>ASBE1-ER</vt:lpstr>
      <vt:lpstr>_xlwings.conf</vt:lpstr>
      <vt:lpstr>CP Plot</vt:lpstr>
      <vt:lpstr>ER Plot</vt:lpstr>
      <vt:lpstr>RUN_Code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2021-03-07T09:48:56Z</dcterms:modified>
</cp:coreProperties>
</file>