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59" i="3"/>
  <c r="K1059"/>
  <c r="J1059"/>
  <c r="I1059"/>
  <c r="H1059"/>
  <c r="G1059"/>
  <c r="F1059"/>
  <c r="E1059"/>
  <c r="O1057" s="1"/>
  <c r="D1059"/>
  <c r="P1057"/>
  <c r="N1057"/>
  <c r="J259" i="1"/>
  <c r="G259"/>
  <c r="D259"/>
  <c r="K259" s="1"/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Q1057" i="3" l="1"/>
  <c r="R1057" s="1"/>
  <c r="O1054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<sst xmlns="http://schemas.openxmlformats.org/spreadsheetml/2006/main" count="1965" uniqueCount="509">
  <si>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</si>
  <si>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</si>
  <si>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</si>
  <si>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</si>
  <si>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</si>
  <si>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</si>
  <si>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</si>
  <si>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</si>
  <si>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</si>
  <si>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</si>
  <si>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</si>
  <si>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</si>
  <si>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</si>
  <si>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</si>
  <si>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</si>
  <si>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</si>
  <si>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</si>
  <si>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</si>
  <si>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</si>
  <si>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</si>
  <si>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</si>
  <si>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</si>
  <si>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</si>
  <si>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</si>
  <si>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</si>
  <si>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</si>
  <si>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</si>
  <si>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</si>
  <si>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</si>
  <si>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</si>
  <si>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</si>
  <si>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</si>
  <si>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</si>
  <si>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</si>
  <si>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</si>
  <si>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</si>
  <si>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</si>
  <si>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</si>
  <si>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</si>
  <si>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</si>
  <si>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</si>
  <si>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</si>
  <si>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</si>
  <si>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</si>
  <si>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</si>
  <si>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</si>
  <si>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</si>
  <si>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</si>
  <si>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</si>
  <si>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</si>
  <si>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</si>
  <si>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</si>
  <si>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</si>
  <si>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</si>
  <si>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</si>
  <si>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</si>
  <si>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</si>
  <si>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</si>
  <si>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</si>
  <si>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</si>
  <si>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</si>
  <si>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</si>
  <si>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</si>
  <si>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</si>
  <si>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</si>
  <si>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</si>
  <si>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</si>
  <si>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</si>
  <si>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</si>
  <si>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</si>
  <si>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</si>
  <si>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</si>
  <si>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</si>
  <si>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</si>
  <si>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</si>
  <si>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</si>
  <si>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</si>
  <si>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</si>
  <si>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</si>
  <si>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</si>
  <si>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</si>
  <si>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</si>
  <si>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</si>
  <si>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</si>
  <si>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</si>
  <si>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</si>
  <si>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</si>
  <si>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</si>
  <si>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</si>
  <si>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</si>
  <si>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</si>
  <si>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</si>
  <si>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</si>
  <si>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</si>
  <si>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</si>
  <si>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</si>
  <si>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</si>
  <si>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</si>
  <si>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</si>
  <si>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</si>
  <si>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</si>
  <si>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</si>
  <si>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</si>
  <si>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</si>
  <si>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</si>
  <si>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</si>
  <si>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</si>
  <si>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</si>
  <si>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</si>
  <si>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</si>
  <si>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</si>
  <si>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</si>
  <si>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</si>
  <si>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</si>
  <si>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</si>
  <si>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</si>
  <si>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</si>
  <si>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</si>
  <si>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</si>
  <si>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</si>
  <si>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</si>
  <si>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</si>
  <si>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</si>
  <si>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</si>
  <si>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</si>
  <si>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</si>
  <si>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</si>
  <si>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</si>
  <si>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</si>
  <si>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</si>
  <si>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</si>
  <si>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</si>
  <si>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</si>
  <si>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</si>
  <si>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</si>
  <si>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</si>
  <si>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</si>
  <si>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</si>
  <si>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</si>
  <si>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</si>
  <si>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</si>
  <si>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</si>
  <si>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</si>
  <si>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</si>
  <si>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</si>
  <si>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</si>
  <si>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</si>
  <si>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</si>
  <si>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</si>
  <si>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</si>
  <si>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</si>
  <si>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</si>
  <si>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</si>
  <si>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</si>
  <si>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</si>
  <si>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</si>
  <si>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</si>
  <si>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</si>
  <si>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</si>
  <si>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</si>
  <si>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</si>
  <si>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</si>
  <si>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</si>
  <si>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</si>
  <si>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</si>
  <si>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</si>
  <si>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</si>
  <si>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</si>
  <si>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</si>
  <si>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</si>
  <si>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</si>
  <si>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</si>
  <si>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</si>
  <si>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</si>
  <si>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</si>
  <si>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</si>
  <si>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</si>
  <si>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</si>
  <si>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</si>
  <si>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</si>
  <si>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</si>
  <si>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</si>
  <si>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</si>
  <si>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</si>
  <si>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</si>
  <si>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</si>
  <si>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</si>
  <si>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</si>
  <si>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</si>
  <si>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</si>
  <si>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</si>
  <si>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</si>
  <si>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</si>
  <si>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</si>
  <si>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</si>
  <si>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</si>
  <si>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</si>
  <si>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</si>
  <si>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</si>
  <si>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</si>
  <si>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</si>
  <si>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</si>
  <si>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</si>
  <si>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</si>
  <si>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</si>
  <si>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</si>
  <si>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</si>
  <si>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</si>
  <si>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</si>
  <si>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</si>
  <si>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</si>
  <si>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</si>
  <si>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</si>
  <si>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</si>
  <si>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</si>
  <si>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</si>
  <si>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</si>
  <si>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</si>
  <si>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</si>
  <si>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</si>
  <si>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</si>
  <si>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</si>
  <si>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</si>
  <si>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</si>
  <si>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</si>
  <si>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</si>
  <si>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</si>
  <si>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</si>
  <si>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</si>
  <si>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</si>
  <si>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</si>
  <si>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</si>
  <si>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</si>
  <si>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</si>
  <si>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</si>
  <si>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</si>
  <si>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</si>
  <si>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</si>
  <si>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</si>
  <si>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</si>
  <si>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</si>
  <si>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</si>
  <si>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</si>
  <si>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</si>
  <si>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</si>
  <si>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</si>
  <si>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</si>
  <si>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</si>
  <si>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</si>
  <si>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</si>
  <si>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</si>
  <si>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</si>
  <si>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</si>
  <si>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</si>
  <si>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</si>
  <si>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</si>
  <si>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</si>
  <si>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</si>
  <si>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</si>
  <si>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</si>
  <si>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</si>
  <si>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</si>
  <si>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</si>
  <si>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</si>
  <si>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</si>
  <si>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</si>
  <si>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</si>
  <si>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</si>
  <si>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</si>
  <si>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</si>
  <si>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</si>
  <si>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</si>
  <si>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</si>
  <si>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</si>
  <si>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</si>
  <si>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</si>
  <si>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</si>
  <si>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</si>
  <si>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</si>
  <si>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</si>
  <si>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</si>
  <si>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</si>
  <si>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</si>
  <si>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</si>
  <si>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</si>
  <si>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</si>
  <si>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</si>
  <si>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</si>
  <si>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</si>
  <si>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</si>
  <si>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</si>
  <si>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</si>
  <si>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</si>
  <si>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</si>
  <si>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</si>
  <si>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</si>
  <si>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</si>
  <si>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</si>
  <si>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</si>
  <si>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</si>
  <si>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</si>
  <si>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</si>
  <si>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</si>
  <si>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</si>
  <si>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</si>
  <si>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</si>
  <si>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</si>
  <si>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</si>
  <si>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</si>
  <si>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</si>
  <si>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</si>
  <si>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</si>
  <si>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</si>
  <si>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</si>
  <si>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</si>
  <si>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</si>
  <si>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</si>
  <si>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</si>
  <si>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</si>
  <si>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</si>
  <si>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</si>
  <si>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</si>
  <si>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</si>
  <si>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</si>
  <si>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</si>
  <si>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</si>
  <si>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</si>
  <si>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</si>
  <si>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</si>
  <si>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</si>
  <si>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</si>
  <si>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</si>
  <si>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</si>
  <si>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</si>
  <si>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</si>
  <si>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</si>
  <si>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</si>
  <si>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</si>
  <si>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</si>
  <si>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</si>
  <si>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</si>
  <si>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</si>
  <si>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</si>
  <si>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</si>
  <si>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</si>
  <si>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</si>
  <si>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</si>
  <si>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</si>
  <si>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</si>
  <si>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</si>
  <si>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</si>
  <si>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</si>
  <si>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</si>
  <si>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</si>
  <si>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</si>
  <si>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</si>
  <si>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</si>
  <si>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</si>
  <si>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</si>
  <si>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</si>
  <si>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</si>
  <si>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</si>
  <si>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</si>
  <si>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</si>
  <si>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</si>
  <si>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</si>
  <si>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</si>
  <si>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</si>
  <si>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</si>
  <si>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</si>
  <si>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</si>
  <si>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</si>
  <si>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</si>
  <si>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</si>
  <si>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</si>
  <si>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</si>
  <si>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</si>
  <si>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</si>
  <si>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</si>
  <si>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</si>
  <si>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</si>
  <si>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</si>
  <si>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</si>
  <si>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</si>
  <si>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</si>
  <si>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</si>
  <si>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</si>
  <si>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</si>
  <si>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</si>
  <si>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</si>
  <si>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</si>
  <si>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</si>
  <si>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</si>
  <si>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</si>
  <si>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</si>
  <si>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</si>
  <si>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</si>
  <si>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</si>
  <si>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</si>
  <si>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</si>
  <si>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</si>
  <si>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</si>
  <si>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</si>
  <si>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</si>
  <si>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</si>
  <si>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</si>
  <si>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</si>
  <si>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</si>
  <si>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</si>
  <si>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</si>
  <si>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</si>
  <si>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</si>
  <si>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</si>
  <si>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</si>
  <si>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</si>
  <si>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</si>
  <si>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</si>
  <si>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</si>
  <si>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</si>
  <si>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</si>
  <si>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</si>
  <si>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</si>
  <si>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</si>
  <si>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</si>
  <si>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</si>
  <si>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</si>
  <si>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</si>
  <si>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</si>
  <si>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</si>
  <si>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</si>
  <si>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</si>
  <si>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</si>
  <si>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</si>
  <si>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</si>
  <si>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</si>
  <si>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</si>
  <si>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</si>
  <si>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</si>
  <si>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</si>
  <si>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</si>
  <si>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</si>
  <si>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</si>
  <si>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</si>
  <si>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</si>
  <si>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</si>
  <si>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</si>
  <si>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</si>
  <si>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</si>
  <si>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</si>
  <si>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</si>
  <si>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</si>
  <si>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</si>
  <si>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</si>
  <si>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</si>
  <si>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</si>
  <si>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</si>
  <si>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</si>
  <si>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</si>
  <si>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</si>
  <si>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</si>
  <si>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</si>
  <si>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</si>
  <si>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</si>
  <si>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</si>
  <si>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</si>
  <si>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</si>
  <si>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</si>
  <si>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</si>
  <si>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</si>
  <si>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</si>
  <si>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</si>
  <si>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</si>
  <si>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</si>
  <si>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</si>
  <si>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</si>
  <si>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</si>
  <si>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</si>
  <si>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</si>
  <si>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</si>
  <si>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</si>
  <si>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</si>
  <si>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</si>
  <si>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</si>
  <si>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</si>
  <si>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</si>
  <si>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</si>
  <si>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</si>
  <si>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</si>
  <si>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</si>
  <si>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</si>
  <si>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</si>
  <si>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</si>
  <si>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</si>
  <si>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</si>
  <si>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</si>
  <si>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</si>
  <si>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</si>
  <si>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</si>
  <si>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</si>
  <si>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</si>
  <si>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</si>
  <si>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</si>
  <si>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</si>
  <si>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</si>
  <si>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</si>
  <si>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</si>
  <si>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</si>
  <si>
    <t xml:space="preserve">YEDR1 (LPDN Pre 6,Post 8). </t>
  </si>
  <si>
    <t>Q21080102.F1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</si>
</sst>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250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zoomScale="85" zoomScaleNormal="85" workbookViewId="0">
      <pane ySplit="11" topLeftCell="A240" activePane="bottomLeft" state="frozen"/>
      <selection pane="bottomLeft" activeCell="J261" sqref="J261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8" t="s">
        <v>11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60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1"/>
      <c r="B8" s="162"/>
      <c r="C8" s="162"/>
      <c r="D8" s="162"/>
      <c r="E8" s="162"/>
      <c r="F8" s="162"/>
      <c r="G8" s="162"/>
      <c r="H8" s="162"/>
      <c r="I8" s="162"/>
      <c r="J8" s="162"/>
      <c r="K8" s="163"/>
      <c r="L8" s="163"/>
      <c r="M8" s="163"/>
      <c r="N8" s="163"/>
      <c r="O8" s="164"/>
      <c r="P8" s="8"/>
      <c r="Q8" s="24"/>
    </row>
    <row r="9" spans="1:17" ht="18" customHeight="1" thickBot="1">
      <c r="A9" s="85"/>
      <c r="B9" s="165" t="s">
        <v>456</v>
      </c>
      <c r="C9" s="166"/>
      <c r="D9" s="166"/>
      <c r="E9" s="166"/>
      <c r="F9" s="166"/>
      <c r="G9" s="166"/>
      <c r="H9" s="166"/>
      <c r="I9" s="166"/>
      <c r="J9" s="167"/>
      <c r="K9" s="7"/>
      <c r="L9" s="7"/>
      <c r="N9" s="8"/>
      <c r="O9" s="7"/>
    </row>
    <row r="10" spans="1:17" ht="17.25" customHeight="1" thickBot="1">
      <c r="A10" s="85"/>
      <c r="B10" s="165" t="s">
        <v>457</v>
      </c>
      <c r="C10" s="166"/>
      <c r="D10" s="167"/>
      <c r="E10" s="168" t="s">
        <v>458</v>
      </c>
      <c r="F10" s="169"/>
      <c r="G10" s="170"/>
      <c r="H10" s="168" t="s">
        <v>459</v>
      </c>
      <c r="I10" s="169"/>
      <c r="J10" s="170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A259" s="129">
        <v>44245</v>
      </c>
      <c r="B259" s="19">
        <v>10</v>
      </c>
      <c r="C259" s="19">
        <v>20</v>
      </c>
      <c r="D259" s="19">
        <f t="shared" ref="D259" si="190">IF(((B259="")*AND(C259="")),"",(C259-B259))</f>
        <v>10</v>
      </c>
      <c r="E259" s="19">
        <v>4</v>
      </c>
      <c r="F259" s="19">
        <v>11</v>
      </c>
      <c r="G259" s="145">
        <f t="shared" ref="G259" si="191">F259-E259</f>
        <v>7</v>
      </c>
      <c r="H259" s="19">
        <v>1</v>
      </c>
      <c r="I259" s="19">
        <v>6</v>
      </c>
      <c r="J259" s="19">
        <f t="shared" ref="J259" si="192">I259-H259</f>
        <v>5</v>
      </c>
      <c r="K259" s="147" t="str">
        <f t="shared" ref="K259" si="193">IF((D259=""),"",IF(D259&lt;=N259,"Pass","Fail"))</f>
        <v>Pass</v>
      </c>
      <c r="L259" s="19">
        <v>1428</v>
      </c>
      <c r="M259" s="17">
        <v>100</v>
      </c>
      <c r="N259" s="17">
        <v>23</v>
      </c>
      <c r="O259" s="22" t="s">
        <v>507</v>
      </c>
      <c r="P259" s="7"/>
      <c r="Q259" s="7"/>
      <c r="R259" s="7"/>
    </row>
    <row r="260" spans="1:18">
      <c r="B260" s="28"/>
      <c r="C260" s="27"/>
      <c r="D260" s="27"/>
      <c r="E260" s="27"/>
      <c r="F260" s="27"/>
      <c r="G260" s="27"/>
      <c r="H260" s="27"/>
      <c r="I260" s="27"/>
      <c r="J260" s="27"/>
      <c r="K260" s="7"/>
      <c r="L260" s="27"/>
      <c r="N260" s="8"/>
      <c r="O260" s="7"/>
      <c r="P260" s="7"/>
      <c r="Q260" s="7"/>
      <c r="R260" s="7"/>
    </row>
    <row r="261" spans="1:18">
      <c r="B261" s="28"/>
      <c r="C261" s="27"/>
      <c r="D261" s="27"/>
      <c r="E261" s="27"/>
      <c r="F261" s="27"/>
      <c r="G261" s="27"/>
      <c r="H261" s="27"/>
      <c r="I261" s="27"/>
      <c r="J261" s="27"/>
      <c r="K261" s="7"/>
      <c r="L261" s="27"/>
      <c r="N261" s="8"/>
      <c r="O261" s="7"/>
      <c r="P261" s="7"/>
      <c r="Q261" s="7"/>
      <c r="R261" s="7"/>
    </row>
    <row r="262" spans="1:18">
      <c r="B262" s="28"/>
      <c r="C262" s="27"/>
      <c r="D262" s="27"/>
      <c r="E262" s="27"/>
      <c r="F262" s="27"/>
      <c r="G262" s="27"/>
      <c r="H262" s="27"/>
      <c r="I262" s="27"/>
      <c r="J262" s="27"/>
      <c r="K262" s="7"/>
      <c r="L262" s="27"/>
      <c r="N262" s="8"/>
      <c r="O262" s="7"/>
      <c r="P262" s="7"/>
      <c r="Q262" s="7"/>
      <c r="R262" s="7"/>
    </row>
    <row r="263" spans="1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49" priority="447" stopIfTrue="1" operator="equal">
      <formula>"Pass"</formula>
    </cfRule>
    <cfRule type="cellIs" dxfId="248" priority="448" stopIfTrue="1" operator="equal">
      <formula>"Fail"</formula>
    </cfRule>
  </conditionalFormatting>
  <conditionalFormatting sqref="K222">
    <cfRule type="cellIs" dxfId="247" priority="139" stopIfTrue="1" operator="equal">
      <formula>"Pass"</formula>
    </cfRule>
    <cfRule type="cellIs" dxfId="246" priority="140" stopIfTrue="1" operator="equal">
      <formula>"Fail"</formula>
    </cfRule>
  </conditionalFormatting>
  <conditionalFormatting sqref="K223">
    <cfRule type="cellIs" dxfId="245" priority="137" stopIfTrue="1" operator="equal">
      <formula>"Pass"</formula>
    </cfRule>
    <cfRule type="cellIs" dxfId="244" priority="138" stopIfTrue="1" operator="equal">
      <formula>"Fail"</formula>
    </cfRule>
  </conditionalFormatting>
  <conditionalFormatting sqref="K224:K225">
    <cfRule type="cellIs" dxfId="243" priority="135" stopIfTrue="1" operator="equal">
      <formula>"Pass"</formula>
    </cfRule>
    <cfRule type="cellIs" dxfId="242" priority="136" stopIfTrue="1" operator="equal">
      <formula>"Fail"</formula>
    </cfRule>
  </conditionalFormatting>
  <conditionalFormatting sqref="K226">
    <cfRule type="cellIs" dxfId="241" priority="133" stopIfTrue="1" operator="equal">
      <formula>"Pass"</formula>
    </cfRule>
    <cfRule type="cellIs" dxfId="240" priority="134" stopIfTrue="1" operator="equal">
      <formula>"Fail"</formula>
    </cfRule>
  </conditionalFormatting>
  <conditionalFormatting sqref="K227">
    <cfRule type="cellIs" dxfId="239" priority="131" stopIfTrue="1" operator="equal">
      <formula>"Pass"</formula>
    </cfRule>
    <cfRule type="cellIs" dxfId="238" priority="132" stopIfTrue="1" operator="equal">
      <formula>"Fail"</formula>
    </cfRule>
  </conditionalFormatting>
  <conditionalFormatting sqref="K227">
    <cfRule type="cellIs" dxfId="237" priority="129" stopIfTrue="1" operator="equal">
      <formula>"Pass"</formula>
    </cfRule>
    <cfRule type="cellIs" dxfId="236" priority="130" stopIfTrue="1" operator="equal">
      <formula>"Fail"</formula>
    </cfRule>
  </conditionalFormatting>
  <conditionalFormatting sqref="K228">
    <cfRule type="cellIs" dxfId="235" priority="127" stopIfTrue="1" operator="equal">
      <formula>"Pass"</formula>
    </cfRule>
    <cfRule type="cellIs" dxfId="234" priority="128" stopIfTrue="1" operator="equal">
      <formula>"Fail"</formula>
    </cfRule>
  </conditionalFormatting>
  <conditionalFormatting sqref="K228">
    <cfRule type="cellIs" dxfId="233" priority="125" stopIfTrue="1" operator="equal">
      <formula>"Pass"</formula>
    </cfRule>
    <cfRule type="cellIs" dxfId="232" priority="126" stopIfTrue="1" operator="equal">
      <formula>"Fail"</formula>
    </cfRule>
  </conditionalFormatting>
  <conditionalFormatting sqref="K229">
    <cfRule type="cellIs" dxfId="231" priority="123" stopIfTrue="1" operator="equal">
      <formula>"Pass"</formula>
    </cfRule>
    <cfRule type="cellIs" dxfId="230" priority="124" stopIfTrue="1" operator="equal">
      <formula>"Fail"</formula>
    </cfRule>
  </conditionalFormatting>
  <conditionalFormatting sqref="K229">
    <cfRule type="cellIs" dxfId="229" priority="121" stopIfTrue="1" operator="equal">
      <formula>"Pass"</formula>
    </cfRule>
    <cfRule type="cellIs" dxfId="228" priority="122" stopIfTrue="1" operator="equal">
      <formula>"Fail"</formula>
    </cfRule>
  </conditionalFormatting>
  <conditionalFormatting sqref="K230">
    <cfRule type="cellIs" dxfId="227" priority="119" stopIfTrue="1" operator="equal">
      <formula>"Pass"</formula>
    </cfRule>
    <cfRule type="cellIs" dxfId="226" priority="120" stopIfTrue="1" operator="equal">
      <formula>"Fail"</formula>
    </cfRule>
  </conditionalFormatting>
  <conditionalFormatting sqref="K230">
    <cfRule type="cellIs" dxfId="225" priority="117" stopIfTrue="1" operator="equal">
      <formula>"Pass"</formula>
    </cfRule>
    <cfRule type="cellIs" dxfId="224" priority="118" stopIfTrue="1" operator="equal">
      <formula>"Fail"</formula>
    </cfRule>
  </conditionalFormatting>
  <conditionalFormatting sqref="K231">
    <cfRule type="cellIs" dxfId="223" priority="115" stopIfTrue="1" operator="equal">
      <formula>"Pass"</formula>
    </cfRule>
    <cfRule type="cellIs" dxfId="222" priority="116" stopIfTrue="1" operator="equal">
      <formula>"Fail"</formula>
    </cfRule>
  </conditionalFormatting>
  <conditionalFormatting sqref="K231">
    <cfRule type="cellIs" dxfId="221" priority="113" stopIfTrue="1" operator="equal">
      <formula>"Pass"</formula>
    </cfRule>
    <cfRule type="cellIs" dxfId="220" priority="114" stopIfTrue="1" operator="equal">
      <formula>"Fail"</formula>
    </cfRule>
  </conditionalFormatting>
  <conditionalFormatting sqref="K232">
    <cfRule type="cellIs" dxfId="219" priority="111" stopIfTrue="1" operator="equal">
      <formula>"Pass"</formula>
    </cfRule>
    <cfRule type="cellIs" dxfId="218" priority="112" stopIfTrue="1" operator="equal">
      <formula>"Fail"</formula>
    </cfRule>
  </conditionalFormatting>
  <conditionalFormatting sqref="K232">
    <cfRule type="cellIs" dxfId="217" priority="109" stopIfTrue="1" operator="equal">
      <formula>"Pass"</formula>
    </cfRule>
    <cfRule type="cellIs" dxfId="216" priority="110" stopIfTrue="1" operator="equal">
      <formula>"Fail"</formula>
    </cfRule>
  </conditionalFormatting>
  <conditionalFormatting sqref="K233">
    <cfRule type="cellIs" dxfId="215" priority="107" stopIfTrue="1" operator="equal">
      <formula>"Pass"</formula>
    </cfRule>
    <cfRule type="cellIs" dxfId="214" priority="108" stopIfTrue="1" operator="equal">
      <formula>"Fail"</formula>
    </cfRule>
  </conditionalFormatting>
  <conditionalFormatting sqref="K233">
    <cfRule type="cellIs" dxfId="213" priority="105" stopIfTrue="1" operator="equal">
      <formula>"Pass"</formula>
    </cfRule>
    <cfRule type="cellIs" dxfId="212" priority="106" stopIfTrue="1" operator="equal">
      <formula>"Fail"</formula>
    </cfRule>
  </conditionalFormatting>
  <conditionalFormatting sqref="K234">
    <cfRule type="cellIs" dxfId="211" priority="103" stopIfTrue="1" operator="equal">
      <formula>"Pass"</formula>
    </cfRule>
    <cfRule type="cellIs" dxfId="210" priority="104" stopIfTrue="1" operator="equal">
      <formula>"Fail"</formula>
    </cfRule>
  </conditionalFormatting>
  <conditionalFormatting sqref="K234">
    <cfRule type="cellIs" dxfId="209" priority="101" stopIfTrue="1" operator="equal">
      <formula>"Pass"</formula>
    </cfRule>
    <cfRule type="cellIs" dxfId="208" priority="102" stopIfTrue="1" operator="equal">
      <formula>"Fail"</formula>
    </cfRule>
  </conditionalFormatting>
  <conditionalFormatting sqref="K235">
    <cfRule type="cellIs" dxfId="207" priority="99" stopIfTrue="1" operator="equal">
      <formula>"Pass"</formula>
    </cfRule>
    <cfRule type="cellIs" dxfId="206" priority="100" stopIfTrue="1" operator="equal">
      <formula>"Fail"</formula>
    </cfRule>
  </conditionalFormatting>
  <conditionalFormatting sqref="K235">
    <cfRule type="cellIs" dxfId="205" priority="97" stopIfTrue="1" operator="equal">
      <formula>"Pass"</formula>
    </cfRule>
    <cfRule type="cellIs" dxfId="204" priority="98" stopIfTrue="1" operator="equal">
      <formula>"Fail"</formula>
    </cfRule>
  </conditionalFormatting>
  <conditionalFormatting sqref="K236">
    <cfRule type="cellIs" dxfId="203" priority="95" stopIfTrue="1" operator="equal">
      <formula>"Pass"</formula>
    </cfRule>
    <cfRule type="cellIs" dxfId="202" priority="96" stopIfTrue="1" operator="equal">
      <formula>"Fail"</formula>
    </cfRule>
  </conditionalFormatting>
  <conditionalFormatting sqref="K236">
    <cfRule type="cellIs" dxfId="201" priority="93" stopIfTrue="1" operator="equal">
      <formula>"Pass"</formula>
    </cfRule>
    <cfRule type="cellIs" dxfId="200" priority="94" stopIfTrue="1" operator="equal">
      <formula>"Fail"</formula>
    </cfRule>
  </conditionalFormatting>
  <conditionalFormatting sqref="K237">
    <cfRule type="cellIs" dxfId="199" priority="91" stopIfTrue="1" operator="equal">
      <formula>"Pass"</formula>
    </cfRule>
    <cfRule type="cellIs" dxfId="198" priority="92" stopIfTrue="1" operator="equal">
      <formula>"Fail"</formula>
    </cfRule>
  </conditionalFormatting>
  <conditionalFormatting sqref="K237">
    <cfRule type="cellIs" dxfId="197" priority="89" stopIfTrue="1" operator="equal">
      <formula>"Pass"</formula>
    </cfRule>
    <cfRule type="cellIs" dxfId="196" priority="90" stopIfTrue="1" operator="equal">
      <formula>"Fail"</formula>
    </cfRule>
  </conditionalFormatting>
  <conditionalFormatting sqref="K238">
    <cfRule type="cellIs" dxfId="195" priority="87" stopIfTrue="1" operator="equal">
      <formula>"Pass"</formula>
    </cfRule>
    <cfRule type="cellIs" dxfId="194" priority="88" stopIfTrue="1" operator="equal">
      <formula>"Fail"</formula>
    </cfRule>
  </conditionalFormatting>
  <conditionalFormatting sqref="K238">
    <cfRule type="cellIs" dxfId="193" priority="85" stopIfTrue="1" operator="equal">
      <formula>"Pass"</formula>
    </cfRule>
    <cfRule type="cellIs" dxfId="192" priority="86" stopIfTrue="1" operator="equal">
      <formula>"Fail"</formula>
    </cfRule>
  </conditionalFormatting>
  <conditionalFormatting sqref="K239">
    <cfRule type="cellIs" dxfId="191" priority="83" stopIfTrue="1" operator="equal">
      <formula>"Pass"</formula>
    </cfRule>
    <cfRule type="cellIs" dxfId="190" priority="84" stopIfTrue="1" operator="equal">
      <formula>"Fail"</formula>
    </cfRule>
  </conditionalFormatting>
  <conditionalFormatting sqref="K239">
    <cfRule type="cellIs" dxfId="189" priority="81" stopIfTrue="1" operator="equal">
      <formula>"Pass"</formula>
    </cfRule>
    <cfRule type="cellIs" dxfId="188" priority="82" stopIfTrue="1" operator="equal">
      <formula>"Fail"</formula>
    </cfRule>
  </conditionalFormatting>
  <conditionalFormatting sqref="K240">
    <cfRule type="cellIs" dxfId="187" priority="79" stopIfTrue="1" operator="equal">
      <formula>"Pass"</formula>
    </cfRule>
    <cfRule type="cellIs" dxfId="186" priority="80" stopIfTrue="1" operator="equal">
      <formula>"Fail"</formula>
    </cfRule>
  </conditionalFormatting>
  <conditionalFormatting sqref="K240">
    <cfRule type="cellIs" dxfId="185" priority="77" stopIfTrue="1" operator="equal">
      <formula>"Pass"</formula>
    </cfRule>
    <cfRule type="cellIs" dxfId="184" priority="78" stopIfTrue="1" operator="equal">
      <formula>"Fail"</formula>
    </cfRule>
  </conditionalFormatting>
  <conditionalFormatting sqref="K241">
    <cfRule type="cellIs" dxfId="183" priority="75" stopIfTrue="1" operator="equal">
      <formula>"Pass"</formula>
    </cfRule>
    <cfRule type="cellIs" dxfId="182" priority="76" stopIfTrue="1" operator="equal">
      <formula>"Fail"</formula>
    </cfRule>
  </conditionalFormatting>
  <conditionalFormatting sqref="K241">
    <cfRule type="cellIs" dxfId="181" priority="73" stopIfTrue="1" operator="equal">
      <formula>"Pass"</formula>
    </cfRule>
    <cfRule type="cellIs" dxfId="180" priority="74" stopIfTrue="1" operator="equal">
      <formula>"Fail"</formula>
    </cfRule>
  </conditionalFormatting>
  <conditionalFormatting sqref="K242">
    <cfRule type="cellIs" dxfId="179" priority="71" stopIfTrue="1" operator="equal">
      <formula>"Pass"</formula>
    </cfRule>
    <cfRule type="cellIs" dxfId="178" priority="72" stopIfTrue="1" operator="equal">
      <formula>"Fail"</formula>
    </cfRule>
  </conditionalFormatting>
  <conditionalFormatting sqref="K242">
    <cfRule type="cellIs" dxfId="177" priority="69" stopIfTrue="1" operator="equal">
      <formula>"Pass"</formula>
    </cfRule>
    <cfRule type="cellIs" dxfId="176" priority="70" stopIfTrue="1" operator="equal">
      <formula>"Fail"</formula>
    </cfRule>
  </conditionalFormatting>
  <conditionalFormatting sqref="K243">
    <cfRule type="cellIs" dxfId="175" priority="67" stopIfTrue="1" operator="equal">
      <formula>"Pass"</formula>
    </cfRule>
    <cfRule type="cellIs" dxfId="174" priority="68" stopIfTrue="1" operator="equal">
      <formula>"Fail"</formula>
    </cfRule>
  </conditionalFormatting>
  <conditionalFormatting sqref="K243">
    <cfRule type="cellIs" dxfId="173" priority="65" stopIfTrue="1" operator="equal">
      <formula>"Pass"</formula>
    </cfRule>
    <cfRule type="cellIs" dxfId="172" priority="66" stopIfTrue="1" operator="equal">
      <formula>"Fail"</formula>
    </cfRule>
  </conditionalFormatting>
  <conditionalFormatting sqref="K244">
    <cfRule type="cellIs" dxfId="171" priority="63" stopIfTrue="1" operator="equal">
      <formula>"Pass"</formula>
    </cfRule>
    <cfRule type="cellIs" dxfId="170" priority="64" stopIfTrue="1" operator="equal">
      <formula>"Fail"</formula>
    </cfRule>
  </conditionalFormatting>
  <conditionalFormatting sqref="K244">
    <cfRule type="cellIs" dxfId="169" priority="61" stopIfTrue="1" operator="equal">
      <formula>"Pass"</formula>
    </cfRule>
    <cfRule type="cellIs" dxfId="168" priority="62" stopIfTrue="1" operator="equal">
      <formula>"Fail"</formula>
    </cfRule>
  </conditionalFormatting>
  <conditionalFormatting sqref="K245">
    <cfRule type="cellIs" dxfId="167" priority="59" stopIfTrue="1" operator="equal">
      <formula>"Pass"</formula>
    </cfRule>
    <cfRule type="cellIs" dxfId="166" priority="60" stopIfTrue="1" operator="equal">
      <formula>"Fail"</formula>
    </cfRule>
  </conditionalFormatting>
  <conditionalFormatting sqref="K245">
    <cfRule type="cellIs" dxfId="165" priority="57" stopIfTrue="1" operator="equal">
      <formula>"Pass"</formula>
    </cfRule>
    <cfRule type="cellIs" dxfId="164" priority="58" stopIfTrue="1" operator="equal">
      <formula>"Fail"</formula>
    </cfRule>
  </conditionalFormatting>
  <conditionalFormatting sqref="K246">
    <cfRule type="cellIs" dxfId="163" priority="55" stopIfTrue="1" operator="equal">
      <formula>"Pass"</formula>
    </cfRule>
    <cfRule type="cellIs" dxfId="162" priority="56" stopIfTrue="1" operator="equal">
      <formula>"Fail"</formula>
    </cfRule>
  </conditionalFormatting>
  <conditionalFormatting sqref="K246">
    <cfRule type="cellIs" dxfId="161" priority="53" stopIfTrue="1" operator="equal">
      <formula>"Pass"</formula>
    </cfRule>
    <cfRule type="cellIs" dxfId="160" priority="54" stopIfTrue="1" operator="equal">
      <formula>"Fail"</formula>
    </cfRule>
  </conditionalFormatting>
  <conditionalFormatting sqref="K247">
    <cfRule type="cellIs" dxfId="159" priority="51" stopIfTrue="1" operator="equal">
      <formula>"Pass"</formula>
    </cfRule>
    <cfRule type="cellIs" dxfId="158" priority="52" stopIfTrue="1" operator="equal">
      <formula>"Fail"</formula>
    </cfRule>
  </conditionalFormatting>
  <conditionalFormatting sqref="K247">
    <cfRule type="cellIs" dxfId="157" priority="49" stopIfTrue="1" operator="equal">
      <formula>"Pass"</formula>
    </cfRule>
    <cfRule type="cellIs" dxfId="156" priority="50" stopIfTrue="1" operator="equal">
      <formula>"Fail"</formula>
    </cfRule>
  </conditionalFormatting>
  <conditionalFormatting sqref="K248">
    <cfRule type="cellIs" dxfId="155" priority="47" stopIfTrue="1" operator="equal">
      <formula>"Pass"</formula>
    </cfRule>
    <cfRule type="cellIs" dxfId="154" priority="48" stopIfTrue="1" operator="equal">
      <formula>"Fail"</formula>
    </cfRule>
  </conditionalFormatting>
  <conditionalFormatting sqref="K248">
    <cfRule type="cellIs" dxfId="153" priority="45" stopIfTrue="1" operator="equal">
      <formula>"Pass"</formula>
    </cfRule>
    <cfRule type="cellIs" dxfId="152" priority="46" stopIfTrue="1" operator="equal">
      <formula>"Fail"</formula>
    </cfRule>
  </conditionalFormatting>
  <conditionalFormatting sqref="K249">
    <cfRule type="cellIs" dxfId="151" priority="43" stopIfTrue="1" operator="equal">
      <formula>"Pass"</formula>
    </cfRule>
    <cfRule type="cellIs" dxfId="150" priority="44" stopIfTrue="1" operator="equal">
      <formula>"Fail"</formula>
    </cfRule>
  </conditionalFormatting>
  <conditionalFormatting sqref="K249">
    <cfRule type="cellIs" dxfId="149" priority="41" stopIfTrue="1" operator="equal">
      <formula>"Pass"</formula>
    </cfRule>
    <cfRule type="cellIs" dxfId="148" priority="42" stopIfTrue="1" operator="equal">
      <formula>"Fail"</formula>
    </cfRule>
  </conditionalFormatting>
  <conditionalFormatting sqref="K250">
    <cfRule type="cellIs" dxfId="147" priority="39" stopIfTrue="1" operator="equal">
      <formula>"Pass"</formula>
    </cfRule>
    <cfRule type="cellIs" dxfId="146" priority="40" stopIfTrue="1" operator="equal">
      <formula>"Fail"</formula>
    </cfRule>
  </conditionalFormatting>
  <conditionalFormatting sqref="K250">
    <cfRule type="cellIs" dxfId="145" priority="37" stopIfTrue="1" operator="equal">
      <formula>"Pass"</formula>
    </cfRule>
    <cfRule type="cellIs" dxfId="144" priority="38" stopIfTrue="1" operator="equal">
      <formula>"Fail"</formula>
    </cfRule>
  </conditionalFormatting>
  <conditionalFormatting sqref="K251">
    <cfRule type="cellIs" dxfId="143" priority="35" stopIfTrue="1" operator="equal">
      <formula>"Pass"</formula>
    </cfRule>
    <cfRule type="cellIs" dxfId="142" priority="36" stopIfTrue="1" operator="equal">
      <formula>"Fail"</formula>
    </cfRule>
  </conditionalFormatting>
  <conditionalFormatting sqref="K251">
    <cfRule type="cellIs" dxfId="141" priority="33" stopIfTrue="1" operator="equal">
      <formula>"Pass"</formula>
    </cfRule>
    <cfRule type="cellIs" dxfId="140" priority="34" stopIfTrue="1" operator="equal">
      <formula>"Fail"</formula>
    </cfRule>
  </conditionalFormatting>
  <conditionalFormatting sqref="K252">
    <cfRule type="cellIs" dxfId="139" priority="31" stopIfTrue="1" operator="equal">
      <formula>"Pass"</formula>
    </cfRule>
    <cfRule type="cellIs" dxfId="138" priority="32" stopIfTrue="1" operator="equal">
      <formula>"Fail"</formula>
    </cfRule>
  </conditionalFormatting>
  <conditionalFormatting sqref="K252">
    <cfRule type="cellIs" dxfId="137" priority="29" stopIfTrue="1" operator="equal">
      <formula>"Pass"</formula>
    </cfRule>
    <cfRule type="cellIs" dxfId="136" priority="30" stopIfTrue="1" operator="equal">
      <formula>"Fail"</formula>
    </cfRule>
  </conditionalFormatting>
  <conditionalFormatting sqref="K253">
    <cfRule type="cellIs" dxfId="135" priority="27" stopIfTrue="1" operator="equal">
      <formula>"Pass"</formula>
    </cfRule>
    <cfRule type="cellIs" dxfId="134" priority="28" stopIfTrue="1" operator="equal">
      <formula>"Fail"</formula>
    </cfRule>
  </conditionalFormatting>
  <conditionalFormatting sqref="K253">
    <cfRule type="cellIs" dxfId="133" priority="25" stopIfTrue="1" operator="equal">
      <formula>"Pass"</formula>
    </cfRule>
    <cfRule type="cellIs" dxfId="132" priority="26" stopIfTrue="1" operator="equal">
      <formula>"Fail"</formula>
    </cfRule>
  </conditionalFormatting>
  <conditionalFormatting sqref="K254">
    <cfRule type="cellIs" dxfId="131" priority="23" stopIfTrue="1" operator="equal">
      <formula>"Pass"</formula>
    </cfRule>
    <cfRule type="cellIs" dxfId="130" priority="24" stopIfTrue="1" operator="equal">
      <formula>"Fail"</formula>
    </cfRule>
  </conditionalFormatting>
  <conditionalFormatting sqref="K254">
    <cfRule type="cellIs" dxfId="129" priority="21" stopIfTrue="1" operator="equal">
      <formula>"Pass"</formula>
    </cfRule>
    <cfRule type="cellIs" dxfId="128" priority="22" stopIfTrue="1" operator="equal">
      <formula>"Fail"</formula>
    </cfRule>
  </conditionalFormatting>
  <conditionalFormatting sqref="K255">
    <cfRule type="cellIs" dxfId="127" priority="19" stopIfTrue="1" operator="equal">
      <formula>"Pass"</formula>
    </cfRule>
    <cfRule type="cellIs" dxfId="126" priority="20" stopIfTrue="1" operator="equal">
      <formula>"Fail"</formula>
    </cfRule>
  </conditionalFormatting>
  <conditionalFormatting sqref="K255">
    <cfRule type="cellIs" dxfId="125" priority="17" stopIfTrue="1" operator="equal">
      <formula>"Pass"</formula>
    </cfRule>
    <cfRule type="cellIs" dxfId="124" priority="18" stopIfTrue="1" operator="equal">
      <formula>"Fail"</formula>
    </cfRule>
  </conditionalFormatting>
  <conditionalFormatting sqref="K256">
    <cfRule type="cellIs" dxfId="123" priority="15" stopIfTrue="1" operator="equal">
      <formula>"Pass"</formula>
    </cfRule>
    <cfRule type="cellIs" dxfId="122" priority="16" stopIfTrue="1" operator="equal">
      <formula>"Fail"</formula>
    </cfRule>
  </conditionalFormatting>
  <conditionalFormatting sqref="K256">
    <cfRule type="cellIs" dxfId="121" priority="13" stopIfTrue="1" operator="equal">
      <formula>"Pass"</formula>
    </cfRule>
    <cfRule type="cellIs" dxfId="120" priority="14" stopIfTrue="1" operator="equal">
      <formula>"Fail"</formula>
    </cfRule>
  </conditionalFormatting>
  <conditionalFormatting sqref="K257">
    <cfRule type="cellIs" dxfId="119" priority="11" stopIfTrue="1" operator="equal">
      <formula>"Pass"</formula>
    </cfRule>
    <cfRule type="cellIs" dxfId="118" priority="12" stopIfTrue="1" operator="equal">
      <formula>"Fail"</formula>
    </cfRule>
  </conditionalFormatting>
  <conditionalFormatting sqref="K257">
    <cfRule type="cellIs" dxfId="117" priority="9" stopIfTrue="1" operator="equal">
      <formula>"Pass"</formula>
    </cfRule>
    <cfRule type="cellIs" dxfId="116" priority="10" stopIfTrue="1" operator="equal">
      <formula>"Fail"</formula>
    </cfRule>
  </conditionalFormatting>
  <conditionalFormatting sqref="K258">
    <cfRule type="cellIs" dxfId="115" priority="7" stopIfTrue="1" operator="equal">
      <formula>"Pass"</formula>
    </cfRule>
    <cfRule type="cellIs" dxfId="114" priority="8" stopIfTrue="1" operator="equal">
      <formula>"Fail"</formula>
    </cfRule>
  </conditionalFormatting>
  <conditionalFormatting sqref="K258">
    <cfRule type="cellIs" dxfId="113" priority="5" stopIfTrue="1" operator="equal">
      <formula>"Pass"</formula>
    </cfRule>
    <cfRule type="cellIs" dxfId="112" priority="6" stopIfTrue="1" operator="equal">
      <formula>"Fail"</formula>
    </cfRule>
  </conditionalFormatting>
  <conditionalFormatting sqref="K259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K259">
    <cfRule type="cellIs" dxfId="20" priority="1" stopIfTrue="1" operator="equal">
      <formula>"Pass"</formula>
    </cfRule>
    <cfRule type="cellIs" dxfId="19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59"/>
  <sheetViews>
    <sheetView tabSelected="1" topLeftCell="B4" zoomScale="80" zoomScaleNormal="80" workbookViewId="0">
      <pane ySplit="8" topLeftCell="A1047" activePane="bottomLeft" state="frozen"/>
      <selection activeCell="A4" sqref="A4"/>
      <selection pane="bottomLeft" activeCell="D1058" sqref="D1058:L1058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1" t="s">
        <v>223</v>
      </c>
      <c r="E8" s="172"/>
      <c r="F8" s="172"/>
      <c r="G8" s="172"/>
      <c r="H8" s="172"/>
      <c r="I8" s="172"/>
      <c r="J8" s="172"/>
      <c r="K8" s="172"/>
      <c r="L8" s="172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  <row r="1057" spans="1:27" ht="15.75">
      <c r="A1057" s="86">
        <v>44245</v>
      </c>
      <c r="B1057" s="120" t="s">
        <v>348</v>
      </c>
      <c r="C1057" s="57" t="s">
        <v>79</v>
      </c>
      <c r="D1057">
        <v>28998.54</v>
      </c>
      <c r="E1057">
        <v>28835.53</v>
      </c>
      <c r="F1057">
        <v>28813.83</v>
      </c>
      <c r="G1057">
        <v>28826.21</v>
      </c>
      <c r="H1057">
        <v>28927.01</v>
      </c>
      <c r="I1057">
        <v>28957.06</v>
      </c>
      <c r="J1057">
        <v>28841.35</v>
      </c>
      <c r="K1057">
        <v>28814.84</v>
      </c>
      <c r="L1057">
        <v>28955.24</v>
      </c>
      <c r="M1057" s="16"/>
      <c r="N1057" s="59">
        <f>IF((L1058=""),"",MAX(D1059:L1059))</f>
        <v>15035.339999999997</v>
      </c>
      <c r="O1057" s="59">
        <f>IF(L1058="","",MIN(D1059:L1059))</f>
        <v>12882.990000000005</v>
      </c>
      <c r="P1057" s="60">
        <f>IF((L1059=""),"",AVERAGE(D1059:L1059))</f>
        <v>14212.000000000004</v>
      </c>
      <c r="Q1057" s="156">
        <f>IF((L1058=""),"",((N1057-O1057)/(N1057+O1057)*100))</f>
        <v>7.709451102555172</v>
      </c>
      <c r="R1057" s="61" t="str">
        <f>IF(L1058="","",IF(Q1057&lt;AA1057,IF(O1057&gt;X1057,IF(N1057&lt;Y1057,"PASS","FAIL"),"FAIL"),"FAIL"))</f>
        <v>PASS</v>
      </c>
      <c r="S1057" s="62">
        <v>1428</v>
      </c>
      <c r="T1057" s="125" t="s">
        <v>508</v>
      </c>
      <c r="U1057" s="114"/>
      <c r="V1057" s="110">
        <v>10000</v>
      </c>
      <c r="W1057" s="110">
        <v>15600</v>
      </c>
      <c r="X1057" s="111">
        <v>10000</v>
      </c>
      <c r="Y1057" s="111">
        <v>15600</v>
      </c>
      <c r="Z1057" s="112">
        <v>15</v>
      </c>
      <c r="AA1057" s="112">
        <v>10</v>
      </c>
    </row>
    <row r="1058" spans="1:27" ht="15.75">
      <c r="B1058" s="122"/>
      <c r="C1058" s="57" t="s">
        <v>80</v>
      </c>
      <c r="D1058">
        <v>24704.21</v>
      </c>
      <c r="E1058">
        <v>24076.32</v>
      </c>
      <c r="F1058">
        <v>23984.57</v>
      </c>
      <c r="G1058">
        <v>23814.43</v>
      </c>
      <c r="H1058">
        <v>24016.69</v>
      </c>
      <c r="I1058">
        <v>24516.53</v>
      </c>
      <c r="J1058">
        <v>23989.06</v>
      </c>
      <c r="K1058">
        <v>23961.32</v>
      </c>
      <c r="L1058">
        <v>24270.48</v>
      </c>
      <c r="M1058"/>
      <c r="N1058" s="53"/>
      <c r="O1058" s="53"/>
      <c r="P1058" s="63"/>
      <c r="Q1058" s="53"/>
      <c r="R1058" s="64"/>
      <c r="S1058" s="54"/>
      <c r="T1058" s="114"/>
      <c r="U1058" s="114"/>
    </row>
    <row r="1059" spans="1:27">
      <c r="B1059" s="122"/>
      <c r="C1059" s="57" t="s">
        <v>82</v>
      </c>
      <c r="D1059" s="16">
        <f t="shared" ref="D1059:L1059" si="384">IF(((D1057="")*AND(D1058="")),"",(D1057-D1058)*3)</f>
        <v>12882.990000000005</v>
      </c>
      <c r="E1059" s="16">
        <f t="shared" si="384"/>
        <v>14277.629999999997</v>
      </c>
      <c r="F1059" s="16">
        <f t="shared" si="384"/>
        <v>14487.780000000006</v>
      </c>
      <c r="G1059" s="16">
        <f t="shared" si="384"/>
        <v>15035.339999999997</v>
      </c>
      <c r="H1059" s="16">
        <f t="shared" si="384"/>
        <v>14730.96</v>
      </c>
      <c r="I1059" s="16">
        <f t="shared" si="384"/>
        <v>13321.590000000007</v>
      </c>
      <c r="J1059" s="16">
        <f t="shared" si="384"/>
        <v>14556.869999999992</v>
      </c>
      <c r="K1059" s="16">
        <f t="shared" si="384"/>
        <v>14560.560000000001</v>
      </c>
      <c r="L1059" s="16">
        <f t="shared" si="384"/>
        <v>14054.280000000006</v>
      </c>
      <c r="M1059" s="16"/>
      <c r="N1059" s="65"/>
      <c r="O1059" s="65"/>
      <c r="P1059" s="66"/>
      <c r="Q1059" s="65"/>
      <c r="R1059" s="67"/>
      <c r="S1059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111" priority="2530" stopIfTrue="1" operator="equal">
      <formula>"Fail"</formula>
    </cfRule>
    <cfRule type="cellIs" dxfId="110" priority="2531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109" priority="2529" stopIfTrue="1" operator="equal">
      <formula>TODAY()</formula>
    </cfRule>
  </conditionalFormatting>
  <conditionalFormatting sqref="R1008:R1010 Q1009:Q1010">
    <cfRule type="cellIs" dxfId="108" priority="91" stopIfTrue="1" operator="equal">
      <formula>"Fail"</formula>
    </cfRule>
    <cfRule type="cellIs" dxfId="107" priority="92" stopIfTrue="1" operator="equal">
      <formula>"Pass"</formula>
    </cfRule>
  </conditionalFormatting>
  <conditionalFormatting sqref="R1011:R1013 Q1012:Q1013">
    <cfRule type="cellIs" dxfId="106" priority="89" stopIfTrue="1" operator="equal">
      <formula>"Fail"</formula>
    </cfRule>
    <cfRule type="cellIs" dxfId="105" priority="90" stopIfTrue="1" operator="equal">
      <formula>"Pass"</formula>
    </cfRule>
  </conditionalFormatting>
  <conditionalFormatting sqref="R1014:R1016 Q1015:Q1016">
    <cfRule type="cellIs" dxfId="104" priority="87" stopIfTrue="1" operator="equal">
      <formula>"Fail"</formula>
    </cfRule>
    <cfRule type="cellIs" dxfId="103" priority="88" stopIfTrue="1" operator="equal">
      <formula>"Pass"</formula>
    </cfRule>
  </conditionalFormatting>
  <conditionalFormatting sqref="R1017:R1019 Q1018:Q1019">
    <cfRule type="cellIs" dxfId="102" priority="85" stopIfTrue="1" operator="equal">
      <formula>"Fail"</formula>
    </cfRule>
    <cfRule type="cellIs" dxfId="101" priority="86" stopIfTrue="1" operator="equal">
      <formula>"Pass"</formula>
    </cfRule>
  </conditionalFormatting>
  <conditionalFormatting sqref="R1020:R1022 Q1021:Q1022">
    <cfRule type="cellIs" dxfId="100" priority="83" stopIfTrue="1" operator="equal">
      <formula>"Fail"</formula>
    </cfRule>
    <cfRule type="cellIs" dxfId="99" priority="84" stopIfTrue="1" operator="equal">
      <formula>"Pass"</formula>
    </cfRule>
  </conditionalFormatting>
  <conditionalFormatting sqref="R1023:R1025 Q1024:Q1025">
    <cfRule type="cellIs" dxfId="98" priority="81" stopIfTrue="1" operator="equal">
      <formula>"Fail"</formula>
    </cfRule>
    <cfRule type="cellIs" dxfId="97" priority="82" stopIfTrue="1" operator="equal">
      <formula>"Pass"</formula>
    </cfRule>
  </conditionalFormatting>
  <conditionalFormatting sqref="Q1027:R1029">
    <cfRule type="cellIs" dxfId="96" priority="79" stopIfTrue="1" operator="equal">
      <formula>"Fail"</formula>
    </cfRule>
    <cfRule type="cellIs" dxfId="95" priority="80" stopIfTrue="1" operator="equal">
      <formula>"Pass"</formula>
    </cfRule>
  </conditionalFormatting>
  <conditionalFormatting sqref="R1027:R1029 Q1028:Q1029">
    <cfRule type="cellIs" dxfId="94" priority="77" stopIfTrue="1" operator="equal">
      <formula>"Fail"</formula>
    </cfRule>
    <cfRule type="cellIs" dxfId="93" priority="78" stopIfTrue="1" operator="equal">
      <formula>"Pass"</formula>
    </cfRule>
  </conditionalFormatting>
  <conditionalFormatting sqref="R1031:R1033 Q1032:Q1033">
    <cfRule type="cellIs" dxfId="92" priority="75" stopIfTrue="1" operator="equal">
      <formula>"Fail"</formula>
    </cfRule>
    <cfRule type="cellIs" dxfId="91" priority="76" stopIfTrue="1" operator="equal">
      <formula>"Pass"</formula>
    </cfRule>
  </conditionalFormatting>
  <conditionalFormatting sqref="Q1030:R1032">
    <cfRule type="cellIs" dxfId="90" priority="73" stopIfTrue="1" operator="equal">
      <formula>"Fail"</formula>
    </cfRule>
    <cfRule type="cellIs" dxfId="89" priority="74" stopIfTrue="1" operator="equal">
      <formula>"Pass"</formula>
    </cfRule>
  </conditionalFormatting>
  <conditionalFormatting sqref="R1030:R1032 Q1031:Q1032">
    <cfRule type="cellIs" dxfId="88" priority="71" stopIfTrue="1" operator="equal">
      <formula>"Fail"</formula>
    </cfRule>
    <cfRule type="cellIs" dxfId="87" priority="72" stopIfTrue="1" operator="equal">
      <formula>"Pass"</formula>
    </cfRule>
  </conditionalFormatting>
  <conditionalFormatting sqref="R1034:R1035 Q1035">
    <cfRule type="cellIs" dxfId="86" priority="69" stopIfTrue="1" operator="equal">
      <formula>"Fail"</formula>
    </cfRule>
    <cfRule type="cellIs" dxfId="85" priority="70" stopIfTrue="1" operator="equal">
      <formula>"Pass"</formula>
    </cfRule>
  </conditionalFormatting>
  <conditionalFormatting sqref="Q1033:R1035">
    <cfRule type="cellIs" dxfId="84" priority="67" stopIfTrue="1" operator="equal">
      <formula>"Fail"</formula>
    </cfRule>
    <cfRule type="cellIs" dxfId="83" priority="68" stopIfTrue="1" operator="equal">
      <formula>"Pass"</formula>
    </cfRule>
  </conditionalFormatting>
  <conditionalFormatting sqref="R1033:R1035 Q1034:Q1035">
    <cfRule type="cellIs" dxfId="82" priority="65" stopIfTrue="1" operator="equal">
      <formula>"Fail"</formula>
    </cfRule>
    <cfRule type="cellIs" dxfId="81" priority="66" stopIfTrue="1" operator="equal">
      <formula>"Pass"</formula>
    </cfRule>
  </conditionalFormatting>
  <conditionalFormatting sqref="Q1036:R1036">
    <cfRule type="cellIs" dxfId="80" priority="63" stopIfTrue="1" operator="equal">
      <formula>"Fail"</formula>
    </cfRule>
    <cfRule type="cellIs" dxfId="79" priority="64" stopIfTrue="1" operator="equal">
      <formula>"Pass"</formula>
    </cfRule>
  </conditionalFormatting>
  <conditionalFormatting sqref="R1037:R1038 Q1038">
    <cfRule type="cellIs" dxfId="78" priority="61" stopIfTrue="1" operator="equal">
      <formula>"Fail"</formula>
    </cfRule>
    <cfRule type="cellIs" dxfId="77" priority="62" stopIfTrue="1" operator="equal">
      <formula>"Pass"</formula>
    </cfRule>
  </conditionalFormatting>
  <conditionalFormatting sqref="Q1036:R1038">
    <cfRule type="cellIs" dxfId="76" priority="59" stopIfTrue="1" operator="equal">
      <formula>"Fail"</formula>
    </cfRule>
    <cfRule type="cellIs" dxfId="75" priority="60" stopIfTrue="1" operator="equal">
      <formula>"Pass"</formula>
    </cfRule>
  </conditionalFormatting>
  <conditionalFormatting sqref="R1036:R1038 Q1037:Q1038">
    <cfRule type="cellIs" dxfId="74" priority="57" stopIfTrue="1" operator="equal">
      <formula>"Fail"</formula>
    </cfRule>
    <cfRule type="cellIs" dxfId="73" priority="58" stopIfTrue="1" operator="equal">
      <formula>"Pass"</formula>
    </cfRule>
  </conditionalFormatting>
  <conditionalFormatting sqref="Q1039:R1039">
    <cfRule type="cellIs" dxfId="72" priority="55" stopIfTrue="1" operator="equal">
      <formula>"Fail"</formula>
    </cfRule>
    <cfRule type="cellIs" dxfId="71" priority="56" stopIfTrue="1" operator="equal">
      <formula>"Pass"</formula>
    </cfRule>
  </conditionalFormatting>
  <conditionalFormatting sqref="R1040:R1041 Q1041">
    <cfRule type="cellIs" dxfId="70" priority="53" stopIfTrue="1" operator="equal">
      <formula>"Fail"</formula>
    </cfRule>
    <cfRule type="cellIs" dxfId="69" priority="54" stopIfTrue="1" operator="equal">
      <formula>"Pass"</formula>
    </cfRule>
  </conditionalFormatting>
  <conditionalFormatting sqref="Q1039:R1041">
    <cfRule type="cellIs" dxfId="68" priority="51" stopIfTrue="1" operator="equal">
      <formula>"Fail"</formula>
    </cfRule>
    <cfRule type="cellIs" dxfId="67" priority="52" stopIfTrue="1" operator="equal">
      <formula>"Pass"</formula>
    </cfRule>
  </conditionalFormatting>
  <conditionalFormatting sqref="R1039:R1041 Q1040:Q1041">
    <cfRule type="cellIs" dxfId="66" priority="49" stopIfTrue="1" operator="equal">
      <formula>"Fail"</formula>
    </cfRule>
    <cfRule type="cellIs" dxfId="65" priority="50" stopIfTrue="1" operator="equal">
      <formula>"Pass"</formula>
    </cfRule>
  </conditionalFormatting>
  <conditionalFormatting sqref="Q1042:R1042">
    <cfRule type="cellIs" dxfId="64" priority="47" stopIfTrue="1" operator="equal">
      <formula>"Fail"</formula>
    </cfRule>
    <cfRule type="cellIs" dxfId="63" priority="48" stopIfTrue="1" operator="equal">
      <formula>"Pass"</formula>
    </cfRule>
  </conditionalFormatting>
  <conditionalFormatting sqref="R1043:R1044 Q1044">
    <cfRule type="cellIs" dxfId="62" priority="45" stopIfTrue="1" operator="equal">
      <formula>"Fail"</formula>
    </cfRule>
    <cfRule type="cellIs" dxfId="61" priority="46" stopIfTrue="1" operator="equal">
      <formula>"Pass"</formula>
    </cfRule>
  </conditionalFormatting>
  <conditionalFormatting sqref="Q1042:R1044">
    <cfRule type="cellIs" dxfId="60" priority="43" stopIfTrue="1" operator="equal">
      <formula>"Fail"</formula>
    </cfRule>
    <cfRule type="cellIs" dxfId="59" priority="44" stopIfTrue="1" operator="equal">
      <formula>"Pass"</formula>
    </cfRule>
  </conditionalFormatting>
  <conditionalFormatting sqref="R1042:R1044 Q1043:Q1044">
    <cfRule type="cellIs" dxfId="58" priority="41" stopIfTrue="1" operator="equal">
      <formula>"Fail"</formula>
    </cfRule>
    <cfRule type="cellIs" dxfId="57" priority="42" stopIfTrue="1" operator="equal">
      <formula>"Pass"</formula>
    </cfRule>
  </conditionalFormatting>
  <conditionalFormatting sqref="Q1045:R1045">
    <cfRule type="cellIs" dxfId="56" priority="39" stopIfTrue="1" operator="equal">
      <formula>"Fail"</formula>
    </cfRule>
    <cfRule type="cellIs" dxfId="55" priority="40" stopIfTrue="1" operator="equal">
      <formula>"Pass"</formula>
    </cfRule>
  </conditionalFormatting>
  <conditionalFormatting sqref="R1046:R1047 Q1047">
    <cfRule type="cellIs" dxfId="54" priority="37" stopIfTrue="1" operator="equal">
      <formula>"Fail"</formula>
    </cfRule>
    <cfRule type="cellIs" dxfId="53" priority="38" stopIfTrue="1" operator="equal">
      <formula>"Pass"</formula>
    </cfRule>
  </conditionalFormatting>
  <conditionalFormatting sqref="Q1045:R1047">
    <cfRule type="cellIs" dxfId="52" priority="35" stopIfTrue="1" operator="equal">
      <formula>"Fail"</formula>
    </cfRule>
    <cfRule type="cellIs" dxfId="51" priority="36" stopIfTrue="1" operator="equal">
      <formula>"Pass"</formula>
    </cfRule>
  </conditionalFormatting>
  <conditionalFormatting sqref="R1045:R1047 Q1046:Q1047">
    <cfRule type="cellIs" dxfId="50" priority="33" stopIfTrue="1" operator="equal">
      <formula>"Fail"</formula>
    </cfRule>
    <cfRule type="cellIs" dxfId="49" priority="34" stopIfTrue="1" operator="equal">
      <formula>"Pass"</formula>
    </cfRule>
  </conditionalFormatting>
  <conditionalFormatting sqref="Q1048:R1048">
    <cfRule type="cellIs" dxfId="48" priority="31" stopIfTrue="1" operator="equal">
      <formula>"Fail"</formula>
    </cfRule>
    <cfRule type="cellIs" dxfId="47" priority="32" stopIfTrue="1" operator="equal">
      <formula>"Pass"</formula>
    </cfRule>
  </conditionalFormatting>
  <conditionalFormatting sqref="R1049:R1050 Q1050">
    <cfRule type="cellIs" dxfId="46" priority="29" stopIfTrue="1" operator="equal">
      <formula>"Fail"</formula>
    </cfRule>
    <cfRule type="cellIs" dxfId="45" priority="30" stopIfTrue="1" operator="equal">
      <formula>"Pass"</formula>
    </cfRule>
  </conditionalFormatting>
  <conditionalFormatting sqref="Q1048:R1050">
    <cfRule type="cellIs" dxfId="44" priority="27" stopIfTrue="1" operator="equal">
      <formula>"Fail"</formula>
    </cfRule>
    <cfRule type="cellIs" dxfId="43" priority="28" stopIfTrue="1" operator="equal">
      <formula>"Pass"</formula>
    </cfRule>
  </conditionalFormatting>
  <conditionalFormatting sqref="R1048:R1050 Q1049:Q1050">
    <cfRule type="cellIs" dxfId="42" priority="25" stopIfTrue="1" operator="equal">
      <formula>"Fail"</formula>
    </cfRule>
    <cfRule type="cellIs" dxfId="41" priority="26" stopIfTrue="1" operator="equal">
      <formula>"Pass"</formula>
    </cfRule>
  </conditionalFormatting>
  <conditionalFormatting sqref="Q1051:R1051">
    <cfRule type="cellIs" dxfId="40" priority="23" stopIfTrue="1" operator="equal">
      <formula>"Fail"</formula>
    </cfRule>
    <cfRule type="cellIs" dxfId="39" priority="24" stopIfTrue="1" operator="equal">
      <formula>"Pass"</formula>
    </cfRule>
  </conditionalFormatting>
  <conditionalFormatting sqref="R1052:R1053 Q1053">
    <cfRule type="cellIs" dxfId="38" priority="21" stopIfTrue="1" operator="equal">
      <formula>"Fail"</formula>
    </cfRule>
    <cfRule type="cellIs" dxfId="37" priority="22" stopIfTrue="1" operator="equal">
      <formula>"Pass"</formula>
    </cfRule>
  </conditionalFormatting>
  <conditionalFormatting sqref="Q1051:R1053">
    <cfRule type="cellIs" dxfId="36" priority="19" stopIfTrue="1" operator="equal">
      <formula>"Fail"</formula>
    </cfRule>
    <cfRule type="cellIs" dxfId="35" priority="20" stopIfTrue="1" operator="equal">
      <formula>"Pass"</formula>
    </cfRule>
  </conditionalFormatting>
  <conditionalFormatting sqref="R1051:R1053 Q1052:Q1053">
    <cfRule type="cellIs" dxfId="34" priority="17" stopIfTrue="1" operator="equal">
      <formula>"Fail"</formula>
    </cfRule>
    <cfRule type="cellIs" dxfId="33" priority="18" stopIfTrue="1" operator="equal">
      <formula>"Pass"</formula>
    </cfRule>
  </conditionalFormatting>
  <conditionalFormatting sqref="Q1054:R1054">
    <cfRule type="cellIs" dxfId="32" priority="15" stopIfTrue="1" operator="equal">
      <formula>"Fail"</formula>
    </cfRule>
    <cfRule type="cellIs" dxfId="31" priority="16" stopIfTrue="1" operator="equal">
      <formula>"Pass"</formula>
    </cfRule>
  </conditionalFormatting>
  <conditionalFormatting sqref="R1055:R1056 Q1056">
    <cfRule type="cellIs" dxfId="30" priority="13" stopIfTrue="1" operator="equal">
      <formula>"Fail"</formula>
    </cfRule>
    <cfRule type="cellIs" dxfId="29" priority="14" stopIfTrue="1" operator="equal">
      <formula>"Pass"</formula>
    </cfRule>
  </conditionalFormatting>
  <conditionalFormatting sqref="Q1054:R1056">
    <cfRule type="cellIs" dxfId="28" priority="11" stopIfTrue="1" operator="equal">
      <formula>"Fail"</formula>
    </cfRule>
    <cfRule type="cellIs" dxfId="27" priority="12" stopIfTrue="1" operator="equal">
      <formula>"Pass"</formula>
    </cfRule>
  </conditionalFormatting>
  <conditionalFormatting sqref="R1054:R1056 Q1055:Q1056">
    <cfRule type="cellIs" dxfId="26" priority="9" stopIfTrue="1" operator="equal">
      <formula>"Fail"</formula>
    </cfRule>
    <cfRule type="cellIs" dxfId="25" priority="10" stopIfTrue="1" operator="equal">
      <formula>"Pass"</formula>
    </cfRule>
  </conditionalFormatting>
  <conditionalFormatting sqref="Q1057:R1057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R1058:R1059 Q1059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Q1057:R1059">
    <cfRule type="cellIs" dxfId="7" priority="3" stopIfTrue="1" operator="equal">
      <formula>"Fail"</formula>
    </cfRule>
    <cfRule type="cellIs" dxfId="6" priority="4" stopIfTrue="1" operator="equal">
      <formula>"Pass"</formula>
    </cfRule>
  </conditionalFormatting>
  <conditionalFormatting sqref="R1057:R1059 Q1058:Q1059">
    <cfRule type="cellIs" dxfId="3" priority="1" stopIfTrue="1" operator="equal">
      <formula>"Fail"</formula>
    </cfRule>
    <cfRule type="cellIs" dxfId="2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2021-02-18T09:56:44Z</dcterms:modified>
</cp:coreProperties>
</file>