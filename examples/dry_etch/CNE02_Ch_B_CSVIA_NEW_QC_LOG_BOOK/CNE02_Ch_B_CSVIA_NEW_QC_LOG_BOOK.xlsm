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105" yWindow="-105" windowWidth="20730" windowHeight="11760" tabRatio="604" activeTab="5"/>
  </bookViews>
  <sheets>
    <sheet name="REOX1B-WSA" sheetId="3" r:id="rId1"/>
    <sheet name="REOX1B-CP" sheetId="4" r:id="rId2"/>
    <sheet name="REOX1B-ER" sheetId="5" r:id="rId3"/>
    <sheet name="RUN_code" sheetId="1" r:id="rId4"/>
    <sheet name="CL calculation sheet" sheetId="6" r:id="rId5"/>
    <sheet name="METAL BARC ER Exp" sheetId="8" r:id="rId6"/>
    <sheet name="_xlwings.conf" sheetId="2" state="hidden" r:id="rId7"/>
  </sheets>
  <definedNames>
    <definedName name="_xlnm._FilterDatabase" localSheetId="1" hidden="1">'REOX1B-CP'!$A$10:$WVY$10</definedName>
    <definedName name="_xlnm._FilterDatabase" localSheetId="2" hidden="1">'REOX1B-ER'!$A$17:$WWN$560</definedName>
    <definedName name="_xlnm.Print_Area" localSheetId="0">'REOX1B-WSA'!$A$1:$G$52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50" i="8"/>
  <c r="AE49"/>
  <c r="D50"/>
  <c r="E50"/>
  <c r="F50"/>
  <c r="G50"/>
  <c r="H50"/>
  <c r="I50"/>
  <c r="J50"/>
  <c r="K50"/>
  <c r="L50"/>
  <c r="M50"/>
  <c r="N50"/>
  <c r="O50"/>
  <c r="C50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C44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C29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C21"/>
  <c r="E76" i="4"/>
  <c r="Q668" i="5"/>
  <c r="M668"/>
  <c r="T666" s="1"/>
  <c r="L668"/>
  <c r="K668"/>
  <c r="J668"/>
  <c r="I668"/>
  <c r="H668"/>
  <c r="G668"/>
  <c r="F668"/>
  <c r="E668"/>
  <c r="W666"/>
  <c r="U666"/>
  <c r="S666"/>
  <c r="R666"/>
  <c r="M665"/>
  <c r="T663" s="1"/>
  <c r="L665"/>
  <c r="K665"/>
  <c r="J665"/>
  <c r="I665"/>
  <c r="H665"/>
  <c r="G665"/>
  <c r="F665"/>
  <c r="E665"/>
  <c r="W663"/>
  <c r="U663"/>
  <c r="S663"/>
  <c r="R663"/>
  <c r="Q662"/>
  <c r="T660" s="1"/>
  <c r="P662"/>
  <c r="O662"/>
  <c r="N662"/>
  <c r="M662"/>
  <c r="L662"/>
  <c r="K662"/>
  <c r="J662"/>
  <c r="I662"/>
  <c r="H662"/>
  <c r="G662"/>
  <c r="F662"/>
  <c r="E662"/>
  <c r="W660"/>
  <c r="U660"/>
  <c r="S660"/>
  <c r="R660"/>
  <c r="Q659"/>
  <c r="P659"/>
  <c r="O659"/>
  <c r="N659"/>
  <c r="M659"/>
  <c r="T657" s="1"/>
  <c r="L659"/>
  <c r="K659"/>
  <c r="J659"/>
  <c r="I659"/>
  <c r="H659"/>
  <c r="G659"/>
  <c r="F659"/>
  <c r="E659"/>
  <c r="W657"/>
  <c r="U657"/>
  <c r="S657"/>
  <c r="R657"/>
  <c r="Q656"/>
  <c r="M656"/>
  <c r="T654" s="1"/>
  <c r="L656"/>
  <c r="K656"/>
  <c r="J656"/>
  <c r="I656"/>
  <c r="H656"/>
  <c r="G656"/>
  <c r="F656"/>
  <c r="E656"/>
  <c r="W654"/>
  <c r="U654"/>
  <c r="S654"/>
  <c r="R654"/>
  <c r="M653"/>
  <c r="T651" s="1"/>
  <c r="L653"/>
  <c r="K653"/>
  <c r="J653"/>
  <c r="I653"/>
  <c r="H653"/>
  <c r="G653"/>
  <c r="F653"/>
  <c r="E653"/>
  <c r="W651"/>
  <c r="U651"/>
  <c r="S651"/>
  <c r="R651"/>
  <c r="Q650"/>
  <c r="T648" s="1"/>
  <c r="P650"/>
  <c r="O650"/>
  <c r="N650"/>
  <c r="M650"/>
  <c r="L650"/>
  <c r="K650"/>
  <c r="J650"/>
  <c r="I650"/>
  <c r="H650"/>
  <c r="G650"/>
  <c r="F650"/>
  <c r="E650"/>
  <c r="W648"/>
  <c r="U648"/>
  <c r="S648"/>
  <c r="R648"/>
  <c r="Q647"/>
  <c r="P647"/>
  <c r="O647"/>
  <c r="N647"/>
  <c r="M647"/>
  <c r="T645" s="1"/>
  <c r="L647"/>
  <c r="K647"/>
  <c r="J647"/>
  <c r="I647"/>
  <c r="H647"/>
  <c r="G647"/>
  <c r="F647"/>
  <c r="E647"/>
  <c r="W645"/>
  <c r="U645"/>
  <c r="S645"/>
  <c r="R645"/>
  <c r="Q644"/>
  <c r="M644"/>
  <c r="T642" s="1"/>
  <c r="L644"/>
  <c r="K644"/>
  <c r="J644"/>
  <c r="I644"/>
  <c r="H644"/>
  <c r="G644"/>
  <c r="F644"/>
  <c r="E644"/>
  <c r="W642"/>
  <c r="U642"/>
  <c r="S642"/>
  <c r="R642"/>
  <c r="M641"/>
  <c r="T639" s="1"/>
  <c r="L641"/>
  <c r="K641"/>
  <c r="J641"/>
  <c r="I641"/>
  <c r="H641"/>
  <c r="G641"/>
  <c r="F641"/>
  <c r="E641"/>
  <c r="W639"/>
  <c r="U639"/>
  <c r="S639"/>
  <c r="R639"/>
  <c r="Q638"/>
  <c r="T636" s="1"/>
  <c r="P638"/>
  <c r="O638"/>
  <c r="N638"/>
  <c r="M638"/>
  <c r="L638"/>
  <c r="K638"/>
  <c r="J638"/>
  <c r="I638"/>
  <c r="H638"/>
  <c r="G638"/>
  <c r="F638"/>
  <c r="E638"/>
  <c r="W636"/>
  <c r="U636"/>
  <c r="S636"/>
  <c r="R636"/>
  <c r="Q635"/>
  <c r="P635"/>
  <c r="O635"/>
  <c r="N635"/>
  <c r="M635"/>
  <c r="T633" s="1"/>
  <c r="L635"/>
  <c r="K635"/>
  <c r="J635"/>
  <c r="I635"/>
  <c r="H635"/>
  <c r="G635"/>
  <c r="F635"/>
  <c r="E635"/>
  <c r="W633"/>
  <c r="U633"/>
  <c r="S633"/>
  <c r="R633"/>
  <c r="Q632"/>
  <c r="M632"/>
  <c r="T630" s="1"/>
  <c r="L632"/>
  <c r="K632"/>
  <c r="J632"/>
  <c r="I632"/>
  <c r="H632"/>
  <c r="G632"/>
  <c r="F632"/>
  <c r="E632"/>
  <c r="W630"/>
  <c r="U630"/>
  <c r="S630"/>
  <c r="R630"/>
  <c r="M629"/>
  <c r="T627" s="1"/>
  <c r="L629"/>
  <c r="K629"/>
  <c r="J629"/>
  <c r="I629"/>
  <c r="H629"/>
  <c r="G629"/>
  <c r="F629"/>
  <c r="E629"/>
  <c r="W627"/>
  <c r="U627"/>
  <c r="S627"/>
  <c r="R627"/>
  <c r="Q626"/>
  <c r="T624" s="1"/>
  <c r="P626"/>
  <c r="O626"/>
  <c r="N626"/>
  <c r="M626"/>
  <c r="L626"/>
  <c r="K626"/>
  <c r="J626"/>
  <c r="I626"/>
  <c r="H626"/>
  <c r="G626"/>
  <c r="F626"/>
  <c r="E626"/>
  <c r="W624"/>
  <c r="U624"/>
  <c r="S624"/>
  <c r="R624"/>
  <c r="Q623"/>
  <c r="P623"/>
  <c r="O623"/>
  <c r="N623"/>
  <c r="M623"/>
  <c r="L623"/>
  <c r="K623"/>
  <c r="J623"/>
  <c r="I623"/>
  <c r="H623"/>
  <c r="G623"/>
  <c r="F623"/>
  <c r="E623"/>
  <c r="W621"/>
  <c r="U621"/>
  <c r="T621"/>
  <c r="S621"/>
  <c r="R621"/>
  <c r="Q620"/>
  <c r="M620"/>
  <c r="T618" s="1"/>
  <c r="L620"/>
  <c r="K620"/>
  <c r="J620"/>
  <c r="I620"/>
  <c r="H620"/>
  <c r="G620"/>
  <c r="F620"/>
  <c r="E620"/>
  <c r="W618"/>
  <c r="U618"/>
  <c r="S618"/>
  <c r="R618"/>
  <c r="M617"/>
  <c r="L617"/>
  <c r="K617"/>
  <c r="J617"/>
  <c r="I617"/>
  <c r="H617"/>
  <c r="G617"/>
  <c r="F617"/>
  <c r="E617"/>
  <c r="W615"/>
  <c r="U615"/>
  <c r="T615"/>
  <c r="S615"/>
  <c r="R615"/>
  <c r="Q614"/>
  <c r="T612" s="1"/>
  <c r="P614"/>
  <c r="O614"/>
  <c r="N614"/>
  <c r="M614"/>
  <c r="L614"/>
  <c r="K614"/>
  <c r="J614"/>
  <c r="I614"/>
  <c r="H614"/>
  <c r="G614"/>
  <c r="F614"/>
  <c r="E614"/>
  <c r="W612"/>
  <c r="U612"/>
  <c r="S612"/>
  <c r="R612"/>
  <c r="Q611"/>
  <c r="P611"/>
  <c r="O611"/>
  <c r="N611"/>
  <c r="M611"/>
  <c r="T609" s="1"/>
  <c r="L611"/>
  <c r="K611"/>
  <c r="J611"/>
  <c r="I611"/>
  <c r="H611"/>
  <c r="G611"/>
  <c r="F611"/>
  <c r="E611"/>
  <c r="W609"/>
  <c r="U609"/>
  <c r="S609"/>
  <c r="R609"/>
  <c r="Q608"/>
  <c r="M608"/>
  <c r="L608"/>
  <c r="K608"/>
  <c r="J608"/>
  <c r="I608"/>
  <c r="H608"/>
  <c r="G608"/>
  <c r="F608"/>
  <c r="E608"/>
  <c r="W606"/>
  <c r="U606"/>
  <c r="T606"/>
  <c r="S606"/>
  <c r="R606"/>
  <c r="M605"/>
  <c r="T603" s="1"/>
  <c r="L605"/>
  <c r="K605"/>
  <c r="J605"/>
  <c r="I605"/>
  <c r="H605"/>
  <c r="G605"/>
  <c r="F605"/>
  <c r="E605"/>
  <c r="W603"/>
  <c r="U603"/>
  <c r="S603"/>
  <c r="R603"/>
  <c r="Q602"/>
  <c r="T600" s="1"/>
  <c r="P602"/>
  <c r="O602"/>
  <c r="N602"/>
  <c r="M602"/>
  <c r="L602"/>
  <c r="K602"/>
  <c r="J602"/>
  <c r="I602"/>
  <c r="H602"/>
  <c r="G602"/>
  <c r="F602"/>
  <c r="E602"/>
  <c r="W600"/>
  <c r="U600"/>
  <c r="S600"/>
  <c r="R600"/>
  <c r="Q599"/>
  <c r="P599"/>
  <c r="O599"/>
  <c r="N599"/>
  <c r="M599"/>
  <c r="T597" s="1"/>
  <c r="L599"/>
  <c r="K599"/>
  <c r="J599"/>
  <c r="I599"/>
  <c r="H599"/>
  <c r="G599"/>
  <c r="F599"/>
  <c r="E599"/>
  <c r="W597"/>
  <c r="U597"/>
  <c r="S597"/>
  <c r="R597"/>
  <c r="Q596"/>
  <c r="M596"/>
  <c r="T594" s="1"/>
  <c r="L596"/>
  <c r="K596"/>
  <c r="J596"/>
  <c r="I596"/>
  <c r="H596"/>
  <c r="G596"/>
  <c r="F596"/>
  <c r="E596"/>
  <c r="W594"/>
  <c r="U594"/>
  <c r="S594"/>
  <c r="R594"/>
  <c r="M593"/>
  <c r="T591" s="1"/>
  <c r="L593"/>
  <c r="K593"/>
  <c r="J593"/>
  <c r="I593"/>
  <c r="H593"/>
  <c r="G593"/>
  <c r="F593"/>
  <c r="E593"/>
  <c r="W591"/>
  <c r="U591"/>
  <c r="S591"/>
  <c r="R591"/>
  <c r="Q590"/>
  <c r="T588" s="1"/>
  <c r="P590"/>
  <c r="O590"/>
  <c r="N590"/>
  <c r="M590"/>
  <c r="L590"/>
  <c r="K590"/>
  <c r="J590"/>
  <c r="I590"/>
  <c r="H590"/>
  <c r="G590"/>
  <c r="F590"/>
  <c r="E590"/>
  <c r="W588"/>
  <c r="U588"/>
  <c r="S588"/>
  <c r="R588"/>
  <c r="Q587"/>
  <c r="P587"/>
  <c r="O587"/>
  <c r="N587"/>
  <c r="M587"/>
  <c r="T585" s="1"/>
  <c r="L587"/>
  <c r="K587"/>
  <c r="J587"/>
  <c r="I587"/>
  <c r="H587"/>
  <c r="G587"/>
  <c r="F587"/>
  <c r="E587"/>
  <c r="W585"/>
  <c r="U585"/>
  <c r="S585"/>
  <c r="R585"/>
  <c r="Q584"/>
  <c r="M584"/>
  <c r="L584"/>
  <c r="K584"/>
  <c r="J584"/>
  <c r="I584"/>
  <c r="H584"/>
  <c r="G584"/>
  <c r="F584"/>
  <c r="E584"/>
  <c r="W582"/>
  <c r="U582"/>
  <c r="T582"/>
  <c r="S582"/>
  <c r="R582"/>
  <c r="M581"/>
  <c r="T579" s="1"/>
  <c r="L581"/>
  <c r="K581"/>
  <c r="J581"/>
  <c r="I581"/>
  <c r="H581"/>
  <c r="G581"/>
  <c r="F581"/>
  <c r="E581"/>
  <c r="W579"/>
  <c r="U579"/>
  <c r="S579"/>
  <c r="R579"/>
  <c r="Q578"/>
  <c r="P578"/>
  <c r="O578"/>
  <c r="N578"/>
  <c r="M578"/>
  <c r="L578"/>
  <c r="K578"/>
  <c r="J578"/>
  <c r="I578"/>
  <c r="H578"/>
  <c r="G578"/>
  <c r="F578"/>
  <c r="E578"/>
  <c r="W576"/>
  <c r="U576"/>
  <c r="T576"/>
  <c r="S576"/>
  <c r="R576"/>
  <c r="Q575"/>
  <c r="P575"/>
  <c r="O575"/>
  <c r="N575"/>
  <c r="M575"/>
  <c r="T573" s="1"/>
  <c r="L575"/>
  <c r="K575"/>
  <c r="J575"/>
  <c r="I575"/>
  <c r="H575"/>
  <c r="G575"/>
  <c r="F575"/>
  <c r="E575"/>
  <c r="W573"/>
  <c r="U573"/>
  <c r="S573"/>
  <c r="R573"/>
  <c r="Q572"/>
  <c r="M572"/>
  <c r="T570" s="1"/>
  <c r="L572"/>
  <c r="K572"/>
  <c r="J572"/>
  <c r="I572"/>
  <c r="H572"/>
  <c r="G572"/>
  <c r="F572"/>
  <c r="E572"/>
  <c r="W570"/>
  <c r="U570"/>
  <c r="S570"/>
  <c r="R570"/>
  <c r="M569"/>
  <c r="T567" s="1"/>
  <c r="L569"/>
  <c r="K569"/>
  <c r="J569"/>
  <c r="I569"/>
  <c r="H569"/>
  <c r="G569"/>
  <c r="F569"/>
  <c r="E569"/>
  <c r="W567"/>
  <c r="U567"/>
  <c r="S567"/>
  <c r="R567"/>
  <c r="Q566"/>
  <c r="T564" s="1"/>
  <c r="P566"/>
  <c r="O566"/>
  <c r="N566"/>
  <c r="M566"/>
  <c r="L566"/>
  <c r="K566"/>
  <c r="J566"/>
  <c r="I566"/>
  <c r="H566"/>
  <c r="G566"/>
  <c r="F566"/>
  <c r="E566"/>
  <c r="W564"/>
  <c r="U564"/>
  <c r="S564"/>
  <c r="R564"/>
  <c r="Q563"/>
  <c r="P563"/>
  <c r="O563"/>
  <c r="N563"/>
  <c r="M563"/>
  <c r="T561" s="1"/>
  <c r="L563"/>
  <c r="K563"/>
  <c r="J563"/>
  <c r="I563"/>
  <c r="H563"/>
  <c r="G563"/>
  <c r="F563"/>
  <c r="E563"/>
  <c r="W561"/>
  <c r="U561"/>
  <c r="S561"/>
  <c r="R561"/>
  <c r="Q515"/>
  <c r="P515"/>
  <c r="O515"/>
  <c r="N515"/>
  <c r="M515"/>
  <c r="L515"/>
  <c r="K515"/>
  <c r="J515"/>
  <c r="I515"/>
  <c r="H515"/>
  <c r="G515"/>
  <c r="F515"/>
  <c r="S513" s="1"/>
  <c r="E515"/>
  <c r="R513"/>
  <c r="E75" i="4"/>
  <c r="Q560" i="5"/>
  <c r="M560"/>
  <c r="T558" s="1"/>
  <c r="L560"/>
  <c r="K560"/>
  <c r="J560"/>
  <c r="I560"/>
  <c r="H560"/>
  <c r="G560"/>
  <c r="F560"/>
  <c r="E560"/>
  <c r="W558"/>
  <c r="U558"/>
  <c r="S558"/>
  <c r="R558"/>
  <c r="M557"/>
  <c r="L557"/>
  <c r="K557"/>
  <c r="J557"/>
  <c r="I557"/>
  <c r="H557"/>
  <c r="G557"/>
  <c r="F557"/>
  <c r="E557"/>
  <c r="W555"/>
  <c r="U555"/>
  <c r="T555"/>
  <c r="S555"/>
  <c r="R555"/>
  <c r="Q554"/>
  <c r="T552" s="1"/>
  <c r="P554"/>
  <c r="O554"/>
  <c r="N554"/>
  <c r="M554"/>
  <c r="L554"/>
  <c r="K554"/>
  <c r="J554"/>
  <c r="I554"/>
  <c r="H554"/>
  <c r="G554"/>
  <c r="F554"/>
  <c r="E554"/>
  <c r="W552"/>
  <c r="U552"/>
  <c r="S552"/>
  <c r="R552"/>
  <c r="Q551"/>
  <c r="P551"/>
  <c r="O551"/>
  <c r="N551"/>
  <c r="M551"/>
  <c r="T549" s="1"/>
  <c r="L551"/>
  <c r="K551"/>
  <c r="J551"/>
  <c r="I551"/>
  <c r="H551"/>
  <c r="G551"/>
  <c r="F551"/>
  <c r="E551"/>
  <c r="W549"/>
  <c r="U549"/>
  <c r="S549"/>
  <c r="R549"/>
  <c r="Q548"/>
  <c r="M548"/>
  <c r="T546" s="1"/>
  <c r="L548"/>
  <c r="K548"/>
  <c r="J548"/>
  <c r="I548"/>
  <c r="H548"/>
  <c r="G548"/>
  <c r="F548"/>
  <c r="E548"/>
  <c r="W546"/>
  <c r="U546"/>
  <c r="S546"/>
  <c r="R546"/>
  <c r="M545"/>
  <c r="T543" s="1"/>
  <c r="L545"/>
  <c r="K545"/>
  <c r="J545"/>
  <c r="I545"/>
  <c r="H545"/>
  <c r="G545"/>
  <c r="F545"/>
  <c r="E545"/>
  <c r="W543"/>
  <c r="U543"/>
  <c r="S543"/>
  <c r="R543"/>
  <c r="Q542"/>
  <c r="T540" s="1"/>
  <c r="P542"/>
  <c r="O542"/>
  <c r="N542"/>
  <c r="M542"/>
  <c r="L542"/>
  <c r="K542"/>
  <c r="J542"/>
  <c r="I542"/>
  <c r="H542"/>
  <c r="G542"/>
  <c r="F542"/>
  <c r="E542"/>
  <c r="W540"/>
  <c r="U540"/>
  <c r="S540"/>
  <c r="R540"/>
  <c r="Q539"/>
  <c r="P539"/>
  <c r="O539"/>
  <c r="N539"/>
  <c r="M539"/>
  <c r="T537" s="1"/>
  <c r="L539"/>
  <c r="K539"/>
  <c r="J539"/>
  <c r="I539"/>
  <c r="H539"/>
  <c r="G539"/>
  <c r="F539"/>
  <c r="E539"/>
  <c r="W537"/>
  <c r="U537"/>
  <c r="S537"/>
  <c r="R537"/>
  <c r="Q536"/>
  <c r="M536"/>
  <c r="L536"/>
  <c r="K536"/>
  <c r="J536"/>
  <c r="I536"/>
  <c r="H536"/>
  <c r="G536"/>
  <c r="F536"/>
  <c r="E536"/>
  <c r="S534"/>
  <c r="R534"/>
  <c r="U534" s="1"/>
  <c r="M533"/>
  <c r="L533"/>
  <c r="K533"/>
  <c r="J533"/>
  <c r="I533"/>
  <c r="H533"/>
  <c r="G533"/>
  <c r="F533"/>
  <c r="E533"/>
  <c r="S531"/>
  <c r="R531"/>
  <c r="U531" s="1"/>
  <c r="Q530"/>
  <c r="P530"/>
  <c r="O530"/>
  <c r="N530"/>
  <c r="M530"/>
  <c r="L530"/>
  <c r="K530"/>
  <c r="J530"/>
  <c r="I530"/>
  <c r="H530"/>
  <c r="G530"/>
  <c r="R528" s="1"/>
  <c r="F530"/>
  <c r="E530"/>
  <c r="Q527"/>
  <c r="P527"/>
  <c r="O527"/>
  <c r="N527"/>
  <c r="M527"/>
  <c r="L527"/>
  <c r="K527"/>
  <c r="J527"/>
  <c r="I527"/>
  <c r="H527"/>
  <c r="G527"/>
  <c r="F527"/>
  <c r="E527"/>
  <c r="Q524"/>
  <c r="M524"/>
  <c r="L524"/>
  <c r="K524"/>
  <c r="J524"/>
  <c r="I524"/>
  <c r="H524"/>
  <c r="G524"/>
  <c r="F524"/>
  <c r="E524"/>
  <c r="M521"/>
  <c r="L521"/>
  <c r="K521"/>
  <c r="J521"/>
  <c r="I521"/>
  <c r="H521"/>
  <c r="G521"/>
  <c r="F521"/>
  <c r="E521"/>
  <c r="Q518"/>
  <c r="P518"/>
  <c r="O518"/>
  <c r="N518"/>
  <c r="M518"/>
  <c r="L518"/>
  <c r="K518"/>
  <c r="J518"/>
  <c r="I518"/>
  <c r="H518"/>
  <c r="G518"/>
  <c r="F518"/>
  <c r="E518"/>
  <c r="Q512"/>
  <c r="M512"/>
  <c r="L512"/>
  <c r="K512"/>
  <c r="J512"/>
  <c r="I512"/>
  <c r="H512"/>
  <c r="G512"/>
  <c r="F512"/>
  <c r="E512"/>
  <c r="M509"/>
  <c r="L509"/>
  <c r="K509"/>
  <c r="J509"/>
  <c r="I509"/>
  <c r="H509"/>
  <c r="G509"/>
  <c r="F509"/>
  <c r="E509"/>
  <c r="Q506"/>
  <c r="P506"/>
  <c r="O506"/>
  <c r="N506"/>
  <c r="M506"/>
  <c r="L506"/>
  <c r="K506"/>
  <c r="J506"/>
  <c r="I506"/>
  <c r="H506"/>
  <c r="G506"/>
  <c r="F506"/>
  <c r="E506"/>
  <c r="Q503"/>
  <c r="P503"/>
  <c r="O503"/>
  <c r="N503"/>
  <c r="M503"/>
  <c r="L503"/>
  <c r="K503"/>
  <c r="J503"/>
  <c r="I503"/>
  <c r="H503"/>
  <c r="G503"/>
  <c r="F503"/>
  <c r="E503"/>
  <c r="Q500"/>
  <c r="M500"/>
  <c r="L500"/>
  <c r="K500"/>
  <c r="J500"/>
  <c r="I500"/>
  <c r="H500"/>
  <c r="G500"/>
  <c r="F500"/>
  <c r="E500"/>
  <c r="M497"/>
  <c r="L497"/>
  <c r="K497"/>
  <c r="J497"/>
  <c r="I497"/>
  <c r="H497"/>
  <c r="G497"/>
  <c r="F497"/>
  <c r="E497"/>
  <c r="Q494"/>
  <c r="P494"/>
  <c r="O494"/>
  <c r="N494"/>
  <c r="M494"/>
  <c r="L494"/>
  <c r="K494"/>
  <c r="J494"/>
  <c r="I494"/>
  <c r="H494"/>
  <c r="G494"/>
  <c r="F494"/>
  <c r="E494"/>
  <c r="Q491"/>
  <c r="P491"/>
  <c r="O491"/>
  <c r="N491"/>
  <c r="M491"/>
  <c r="L491"/>
  <c r="K491"/>
  <c r="J491"/>
  <c r="I491"/>
  <c r="H491"/>
  <c r="G491"/>
  <c r="F491"/>
  <c r="E491"/>
  <c r="Q488"/>
  <c r="P488"/>
  <c r="O488"/>
  <c r="N488"/>
  <c r="M488"/>
  <c r="L488"/>
  <c r="K488"/>
  <c r="J488"/>
  <c r="I488"/>
  <c r="H488"/>
  <c r="G488"/>
  <c r="F488"/>
  <c r="E488"/>
  <c r="Q485"/>
  <c r="P485"/>
  <c r="O485"/>
  <c r="N485"/>
  <c r="M485"/>
  <c r="L485"/>
  <c r="K485"/>
  <c r="J485"/>
  <c r="I485"/>
  <c r="H485"/>
  <c r="G485"/>
  <c r="F485"/>
  <c r="E485"/>
  <c r="Q482"/>
  <c r="M482"/>
  <c r="L482"/>
  <c r="K482"/>
  <c r="J482"/>
  <c r="I482"/>
  <c r="H482"/>
  <c r="G482"/>
  <c r="F482"/>
  <c r="E482"/>
  <c r="M479"/>
  <c r="L479"/>
  <c r="K479"/>
  <c r="J479"/>
  <c r="I479"/>
  <c r="H479"/>
  <c r="G479"/>
  <c r="F479"/>
  <c r="E479"/>
  <c r="Q476"/>
  <c r="P476"/>
  <c r="O476"/>
  <c r="N476"/>
  <c r="M476"/>
  <c r="L476"/>
  <c r="K476"/>
  <c r="J476"/>
  <c r="I476"/>
  <c r="H476"/>
  <c r="G476"/>
  <c r="F476"/>
  <c r="E476"/>
  <c r="Q473"/>
  <c r="P473"/>
  <c r="O473"/>
  <c r="N473"/>
  <c r="M473"/>
  <c r="L473"/>
  <c r="K473"/>
  <c r="J473"/>
  <c r="I473"/>
  <c r="H473"/>
  <c r="G473"/>
  <c r="F473"/>
  <c r="E473"/>
  <c r="Q470"/>
  <c r="M470"/>
  <c r="L470"/>
  <c r="K470"/>
  <c r="J470"/>
  <c r="I470"/>
  <c r="H470"/>
  <c r="G470"/>
  <c r="F470"/>
  <c r="E470"/>
  <c r="M467"/>
  <c r="L467"/>
  <c r="K467"/>
  <c r="J467"/>
  <c r="I467"/>
  <c r="H467"/>
  <c r="G467"/>
  <c r="F467"/>
  <c r="E467"/>
  <c r="Q464"/>
  <c r="P464"/>
  <c r="O464"/>
  <c r="N464"/>
  <c r="M464"/>
  <c r="L464"/>
  <c r="K464"/>
  <c r="J464"/>
  <c r="I464"/>
  <c r="H464"/>
  <c r="G464"/>
  <c r="F464"/>
  <c r="E464"/>
  <c r="Q461"/>
  <c r="P461"/>
  <c r="O461"/>
  <c r="N461"/>
  <c r="M461"/>
  <c r="L461"/>
  <c r="K461"/>
  <c r="J461"/>
  <c r="I461"/>
  <c r="H461"/>
  <c r="G461"/>
  <c r="F461"/>
  <c r="E461"/>
  <c r="Q458"/>
  <c r="M458"/>
  <c r="L458"/>
  <c r="K458"/>
  <c r="J458"/>
  <c r="I458"/>
  <c r="H458"/>
  <c r="G458"/>
  <c r="F458"/>
  <c r="E458"/>
  <c r="M455"/>
  <c r="L455"/>
  <c r="K455"/>
  <c r="J455"/>
  <c r="I455"/>
  <c r="H455"/>
  <c r="G455"/>
  <c r="F455"/>
  <c r="E455"/>
  <c r="Q452"/>
  <c r="P452"/>
  <c r="O452"/>
  <c r="N452"/>
  <c r="M452"/>
  <c r="L452"/>
  <c r="K452"/>
  <c r="J452"/>
  <c r="I452"/>
  <c r="H452"/>
  <c r="G452"/>
  <c r="F452"/>
  <c r="E452"/>
  <c r="Q449"/>
  <c r="P449"/>
  <c r="O449"/>
  <c r="N449"/>
  <c r="M449"/>
  <c r="L449"/>
  <c r="K449"/>
  <c r="J449"/>
  <c r="I449"/>
  <c r="H449"/>
  <c r="G449"/>
  <c r="F449"/>
  <c r="E449"/>
  <c r="Q446"/>
  <c r="M446"/>
  <c r="L446"/>
  <c r="K446"/>
  <c r="J446"/>
  <c r="I446"/>
  <c r="H446"/>
  <c r="G446"/>
  <c r="F446"/>
  <c r="E446"/>
  <c r="M443"/>
  <c r="L443"/>
  <c r="K443"/>
  <c r="J443"/>
  <c r="I443"/>
  <c r="H443"/>
  <c r="G443"/>
  <c r="F443"/>
  <c r="E443"/>
  <c r="Q440"/>
  <c r="P440"/>
  <c r="O440"/>
  <c r="N440"/>
  <c r="M440"/>
  <c r="L440"/>
  <c r="K440"/>
  <c r="J440"/>
  <c r="I440"/>
  <c r="H440"/>
  <c r="G440"/>
  <c r="F440"/>
  <c r="E440"/>
  <c r="Q437"/>
  <c r="M437"/>
  <c r="L437"/>
  <c r="K437"/>
  <c r="J437"/>
  <c r="I437"/>
  <c r="H437"/>
  <c r="G437"/>
  <c r="F437"/>
  <c r="E437"/>
  <c r="Q434"/>
  <c r="M434"/>
  <c r="L434"/>
  <c r="K434"/>
  <c r="J434"/>
  <c r="I434"/>
  <c r="H434"/>
  <c r="G434"/>
  <c r="F434"/>
  <c r="E434"/>
  <c r="M431"/>
  <c r="L431"/>
  <c r="K431"/>
  <c r="J431"/>
  <c r="I431"/>
  <c r="H431"/>
  <c r="G431"/>
  <c r="F431"/>
  <c r="E431"/>
  <c r="Q428"/>
  <c r="P428"/>
  <c r="O428"/>
  <c r="N428"/>
  <c r="M428"/>
  <c r="L428"/>
  <c r="K428"/>
  <c r="J428"/>
  <c r="I428"/>
  <c r="H428"/>
  <c r="G428"/>
  <c r="F428"/>
  <c r="E428"/>
  <c r="Q425"/>
  <c r="M425"/>
  <c r="L425"/>
  <c r="K425"/>
  <c r="J425"/>
  <c r="I425"/>
  <c r="H425"/>
  <c r="G425"/>
  <c r="F425"/>
  <c r="E425"/>
  <c r="Q422"/>
  <c r="M422"/>
  <c r="L422"/>
  <c r="K422"/>
  <c r="J422"/>
  <c r="I422"/>
  <c r="H422"/>
  <c r="G422"/>
  <c r="F422"/>
  <c r="E422"/>
  <c r="M419"/>
  <c r="L419"/>
  <c r="K419"/>
  <c r="J419"/>
  <c r="I419"/>
  <c r="H419"/>
  <c r="G419"/>
  <c r="F419"/>
  <c r="E419"/>
  <c r="Q416"/>
  <c r="P416"/>
  <c r="O416"/>
  <c r="N416"/>
  <c r="M416"/>
  <c r="L416"/>
  <c r="K416"/>
  <c r="J416"/>
  <c r="I416"/>
  <c r="H416"/>
  <c r="G416"/>
  <c r="F416"/>
  <c r="E416"/>
  <c r="Q413"/>
  <c r="M413"/>
  <c r="L413"/>
  <c r="K413"/>
  <c r="J413"/>
  <c r="I413"/>
  <c r="H413"/>
  <c r="G413"/>
  <c r="F413"/>
  <c r="E413"/>
  <c r="Q410"/>
  <c r="M410"/>
  <c r="L410"/>
  <c r="K410"/>
  <c r="J410"/>
  <c r="I410"/>
  <c r="H410"/>
  <c r="G410"/>
  <c r="F410"/>
  <c r="E410"/>
  <c r="M407"/>
  <c r="L407"/>
  <c r="K407"/>
  <c r="J407"/>
  <c r="I407"/>
  <c r="H407"/>
  <c r="G407"/>
  <c r="F407"/>
  <c r="E407"/>
  <c r="Q404"/>
  <c r="P404"/>
  <c r="O404"/>
  <c r="N404"/>
  <c r="M404"/>
  <c r="L404"/>
  <c r="K404"/>
  <c r="J404"/>
  <c r="I404"/>
  <c r="H404"/>
  <c r="G404"/>
  <c r="F404"/>
  <c r="E404"/>
  <c r="Q401"/>
  <c r="M401"/>
  <c r="L401"/>
  <c r="K401"/>
  <c r="J401"/>
  <c r="I401"/>
  <c r="H401"/>
  <c r="G401"/>
  <c r="F401"/>
  <c r="E401"/>
  <c r="Q398"/>
  <c r="M398"/>
  <c r="L398"/>
  <c r="K398"/>
  <c r="J398"/>
  <c r="I398"/>
  <c r="H398"/>
  <c r="G398"/>
  <c r="F398"/>
  <c r="E398"/>
  <c r="M395"/>
  <c r="L395"/>
  <c r="K395"/>
  <c r="J395"/>
  <c r="I395"/>
  <c r="H395"/>
  <c r="G395"/>
  <c r="F395"/>
  <c r="E395"/>
  <c r="Q392"/>
  <c r="P392"/>
  <c r="O392"/>
  <c r="N392"/>
  <c r="M392"/>
  <c r="L392"/>
  <c r="K392"/>
  <c r="J392"/>
  <c r="I392"/>
  <c r="H392"/>
  <c r="G392"/>
  <c r="F392"/>
  <c r="E392"/>
  <c r="Q389"/>
  <c r="M389"/>
  <c r="L389"/>
  <c r="K389"/>
  <c r="J389"/>
  <c r="I389"/>
  <c r="H389"/>
  <c r="G389"/>
  <c r="F389"/>
  <c r="E389"/>
  <c r="Q386"/>
  <c r="M386"/>
  <c r="L386"/>
  <c r="K386"/>
  <c r="J386"/>
  <c r="I386"/>
  <c r="H386"/>
  <c r="G386"/>
  <c r="F386"/>
  <c r="E386"/>
  <c r="M383"/>
  <c r="L383"/>
  <c r="K383"/>
  <c r="J383"/>
  <c r="I383"/>
  <c r="H383"/>
  <c r="G383"/>
  <c r="F383"/>
  <c r="E383"/>
  <c r="Q380"/>
  <c r="P380"/>
  <c r="O380"/>
  <c r="N380"/>
  <c r="M380"/>
  <c r="L380"/>
  <c r="K380"/>
  <c r="J380"/>
  <c r="I380"/>
  <c r="H380"/>
  <c r="G380"/>
  <c r="F380"/>
  <c r="E380"/>
  <c r="Q377"/>
  <c r="M377"/>
  <c r="L377"/>
  <c r="K377"/>
  <c r="J377"/>
  <c r="I377"/>
  <c r="H377"/>
  <c r="G377"/>
  <c r="F377"/>
  <c r="E377"/>
  <c r="Q374"/>
  <c r="M374"/>
  <c r="L374"/>
  <c r="K374"/>
  <c r="J374"/>
  <c r="I374"/>
  <c r="H374"/>
  <c r="G374"/>
  <c r="F374"/>
  <c r="E374"/>
  <c r="M371"/>
  <c r="L371"/>
  <c r="K371"/>
  <c r="J371"/>
  <c r="I371"/>
  <c r="H371"/>
  <c r="G371"/>
  <c r="F371"/>
  <c r="E371"/>
  <c r="Q368"/>
  <c r="P368"/>
  <c r="O368"/>
  <c r="N368"/>
  <c r="M368"/>
  <c r="L368"/>
  <c r="K368"/>
  <c r="J368"/>
  <c r="I368"/>
  <c r="H368"/>
  <c r="G368"/>
  <c r="F368"/>
  <c r="E368"/>
  <c r="Q365"/>
  <c r="M365"/>
  <c r="L365"/>
  <c r="K365"/>
  <c r="J365"/>
  <c r="I365"/>
  <c r="H365"/>
  <c r="G365"/>
  <c r="F365"/>
  <c r="E365"/>
  <c r="Q362"/>
  <c r="M362"/>
  <c r="L362"/>
  <c r="K362"/>
  <c r="J362"/>
  <c r="I362"/>
  <c r="H362"/>
  <c r="G362"/>
  <c r="F362"/>
  <c r="E362"/>
  <c r="M359"/>
  <c r="L359"/>
  <c r="K359"/>
  <c r="J359"/>
  <c r="I359"/>
  <c r="H359"/>
  <c r="G359"/>
  <c r="F359"/>
  <c r="E359"/>
  <c r="Q356"/>
  <c r="P356"/>
  <c r="O356"/>
  <c r="N356"/>
  <c r="M356"/>
  <c r="L356"/>
  <c r="K356"/>
  <c r="J356"/>
  <c r="I356"/>
  <c r="H356"/>
  <c r="G356"/>
  <c r="F356"/>
  <c r="E356"/>
  <c r="Q353"/>
  <c r="M353"/>
  <c r="L353"/>
  <c r="K353"/>
  <c r="J353"/>
  <c r="I353"/>
  <c r="H353"/>
  <c r="G353"/>
  <c r="F353"/>
  <c r="E353"/>
  <c r="Q350"/>
  <c r="M350"/>
  <c r="L350"/>
  <c r="K350"/>
  <c r="J350"/>
  <c r="I350"/>
  <c r="H350"/>
  <c r="G350"/>
  <c r="F350"/>
  <c r="E350"/>
  <c r="M347"/>
  <c r="L347"/>
  <c r="K347"/>
  <c r="J347"/>
  <c r="I347"/>
  <c r="H347"/>
  <c r="G347"/>
  <c r="F347"/>
  <c r="E347"/>
  <c r="Q344"/>
  <c r="P344"/>
  <c r="O344"/>
  <c r="N344"/>
  <c r="M344"/>
  <c r="L344"/>
  <c r="K344"/>
  <c r="J344"/>
  <c r="I344"/>
  <c r="H344"/>
  <c r="G344"/>
  <c r="F344"/>
  <c r="E344"/>
  <c r="Q341"/>
  <c r="M341"/>
  <c r="L341"/>
  <c r="K341"/>
  <c r="J341"/>
  <c r="I341"/>
  <c r="H341"/>
  <c r="G341"/>
  <c r="F341"/>
  <c r="E341"/>
  <c r="Q338"/>
  <c r="M338"/>
  <c r="L338"/>
  <c r="K338"/>
  <c r="J338"/>
  <c r="I338"/>
  <c r="H338"/>
  <c r="G338"/>
  <c r="F338"/>
  <c r="E338"/>
  <c r="M335"/>
  <c r="L335"/>
  <c r="K335"/>
  <c r="J335"/>
  <c r="I335"/>
  <c r="H335"/>
  <c r="G335"/>
  <c r="F335"/>
  <c r="E335"/>
  <c r="Q332"/>
  <c r="P332"/>
  <c r="O332"/>
  <c r="N332"/>
  <c r="M332"/>
  <c r="L332"/>
  <c r="K332"/>
  <c r="J332"/>
  <c r="I332"/>
  <c r="H332"/>
  <c r="G332"/>
  <c r="F332"/>
  <c r="E332"/>
  <c r="Q329"/>
  <c r="M329"/>
  <c r="L329"/>
  <c r="K329"/>
  <c r="J329"/>
  <c r="I329"/>
  <c r="H329"/>
  <c r="G329"/>
  <c r="F329"/>
  <c r="E329"/>
  <c r="M326"/>
  <c r="L326"/>
  <c r="K326"/>
  <c r="J326"/>
  <c r="I326"/>
  <c r="H326"/>
  <c r="G326"/>
  <c r="F326"/>
  <c r="E326"/>
  <c r="Q323"/>
  <c r="P323"/>
  <c r="O323"/>
  <c r="N323"/>
  <c r="M323"/>
  <c r="L323"/>
  <c r="K323"/>
  <c r="J323"/>
  <c r="I323"/>
  <c r="H323"/>
  <c r="G323"/>
  <c r="F323"/>
  <c r="E323"/>
  <c r="Q320"/>
  <c r="M320"/>
  <c r="L320"/>
  <c r="K320"/>
  <c r="J320"/>
  <c r="I320"/>
  <c r="H320"/>
  <c r="G320"/>
  <c r="F320"/>
  <c r="E320"/>
  <c r="Q317"/>
  <c r="M317"/>
  <c r="L317"/>
  <c r="K317"/>
  <c r="J317"/>
  <c r="I317"/>
  <c r="H317"/>
  <c r="G317"/>
  <c r="F317"/>
  <c r="E317"/>
  <c r="M314"/>
  <c r="L314"/>
  <c r="K314"/>
  <c r="J314"/>
  <c r="I314"/>
  <c r="H314"/>
  <c r="G314"/>
  <c r="F314"/>
  <c r="E314"/>
  <c r="Q311"/>
  <c r="P311"/>
  <c r="O311"/>
  <c r="N311"/>
  <c r="M311"/>
  <c r="L311"/>
  <c r="K311"/>
  <c r="J311"/>
  <c r="I311"/>
  <c r="H311"/>
  <c r="G311"/>
  <c r="F311"/>
  <c r="E311"/>
  <c r="Q308"/>
  <c r="M308"/>
  <c r="L308"/>
  <c r="K308"/>
  <c r="J308"/>
  <c r="I308"/>
  <c r="H308"/>
  <c r="G308"/>
  <c r="F308"/>
  <c r="E308"/>
  <c r="Q305"/>
  <c r="M305"/>
  <c r="L305"/>
  <c r="K305"/>
  <c r="J305"/>
  <c r="I305"/>
  <c r="H305"/>
  <c r="G305"/>
  <c r="F305"/>
  <c r="E305"/>
  <c r="M302"/>
  <c r="L302"/>
  <c r="K302"/>
  <c r="J302"/>
  <c r="I302"/>
  <c r="H302"/>
  <c r="G302"/>
  <c r="F302"/>
  <c r="E302"/>
  <c r="Q299"/>
  <c r="P299"/>
  <c r="O299"/>
  <c r="N299"/>
  <c r="M299"/>
  <c r="L299"/>
  <c r="K299"/>
  <c r="J299"/>
  <c r="I299"/>
  <c r="H299"/>
  <c r="G299"/>
  <c r="F299"/>
  <c r="E299"/>
  <c r="Q296"/>
  <c r="M296"/>
  <c r="L296"/>
  <c r="K296"/>
  <c r="J296"/>
  <c r="I296"/>
  <c r="H296"/>
  <c r="G296"/>
  <c r="F296"/>
  <c r="E296"/>
  <c r="Q293"/>
  <c r="M293"/>
  <c r="L293"/>
  <c r="K293"/>
  <c r="J293"/>
  <c r="I293"/>
  <c r="H293"/>
  <c r="G293"/>
  <c r="F293"/>
  <c r="E293"/>
  <c r="M290"/>
  <c r="L290"/>
  <c r="K290"/>
  <c r="J290"/>
  <c r="I290"/>
  <c r="H290"/>
  <c r="G290"/>
  <c r="F290"/>
  <c r="E290"/>
  <c r="Q287"/>
  <c r="P287"/>
  <c r="O287"/>
  <c r="N287"/>
  <c r="M287"/>
  <c r="L287"/>
  <c r="K287"/>
  <c r="J287"/>
  <c r="I287"/>
  <c r="H287"/>
  <c r="G287"/>
  <c r="F287"/>
  <c r="E287"/>
  <c r="Q284"/>
  <c r="M284"/>
  <c r="L284"/>
  <c r="K284"/>
  <c r="J284"/>
  <c r="I284"/>
  <c r="H284"/>
  <c r="G284"/>
  <c r="F284"/>
  <c r="E284"/>
  <c r="M281"/>
  <c r="L281"/>
  <c r="K281"/>
  <c r="J281"/>
  <c r="I281"/>
  <c r="H281"/>
  <c r="G281"/>
  <c r="F281"/>
  <c r="E281"/>
  <c r="Q278"/>
  <c r="P278"/>
  <c r="O278"/>
  <c r="N278"/>
  <c r="M278"/>
  <c r="L278"/>
  <c r="K278"/>
  <c r="J278"/>
  <c r="I278"/>
  <c r="H278"/>
  <c r="G278"/>
  <c r="F278"/>
  <c r="E278"/>
  <c r="Q275"/>
  <c r="M275"/>
  <c r="L275"/>
  <c r="K275"/>
  <c r="J275"/>
  <c r="I275"/>
  <c r="H275"/>
  <c r="G275"/>
  <c r="F275"/>
  <c r="E275"/>
  <c r="Q272"/>
  <c r="M272"/>
  <c r="L272"/>
  <c r="K272"/>
  <c r="J272"/>
  <c r="I272"/>
  <c r="H272"/>
  <c r="G272"/>
  <c r="F272"/>
  <c r="E272"/>
  <c r="M269"/>
  <c r="L269"/>
  <c r="K269"/>
  <c r="J269"/>
  <c r="I269"/>
  <c r="H269"/>
  <c r="G269"/>
  <c r="F269"/>
  <c r="E269"/>
  <c r="Q266"/>
  <c r="P266"/>
  <c r="O266"/>
  <c r="N266"/>
  <c r="M266"/>
  <c r="L266"/>
  <c r="K266"/>
  <c r="J266"/>
  <c r="I266"/>
  <c r="H266"/>
  <c r="G266"/>
  <c r="F266"/>
  <c r="E266"/>
  <c r="Q263"/>
  <c r="M263"/>
  <c r="L263"/>
  <c r="K263"/>
  <c r="J263"/>
  <c r="I263"/>
  <c r="H263"/>
  <c r="G263"/>
  <c r="F263"/>
  <c r="E263"/>
  <c r="Q260"/>
  <c r="M260"/>
  <c r="L260"/>
  <c r="K260"/>
  <c r="J260"/>
  <c r="I260"/>
  <c r="H260"/>
  <c r="G260"/>
  <c r="F260"/>
  <c r="E260"/>
  <c r="M257"/>
  <c r="L257"/>
  <c r="K257"/>
  <c r="J257"/>
  <c r="I257"/>
  <c r="H257"/>
  <c r="G257"/>
  <c r="F257"/>
  <c r="E257"/>
  <c r="Q254"/>
  <c r="P254"/>
  <c r="O254"/>
  <c r="N254"/>
  <c r="M254"/>
  <c r="L254"/>
  <c r="K254"/>
  <c r="J254"/>
  <c r="I254"/>
  <c r="H254"/>
  <c r="G254"/>
  <c r="F254"/>
  <c r="E254"/>
  <c r="Q251"/>
  <c r="M251"/>
  <c r="L251"/>
  <c r="K251"/>
  <c r="J251"/>
  <c r="I251"/>
  <c r="H251"/>
  <c r="G251"/>
  <c r="F251"/>
  <c r="E251"/>
  <c r="Q248"/>
  <c r="M248"/>
  <c r="L248"/>
  <c r="K248"/>
  <c r="J248"/>
  <c r="I248"/>
  <c r="H248"/>
  <c r="G248"/>
  <c r="F248"/>
  <c r="E248"/>
  <c r="M245"/>
  <c r="L245"/>
  <c r="K245"/>
  <c r="J245"/>
  <c r="I245"/>
  <c r="H245"/>
  <c r="G245"/>
  <c r="F245"/>
  <c r="E245"/>
  <c r="Q242"/>
  <c r="P242"/>
  <c r="O242"/>
  <c r="N242"/>
  <c r="M242"/>
  <c r="L242"/>
  <c r="K242"/>
  <c r="J242"/>
  <c r="I242"/>
  <c r="H242"/>
  <c r="G242"/>
  <c r="F242"/>
  <c r="E242"/>
  <c r="Q239"/>
  <c r="M239"/>
  <c r="L239"/>
  <c r="K239"/>
  <c r="J239"/>
  <c r="I239"/>
  <c r="H239"/>
  <c r="G239"/>
  <c r="F239"/>
  <c r="E239"/>
  <c r="Q236"/>
  <c r="M236"/>
  <c r="L236"/>
  <c r="K236"/>
  <c r="J236"/>
  <c r="I236"/>
  <c r="H236"/>
  <c r="G236"/>
  <c r="F236"/>
  <c r="E236"/>
  <c r="M233"/>
  <c r="L233"/>
  <c r="K233"/>
  <c r="J233"/>
  <c r="I233"/>
  <c r="H233"/>
  <c r="G233"/>
  <c r="F233"/>
  <c r="E233"/>
  <c r="Q230"/>
  <c r="P230"/>
  <c r="O230"/>
  <c r="N230"/>
  <c r="M230"/>
  <c r="L230"/>
  <c r="K230"/>
  <c r="J230"/>
  <c r="I230"/>
  <c r="H230"/>
  <c r="G230"/>
  <c r="F230"/>
  <c r="E230"/>
  <c r="Q227"/>
  <c r="M227"/>
  <c r="L227"/>
  <c r="K227"/>
  <c r="J227"/>
  <c r="I227"/>
  <c r="H227"/>
  <c r="G227"/>
  <c r="F227"/>
  <c r="E227"/>
  <c r="Q224"/>
  <c r="M224"/>
  <c r="L224"/>
  <c r="K224"/>
  <c r="J224"/>
  <c r="I224"/>
  <c r="H224"/>
  <c r="G224"/>
  <c r="F224"/>
  <c r="E224"/>
  <c r="M221"/>
  <c r="L221"/>
  <c r="K221"/>
  <c r="J221"/>
  <c r="I221"/>
  <c r="H221"/>
  <c r="G221"/>
  <c r="F221"/>
  <c r="E221"/>
  <c r="Q218"/>
  <c r="P218"/>
  <c r="O218"/>
  <c r="N218"/>
  <c r="M218"/>
  <c r="L218"/>
  <c r="K218"/>
  <c r="J218"/>
  <c r="I218"/>
  <c r="H218"/>
  <c r="G218"/>
  <c r="F218"/>
  <c r="E218"/>
  <c r="Q215"/>
  <c r="M215"/>
  <c r="L215"/>
  <c r="K215"/>
  <c r="J215"/>
  <c r="I215"/>
  <c r="H215"/>
  <c r="G215"/>
  <c r="F215"/>
  <c r="E215"/>
  <c r="M212"/>
  <c r="L212"/>
  <c r="K212"/>
  <c r="J212"/>
  <c r="I212"/>
  <c r="H212"/>
  <c r="G212"/>
  <c r="F212"/>
  <c r="E212"/>
  <c r="Q209"/>
  <c r="P209"/>
  <c r="O209"/>
  <c r="N209"/>
  <c r="M209"/>
  <c r="L209"/>
  <c r="K209"/>
  <c r="J209"/>
  <c r="I209"/>
  <c r="H209"/>
  <c r="G209"/>
  <c r="F209"/>
  <c r="E209"/>
  <c r="Q206"/>
  <c r="M206"/>
  <c r="L206"/>
  <c r="K206"/>
  <c r="J206"/>
  <c r="I206"/>
  <c r="H206"/>
  <c r="G206"/>
  <c r="F206"/>
  <c r="E206"/>
  <c r="Q203"/>
  <c r="M203"/>
  <c r="L203"/>
  <c r="K203"/>
  <c r="J203"/>
  <c r="I203"/>
  <c r="H203"/>
  <c r="G203"/>
  <c r="F203"/>
  <c r="E203"/>
  <c r="Q200"/>
  <c r="M200"/>
  <c r="L200"/>
  <c r="K200"/>
  <c r="J200"/>
  <c r="I200"/>
  <c r="H200"/>
  <c r="G200"/>
  <c r="F200"/>
  <c r="E200"/>
  <c r="M197"/>
  <c r="L197"/>
  <c r="K197"/>
  <c r="J197"/>
  <c r="I197"/>
  <c r="H197"/>
  <c r="G197"/>
  <c r="F197"/>
  <c r="E197"/>
  <c r="Q194"/>
  <c r="P194"/>
  <c r="O194"/>
  <c r="N194"/>
  <c r="M194"/>
  <c r="L194"/>
  <c r="K194"/>
  <c r="J194"/>
  <c r="I194"/>
  <c r="H194"/>
  <c r="G194"/>
  <c r="F194"/>
  <c r="E194"/>
  <c r="Q191"/>
  <c r="M191"/>
  <c r="L191"/>
  <c r="K191"/>
  <c r="J191"/>
  <c r="I191"/>
  <c r="H191"/>
  <c r="G191"/>
  <c r="F191"/>
  <c r="E191"/>
  <c r="M188"/>
  <c r="L188"/>
  <c r="K188"/>
  <c r="J188"/>
  <c r="I188"/>
  <c r="H188"/>
  <c r="G188"/>
  <c r="F188"/>
  <c r="E188"/>
  <c r="Q185"/>
  <c r="P185"/>
  <c r="O185"/>
  <c r="N185"/>
  <c r="M185"/>
  <c r="L185"/>
  <c r="K185"/>
  <c r="J185"/>
  <c r="I185"/>
  <c r="H185"/>
  <c r="G185"/>
  <c r="F185"/>
  <c r="E185"/>
  <c r="Q182"/>
  <c r="M182"/>
  <c r="L182"/>
  <c r="K182"/>
  <c r="J182"/>
  <c r="I182"/>
  <c r="H182"/>
  <c r="G182"/>
  <c r="F182"/>
  <c r="E182"/>
  <c r="Q179"/>
  <c r="M179"/>
  <c r="L179"/>
  <c r="K179"/>
  <c r="J179"/>
  <c r="I179"/>
  <c r="H179"/>
  <c r="G179"/>
  <c r="F179"/>
  <c r="E179"/>
  <c r="Q176"/>
  <c r="P176"/>
  <c r="O176"/>
  <c r="N176"/>
  <c r="M176"/>
  <c r="L176"/>
  <c r="K176"/>
  <c r="J176"/>
  <c r="I176"/>
  <c r="H176"/>
  <c r="G176"/>
  <c r="F176"/>
  <c r="E176"/>
  <c r="Q173"/>
  <c r="M173"/>
  <c r="L173"/>
  <c r="K173"/>
  <c r="J173"/>
  <c r="I173"/>
  <c r="H173"/>
  <c r="G173"/>
  <c r="F173"/>
  <c r="E173"/>
  <c r="Q170"/>
  <c r="M170"/>
  <c r="L170"/>
  <c r="K170"/>
  <c r="J170"/>
  <c r="I170"/>
  <c r="H170"/>
  <c r="G170"/>
  <c r="F170"/>
  <c r="E170"/>
  <c r="M167"/>
  <c r="L167"/>
  <c r="K167"/>
  <c r="J167"/>
  <c r="I167"/>
  <c r="H167"/>
  <c r="G167"/>
  <c r="F167"/>
  <c r="E167"/>
  <c r="Q164"/>
  <c r="P164"/>
  <c r="O164"/>
  <c r="N164"/>
  <c r="M164"/>
  <c r="L164"/>
  <c r="K164"/>
  <c r="J164"/>
  <c r="I164"/>
  <c r="H164"/>
  <c r="G164"/>
  <c r="F164"/>
  <c r="E164"/>
  <c r="Q161"/>
  <c r="M161"/>
  <c r="L161"/>
  <c r="K161"/>
  <c r="J161"/>
  <c r="I161"/>
  <c r="H161"/>
  <c r="G161"/>
  <c r="F161"/>
  <c r="E161"/>
  <c r="Q158"/>
  <c r="P158"/>
  <c r="O158"/>
  <c r="N158"/>
  <c r="M158"/>
  <c r="L158"/>
  <c r="K158"/>
  <c r="J158"/>
  <c r="I158"/>
  <c r="H158"/>
  <c r="G158"/>
  <c r="F158"/>
  <c r="E158"/>
  <c r="Q155"/>
  <c r="M155"/>
  <c r="L155"/>
  <c r="K155"/>
  <c r="J155"/>
  <c r="I155"/>
  <c r="H155"/>
  <c r="G155"/>
  <c r="F155"/>
  <c r="E155"/>
  <c r="M152"/>
  <c r="L152"/>
  <c r="K152"/>
  <c r="J152"/>
  <c r="I152"/>
  <c r="H152"/>
  <c r="G152"/>
  <c r="F152"/>
  <c r="E152"/>
  <c r="Q149"/>
  <c r="P149"/>
  <c r="O149"/>
  <c r="N149"/>
  <c r="M149"/>
  <c r="L149"/>
  <c r="K149"/>
  <c r="J149"/>
  <c r="I149"/>
  <c r="H149"/>
  <c r="G149"/>
  <c r="F149"/>
  <c r="E149"/>
  <c r="Q146"/>
  <c r="M146"/>
  <c r="L146"/>
  <c r="K146"/>
  <c r="J146"/>
  <c r="I146"/>
  <c r="H146"/>
  <c r="G146"/>
  <c r="F146"/>
  <c r="E146"/>
  <c r="Q143"/>
  <c r="P143"/>
  <c r="O143"/>
  <c r="N143"/>
  <c r="M143"/>
  <c r="L143"/>
  <c r="K143"/>
  <c r="J143"/>
  <c r="I143"/>
  <c r="H143"/>
  <c r="G143"/>
  <c r="F143"/>
  <c r="E143"/>
  <c r="Q140"/>
  <c r="M140"/>
  <c r="L140"/>
  <c r="K140"/>
  <c r="J140"/>
  <c r="I140"/>
  <c r="H140"/>
  <c r="G140"/>
  <c r="F140"/>
  <c r="E140"/>
  <c r="Q137"/>
  <c r="M137"/>
  <c r="L137"/>
  <c r="K137"/>
  <c r="J137"/>
  <c r="I137"/>
  <c r="H137"/>
  <c r="G137"/>
  <c r="F137"/>
  <c r="E137"/>
  <c r="M134"/>
  <c r="L134"/>
  <c r="K134"/>
  <c r="J134"/>
  <c r="I134"/>
  <c r="H134"/>
  <c r="G134"/>
  <c r="F134"/>
  <c r="E134"/>
  <c r="Q131"/>
  <c r="P131"/>
  <c r="O131"/>
  <c r="N131"/>
  <c r="M131"/>
  <c r="L131"/>
  <c r="K131"/>
  <c r="J131"/>
  <c r="I131"/>
  <c r="H131"/>
  <c r="G131"/>
  <c r="F131"/>
  <c r="E131"/>
  <c r="Q128"/>
  <c r="M128"/>
  <c r="L128"/>
  <c r="K128"/>
  <c r="J128"/>
  <c r="I128"/>
  <c r="H128"/>
  <c r="G128"/>
  <c r="F128"/>
  <c r="E128"/>
  <c r="Q125"/>
  <c r="M125"/>
  <c r="L125"/>
  <c r="K125"/>
  <c r="J125"/>
  <c r="I125"/>
  <c r="H125"/>
  <c r="G125"/>
  <c r="F125"/>
  <c r="E125"/>
  <c r="M122"/>
  <c r="L122"/>
  <c r="K122"/>
  <c r="J122"/>
  <c r="I122"/>
  <c r="H122"/>
  <c r="G122"/>
  <c r="F122"/>
  <c r="E122"/>
  <c r="Q119"/>
  <c r="P119"/>
  <c r="O119"/>
  <c r="N119"/>
  <c r="M119"/>
  <c r="L119"/>
  <c r="K119"/>
  <c r="J119"/>
  <c r="I119"/>
  <c r="H119"/>
  <c r="G119"/>
  <c r="F119"/>
  <c r="E119"/>
  <c r="Q116"/>
  <c r="M116"/>
  <c r="L116"/>
  <c r="K116"/>
  <c r="J116"/>
  <c r="I116"/>
  <c r="H116"/>
  <c r="G116"/>
  <c r="F116"/>
  <c r="E116"/>
  <c r="W114"/>
  <c r="U114"/>
  <c r="S114"/>
  <c r="R114"/>
  <c r="Q113"/>
  <c r="M113"/>
  <c r="L113"/>
  <c r="K113"/>
  <c r="J113"/>
  <c r="I113"/>
  <c r="H113"/>
  <c r="G113"/>
  <c r="F113"/>
  <c r="E113"/>
  <c r="M110"/>
  <c r="L110"/>
  <c r="K110"/>
  <c r="J110"/>
  <c r="I110"/>
  <c r="H110"/>
  <c r="G110"/>
  <c r="F110"/>
  <c r="E110"/>
  <c r="Q107"/>
  <c r="P107"/>
  <c r="O107"/>
  <c r="N107"/>
  <c r="M107"/>
  <c r="L107"/>
  <c r="K107"/>
  <c r="J107"/>
  <c r="I107"/>
  <c r="H107"/>
  <c r="G107"/>
  <c r="F107"/>
  <c r="E107"/>
  <c r="Q104"/>
  <c r="M104"/>
  <c r="L104"/>
  <c r="K104"/>
  <c r="J104"/>
  <c r="I104"/>
  <c r="H104"/>
  <c r="G104"/>
  <c r="F104"/>
  <c r="E104"/>
  <c r="Q101"/>
  <c r="M101"/>
  <c r="L101"/>
  <c r="K101"/>
  <c r="J101"/>
  <c r="I101"/>
  <c r="H101"/>
  <c r="G101"/>
  <c r="F101"/>
  <c r="E101"/>
  <c r="M98"/>
  <c r="L98"/>
  <c r="K98"/>
  <c r="J98"/>
  <c r="I98"/>
  <c r="H98"/>
  <c r="G98"/>
  <c r="F98"/>
  <c r="E98"/>
  <c r="Q95"/>
  <c r="P95"/>
  <c r="O95"/>
  <c r="N95"/>
  <c r="M95"/>
  <c r="L95"/>
  <c r="K95"/>
  <c r="J95"/>
  <c r="I95"/>
  <c r="H95"/>
  <c r="G95"/>
  <c r="F95"/>
  <c r="E95"/>
  <c r="Q92"/>
  <c r="M92"/>
  <c r="L92"/>
  <c r="K92"/>
  <c r="J92"/>
  <c r="I92"/>
  <c r="H92"/>
  <c r="G92"/>
  <c r="F92"/>
  <c r="E92"/>
  <c r="M89"/>
  <c r="L89"/>
  <c r="K89"/>
  <c r="J89"/>
  <c r="I89"/>
  <c r="H89"/>
  <c r="G89"/>
  <c r="F89"/>
  <c r="E89"/>
  <c r="Q86"/>
  <c r="P86"/>
  <c r="O86"/>
  <c r="N86"/>
  <c r="M86"/>
  <c r="L86"/>
  <c r="K86"/>
  <c r="J86"/>
  <c r="I86"/>
  <c r="H86"/>
  <c r="G86"/>
  <c r="F86"/>
  <c r="E86"/>
  <c r="Q83"/>
  <c r="M83"/>
  <c r="L83"/>
  <c r="K83"/>
  <c r="J83"/>
  <c r="I83"/>
  <c r="H83"/>
  <c r="G83"/>
  <c r="F83"/>
  <c r="E83"/>
  <c r="Q80"/>
  <c r="M80"/>
  <c r="L80"/>
  <c r="K80"/>
  <c r="J80"/>
  <c r="I80"/>
  <c r="H80"/>
  <c r="G80"/>
  <c r="F80"/>
  <c r="E80"/>
  <c r="M77"/>
  <c r="L77"/>
  <c r="K77"/>
  <c r="J77"/>
  <c r="I77"/>
  <c r="H77"/>
  <c r="G77"/>
  <c r="F77"/>
  <c r="E77"/>
  <c r="Q74"/>
  <c r="P74"/>
  <c r="O74"/>
  <c r="N74"/>
  <c r="M74"/>
  <c r="L74"/>
  <c r="K74"/>
  <c r="J74"/>
  <c r="I74"/>
  <c r="H74"/>
  <c r="G74"/>
  <c r="F74"/>
  <c r="E74"/>
  <c r="Q71"/>
  <c r="M71"/>
  <c r="L71"/>
  <c r="K71"/>
  <c r="J71"/>
  <c r="I71"/>
  <c r="H71"/>
  <c r="G71"/>
  <c r="F71"/>
  <c r="E71"/>
  <c r="Q68"/>
  <c r="P68"/>
  <c r="O68"/>
  <c r="N68"/>
  <c r="M68"/>
  <c r="L68"/>
  <c r="K68"/>
  <c r="J68"/>
  <c r="I68"/>
  <c r="H68"/>
  <c r="G68"/>
  <c r="F68"/>
  <c r="E68"/>
  <c r="Q65"/>
  <c r="M65"/>
  <c r="L65"/>
  <c r="K65"/>
  <c r="J65"/>
  <c r="I65"/>
  <c r="H65"/>
  <c r="G65"/>
  <c r="R63" s="1"/>
  <c r="F65"/>
  <c r="E65"/>
  <c r="M62"/>
  <c r="L62"/>
  <c r="K62"/>
  <c r="J62"/>
  <c r="I62"/>
  <c r="H62"/>
  <c r="G62"/>
  <c r="F62"/>
  <c r="E62"/>
  <c r="Q59"/>
  <c r="P59"/>
  <c r="O59"/>
  <c r="N59"/>
  <c r="M59"/>
  <c r="L59"/>
  <c r="K59"/>
  <c r="J59"/>
  <c r="I59"/>
  <c r="H59"/>
  <c r="G59"/>
  <c r="F59"/>
  <c r="E59"/>
  <c r="Q56"/>
  <c r="M56"/>
  <c r="L56"/>
  <c r="K56"/>
  <c r="J56"/>
  <c r="I56"/>
  <c r="H56"/>
  <c r="G56"/>
  <c r="F56"/>
  <c r="E56"/>
  <c r="Q53"/>
  <c r="M53"/>
  <c r="L53"/>
  <c r="K53"/>
  <c r="J53"/>
  <c r="I53"/>
  <c r="H53"/>
  <c r="G53"/>
  <c r="F53"/>
  <c r="E53"/>
  <c r="M50"/>
  <c r="L50"/>
  <c r="K50"/>
  <c r="J50"/>
  <c r="I50"/>
  <c r="H50"/>
  <c r="G50"/>
  <c r="F50"/>
  <c r="E50"/>
  <c r="Q47"/>
  <c r="P47"/>
  <c r="O47"/>
  <c r="N47"/>
  <c r="M47"/>
  <c r="L47"/>
  <c r="K47"/>
  <c r="J47"/>
  <c r="I47"/>
  <c r="H47"/>
  <c r="G47"/>
  <c r="F47"/>
  <c r="E47"/>
  <c r="Q44"/>
  <c r="M44"/>
  <c r="L44"/>
  <c r="K44"/>
  <c r="J44"/>
  <c r="I44"/>
  <c r="H44"/>
  <c r="G44"/>
  <c r="F44"/>
  <c r="E44"/>
  <c r="Q41"/>
  <c r="M41"/>
  <c r="L41"/>
  <c r="K41"/>
  <c r="J41"/>
  <c r="I41"/>
  <c r="H41"/>
  <c r="G41"/>
  <c r="F41"/>
  <c r="E41"/>
  <c r="M38"/>
  <c r="L38"/>
  <c r="K38"/>
  <c r="J38"/>
  <c r="I38"/>
  <c r="H38"/>
  <c r="G38"/>
  <c r="F38"/>
  <c r="E38"/>
  <c r="Q35"/>
  <c r="P35"/>
  <c r="O35"/>
  <c r="N35"/>
  <c r="M35"/>
  <c r="L35"/>
  <c r="K35"/>
  <c r="J35"/>
  <c r="I35"/>
  <c r="H35"/>
  <c r="G35"/>
  <c r="F35"/>
  <c r="E35"/>
  <c r="Q32"/>
  <c r="M32"/>
  <c r="L32"/>
  <c r="K32"/>
  <c r="J32"/>
  <c r="I32"/>
  <c r="H32"/>
  <c r="G32"/>
  <c r="F32"/>
  <c r="E32"/>
  <c r="Q29"/>
  <c r="M29"/>
  <c r="L29"/>
  <c r="K29"/>
  <c r="J29"/>
  <c r="I29"/>
  <c r="H29"/>
  <c r="G29"/>
  <c r="F29"/>
  <c r="E29"/>
  <c r="M26"/>
  <c r="L26"/>
  <c r="K26"/>
  <c r="J26"/>
  <c r="I26"/>
  <c r="H26"/>
  <c r="G26"/>
  <c r="R24" s="1"/>
  <c r="F26"/>
  <c r="E26"/>
  <c r="Q23"/>
  <c r="P23"/>
  <c r="O23"/>
  <c r="N23"/>
  <c r="M23"/>
  <c r="L23"/>
  <c r="K23"/>
  <c r="J23"/>
  <c r="I23"/>
  <c r="H23"/>
  <c r="G23"/>
  <c r="F23"/>
  <c r="E23"/>
  <c r="Q20"/>
  <c r="M20"/>
  <c r="L20"/>
  <c r="K20"/>
  <c r="J20"/>
  <c r="I20"/>
  <c r="H20"/>
  <c r="G20"/>
  <c r="F20"/>
  <c r="E20"/>
  <c r="L34" i="6"/>
  <c r="L35" s="1"/>
  <c r="L37" s="1"/>
  <c r="E34"/>
  <c r="E35" s="1"/>
  <c r="E36" s="1"/>
  <c r="R34"/>
  <c r="R35" s="1"/>
  <c r="P34"/>
  <c r="P35" s="1"/>
  <c r="P37" s="1"/>
  <c r="P33"/>
  <c r="M34"/>
  <c r="M35"/>
  <c r="M37" s="1"/>
  <c r="J34"/>
  <c r="J35" s="1"/>
  <c r="I34"/>
  <c r="I35"/>
  <c r="I33"/>
  <c r="I36" s="1"/>
  <c r="F34"/>
  <c r="F35" s="1"/>
  <c r="C34"/>
  <c r="C35" s="1"/>
  <c r="B34"/>
  <c r="B35" s="1"/>
  <c r="B37" s="1"/>
  <c r="B33"/>
  <c r="R33"/>
  <c r="R36" s="1"/>
  <c r="R37"/>
  <c r="M33"/>
  <c r="L33"/>
  <c r="J33"/>
  <c r="J37" s="1"/>
  <c r="F33"/>
  <c r="E33"/>
  <c r="C33"/>
  <c r="L180" i="4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E74"/>
  <c r="L74" s="1"/>
  <c r="E73"/>
  <c r="L73" s="1"/>
  <c r="E72"/>
  <c r="L72" s="1"/>
  <c r="E71"/>
  <c r="L71" s="1"/>
  <c r="E70"/>
  <c r="L70" s="1"/>
  <c r="E69"/>
  <c r="L69"/>
  <c r="E68"/>
  <c r="L68" s="1"/>
  <c r="E67"/>
  <c r="L67"/>
  <c r="E66"/>
  <c r="L66" s="1"/>
  <c r="E65"/>
  <c r="L65" s="1"/>
  <c r="E64"/>
  <c r="L64" s="1"/>
  <c r="E63"/>
  <c r="L63" s="1"/>
  <c r="E62"/>
  <c r="L62" s="1"/>
  <c r="E61"/>
  <c r="L61"/>
  <c r="E60"/>
  <c r="L60" s="1"/>
  <c r="E59"/>
  <c r="L59"/>
  <c r="E58"/>
  <c r="L58" s="1"/>
  <c r="E57"/>
  <c r="L57" s="1"/>
  <c r="E56"/>
  <c r="L56" s="1"/>
  <c r="E55"/>
  <c r="L55" s="1"/>
  <c r="E54"/>
  <c r="L54" s="1"/>
  <c r="E53"/>
  <c r="L53"/>
  <c r="E52"/>
  <c r="L52" s="1"/>
  <c r="E51"/>
  <c r="L51"/>
  <c r="E50"/>
  <c r="L50" s="1"/>
  <c r="E49"/>
  <c r="L49" s="1"/>
  <c r="E48"/>
  <c r="L48" s="1"/>
  <c r="E47"/>
  <c r="L47" s="1"/>
  <c r="E46"/>
  <c r="L46" s="1"/>
  <c r="E45"/>
  <c r="L45"/>
  <c r="E44"/>
  <c r="L44" s="1"/>
  <c r="E43"/>
  <c r="L43"/>
  <c r="E42"/>
  <c r="L42" s="1"/>
  <c r="E41"/>
  <c r="L41" s="1"/>
  <c r="E40"/>
  <c r="L40" s="1"/>
  <c r="E39"/>
  <c r="L39" s="1"/>
  <c r="E38"/>
  <c r="L38" s="1"/>
  <c r="E37"/>
  <c r="L37"/>
  <c r="E36"/>
  <c r="L36" s="1"/>
  <c r="E35"/>
  <c r="L35"/>
  <c r="E34"/>
  <c r="L34" s="1"/>
  <c r="E33"/>
  <c r="L33" s="1"/>
  <c r="E32"/>
  <c r="L32" s="1"/>
  <c r="E31"/>
  <c r="L31" s="1"/>
  <c r="E30"/>
  <c r="L30" s="1"/>
  <c r="E29"/>
  <c r="L29"/>
  <c r="E28"/>
  <c r="L28" s="1"/>
  <c r="E27"/>
  <c r="L27"/>
  <c r="E26"/>
  <c r="L26" s="1"/>
  <c r="E25"/>
  <c r="L25" s="1"/>
  <c r="E24"/>
  <c r="L24" s="1"/>
  <c r="E23"/>
  <c r="L23" s="1"/>
  <c r="E22"/>
  <c r="L22" s="1"/>
  <c r="E21"/>
  <c r="L21"/>
  <c r="E20"/>
  <c r="L20" s="1"/>
  <c r="E19"/>
  <c r="L19"/>
  <c r="E18"/>
  <c r="L18" s="1"/>
  <c r="E17"/>
  <c r="L17" s="1"/>
  <c r="E16"/>
  <c r="L16" s="1"/>
  <c r="E15"/>
  <c r="L15" s="1"/>
  <c r="E14"/>
  <c r="L14" s="1"/>
  <c r="E13"/>
  <c r="L13"/>
  <c r="E12"/>
  <c r="L12" s="1"/>
  <c r="E11"/>
  <c r="L11"/>
  <c r="C36" i="6"/>
  <c r="L36"/>
  <c r="Q48" i="8" l="1"/>
  <c r="R48"/>
  <c r="AF42"/>
  <c r="AH42"/>
  <c r="P48"/>
  <c r="S48" s="1"/>
  <c r="AG42"/>
  <c r="AG34"/>
  <c r="AH34"/>
  <c r="AF34"/>
  <c r="AG27"/>
  <c r="AF27"/>
  <c r="AH27"/>
  <c r="AF19"/>
  <c r="AH19"/>
  <c r="AG19"/>
  <c r="S525" i="5"/>
  <c r="R525"/>
  <c r="U525" s="1"/>
  <c r="W525" s="1"/>
  <c r="T525"/>
  <c r="S528"/>
  <c r="U528" s="1"/>
  <c r="T528"/>
  <c r="W528" s="1"/>
  <c r="T531"/>
  <c r="W531" s="1"/>
  <c r="T534"/>
  <c r="W534" s="1"/>
  <c r="V369"/>
  <c r="V639"/>
  <c r="R60"/>
  <c r="V561"/>
  <c r="V603"/>
  <c r="V657"/>
  <c r="S21"/>
  <c r="R30"/>
  <c r="V645"/>
  <c r="R207"/>
  <c r="V324"/>
  <c r="T510"/>
  <c r="W510" s="1"/>
  <c r="V663"/>
  <c r="T408"/>
  <c r="V570"/>
  <c r="V576"/>
  <c r="V618"/>
  <c r="F37" i="6"/>
  <c r="F36"/>
  <c r="E37"/>
  <c r="R486" i="5"/>
  <c r="S519"/>
  <c r="V585"/>
  <c r="V615"/>
  <c r="I37" i="6"/>
  <c r="B36"/>
  <c r="P36"/>
  <c r="S195" i="5"/>
  <c r="V279"/>
  <c r="T288"/>
  <c r="W288" s="1"/>
  <c r="S351"/>
  <c r="S522"/>
  <c r="V528"/>
  <c r="V591"/>
  <c r="V597"/>
  <c r="V600"/>
  <c r="V624"/>
  <c r="V633"/>
  <c r="V636"/>
  <c r="V648"/>
  <c r="V660"/>
  <c r="S495"/>
  <c r="J36" i="6"/>
  <c r="C37"/>
  <c r="M36"/>
  <c r="S189" i="5"/>
  <c r="T222"/>
  <c r="R252"/>
  <c r="T465"/>
  <c r="W465" s="1"/>
  <c r="R522"/>
  <c r="V573"/>
  <c r="V579"/>
  <c r="V606"/>
  <c r="V621"/>
  <c r="V630"/>
  <c r="V654"/>
  <c r="V651"/>
  <c r="V666"/>
  <c r="V75"/>
  <c r="T129"/>
  <c r="W129" s="1"/>
  <c r="R132"/>
  <c r="T204"/>
  <c r="V396"/>
  <c r="V399"/>
  <c r="R405"/>
  <c r="V456"/>
  <c r="V465"/>
  <c r="V555"/>
  <c r="V513"/>
  <c r="V564"/>
  <c r="V567"/>
  <c r="V582"/>
  <c r="V588"/>
  <c r="V594"/>
  <c r="V609"/>
  <c r="V612"/>
  <c r="V627"/>
  <c r="V642"/>
  <c r="S516"/>
  <c r="R516"/>
  <c r="U516" s="1"/>
  <c r="U513"/>
  <c r="T513"/>
  <c r="R519"/>
  <c r="V522"/>
  <c r="T522"/>
  <c r="W522" s="1"/>
  <c r="T516"/>
  <c r="W516" s="1"/>
  <c r="U519"/>
  <c r="T519"/>
  <c r="W519" s="1"/>
  <c r="T42"/>
  <c r="V48"/>
  <c r="R66"/>
  <c r="R81"/>
  <c r="S84"/>
  <c r="T213"/>
  <c r="S219"/>
  <c r="V258"/>
  <c r="R297"/>
  <c r="V306"/>
  <c r="T315"/>
  <c r="T333"/>
  <c r="W333" s="1"/>
  <c r="T360"/>
  <c r="S375"/>
  <c r="T378"/>
  <c r="W378" s="1"/>
  <c r="R390"/>
  <c r="V417"/>
  <c r="R420"/>
  <c r="R453"/>
  <c r="S51"/>
  <c r="S87"/>
  <c r="T87"/>
  <c r="W87" s="1"/>
  <c r="T96"/>
  <c r="W96" s="1"/>
  <c r="V102"/>
  <c r="R117"/>
  <c r="V120"/>
  <c r="T150"/>
  <c r="W150" s="1"/>
  <c r="R156"/>
  <c r="T159"/>
  <c r="V231"/>
  <c r="R234"/>
  <c r="R261"/>
  <c r="R342"/>
  <c r="V351"/>
  <c r="T381"/>
  <c r="W381" s="1"/>
  <c r="T429"/>
  <c r="W429" s="1"/>
  <c r="T483"/>
  <c r="S18"/>
  <c r="T54"/>
  <c r="R126"/>
  <c r="V141"/>
  <c r="R168"/>
  <c r="V174"/>
  <c r="T243"/>
  <c r="W243" s="1"/>
  <c r="T270"/>
  <c r="V303"/>
  <c r="R306"/>
  <c r="V348"/>
  <c r="R393"/>
  <c r="R438"/>
  <c r="R447"/>
  <c r="T180"/>
  <c r="V504"/>
  <c r="V525"/>
  <c r="V36"/>
  <c r="T36"/>
  <c r="W36" s="1"/>
  <c r="R54"/>
  <c r="V57"/>
  <c r="R72"/>
  <c r="R87"/>
  <c r="S102"/>
  <c r="V117"/>
  <c r="R123"/>
  <c r="S144"/>
  <c r="V147"/>
  <c r="S150"/>
  <c r="V162"/>
  <c r="T168"/>
  <c r="T177"/>
  <c r="T195"/>
  <c r="W195" s="1"/>
  <c r="R210"/>
  <c r="T219"/>
  <c r="W219" s="1"/>
  <c r="R225"/>
  <c r="T225"/>
  <c r="T246"/>
  <c r="T249"/>
  <c r="R276"/>
  <c r="T291"/>
  <c r="T294"/>
  <c r="R321"/>
  <c r="T336"/>
  <c r="T339"/>
  <c r="R366"/>
  <c r="R381"/>
  <c r="V393"/>
  <c r="T396"/>
  <c r="T405"/>
  <c r="W405" s="1"/>
  <c r="R411"/>
  <c r="T411"/>
  <c r="R432"/>
  <c r="T435"/>
  <c r="S480"/>
  <c r="T480"/>
  <c r="W480" s="1"/>
  <c r="R507"/>
  <c r="S510"/>
  <c r="V519"/>
  <c r="V540"/>
  <c r="T18"/>
  <c r="S27"/>
  <c r="T27"/>
  <c r="T33"/>
  <c r="W33" s="1"/>
  <c r="T39"/>
  <c r="V51"/>
  <c r="V54"/>
  <c r="S66"/>
  <c r="R78"/>
  <c r="V99"/>
  <c r="V108"/>
  <c r="T108"/>
  <c r="W108" s="1"/>
  <c r="R129"/>
  <c r="R150"/>
  <c r="S171"/>
  <c r="S183"/>
  <c r="R198"/>
  <c r="T198"/>
  <c r="V210"/>
  <c r="R213"/>
  <c r="V216"/>
  <c r="S237"/>
  <c r="V240"/>
  <c r="R255"/>
  <c r="S267"/>
  <c r="S282"/>
  <c r="V285"/>
  <c r="R300"/>
  <c r="S312"/>
  <c r="S327"/>
  <c r="V330"/>
  <c r="R345"/>
  <c r="S357"/>
  <c r="S372"/>
  <c r="T399"/>
  <c r="V402"/>
  <c r="R423"/>
  <c r="R426"/>
  <c r="S429"/>
  <c r="R441"/>
  <c r="V444"/>
  <c r="R450"/>
  <c r="R468"/>
  <c r="T471"/>
  <c r="T501"/>
  <c r="V18"/>
  <c r="R21"/>
  <c r="U21" s="1"/>
  <c r="T45"/>
  <c r="W45" s="1"/>
  <c r="S60"/>
  <c r="T63"/>
  <c r="R69"/>
  <c r="T69"/>
  <c r="T90"/>
  <c r="R93"/>
  <c r="S99"/>
  <c r="T111"/>
  <c r="S135"/>
  <c r="V186"/>
  <c r="V189"/>
  <c r="R228"/>
  <c r="R243"/>
  <c r="V255"/>
  <c r="T258"/>
  <c r="V261"/>
  <c r="T267"/>
  <c r="W267" s="1"/>
  <c r="R273"/>
  <c r="T273"/>
  <c r="R288"/>
  <c r="V300"/>
  <c r="R303"/>
  <c r="T312"/>
  <c r="W312" s="1"/>
  <c r="R318"/>
  <c r="T318"/>
  <c r="R333"/>
  <c r="V345"/>
  <c r="T348"/>
  <c r="T357"/>
  <c r="W357" s="1"/>
  <c r="R363"/>
  <c r="T363"/>
  <c r="T384"/>
  <c r="T387"/>
  <c r="R414"/>
  <c r="V429"/>
  <c r="V441"/>
  <c r="T450"/>
  <c r="W450" s="1"/>
  <c r="R456"/>
  <c r="R462"/>
  <c r="S465"/>
  <c r="V474"/>
  <c r="R483"/>
  <c r="T495"/>
  <c r="W495" s="1"/>
  <c r="T30"/>
  <c r="T153"/>
  <c r="T174"/>
  <c r="W174" s="1"/>
  <c r="T201"/>
  <c r="S498"/>
  <c r="V21"/>
  <c r="V27"/>
  <c r="V30"/>
  <c r="R33"/>
  <c r="R36"/>
  <c r="S39"/>
  <c r="T48"/>
  <c r="W48" s="1"/>
  <c r="V60"/>
  <c r="V66"/>
  <c r="R75"/>
  <c r="V78"/>
  <c r="T78"/>
  <c r="V81"/>
  <c r="T81"/>
  <c r="V84"/>
  <c r="S93"/>
  <c r="T93"/>
  <c r="W93" s="1"/>
  <c r="S108"/>
  <c r="R111"/>
  <c r="T120"/>
  <c r="W120" s="1"/>
  <c r="S123"/>
  <c r="V126"/>
  <c r="R141"/>
  <c r="V144"/>
  <c r="R144"/>
  <c r="S156"/>
  <c r="T156"/>
  <c r="W156" s="1"/>
  <c r="S174"/>
  <c r="R177"/>
  <c r="T186"/>
  <c r="W186" s="1"/>
  <c r="V195"/>
  <c r="R204"/>
  <c r="T216"/>
  <c r="W216" s="1"/>
  <c r="R219"/>
  <c r="U219" s="1"/>
  <c r="R231"/>
  <c r="V234"/>
  <c r="T234"/>
  <c r="V237"/>
  <c r="R237"/>
  <c r="U237" s="1"/>
  <c r="R249"/>
  <c r="V264"/>
  <c r="R267"/>
  <c r="U267" s="1"/>
  <c r="R279"/>
  <c r="V282"/>
  <c r="R282"/>
  <c r="R294"/>
  <c r="V309"/>
  <c r="R312"/>
  <c r="R324"/>
  <c r="V327"/>
  <c r="T327"/>
  <c r="R339"/>
  <c r="V354"/>
  <c r="R357"/>
  <c r="U357" s="1"/>
  <c r="R369"/>
  <c r="V372"/>
  <c r="R372"/>
  <c r="V375"/>
  <c r="R375"/>
  <c r="U375" s="1"/>
  <c r="V378"/>
  <c r="R387"/>
  <c r="R396"/>
  <c r="R399"/>
  <c r="R402"/>
  <c r="V405"/>
  <c r="R417"/>
  <c r="V420"/>
  <c r="T420"/>
  <c r="V423"/>
  <c r="T423"/>
  <c r="V426"/>
  <c r="T426"/>
  <c r="W426" s="1"/>
  <c r="R429"/>
  <c r="R435"/>
  <c r="R444"/>
  <c r="V447"/>
  <c r="T447"/>
  <c r="V450"/>
  <c r="T459"/>
  <c r="V462"/>
  <c r="T462"/>
  <c r="W462" s="1"/>
  <c r="R465"/>
  <c r="R471"/>
  <c r="R504"/>
  <c r="V507"/>
  <c r="T507"/>
  <c r="W507" s="1"/>
  <c r="R510"/>
  <c r="U510" s="1"/>
  <c r="V516"/>
  <c r="V534"/>
  <c r="V549"/>
  <c r="V558"/>
  <c r="R18"/>
  <c r="T21"/>
  <c r="W21" s="1"/>
  <c r="T24"/>
  <c r="W24" s="1"/>
  <c r="S30"/>
  <c r="U30" s="1"/>
  <c r="S33"/>
  <c r="U33" s="1"/>
  <c r="S36"/>
  <c r="S42"/>
  <c r="R51"/>
  <c r="U51" s="1"/>
  <c r="S54"/>
  <c r="S57"/>
  <c r="T60"/>
  <c r="W60" s="1"/>
  <c r="S63"/>
  <c r="U63" s="1"/>
  <c r="W63" s="1"/>
  <c r="T66"/>
  <c r="W66" s="1"/>
  <c r="R96"/>
  <c r="T99"/>
  <c r="R102"/>
  <c r="V114"/>
  <c r="T123"/>
  <c r="S126"/>
  <c r="V129"/>
  <c r="T135"/>
  <c r="V165"/>
  <c r="S168"/>
  <c r="R180"/>
  <c r="V192"/>
  <c r="R195"/>
  <c r="S207"/>
  <c r="U207" s="1"/>
  <c r="T207"/>
  <c r="W207" s="1"/>
  <c r="S213"/>
  <c r="R222"/>
  <c r="V243"/>
  <c r="S252"/>
  <c r="U252" s="1"/>
  <c r="T252"/>
  <c r="W252" s="1"/>
  <c r="S258"/>
  <c r="S261"/>
  <c r="R270"/>
  <c r="T279"/>
  <c r="W279" s="1"/>
  <c r="V288"/>
  <c r="S297"/>
  <c r="T297"/>
  <c r="W297" s="1"/>
  <c r="S303"/>
  <c r="S306"/>
  <c r="R315"/>
  <c r="T324"/>
  <c r="W324" s="1"/>
  <c r="R327"/>
  <c r="V333"/>
  <c r="S342"/>
  <c r="T342"/>
  <c r="W342" s="1"/>
  <c r="S348"/>
  <c r="R360"/>
  <c r="T369"/>
  <c r="W369" s="1"/>
  <c r="V381"/>
  <c r="S390"/>
  <c r="T390"/>
  <c r="W390" s="1"/>
  <c r="S396"/>
  <c r="S399"/>
  <c r="S405"/>
  <c r="R408"/>
  <c r="S438"/>
  <c r="U438" s="1"/>
  <c r="T438"/>
  <c r="W438" s="1"/>
  <c r="S450"/>
  <c r="S453"/>
  <c r="T453"/>
  <c r="W453" s="1"/>
  <c r="R474"/>
  <c r="V477"/>
  <c r="T477"/>
  <c r="W477" s="1"/>
  <c r="R480"/>
  <c r="S486"/>
  <c r="T486"/>
  <c r="W486" s="1"/>
  <c r="R492"/>
  <c r="V495"/>
  <c r="V537"/>
  <c r="V543"/>
  <c r="V552"/>
  <c r="U168"/>
  <c r="T183"/>
  <c r="W183" s="1"/>
  <c r="T402"/>
  <c r="W402" s="1"/>
  <c r="T444"/>
  <c r="W444" s="1"/>
  <c r="T498"/>
  <c r="W498" s="1"/>
  <c r="V510"/>
  <c r="S24"/>
  <c r="U24" s="1"/>
  <c r="V33"/>
  <c r="R45"/>
  <c r="R48"/>
  <c r="T51"/>
  <c r="R57"/>
  <c r="U57" s="1"/>
  <c r="T72"/>
  <c r="W72" s="1"/>
  <c r="S78"/>
  <c r="S81"/>
  <c r="R90"/>
  <c r="V96"/>
  <c r="R99"/>
  <c r="V105"/>
  <c r="R108"/>
  <c r="S129"/>
  <c r="U129" s="1"/>
  <c r="S132"/>
  <c r="T132"/>
  <c r="W132" s="1"/>
  <c r="T138"/>
  <c r="R153"/>
  <c r="S159"/>
  <c r="R162"/>
  <c r="R171"/>
  <c r="T171"/>
  <c r="R174"/>
  <c r="R183"/>
  <c r="R186"/>
  <c r="R189"/>
  <c r="U189" s="1"/>
  <c r="R201"/>
  <c r="V219"/>
  <c r="S228"/>
  <c r="T228"/>
  <c r="W228" s="1"/>
  <c r="S234"/>
  <c r="S243"/>
  <c r="U243" s="1"/>
  <c r="R246"/>
  <c r="T255"/>
  <c r="W255" s="1"/>
  <c r="R258"/>
  <c r="V267"/>
  <c r="S276"/>
  <c r="T276"/>
  <c r="W276" s="1"/>
  <c r="S288"/>
  <c r="R291"/>
  <c r="T300"/>
  <c r="W300" s="1"/>
  <c r="V312"/>
  <c r="S321"/>
  <c r="T321"/>
  <c r="W321" s="1"/>
  <c r="S333"/>
  <c r="R336"/>
  <c r="T345"/>
  <c r="W345" s="1"/>
  <c r="R348"/>
  <c r="R351"/>
  <c r="U351" s="1"/>
  <c r="V357"/>
  <c r="S366"/>
  <c r="T366"/>
  <c r="W366" s="1"/>
  <c r="S381"/>
  <c r="R384"/>
  <c r="S414"/>
  <c r="T414"/>
  <c r="W414" s="1"/>
  <c r="S420"/>
  <c r="U420" s="1"/>
  <c r="S423"/>
  <c r="U423" s="1"/>
  <c r="W423" s="1"/>
  <c r="S432"/>
  <c r="T432"/>
  <c r="W432" s="1"/>
  <c r="S447"/>
  <c r="U447" s="1"/>
  <c r="W447" s="1"/>
  <c r="S468"/>
  <c r="U468" s="1"/>
  <c r="T468"/>
  <c r="W468" s="1"/>
  <c r="R477"/>
  <c r="V480"/>
  <c r="S483"/>
  <c r="S489"/>
  <c r="V492"/>
  <c r="T492"/>
  <c r="W492" s="1"/>
  <c r="R495"/>
  <c r="U495" s="1"/>
  <c r="R498"/>
  <c r="R501"/>
  <c r="V531"/>
  <c r="V546"/>
  <c r="R27"/>
  <c r="V45"/>
  <c r="T57"/>
  <c r="W57" s="1"/>
  <c r="V69"/>
  <c r="S69"/>
  <c r="S75"/>
  <c r="T75"/>
  <c r="W75" s="1"/>
  <c r="R84"/>
  <c r="V87"/>
  <c r="V90"/>
  <c r="S90"/>
  <c r="S96"/>
  <c r="T102"/>
  <c r="R105"/>
  <c r="V111"/>
  <c r="S111"/>
  <c r="S117"/>
  <c r="T117"/>
  <c r="W117" s="1"/>
  <c r="R120"/>
  <c r="R135"/>
  <c r="U135" s="1"/>
  <c r="R138"/>
  <c r="S141"/>
  <c r="T141"/>
  <c r="W141" s="1"/>
  <c r="T144"/>
  <c r="R147"/>
  <c r="V150"/>
  <c r="V153"/>
  <c r="S153"/>
  <c r="R159"/>
  <c r="U159" s="1"/>
  <c r="S162"/>
  <c r="T162"/>
  <c r="W162" s="1"/>
  <c r="R165"/>
  <c r="V177"/>
  <c r="S177"/>
  <c r="V180"/>
  <c r="S180"/>
  <c r="S186"/>
  <c r="T189"/>
  <c r="R192"/>
  <c r="V198"/>
  <c r="S198"/>
  <c r="V201"/>
  <c r="S201"/>
  <c r="V204"/>
  <c r="S204"/>
  <c r="S210"/>
  <c r="T210"/>
  <c r="W210" s="1"/>
  <c r="R216"/>
  <c r="V222"/>
  <c r="S222"/>
  <c r="U222" s="1"/>
  <c r="V225"/>
  <c r="S225"/>
  <c r="S231"/>
  <c r="T231"/>
  <c r="W231" s="1"/>
  <c r="T237"/>
  <c r="R240"/>
  <c r="V246"/>
  <c r="S246"/>
  <c r="V249"/>
  <c r="S249"/>
  <c r="S255"/>
  <c r="T261"/>
  <c r="R264"/>
  <c r="V270"/>
  <c r="S270"/>
  <c r="V273"/>
  <c r="S273"/>
  <c r="S279"/>
  <c r="T282"/>
  <c r="R285"/>
  <c r="V291"/>
  <c r="S291"/>
  <c r="U291" s="1"/>
  <c r="W291" s="1"/>
  <c r="V294"/>
  <c r="S294"/>
  <c r="S300"/>
  <c r="T303"/>
  <c r="T306"/>
  <c r="R309"/>
  <c r="V315"/>
  <c r="S315"/>
  <c r="V318"/>
  <c r="S318"/>
  <c r="S324"/>
  <c r="U324" s="1"/>
  <c r="R330"/>
  <c r="V336"/>
  <c r="S336"/>
  <c r="V339"/>
  <c r="S339"/>
  <c r="S345"/>
  <c r="T351"/>
  <c r="R354"/>
  <c r="V360"/>
  <c r="S360"/>
  <c r="V363"/>
  <c r="S363"/>
  <c r="S369"/>
  <c r="T372"/>
  <c r="T375"/>
  <c r="R378"/>
  <c r="V384"/>
  <c r="S384"/>
  <c r="V387"/>
  <c r="S387"/>
  <c r="U387" s="1"/>
  <c r="W387" s="1"/>
  <c r="S393"/>
  <c r="T393"/>
  <c r="W393" s="1"/>
  <c r="V408"/>
  <c r="S408"/>
  <c r="U408" s="1"/>
  <c r="W408" s="1"/>
  <c r="V411"/>
  <c r="S411"/>
  <c r="S417"/>
  <c r="T417"/>
  <c r="W417" s="1"/>
  <c r="V435"/>
  <c r="S435"/>
  <c r="S441"/>
  <c r="T441"/>
  <c r="W441" s="1"/>
  <c r="S456"/>
  <c r="T456"/>
  <c r="W456" s="1"/>
  <c r="R459"/>
  <c r="V471"/>
  <c r="S471"/>
  <c r="S474"/>
  <c r="T474"/>
  <c r="W474" s="1"/>
  <c r="V489"/>
  <c r="R489"/>
  <c r="V501"/>
  <c r="S501"/>
  <c r="S504"/>
  <c r="T504"/>
  <c r="W504" s="1"/>
  <c r="V24"/>
  <c r="V72"/>
  <c r="T84"/>
  <c r="W84" s="1"/>
  <c r="V93"/>
  <c r="S105"/>
  <c r="T105"/>
  <c r="W105" s="1"/>
  <c r="S120"/>
  <c r="T126"/>
  <c r="V132"/>
  <c r="V135"/>
  <c r="V138"/>
  <c r="S138"/>
  <c r="S147"/>
  <c r="T147"/>
  <c r="W147" s="1"/>
  <c r="V156"/>
  <c r="V159"/>
  <c r="S165"/>
  <c r="T165"/>
  <c r="W165" s="1"/>
  <c r="V183"/>
  <c r="S192"/>
  <c r="T192"/>
  <c r="W192" s="1"/>
  <c r="V207"/>
  <c r="V213"/>
  <c r="S216"/>
  <c r="V228"/>
  <c r="S240"/>
  <c r="T240"/>
  <c r="W240" s="1"/>
  <c r="V252"/>
  <c r="S264"/>
  <c r="T264"/>
  <c r="W264" s="1"/>
  <c r="V276"/>
  <c r="S285"/>
  <c r="T285"/>
  <c r="W285" s="1"/>
  <c r="V297"/>
  <c r="S309"/>
  <c r="T309"/>
  <c r="W309" s="1"/>
  <c r="V321"/>
  <c r="S330"/>
  <c r="T330"/>
  <c r="W330" s="1"/>
  <c r="V342"/>
  <c r="S354"/>
  <c r="T354"/>
  <c r="W354" s="1"/>
  <c r="V366"/>
  <c r="S378"/>
  <c r="V390"/>
  <c r="S402"/>
  <c r="V414"/>
  <c r="S426"/>
  <c r="V432"/>
  <c r="V438"/>
  <c r="S444"/>
  <c r="V453"/>
  <c r="V459"/>
  <c r="S459"/>
  <c r="S462"/>
  <c r="V468"/>
  <c r="S477"/>
  <c r="V486"/>
  <c r="T489"/>
  <c r="S492"/>
  <c r="V498"/>
  <c r="S507"/>
  <c r="U507" s="1"/>
  <c r="R39"/>
  <c r="R42"/>
  <c r="U42" s="1"/>
  <c r="S45"/>
  <c r="V39"/>
  <c r="V42"/>
  <c r="S48"/>
  <c r="V63"/>
  <c r="S72"/>
  <c r="V123"/>
  <c r="V168"/>
  <c r="V171"/>
  <c r="V483"/>
  <c r="AI42" i="8" l="1"/>
  <c r="AI34"/>
  <c r="AI27"/>
  <c r="AI19"/>
  <c r="W51" i="5"/>
  <c r="U141"/>
  <c r="U381"/>
  <c r="U171"/>
  <c r="U60"/>
  <c r="W222"/>
  <c r="U453"/>
  <c r="U306"/>
  <c r="W306" s="1"/>
  <c r="U477"/>
  <c r="U435"/>
  <c r="W435" s="1"/>
  <c r="U411"/>
  <c r="U360"/>
  <c r="U198"/>
  <c r="W198" s="1"/>
  <c r="U69"/>
  <c r="U27"/>
  <c r="W27" s="1"/>
  <c r="U432"/>
  <c r="U414"/>
  <c r="U366"/>
  <c r="U258"/>
  <c r="U234"/>
  <c r="W234" s="1"/>
  <c r="U78"/>
  <c r="U450"/>
  <c r="U390"/>
  <c r="U18"/>
  <c r="W18" s="1"/>
  <c r="U183"/>
  <c r="U66"/>
  <c r="U342"/>
  <c r="U87"/>
  <c r="U297"/>
  <c r="U45"/>
  <c r="W411"/>
  <c r="W360"/>
  <c r="W351"/>
  <c r="U246"/>
  <c r="W246" s="1"/>
  <c r="U255"/>
  <c r="U204"/>
  <c r="W204" s="1"/>
  <c r="U117"/>
  <c r="W69"/>
  <c r="W420"/>
  <c r="U492"/>
  <c r="U153"/>
  <c r="W153" s="1"/>
  <c r="U162"/>
  <c r="U81"/>
  <c r="W168"/>
  <c r="U480"/>
  <c r="U261"/>
  <c r="W261" s="1"/>
  <c r="U126"/>
  <c r="W126" s="1"/>
  <c r="U150"/>
  <c r="U405"/>
  <c r="U384"/>
  <c r="W384" s="1"/>
  <c r="U345"/>
  <c r="W159"/>
  <c r="U321"/>
  <c r="W258"/>
  <c r="U195"/>
  <c r="U339"/>
  <c r="W339" s="1"/>
  <c r="U486"/>
  <c r="U102"/>
  <c r="W102" s="1"/>
  <c r="W30"/>
  <c r="W375"/>
  <c r="U225"/>
  <c r="W225" s="1"/>
  <c r="U84"/>
  <c r="U504"/>
  <c r="U90"/>
  <c r="W90" s="1"/>
  <c r="U498"/>
  <c r="U288"/>
  <c r="U174"/>
  <c r="U132"/>
  <c r="U99"/>
  <c r="W99" s="1"/>
  <c r="W78"/>
  <c r="U156"/>
  <c r="U303"/>
  <c r="W303" s="1"/>
  <c r="U93"/>
  <c r="U213"/>
  <c r="W213" s="1"/>
  <c r="U54"/>
  <c r="W54" s="1"/>
  <c r="W42"/>
  <c r="U393"/>
  <c r="U249"/>
  <c r="W249" s="1"/>
  <c r="W135"/>
  <c r="U348"/>
  <c r="W348" s="1"/>
  <c r="U402"/>
  <c r="U501"/>
  <c r="W501" s="1"/>
  <c r="U429"/>
  <c r="U144"/>
  <c r="W144" s="1"/>
  <c r="U522"/>
  <c r="W513"/>
  <c r="U138"/>
  <c r="W138" s="1"/>
  <c r="U369"/>
  <c r="U441"/>
  <c r="U417"/>
  <c r="U318"/>
  <c r="W318" s="1"/>
  <c r="U294"/>
  <c r="W294" s="1"/>
  <c r="U75"/>
  <c r="W81"/>
  <c r="U39"/>
  <c r="W39" s="1"/>
  <c r="U462"/>
  <c r="U300"/>
  <c r="U276"/>
  <c r="U228"/>
  <c r="W171"/>
  <c r="U108"/>
  <c r="U483"/>
  <c r="W483" s="1"/>
  <c r="U426"/>
  <c r="U210"/>
  <c r="U123"/>
  <c r="W123" s="1"/>
  <c r="U72"/>
  <c r="U336"/>
  <c r="W336" s="1"/>
  <c r="W189"/>
  <c r="U327"/>
  <c r="W327" s="1"/>
  <c r="U312"/>
  <c r="U444"/>
  <c r="U363"/>
  <c r="W363" s="1"/>
  <c r="U273"/>
  <c r="W273" s="1"/>
  <c r="W237"/>
  <c r="U201"/>
  <c r="W201" s="1"/>
  <c r="U333"/>
  <c r="U372"/>
  <c r="W372" s="1"/>
  <c r="U282"/>
  <c r="W282" s="1"/>
  <c r="U177"/>
  <c r="W177" s="1"/>
  <c r="U456"/>
  <c r="U315"/>
  <c r="W315" s="1"/>
  <c r="U465"/>
  <c r="U399"/>
  <c r="W399" s="1"/>
  <c r="U48"/>
  <c r="U489"/>
  <c r="W489" s="1"/>
  <c r="U471"/>
  <c r="W471" s="1"/>
  <c r="U330"/>
  <c r="U279"/>
  <c r="U240"/>
  <c r="U180"/>
  <c r="W180" s="1"/>
  <c r="U111"/>
  <c r="W111" s="1"/>
  <c r="U96"/>
  <c r="U474"/>
  <c r="U270"/>
  <c r="W270" s="1"/>
  <c r="U231"/>
  <c r="U186"/>
  <c r="U36"/>
  <c r="U396"/>
  <c r="W396" s="1"/>
  <c r="U459"/>
  <c r="W459" s="1"/>
  <c r="U309"/>
  <c r="U285"/>
  <c r="U105"/>
  <c r="U378"/>
  <c r="U354"/>
  <c r="U264"/>
  <c r="U192"/>
  <c r="U120"/>
  <c r="U147"/>
  <c r="U216"/>
  <c r="U165"/>
</calcChain>
</file>

<file path=xl/sharedStrings.xml><?xml version="1.0" encoding="utf-8"?>
<sst xmlns="http://schemas.openxmlformats.org/spreadsheetml/2006/main" count="1545" uniqueCount="189">
  <si>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</si>
  <si>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</si>
  <si>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</si>
  <si>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</si>
  <si>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</si>
  <si>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</si>
  <si>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</si>
  <si>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</si>
  <si>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</si>
  <si>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</si>
  <si>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</si>
  <si>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</si>
  <si>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</si>
  <si>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</si>
  <si>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</si>
  <si>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</si>
  <si>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</si>
  <si>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</si>
  <si>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</si>
  <si>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</si>
  <si>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</si>
  <si>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</si>
  <si>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</si>
  <si>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</si>
  <si>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</si>
  <si>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</si>
  <si>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</si>
  <si>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</si>
  <si>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</si>
  <si>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</si>
  <si>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</si>
  <si>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</si>
  <si>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</si>
  <si>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</si>
  <si>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</si>
  <si>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</si>
  <si>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</si>
  <si>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</si>
  <si>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</si>
  <si>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</si>
  <si>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</si>
  <si>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</si>
  <si>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</si>
  <si>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</si>
  <si>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</si>
  <si>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</si>
  <si>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</si>
  <si>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</si>
  <si>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Pre CP</t>
  </si>
  <si>
    <t>Post CP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</si>
  <si>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</si>
  <si>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</si>
  <si>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</si>
  <si>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</si>
  <si>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</si>
  <si>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</si>
  <si>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</si>
  <si>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</si>
  <si>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</si>
  <si>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</si>
  <si>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</si>
  <si>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</si>
  <si>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</si>
  <si>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</si>
  <si>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</si>
  <si>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</si>
  <si>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</si>
  <si>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</si>
  <si>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</si>
  <si>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</si>
  <si>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</si>
  <si>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</si>
  <si>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</si>
  <si>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</si>
  <si>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</si>
  <si>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</si>
  <si>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</si>
  <si>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</si>
  <si>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</si>
  <si>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</si>
  <si>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</si>
  <si>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</si>
  <si>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</si>
  <si>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</si>
  <si>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</si>
  <si>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</si>
  <si>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</si>
  <si>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</si>
  <si>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</si>
  <si>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</si>
  <si>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</si>
  <si>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</si>
  <si>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</si>
  <si>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</si>
  <si>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</si>
  <si>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</si>
  <si>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</si>
  <si>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</si>
  <si>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</si>
  <si>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</si>
  <si>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</si>
  <si>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</si>
  <si>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</si>
  <si>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</si>
  <si>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</si>
  <si>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</si>
  <si>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</si>
  <si>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</si>
  <si>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</si>
  <si>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</si>
  <si>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</si>
  <si>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</si>
  <si>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</si>
  <si>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</si>
  <si>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</si>
  <si>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</si>
  <si>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</si>
  <si>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</si>
  <si>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</si>
  <si>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</si>
  <si>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</si>
  <si>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</si>
  <si>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</si>
  <si>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</si>
  <si>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</si>
  <si>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</si>
  <si>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</si>
  <si>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</si>
  <si>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</si>
  <si>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</si>
  <si>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</si>
  <si>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</si>
  <si>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</si>
  <si>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</si>
  <si>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</si>
  <si>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</si>
  <si>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</si>
  <si>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</si>
  <si>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</si>
  <si>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</si>
  <si>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</si>
  <si>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</si>
  <si>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</si>
  <si>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</si>
  <si>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</si>
  <si>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</si>
  <si>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</si>
  <si>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</si>
  <si>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</si>
  <si>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</si>
  <si>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Etch Rate (A/Min)</t>
  </si>
  <si>
    <t>Lot ID</t>
  </si>
  <si>
    <t>Issue with measurement recipe</t>
  </si>
  <si>
    <t xml:space="preserve">Q17040034.F1                          </t>
  </si>
  <si>
    <t>After Fab UP</t>
  </si>
  <si>
    <t>% Uni</t>
  </si>
  <si>
    <t>Thickness  (Å)</t>
  </si>
  <si>
    <t>PRE LPDN 107 POST LPDN 307</t>
  </si>
  <si>
    <t>x</t>
  </si>
  <si>
    <t>y</t>
  </si>
  <si>
    <t>BPSC_CS</t>
  </si>
  <si>
    <t>PRE LPDN 02 POST LPDN 18</t>
  </si>
  <si>
    <t>particle size - 0.16</t>
  </si>
  <si>
    <t>LOAD
LOCK</t>
  </si>
  <si>
    <t>&gt;0.16u</t>
  </si>
  <si>
    <t>&gt;0.5u</t>
  </si>
  <si>
    <t>AC</t>
  </si>
  <si>
    <t>Delta CP 0.16u</t>
  </si>
  <si>
    <t>Delta CP 0.5u</t>
  </si>
  <si>
    <t>Delta CP AC</t>
  </si>
  <si>
    <t>RESP1B ARC ER, Recipe time = 20 seconds (CF4 100 sccm)</t>
  </si>
  <si>
    <t>Site #</t>
  </si>
  <si>
    <t>%Uni</t>
  </si>
  <si>
    <t>∆/Time = ER (Å/min)</t>
  </si>
  <si>
    <t>ER</t>
  </si>
  <si>
    <t>Max</t>
  </si>
  <si>
    <t>Min</t>
  </si>
  <si>
    <t>∆/Time =
ER (Å/min)</t>
  </si>
  <si>
    <t>REOX1B</t>
  </si>
  <si>
    <r>
      <t xml:space="preserve"> ARC ER in </t>
    </r>
    <r>
      <rPr>
        <b/>
        <sz val="12"/>
        <color theme="1"/>
        <rFont val="Calibri"/>
        <family val="2"/>
        <scheme val="minor"/>
      </rPr>
      <t>2.BARC-ER</t>
    </r>
    <r>
      <rPr>
        <sz val="12"/>
        <color theme="1"/>
        <rFont val="Calibri"/>
        <family val="2"/>
        <scheme val="minor"/>
      </rPr>
      <t>, Recipe time = 20 seconds (</t>
    </r>
    <r>
      <rPr>
        <b/>
        <sz val="12"/>
        <color rgb="FFFF0000"/>
        <rFont val="Calibri"/>
        <family val="2"/>
        <scheme val="minor"/>
      </rPr>
      <t>CF4 = 100 sccm</t>
    </r>
    <r>
      <rPr>
        <sz val="12"/>
        <color theme="1"/>
        <rFont val="Calibri"/>
        <family val="2"/>
        <scheme val="minor"/>
      </rPr>
      <t>)</t>
    </r>
  </si>
  <si>
    <r>
      <t xml:space="preserve"> ARC ER in</t>
    </r>
    <r>
      <rPr>
        <b/>
        <sz val="12"/>
        <color theme="1"/>
        <rFont val="Calibri"/>
        <family val="2"/>
        <scheme val="minor"/>
      </rPr>
      <t xml:space="preserve"> BARCER1-33S</t>
    </r>
    <r>
      <rPr>
        <sz val="12"/>
        <color theme="1"/>
        <rFont val="Calibri"/>
        <family val="2"/>
        <scheme val="minor"/>
      </rPr>
      <t>, Recipe time = 33 seconds (O2 = 40 sccm, N2 = 80 sccm, Pressure = 15 mT), MTOP2</t>
    </r>
  </si>
  <si>
    <r>
      <t xml:space="preserve"> ARC ER, Recipe time = 20 seconds (O2 = 40 sccm, N2 = 80 sccm, </t>
    </r>
    <r>
      <rPr>
        <b/>
        <sz val="12"/>
        <color theme="1"/>
        <rFont val="Calibri"/>
        <family val="2"/>
        <scheme val="minor"/>
      </rPr>
      <t xml:space="preserve">Pressure = 40 mT, </t>
    </r>
    <r>
      <rPr>
        <b/>
        <sz val="12"/>
        <color rgb="FFFF0000"/>
        <rFont val="Calibri"/>
        <family val="2"/>
        <scheme val="minor"/>
      </rPr>
      <t>M.F. = 30 Gauss</t>
    </r>
    <r>
      <rPr>
        <sz val="12"/>
        <color theme="1"/>
        <rFont val="Calibri"/>
        <family val="2"/>
        <scheme val="minor"/>
      </rPr>
      <t>), MTOP2</t>
    </r>
  </si>
  <si>
    <r>
      <t xml:space="preserve"> ARC ER, Recipe time = 20 seconds (O2 = 40 sccm, N2 = 80 sccm, 40 mT, </t>
    </r>
    <r>
      <rPr>
        <b/>
        <sz val="12"/>
        <color theme="1"/>
        <rFont val="Calibri"/>
        <family val="2"/>
        <scheme val="minor"/>
      </rPr>
      <t>M.F. = 0 Gauss</t>
    </r>
    <r>
      <rPr>
        <sz val="12"/>
        <color theme="1"/>
        <rFont val="Calibri"/>
        <family val="2"/>
        <scheme val="minor"/>
      </rPr>
      <t>), MTOP2</t>
    </r>
  </si>
  <si>
    <r>
      <t xml:space="preserve"> </t>
    </r>
    <r>
      <rPr>
        <b/>
        <sz val="12"/>
        <color theme="1"/>
        <rFont val="Calibri"/>
        <family val="2"/>
        <scheme val="minor"/>
      </rPr>
      <t>PR ER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Recipe time = 28 seconds</t>
    </r>
    <r>
      <rPr>
        <sz val="12"/>
        <color theme="1"/>
        <rFont val="Calibri"/>
        <family val="2"/>
        <scheme val="minor"/>
      </rPr>
      <t xml:space="preserve"> (O2 = 40 sccm, N2 = 80 sccm, 40 mT, 0 Gauss), MTOP1</t>
    </r>
  </si>
  <si>
    <r>
      <rPr>
        <b/>
        <sz val="12"/>
        <color theme="1"/>
        <rFont val="Calibri"/>
        <family val="2"/>
        <scheme val="minor"/>
      </rPr>
      <t>TiN ER, Recipe time = 28 seconds</t>
    </r>
    <r>
      <rPr>
        <sz val="12"/>
        <color theme="1"/>
        <rFont val="Calibri"/>
        <family val="2"/>
        <scheme val="minor"/>
      </rPr>
      <t xml:space="preserve"> (O2 = 40 sccm, N2 = 80 sccm, 40 mT, 0 Gauss), XRA</t>
    </r>
  </si>
  <si>
    <t>Following experiment has been performed after running 7 Bare-Si seasoning wafers in METAL BARC ER recipe (28 seconds per wafer)</t>
  </si>
  <si>
    <r>
      <t xml:space="preserve">ARC ER in </t>
    </r>
    <r>
      <rPr>
        <b/>
        <sz val="12"/>
        <color theme="1"/>
        <rFont val="Calibri"/>
        <family val="2"/>
        <scheme val="minor"/>
      </rPr>
      <t xml:space="preserve">B:CS-BARC-ER </t>
    </r>
    <r>
      <rPr>
        <sz val="12"/>
        <color theme="1"/>
        <rFont val="Calibri"/>
        <family val="2"/>
        <scheme val="minor"/>
      </rPr>
      <t>(standard BARC ER recipe of the tool), Recipe time = 30 seconds, (</t>
    </r>
    <r>
      <rPr>
        <b/>
        <sz val="12"/>
        <color rgb="FFFF0000"/>
        <rFont val="Calibri"/>
        <family val="2"/>
        <scheme val="minor"/>
      </rPr>
      <t>CF4 = 100 sccm</t>
    </r>
    <r>
      <rPr>
        <sz val="12"/>
        <color theme="1"/>
        <rFont val="Calibri"/>
        <family val="2"/>
        <scheme val="minor"/>
      </rPr>
      <t>), MTOP2</t>
    </r>
  </si>
  <si>
    <t>In first attempt, 30 seconds time was given. But BARC got etched completely on the wafer periphery. So, in 2nd attempt, 20 seconds time was given.</t>
  </si>
  <si>
    <t>For REOX1B, only a single recipe has been made named as: METAL BARC ER. This recipe will be edited on daily basis depending upon the need of experiments.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</si>
</sst>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_ ;\-0.00\ "/>
    <numFmt numFmtId="167" formatCode="m/d/yyyy;@"/>
    <numFmt numFmtId="168" formatCode="m/d;@"/>
  </numFmts>
  <fonts count="3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thick">
        <color indexed="64"/>
      </bottom>
      <diagonal/>
    </border>
    <border>
      <left style="thin">
        <color rgb="FF000000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rgb="FF000000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n">
        <color rgb="FF000000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0" fontId="9" fillId="0" borderId="0"/>
  </cellStyleXfs>
  <cellXfs count="329">
    <xf numFmtId="0" fontId="0" fillId="0" borderId="0" xfId="0"/>
    <xf numFmtId="0" fontId="3" fillId="0" borderId="0" xfId="0" applyFont="1"/>
    <xf numFmtId="0" fontId="6" fillId="2" borderId="0" xfId="1" applyFont="1" applyFill="1" applyAlignment="1"/>
    <xf numFmtId="0" fontId="5" fillId="2" borderId="4" xfId="1" applyFont="1" applyFill="1" applyBorder="1" applyAlignment="1"/>
    <xf numFmtId="0" fontId="8" fillId="0" borderId="0" xfId="1" applyFont="1" applyBorder="1"/>
    <xf numFmtId="0" fontId="5" fillId="2" borderId="0" xfId="1" applyFont="1" applyFill="1" applyBorder="1" applyAlignment="1"/>
    <xf numFmtId="0" fontId="7" fillId="2" borderId="0" xfId="1" applyFont="1" applyFill="1" applyBorder="1" applyAlignment="1"/>
    <xf numFmtId="0" fontId="5" fillId="2" borderId="5" xfId="1" applyFont="1" applyFill="1" applyBorder="1" applyAlignment="1">
      <alignment horizontal="right"/>
    </xf>
    <xf numFmtId="0" fontId="9" fillId="2" borderId="0" xfId="1" applyFont="1" applyFill="1" applyAlignment="1"/>
    <xf numFmtId="0" fontId="10" fillId="2" borderId="0" xfId="1" applyFont="1" applyFill="1" applyAlignment="1"/>
    <xf numFmtId="0" fontId="4" fillId="0" borderId="0" xfId="1"/>
    <xf numFmtId="0" fontId="5" fillId="2" borderId="4" xfId="1" applyFont="1" applyFill="1" applyBorder="1" applyAlignment="1">
      <alignment horizontal="left"/>
    </xf>
    <xf numFmtId="0" fontId="8" fillId="2" borderId="0" xfId="1" applyFont="1" applyFill="1" applyBorder="1"/>
    <xf numFmtId="0" fontId="10" fillId="0" borderId="0" xfId="1" applyFont="1" applyBorder="1" applyAlignment="1"/>
    <xf numFmtId="0" fontId="11" fillId="0" borderId="0" xfId="1" applyFont="1" applyBorder="1" applyAlignment="1">
      <alignment wrapText="1"/>
    </xf>
    <xf numFmtId="0" fontId="7" fillId="2" borderId="5" xfId="1" applyFont="1" applyFill="1" applyBorder="1" applyAlignment="1"/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12" fillId="0" borderId="9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/>
    </xf>
    <xf numFmtId="0" fontId="10" fillId="0" borderId="0" xfId="1" applyFont="1" applyBorder="1"/>
    <xf numFmtId="0" fontId="8" fillId="0" borderId="9" xfId="1" applyFont="1" applyBorder="1" applyAlignment="1">
      <alignment horizontal="center"/>
    </xf>
    <xf numFmtId="0" fontId="8" fillId="0" borderId="9" xfId="1" applyFont="1" applyBorder="1" applyAlignment="1">
      <alignment horizontal="center" wrapText="1"/>
    </xf>
    <xf numFmtId="0" fontId="13" fillId="0" borderId="9" xfId="1" applyFont="1" applyBorder="1" applyAlignment="1"/>
    <xf numFmtId="0" fontId="9" fillId="0" borderId="9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8" fillId="0" borderId="0" xfId="1" applyFont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8" fillId="2" borderId="0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4" fillId="0" borderId="9" xfId="1" applyBorder="1"/>
    <xf numFmtId="0" fontId="9" fillId="0" borderId="9" xfId="1" applyFont="1" applyBorder="1" applyAlignment="1">
      <alignment horizontal="center" wrapText="1"/>
    </xf>
    <xf numFmtId="0" fontId="9" fillId="0" borderId="9" xfId="1" applyFont="1" applyBorder="1" applyAlignment="1">
      <alignment wrapText="1"/>
    </xf>
    <xf numFmtId="0" fontId="9" fillId="0" borderId="9" xfId="1" applyFont="1" applyBorder="1" applyAlignment="1" applyProtection="1">
      <alignment wrapText="1"/>
    </xf>
    <xf numFmtId="0" fontId="13" fillId="0" borderId="9" xfId="1" applyFont="1" applyBorder="1" applyAlignment="1">
      <alignment wrapText="1"/>
    </xf>
    <xf numFmtId="0" fontId="9" fillId="0" borderId="9" xfId="1" applyFont="1" applyBorder="1" applyAlignment="1">
      <alignment horizontal="center"/>
    </xf>
    <xf numFmtId="0" fontId="9" fillId="0" borderId="11" xfId="1" applyFont="1" applyFill="1" applyBorder="1" applyAlignment="1">
      <alignment horizontal="center" wrapText="1"/>
    </xf>
    <xf numFmtId="0" fontId="9" fillId="0" borderId="11" xfId="1" applyFont="1" applyFill="1" applyBorder="1" applyAlignment="1">
      <alignment wrapText="1"/>
    </xf>
    <xf numFmtId="0" fontId="9" fillId="0" borderId="11" xfId="1" applyFont="1" applyFill="1" applyBorder="1" applyAlignment="1" applyProtection="1">
      <alignment wrapText="1"/>
    </xf>
    <xf numFmtId="0" fontId="9" fillId="0" borderId="11" xfId="1" applyFont="1" applyFill="1" applyBorder="1" applyAlignment="1">
      <alignment horizontal="center"/>
    </xf>
    <xf numFmtId="0" fontId="13" fillId="0" borderId="11" xfId="1" applyFont="1" applyFill="1" applyBorder="1" applyAlignment="1">
      <alignment wrapText="1"/>
    </xf>
    <xf numFmtId="0" fontId="9" fillId="0" borderId="11" xfId="1" applyFont="1" applyFill="1" applyBorder="1" applyAlignment="1"/>
    <xf numFmtId="0" fontId="9" fillId="0" borderId="9" xfId="1" applyFont="1" applyFill="1" applyBorder="1" applyAlignment="1">
      <alignment horizontal="center" wrapText="1"/>
    </xf>
    <xf numFmtId="0" fontId="9" fillId="0" borderId="9" xfId="1" applyFont="1" applyFill="1" applyBorder="1" applyAlignment="1">
      <alignment wrapText="1"/>
    </xf>
    <xf numFmtId="0" fontId="9" fillId="0" borderId="9" xfId="1" applyFont="1" applyFill="1" applyBorder="1" applyAlignment="1" applyProtection="1">
      <alignment wrapText="1"/>
    </xf>
    <xf numFmtId="0" fontId="13" fillId="0" borderId="9" xfId="1" applyFont="1" applyFill="1" applyBorder="1" applyAlignment="1">
      <alignment wrapText="1"/>
    </xf>
    <xf numFmtId="0" fontId="9" fillId="0" borderId="9" xfId="1" applyFont="1" applyFill="1" applyBorder="1" applyAlignment="1">
      <alignment horizontal="center"/>
    </xf>
    <xf numFmtId="0" fontId="9" fillId="0" borderId="9" xfId="1" applyFont="1" applyFill="1" applyBorder="1" applyAlignment="1"/>
    <xf numFmtId="0" fontId="4" fillId="0" borderId="9" xfId="1" applyFill="1" applyBorder="1"/>
    <xf numFmtId="0" fontId="4" fillId="0" borderId="9" xfId="1" applyBorder="1" applyAlignment="1">
      <alignment horizontal="center"/>
    </xf>
    <xf numFmtId="0" fontId="4" fillId="0" borderId="0" xfId="1" applyAlignment="1">
      <alignment horizontal="center"/>
    </xf>
    <xf numFmtId="0" fontId="5" fillId="2" borderId="9" xfId="1" applyFont="1" applyFill="1" applyBorder="1" applyAlignment="1"/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0" xfId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5" fillId="2" borderId="5" xfId="1" applyFont="1" applyFill="1" applyBorder="1" applyAlignment="1">
      <alignment horizontal="center"/>
    </xf>
    <xf numFmtId="0" fontId="9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5" fillId="2" borderId="0" xfId="1" applyFont="1" applyFill="1" applyBorder="1" applyAlignment="1">
      <alignment horizontal="left"/>
    </xf>
    <xf numFmtId="0" fontId="7" fillId="2" borderId="9" xfId="1" applyFont="1" applyFill="1" applyBorder="1" applyAlignment="1"/>
    <xf numFmtId="0" fontId="7" fillId="2" borderId="5" xfId="1" applyFont="1" applyFill="1" applyBorder="1" applyAlignment="1">
      <alignment horizontal="center"/>
    </xf>
    <xf numFmtId="0" fontId="7" fillId="2" borderId="9" xfId="1" applyFont="1" applyFill="1" applyBorder="1" applyAlignment="1">
      <alignment horizontal="center"/>
    </xf>
    <xf numFmtId="0" fontId="7" fillId="2" borderId="14" xfId="1" applyFont="1" applyFill="1" applyBorder="1" applyAlignment="1"/>
    <xf numFmtId="0" fontId="8" fillId="2" borderId="9" xfId="1" applyFont="1" applyFill="1" applyBorder="1"/>
    <xf numFmtId="0" fontId="4" fillId="2" borderId="0" xfId="1" applyFill="1" applyBorder="1" applyAlignment="1">
      <alignment horizontal="center" vertical="center"/>
    </xf>
    <xf numFmtId="0" fontId="4" fillId="0" borderId="5" xfId="1" applyBorder="1" applyAlignment="1">
      <alignment horizontal="center" vertical="center"/>
    </xf>
    <xf numFmtId="0" fontId="8" fillId="2" borderId="14" xfId="1" applyFont="1" applyFill="1" applyBorder="1" applyAlignment="1"/>
    <xf numFmtId="0" fontId="4" fillId="0" borderId="9" xfId="1" applyBorder="1" applyAlignment="1">
      <alignment horizontal="left"/>
    </xf>
    <xf numFmtId="0" fontId="8" fillId="2" borderId="9" xfId="1" applyFont="1" applyFill="1" applyBorder="1" applyAlignment="1"/>
    <xf numFmtId="0" fontId="8" fillId="2" borderId="9" xfId="1" applyFont="1" applyFill="1" applyBorder="1" applyAlignment="1">
      <alignment horizontal="left"/>
    </xf>
    <xf numFmtId="164" fontId="4" fillId="0" borderId="0" xfId="1" applyNumberFormat="1" applyAlignment="1">
      <alignment horizontal="center" vertical="center"/>
    </xf>
    <xf numFmtId="0" fontId="8" fillId="0" borderId="10" xfId="1" applyFont="1" applyBorder="1" applyAlignment="1">
      <alignment horizontal="center" vertical="top" wrapText="1"/>
    </xf>
    <xf numFmtId="0" fontId="8" fillId="0" borderId="11" xfId="1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top"/>
    </xf>
    <xf numFmtId="0" fontId="15" fillId="0" borderId="0" xfId="1" applyFont="1"/>
    <xf numFmtId="0" fontId="9" fillId="0" borderId="10" xfId="1" applyFont="1" applyFill="1" applyBorder="1" applyAlignment="1">
      <alignment horizontal="center" wrapText="1"/>
    </xf>
    <xf numFmtId="0" fontId="15" fillId="0" borderId="0" xfId="1" applyFont="1" applyBorder="1" applyAlignment="1">
      <alignment horizontal="center" vertical="center"/>
    </xf>
    <xf numFmtId="0" fontId="9" fillId="0" borderId="29" xfId="1" applyFont="1" applyFill="1" applyBorder="1" applyAlignment="1">
      <alignment horizontal="center" wrapText="1"/>
    </xf>
    <xf numFmtId="0" fontId="8" fillId="0" borderId="21" xfId="1" applyNumberFormat="1" applyFont="1" applyBorder="1" applyAlignment="1">
      <alignment horizontal="center" vertical="top" wrapText="1"/>
    </xf>
    <xf numFmtId="0" fontId="8" fillId="0" borderId="24" xfId="1" applyNumberFormat="1" applyFont="1" applyBorder="1" applyAlignment="1">
      <alignment horizontal="center" vertical="top" wrapText="1"/>
    </xf>
    <xf numFmtId="0" fontId="8" fillId="0" borderId="32" xfId="1" applyNumberFormat="1" applyFont="1" applyBorder="1" applyAlignment="1">
      <alignment horizontal="center" vertical="top" wrapText="1"/>
    </xf>
    <xf numFmtId="0" fontId="4" fillId="0" borderId="21" xfId="1" applyBorder="1" applyAlignment="1">
      <alignment horizontal="center"/>
    </xf>
    <xf numFmtId="0" fontId="4" fillId="0" borderId="24" xfId="1" applyBorder="1" applyAlignment="1">
      <alignment horizontal="center"/>
    </xf>
    <xf numFmtId="0" fontId="4" fillId="0" borderId="32" xfId="1" applyBorder="1" applyAlignment="1">
      <alignment horizontal="center"/>
    </xf>
    <xf numFmtId="0" fontId="4" fillId="0" borderId="0" xfId="1" applyBorder="1" applyAlignment="1">
      <alignment horizontal="center"/>
    </xf>
    <xf numFmtId="0" fontId="4" fillId="0" borderId="36" xfId="1" applyBorder="1" applyAlignment="1">
      <alignment horizontal="center"/>
    </xf>
    <xf numFmtId="0" fontId="4" fillId="0" borderId="18" xfId="1" applyBorder="1" applyAlignment="1">
      <alignment horizontal="center"/>
    </xf>
    <xf numFmtId="0" fontId="4" fillId="0" borderId="31" xfId="1" applyBorder="1" applyAlignment="1">
      <alignment horizontal="center"/>
    </xf>
    <xf numFmtId="0" fontId="4" fillId="0" borderId="20" xfId="1" applyBorder="1" applyAlignment="1">
      <alignment horizontal="center"/>
    </xf>
    <xf numFmtId="0" fontId="4" fillId="0" borderId="23" xfId="1" applyBorder="1" applyAlignment="1">
      <alignment horizontal="center"/>
    </xf>
    <xf numFmtId="0" fontId="4" fillId="0" borderId="25" xfId="1" applyBorder="1" applyAlignment="1">
      <alignment horizontal="center"/>
    </xf>
    <xf numFmtId="0" fontId="4" fillId="0" borderId="27" xfId="1" applyBorder="1" applyAlignment="1">
      <alignment horizontal="center"/>
    </xf>
    <xf numFmtId="0" fontId="4" fillId="0" borderId="38" xfId="1" applyBorder="1" applyAlignment="1">
      <alignment horizontal="center" vertical="center"/>
    </xf>
    <xf numFmtId="0" fontId="9" fillId="0" borderId="0" xfId="1" applyFont="1" applyAlignment="1">
      <alignment horizontal="center"/>
    </xf>
    <xf numFmtId="166" fontId="9" fillId="0" borderId="0" xfId="2" applyNumberFormat="1" applyAlignment="1">
      <alignment horizontal="center" vertical="center"/>
    </xf>
    <xf numFmtId="166" fontId="9" fillId="0" borderId="0" xfId="2" applyNumberFormat="1" applyFont="1" applyAlignment="1">
      <alignment horizontal="center" vertical="center"/>
    </xf>
    <xf numFmtId="0" fontId="9" fillId="0" borderId="0" xfId="2" applyFont="1"/>
    <xf numFmtId="0" fontId="9" fillId="0" borderId="0" xfId="2"/>
    <xf numFmtId="165" fontId="8" fillId="0" borderId="10" xfId="2" applyNumberFormat="1" applyFont="1" applyFill="1" applyBorder="1" applyAlignment="1">
      <alignment vertical="top" wrapText="1"/>
    </xf>
    <xf numFmtId="165" fontId="8" fillId="0" borderId="16" xfId="2" applyNumberFormat="1" applyFont="1" applyFill="1" applyBorder="1" applyAlignment="1">
      <alignment vertical="top" wrapText="1"/>
    </xf>
    <xf numFmtId="0" fontId="9" fillId="0" borderId="12" xfId="2" applyFont="1" applyFill="1" applyBorder="1" applyAlignment="1">
      <alignment horizontal="center" wrapText="1"/>
    </xf>
    <xf numFmtId="165" fontId="8" fillId="0" borderId="11" xfId="2" applyNumberFormat="1" applyFont="1" applyFill="1" applyBorder="1" applyAlignment="1">
      <alignment vertical="top" wrapText="1"/>
    </xf>
    <xf numFmtId="166" fontId="18" fillId="0" borderId="0" xfId="2" applyNumberFormat="1" applyFont="1" applyAlignment="1">
      <alignment horizontal="center" vertical="center"/>
    </xf>
    <xf numFmtId="0" fontId="9" fillId="0" borderId="9" xfId="1" applyFont="1" applyBorder="1"/>
    <xf numFmtId="0" fontId="19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top"/>
    </xf>
    <xf numFmtId="0" fontId="20" fillId="0" borderId="0" xfId="0" applyFont="1"/>
    <xf numFmtId="164" fontId="21" fillId="0" borderId="39" xfId="0" applyNumberFormat="1" applyFont="1" applyBorder="1" applyAlignment="1">
      <alignment horizontal="center" vertical="top" wrapText="1"/>
    </xf>
    <xf numFmtId="0" fontId="21" fillId="0" borderId="40" xfId="0" applyFont="1" applyBorder="1" applyAlignment="1">
      <alignment horizontal="center" vertical="top" wrapText="1"/>
    </xf>
    <xf numFmtId="0" fontId="21" fillId="0" borderId="40" xfId="0" applyFont="1" applyBorder="1" applyAlignment="1">
      <alignment horizontal="center" vertical="top"/>
    </xf>
    <xf numFmtId="0" fontId="22" fillId="0" borderId="40" xfId="0" applyFont="1" applyBorder="1" applyAlignment="1">
      <alignment horizontal="center" vertical="top"/>
    </xf>
    <xf numFmtId="0" fontId="22" fillId="0" borderId="41" xfId="0" applyFont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164" fontId="8" fillId="0" borderId="9" xfId="1" applyNumberFormat="1" applyFont="1" applyFill="1" applyBorder="1" applyAlignment="1">
      <alignment horizontal="center" vertical="top" wrapText="1"/>
    </xf>
    <xf numFmtId="164" fontId="8" fillId="0" borderId="0" xfId="1" applyNumberFormat="1" applyFont="1" applyAlignment="1">
      <alignment horizontal="center"/>
    </xf>
    <xf numFmtId="164" fontId="8" fillId="0" borderId="9" xfId="1" applyNumberFormat="1" applyFont="1" applyBorder="1" applyAlignment="1">
      <alignment horizontal="center"/>
    </xf>
    <xf numFmtId="164" fontId="8" fillId="0" borderId="15" xfId="1" applyNumberFormat="1" applyFont="1" applyBorder="1" applyAlignment="1">
      <alignment horizontal="center" vertical="top" wrapText="1"/>
    </xf>
    <xf numFmtId="0" fontId="13" fillId="0" borderId="9" xfId="1" applyFont="1" applyBorder="1" applyAlignment="1">
      <alignment horizontal="center" wrapText="1"/>
    </xf>
    <xf numFmtId="167" fontId="24" fillId="0" borderId="10" xfId="0" applyNumberFormat="1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top" wrapText="1"/>
    </xf>
    <xf numFmtId="0" fontId="2" fillId="0" borderId="0" xfId="0" applyFont="1"/>
    <xf numFmtId="0" fontId="24" fillId="0" borderId="10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top" wrapText="1"/>
    </xf>
    <xf numFmtId="0" fontId="25" fillId="2" borderId="10" xfId="0" applyFont="1" applyFill="1" applyBorder="1" applyAlignment="1">
      <alignment vertical="center"/>
    </xf>
    <xf numFmtId="0" fontId="25" fillId="2" borderId="10" xfId="0" applyFont="1" applyFill="1" applyBorder="1" applyAlignment="1">
      <alignment horizontal="center" vertical="center"/>
    </xf>
    <xf numFmtId="168" fontId="26" fillId="0" borderId="39" xfId="0" applyNumberFormat="1" applyFont="1" applyBorder="1" applyAlignment="1">
      <alignment horizontal="center" vertical="top" wrapText="1"/>
    </xf>
    <xf numFmtId="0" fontId="26" fillId="0" borderId="40" xfId="0" applyFont="1" applyBorder="1" applyAlignment="1">
      <alignment horizontal="center" vertical="top" wrapText="1"/>
    </xf>
    <xf numFmtId="0" fontId="26" fillId="0" borderId="42" xfId="0" applyFont="1" applyBorder="1" applyAlignment="1">
      <alignment horizontal="center" vertical="top" wrapText="1"/>
    </xf>
    <xf numFmtId="2" fontId="26" fillId="0" borderId="40" xfId="0" applyNumberFormat="1" applyFont="1" applyBorder="1" applyAlignment="1">
      <alignment horizontal="center" vertical="top" wrapText="1"/>
    </xf>
    <xf numFmtId="0" fontId="26" fillId="0" borderId="40" xfId="0" applyFont="1" applyBorder="1" applyAlignment="1">
      <alignment horizontal="center" vertical="top"/>
    </xf>
    <xf numFmtId="0" fontId="26" fillId="0" borderId="43" xfId="0" applyFont="1" applyBorder="1" applyAlignment="1">
      <alignment horizontal="center" vertical="top" wrapText="1"/>
    </xf>
    <xf numFmtId="0" fontId="27" fillId="2" borderId="40" xfId="0" applyFont="1" applyFill="1" applyBorder="1" applyAlignment="1">
      <alignment horizontal="center" vertical="top"/>
    </xf>
    <xf numFmtId="0" fontId="27" fillId="2" borderId="41" xfId="0" applyFont="1" applyFill="1" applyBorder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5" fillId="2" borderId="0" xfId="1" applyFont="1" applyFill="1" applyBorder="1" applyAlignment="1">
      <alignment horizontal="center"/>
    </xf>
    <xf numFmtId="0" fontId="4" fillId="0" borderId="0" xfId="1" applyBorder="1" applyAlignment="1">
      <alignment horizontal="center" vertical="center"/>
    </xf>
    <xf numFmtId="164" fontId="8" fillId="0" borderId="15" xfId="1" applyNumberFormat="1" applyFont="1" applyBorder="1" applyAlignment="1">
      <alignment horizontal="center" vertical="center" wrapText="1"/>
    </xf>
    <xf numFmtId="164" fontId="8" fillId="0" borderId="26" xfId="1" applyNumberFormat="1" applyFont="1" applyBorder="1" applyAlignment="1">
      <alignment horizontal="center" vertical="center" wrapText="1"/>
    </xf>
    <xf numFmtId="164" fontId="8" fillId="0" borderId="10" xfId="1" applyNumberFormat="1" applyFont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/>
    </xf>
    <xf numFmtId="0" fontId="7" fillId="2" borderId="13" xfId="1" applyFont="1" applyFill="1" applyBorder="1" applyAlignment="1">
      <alignment horizontal="left"/>
    </xf>
    <xf numFmtId="0" fontId="8" fillId="2" borderId="13" xfId="1" applyFont="1" applyFill="1" applyBorder="1" applyAlignment="1">
      <alignment horizontal="left"/>
    </xf>
    <xf numFmtId="0" fontId="4" fillId="0" borderId="21" xfId="1" applyBorder="1" applyAlignment="1">
      <alignment horizontal="center" vertical="center"/>
    </xf>
    <xf numFmtId="0" fontId="4" fillId="0" borderId="24" xfId="1" applyBorder="1" applyAlignment="1">
      <alignment horizontal="center" vertical="center"/>
    </xf>
    <xf numFmtId="0" fontId="4" fillId="0" borderId="32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4" fillId="0" borderId="10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4" fillId="0" borderId="22" xfId="1" applyBorder="1" applyAlignment="1">
      <alignment horizontal="center" vertical="center" wrapText="1"/>
    </xf>
    <xf numFmtId="0" fontId="4" fillId="0" borderId="0" xfId="1" applyBorder="1" applyAlignment="1">
      <alignment horizontal="center" vertical="center" wrapText="1"/>
    </xf>
    <xf numFmtId="0" fontId="4" fillId="0" borderId="22" xfId="1" applyBorder="1" applyAlignment="1">
      <alignment horizontal="center" vertical="center"/>
    </xf>
    <xf numFmtId="0" fontId="4" fillId="0" borderId="26" xfId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/>
    </xf>
    <xf numFmtId="0" fontId="8" fillId="0" borderId="19" xfId="1" applyFont="1" applyBorder="1" applyAlignment="1">
      <alignment horizontal="center" vertical="top"/>
    </xf>
    <xf numFmtId="0" fontId="8" fillId="0" borderId="4" xfId="1" applyFont="1" applyBorder="1" applyAlignment="1">
      <alignment horizontal="center" vertical="top"/>
    </xf>
    <xf numFmtId="0" fontId="8" fillId="0" borderId="6" xfId="1" applyFont="1" applyBorder="1" applyAlignment="1">
      <alignment horizontal="center" vertical="top"/>
    </xf>
    <xf numFmtId="0" fontId="8" fillId="0" borderId="1" xfId="1" applyFont="1" applyBorder="1" applyAlignment="1">
      <alignment horizontal="center" vertical="top"/>
    </xf>
    <xf numFmtId="0" fontId="8" fillId="0" borderId="1" xfId="1" applyFont="1" applyFill="1" applyBorder="1" applyAlignment="1">
      <alignment horizontal="center" vertical="top"/>
    </xf>
    <xf numFmtId="0" fontId="8" fillId="0" borderId="4" xfId="1" applyFont="1" applyFill="1" applyBorder="1" applyAlignment="1">
      <alignment horizontal="center" vertical="top"/>
    </xf>
    <xf numFmtId="0" fontId="8" fillId="0" borderId="30" xfId="1" applyFont="1" applyFill="1" applyBorder="1" applyAlignment="1">
      <alignment horizontal="center" vertical="top"/>
    </xf>
    <xf numFmtId="0" fontId="8" fillId="0" borderId="11" xfId="1" applyFont="1" applyBorder="1" applyAlignment="1">
      <alignment horizontal="center" vertical="top"/>
    </xf>
    <xf numFmtId="0" fontId="8" fillId="0" borderId="12" xfId="1" applyFont="1" applyBorder="1" applyAlignment="1">
      <alignment horizontal="center" vertical="top"/>
    </xf>
    <xf numFmtId="0" fontId="8" fillId="0" borderId="11" xfId="1" applyFont="1" applyFill="1" applyBorder="1" applyAlignment="1">
      <alignment horizontal="center" vertical="top"/>
    </xf>
    <xf numFmtId="0" fontId="8" fillId="0" borderId="28" xfId="1" applyFont="1" applyFill="1" applyBorder="1" applyAlignment="1">
      <alignment horizontal="center" vertical="top"/>
    </xf>
    <xf numFmtId="0" fontId="8" fillId="0" borderId="16" xfId="1" applyFont="1" applyBorder="1" applyAlignment="1">
      <alignment horizontal="center" vertical="top"/>
    </xf>
    <xf numFmtId="0" fontId="8" fillId="0" borderId="10" xfId="1" applyFont="1" applyFill="1" applyBorder="1" applyAlignment="1">
      <alignment horizontal="center" vertical="top"/>
    </xf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5" fontId="17" fillId="2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8" fillId="0" borderId="16" xfId="1" applyFont="1" applyFill="1" applyBorder="1" applyAlignment="1">
      <alignment horizontal="center" vertical="top" wrapText="1"/>
    </xf>
    <xf numFmtId="165" fontId="8" fillId="0" borderId="16" xfId="1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top" wrapText="1"/>
    </xf>
    <xf numFmtId="165" fontId="8" fillId="0" borderId="11" xfId="1" applyNumberFormat="1" applyFont="1" applyFill="1" applyBorder="1" applyAlignment="1">
      <alignment horizontal="center" vertical="top" wrapText="1"/>
    </xf>
    <xf numFmtId="0" fontId="8" fillId="0" borderId="12" xfId="1" applyFont="1" applyFill="1" applyBorder="1" applyAlignment="1">
      <alignment horizontal="center" vertical="top" wrapText="1"/>
    </xf>
    <xf numFmtId="165" fontId="8" fillId="0" borderId="12" xfId="1" applyNumberFormat="1" applyFont="1" applyFill="1" applyBorder="1" applyAlignment="1">
      <alignment horizontal="center" vertical="top" wrapText="1"/>
    </xf>
    <xf numFmtId="0" fontId="8" fillId="0" borderId="10" xfId="1" applyFont="1" applyFill="1" applyBorder="1" applyAlignment="1">
      <alignment horizontal="center" vertical="top" wrapText="1"/>
    </xf>
    <xf numFmtId="165" fontId="8" fillId="0" borderId="10" xfId="1" applyNumberFormat="1" applyFont="1" applyFill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28" xfId="1" applyFont="1" applyFill="1" applyBorder="1" applyAlignment="1">
      <alignment horizontal="center" vertical="top" wrapText="1"/>
    </xf>
    <xf numFmtId="165" fontId="8" fillId="0" borderId="28" xfId="1" applyNumberFormat="1" applyFont="1" applyFill="1" applyBorder="1" applyAlignment="1">
      <alignment horizontal="center" vertical="top" wrapText="1"/>
    </xf>
    <xf numFmtId="165" fontId="4" fillId="0" borderId="0" xfId="1" applyNumberFormat="1" applyAlignment="1">
      <alignment horizontal="center"/>
    </xf>
    <xf numFmtId="0" fontId="8" fillId="0" borderId="16" xfId="1" applyFont="1" applyBorder="1" applyAlignment="1">
      <alignment horizontal="center" vertical="top" wrapText="1"/>
    </xf>
    <xf numFmtId="0" fontId="8" fillId="0" borderId="17" xfId="1" applyFont="1" applyFill="1" applyBorder="1" applyAlignment="1">
      <alignment horizontal="center" vertical="top" wrapText="1"/>
    </xf>
    <xf numFmtId="0" fontId="4" fillId="3" borderId="18" xfId="1" applyFill="1" applyBorder="1" applyAlignment="1">
      <alignment horizontal="center"/>
    </xf>
    <xf numFmtId="0" fontId="8" fillId="0" borderId="20" xfId="1" applyNumberFormat="1" applyFont="1" applyBorder="1" applyAlignment="1">
      <alignment horizontal="center" vertical="top" wrapText="1"/>
    </xf>
    <xf numFmtId="0" fontId="8" fillId="0" borderId="9" xfId="1" applyFont="1" applyFill="1" applyBorder="1" applyAlignment="1">
      <alignment horizontal="center" vertical="top" wrapText="1"/>
    </xf>
    <xf numFmtId="0" fontId="4" fillId="3" borderId="0" xfId="1" applyFill="1" applyBorder="1" applyAlignment="1">
      <alignment horizontal="center"/>
    </xf>
    <xf numFmtId="0" fontId="8" fillId="0" borderId="23" xfId="1" applyNumberFormat="1" applyFont="1" applyBorder="1" applyAlignment="1">
      <alignment horizontal="center" vertical="top" wrapText="1"/>
    </xf>
    <xf numFmtId="0" fontId="8" fillId="0" borderId="12" xfId="1" applyFont="1" applyBorder="1" applyAlignment="1">
      <alignment horizontal="center" vertical="top" wrapText="1"/>
    </xf>
    <xf numFmtId="0" fontId="8" fillId="0" borderId="25" xfId="1" applyNumberFormat="1" applyFont="1" applyBorder="1" applyAlignment="1">
      <alignment horizontal="center" vertical="top" wrapText="1"/>
    </xf>
    <xf numFmtId="0" fontId="8" fillId="0" borderId="27" xfId="1" applyNumberFormat="1" applyFont="1" applyBorder="1" applyAlignment="1">
      <alignment horizontal="center" vertical="top" wrapText="1"/>
    </xf>
    <xf numFmtId="0" fontId="4" fillId="3" borderId="9" xfId="1" applyFill="1" applyBorder="1" applyAlignment="1">
      <alignment horizontal="center"/>
    </xf>
    <xf numFmtId="0" fontId="8" fillId="0" borderId="28" xfId="1" applyFont="1" applyBorder="1" applyAlignment="1">
      <alignment horizontal="center" vertical="top" wrapText="1"/>
    </xf>
    <xf numFmtId="0" fontId="8" fillId="0" borderId="29" xfId="1" applyFont="1" applyFill="1" applyBorder="1" applyAlignment="1">
      <alignment horizontal="center" vertical="top" wrapText="1"/>
    </xf>
    <xf numFmtId="0" fontId="8" fillId="0" borderId="31" xfId="1" applyNumberFormat="1" applyFont="1" applyBorder="1" applyAlignment="1">
      <alignment horizontal="center" vertical="top" wrapText="1"/>
    </xf>
    <xf numFmtId="0" fontId="4" fillId="0" borderId="0" xfId="1" applyFill="1" applyBorder="1" applyAlignment="1">
      <alignment horizontal="center"/>
    </xf>
    <xf numFmtId="0" fontId="4" fillId="0" borderId="18" xfId="1" applyFill="1" applyBorder="1" applyAlignment="1">
      <alignment horizontal="center"/>
    </xf>
    <xf numFmtId="0" fontId="8" fillId="0" borderId="3" xfId="1" applyFont="1" applyBorder="1" applyAlignment="1">
      <alignment horizontal="center" vertical="top" wrapText="1"/>
    </xf>
    <xf numFmtId="0" fontId="8" fillId="0" borderId="5" xfId="1" applyFont="1" applyBorder="1" applyAlignment="1">
      <alignment horizontal="center" vertical="top" wrapText="1"/>
    </xf>
    <xf numFmtId="0" fontId="8" fillId="0" borderId="37" xfId="1" applyFont="1" applyBorder="1" applyAlignment="1">
      <alignment horizontal="center" vertical="top" wrapText="1"/>
    </xf>
    <xf numFmtId="164" fontId="8" fillId="0" borderId="12" xfId="1" applyNumberFormat="1" applyFont="1" applyFill="1" applyBorder="1" applyAlignment="1">
      <alignment horizontal="center" vertical="top" wrapText="1"/>
    </xf>
    <xf numFmtId="0" fontId="9" fillId="0" borderId="12" xfId="1" applyFont="1" applyBorder="1" applyAlignment="1">
      <alignment horizontal="center" wrapText="1"/>
    </xf>
    <xf numFmtId="0" fontId="9" fillId="0" borderId="12" xfId="1" applyFont="1" applyBorder="1" applyAlignment="1">
      <alignment wrapText="1"/>
    </xf>
    <xf numFmtId="0" fontId="9" fillId="0" borderId="12" xfId="1" applyFont="1" applyBorder="1" applyAlignment="1" applyProtection="1">
      <alignment wrapText="1"/>
    </xf>
    <xf numFmtId="0" fontId="13" fillId="0" borderId="12" xfId="1" applyFont="1" applyBorder="1" applyAlignment="1">
      <alignment horizontal="center" wrapText="1"/>
    </xf>
    <xf numFmtId="0" fontId="13" fillId="0" borderId="12" xfId="1" applyFont="1" applyBorder="1" applyAlignment="1">
      <alignment wrapText="1"/>
    </xf>
    <xf numFmtId="0" fontId="9" fillId="0" borderId="12" xfId="1" applyFont="1" applyBorder="1" applyAlignment="1">
      <alignment horizontal="center"/>
    </xf>
    <xf numFmtId="0" fontId="9" fillId="0" borderId="12" xfId="1" applyFont="1" applyBorder="1" applyAlignment="1"/>
    <xf numFmtId="0" fontId="4" fillId="0" borderId="12" xfId="1" applyBorder="1"/>
    <xf numFmtId="0" fontId="4" fillId="0" borderId="9" xfId="1" applyFont="1" applyBorder="1" applyAlignment="1"/>
    <xf numFmtId="0" fontId="7" fillId="2" borderId="0" xfId="1" applyFont="1" applyFill="1" applyBorder="1" applyAlignment="1">
      <alignment horizontal="right"/>
    </xf>
    <xf numFmtId="167" fontId="24" fillId="0" borderId="5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top" wrapText="1"/>
    </xf>
    <xf numFmtId="0" fontId="25" fillId="2" borderId="11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left" vertical="top" wrapText="1"/>
    </xf>
    <xf numFmtId="0" fontId="25" fillId="2" borderId="4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vertical="center"/>
    </xf>
    <xf numFmtId="0" fontId="7" fillId="2" borderId="2" xfId="1" applyFont="1" applyFill="1" applyBorder="1" applyAlignment="1"/>
    <xf numFmtId="0" fontId="26" fillId="0" borderId="28" xfId="0" applyFont="1" applyBorder="1" applyAlignment="1">
      <alignment horizontal="center" vertical="top" wrapText="1"/>
    </xf>
    <xf numFmtId="0" fontId="1" fillId="0" borderId="9" xfId="0" applyFont="1" applyBorder="1"/>
    <xf numFmtId="0" fontId="1" fillId="0" borderId="29" xfId="0" applyFont="1" applyBorder="1"/>
    <xf numFmtId="0" fontId="1" fillId="0" borderId="14" xfId="0" applyFont="1" applyBorder="1"/>
    <xf numFmtId="0" fontId="7" fillId="2" borderId="0" xfId="1" applyFont="1" applyFill="1" applyBorder="1" applyAlignment="1">
      <alignment horizontal="center"/>
    </xf>
    <xf numFmtId="164" fontId="5" fillId="2" borderId="4" xfId="1" applyNumberFormat="1" applyFont="1" applyFill="1" applyBorder="1" applyAlignment="1">
      <alignment horizontal="center"/>
    </xf>
    <xf numFmtId="164" fontId="7" fillId="2" borderId="6" xfId="1" applyNumberFormat="1" applyFont="1" applyFill="1" applyBorder="1" applyAlignment="1">
      <alignment horizontal="center"/>
    </xf>
    <xf numFmtId="164" fontId="19" fillId="0" borderId="0" xfId="0" applyNumberFormat="1" applyFont="1" applyBorder="1" applyAlignment="1">
      <alignment horizontal="center" vertical="center" wrapText="1"/>
    </xf>
    <xf numFmtId="164" fontId="4" fillId="0" borderId="0" xfId="1" applyNumberFormat="1" applyAlignment="1">
      <alignment horizontal="center"/>
    </xf>
    <xf numFmtId="0" fontId="4" fillId="0" borderId="9" xfId="1" applyFont="1" applyBorder="1"/>
    <xf numFmtId="0" fontId="0" fillId="0" borderId="0" xfId="0" applyProtection="1">
      <protection locked="0"/>
    </xf>
    <xf numFmtId="0" fontId="22" fillId="0" borderId="40" xfId="0" applyFont="1" applyBorder="1" applyAlignment="1">
      <alignment horizontal="center" vertical="top" wrapText="1"/>
    </xf>
    <xf numFmtId="0" fontId="19" fillId="0" borderId="0" xfId="0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1" fontId="0" fillId="0" borderId="45" xfId="0" applyNumberFormat="1" applyBorder="1" applyAlignment="1">
      <alignment horizontal="center" vertical="center" wrapText="1"/>
    </xf>
    <xf numFmtId="1" fontId="0" fillId="0" borderId="47" xfId="0" applyNumberForma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15" fontId="29" fillId="0" borderId="0" xfId="0" applyNumberFormat="1" applyFont="1" applyAlignment="1">
      <alignment horizontal="center" vertical="center"/>
    </xf>
    <xf numFmtId="0" fontId="0" fillId="0" borderId="69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1" fontId="0" fillId="0" borderId="71" xfId="0" applyNumberFormat="1" applyBorder="1" applyAlignment="1">
      <alignment horizontal="center" vertical="center" wrapText="1"/>
    </xf>
    <xf numFmtId="1" fontId="0" fillId="0" borderId="58" xfId="0" applyNumberFormat="1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1" fontId="0" fillId="0" borderId="73" xfId="0" applyNumberFormat="1" applyBorder="1" applyAlignment="1">
      <alignment horizontal="center" vertical="center" wrapText="1"/>
    </xf>
    <xf numFmtId="1" fontId="0" fillId="0" borderId="48" xfId="0" applyNumberFormat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" fontId="0" fillId="0" borderId="75" xfId="0" applyNumberFormat="1" applyBorder="1" applyAlignment="1">
      <alignment horizontal="center" vertical="center" wrapText="1"/>
    </xf>
    <xf numFmtId="1" fontId="0" fillId="0" borderId="32" xfId="0" applyNumberFormat="1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" fontId="0" fillId="0" borderId="50" xfId="0" applyNumberForma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1" fontId="0" fillId="0" borderId="77" xfId="0" applyNumberFormat="1" applyBorder="1" applyAlignment="1">
      <alignment horizontal="center" vertical="center" wrapText="1"/>
    </xf>
    <xf numFmtId="1" fontId="0" fillId="0" borderId="78" xfId="0" applyNumberFormat="1" applyBorder="1" applyAlignment="1">
      <alignment horizontal="center" vertical="center" wrapText="1"/>
    </xf>
    <xf numFmtId="2" fontId="0" fillId="0" borderId="77" xfId="0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3" fillId="2" borderId="10" xfId="1" applyFont="1" applyFill="1" applyBorder="1" applyAlignment="1">
      <alignment horizontal="center" vertical="top"/>
    </xf>
    <xf numFmtId="0" fontId="13" fillId="2" borderId="11" xfId="1" applyFont="1" applyFill="1" applyBorder="1" applyAlignment="1">
      <alignment horizontal="center" vertical="top"/>
    </xf>
    <xf numFmtId="0" fontId="13" fillId="2" borderId="12" xfId="1" applyFont="1" applyFill="1" applyBorder="1" applyAlignment="1">
      <alignment horizontal="center" vertical="top"/>
    </xf>
    <xf numFmtId="0" fontId="9" fillId="0" borderId="9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9" fillId="0" borderId="10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top"/>
    </xf>
    <xf numFmtId="0" fontId="19" fillId="0" borderId="44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8" fillId="0" borderId="28" xfId="1" applyFont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1" fontId="0" fillId="0" borderId="64" xfId="0" applyNumberFormat="1" applyBorder="1" applyAlignment="1">
      <alignment horizontal="center" vertical="center" wrapText="1"/>
    </xf>
    <xf numFmtId="1" fontId="0" fillId="0" borderId="65" xfId="0" applyNumberFormat="1" applyBorder="1" applyAlignment="1">
      <alignment horizontal="center" vertical="center" wrapText="1"/>
    </xf>
    <xf numFmtId="1" fontId="0" fillId="0" borderId="80" xfId="0" applyNumberFormat="1" applyBorder="1" applyAlignment="1">
      <alignment horizontal="center" vertical="center" wrapText="1"/>
    </xf>
    <xf numFmtId="1" fontId="0" fillId="0" borderId="46" xfId="0" applyNumberFormat="1" applyBorder="1" applyAlignment="1">
      <alignment horizontal="center" vertical="center" wrapText="1"/>
    </xf>
    <xf numFmtId="1" fontId="0" fillId="0" borderId="54" xfId="0" applyNumberFormat="1" applyBorder="1" applyAlignment="1">
      <alignment horizontal="center" vertical="center" wrapText="1"/>
    </xf>
    <xf numFmtId="1" fontId="0" fillId="0" borderId="79" xfId="0" applyNumberFormat="1" applyBorder="1" applyAlignment="1">
      <alignment horizontal="center" vertical="center" wrapText="1"/>
    </xf>
    <xf numFmtId="1" fontId="0" fillId="0" borderId="49" xfId="0" applyNumberFormat="1" applyBorder="1" applyAlignment="1">
      <alignment horizontal="center" vertical="center" wrapText="1"/>
    </xf>
    <xf numFmtId="1" fontId="0" fillId="0" borderId="66" xfId="0" applyNumberFormat="1" applyBorder="1" applyAlignment="1">
      <alignment horizontal="center" vertical="center" wrapText="1"/>
    </xf>
    <xf numFmtId="2" fontId="0" fillId="0" borderId="60" xfId="0" applyNumberFormat="1" applyBorder="1" applyAlignment="1">
      <alignment horizontal="center" vertical="center" wrapText="1"/>
    </xf>
    <xf numFmtId="2" fontId="0" fillId="0" borderId="61" xfId="0" applyNumberFormat="1" applyBorder="1" applyAlignment="1">
      <alignment horizontal="center" vertical="center" wrapText="1"/>
    </xf>
    <xf numFmtId="2" fontId="0" fillId="0" borderId="64" xfId="0" applyNumberFormat="1" applyBorder="1" applyAlignment="1">
      <alignment horizontal="center" vertical="center" wrapText="1"/>
    </xf>
    <xf numFmtId="2" fontId="0" fillId="0" borderId="65" xfId="0" applyNumberFormat="1" applyBorder="1" applyAlignment="1">
      <alignment horizontal="center" vertical="center" wrapText="1"/>
    </xf>
    <xf numFmtId="2" fontId="0" fillId="0" borderId="80" xfId="0" applyNumberFormat="1" applyBorder="1" applyAlignment="1">
      <alignment horizontal="center" vertical="center" wrapText="1"/>
    </xf>
    <xf numFmtId="2" fontId="0" fillId="0" borderId="46" xfId="0" applyNumberFormat="1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2" fontId="0" fillId="0" borderId="79" xfId="0" applyNumberFormat="1" applyBorder="1" applyAlignment="1">
      <alignment horizontal="center" vertical="center" wrapText="1"/>
    </xf>
    <xf numFmtId="2" fontId="0" fillId="0" borderId="49" xfId="0" applyNumberFormat="1" applyBorder="1" applyAlignment="1">
      <alignment horizontal="center" vertical="center" wrapText="1"/>
    </xf>
    <xf numFmtId="2" fontId="0" fillId="0" borderId="66" xfId="0" applyNumberFormat="1" applyBorder="1" applyAlignment="1">
      <alignment horizontal="center" vertical="center" wrapText="1"/>
    </xf>
    <xf numFmtId="15" fontId="30" fillId="0" borderId="58" xfId="0" applyNumberFormat="1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58" xfId="0" applyBorder="1" applyAlignment="1">
      <alignment horizontal="left" vertical="center" wrapText="1"/>
    </xf>
  </cellXfs>
  <cellStyles count="3">
    <cellStyle name="Normal" xfId="0" builtinId="0"/>
    <cellStyle name="Normal 2" xfId="1"/>
    <cellStyle name="Normal 3" xfId="2"/>
  </cellStyles>
  <dxfs count="6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zoomScaleNormal="100" workbookViewId="0">
      <selection activeCell="G12" sqref="G12"/>
    </sheetView>
  </sheetViews>
  <sheetFormatPr defaultRowHeight="12.75" customHeight="1"/>
  <cols>
    <col min="1" max="1" width="9.75" style="10" customWidth="1"/>
    <col min="2" max="2" width="10.625" style="10" customWidth="1"/>
    <col min="3" max="3" width="6.75" style="10" customWidth="1"/>
    <col min="4" max="4" width="13" style="10" customWidth="1"/>
    <col min="5" max="5" width="6.25" style="10" customWidth="1"/>
    <col min="6" max="6" width="9.625" style="10" customWidth="1"/>
    <col min="7" max="7" width="27.875" style="10" customWidth="1"/>
    <col min="8" max="256" width="8.75" style="10"/>
    <col min="257" max="257" width="9.75" style="10" customWidth="1"/>
    <col min="258" max="258" width="10.625" style="10" customWidth="1"/>
    <col min="259" max="259" width="6.75" style="10" customWidth="1"/>
    <col min="260" max="260" width="13" style="10" customWidth="1"/>
    <col min="261" max="261" width="6.25" style="10" customWidth="1"/>
    <col min="262" max="262" width="9.625" style="10" customWidth="1"/>
    <col min="263" max="263" width="27.875" style="10" customWidth="1"/>
    <col min="264" max="512" width="8.75" style="10"/>
    <col min="513" max="513" width="9.75" style="10" customWidth="1"/>
    <col min="514" max="514" width="10.625" style="10" customWidth="1"/>
    <col min="515" max="515" width="6.75" style="10" customWidth="1"/>
    <col min="516" max="516" width="13" style="10" customWidth="1"/>
    <col min="517" max="517" width="6.25" style="10" customWidth="1"/>
    <col min="518" max="518" width="9.625" style="10" customWidth="1"/>
    <col min="519" max="519" width="27.875" style="10" customWidth="1"/>
    <col min="520" max="768" width="8.75" style="10"/>
    <col min="769" max="769" width="9.75" style="10" customWidth="1"/>
    <col min="770" max="770" width="10.625" style="10" customWidth="1"/>
    <col min="771" max="771" width="6.75" style="10" customWidth="1"/>
    <col min="772" max="772" width="13" style="10" customWidth="1"/>
    <col min="773" max="773" width="6.25" style="10" customWidth="1"/>
    <col min="774" max="774" width="9.625" style="10" customWidth="1"/>
    <col min="775" max="775" width="27.875" style="10" customWidth="1"/>
    <col min="776" max="1024" width="8.75" style="10"/>
    <col min="1025" max="1025" width="9.75" style="10" customWidth="1"/>
    <col min="1026" max="1026" width="10.625" style="10" customWidth="1"/>
    <col min="1027" max="1027" width="6.75" style="10" customWidth="1"/>
    <col min="1028" max="1028" width="13" style="10" customWidth="1"/>
    <col min="1029" max="1029" width="6.25" style="10" customWidth="1"/>
    <col min="1030" max="1030" width="9.625" style="10" customWidth="1"/>
    <col min="1031" max="1031" width="27.875" style="10" customWidth="1"/>
    <col min="1032" max="1280" width="8.75" style="10"/>
    <col min="1281" max="1281" width="9.75" style="10" customWidth="1"/>
    <col min="1282" max="1282" width="10.625" style="10" customWidth="1"/>
    <col min="1283" max="1283" width="6.75" style="10" customWidth="1"/>
    <col min="1284" max="1284" width="13" style="10" customWidth="1"/>
    <col min="1285" max="1285" width="6.25" style="10" customWidth="1"/>
    <col min="1286" max="1286" width="9.625" style="10" customWidth="1"/>
    <col min="1287" max="1287" width="27.875" style="10" customWidth="1"/>
    <col min="1288" max="1536" width="8.75" style="10"/>
    <col min="1537" max="1537" width="9.75" style="10" customWidth="1"/>
    <col min="1538" max="1538" width="10.625" style="10" customWidth="1"/>
    <col min="1539" max="1539" width="6.75" style="10" customWidth="1"/>
    <col min="1540" max="1540" width="13" style="10" customWidth="1"/>
    <col min="1541" max="1541" width="6.25" style="10" customWidth="1"/>
    <col min="1542" max="1542" width="9.625" style="10" customWidth="1"/>
    <col min="1543" max="1543" width="27.875" style="10" customWidth="1"/>
    <col min="1544" max="1792" width="8.75" style="10"/>
    <col min="1793" max="1793" width="9.75" style="10" customWidth="1"/>
    <col min="1794" max="1794" width="10.625" style="10" customWidth="1"/>
    <col min="1795" max="1795" width="6.75" style="10" customWidth="1"/>
    <col min="1796" max="1796" width="13" style="10" customWidth="1"/>
    <col min="1797" max="1797" width="6.25" style="10" customWidth="1"/>
    <col min="1798" max="1798" width="9.625" style="10" customWidth="1"/>
    <col min="1799" max="1799" width="27.875" style="10" customWidth="1"/>
    <col min="1800" max="2048" width="8.75" style="10"/>
    <col min="2049" max="2049" width="9.75" style="10" customWidth="1"/>
    <col min="2050" max="2050" width="10.625" style="10" customWidth="1"/>
    <col min="2051" max="2051" width="6.75" style="10" customWidth="1"/>
    <col min="2052" max="2052" width="13" style="10" customWidth="1"/>
    <col min="2053" max="2053" width="6.25" style="10" customWidth="1"/>
    <col min="2054" max="2054" width="9.625" style="10" customWidth="1"/>
    <col min="2055" max="2055" width="27.875" style="10" customWidth="1"/>
    <col min="2056" max="2304" width="8.75" style="10"/>
    <col min="2305" max="2305" width="9.75" style="10" customWidth="1"/>
    <col min="2306" max="2306" width="10.625" style="10" customWidth="1"/>
    <col min="2307" max="2307" width="6.75" style="10" customWidth="1"/>
    <col min="2308" max="2308" width="13" style="10" customWidth="1"/>
    <col min="2309" max="2309" width="6.25" style="10" customWidth="1"/>
    <col min="2310" max="2310" width="9.625" style="10" customWidth="1"/>
    <col min="2311" max="2311" width="27.875" style="10" customWidth="1"/>
    <col min="2312" max="2560" width="8.75" style="10"/>
    <col min="2561" max="2561" width="9.75" style="10" customWidth="1"/>
    <col min="2562" max="2562" width="10.625" style="10" customWidth="1"/>
    <col min="2563" max="2563" width="6.75" style="10" customWidth="1"/>
    <col min="2564" max="2564" width="13" style="10" customWidth="1"/>
    <col min="2565" max="2565" width="6.25" style="10" customWidth="1"/>
    <col min="2566" max="2566" width="9.625" style="10" customWidth="1"/>
    <col min="2567" max="2567" width="27.875" style="10" customWidth="1"/>
    <col min="2568" max="2816" width="8.75" style="10"/>
    <col min="2817" max="2817" width="9.75" style="10" customWidth="1"/>
    <col min="2818" max="2818" width="10.625" style="10" customWidth="1"/>
    <col min="2819" max="2819" width="6.75" style="10" customWidth="1"/>
    <col min="2820" max="2820" width="13" style="10" customWidth="1"/>
    <col min="2821" max="2821" width="6.25" style="10" customWidth="1"/>
    <col min="2822" max="2822" width="9.625" style="10" customWidth="1"/>
    <col min="2823" max="2823" width="27.875" style="10" customWidth="1"/>
    <col min="2824" max="3072" width="8.75" style="10"/>
    <col min="3073" max="3073" width="9.75" style="10" customWidth="1"/>
    <col min="3074" max="3074" width="10.625" style="10" customWidth="1"/>
    <col min="3075" max="3075" width="6.75" style="10" customWidth="1"/>
    <col min="3076" max="3076" width="13" style="10" customWidth="1"/>
    <col min="3077" max="3077" width="6.25" style="10" customWidth="1"/>
    <col min="3078" max="3078" width="9.625" style="10" customWidth="1"/>
    <col min="3079" max="3079" width="27.875" style="10" customWidth="1"/>
    <col min="3080" max="3328" width="8.75" style="10"/>
    <col min="3329" max="3329" width="9.75" style="10" customWidth="1"/>
    <col min="3330" max="3330" width="10.625" style="10" customWidth="1"/>
    <col min="3331" max="3331" width="6.75" style="10" customWidth="1"/>
    <col min="3332" max="3332" width="13" style="10" customWidth="1"/>
    <col min="3333" max="3333" width="6.25" style="10" customWidth="1"/>
    <col min="3334" max="3334" width="9.625" style="10" customWidth="1"/>
    <col min="3335" max="3335" width="27.875" style="10" customWidth="1"/>
    <col min="3336" max="3584" width="8.75" style="10"/>
    <col min="3585" max="3585" width="9.75" style="10" customWidth="1"/>
    <col min="3586" max="3586" width="10.625" style="10" customWidth="1"/>
    <col min="3587" max="3587" width="6.75" style="10" customWidth="1"/>
    <col min="3588" max="3588" width="13" style="10" customWidth="1"/>
    <col min="3589" max="3589" width="6.25" style="10" customWidth="1"/>
    <col min="3590" max="3590" width="9.625" style="10" customWidth="1"/>
    <col min="3591" max="3591" width="27.875" style="10" customWidth="1"/>
    <col min="3592" max="3840" width="8.75" style="10"/>
    <col min="3841" max="3841" width="9.75" style="10" customWidth="1"/>
    <col min="3842" max="3842" width="10.625" style="10" customWidth="1"/>
    <col min="3843" max="3843" width="6.75" style="10" customWidth="1"/>
    <col min="3844" max="3844" width="13" style="10" customWidth="1"/>
    <col min="3845" max="3845" width="6.25" style="10" customWidth="1"/>
    <col min="3846" max="3846" width="9.625" style="10" customWidth="1"/>
    <col min="3847" max="3847" width="27.875" style="10" customWidth="1"/>
    <col min="3848" max="4096" width="8.75" style="10"/>
    <col min="4097" max="4097" width="9.75" style="10" customWidth="1"/>
    <col min="4098" max="4098" width="10.625" style="10" customWidth="1"/>
    <col min="4099" max="4099" width="6.75" style="10" customWidth="1"/>
    <col min="4100" max="4100" width="13" style="10" customWidth="1"/>
    <col min="4101" max="4101" width="6.25" style="10" customWidth="1"/>
    <col min="4102" max="4102" width="9.625" style="10" customWidth="1"/>
    <col min="4103" max="4103" width="27.875" style="10" customWidth="1"/>
    <col min="4104" max="4352" width="8.75" style="10"/>
    <col min="4353" max="4353" width="9.75" style="10" customWidth="1"/>
    <col min="4354" max="4354" width="10.625" style="10" customWidth="1"/>
    <col min="4355" max="4355" width="6.75" style="10" customWidth="1"/>
    <col min="4356" max="4356" width="13" style="10" customWidth="1"/>
    <col min="4357" max="4357" width="6.25" style="10" customWidth="1"/>
    <col min="4358" max="4358" width="9.625" style="10" customWidth="1"/>
    <col min="4359" max="4359" width="27.875" style="10" customWidth="1"/>
    <col min="4360" max="4608" width="8.75" style="10"/>
    <col min="4609" max="4609" width="9.75" style="10" customWidth="1"/>
    <col min="4610" max="4610" width="10.625" style="10" customWidth="1"/>
    <col min="4611" max="4611" width="6.75" style="10" customWidth="1"/>
    <col min="4612" max="4612" width="13" style="10" customWidth="1"/>
    <col min="4613" max="4613" width="6.25" style="10" customWidth="1"/>
    <col min="4614" max="4614" width="9.625" style="10" customWidth="1"/>
    <col min="4615" max="4615" width="27.875" style="10" customWidth="1"/>
    <col min="4616" max="4864" width="8.75" style="10"/>
    <col min="4865" max="4865" width="9.75" style="10" customWidth="1"/>
    <col min="4866" max="4866" width="10.625" style="10" customWidth="1"/>
    <col min="4867" max="4867" width="6.75" style="10" customWidth="1"/>
    <col min="4868" max="4868" width="13" style="10" customWidth="1"/>
    <col min="4869" max="4869" width="6.25" style="10" customWidth="1"/>
    <col min="4870" max="4870" width="9.625" style="10" customWidth="1"/>
    <col min="4871" max="4871" width="27.875" style="10" customWidth="1"/>
    <col min="4872" max="5120" width="8.75" style="10"/>
    <col min="5121" max="5121" width="9.75" style="10" customWidth="1"/>
    <col min="5122" max="5122" width="10.625" style="10" customWidth="1"/>
    <col min="5123" max="5123" width="6.75" style="10" customWidth="1"/>
    <col min="5124" max="5124" width="13" style="10" customWidth="1"/>
    <col min="5125" max="5125" width="6.25" style="10" customWidth="1"/>
    <col min="5126" max="5126" width="9.625" style="10" customWidth="1"/>
    <col min="5127" max="5127" width="27.875" style="10" customWidth="1"/>
    <col min="5128" max="5376" width="8.75" style="10"/>
    <col min="5377" max="5377" width="9.75" style="10" customWidth="1"/>
    <col min="5378" max="5378" width="10.625" style="10" customWidth="1"/>
    <col min="5379" max="5379" width="6.75" style="10" customWidth="1"/>
    <col min="5380" max="5380" width="13" style="10" customWidth="1"/>
    <col min="5381" max="5381" width="6.25" style="10" customWidth="1"/>
    <col min="5382" max="5382" width="9.625" style="10" customWidth="1"/>
    <col min="5383" max="5383" width="27.875" style="10" customWidth="1"/>
    <col min="5384" max="5632" width="8.75" style="10"/>
    <col min="5633" max="5633" width="9.75" style="10" customWidth="1"/>
    <col min="5634" max="5634" width="10.625" style="10" customWidth="1"/>
    <col min="5635" max="5635" width="6.75" style="10" customWidth="1"/>
    <col min="5636" max="5636" width="13" style="10" customWidth="1"/>
    <col min="5637" max="5637" width="6.25" style="10" customWidth="1"/>
    <col min="5638" max="5638" width="9.625" style="10" customWidth="1"/>
    <col min="5639" max="5639" width="27.875" style="10" customWidth="1"/>
    <col min="5640" max="5888" width="8.75" style="10"/>
    <col min="5889" max="5889" width="9.75" style="10" customWidth="1"/>
    <col min="5890" max="5890" width="10.625" style="10" customWidth="1"/>
    <col min="5891" max="5891" width="6.75" style="10" customWidth="1"/>
    <col min="5892" max="5892" width="13" style="10" customWidth="1"/>
    <col min="5893" max="5893" width="6.25" style="10" customWidth="1"/>
    <col min="5894" max="5894" width="9.625" style="10" customWidth="1"/>
    <col min="5895" max="5895" width="27.875" style="10" customWidth="1"/>
    <col min="5896" max="6144" width="8.75" style="10"/>
    <col min="6145" max="6145" width="9.75" style="10" customWidth="1"/>
    <col min="6146" max="6146" width="10.625" style="10" customWidth="1"/>
    <col min="6147" max="6147" width="6.75" style="10" customWidth="1"/>
    <col min="6148" max="6148" width="13" style="10" customWidth="1"/>
    <col min="6149" max="6149" width="6.25" style="10" customWidth="1"/>
    <col min="6150" max="6150" width="9.625" style="10" customWidth="1"/>
    <col min="6151" max="6151" width="27.875" style="10" customWidth="1"/>
    <col min="6152" max="6400" width="8.75" style="10"/>
    <col min="6401" max="6401" width="9.75" style="10" customWidth="1"/>
    <col min="6402" max="6402" width="10.625" style="10" customWidth="1"/>
    <col min="6403" max="6403" width="6.75" style="10" customWidth="1"/>
    <col min="6404" max="6404" width="13" style="10" customWidth="1"/>
    <col min="6405" max="6405" width="6.25" style="10" customWidth="1"/>
    <col min="6406" max="6406" width="9.625" style="10" customWidth="1"/>
    <col min="6407" max="6407" width="27.875" style="10" customWidth="1"/>
    <col min="6408" max="6656" width="8.75" style="10"/>
    <col min="6657" max="6657" width="9.75" style="10" customWidth="1"/>
    <col min="6658" max="6658" width="10.625" style="10" customWidth="1"/>
    <col min="6659" max="6659" width="6.75" style="10" customWidth="1"/>
    <col min="6660" max="6660" width="13" style="10" customWidth="1"/>
    <col min="6661" max="6661" width="6.25" style="10" customWidth="1"/>
    <col min="6662" max="6662" width="9.625" style="10" customWidth="1"/>
    <col min="6663" max="6663" width="27.875" style="10" customWidth="1"/>
    <col min="6664" max="6912" width="8.75" style="10"/>
    <col min="6913" max="6913" width="9.75" style="10" customWidth="1"/>
    <col min="6914" max="6914" width="10.625" style="10" customWidth="1"/>
    <col min="6915" max="6915" width="6.75" style="10" customWidth="1"/>
    <col min="6916" max="6916" width="13" style="10" customWidth="1"/>
    <col min="6917" max="6917" width="6.25" style="10" customWidth="1"/>
    <col min="6918" max="6918" width="9.625" style="10" customWidth="1"/>
    <col min="6919" max="6919" width="27.875" style="10" customWidth="1"/>
    <col min="6920" max="7168" width="8.75" style="10"/>
    <col min="7169" max="7169" width="9.75" style="10" customWidth="1"/>
    <col min="7170" max="7170" width="10.625" style="10" customWidth="1"/>
    <col min="7171" max="7171" width="6.75" style="10" customWidth="1"/>
    <col min="7172" max="7172" width="13" style="10" customWidth="1"/>
    <col min="7173" max="7173" width="6.25" style="10" customWidth="1"/>
    <col min="7174" max="7174" width="9.625" style="10" customWidth="1"/>
    <col min="7175" max="7175" width="27.875" style="10" customWidth="1"/>
    <col min="7176" max="7424" width="8.75" style="10"/>
    <col min="7425" max="7425" width="9.75" style="10" customWidth="1"/>
    <col min="7426" max="7426" width="10.625" style="10" customWidth="1"/>
    <col min="7427" max="7427" width="6.75" style="10" customWidth="1"/>
    <col min="7428" max="7428" width="13" style="10" customWidth="1"/>
    <col min="7429" max="7429" width="6.25" style="10" customWidth="1"/>
    <col min="7430" max="7430" width="9.625" style="10" customWidth="1"/>
    <col min="7431" max="7431" width="27.875" style="10" customWidth="1"/>
    <col min="7432" max="7680" width="8.75" style="10"/>
    <col min="7681" max="7681" width="9.75" style="10" customWidth="1"/>
    <col min="7682" max="7682" width="10.625" style="10" customWidth="1"/>
    <col min="7683" max="7683" width="6.75" style="10" customWidth="1"/>
    <col min="7684" max="7684" width="13" style="10" customWidth="1"/>
    <col min="7685" max="7685" width="6.25" style="10" customWidth="1"/>
    <col min="7686" max="7686" width="9.625" style="10" customWidth="1"/>
    <col min="7687" max="7687" width="27.875" style="10" customWidth="1"/>
    <col min="7688" max="7936" width="8.75" style="10"/>
    <col min="7937" max="7937" width="9.75" style="10" customWidth="1"/>
    <col min="7938" max="7938" width="10.625" style="10" customWidth="1"/>
    <col min="7939" max="7939" width="6.75" style="10" customWidth="1"/>
    <col min="7940" max="7940" width="13" style="10" customWidth="1"/>
    <col min="7941" max="7941" width="6.25" style="10" customWidth="1"/>
    <col min="7942" max="7942" width="9.625" style="10" customWidth="1"/>
    <col min="7943" max="7943" width="27.875" style="10" customWidth="1"/>
    <col min="7944" max="8192" width="8.75" style="10"/>
    <col min="8193" max="8193" width="9.75" style="10" customWidth="1"/>
    <col min="8194" max="8194" width="10.625" style="10" customWidth="1"/>
    <col min="8195" max="8195" width="6.75" style="10" customWidth="1"/>
    <col min="8196" max="8196" width="13" style="10" customWidth="1"/>
    <col min="8197" max="8197" width="6.25" style="10" customWidth="1"/>
    <col min="8198" max="8198" width="9.625" style="10" customWidth="1"/>
    <col min="8199" max="8199" width="27.875" style="10" customWidth="1"/>
    <col min="8200" max="8448" width="8.75" style="10"/>
    <col min="8449" max="8449" width="9.75" style="10" customWidth="1"/>
    <col min="8450" max="8450" width="10.625" style="10" customWidth="1"/>
    <col min="8451" max="8451" width="6.75" style="10" customWidth="1"/>
    <col min="8452" max="8452" width="13" style="10" customWidth="1"/>
    <col min="8453" max="8453" width="6.25" style="10" customWidth="1"/>
    <col min="8454" max="8454" width="9.625" style="10" customWidth="1"/>
    <col min="8455" max="8455" width="27.875" style="10" customWidth="1"/>
    <col min="8456" max="8704" width="8.75" style="10"/>
    <col min="8705" max="8705" width="9.75" style="10" customWidth="1"/>
    <col min="8706" max="8706" width="10.625" style="10" customWidth="1"/>
    <col min="8707" max="8707" width="6.75" style="10" customWidth="1"/>
    <col min="8708" max="8708" width="13" style="10" customWidth="1"/>
    <col min="8709" max="8709" width="6.25" style="10" customWidth="1"/>
    <col min="8710" max="8710" width="9.625" style="10" customWidth="1"/>
    <col min="8711" max="8711" width="27.875" style="10" customWidth="1"/>
    <col min="8712" max="8960" width="8.75" style="10"/>
    <col min="8961" max="8961" width="9.75" style="10" customWidth="1"/>
    <col min="8962" max="8962" width="10.625" style="10" customWidth="1"/>
    <col min="8963" max="8963" width="6.75" style="10" customWidth="1"/>
    <col min="8964" max="8964" width="13" style="10" customWidth="1"/>
    <col min="8965" max="8965" width="6.25" style="10" customWidth="1"/>
    <col min="8966" max="8966" width="9.625" style="10" customWidth="1"/>
    <col min="8967" max="8967" width="27.875" style="10" customWidth="1"/>
    <col min="8968" max="9216" width="8.75" style="10"/>
    <col min="9217" max="9217" width="9.75" style="10" customWidth="1"/>
    <col min="9218" max="9218" width="10.625" style="10" customWidth="1"/>
    <col min="9219" max="9219" width="6.75" style="10" customWidth="1"/>
    <col min="9220" max="9220" width="13" style="10" customWidth="1"/>
    <col min="9221" max="9221" width="6.25" style="10" customWidth="1"/>
    <col min="9222" max="9222" width="9.625" style="10" customWidth="1"/>
    <col min="9223" max="9223" width="27.875" style="10" customWidth="1"/>
    <col min="9224" max="9472" width="8.75" style="10"/>
    <col min="9473" max="9473" width="9.75" style="10" customWidth="1"/>
    <col min="9474" max="9474" width="10.625" style="10" customWidth="1"/>
    <col min="9475" max="9475" width="6.75" style="10" customWidth="1"/>
    <col min="9476" max="9476" width="13" style="10" customWidth="1"/>
    <col min="9477" max="9477" width="6.25" style="10" customWidth="1"/>
    <col min="9478" max="9478" width="9.625" style="10" customWidth="1"/>
    <col min="9479" max="9479" width="27.875" style="10" customWidth="1"/>
    <col min="9480" max="9728" width="8.75" style="10"/>
    <col min="9729" max="9729" width="9.75" style="10" customWidth="1"/>
    <col min="9730" max="9730" width="10.625" style="10" customWidth="1"/>
    <col min="9731" max="9731" width="6.75" style="10" customWidth="1"/>
    <col min="9732" max="9732" width="13" style="10" customWidth="1"/>
    <col min="9733" max="9733" width="6.25" style="10" customWidth="1"/>
    <col min="9734" max="9734" width="9.625" style="10" customWidth="1"/>
    <col min="9735" max="9735" width="27.875" style="10" customWidth="1"/>
    <col min="9736" max="9984" width="8.75" style="10"/>
    <col min="9985" max="9985" width="9.75" style="10" customWidth="1"/>
    <col min="9986" max="9986" width="10.625" style="10" customWidth="1"/>
    <col min="9987" max="9987" width="6.75" style="10" customWidth="1"/>
    <col min="9988" max="9988" width="13" style="10" customWidth="1"/>
    <col min="9989" max="9989" width="6.25" style="10" customWidth="1"/>
    <col min="9990" max="9990" width="9.625" style="10" customWidth="1"/>
    <col min="9991" max="9991" width="27.875" style="10" customWidth="1"/>
    <col min="9992" max="10240" width="8.75" style="10"/>
    <col min="10241" max="10241" width="9.75" style="10" customWidth="1"/>
    <col min="10242" max="10242" width="10.625" style="10" customWidth="1"/>
    <col min="10243" max="10243" width="6.75" style="10" customWidth="1"/>
    <col min="10244" max="10244" width="13" style="10" customWidth="1"/>
    <col min="10245" max="10245" width="6.25" style="10" customWidth="1"/>
    <col min="10246" max="10246" width="9.625" style="10" customWidth="1"/>
    <col min="10247" max="10247" width="27.875" style="10" customWidth="1"/>
    <col min="10248" max="10496" width="8.75" style="10"/>
    <col min="10497" max="10497" width="9.75" style="10" customWidth="1"/>
    <col min="10498" max="10498" width="10.625" style="10" customWidth="1"/>
    <col min="10499" max="10499" width="6.75" style="10" customWidth="1"/>
    <col min="10500" max="10500" width="13" style="10" customWidth="1"/>
    <col min="10501" max="10501" width="6.25" style="10" customWidth="1"/>
    <col min="10502" max="10502" width="9.625" style="10" customWidth="1"/>
    <col min="10503" max="10503" width="27.875" style="10" customWidth="1"/>
    <col min="10504" max="10752" width="8.75" style="10"/>
    <col min="10753" max="10753" width="9.75" style="10" customWidth="1"/>
    <col min="10754" max="10754" width="10.625" style="10" customWidth="1"/>
    <col min="10755" max="10755" width="6.75" style="10" customWidth="1"/>
    <col min="10756" max="10756" width="13" style="10" customWidth="1"/>
    <col min="10757" max="10757" width="6.25" style="10" customWidth="1"/>
    <col min="10758" max="10758" width="9.625" style="10" customWidth="1"/>
    <col min="10759" max="10759" width="27.875" style="10" customWidth="1"/>
    <col min="10760" max="11008" width="8.75" style="10"/>
    <col min="11009" max="11009" width="9.75" style="10" customWidth="1"/>
    <col min="11010" max="11010" width="10.625" style="10" customWidth="1"/>
    <col min="11011" max="11011" width="6.75" style="10" customWidth="1"/>
    <col min="11012" max="11012" width="13" style="10" customWidth="1"/>
    <col min="11013" max="11013" width="6.25" style="10" customWidth="1"/>
    <col min="11014" max="11014" width="9.625" style="10" customWidth="1"/>
    <col min="11015" max="11015" width="27.875" style="10" customWidth="1"/>
    <col min="11016" max="11264" width="8.75" style="10"/>
    <col min="11265" max="11265" width="9.75" style="10" customWidth="1"/>
    <col min="11266" max="11266" width="10.625" style="10" customWidth="1"/>
    <col min="11267" max="11267" width="6.75" style="10" customWidth="1"/>
    <col min="11268" max="11268" width="13" style="10" customWidth="1"/>
    <col min="11269" max="11269" width="6.25" style="10" customWidth="1"/>
    <col min="11270" max="11270" width="9.625" style="10" customWidth="1"/>
    <col min="11271" max="11271" width="27.875" style="10" customWidth="1"/>
    <col min="11272" max="11520" width="8.75" style="10"/>
    <col min="11521" max="11521" width="9.75" style="10" customWidth="1"/>
    <col min="11522" max="11522" width="10.625" style="10" customWidth="1"/>
    <col min="11523" max="11523" width="6.75" style="10" customWidth="1"/>
    <col min="11524" max="11524" width="13" style="10" customWidth="1"/>
    <col min="11525" max="11525" width="6.25" style="10" customWidth="1"/>
    <col min="11526" max="11526" width="9.625" style="10" customWidth="1"/>
    <col min="11527" max="11527" width="27.875" style="10" customWidth="1"/>
    <col min="11528" max="11776" width="8.75" style="10"/>
    <col min="11777" max="11777" width="9.75" style="10" customWidth="1"/>
    <col min="11778" max="11778" width="10.625" style="10" customWidth="1"/>
    <col min="11779" max="11779" width="6.75" style="10" customWidth="1"/>
    <col min="11780" max="11780" width="13" style="10" customWidth="1"/>
    <col min="11781" max="11781" width="6.25" style="10" customWidth="1"/>
    <col min="11782" max="11782" width="9.625" style="10" customWidth="1"/>
    <col min="11783" max="11783" width="27.875" style="10" customWidth="1"/>
    <col min="11784" max="12032" width="8.75" style="10"/>
    <col min="12033" max="12033" width="9.75" style="10" customWidth="1"/>
    <col min="12034" max="12034" width="10.625" style="10" customWidth="1"/>
    <col min="12035" max="12035" width="6.75" style="10" customWidth="1"/>
    <col min="12036" max="12036" width="13" style="10" customWidth="1"/>
    <col min="12037" max="12037" width="6.25" style="10" customWidth="1"/>
    <col min="12038" max="12038" width="9.625" style="10" customWidth="1"/>
    <col min="12039" max="12039" width="27.875" style="10" customWidth="1"/>
    <col min="12040" max="12288" width="8.75" style="10"/>
    <col min="12289" max="12289" width="9.75" style="10" customWidth="1"/>
    <col min="12290" max="12290" width="10.625" style="10" customWidth="1"/>
    <col min="12291" max="12291" width="6.75" style="10" customWidth="1"/>
    <col min="12292" max="12292" width="13" style="10" customWidth="1"/>
    <col min="12293" max="12293" width="6.25" style="10" customWidth="1"/>
    <col min="12294" max="12294" width="9.625" style="10" customWidth="1"/>
    <col min="12295" max="12295" width="27.875" style="10" customWidth="1"/>
    <col min="12296" max="12544" width="8.75" style="10"/>
    <col min="12545" max="12545" width="9.75" style="10" customWidth="1"/>
    <col min="12546" max="12546" width="10.625" style="10" customWidth="1"/>
    <col min="12547" max="12547" width="6.75" style="10" customWidth="1"/>
    <col min="12548" max="12548" width="13" style="10" customWidth="1"/>
    <col min="12549" max="12549" width="6.25" style="10" customWidth="1"/>
    <col min="12550" max="12550" width="9.625" style="10" customWidth="1"/>
    <col min="12551" max="12551" width="27.875" style="10" customWidth="1"/>
    <col min="12552" max="12800" width="8.75" style="10"/>
    <col min="12801" max="12801" width="9.75" style="10" customWidth="1"/>
    <col min="12802" max="12802" width="10.625" style="10" customWidth="1"/>
    <col min="12803" max="12803" width="6.75" style="10" customWidth="1"/>
    <col min="12804" max="12804" width="13" style="10" customWidth="1"/>
    <col min="12805" max="12805" width="6.25" style="10" customWidth="1"/>
    <col min="12806" max="12806" width="9.625" style="10" customWidth="1"/>
    <col min="12807" max="12807" width="27.875" style="10" customWidth="1"/>
    <col min="12808" max="13056" width="8.75" style="10"/>
    <col min="13057" max="13057" width="9.75" style="10" customWidth="1"/>
    <col min="13058" max="13058" width="10.625" style="10" customWidth="1"/>
    <col min="13059" max="13059" width="6.75" style="10" customWidth="1"/>
    <col min="13060" max="13060" width="13" style="10" customWidth="1"/>
    <col min="13061" max="13061" width="6.25" style="10" customWidth="1"/>
    <col min="13062" max="13062" width="9.625" style="10" customWidth="1"/>
    <col min="13063" max="13063" width="27.875" style="10" customWidth="1"/>
    <col min="13064" max="13312" width="8.75" style="10"/>
    <col min="13313" max="13313" width="9.75" style="10" customWidth="1"/>
    <col min="13314" max="13314" width="10.625" style="10" customWidth="1"/>
    <col min="13315" max="13315" width="6.75" style="10" customWidth="1"/>
    <col min="13316" max="13316" width="13" style="10" customWidth="1"/>
    <col min="13317" max="13317" width="6.25" style="10" customWidth="1"/>
    <col min="13318" max="13318" width="9.625" style="10" customWidth="1"/>
    <col min="13319" max="13319" width="27.875" style="10" customWidth="1"/>
    <col min="13320" max="13568" width="8.75" style="10"/>
    <col min="13569" max="13569" width="9.75" style="10" customWidth="1"/>
    <col min="13570" max="13570" width="10.625" style="10" customWidth="1"/>
    <col min="13571" max="13571" width="6.75" style="10" customWidth="1"/>
    <col min="13572" max="13572" width="13" style="10" customWidth="1"/>
    <col min="13573" max="13573" width="6.25" style="10" customWidth="1"/>
    <col min="13574" max="13574" width="9.625" style="10" customWidth="1"/>
    <col min="13575" max="13575" width="27.875" style="10" customWidth="1"/>
    <col min="13576" max="13824" width="8.75" style="10"/>
    <col min="13825" max="13825" width="9.75" style="10" customWidth="1"/>
    <col min="13826" max="13826" width="10.625" style="10" customWidth="1"/>
    <col min="13827" max="13827" width="6.75" style="10" customWidth="1"/>
    <col min="13828" max="13828" width="13" style="10" customWidth="1"/>
    <col min="13829" max="13829" width="6.25" style="10" customWidth="1"/>
    <col min="13830" max="13830" width="9.625" style="10" customWidth="1"/>
    <col min="13831" max="13831" width="27.875" style="10" customWidth="1"/>
    <col min="13832" max="14080" width="8.75" style="10"/>
    <col min="14081" max="14081" width="9.75" style="10" customWidth="1"/>
    <col min="14082" max="14082" width="10.625" style="10" customWidth="1"/>
    <col min="14083" max="14083" width="6.75" style="10" customWidth="1"/>
    <col min="14084" max="14084" width="13" style="10" customWidth="1"/>
    <col min="14085" max="14085" width="6.25" style="10" customWidth="1"/>
    <col min="14086" max="14086" width="9.625" style="10" customWidth="1"/>
    <col min="14087" max="14087" width="27.875" style="10" customWidth="1"/>
    <col min="14088" max="14336" width="8.75" style="10"/>
    <col min="14337" max="14337" width="9.75" style="10" customWidth="1"/>
    <col min="14338" max="14338" width="10.625" style="10" customWidth="1"/>
    <col min="14339" max="14339" width="6.75" style="10" customWidth="1"/>
    <col min="14340" max="14340" width="13" style="10" customWidth="1"/>
    <col min="14341" max="14341" width="6.25" style="10" customWidth="1"/>
    <col min="14342" max="14342" width="9.625" style="10" customWidth="1"/>
    <col min="14343" max="14343" width="27.875" style="10" customWidth="1"/>
    <col min="14344" max="14592" width="8.75" style="10"/>
    <col min="14593" max="14593" width="9.75" style="10" customWidth="1"/>
    <col min="14594" max="14594" width="10.625" style="10" customWidth="1"/>
    <col min="14595" max="14595" width="6.75" style="10" customWidth="1"/>
    <col min="14596" max="14596" width="13" style="10" customWidth="1"/>
    <col min="14597" max="14597" width="6.25" style="10" customWidth="1"/>
    <col min="14598" max="14598" width="9.625" style="10" customWidth="1"/>
    <col min="14599" max="14599" width="27.875" style="10" customWidth="1"/>
    <col min="14600" max="14848" width="8.75" style="10"/>
    <col min="14849" max="14849" width="9.75" style="10" customWidth="1"/>
    <col min="14850" max="14850" width="10.625" style="10" customWidth="1"/>
    <col min="14851" max="14851" width="6.75" style="10" customWidth="1"/>
    <col min="14852" max="14852" width="13" style="10" customWidth="1"/>
    <col min="14853" max="14853" width="6.25" style="10" customWidth="1"/>
    <col min="14854" max="14854" width="9.625" style="10" customWidth="1"/>
    <col min="14855" max="14855" width="27.875" style="10" customWidth="1"/>
    <col min="14856" max="15104" width="8.75" style="10"/>
    <col min="15105" max="15105" width="9.75" style="10" customWidth="1"/>
    <col min="15106" max="15106" width="10.625" style="10" customWidth="1"/>
    <col min="15107" max="15107" width="6.75" style="10" customWidth="1"/>
    <col min="15108" max="15108" width="13" style="10" customWidth="1"/>
    <col min="15109" max="15109" width="6.25" style="10" customWidth="1"/>
    <col min="15110" max="15110" width="9.625" style="10" customWidth="1"/>
    <col min="15111" max="15111" width="27.875" style="10" customWidth="1"/>
    <col min="15112" max="15360" width="8.75" style="10"/>
    <col min="15361" max="15361" width="9.75" style="10" customWidth="1"/>
    <col min="15362" max="15362" width="10.625" style="10" customWidth="1"/>
    <col min="15363" max="15363" width="6.75" style="10" customWidth="1"/>
    <col min="15364" max="15364" width="13" style="10" customWidth="1"/>
    <col min="15365" max="15365" width="6.25" style="10" customWidth="1"/>
    <col min="15366" max="15366" width="9.625" style="10" customWidth="1"/>
    <col min="15367" max="15367" width="27.875" style="10" customWidth="1"/>
    <col min="15368" max="15616" width="8.75" style="10"/>
    <col min="15617" max="15617" width="9.75" style="10" customWidth="1"/>
    <col min="15618" max="15618" width="10.625" style="10" customWidth="1"/>
    <col min="15619" max="15619" width="6.75" style="10" customWidth="1"/>
    <col min="15620" max="15620" width="13" style="10" customWidth="1"/>
    <col min="15621" max="15621" width="6.25" style="10" customWidth="1"/>
    <col min="15622" max="15622" width="9.625" style="10" customWidth="1"/>
    <col min="15623" max="15623" width="27.875" style="10" customWidth="1"/>
    <col min="15624" max="15872" width="8.75" style="10"/>
    <col min="15873" max="15873" width="9.75" style="10" customWidth="1"/>
    <col min="15874" max="15874" width="10.625" style="10" customWidth="1"/>
    <col min="15875" max="15875" width="6.75" style="10" customWidth="1"/>
    <col min="15876" max="15876" width="13" style="10" customWidth="1"/>
    <col min="15877" max="15877" width="6.25" style="10" customWidth="1"/>
    <col min="15878" max="15878" width="9.625" style="10" customWidth="1"/>
    <col min="15879" max="15879" width="27.875" style="10" customWidth="1"/>
    <col min="15880" max="16128" width="8.75" style="10"/>
    <col min="16129" max="16129" width="9.75" style="10" customWidth="1"/>
    <col min="16130" max="16130" width="10.625" style="10" customWidth="1"/>
    <col min="16131" max="16131" width="6.75" style="10" customWidth="1"/>
    <col min="16132" max="16132" width="13" style="10" customWidth="1"/>
    <col min="16133" max="16133" width="6.25" style="10" customWidth="1"/>
    <col min="16134" max="16134" width="9.625" style="10" customWidth="1"/>
    <col min="16135" max="16135" width="27.875" style="10" customWidth="1"/>
    <col min="16136" max="16384" width="8.75" style="10"/>
  </cols>
  <sheetData>
    <row r="1" spans="1:20" s="2" customFormat="1" ht="12.75" customHeight="1">
      <c r="A1" s="289"/>
      <c r="B1" s="290"/>
      <c r="C1" s="290"/>
      <c r="D1" s="290"/>
      <c r="E1" s="290"/>
      <c r="F1" s="290"/>
      <c r="G1" s="291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1" t="s">
        <v>14</v>
      </c>
      <c r="B3" s="12"/>
      <c r="C3" s="6"/>
      <c r="D3" s="6"/>
      <c r="E3" s="6"/>
      <c r="F3" s="292" t="s">
        <v>15</v>
      </c>
      <c r="G3" s="29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16</v>
      </c>
      <c r="B4" s="12"/>
      <c r="C4" s="6"/>
      <c r="D4" s="6"/>
      <c r="E4" s="294" t="s">
        <v>17</v>
      </c>
      <c r="F4" s="294"/>
      <c r="G4" s="295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75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285"/>
      <c r="B13" s="26" t="s">
        <v>32</v>
      </c>
      <c r="C13" s="27"/>
      <c r="D13" s="26" t="s">
        <v>33</v>
      </c>
      <c r="E13" s="28"/>
      <c r="F13" s="288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5" customHeight="1">
      <c r="A14" s="286"/>
      <c r="B14" s="26" t="s">
        <v>34</v>
      </c>
      <c r="C14" s="27"/>
      <c r="D14" s="26" t="s">
        <v>33</v>
      </c>
      <c r="E14" s="28"/>
      <c r="F14" s="288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5" customHeight="1">
      <c r="A15" s="286"/>
      <c r="B15" s="26" t="s">
        <v>35</v>
      </c>
      <c r="C15" s="27"/>
      <c r="D15" s="26" t="s">
        <v>33</v>
      </c>
      <c r="E15" s="28"/>
      <c r="F15" s="288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5" customHeight="1">
      <c r="A16" s="286"/>
      <c r="B16" s="26" t="s">
        <v>36</v>
      </c>
      <c r="C16" s="27"/>
      <c r="D16" s="26" t="s">
        <v>33</v>
      </c>
      <c r="E16" s="28"/>
      <c r="F16" s="288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25" customHeight="1">
      <c r="A17" s="287"/>
      <c r="B17" s="26" t="s">
        <v>37</v>
      </c>
      <c r="C17" s="27"/>
      <c r="D17" s="26" t="s">
        <v>33</v>
      </c>
      <c r="E17" s="28"/>
      <c r="F17" s="288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>
      <c r="A18" s="285"/>
      <c r="B18" s="26" t="s">
        <v>32</v>
      </c>
      <c r="C18" s="27"/>
      <c r="D18" s="26" t="s">
        <v>33</v>
      </c>
      <c r="E18" s="28"/>
      <c r="F18" s="288"/>
      <c r="G18" s="29"/>
    </row>
    <row r="19" spans="1:20" ht="12.75" customHeight="1">
      <c r="A19" s="286"/>
      <c r="B19" s="26" t="s">
        <v>34</v>
      </c>
      <c r="C19" s="27"/>
      <c r="D19" s="26" t="s">
        <v>33</v>
      </c>
      <c r="E19" s="28"/>
      <c r="F19" s="288"/>
      <c r="G19" s="29"/>
    </row>
    <row r="20" spans="1:20" ht="12.75" customHeight="1">
      <c r="A20" s="286"/>
      <c r="B20" s="26" t="s">
        <v>35</v>
      </c>
      <c r="C20" s="27"/>
      <c r="D20" s="26" t="s">
        <v>33</v>
      </c>
      <c r="E20" s="28"/>
      <c r="F20" s="288"/>
      <c r="G20" s="29"/>
    </row>
    <row r="21" spans="1:20" ht="12.75" customHeight="1">
      <c r="A21" s="286"/>
      <c r="B21" s="26" t="s">
        <v>36</v>
      </c>
      <c r="C21" s="27"/>
      <c r="D21" s="26" t="s">
        <v>33</v>
      </c>
      <c r="E21" s="28"/>
      <c r="F21" s="288"/>
      <c r="G21" s="29"/>
    </row>
    <row r="22" spans="1:20" ht="12.75" customHeight="1">
      <c r="A22" s="287"/>
      <c r="B22" s="26" t="s">
        <v>37</v>
      </c>
      <c r="C22" s="27"/>
      <c r="D22" s="26" t="s">
        <v>33</v>
      </c>
      <c r="E22" s="28"/>
      <c r="F22" s="288"/>
      <c r="G22" s="29"/>
    </row>
    <row r="23" spans="1:20" ht="12.75" customHeight="1">
      <c r="A23" s="285"/>
      <c r="B23" s="26" t="s">
        <v>32</v>
      </c>
      <c r="C23" s="27"/>
      <c r="D23" s="26" t="s">
        <v>33</v>
      </c>
      <c r="E23" s="28"/>
      <c r="F23" s="288"/>
      <c r="G23" s="29"/>
    </row>
    <row r="24" spans="1:20" ht="12.75" customHeight="1">
      <c r="A24" s="286"/>
      <c r="B24" s="26" t="s">
        <v>34</v>
      </c>
      <c r="C24" s="27"/>
      <c r="D24" s="26" t="s">
        <v>33</v>
      </c>
      <c r="E24" s="28"/>
      <c r="F24" s="288"/>
      <c r="G24" s="29"/>
    </row>
    <row r="25" spans="1:20" ht="12.75" customHeight="1">
      <c r="A25" s="286"/>
      <c r="B25" s="26" t="s">
        <v>35</v>
      </c>
      <c r="C25" s="27"/>
      <c r="D25" s="26" t="s">
        <v>33</v>
      </c>
      <c r="E25" s="28"/>
      <c r="F25" s="288"/>
      <c r="G25" s="29"/>
    </row>
    <row r="26" spans="1:20" ht="12.75" customHeight="1">
      <c r="A26" s="286"/>
      <c r="B26" s="26" t="s">
        <v>36</v>
      </c>
      <c r="C26" s="27"/>
      <c r="D26" s="26" t="s">
        <v>33</v>
      </c>
      <c r="E26" s="28"/>
      <c r="F26" s="288"/>
      <c r="G26" s="29"/>
    </row>
    <row r="27" spans="1:20" ht="12.75" customHeight="1">
      <c r="A27" s="287"/>
      <c r="B27" s="26" t="s">
        <v>37</v>
      </c>
      <c r="C27" s="27"/>
      <c r="D27" s="26" t="s">
        <v>33</v>
      </c>
      <c r="E27" s="28"/>
      <c r="F27" s="288"/>
      <c r="G27" s="29"/>
    </row>
    <row r="28" spans="1:20" ht="12.75" customHeight="1">
      <c r="A28" s="285"/>
      <c r="B28" s="26" t="s">
        <v>32</v>
      </c>
      <c r="C28" s="27"/>
      <c r="D28" s="26" t="s">
        <v>33</v>
      </c>
      <c r="E28" s="28"/>
      <c r="F28" s="288"/>
      <c r="G28" s="29"/>
    </row>
    <row r="29" spans="1:20" ht="12.75" customHeight="1">
      <c r="A29" s="286"/>
      <c r="B29" s="26" t="s">
        <v>34</v>
      </c>
      <c r="C29" s="27"/>
      <c r="D29" s="26" t="s">
        <v>33</v>
      </c>
      <c r="E29" s="28"/>
      <c r="F29" s="288"/>
      <c r="G29" s="29"/>
    </row>
    <row r="30" spans="1:20" ht="12.75" customHeight="1">
      <c r="A30" s="286"/>
      <c r="B30" s="26" t="s">
        <v>35</v>
      </c>
      <c r="C30" s="27"/>
      <c r="D30" s="26" t="s">
        <v>33</v>
      </c>
      <c r="E30" s="28"/>
      <c r="F30" s="288"/>
      <c r="G30" s="29"/>
    </row>
    <row r="31" spans="1:20" ht="12.75" customHeight="1">
      <c r="A31" s="286"/>
      <c r="B31" s="26" t="s">
        <v>36</v>
      </c>
      <c r="C31" s="27"/>
      <c r="D31" s="26" t="s">
        <v>33</v>
      </c>
      <c r="E31" s="28"/>
      <c r="F31" s="288"/>
      <c r="G31" s="29"/>
    </row>
    <row r="32" spans="1:20" ht="12.75" customHeight="1">
      <c r="A32" s="287"/>
      <c r="B32" s="26" t="s">
        <v>37</v>
      </c>
      <c r="C32" s="27"/>
      <c r="D32" s="26" t="s">
        <v>33</v>
      </c>
      <c r="E32" s="28"/>
      <c r="F32" s="288"/>
      <c r="G32" s="29"/>
    </row>
    <row r="33" spans="1:7" ht="12.75" customHeight="1">
      <c r="A33" s="285"/>
      <c r="B33" s="26" t="s">
        <v>32</v>
      </c>
      <c r="C33" s="27"/>
      <c r="D33" s="26" t="s">
        <v>33</v>
      </c>
      <c r="E33" s="28"/>
      <c r="F33" s="288"/>
      <c r="G33" s="29"/>
    </row>
    <row r="34" spans="1:7" ht="12.75" customHeight="1">
      <c r="A34" s="286"/>
      <c r="B34" s="26" t="s">
        <v>34</v>
      </c>
      <c r="C34" s="27"/>
      <c r="D34" s="26" t="s">
        <v>33</v>
      </c>
      <c r="E34" s="28"/>
      <c r="F34" s="288"/>
      <c r="G34" s="29"/>
    </row>
    <row r="35" spans="1:7" ht="12.75" customHeight="1">
      <c r="A35" s="286"/>
      <c r="B35" s="26" t="s">
        <v>35</v>
      </c>
      <c r="C35" s="27"/>
      <c r="D35" s="26" t="s">
        <v>33</v>
      </c>
      <c r="E35" s="28"/>
      <c r="F35" s="288"/>
      <c r="G35" s="29"/>
    </row>
    <row r="36" spans="1:7" ht="12.75" customHeight="1">
      <c r="A36" s="286"/>
      <c r="B36" s="26" t="s">
        <v>36</v>
      </c>
      <c r="C36" s="27"/>
      <c r="D36" s="26" t="s">
        <v>33</v>
      </c>
      <c r="E36" s="28"/>
      <c r="F36" s="288"/>
      <c r="G36" s="29"/>
    </row>
    <row r="37" spans="1:7" ht="12.75" customHeight="1">
      <c r="A37" s="287"/>
      <c r="B37" s="26" t="s">
        <v>37</v>
      </c>
      <c r="C37" s="27"/>
      <c r="D37" s="26" t="s">
        <v>33</v>
      </c>
      <c r="E37" s="28"/>
      <c r="F37" s="288"/>
      <c r="G37" s="29"/>
    </row>
    <row r="38" spans="1:7" ht="12.75" customHeight="1">
      <c r="A38" s="285"/>
      <c r="B38" s="26" t="s">
        <v>32</v>
      </c>
      <c r="C38" s="27"/>
      <c r="D38" s="26" t="s">
        <v>33</v>
      </c>
      <c r="E38" s="28"/>
      <c r="F38" s="288"/>
      <c r="G38" s="29"/>
    </row>
    <row r="39" spans="1:7" ht="12.75" customHeight="1">
      <c r="A39" s="286"/>
      <c r="B39" s="26" t="s">
        <v>34</v>
      </c>
      <c r="C39" s="27"/>
      <c r="D39" s="26" t="s">
        <v>33</v>
      </c>
      <c r="E39" s="28"/>
      <c r="F39" s="288"/>
      <c r="G39" s="29"/>
    </row>
    <row r="40" spans="1:7" ht="12.75" customHeight="1">
      <c r="A40" s="286"/>
      <c r="B40" s="26" t="s">
        <v>35</v>
      </c>
      <c r="C40" s="27"/>
      <c r="D40" s="26" t="s">
        <v>33</v>
      </c>
      <c r="E40" s="28"/>
      <c r="F40" s="288"/>
      <c r="G40" s="29"/>
    </row>
    <row r="41" spans="1:7" ht="12.75" customHeight="1">
      <c r="A41" s="286"/>
      <c r="B41" s="26" t="s">
        <v>36</v>
      </c>
      <c r="C41" s="27"/>
      <c r="D41" s="26" t="s">
        <v>33</v>
      </c>
      <c r="E41" s="28"/>
      <c r="F41" s="288"/>
      <c r="G41" s="29"/>
    </row>
    <row r="42" spans="1:7" ht="12.75" customHeight="1">
      <c r="A42" s="287"/>
      <c r="B42" s="26" t="s">
        <v>37</v>
      </c>
      <c r="C42" s="27"/>
      <c r="D42" s="26" t="s">
        <v>33</v>
      </c>
      <c r="E42" s="28"/>
      <c r="F42" s="288"/>
      <c r="G42" s="29"/>
    </row>
    <row r="43" spans="1:7" ht="12.75" customHeight="1">
      <c r="A43" s="285"/>
      <c r="B43" s="26" t="s">
        <v>32</v>
      </c>
      <c r="C43" s="27"/>
      <c r="D43" s="26" t="s">
        <v>33</v>
      </c>
      <c r="E43" s="28"/>
      <c r="F43" s="288"/>
      <c r="G43" s="29"/>
    </row>
    <row r="44" spans="1:7" ht="12.75" customHeight="1">
      <c r="A44" s="286"/>
      <c r="B44" s="26" t="s">
        <v>34</v>
      </c>
      <c r="C44" s="27"/>
      <c r="D44" s="26" t="s">
        <v>33</v>
      </c>
      <c r="E44" s="28"/>
      <c r="F44" s="288"/>
      <c r="G44" s="29"/>
    </row>
    <row r="45" spans="1:7" ht="12.75" customHeight="1">
      <c r="A45" s="286"/>
      <c r="B45" s="26" t="s">
        <v>35</v>
      </c>
      <c r="C45" s="27"/>
      <c r="D45" s="26" t="s">
        <v>33</v>
      </c>
      <c r="E45" s="28"/>
      <c r="F45" s="288"/>
      <c r="G45" s="29"/>
    </row>
    <row r="46" spans="1:7" ht="12.75" customHeight="1">
      <c r="A46" s="286"/>
      <c r="B46" s="26" t="s">
        <v>36</v>
      </c>
      <c r="C46" s="27"/>
      <c r="D46" s="26" t="s">
        <v>33</v>
      </c>
      <c r="E46" s="28"/>
      <c r="F46" s="288"/>
      <c r="G46" s="29"/>
    </row>
    <row r="47" spans="1:7" ht="12.75" customHeight="1">
      <c r="A47" s="287"/>
      <c r="B47" s="26" t="s">
        <v>37</v>
      </c>
      <c r="C47" s="27"/>
      <c r="D47" s="26" t="s">
        <v>33</v>
      </c>
      <c r="E47" s="28"/>
      <c r="F47" s="288"/>
      <c r="G47" s="29"/>
    </row>
    <row r="48" spans="1:7" ht="12.75" customHeight="1">
      <c r="A48" s="285"/>
      <c r="B48" s="26" t="s">
        <v>32</v>
      </c>
      <c r="C48" s="27"/>
      <c r="D48" s="26" t="s">
        <v>33</v>
      </c>
      <c r="E48" s="28"/>
      <c r="F48" s="288"/>
      <c r="G48" s="29"/>
    </row>
    <row r="49" spans="1:7" ht="12.75" customHeight="1">
      <c r="A49" s="286"/>
      <c r="B49" s="26" t="s">
        <v>34</v>
      </c>
      <c r="C49" s="27"/>
      <c r="D49" s="26" t="s">
        <v>33</v>
      </c>
      <c r="E49" s="28"/>
      <c r="F49" s="288"/>
      <c r="G49" s="29"/>
    </row>
    <row r="50" spans="1:7" ht="12.75" customHeight="1">
      <c r="A50" s="286"/>
      <c r="B50" s="26" t="s">
        <v>35</v>
      </c>
      <c r="C50" s="27"/>
      <c r="D50" s="26" t="s">
        <v>33</v>
      </c>
      <c r="E50" s="28"/>
      <c r="F50" s="288"/>
      <c r="G50" s="29"/>
    </row>
    <row r="51" spans="1:7" ht="12.75" customHeight="1">
      <c r="A51" s="286"/>
      <c r="B51" s="26" t="s">
        <v>36</v>
      </c>
      <c r="C51" s="27"/>
      <c r="D51" s="26" t="s">
        <v>33</v>
      </c>
      <c r="E51" s="28"/>
      <c r="F51" s="288"/>
      <c r="G51" s="29"/>
    </row>
    <row r="52" spans="1:7" ht="12.75" customHeight="1">
      <c r="A52" s="287"/>
      <c r="B52" s="26" t="s">
        <v>37</v>
      </c>
      <c r="C52" s="27"/>
      <c r="D52" s="26" t="s">
        <v>33</v>
      </c>
      <c r="E52" s="28"/>
      <c r="F52" s="288"/>
      <c r="G52" s="29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180"/>
  <sheetViews>
    <sheetView zoomScale="85" zoomScaleNormal="85" zoomScaleSheetLayoutView="100" workbookViewId="0">
      <pane ySplit="10" topLeftCell="A11" activePane="bottomLeft" state="frozen"/>
      <selection pane="bottomLeft" activeCell="J16" sqref="J16"/>
    </sheetView>
  </sheetViews>
  <sheetFormatPr defaultRowHeight="12.75" customHeight="1"/>
  <cols>
    <col min="1" max="1" width="11.5" style="246" customWidth="1"/>
    <col min="2" max="2" width="8.5" style="59" customWidth="1"/>
    <col min="3" max="3" width="7.125" style="10" customWidth="1"/>
    <col min="4" max="4" width="7.375" style="10" customWidth="1"/>
    <col min="5" max="5" width="14.5" style="10" customWidth="1"/>
    <col min="6" max="7" width="8.125" style="10" customWidth="1"/>
    <col min="8" max="8" width="14" style="10" customWidth="1"/>
    <col min="9" max="10" width="8.125" style="10" customWidth="1"/>
    <col min="11" max="11" width="14.875" style="10" customWidth="1"/>
    <col min="12" max="12" width="9.75" style="59" customWidth="1"/>
    <col min="13" max="14" width="9.75" style="10" customWidth="1"/>
    <col min="15" max="15" width="9.125" style="59" bestFit="1" customWidth="1"/>
    <col min="16" max="16" width="32.75" style="10" customWidth="1"/>
    <col min="17" max="17" width="23.625" style="10" customWidth="1"/>
    <col min="18" max="263" width="8.75" style="10"/>
    <col min="264" max="264" width="11.5" style="10" customWidth="1"/>
    <col min="265" max="265" width="8.5" style="10" customWidth="1"/>
    <col min="266" max="266" width="7.125" style="10" customWidth="1"/>
    <col min="267" max="267" width="7.375" style="10" customWidth="1"/>
    <col min="268" max="268" width="5.5" style="10" customWidth="1"/>
    <col min="269" max="270" width="9.75" style="10" customWidth="1"/>
    <col min="271" max="271" width="9.125" style="10" bestFit="1" customWidth="1"/>
    <col min="272" max="272" width="32.75" style="10" customWidth="1"/>
    <col min="273" max="273" width="14.125" style="10" customWidth="1"/>
    <col min="274" max="519" width="8.75" style="10"/>
    <col min="520" max="520" width="11.5" style="10" customWidth="1"/>
    <col min="521" max="521" width="8.5" style="10" customWidth="1"/>
    <col min="522" max="522" width="7.125" style="10" customWidth="1"/>
    <col min="523" max="523" width="7.375" style="10" customWidth="1"/>
    <col min="524" max="524" width="5.5" style="10" customWidth="1"/>
    <col min="525" max="526" width="9.75" style="10" customWidth="1"/>
    <col min="527" max="527" width="9.125" style="10" bestFit="1" customWidth="1"/>
    <col min="528" max="528" width="32.75" style="10" customWidth="1"/>
    <col min="529" max="529" width="14.125" style="10" customWidth="1"/>
    <col min="530" max="775" width="8.75" style="10"/>
    <col min="776" max="776" width="11.5" style="10" customWidth="1"/>
    <col min="777" max="777" width="8.5" style="10" customWidth="1"/>
    <col min="778" max="778" width="7.125" style="10" customWidth="1"/>
    <col min="779" max="779" width="7.375" style="10" customWidth="1"/>
    <col min="780" max="780" width="5.5" style="10" customWidth="1"/>
    <col min="781" max="782" width="9.75" style="10" customWidth="1"/>
    <col min="783" max="783" width="9.125" style="10" bestFit="1" customWidth="1"/>
    <col min="784" max="784" width="32.75" style="10" customWidth="1"/>
    <col min="785" max="785" width="14.125" style="10" customWidth="1"/>
    <col min="786" max="1031" width="8.75" style="10"/>
    <col min="1032" max="1032" width="11.5" style="10" customWidth="1"/>
    <col min="1033" max="1033" width="8.5" style="10" customWidth="1"/>
    <col min="1034" max="1034" width="7.125" style="10" customWidth="1"/>
    <col min="1035" max="1035" width="7.375" style="10" customWidth="1"/>
    <col min="1036" max="1036" width="5.5" style="10" customWidth="1"/>
    <col min="1037" max="1038" width="9.75" style="10" customWidth="1"/>
    <col min="1039" max="1039" width="9.125" style="10" bestFit="1" customWidth="1"/>
    <col min="1040" max="1040" width="32.75" style="10" customWidth="1"/>
    <col min="1041" max="1041" width="14.125" style="10" customWidth="1"/>
    <col min="1042" max="1287" width="8.75" style="10"/>
    <col min="1288" max="1288" width="11.5" style="10" customWidth="1"/>
    <col min="1289" max="1289" width="8.5" style="10" customWidth="1"/>
    <col min="1290" max="1290" width="7.125" style="10" customWidth="1"/>
    <col min="1291" max="1291" width="7.375" style="10" customWidth="1"/>
    <col min="1292" max="1292" width="5.5" style="10" customWidth="1"/>
    <col min="1293" max="1294" width="9.75" style="10" customWidth="1"/>
    <col min="1295" max="1295" width="9.125" style="10" bestFit="1" customWidth="1"/>
    <col min="1296" max="1296" width="32.75" style="10" customWidth="1"/>
    <col min="1297" max="1297" width="14.125" style="10" customWidth="1"/>
    <col min="1298" max="1543" width="8.75" style="10"/>
    <col min="1544" max="1544" width="11.5" style="10" customWidth="1"/>
    <col min="1545" max="1545" width="8.5" style="10" customWidth="1"/>
    <col min="1546" max="1546" width="7.125" style="10" customWidth="1"/>
    <col min="1547" max="1547" width="7.375" style="10" customWidth="1"/>
    <col min="1548" max="1548" width="5.5" style="10" customWidth="1"/>
    <col min="1549" max="1550" width="9.75" style="10" customWidth="1"/>
    <col min="1551" max="1551" width="9.125" style="10" bestFit="1" customWidth="1"/>
    <col min="1552" max="1552" width="32.75" style="10" customWidth="1"/>
    <col min="1553" max="1553" width="14.125" style="10" customWidth="1"/>
    <col min="1554" max="1799" width="8.75" style="10"/>
    <col min="1800" max="1800" width="11.5" style="10" customWidth="1"/>
    <col min="1801" max="1801" width="8.5" style="10" customWidth="1"/>
    <col min="1802" max="1802" width="7.125" style="10" customWidth="1"/>
    <col min="1803" max="1803" width="7.375" style="10" customWidth="1"/>
    <col min="1804" max="1804" width="5.5" style="10" customWidth="1"/>
    <col min="1805" max="1806" width="9.75" style="10" customWidth="1"/>
    <col min="1807" max="1807" width="9.125" style="10" bestFit="1" customWidth="1"/>
    <col min="1808" max="1808" width="32.75" style="10" customWidth="1"/>
    <col min="1809" max="1809" width="14.125" style="10" customWidth="1"/>
    <col min="1810" max="2055" width="8.75" style="10"/>
    <col min="2056" max="2056" width="11.5" style="10" customWidth="1"/>
    <col min="2057" max="2057" width="8.5" style="10" customWidth="1"/>
    <col min="2058" max="2058" width="7.125" style="10" customWidth="1"/>
    <col min="2059" max="2059" width="7.375" style="10" customWidth="1"/>
    <col min="2060" max="2060" width="5.5" style="10" customWidth="1"/>
    <col min="2061" max="2062" width="9.75" style="10" customWidth="1"/>
    <col min="2063" max="2063" width="9.125" style="10" bestFit="1" customWidth="1"/>
    <col min="2064" max="2064" width="32.75" style="10" customWidth="1"/>
    <col min="2065" max="2065" width="14.125" style="10" customWidth="1"/>
    <col min="2066" max="2311" width="8.75" style="10"/>
    <col min="2312" max="2312" width="11.5" style="10" customWidth="1"/>
    <col min="2313" max="2313" width="8.5" style="10" customWidth="1"/>
    <col min="2314" max="2314" width="7.125" style="10" customWidth="1"/>
    <col min="2315" max="2315" width="7.375" style="10" customWidth="1"/>
    <col min="2316" max="2316" width="5.5" style="10" customWidth="1"/>
    <col min="2317" max="2318" width="9.75" style="10" customWidth="1"/>
    <col min="2319" max="2319" width="9.125" style="10" bestFit="1" customWidth="1"/>
    <col min="2320" max="2320" width="32.75" style="10" customWidth="1"/>
    <col min="2321" max="2321" width="14.125" style="10" customWidth="1"/>
    <col min="2322" max="2567" width="8.75" style="10"/>
    <col min="2568" max="2568" width="11.5" style="10" customWidth="1"/>
    <col min="2569" max="2569" width="8.5" style="10" customWidth="1"/>
    <col min="2570" max="2570" width="7.125" style="10" customWidth="1"/>
    <col min="2571" max="2571" width="7.375" style="10" customWidth="1"/>
    <col min="2572" max="2572" width="5.5" style="10" customWidth="1"/>
    <col min="2573" max="2574" width="9.75" style="10" customWidth="1"/>
    <col min="2575" max="2575" width="9.125" style="10" bestFit="1" customWidth="1"/>
    <col min="2576" max="2576" width="32.75" style="10" customWidth="1"/>
    <col min="2577" max="2577" width="14.125" style="10" customWidth="1"/>
    <col min="2578" max="2823" width="8.75" style="10"/>
    <col min="2824" max="2824" width="11.5" style="10" customWidth="1"/>
    <col min="2825" max="2825" width="8.5" style="10" customWidth="1"/>
    <col min="2826" max="2826" width="7.125" style="10" customWidth="1"/>
    <col min="2827" max="2827" width="7.375" style="10" customWidth="1"/>
    <col min="2828" max="2828" width="5.5" style="10" customWidth="1"/>
    <col min="2829" max="2830" width="9.75" style="10" customWidth="1"/>
    <col min="2831" max="2831" width="9.125" style="10" bestFit="1" customWidth="1"/>
    <col min="2832" max="2832" width="32.75" style="10" customWidth="1"/>
    <col min="2833" max="2833" width="14.125" style="10" customWidth="1"/>
    <col min="2834" max="3079" width="8.75" style="10"/>
    <col min="3080" max="3080" width="11.5" style="10" customWidth="1"/>
    <col min="3081" max="3081" width="8.5" style="10" customWidth="1"/>
    <col min="3082" max="3082" width="7.125" style="10" customWidth="1"/>
    <col min="3083" max="3083" width="7.375" style="10" customWidth="1"/>
    <col min="3084" max="3084" width="5.5" style="10" customWidth="1"/>
    <col min="3085" max="3086" width="9.75" style="10" customWidth="1"/>
    <col min="3087" max="3087" width="9.125" style="10" bestFit="1" customWidth="1"/>
    <col min="3088" max="3088" width="32.75" style="10" customWidth="1"/>
    <col min="3089" max="3089" width="14.125" style="10" customWidth="1"/>
    <col min="3090" max="3335" width="8.75" style="10"/>
    <col min="3336" max="3336" width="11.5" style="10" customWidth="1"/>
    <col min="3337" max="3337" width="8.5" style="10" customWidth="1"/>
    <col min="3338" max="3338" width="7.125" style="10" customWidth="1"/>
    <col min="3339" max="3339" width="7.375" style="10" customWidth="1"/>
    <col min="3340" max="3340" width="5.5" style="10" customWidth="1"/>
    <col min="3341" max="3342" width="9.75" style="10" customWidth="1"/>
    <col min="3343" max="3343" width="9.125" style="10" bestFit="1" customWidth="1"/>
    <col min="3344" max="3344" width="32.75" style="10" customWidth="1"/>
    <col min="3345" max="3345" width="14.125" style="10" customWidth="1"/>
    <col min="3346" max="3591" width="8.75" style="10"/>
    <col min="3592" max="3592" width="11.5" style="10" customWidth="1"/>
    <col min="3593" max="3593" width="8.5" style="10" customWidth="1"/>
    <col min="3594" max="3594" width="7.125" style="10" customWidth="1"/>
    <col min="3595" max="3595" width="7.375" style="10" customWidth="1"/>
    <col min="3596" max="3596" width="5.5" style="10" customWidth="1"/>
    <col min="3597" max="3598" width="9.75" style="10" customWidth="1"/>
    <col min="3599" max="3599" width="9.125" style="10" bestFit="1" customWidth="1"/>
    <col min="3600" max="3600" width="32.75" style="10" customWidth="1"/>
    <col min="3601" max="3601" width="14.125" style="10" customWidth="1"/>
    <col min="3602" max="3847" width="8.75" style="10"/>
    <col min="3848" max="3848" width="11.5" style="10" customWidth="1"/>
    <col min="3849" max="3849" width="8.5" style="10" customWidth="1"/>
    <col min="3850" max="3850" width="7.125" style="10" customWidth="1"/>
    <col min="3851" max="3851" width="7.375" style="10" customWidth="1"/>
    <col min="3852" max="3852" width="5.5" style="10" customWidth="1"/>
    <col min="3853" max="3854" width="9.75" style="10" customWidth="1"/>
    <col min="3855" max="3855" width="9.125" style="10" bestFit="1" customWidth="1"/>
    <col min="3856" max="3856" width="32.75" style="10" customWidth="1"/>
    <col min="3857" max="3857" width="14.125" style="10" customWidth="1"/>
    <col min="3858" max="4103" width="8.75" style="10"/>
    <col min="4104" max="4104" width="11.5" style="10" customWidth="1"/>
    <col min="4105" max="4105" width="8.5" style="10" customWidth="1"/>
    <col min="4106" max="4106" width="7.125" style="10" customWidth="1"/>
    <col min="4107" max="4107" width="7.375" style="10" customWidth="1"/>
    <col min="4108" max="4108" width="5.5" style="10" customWidth="1"/>
    <col min="4109" max="4110" width="9.75" style="10" customWidth="1"/>
    <col min="4111" max="4111" width="9.125" style="10" bestFit="1" customWidth="1"/>
    <col min="4112" max="4112" width="32.75" style="10" customWidth="1"/>
    <col min="4113" max="4113" width="14.125" style="10" customWidth="1"/>
    <col min="4114" max="4359" width="8.75" style="10"/>
    <col min="4360" max="4360" width="11.5" style="10" customWidth="1"/>
    <col min="4361" max="4361" width="8.5" style="10" customWidth="1"/>
    <col min="4362" max="4362" width="7.125" style="10" customWidth="1"/>
    <col min="4363" max="4363" width="7.375" style="10" customWidth="1"/>
    <col min="4364" max="4364" width="5.5" style="10" customWidth="1"/>
    <col min="4365" max="4366" width="9.75" style="10" customWidth="1"/>
    <col min="4367" max="4367" width="9.125" style="10" bestFit="1" customWidth="1"/>
    <col min="4368" max="4368" width="32.75" style="10" customWidth="1"/>
    <col min="4369" max="4369" width="14.125" style="10" customWidth="1"/>
    <col min="4370" max="4615" width="8.75" style="10"/>
    <col min="4616" max="4616" width="11.5" style="10" customWidth="1"/>
    <col min="4617" max="4617" width="8.5" style="10" customWidth="1"/>
    <col min="4618" max="4618" width="7.125" style="10" customWidth="1"/>
    <col min="4619" max="4619" width="7.375" style="10" customWidth="1"/>
    <col min="4620" max="4620" width="5.5" style="10" customWidth="1"/>
    <col min="4621" max="4622" width="9.75" style="10" customWidth="1"/>
    <col min="4623" max="4623" width="9.125" style="10" bestFit="1" customWidth="1"/>
    <col min="4624" max="4624" width="32.75" style="10" customWidth="1"/>
    <col min="4625" max="4625" width="14.125" style="10" customWidth="1"/>
    <col min="4626" max="4871" width="8.75" style="10"/>
    <col min="4872" max="4872" width="11.5" style="10" customWidth="1"/>
    <col min="4873" max="4873" width="8.5" style="10" customWidth="1"/>
    <col min="4874" max="4874" width="7.125" style="10" customWidth="1"/>
    <col min="4875" max="4875" width="7.375" style="10" customWidth="1"/>
    <col min="4876" max="4876" width="5.5" style="10" customWidth="1"/>
    <col min="4877" max="4878" width="9.75" style="10" customWidth="1"/>
    <col min="4879" max="4879" width="9.125" style="10" bestFit="1" customWidth="1"/>
    <col min="4880" max="4880" width="32.75" style="10" customWidth="1"/>
    <col min="4881" max="4881" width="14.125" style="10" customWidth="1"/>
    <col min="4882" max="5127" width="8.75" style="10"/>
    <col min="5128" max="5128" width="11.5" style="10" customWidth="1"/>
    <col min="5129" max="5129" width="8.5" style="10" customWidth="1"/>
    <col min="5130" max="5130" width="7.125" style="10" customWidth="1"/>
    <col min="5131" max="5131" width="7.375" style="10" customWidth="1"/>
    <col min="5132" max="5132" width="5.5" style="10" customWidth="1"/>
    <col min="5133" max="5134" width="9.75" style="10" customWidth="1"/>
    <col min="5135" max="5135" width="9.125" style="10" bestFit="1" customWidth="1"/>
    <col min="5136" max="5136" width="32.75" style="10" customWidth="1"/>
    <col min="5137" max="5137" width="14.125" style="10" customWidth="1"/>
    <col min="5138" max="5383" width="8.75" style="10"/>
    <col min="5384" max="5384" width="11.5" style="10" customWidth="1"/>
    <col min="5385" max="5385" width="8.5" style="10" customWidth="1"/>
    <col min="5386" max="5386" width="7.125" style="10" customWidth="1"/>
    <col min="5387" max="5387" width="7.375" style="10" customWidth="1"/>
    <col min="5388" max="5388" width="5.5" style="10" customWidth="1"/>
    <col min="5389" max="5390" width="9.75" style="10" customWidth="1"/>
    <col min="5391" max="5391" width="9.125" style="10" bestFit="1" customWidth="1"/>
    <col min="5392" max="5392" width="32.75" style="10" customWidth="1"/>
    <col min="5393" max="5393" width="14.125" style="10" customWidth="1"/>
    <col min="5394" max="5639" width="8.75" style="10"/>
    <col min="5640" max="5640" width="11.5" style="10" customWidth="1"/>
    <col min="5641" max="5641" width="8.5" style="10" customWidth="1"/>
    <col min="5642" max="5642" width="7.125" style="10" customWidth="1"/>
    <col min="5643" max="5643" width="7.375" style="10" customWidth="1"/>
    <col min="5644" max="5644" width="5.5" style="10" customWidth="1"/>
    <col min="5645" max="5646" width="9.75" style="10" customWidth="1"/>
    <col min="5647" max="5647" width="9.125" style="10" bestFit="1" customWidth="1"/>
    <col min="5648" max="5648" width="32.75" style="10" customWidth="1"/>
    <col min="5649" max="5649" width="14.125" style="10" customWidth="1"/>
    <col min="5650" max="5895" width="8.75" style="10"/>
    <col min="5896" max="5896" width="11.5" style="10" customWidth="1"/>
    <col min="5897" max="5897" width="8.5" style="10" customWidth="1"/>
    <col min="5898" max="5898" width="7.125" style="10" customWidth="1"/>
    <col min="5899" max="5899" width="7.375" style="10" customWidth="1"/>
    <col min="5900" max="5900" width="5.5" style="10" customWidth="1"/>
    <col min="5901" max="5902" width="9.75" style="10" customWidth="1"/>
    <col min="5903" max="5903" width="9.125" style="10" bestFit="1" customWidth="1"/>
    <col min="5904" max="5904" width="32.75" style="10" customWidth="1"/>
    <col min="5905" max="5905" width="14.125" style="10" customWidth="1"/>
    <col min="5906" max="6151" width="8.75" style="10"/>
    <col min="6152" max="6152" width="11.5" style="10" customWidth="1"/>
    <col min="6153" max="6153" width="8.5" style="10" customWidth="1"/>
    <col min="6154" max="6154" width="7.125" style="10" customWidth="1"/>
    <col min="6155" max="6155" width="7.375" style="10" customWidth="1"/>
    <col min="6156" max="6156" width="5.5" style="10" customWidth="1"/>
    <col min="6157" max="6158" width="9.75" style="10" customWidth="1"/>
    <col min="6159" max="6159" width="9.125" style="10" bestFit="1" customWidth="1"/>
    <col min="6160" max="6160" width="32.75" style="10" customWidth="1"/>
    <col min="6161" max="6161" width="14.125" style="10" customWidth="1"/>
    <col min="6162" max="6407" width="8.75" style="10"/>
    <col min="6408" max="6408" width="11.5" style="10" customWidth="1"/>
    <col min="6409" max="6409" width="8.5" style="10" customWidth="1"/>
    <col min="6410" max="6410" width="7.125" style="10" customWidth="1"/>
    <col min="6411" max="6411" width="7.375" style="10" customWidth="1"/>
    <col min="6412" max="6412" width="5.5" style="10" customWidth="1"/>
    <col min="6413" max="6414" width="9.75" style="10" customWidth="1"/>
    <col min="6415" max="6415" width="9.125" style="10" bestFit="1" customWidth="1"/>
    <col min="6416" max="6416" width="32.75" style="10" customWidth="1"/>
    <col min="6417" max="6417" width="14.125" style="10" customWidth="1"/>
    <col min="6418" max="6663" width="8.75" style="10"/>
    <col min="6664" max="6664" width="11.5" style="10" customWidth="1"/>
    <col min="6665" max="6665" width="8.5" style="10" customWidth="1"/>
    <col min="6666" max="6666" width="7.125" style="10" customWidth="1"/>
    <col min="6667" max="6667" width="7.375" style="10" customWidth="1"/>
    <col min="6668" max="6668" width="5.5" style="10" customWidth="1"/>
    <col min="6669" max="6670" width="9.75" style="10" customWidth="1"/>
    <col min="6671" max="6671" width="9.125" style="10" bestFit="1" customWidth="1"/>
    <col min="6672" max="6672" width="32.75" style="10" customWidth="1"/>
    <col min="6673" max="6673" width="14.125" style="10" customWidth="1"/>
    <col min="6674" max="6919" width="8.75" style="10"/>
    <col min="6920" max="6920" width="11.5" style="10" customWidth="1"/>
    <col min="6921" max="6921" width="8.5" style="10" customWidth="1"/>
    <col min="6922" max="6922" width="7.125" style="10" customWidth="1"/>
    <col min="6923" max="6923" width="7.375" style="10" customWidth="1"/>
    <col min="6924" max="6924" width="5.5" style="10" customWidth="1"/>
    <col min="6925" max="6926" width="9.75" style="10" customWidth="1"/>
    <col min="6927" max="6927" width="9.125" style="10" bestFit="1" customWidth="1"/>
    <col min="6928" max="6928" width="32.75" style="10" customWidth="1"/>
    <col min="6929" max="6929" width="14.125" style="10" customWidth="1"/>
    <col min="6930" max="7175" width="8.75" style="10"/>
    <col min="7176" max="7176" width="11.5" style="10" customWidth="1"/>
    <col min="7177" max="7177" width="8.5" style="10" customWidth="1"/>
    <col min="7178" max="7178" width="7.125" style="10" customWidth="1"/>
    <col min="7179" max="7179" width="7.375" style="10" customWidth="1"/>
    <col min="7180" max="7180" width="5.5" style="10" customWidth="1"/>
    <col min="7181" max="7182" width="9.75" style="10" customWidth="1"/>
    <col min="7183" max="7183" width="9.125" style="10" bestFit="1" customWidth="1"/>
    <col min="7184" max="7184" width="32.75" style="10" customWidth="1"/>
    <col min="7185" max="7185" width="14.125" style="10" customWidth="1"/>
    <col min="7186" max="7431" width="8.75" style="10"/>
    <col min="7432" max="7432" width="11.5" style="10" customWidth="1"/>
    <col min="7433" max="7433" width="8.5" style="10" customWidth="1"/>
    <col min="7434" max="7434" width="7.125" style="10" customWidth="1"/>
    <col min="7435" max="7435" width="7.375" style="10" customWidth="1"/>
    <col min="7436" max="7436" width="5.5" style="10" customWidth="1"/>
    <col min="7437" max="7438" width="9.75" style="10" customWidth="1"/>
    <col min="7439" max="7439" width="9.125" style="10" bestFit="1" customWidth="1"/>
    <col min="7440" max="7440" width="32.75" style="10" customWidth="1"/>
    <col min="7441" max="7441" width="14.125" style="10" customWidth="1"/>
    <col min="7442" max="7687" width="8.75" style="10"/>
    <col min="7688" max="7688" width="11.5" style="10" customWidth="1"/>
    <col min="7689" max="7689" width="8.5" style="10" customWidth="1"/>
    <col min="7690" max="7690" width="7.125" style="10" customWidth="1"/>
    <col min="7691" max="7691" width="7.375" style="10" customWidth="1"/>
    <col min="7692" max="7692" width="5.5" style="10" customWidth="1"/>
    <col min="7693" max="7694" width="9.75" style="10" customWidth="1"/>
    <col min="7695" max="7695" width="9.125" style="10" bestFit="1" customWidth="1"/>
    <col min="7696" max="7696" width="32.75" style="10" customWidth="1"/>
    <col min="7697" max="7697" width="14.125" style="10" customWidth="1"/>
    <col min="7698" max="7943" width="8.75" style="10"/>
    <col min="7944" max="7944" width="11.5" style="10" customWidth="1"/>
    <col min="7945" max="7945" width="8.5" style="10" customWidth="1"/>
    <col min="7946" max="7946" width="7.125" style="10" customWidth="1"/>
    <col min="7947" max="7947" width="7.375" style="10" customWidth="1"/>
    <col min="7948" max="7948" width="5.5" style="10" customWidth="1"/>
    <col min="7949" max="7950" width="9.75" style="10" customWidth="1"/>
    <col min="7951" max="7951" width="9.125" style="10" bestFit="1" customWidth="1"/>
    <col min="7952" max="7952" width="32.75" style="10" customWidth="1"/>
    <col min="7953" max="7953" width="14.125" style="10" customWidth="1"/>
    <col min="7954" max="8199" width="8.75" style="10"/>
    <col min="8200" max="8200" width="11.5" style="10" customWidth="1"/>
    <col min="8201" max="8201" width="8.5" style="10" customWidth="1"/>
    <col min="8202" max="8202" width="7.125" style="10" customWidth="1"/>
    <col min="8203" max="8203" width="7.375" style="10" customWidth="1"/>
    <col min="8204" max="8204" width="5.5" style="10" customWidth="1"/>
    <col min="8205" max="8206" width="9.75" style="10" customWidth="1"/>
    <col min="8207" max="8207" width="9.125" style="10" bestFit="1" customWidth="1"/>
    <col min="8208" max="8208" width="32.75" style="10" customWidth="1"/>
    <col min="8209" max="8209" width="14.125" style="10" customWidth="1"/>
    <col min="8210" max="8455" width="8.75" style="10"/>
    <col min="8456" max="8456" width="11.5" style="10" customWidth="1"/>
    <col min="8457" max="8457" width="8.5" style="10" customWidth="1"/>
    <col min="8458" max="8458" width="7.125" style="10" customWidth="1"/>
    <col min="8459" max="8459" width="7.375" style="10" customWidth="1"/>
    <col min="8460" max="8460" width="5.5" style="10" customWidth="1"/>
    <col min="8461" max="8462" width="9.75" style="10" customWidth="1"/>
    <col min="8463" max="8463" width="9.125" style="10" bestFit="1" customWidth="1"/>
    <col min="8464" max="8464" width="32.75" style="10" customWidth="1"/>
    <col min="8465" max="8465" width="14.125" style="10" customWidth="1"/>
    <col min="8466" max="8711" width="8.75" style="10"/>
    <col min="8712" max="8712" width="11.5" style="10" customWidth="1"/>
    <col min="8713" max="8713" width="8.5" style="10" customWidth="1"/>
    <col min="8714" max="8714" width="7.125" style="10" customWidth="1"/>
    <col min="8715" max="8715" width="7.375" style="10" customWidth="1"/>
    <col min="8716" max="8716" width="5.5" style="10" customWidth="1"/>
    <col min="8717" max="8718" width="9.75" style="10" customWidth="1"/>
    <col min="8719" max="8719" width="9.125" style="10" bestFit="1" customWidth="1"/>
    <col min="8720" max="8720" width="32.75" style="10" customWidth="1"/>
    <col min="8721" max="8721" width="14.125" style="10" customWidth="1"/>
    <col min="8722" max="8967" width="8.75" style="10"/>
    <col min="8968" max="8968" width="11.5" style="10" customWidth="1"/>
    <col min="8969" max="8969" width="8.5" style="10" customWidth="1"/>
    <col min="8970" max="8970" width="7.125" style="10" customWidth="1"/>
    <col min="8971" max="8971" width="7.375" style="10" customWidth="1"/>
    <col min="8972" max="8972" width="5.5" style="10" customWidth="1"/>
    <col min="8973" max="8974" width="9.75" style="10" customWidth="1"/>
    <col min="8975" max="8975" width="9.125" style="10" bestFit="1" customWidth="1"/>
    <col min="8976" max="8976" width="32.75" style="10" customWidth="1"/>
    <col min="8977" max="8977" width="14.125" style="10" customWidth="1"/>
    <col min="8978" max="9223" width="8.75" style="10"/>
    <col min="9224" max="9224" width="11.5" style="10" customWidth="1"/>
    <col min="9225" max="9225" width="8.5" style="10" customWidth="1"/>
    <col min="9226" max="9226" width="7.125" style="10" customWidth="1"/>
    <col min="9227" max="9227" width="7.375" style="10" customWidth="1"/>
    <col min="9228" max="9228" width="5.5" style="10" customWidth="1"/>
    <col min="9229" max="9230" width="9.75" style="10" customWidth="1"/>
    <col min="9231" max="9231" width="9.125" style="10" bestFit="1" customWidth="1"/>
    <col min="9232" max="9232" width="32.75" style="10" customWidth="1"/>
    <col min="9233" max="9233" width="14.125" style="10" customWidth="1"/>
    <col min="9234" max="9479" width="8.75" style="10"/>
    <col min="9480" max="9480" width="11.5" style="10" customWidth="1"/>
    <col min="9481" max="9481" width="8.5" style="10" customWidth="1"/>
    <col min="9482" max="9482" width="7.125" style="10" customWidth="1"/>
    <col min="9483" max="9483" width="7.375" style="10" customWidth="1"/>
    <col min="9484" max="9484" width="5.5" style="10" customWidth="1"/>
    <col min="9485" max="9486" width="9.75" style="10" customWidth="1"/>
    <col min="9487" max="9487" width="9.125" style="10" bestFit="1" customWidth="1"/>
    <col min="9488" max="9488" width="32.75" style="10" customWidth="1"/>
    <col min="9489" max="9489" width="14.125" style="10" customWidth="1"/>
    <col min="9490" max="9735" width="8.75" style="10"/>
    <col min="9736" max="9736" width="11.5" style="10" customWidth="1"/>
    <col min="9737" max="9737" width="8.5" style="10" customWidth="1"/>
    <col min="9738" max="9738" width="7.125" style="10" customWidth="1"/>
    <col min="9739" max="9739" width="7.375" style="10" customWidth="1"/>
    <col min="9740" max="9740" width="5.5" style="10" customWidth="1"/>
    <col min="9741" max="9742" width="9.75" style="10" customWidth="1"/>
    <col min="9743" max="9743" width="9.125" style="10" bestFit="1" customWidth="1"/>
    <col min="9744" max="9744" width="32.75" style="10" customWidth="1"/>
    <col min="9745" max="9745" width="14.125" style="10" customWidth="1"/>
    <col min="9746" max="9991" width="8.75" style="10"/>
    <col min="9992" max="9992" width="11.5" style="10" customWidth="1"/>
    <col min="9993" max="9993" width="8.5" style="10" customWidth="1"/>
    <col min="9994" max="9994" width="7.125" style="10" customWidth="1"/>
    <col min="9995" max="9995" width="7.375" style="10" customWidth="1"/>
    <col min="9996" max="9996" width="5.5" style="10" customWidth="1"/>
    <col min="9997" max="9998" width="9.75" style="10" customWidth="1"/>
    <col min="9999" max="9999" width="9.125" style="10" bestFit="1" customWidth="1"/>
    <col min="10000" max="10000" width="32.75" style="10" customWidth="1"/>
    <col min="10001" max="10001" width="14.125" style="10" customWidth="1"/>
    <col min="10002" max="10247" width="8.75" style="10"/>
    <col min="10248" max="10248" width="11.5" style="10" customWidth="1"/>
    <col min="10249" max="10249" width="8.5" style="10" customWidth="1"/>
    <col min="10250" max="10250" width="7.125" style="10" customWidth="1"/>
    <col min="10251" max="10251" width="7.375" style="10" customWidth="1"/>
    <col min="10252" max="10252" width="5.5" style="10" customWidth="1"/>
    <col min="10253" max="10254" width="9.75" style="10" customWidth="1"/>
    <col min="10255" max="10255" width="9.125" style="10" bestFit="1" customWidth="1"/>
    <col min="10256" max="10256" width="32.75" style="10" customWidth="1"/>
    <col min="10257" max="10257" width="14.125" style="10" customWidth="1"/>
    <col min="10258" max="10503" width="8.75" style="10"/>
    <col min="10504" max="10504" width="11.5" style="10" customWidth="1"/>
    <col min="10505" max="10505" width="8.5" style="10" customWidth="1"/>
    <col min="10506" max="10506" width="7.125" style="10" customWidth="1"/>
    <col min="10507" max="10507" width="7.375" style="10" customWidth="1"/>
    <col min="10508" max="10508" width="5.5" style="10" customWidth="1"/>
    <col min="10509" max="10510" width="9.75" style="10" customWidth="1"/>
    <col min="10511" max="10511" width="9.125" style="10" bestFit="1" customWidth="1"/>
    <col min="10512" max="10512" width="32.75" style="10" customWidth="1"/>
    <col min="10513" max="10513" width="14.125" style="10" customWidth="1"/>
    <col min="10514" max="10759" width="8.75" style="10"/>
    <col min="10760" max="10760" width="11.5" style="10" customWidth="1"/>
    <col min="10761" max="10761" width="8.5" style="10" customWidth="1"/>
    <col min="10762" max="10762" width="7.125" style="10" customWidth="1"/>
    <col min="10763" max="10763" width="7.375" style="10" customWidth="1"/>
    <col min="10764" max="10764" width="5.5" style="10" customWidth="1"/>
    <col min="10765" max="10766" width="9.75" style="10" customWidth="1"/>
    <col min="10767" max="10767" width="9.125" style="10" bestFit="1" customWidth="1"/>
    <col min="10768" max="10768" width="32.75" style="10" customWidth="1"/>
    <col min="10769" max="10769" width="14.125" style="10" customWidth="1"/>
    <col min="10770" max="11015" width="8.75" style="10"/>
    <col min="11016" max="11016" width="11.5" style="10" customWidth="1"/>
    <col min="11017" max="11017" width="8.5" style="10" customWidth="1"/>
    <col min="11018" max="11018" width="7.125" style="10" customWidth="1"/>
    <col min="11019" max="11019" width="7.375" style="10" customWidth="1"/>
    <col min="11020" max="11020" width="5.5" style="10" customWidth="1"/>
    <col min="11021" max="11022" width="9.75" style="10" customWidth="1"/>
    <col min="11023" max="11023" width="9.125" style="10" bestFit="1" customWidth="1"/>
    <col min="11024" max="11024" width="32.75" style="10" customWidth="1"/>
    <col min="11025" max="11025" width="14.125" style="10" customWidth="1"/>
    <col min="11026" max="11271" width="8.75" style="10"/>
    <col min="11272" max="11272" width="11.5" style="10" customWidth="1"/>
    <col min="11273" max="11273" width="8.5" style="10" customWidth="1"/>
    <col min="11274" max="11274" width="7.125" style="10" customWidth="1"/>
    <col min="11275" max="11275" width="7.375" style="10" customWidth="1"/>
    <col min="11276" max="11276" width="5.5" style="10" customWidth="1"/>
    <col min="11277" max="11278" width="9.75" style="10" customWidth="1"/>
    <col min="11279" max="11279" width="9.125" style="10" bestFit="1" customWidth="1"/>
    <col min="11280" max="11280" width="32.75" style="10" customWidth="1"/>
    <col min="11281" max="11281" width="14.125" style="10" customWidth="1"/>
    <col min="11282" max="11527" width="8.75" style="10"/>
    <col min="11528" max="11528" width="11.5" style="10" customWidth="1"/>
    <col min="11529" max="11529" width="8.5" style="10" customWidth="1"/>
    <col min="11530" max="11530" width="7.125" style="10" customWidth="1"/>
    <col min="11531" max="11531" width="7.375" style="10" customWidth="1"/>
    <col min="11532" max="11532" width="5.5" style="10" customWidth="1"/>
    <col min="11533" max="11534" width="9.75" style="10" customWidth="1"/>
    <col min="11535" max="11535" width="9.125" style="10" bestFit="1" customWidth="1"/>
    <col min="11536" max="11536" width="32.75" style="10" customWidth="1"/>
    <col min="11537" max="11537" width="14.125" style="10" customWidth="1"/>
    <col min="11538" max="11783" width="8.75" style="10"/>
    <col min="11784" max="11784" width="11.5" style="10" customWidth="1"/>
    <col min="11785" max="11785" width="8.5" style="10" customWidth="1"/>
    <col min="11786" max="11786" width="7.125" style="10" customWidth="1"/>
    <col min="11787" max="11787" width="7.375" style="10" customWidth="1"/>
    <col min="11788" max="11788" width="5.5" style="10" customWidth="1"/>
    <col min="11789" max="11790" width="9.75" style="10" customWidth="1"/>
    <col min="11791" max="11791" width="9.125" style="10" bestFit="1" customWidth="1"/>
    <col min="11792" max="11792" width="32.75" style="10" customWidth="1"/>
    <col min="11793" max="11793" width="14.125" style="10" customWidth="1"/>
    <col min="11794" max="12039" width="8.75" style="10"/>
    <col min="12040" max="12040" width="11.5" style="10" customWidth="1"/>
    <col min="12041" max="12041" width="8.5" style="10" customWidth="1"/>
    <col min="12042" max="12042" width="7.125" style="10" customWidth="1"/>
    <col min="12043" max="12043" width="7.375" style="10" customWidth="1"/>
    <col min="12044" max="12044" width="5.5" style="10" customWidth="1"/>
    <col min="12045" max="12046" width="9.75" style="10" customWidth="1"/>
    <col min="12047" max="12047" width="9.125" style="10" bestFit="1" customWidth="1"/>
    <col min="12048" max="12048" width="32.75" style="10" customWidth="1"/>
    <col min="12049" max="12049" width="14.125" style="10" customWidth="1"/>
    <col min="12050" max="12295" width="8.75" style="10"/>
    <col min="12296" max="12296" width="11.5" style="10" customWidth="1"/>
    <col min="12297" max="12297" width="8.5" style="10" customWidth="1"/>
    <col min="12298" max="12298" width="7.125" style="10" customWidth="1"/>
    <col min="12299" max="12299" width="7.375" style="10" customWidth="1"/>
    <col min="12300" max="12300" width="5.5" style="10" customWidth="1"/>
    <col min="12301" max="12302" width="9.75" style="10" customWidth="1"/>
    <col min="12303" max="12303" width="9.125" style="10" bestFit="1" customWidth="1"/>
    <col min="12304" max="12304" width="32.75" style="10" customWidth="1"/>
    <col min="12305" max="12305" width="14.125" style="10" customWidth="1"/>
    <col min="12306" max="12551" width="8.75" style="10"/>
    <col min="12552" max="12552" width="11.5" style="10" customWidth="1"/>
    <col min="12553" max="12553" width="8.5" style="10" customWidth="1"/>
    <col min="12554" max="12554" width="7.125" style="10" customWidth="1"/>
    <col min="12555" max="12555" width="7.375" style="10" customWidth="1"/>
    <col min="12556" max="12556" width="5.5" style="10" customWidth="1"/>
    <col min="12557" max="12558" width="9.75" style="10" customWidth="1"/>
    <col min="12559" max="12559" width="9.125" style="10" bestFit="1" customWidth="1"/>
    <col min="12560" max="12560" width="32.75" style="10" customWidth="1"/>
    <col min="12561" max="12561" width="14.125" style="10" customWidth="1"/>
    <col min="12562" max="12807" width="8.75" style="10"/>
    <col min="12808" max="12808" width="11.5" style="10" customWidth="1"/>
    <col min="12809" max="12809" width="8.5" style="10" customWidth="1"/>
    <col min="12810" max="12810" width="7.125" style="10" customWidth="1"/>
    <col min="12811" max="12811" width="7.375" style="10" customWidth="1"/>
    <col min="12812" max="12812" width="5.5" style="10" customWidth="1"/>
    <col min="12813" max="12814" width="9.75" style="10" customWidth="1"/>
    <col min="12815" max="12815" width="9.125" style="10" bestFit="1" customWidth="1"/>
    <col min="12816" max="12816" width="32.75" style="10" customWidth="1"/>
    <col min="12817" max="12817" width="14.125" style="10" customWidth="1"/>
    <col min="12818" max="13063" width="8.75" style="10"/>
    <col min="13064" max="13064" width="11.5" style="10" customWidth="1"/>
    <col min="13065" max="13065" width="8.5" style="10" customWidth="1"/>
    <col min="13066" max="13066" width="7.125" style="10" customWidth="1"/>
    <col min="13067" max="13067" width="7.375" style="10" customWidth="1"/>
    <col min="13068" max="13068" width="5.5" style="10" customWidth="1"/>
    <col min="13069" max="13070" width="9.75" style="10" customWidth="1"/>
    <col min="13071" max="13071" width="9.125" style="10" bestFit="1" customWidth="1"/>
    <col min="13072" max="13072" width="32.75" style="10" customWidth="1"/>
    <col min="13073" max="13073" width="14.125" style="10" customWidth="1"/>
    <col min="13074" max="13319" width="8.75" style="10"/>
    <col min="13320" max="13320" width="11.5" style="10" customWidth="1"/>
    <col min="13321" max="13321" width="8.5" style="10" customWidth="1"/>
    <col min="13322" max="13322" width="7.125" style="10" customWidth="1"/>
    <col min="13323" max="13323" width="7.375" style="10" customWidth="1"/>
    <col min="13324" max="13324" width="5.5" style="10" customWidth="1"/>
    <col min="13325" max="13326" width="9.75" style="10" customWidth="1"/>
    <col min="13327" max="13327" width="9.125" style="10" bestFit="1" customWidth="1"/>
    <col min="13328" max="13328" width="32.75" style="10" customWidth="1"/>
    <col min="13329" max="13329" width="14.125" style="10" customWidth="1"/>
    <col min="13330" max="13575" width="8.75" style="10"/>
    <col min="13576" max="13576" width="11.5" style="10" customWidth="1"/>
    <col min="13577" max="13577" width="8.5" style="10" customWidth="1"/>
    <col min="13578" max="13578" width="7.125" style="10" customWidth="1"/>
    <col min="13579" max="13579" width="7.375" style="10" customWidth="1"/>
    <col min="13580" max="13580" width="5.5" style="10" customWidth="1"/>
    <col min="13581" max="13582" width="9.75" style="10" customWidth="1"/>
    <col min="13583" max="13583" width="9.125" style="10" bestFit="1" customWidth="1"/>
    <col min="13584" max="13584" width="32.75" style="10" customWidth="1"/>
    <col min="13585" max="13585" width="14.125" style="10" customWidth="1"/>
    <col min="13586" max="13831" width="8.75" style="10"/>
    <col min="13832" max="13832" width="11.5" style="10" customWidth="1"/>
    <col min="13833" max="13833" width="8.5" style="10" customWidth="1"/>
    <col min="13834" max="13834" width="7.125" style="10" customWidth="1"/>
    <col min="13835" max="13835" width="7.375" style="10" customWidth="1"/>
    <col min="13836" max="13836" width="5.5" style="10" customWidth="1"/>
    <col min="13837" max="13838" width="9.75" style="10" customWidth="1"/>
    <col min="13839" max="13839" width="9.125" style="10" bestFit="1" customWidth="1"/>
    <col min="13840" max="13840" width="32.75" style="10" customWidth="1"/>
    <col min="13841" max="13841" width="14.125" style="10" customWidth="1"/>
    <col min="13842" max="14087" width="8.75" style="10"/>
    <col min="14088" max="14088" width="11.5" style="10" customWidth="1"/>
    <col min="14089" max="14089" width="8.5" style="10" customWidth="1"/>
    <col min="14090" max="14090" width="7.125" style="10" customWidth="1"/>
    <col min="14091" max="14091" width="7.375" style="10" customWidth="1"/>
    <col min="14092" max="14092" width="5.5" style="10" customWidth="1"/>
    <col min="14093" max="14094" width="9.75" style="10" customWidth="1"/>
    <col min="14095" max="14095" width="9.125" style="10" bestFit="1" customWidth="1"/>
    <col min="14096" max="14096" width="32.75" style="10" customWidth="1"/>
    <col min="14097" max="14097" width="14.125" style="10" customWidth="1"/>
    <col min="14098" max="14343" width="8.75" style="10"/>
    <col min="14344" max="14344" width="11.5" style="10" customWidth="1"/>
    <col min="14345" max="14345" width="8.5" style="10" customWidth="1"/>
    <col min="14346" max="14346" width="7.125" style="10" customWidth="1"/>
    <col min="14347" max="14347" width="7.375" style="10" customWidth="1"/>
    <col min="14348" max="14348" width="5.5" style="10" customWidth="1"/>
    <col min="14349" max="14350" width="9.75" style="10" customWidth="1"/>
    <col min="14351" max="14351" width="9.125" style="10" bestFit="1" customWidth="1"/>
    <col min="14352" max="14352" width="32.75" style="10" customWidth="1"/>
    <col min="14353" max="14353" width="14.125" style="10" customWidth="1"/>
    <col min="14354" max="14599" width="8.75" style="10"/>
    <col min="14600" max="14600" width="11.5" style="10" customWidth="1"/>
    <col min="14601" max="14601" width="8.5" style="10" customWidth="1"/>
    <col min="14602" max="14602" width="7.125" style="10" customWidth="1"/>
    <col min="14603" max="14603" width="7.375" style="10" customWidth="1"/>
    <col min="14604" max="14604" width="5.5" style="10" customWidth="1"/>
    <col min="14605" max="14606" width="9.75" style="10" customWidth="1"/>
    <col min="14607" max="14607" width="9.125" style="10" bestFit="1" customWidth="1"/>
    <col min="14608" max="14608" width="32.75" style="10" customWidth="1"/>
    <col min="14609" max="14609" width="14.125" style="10" customWidth="1"/>
    <col min="14610" max="14855" width="8.75" style="10"/>
    <col min="14856" max="14856" width="11.5" style="10" customWidth="1"/>
    <col min="14857" max="14857" width="8.5" style="10" customWidth="1"/>
    <col min="14858" max="14858" width="7.125" style="10" customWidth="1"/>
    <col min="14859" max="14859" width="7.375" style="10" customWidth="1"/>
    <col min="14860" max="14860" width="5.5" style="10" customWidth="1"/>
    <col min="14861" max="14862" width="9.75" style="10" customWidth="1"/>
    <col min="14863" max="14863" width="9.125" style="10" bestFit="1" customWidth="1"/>
    <col min="14864" max="14864" width="32.75" style="10" customWidth="1"/>
    <col min="14865" max="14865" width="14.125" style="10" customWidth="1"/>
    <col min="14866" max="15111" width="8.75" style="10"/>
    <col min="15112" max="15112" width="11.5" style="10" customWidth="1"/>
    <col min="15113" max="15113" width="8.5" style="10" customWidth="1"/>
    <col min="15114" max="15114" width="7.125" style="10" customWidth="1"/>
    <col min="15115" max="15115" width="7.375" style="10" customWidth="1"/>
    <col min="15116" max="15116" width="5.5" style="10" customWidth="1"/>
    <col min="15117" max="15118" width="9.75" style="10" customWidth="1"/>
    <col min="15119" max="15119" width="9.125" style="10" bestFit="1" customWidth="1"/>
    <col min="15120" max="15120" width="32.75" style="10" customWidth="1"/>
    <col min="15121" max="15121" width="14.125" style="10" customWidth="1"/>
    <col min="15122" max="15367" width="8.75" style="10"/>
    <col min="15368" max="15368" width="11.5" style="10" customWidth="1"/>
    <col min="15369" max="15369" width="8.5" style="10" customWidth="1"/>
    <col min="15370" max="15370" width="7.125" style="10" customWidth="1"/>
    <col min="15371" max="15371" width="7.375" style="10" customWidth="1"/>
    <col min="15372" max="15372" width="5.5" style="10" customWidth="1"/>
    <col min="15373" max="15374" width="9.75" style="10" customWidth="1"/>
    <col min="15375" max="15375" width="9.125" style="10" bestFit="1" customWidth="1"/>
    <col min="15376" max="15376" width="32.75" style="10" customWidth="1"/>
    <col min="15377" max="15377" width="14.125" style="10" customWidth="1"/>
    <col min="15378" max="15623" width="8.75" style="10"/>
    <col min="15624" max="15624" width="11.5" style="10" customWidth="1"/>
    <col min="15625" max="15625" width="8.5" style="10" customWidth="1"/>
    <col min="15626" max="15626" width="7.125" style="10" customWidth="1"/>
    <col min="15627" max="15627" width="7.375" style="10" customWidth="1"/>
    <col min="15628" max="15628" width="5.5" style="10" customWidth="1"/>
    <col min="15629" max="15630" width="9.75" style="10" customWidth="1"/>
    <col min="15631" max="15631" width="9.125" style="10" bestFit="1" customWidth="1"/>
    <col min="15632" max="15632" width="32.75" style="10" customWidth="1"/>
    <col min="15633" max="15633" width="14.125" style="10" customWidth="1"/>
    <col min="15634" max="15879" width="8.75" style="10"/>
    <col min="15880" max="15880" width="11.5" style="10" customWidth="1"/>
    <col min="15881" max="15881" width="8.5" style="10" customWidth="1"/>
    <col min="15882" max="15882" width="7.125" style="10" customWidth="1"/>
    <col min="15883" max="15883" width="7.375" style="10" customWidth="1"/>
    <col min="15884" max="15884" width="5.5" style="10" customWidth="1"/>
    <col min="15885" max="15886" width="9.75" style="10" customWidth="1"/>
    <col min="15887" max="15887" width="9.125" style="10" bestFit="1" customWidth="1"/>
    <col min="15888" max="15888" width="32.75" style="10" customWidth="1"/>
    <col min="15889" max="15889" width="14.125" style="10" customWidth="1"/>
    <col min="15890" max="16135" width="8.75" style="10"/>
    <col min="16136" max="16136" width="11.5" style="10" customWidth="1"/>
    <col min="16137" max="16137" width="8.5" style="10" customWidth="1"/>
    <col min="16138" max="16138" width="7.125" style="10" customWidth="1"/>
    <col min="16139" max="16139" width="7.375" style="10" customWidth="1"/>
    <col min="16140" max="16140" width="5.5" style="10" customWidth="1"/>
    <col min="16141" max="16142" width="9.75" style="10" customWidth="1"/>
    <col min="16143" max="16143" width="9.125" style="10" bestFit="1" customWidth="1"/>
    <col min="16144" max="16144" width="32.75" style="10" customWidth="1"/>
    <col min="16145" max="16145" width="14.125" style="10" customWidth="1"/>
    <col min="16146" max="16384" width="8.75" style="10"/>
  </cols>
  <sheetData>
    <row r="1" spans="1:17" s="2" customFormat="1" ht="12.75" customHeight="1">
      <c r="A1" s="289" t="s">
        <v>11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1"/>
    </row>
    <row r="2" spans="1:17" ht="12.75" customHeight="1">
      <c r="A2" s="243" t="s">
        <v>12</v>
      </c>
      <c r="B2" s="32"/>
      <c r="C2" s="5"/>
      <c r="D2" s="5"/>
      <c r="E2" s="5"/>
      <c r="F2" s="5"/>
      <c r="G2" s="5"/>
      <c r="H2" s="5"/>
      <c r="I2" s="5"/>
      <c r="J2" s="5"/>
      <c r="K2" s="5"/>
      <c r="L2" s="242"/>
      <c r="M2" s="6"/>
      <c r="N2" s="6"/>
      <c r="O2" s="32"/>
      <c r="P2" s="7" t="s">
        <v>13</v>
      </c>
    </row>
    <row r="3" spans="1:17" ht="16.5" customHeight="1">
      <c r="A3" s="243" t="s">
        <v>38</v>
      </c>
      <c r="B3" s="33"/>
      <c r="C3" s="6"/>
      <c r="D3" s="6"/>
      <c r="E3" s="6"/>
      <c r="F3" s="6"/>
      <c r="G3" s="6"/>
      <c r="H3" s="6"/>
      <c r="I3" s="6"/>
      <c r="J3" s="6"/>
      <c r="K3" s="6"/>
      <c r="L3" s="292" t="s">
        <v>39</v>
      </c>
      <c r="M3" s="292"/>
      <c r="N3" s="292"/>
      <c r="O3" s="292"/>
      <c r="P3" s="293"/>
    </row>
    <row r="4" spans="1:17" ht="16.5" customHeight="1">
      <c r="A4" s="243" t="s">
        <v>40</v>
      </c>
      <c r="B4" s="33"/>
      <c r="C4" s="6"/>
      <c r="D4" s="6"/>
      <c r="E4" s="6" t="s">
        <v>41</v>
      </c>
      <c r="F4" s="6"/>
      <c r="G4" s="6"/>
      <c r="H4" s="6"/>
      <c r="I4" s="6"/>
      <c r="J4" s="6"/>
      <c r="K4" s="6"/>
      <c r="L4" s="242"/>
      <c r="M4" s="229"/>
      <c r="N4" s="34"/>
      <c r="O4" s="33"/>
      <c r="P4" s="35"/>
    </row>
    <row r="5" spans="1:17" ht="12.75" customHeight="1">
      <c r="A5" s="243" t="s">
        <v>42</v>
      </c>
      <c r="B5" s="36"/>
      <c r="C5" s="6"/>
      <c r="D5" s="6"/>
      <c r="E5" s="6"/>
      <c r="F5" s="6"/>
      <c r="G5" s="6"/>
      <c r="H5" s="6"/>
      <c r="I5" s="6"/>
      <c r="J5" s="6"/>
      <c r="K5" s="6"/>
      <c r="L5" s="242"/>
      <c r="M5" s="6"/>
      <c r="N5" s="6"/>
      <c r="O5" s="33"/>
      <c r="P5" s="15"/>
    </row>
    <row r="6" spans="1:17" ht="12.75" customHeight="1">
      <c r="A6" s="243" t="s">
        <v>43</v>
      </c>
      <c r="B6" s="36"/>
      <c r="C6" s="6"/>
      <c r="D6" s="6"/>
      <c r="E6" s="6"/>
      <c r="F6" s="6"/>
      <c r="G6" s="6"/>
      <c r="H6" s="6"/>
      <c r="I6" s="6"/>
      <c r="J6" s="6"/>
      <c r="K6" s="6"/>
      <c r="L6" s="242"/>
      <c r="M6" s="6"/>
      <c r="N6" s="6"/>
      <c r="O6" s="33"/>
      <c r="P6" s="15"/>
    </row>
    <row r="7" spans="1:17" ht="12.75" customHeight="1">
      <c r="A7" s="244"/>
      <c r="B7" s="37"/>
      <c r="C7" s="20"/>
      <c r="D7" s="20"/>
      <c r="E7" s="20"/>
      <c r="F7" s="20"/>
      <c r="G7" s="20"/>
      <c r="H7" s="20"/>
      <c r="I7" s="20"/>
      <c r="J7" s="20"/>
      <c r="K7" s="20"/>
      <c r="L7" s="38"/>
      <c r="M7" s="20"/>
      <c r="N7" s="20"/>
      <c r="O7" s="38"/>
      <c r="P7" s="21"/>
    </row>
    <row r="8" spans="1:17" s="118" customFormat="1">
      <c r="A8" s="245"/>
      <c r="C8" s="297" t="s">
        <v>44</v>
      </c>
      <c r="D8" s="298"/>
      <c r="E8" s="298"/>
      <c r="F8" s="298"/>
      <c r="G8" s="298"/>
      <c r="H8" s="298"/>
      <c r="I8" s="298"/>
      <c r="J8" s="298"/>
      <c r="K8" s="298"/>
      <c r="L8" s="114"/>
      <c r="M8" s="115"/>
      <c r="N8" s="115"/>
      <c r="O8" s="114"/>
      <c r="P8" s="116"/>
      <c r="Q8" s="117"/>
    </row>
    <row r="9" spans="1:17" s="118" customFormat="1" ht="13.5" thickBot="1">
      <c r="A9" s="245"/>
      <c r="C9" s="296" t="s">
        <v>164</v>
      </c>
      <c r="D9" s="296"/>
      <c r="E9" s="296"/>
      <c r="F9" s="296" t="s">
        <v>165</v>
      </c>
      <c r="G9" s="296"/>
      <c r="H9" s="296"/>
      <c r="I9" s="296" t="s">
        <v>166</v>
      </c>
      <c r="J9" s="296"/>
      <c r="K9" s="296"/>
      <c r="L9" s="250"/>
      <c r="M9" s="251"/>
      <c r="N9" s="251"/>
      <c r="O9" s="250"/>
      <c r="P9" s="252"/>
      <c r="Q9" s="253"/>
    </row>
    <row r="10" spans="1:17" s="124" customFormat="1" ht="33" customHeight="1" thickBot="1">
      <c r="A10" s="119" t="s">
        <v>149</v>
      </c>
      <c r="B10" s="249" t="s">
        <v>163</v>
      </c>
      <c r="C10" s="120" t="s">
        <v>48</v>
      </c>
      <c r="D10" s="120" t="s">
        <v>49</v>
      </c>
      <c r="E10" s="121" t="s">
        <v>167</v>
      </c>
      <c r="F10" s="120" t="s">
        <v>48</v>
      </c>
      <c r="G10" s="120" t="s">
        <v>49</v>
      </c>
      <c r="H10" s="121" t="s">
        <v>168</v>
      </c>
      <c r="I10" s="120" t="s">
        <v>48</v>
      </c>
      <c r="J10" s="120" t="s">
        <v>49</v>
      </c>
      <c r="K10" s="121" t="s">
        <v>169</v>
      </c>
      <c r="L10" s="121" t="s">
        <v>29</v>
      </c>
      <c r="M10" s="120" t="s">
        <v>45</v>
      </c>
      <c r="N10" s="120" t="s">
        <v>108</v>
      </c>
      <c r="O10" s="120" t="s">
        <v>46</v>
      </c>
      <c r="P10" s="122" t="s">
        <v>47</v>
      </c>
      <c r="Q10" s="123" t="s">
        <v>31</v>
      </c>
    </row>
    <row r="11" spans="1:17" ht="12.75" customHeight="1">
      <c r="A11" s="219">
        <v>42103</v>
      </c>
      <c r="B11" s="220"/>
      <c r="C11" s="221">
        <v>61</v>
      </c>
      <c r="D11" s="221">
        <v>88</v>
      </c>
      <c r="E11" s="222">
        <f>IF(((C11="")*AND(D11="")),"",D11-C11)</f>
        <v>27</v>
      </c>
      <c r="F11" s="222"/>
      <c r="G11" s="222"/>
      <c r="H11" s="222"/>
      <c r="I11" s="222"/>
      <c r="J11" s="222"/>
      <c r="K11" s="222"/>
      <c r="L11" s="223" t="str">
        <f>IF(E11="","",IF(E11&lt;=30,"Pass","Fail"))</f>
        <v>Pass</v>
      </c>
      <c r="M11" s="224">
        <v>30</v>
      </c>
      <c r="N11" s="224">
        <v>30</v>
      </c>
      <c r="O11" s="225">
        <v>1400</v>
      </c>
      <c r="P11" s="226" t="s">
        <v>50</v>
      </c>
      <c r="Q11" s="227"/>
    </row>
    <row r="12" spans="1:17" ht="12.75" customHeight="1">
      <c r="A12" s="125">
        <v>42110</v>
      </c>
      <c r="B12" s="40"/>
      <c r="C12" s="41">
        <v>7</v>
      </c>
      <c r="D12" s="41">
        <v>19</v>
      </c>
      <c r="E12" s="42">
        <f t="shared" ref="E12:E42" si="0">IF(((C12="")*AND(D12="")),"",D12-C12)</f>
        <v>12</v>
      </c>
      <c r="F12" s="42"/>
      <c r="G12" s="42"/>
      <c r="H12" s="42"/>
      <c r="I12" s="42"/>
      <c r="J12" s="42"/>
      <c r="K12" s="42"/>
      <c r="L12" s="129" t="str">
        <f>IF(E12="","",IF(E12&lt;=30,"Pass","Fail"))</f>
        <v>Pass</v>
      </c>
      <c r="M12" s="43">
        <v>30</v>
      </c>
      <c r="N12" s="43">
        <v>30</v>
      </c>
      <c r="O12" s="44">
        <v>1400</v>
      </c>
      <c r="P12" s="29" t="s">
        <v>50</v>
      </c>
      <c r="Q12" s="39"/>
    </row>
    <row r="13" spans="1:17" ht="12.75" customHeight="1">
      <c r="A13" s="125">
        <v>42124</v>
      </c>
      <c r="B13" s="45"/>
      <c r="C13" s="46">
        <v>18</v>
      </c>
      <c r="D13" s="46">
        <v>6</v>
      </c>
      <c r="E13" s="47">
        <f t="shared" si="0"/>
        <v>-12</v>
      </c>
      <c r="F13" s="47"/>
      <c r="G13" s="47"/>
      <c r="H13" s="47"/>
      <c r="I13" s="47"/>
      <c r="J13" s="47"/>
      <c r="K13" s="47"/>
      <c r="L13" s="129" t="str">
        <f>IF(E13="","",IF(E13&lt;=30,"Pass","Fail"))</f>
        <v>Pass</v>
      </c>
      <c r="M13" s="43">
        <v>30</v>
      </c>
      <c r="N13" s="43">
        <v>30</v>
      </c>
      <c r="O13" s="48">
        <v>1159</v>
      </c>
      <c r="P13" s="29" t="s">
        <v>50</v>
      </c>
      <c r="Q13" s="39"/>
    </row>
    <row r="14" spans="1:17" ht="12.75" customHeight="1">
      <c r="A14" s="125">
        <v>42130</v>
      </c>
      <c r="B14" s="40"/>
      <c r="C14" s="41">
        <v>5</v>
      </c>
      <c r="D14" s="41">
        <v>7</v>
      </c>
      <c r="E14" s="42">
        <f t="shared" si="0"/>
        <v>2</v>
      </c>
      <c r="F14" s="42"/>
      <c r="G14" s="42"/>
      <c r="H14" s="42"/>
      <c r="I14" s="42"/>
      <c r="J14" s="42"/>
      <c r="K14" s="42"/>
      <c r="L14" s="129" t="str">
        <f>IF(E14="","",IF(E14&lt;=30,"Pass","Fail"))</f>
        <v>Pass</v>
      </c>
      <c r="M14" s="43">
        <v>30</v>
      </c>
      <c r="N14" s="43">
        <v>30</v>
      </c>
      <c r="O14" s="44">
        <v>1400</v>
      </c>
      <c r="P14" s="29" t="s">
        <v>50</v>
      </c>
      <c r="Q14" s="39"/>
    </row>
    <row r="15" spans="1:17" ht="12.75" customHeight="1">
      <c r="A15" s="125">
        <v>42144</v>
      </c>
      <c r="B15" s="40"/>
      <c r="C15" s="41">
        <v>7</v>
      </c>
      <c r="D15" s="41">
        <v>13</v>
      </c>
      <c r="E15" s="42">
        <f t="shared" si="0"/>
        <v>6</v>
      </c>
      <c r="F15" s="42"/>
      <c r="G15" s="42"/>
      <c r="H15" s="42"/>
      <c r="I15" s="42"/>
      <c r="J15" s="42"/>
      <c r="K15" s="42"/>
      <c r="L15" s="129" t="str">
        <f>IF(E15="","",IF(E15&lt;=30,"Pass","Fail"))</f>
        <v>Pass</v>
      </c>
      <c r="M15" s="43">
        <v>30</v>
      </c>
      <c r="N15" s="43">
        <v>30</v>
      </c>
      <c r="O15" s="44">
        <v>1400</v>
      </c>
      <c r="P15" s="29" t="s">
        <v>50</v>
      </c>
      <c r="Q15" s="39"/>
    </row>
    <row r="16" spans="1:17" ht="12.75" customHeight="1">
      <c r="A16" s="125">
        <v>42165</v>
      </c>
      <c r="B16" s="40"/>
      <c r="C16" s="41">
        <v>4</v>
      </c>
      <c r="D16" s="41">
        <v>12</v>
      </c>
      <c r="E16" s="42">
        <f t="shared" si="0"/>
        <v>8</v>
      </c>
      <c r="F16" s="42"/>
      <c r="G16" s="42"/>
      <c r="H16" s="42"/>
      <c r="I16" s="42"/>
      <c r="J16" s="42"/>
      <c r="K16" s="42"/>
      <c r="L16" s="129" t="str">
        <f t="shared" ref="L16:L42" si="1">IF(E16="","",IF(E16&lt;=30,"Pass","Fail"))</f>
        <v>Pass</v>
      </c>
      <c r="M16" s="43">
        <v>30</v>
      </c>
      <c r="N16" s="43">
        <v>30</v>
      </c>
      <c r="O16" s="44">
        <v>1400</v>
      </c>
      <c r="P16" s="29" t="s">
        <v>50</v>
      </c>
      <c r="Q16" s="39"/>
    </row>
    <row r="17" spans="1:17" ht="12.75" customHeight="1">
      <c r="A17" s="125">
        <v>42172</v>
      </c>
      <c r="B17" s="40"/>
      <c r="C17" s="41">
        <v>0</v>
      </c>
      <c r="D17" s="41">
        <v>10</v>
      </c>
      <c r="E17" s="42">
        <f t="shared" si="0"/>
        <v>10</v>
      </c>
      <c r="F17" s="42"/>
      <c r="G17" s="42"/>
      <c r="H17" s="42"/>
      <c r="I17" s="42"/>
      <c r="J17" s="42"/>
      <c r="K17" s="42"/>
      <c r="L17" s="129" t="str">
        <f t="shared" si="1"/>
        <v>Pass</v>
      </c>
      <c r="M17" s="43">
        <v>30</v>
      </c>
      <c r="N17" s="43">
        <v>30</v>
      </c>
      <c r="O17" s="44">
        <v>1159</v>
      </c>
      <c r="P17" s="29" t="s">
        <v>50</v>
      </c>
      <c r="Q17" s="39"/>
    </row>
    <row r="18" spans="1:17" ht="12.75" customHeight="1">
      <c r="A18" s="125">
        <v>42215</v>
      </c>
      <c r="B18" s="40"/>
      <c r="C18" s="41">
        <v>2</v>
      </c>
      <c r="D18" s="41">
        <v>30</v>
      </c>
      <c r="E18" s="42">
        <f t="shared" si="0"/>
        <v>28</v>
      </c>
      <c r="F18" s="42"/>
      <c r="G18" s="42"/>
      <c r="H18" s="42"/>
      <c r="I18" s="42"/>
      <c r="J18" s="42"/>
      <c r="K18" s="42"/>
      <c r="L18" s="129" t="str">
        <f t="shared" si="1"/>
        <v>Pass</v>
      </c>
      <c r="M18" s="43">
        <v>30</v>
      </c>
      <c r="N18" s="43">
        <v>30</v>
      </c>
      <c r="O18" s="44">
        <v>1400</v>
      </c>
      <c r="P18" s="29" t="s">
        <v>51</v>
      </c>
      <c r="Q18" s="39"/>
    </row>
    <row r="19" spans="1:17" ht="12.75" customHeight="1">
      <c r="A19" s="125">
        <v>42305</v>
      </c>
      <c r="B19" s="40"/>
      <c r="C19" s="41">
        <v>3</v>
      </c>
      <c r="D19" s="41">
        <v>7</v>
      </c>
      <c r="E19" s="42">
        <f t="shared" si="0"/>
        <v>4</v>
      </c>
      <c r="F19" s="42"/>
      <c r="G19" s="42"/>
      <c r="H19" s="42"/>
      <c r="I19" s="42"/>
      <c r="J19" s="42"/>
      <c r="K19" s="42"/>
      <c r="L19" s="129" t="str">
        <f t="shared" si="1"/>
        <v>Pass</v>
      </c>
      <c r="M19" s="43">
        <v>30</v>
      </c>
      <c r="N19" s="43">
        <v>30</v>
      </c>
      <c r="O19" s="44" t="s">
        <v>52</v>
      </c>
      <c r="P19" s="29" t="s">
        <v>50</v>
      </c>
      <c r="Q19" s="39"/>
    </row>
    <row r="20" spans="1:17" ht="12.75" customHeight="1">
      <c r="A20" s="125">
        <v>42318</v>
      </c>
      <c r="B20" s="40"/>
      <c r="C20" s="41">
        <v>10</v>
      </c>
      <c r="D20" s="41">
        <v>21</v>
      </c>
      <c r="E20" s="42">
        <f t="shared" si="0"/>
        <v>11</v>
      </c>
      <c r="F20" s="42"/>
      <c r="G20" s="42"/>
      <c r="H20" s="42"/>
      <c r="I20" s="42"/>
      <c r="J20" s="42"/>
      <c r="K20" s="42"/>
      <c r="L20" s="129" t="str">
        <f t="shared" si="1"/>
        <v>Pass</v>
      </c>
      <c r="M20" s="43">
        <v>30</v>
      </c>
      <c r="N20" s="43">
        <v>30</v>
      </c>
      <c r="O20" s="44">
        <v>1428</v>
      </c>
      <c r="P20" s="29" t="s">
        <v>53</v>
      </c>
      <c r="Q20" s="39"/>
    </row>
    <row r="21" spans="1:17" ht="12.75" customHeight="1">
      <c r="A21" s="126">
        <v>42417</v>
      </c>
      <c r="B21" s="45"/>
      <c r="C21" s="46">
        <v>0</v>
      </c>
      <c r="D21" s="46">
        <v>6</v>
      </c>
      <c r="E21" s="47">
        <f t="shared" si="0"/>
        <v>6</v>
      </c>
      <c r="F21" s="47"/>
      <c r="G21" s="47"/>
      <c r="H21" s="47"/>
      <c r="I21" s="47"/>
      <c r="J21" s="47"/>
      <c r="K21" s="47"/>
      <c r="L21" s="129" t="str">
        <f t="shared" si="1"/>
        <v>Pass</v>
      </c>
      <c r="M21" s="49">
        <v>30</v>
      </c>
      <c r="N21" s="49">
        <v>30</v>
      </c>
      <c r="O21" s="48">
        <v>1159</v>
      </c>
      <c r="P21" s="50" t="s">
        <v>54</v>
      </c>
      <c r="Q21" s="39"/>
    </row>
    <row r="22" spans="1:17" ht="12.75" customHeight="1">
      <c r="A22" s="126">
        <v>42447</v>
      </c>
      <c r="B22" s="45"/>
      <c r="C22" s="46">
        <v>17</v>
      </c>
      <c r="D22" s="46">
        <v>11</v>
      </c>
      <c r="E22" s="47">
        <f t="shared" si="0"/>
        <v>-6</v>
      </c>
      <c r="F22" s="47"/>
      <c r="G22" s="47"/>
      <c r="H22" s="47"/>
      <c r="I22" s="47"/>
      <c r="J22" s="47"/>
      <c r="K22" s="47"/>
      <c r="L22" s="129" t="str">
        <f t="shared" si="1"/>
        <v>Pass</v>
      </c>
      <c r="M22" s="49">
        <v>30</v>
      </c>
      <c r="N22" s="49">
        <v>30</v>
      </c>
      <c r="O22" s="48">
        <v>1335</v>
      </c>
      <c r="P22" s="50" t="s">
        <v>53</v>
      </c>
      <c r="Q22" s="39"/>
    </row>
    <row r="23" spans="1:17" ht="12.75" customHeight="1">
      <c r="A23" s="125">
        <v>42475</v>
      </c>
      <c r="B23" s="40"/>
      <c r="C23" s="41">
        <v>9</v>
      </c>
      <c r="D23" s="41">
        <v>23</v>
      </c>
      <c r="E23" s="42">
        <f t="shared" si="0"/>
        <v>14</v>
      </c>
      <c r="F23" s="42"/>
      <c r="G23" s="42"/>
      <c r="H23" s="42"/>
      <c r="I23" s="42"/>
      <c r="J23" s="42"/>
      <c r="K23" s="42"/>
      <c r="L23" s="129" t="str">
        <f t="shared" si="1"/>
        <v>Pass</v>
      </c>
      <c r="M23" s="43">
        <v>30</v>
      </c>
      <c r="N23" s="43">
        <v>30</v>
      </c>
      <c r="O23" s="44">
        <v>1159</v>
      </c>
      <c r="P23" s="29" t="s">
        <v>53</v>
      </c>
      <c r="Q23" s="39"/>
    </row>
    <row r="24" spans="1:17" ht="12.75" customHeight="1">
      <c r="A24" s="125">
        <v>42487</v>
      </c>
      <c r="B24" s="45"/>
      <c r="C24" s="46">
        <v>6</v>
      </c>
      <c r="D24" s="46">
        <v>61</v>
      </c>
      <c r="E24" s="47">
        <f t="shared" si="0"/>
        <v>55</v>
      </c>
      <c r="F24" s="47"/>
      <c r="G24" s="47"/>
      <c r="H24" s="47"/>
      <c r="I24" s="47"/>
      <c r="J24" s="47"/>
      <c r="K24" s="47"/>
      <c r="L24" s="129" t="str">
        <f t="shared" si="1"/>
        <v>Fail</v>
      </c>
      <c r="M24" s="49">
        <v>30</v>
      </c>
      <c r="N24" s="49">
        <v>30</v>
      </c>
      <c r="O24" s="48">
        <v>1159</v>
      </c>
      <c r="P24" s="29" t="s">
        <v>55</v>
      </c>
      <c r="Q24" s="39"/>
    </row>
    <row r="25" spans="1:17" ht="12.75" customHeight="1">
      <c r="A25" s="125">
        <v>42555</v>
      </c>
      <c r="B25" s="45"/>
      <c r="C25" s="46">
        <v>3</v>
      </c>
      <c r="D25" s="46">
        <v>81</v>
      </c>
      <c r="E25" s="47">
        <f t="shared" si="0"/>
        <v>78</v>
      </c>
      <c r="F25" s="47"/>
      <c r="G25" s="47"/>
      <c r="H25" s="47"/>
      <c r="I25" s="47"/>
      <c r="J25" s="47"/>
      <c r="K25" s="47"/>
      <c r="L25" s="129" t="str">
        <f t="shared" si="1"/>
        <v>Fail</v>
      </c>
      <c r="M25" s="49">
        <v>30</v>
      </c>
      <c r="N25" s="49">
        <v>30</v>
      </c>
      <c r="O25" s="48">
        <v>1400</v>
      </c>
      <c r="P25" s="29" t="s">
        <v>56</v>
      </c>
      <c r="Q25" s="39"/>
    </row>
    <row r="26" spans="1:17" ht="12.75" customHeight="1">
      <c r="A26" s="125">
        <v>42564</v>
      </c>
      <c r="B26" s="45"/>
      <c r="C26" s="46">
        <v>6</v>
      </c>
      <c r="D26" s="46">
        <v>18</v>
      </c>
      <c r="E26" s="47">
        <f t="shared" si="0"/>
        <v>12</v>
      </c>
      <c r="F26" s="47"/>
      <c r="G26" s="47"/>
      <c r="H26" s="47"/>
      <c r="I26" s="47"/>
      <c r="J26" s="47"/>
      <c r="K26" s="47"/>
      <c r="L26" s="129" t="str">
        <f t="shared" si="1"/>
        <v>Pass</v>
      </c>
      <c r="M26" s="49">
        <v>30</v>
      </c>
      <c r="N26" s="49">
        <v>30</v>
      </c>
      <c r="O26" s="48">
        <v>1159</v>
      </c>
      <c r="P26" s="29" t="s">
        <v>53</v>
      </c>
      <c r="Q26" s="39"/>
    </row>
    <row r="27" spans="1:17" ht="12.75" customHeight="1">
      <c r="A27" s="125">
        <v>42614</v>
      </c>
      <c r="B27" s="40"/>
      <c r="C27" s="41">
        <v>5</v>
      </c>
      <c r="D27" s="41">
        <v>31</v>
      </c>
      <c r="E27" s="42">
        <f t="shared" si="0"/>
        <v>26</v>
      </c>
      <c r="F27" s="42"/>
      <c r="G27" s="42"/>
      <c r="H27" s="42"/>
      <c r="I27" s="42"/>
      <c r="J27" s="42"/>
      <c r="K27" s="42"/>
      <c r="L27" s="129" t="str">
        <f t="shared" si="1"/>
        <v>Pass</v>
      </c>
      <c r="M27" s="43">
        <v>30</v>
      </c>
      <c r="N27" s="43">
        <v>30</v>
      </c>
      <c r="O27" s="44">
        <v>1400</v>
      </c>
      <c r="P27" s="29" t="s">
        <v>50</v>
      </c>
      <c r="Q27" s="39"/>
    </row>
    <row r="28" spans="1:17" ht="12.75" customHeight="1">
      <c r="A28" s="125">
        <v>42760</v>
      </c>
      <c r="B28" s="51"/>
      <c r="C28" s="52">
        <v>17</v>
      </c>
      <c r="D28" s="52">
        <v>37</v>
      </c>
      <c r="E28" s="53">
        <f t="shared" si="0"/>
        <v>20</v>
      </c>
      <c r="F28" s="53"/>
      <c r="G28" s="53"/>
      <c r="H28" s="53"/>
      <c r="I28" s="53"/>
      <c r="J28" s="53"/>
      <c r="K28" s="53"/>
      <c r="L28" s="129" t="str">
        <f t="shared" si="1"/>
        <v>Pass</v>
      </c>
      <c r="M28" s="54">
        <v>30</v>
      </c>
      <c r="N28" s="54">
        <v>30</v>
      </c>
      <c r="O28" s="55">
        <v>1400</v>
      </c>
      <c r="P28" s="29" t="s">
        <v>57</v>
      </c>
      <c r="Q28" s="39"/>
    </row>
    <row r="29" spans="1:17" ht="12.75" customHeight="1">
      <c r="A29" s="125">
        <v>42772</v>
      </c>
      <c r="B29" s="51"/>
      <c r="C29" s="52">
        <v>14</v>
      </c>
      <c r="D29" s="52">
        <v>14</v>
      </c>
      <c r="E29" s="53">
        <f t="shared" si="0"/>
        <v>0</v>
      </c>
      <c r="F29" s="53"/>
      <c r="G29" s="53"/>
      <c r="H29" s="53"/>
      <c r="I29" s="53"/>
      <c r="J29" s="53"/>
      <c r="K29" s="53"/>
      <c r="L29" s="129" t="str">
        <f t="shared" si="1"/>
        <v>Pass</v>
      </c>
      <c r="M29" s="54">
        <v>30</v>
      </c>
      <c r="N29" s="54">
        <v>30</v>
      </c>
      <c r="O29" s="55">
        <v>1400</v>
      </c>
      <c r="P29" s="29" t="s">
        <v>58</v>
      </c>
      <c r="Q29" s="39"/>
    </row>
    <row r="30" spans="1:17" ht="12.75" customHeight="1">
      <c r="A30" s="125">
        <v>42814</v>
      </c>
      <c r="B30" s="51"/>
      <c r="C30" s="52">
        <v>19</v>
      </c>
      <c r="D30" s="52">
        <v>19</v>
      </c>
      <c r="E30" s="53">
        <f t="shared" si="0"/>
        <v>0</v>
      </c>
      <c r="F30" s="53"/>
      <c r="G30" s="53"/>
      <c r="H30" s="53"/>
      <c r="I30" s="53"/>
      <c r="J30" s="53"/>
      <c r="K30" s="53"/>
      <c r="L30" s="129" t="str">
        <f t="shared" si="1"/>
        <v>Pass</v>
      </c>
      <c r="M30" s="54">
        <v>30</v>
      </c>
      <c r="N30" s="54">
        <v>30</v>
      </c>
      <c r="O30" s="55">
        <v>1400</v>
      </c>
      <c r="P30" s="29" t="s">
        <v>59</v>
      </c>
      <c r="Q30" s="39"/>
    </row>
    <row r="31" spans="1:17" ht="12.75" customHeight="1">
      <c r="A31" s="125">
        <v>42821</v>
      </c>
      <c r="B31" s="51"/>
      <c r="C31" s="52">
        <v>9</v>
      </c>
      <c r="D31" s="52">
        <v>596</v>
      </c>
      <c r="E31" s="53">
        <f t="shared" si="0"/>
        <v>587</v>
      </c>
      <c r="F31" s="53"/>
      <c r="G31" s="53"/>
      <c r="H31" s="53"/>
      <c r="I31" s="53"/>
      <c r="J31" s="53"/>
      <c r="K31" s="53"/>
      <c r="L31" s="129" t="str">
        <f t="shared" si="1"/>
        <v>Fail</v>
      </c>
      <c r="M31" s="39">
        <v>30</v>
      </c>
      <c r="N31" s="39">
        <v>30</v>
      </c>
      <c r="O31" s="55">
        <v>1159</v>
      </c>
      <c r="P31" s="29" t="s">
        <v>60</v>
      </c>
      <c r="Q31" s="39"/>
    </row>
    <row r="32" spans="1:17" ht="12.75" customHeight="1">
      <c r="A32" s="125">
        <v>42822</v>
      </c>
      <c r="B32" s="51"/>
      <c r="C32" s="52">
        <v>15</v>
      </c>
      <c r="D32" s="52">
        <v>214</v>
      </c>
      <c r="E32" s="53">
        <f t="shared" si="0"/>
        <v>199</v>
      </c>
      <c r="F32" s="53"/>
      <c r="G32" s="53"/>
      <c r="H32" s="53"/>
      <c r="I32" s="53"/>
      <c r="J32" s="53"/>
      <c r="K32" s="53"/>
      <c r="L32" s="129" t="str">
        <f t="shared" si="1"/>
        <v>Fail</v>
      </c>
      <c r="M32" s="39">
        <v>30</v>
      </c>
      <c r="N32" s="39">
        <v>30</v>
      </c>
      <c r="O32" s="55">
        <v>1159</v>
      </c>
      <c r="P32" s="29" t="s">
        <v>61</v>
      </c>
      <c r="Q32" s="39"/>
    </row>
    <row r="33" spans="1:17" ht="12.75" customHeight="1">
      <c r="A33" s="125">
        <v>42822</v>
      </c>
      <c r="B33" s="51"/>
      <c r="C33" s="52">
        <v>8</v>
      </c>
      <c r="D33" s="52">
        <v>383</v>
      </c>
      <c r="E33" s="53">
        <f t="shared" si="0"/>
        <v>375</v>
      </c>
      <c r="F33" s="53"/>
      <c r="G33" s="53"/>
      <c r="H33" s="53"/>
      <c r="I33" s="53"/>
      <c r="J33" s="53"/>
      <c r="K33" s="53"/>
      <c r="L33" s="129" t="str">
        <f t="shared" si="1"/>
        <v>Fail</v>
      </c>
      <c r="M33" s="39">
        <v>30</v>
      </c>
      <c r="N33" s="39">
        <v>30</v>
      </c>
      <c r="O33" s="55">
        <v>1159</v>
      </c>
      <c r="P33" s="29" t="s">
        <v>62</v>
      </c>
      <c r="Q33" s="39"/>
    </row>
    <row r="34" spans="1:17" ht="12.75" customHeight="1">
      <c r="A34" s="125">
        <v>42822</v>
      </c>
      <c r="B34" s="51"/>
      <c r="C34" s="52">
        <v>10</v>
      </c>
      <c r="D34" s="52">
        <v>545</v>
      </c>
      <c r="E34" s="53">
        <f t="shared" si="0"/>
        <v>535</v>
      </c>
      <c r="F34" s="53"/>
      <c r="G34" s="53"/>
      <c r="H34" s="53"/>
      <c r="I34" s="53"/>
      <c r="J34" s="53"/>
      <c r="K34" s="53"/>
      <c r="L34" s="129" t="str">
        <f t="shared" si="1"/>
        <v>Fail</v>
      </c>
      <c r="M34" s="39">
        <v>30</v>
      </c>
      <c r="N34" s="39">
        <v>30</v>
      </c>
      <c r="O34" s="55">
        <v>1159</v>
      </c>
      <c r="P34" s="29" t="s">
        <v>63</v>
      </c>
      <c r="Q34" s="39"/>
    </row>
    <row r="35" spans="1:17" ht="12.75" customHeight="1">
      <c r="A35" s="125">
        <v>43043</v>
      </c>
      <c r="B35" s="51"/>
      <c r="C35" s="52">
        <v>3</v>
      </c>
      <c r="D35" s="52">
        <v>139</v>
      </c>
      <c r="E35" s="53">
        <f t="shared" si="0"/>
        <v>136</v>
      </c>
      <c r="F35" s="53"/>
      <c r="G35" s="53"/>
      <c r="H35" s="53"/>
      <c r="I35" s="53"/>
      <c r="J35" s="53"/>
      <c r="K35" s="53"/>
      <c r="L35" s="129" t="str">
        <f t="shared" si="1"/>
        <v>Fail</v>
      </c>
      <c r="M35" s="39">
        <v>30</v>
      </c>
      <c r="N35" s="39">
        <v>30</v>
      </c>
      <c r="O35" s="55">
        <v>1400</v>
      </c>
      <c r="P35" s="29" t="s">
        <v>64</v>
      </c>
      <c r="Q35" s="39"/>
    </row>
    <row r="36" spans="1:17" ht="12.75" customHeight="1">
      <c r="A36" s="125">
        <v>42845</v>
      </c>
      <c r="B36" s="51"/>
      <c r="C36" s="39">
        <v>3</v>
      </c>
      <c r="D36" s="52">
        <v>169</v>
      </c>
      <c r="E36" s="53">
        <f t="shared" si="0"/>
        <v>166</v>
      </c>
      <c r="F36" s="53"/>
      <c r="G36" s="53"/>
      <c r="H36" s="53"/>
      <c r="I36" s="53"/>
      <c r="J36" s="53"/>
      <c r="K36" s="53"/>
      <c r="L36" s="129" t="str">
        <f t="shared" si="1"/>
        <v>Fail</v>
      </c>
      <c r="M36" s="39">
        <v>30</v>
      </c>
      <c r="N36" s="39">
        <v>30</v>
      </c>
      <c r="O36" s="55">
        <v>1335</v>
      </c>
      <c r="P36" s="56" t="s">
        <v>65</v>
      </c>
      <c r="Q36" s="39"/>
    </row>
    <row r="37" spans="1:17" ht="12.75" customHeight="1">
      <c r="A37" s="125">
        <v>42850</v>
      </c>
      <c r="B37" s="51"/>
      <c r="C37" s="52">
        <v>12</v>
      </c>
      <c r="D37" s="52">
        <v>202</v>
      </c>
      <c r="E37" s="53">
        <f t="shared" si="0"/>
        <v>190</v>
      </c>
      <c r="F37" s="53"/>
      <c r="G37" s="53"/>
      <c r="H37" s="53"/>
      <c r="I37" s="53"/>
      <c r="J37" s="53"/>
      <c r="K37" s="53"/>
      <c r="L37" s="129" t="str">
        <f t="shared" si="1"/>
        <v>Fail</v>
      </c>
      <c r="M37" s="57">
        <v>30</v>
      </c>
      <c r="N37" s="57">
        <v>30</v>
      </c>
      <c r="O37" s="55">
        <v>1335</v>
      </c>
      <c r="P37" s="56" t="s">
        <v>66</v>
      </c>
      <c r="Q37" s="39"/>
    </row>
    <row r="38" spans="1:17" ht="12.75" customHeight="1">
      <c r="A38" s="125">
        <v>42853</v>
      </c>
      <c r="B38" s="51"/>
      <c r="C38" s="52">
        <v>8</v>
      </c>
      <c r="D38" s="52">
        <v>224</v>
      </c>
      <c r="E38" s="53">
        <f t="shared" si="0"/>
        <v>216</v>
      </c>
      <c r="F38" s="53"/>
      <c r="G38" s="53"/>
      <c r="H38" s="53"/>
      <c r="I38" s="53"/>
      <c r="J38" s="53"/>
      <c r="K38" s="53"/>
      <c r="L38" s="129" t="str">
        <f t="shared" si="1"/>
        <v>Fail</v>
      </c>
      <c r="M38" s="57">
        <v>30</v>
      </c>
      <c r="N38" s="57">
        <v>30</v>
      </c>
      <c r="O38" s="55">
        <v>1335</v>
      </c>
      <c r="P38" s="56" t="s">
        <v>67</v>
      </c>
      <c r="Q38" s="39"/>
    </row>
    <row r="39" spans="1:17" ht="12.75" customHeight="1">
      <c r="A39" s="125">
        <v>42853</v>
      </c>
      <c r="B39" s="51"/>
      <c r="C39" s="52">
        <v>6</v>
      </c>
      <c r="D39" s="52">
        <v>580</v>
      </c>
      <c r="E39" s="53">
        <f t="shared" si="0"/>
        <v>574</v>
      </c>
      <c r="F39" s="53"/>
      <c r="G39" s="53"/>
      <c r="H39" s="53"/>
      <c r="I39" s="53"/>
      <c r="J39" s="53"/>
      <c r="K39" s="53"/>
      <c r="L39" s="129" t="str">
        <f t="shared" si="1"/>
        <v>Fail</v>
      </c>
      <c r="M39" s="57">
        <v>30</v>
      </c>
      <c r="N39" s="57">
        <v>30</v>
      </c>
      <c r="O39" s="55">
        <v>1335</v>
      </c>
      <c r="P39" s="56" t="s">
        <v>68</v>
      </c>
      <c r="Q39" s="39"/>
    </row>
    <row r="40" spans="1:17" ht="12.75" customHeight="1">
      <c r="A40" s="127">
        <v>42862</v>
      </c>
      <c r="B40" s="58"/>
      <c r="C40" s="39">
        <v>96</v>
      </c>
      <c r="D40" s="39">
        <v>110</v>
      </c>
      <c r="E40" s="39">
        <f t="shared" si="0"/>
        <v>14</v>
      </c>
      <c r="F40" s="39"/>
      <c r="G40" s="39"/>
      <c r="H40" s="39"/>
      <c r="I40" s="39"/>
      <c r="J40" s="39"/>
      <c r="K40" s="39"/>
      <c r="L40" s="129" t="str">
        <f t="shared" si="1"/>
        <v>Pass</v>
      </c>
      <c r="M40" s="39">
        <v>30</v>
      </c>
      <c r="N40" s="39">
        <v>30</v>
      </c>
      <c r="O40" s="58">
        <v>1428</v>
      </c>
      <c r="P40" s="39" t="s">
        <v>64</v>
      </c>
      <c r="Q40" s="39"/>
    </row>
    <row r="41" spans="1:17" ht="12.75" customHeight="1">
      <c r="A41" s="127">
        <v>42866</v>
      </c>
      <c r="B41" s="58"/>
      <c r="C41" s="39">
        <v>1</v>
      </c>
      <c r="D41" s="39">
        <v>10</v>
      </c>
      <c r="E41" s="39">
        <f t="shared" si="0"/>
        <v>9</v>
      </c>
      <c r="F41" s="39"/>
      <c r="G41" s="39"/>
      <c r="H41" s="39"/>
      <c r="I41" s="39"/>
      <c r="J41" s="39"/>
      <c r="K41" s="39"/>
      <c r="L41" s="129" t="str">
        <f t="shared" si="1"/>
        <v>Pass</v>
      </c>
      <c r="M41" s="39">
        <v>30</v>
      </c>
      <c r="N41" s="39">
        <v>30</v>
      </c>
      <c r="O41" s="58">
        <v>1159</v>
      </c>
      <c r="P41" s="29" t="s">
        <v>69</v>
      </c>
      <c r="Q41" s="39"/>
    </row>
    <row r="42" spans="1:17" ht="12.75" customHeight="1">
      <c r="A42" s="125">
        <v>42104</v>
      </c>
      <c r="B42" s="58"/>
      <c r="C42" s="39">
        <v>11</v>
      </c>
      <c r="D42" s="39">
        <v>301</v>
      </c>
      <c r="E42" s="39">
        <f t="shared" si="0"/>
        <v>290</v>
      </c>
      <c r="F42" s="39"/>
      <c r="G42" s="39"/>
      <c r="H42" s="39"/>
      <c r="I42" s="39"/>
      <c r="J42" s="39"/>
      <c r="K42" s="39"/>
      <c r="L42" s="129" t="str">
        <f t="shared" si="1"/>
        <v>Fail</v>
      </c>
      <c r="M42" s="39">
        <v>30</v>
      </c>
      <c r="N42" s="39">
        <v>30</v>
      </c>
      <c r="O42" s="58">
        <v>1159</v>
      </c>
      <c r="P42" s="29" t="s">
        <v>53</v>
      </c>
      <c r="Q42" s="39"/>
    </row>
    <row r="43" spans="1:17" ht="12.75" customHeight="1">
      <c r="A43" s="125">
        <v>43080</v>
      </c>
      <c r="B43" s="58"/>
      <c r="C43" s="39">
        <v>12</v>
      </c>
      <c r="D43" s="39">
        <v>185</v>
      </c>
      <c r="E43" s="39">
        <f>IF(((C43="")*AND(D43="")),"",D43-C43)</f>
        <v>173</v>
      </c>
      <c r="F43" s="39"/>
      <c r="G43" s="39"/>
      <c r="H43" s="39"/>
      <c r="I43" s="39"/>
      <c r="J43" s="39"/>
      <c r="K43" s="39"/>
      <c r="L43" s="129" t="str">
        <f>IF(E43="","",IF(E43&lt;=30,"Pass","Fail"))</f>
        <v>Fail</v>
      </c>
      <c r="M43" s="39">
        <v>30</v>
      </c>
      <c r="N43" s="39">
        <v>30</v>
      </c>
      <c r="O43" s="58">
        <v>1335</v>
      </c>
      <c r="P43" s="29" t="s">
        <v>53</v>
      </c>
      <c r="Q43" s="39"/>
    </row>
    <row r="44" spans="1:17" ht="12.75" customHeight="1">
      <c r="A44" s="125">
        <v>42830</v>
      </c>
      <c r="B44" s="58"/>
      <c r="C44" s="39">
        <v>6</v>
      </c>
      <c r="D44" s="39">
        <v>160</v>
      </c>
      <c r="E44" s="39">
        <f t="shared" ref="E44:E76" si="2">IF(((C44="")*AND(D44="")),"",D44-C44)</f>
        <v>154</v>
      </c>
      <c r="F44" s="39"/>
      <c r="G44" s="39"/>
      <c r="H44" s="39"/>
      <c r="I44" s="39"/>
      <c r="J44" s="39"/>
      <c r="K44" s="39"/>
      <c r="L44" s="129" t="str">
        <f t="shared" ref="L44:L107" si="3">IF(E44="","",IF(E44&lt;=30,"Pass","Fail"))</f>
        <v>Fail</v>
      </c>
      <c r="M44" s="39">
        <v>30</v>
      </c>
      <c r="N44" s="39">
        <v>30</v>
      </c>
      <c r="O44" s="58" t="s">
        <v>70</v>
      </c>
      <c r="P44" s="56" t="s">
        <v>71</v>
      </c>
      <c r="Q44" s="39"/>
    </row>
    <row r="45" spans="1:17" ht="12.75" customHeight="1">
      <c r="A45" s="125">
        <v>42856</v>
      </c>
      <c r="B45" s="58"/>
      <c r="C45" s="39">
        <v>5</v>
      </c>
      <c r="D45" s="39">
        <v>32</v>
      </c>
      <c r="E45" s="39">
        <f t="shared" si="2"/>
        <v>27</v>
      </c>
      <c r="F45" s="39"/>
      <c r="G45" s="39"/>
      <c r="H45" s="39"/>
      <c r="I45" s="39"/>
      <c r="J45" s="39"/>
      <c r="K45" s="39"/>
      <c r="L45" s="129" t="str">
        <f t="shared" si="3"/>
        <v>Pass</v>
      </c>
      <c r="M45" s="39">
        <v>30</v>
      </c>
      <c r="N45" s="39">
        <v>30</v>
      </c>
      <c r="O45" s="58">
        <v>121</v>
      </c>
      <c r="P45" s="29"/>
      <c r="Q45" s="113" t="s">
        <v>72</v>
      </c>
    </row>
    <row r="46" spans="1:17" ht="12.75" customHeight="1">
      <c r="A46" s="125">
        <v>42856</v>
      </c>
      <c r="B46" s="58"/>
      <c r="C46" s="39">
        <v>4</v>
      </c>
      <c r="D46" s="39">
        <v>24</v>
      </c>
      <c r="E46" s="39">
        <f t="shared" si="2"/>
        <v>20</v>
      </c>
      <c r="F46" s="39"/>
      <c r="G46" s="39"/>
      <c r="H46" s="39"/>
      <c r="I46" s="39"/>
      <c r="J46" s="39"/>
      <c r="K46" s="39"/>
      <c r="L46" s="129" t="str">
        <f t="shared" si="3"/>
        <v>Pass</v>
      </c>
      <c r="M46" s="39">
        <v>30</v>
      </c>
      <c r="N46" s="39">
        <v>30</v>
      </c>
      <c r="O46" s="58">
        <v>121</v>
      </c>
      <c r="Q46" s="29" t="s">
        <v>73</v>
      </c>
    </row>
    <row r="47" spans="1:17" ht="12.75" customHeight="1">
      <c r="A47" s="125">
        <v>43378</v>
      </c>
      <c r="B47" s="58"/>
      <c r="C47" s="39">
        <v>26</v>
      </c>
      <c r="D47" s="39">
        <v>13</v>
      </c>
      <c r="E47" s="39">
        <f t="shared" si="2"/>
        <v>-13</v>
      </c>
      <c r="F47" s="39"/>
      <c r="G47" s="39"/>
      <c r="H47" s="39"/>
      <c r="I47" s="39"/>
      <c r="J47" s="39"/>
      <c r="K47" s="39"/>
      <c r="L47" s="129" t="str">
        <f t="shared" si="3"/>
        <v>Pass</v>
      </c>
      <c r="M47" s="39">
        <v>30</v>
      </c>
      <c r="N47" s="39">
        <v>30</v>
      </c>
      <c r="O47" s="58">
        <v>74</v>
      </c>
      <c r="P47" s="29"/>
      <c r="Q47" s="39"/>
    </row>
    <row r="48" spans="1:17" ht="12.75" customHeight="1">
      <c r="A48" s="125">
        <v>43237</v>
      </c>
      <c r="B48" s="58"/>
      <c r="C48" s="39">
        <v>7</v>
      </c>
      <c r="D48" s="39">
        <v>63</v>
      </c>
      <c r="E48" s="39">
        <f t="shared" si="2"/>
        <v>56</v>
      </c>
      <c r="F48" s="39"/>
      <c r="G48" s="39"/>
      <c r="H48" s="39"/>
      <c r="I48" s="39"/>
      <c r="J48" s="39"/>
      <c r="K48" s="39"/>
      <c r="L48" s="129" t="str">
        <f t="shared" si="3"/>
        <v>Fail</v>
      </c>
      <c r="M48" s="39">
        <v>30</v>
      </c>
      <c r="N48" s="39">
        <v>30</v>
      </c>
      <c r="O48" s="58">
        <v>1335</v>
      </c>
      <c r="P48" s="56" t="s">
        <v>74</v>
      </c>
      <c r="Q48" s="39"/>
    </row>
    <row r="49" spans="1:17" ht="12.75" customHeight="1">
      <c r="A49" s="125">
        <v>43237</v>
      </c>
      <c r="B49" s="58"/>
      <c r="C49" s="39">
        <v>17</v>
      </c>
      <c r="D49" s="39">
        <v>222</v>
      </c>
      <c r="E49" s="39">
        <f t="shared" si="2"/>
        <v>205</v>
      </c>
      <c r="F49" s="39"/>
      <c r="G49" s="39"/>
      <c r="H49" s="39"/>
      <c r="I49" s="39"/>
      <c r="J49" s="39"/>
      <c r="K49" s="39"/>
      <c r="L49" s="129" t="str">
        <f t="shared" si="3"/>
        <v>Fail</v>
      </c>
      <c r="M49" s="39">
        <v>30</v>
      </c>
      <c r="N49" s="39">
        <v>30</v>
      </c>
      <c r="O49" s="58">
        <v>1159</v>
      </c>
      <c r="P49" s="56" t="s">
        <v>75</v>
      </c>
      <c r="Q49" s="39"/>
    </row>
    <row r="50" spans="1:17" ht="12.75" customHeight="1">
      <c r="A50" s="125">
        <v>43237</v>
      </c>
      <c r="B50" s="58"/>
      <c r="C50" s="39">
        <v>37</v>
      </c>
      <c r="D50" s="39">
        <v>48</v>
      </c>
      <c r="E50" s="39">
        <f>IF(((C50="")*AND(D50="")),"",D50-C50)</f>
        <v>11</v>
      </c>
      <c r="F50" s="39"/>
      <c r="G50" s="39"/>
      <c r="H50" s="39"/>
      <c r="I50" s="39"/>
      <c r="J50" s="39"/>
      <c r="K50" s="39"/>
      <c r="L50" s="129" t="str">
        <f>IF(E50="","",IF(E50&lt;=30,"Pass","Fail"))</f>
        <v>Pass</v>
      </c>
      <c r="M50" s="39">
        <v>30</v>
      </c>
      <c r="N50" s="39">
        <v>30</v>
      </c>
      <c r="O50" s="58">
        <v>102</v>
      </c>
      <c r="P50" s="56" t="s">
        <v>76</v>
      </c>
      <c r="Q50" s="39"/>
    </row>
    <row r="51" spans="1:17" ht="12.75" customHeight="1">
      <c r="A51" s="125">
        <v>43242</v>
      </c>
      <c r="B51" s="58"/>
      <c r="C51" s="39">
        <v>17</v>
      </c>
      <c r="D51" s="39">
        <v>47</v>
      </c>
      <c r="E51" s="39">
        <f t="shared" si="2"/>
        <v>30</v>
      </c>
      <c r="F51" s="39"/>
      <c r="G51" s="39"/>
      <c r="H51" s="39"/>
      <c r="I51" s="39"/>
      <c r="J51" s="39"/>
      <c r="K51" s="39"/>
      <c r="L51" s="129" t="str">
        <f t="shared" si="3"/>
        <v>Pass</v>
      </c>
      <c r="M51" s="39">
        <v>30</v>
      </c>
      <c r="N51" s="39">
        <v>30</v>
      </c>
      <c r="O51" s="58">
        <v>1159</v>
      </c>
      <c r="P51" s="56" t="s">
        <v>77</v>
      </c>
      <c r="Q51" s="39"/>
    </row>
    <row r="52" spans="1:17" ht="12.75" customHeight="1">
      <c r="A52" s="125">
        <v>43248</v>
      </c>
      <c r="B52" s="58"/>
      <c r="C52" s="39">
        <v>51</v>
      </c>
      <c r="D52" s="39">
        <v>66</v>
      </c>
      <c r="E52" s="39">
        <f t="shared" si="2"/>
        <v>15</v>
      </c>
      <c r="F52" s="39"/>
      <c r="G52" s="39"/>
      <c r="H52" s="39"/>
      <c r="I52" s="39"/>
      <c r="J52" s="39"/>
      <c r="K52" s="39"/>
      <c r="L52" s="129" t="str">
        <f t="shared" si="3"/>
        <v>Pass</v>
      </c>
      <c r="M52" s="39">
        <v>30</v>
      </c>
      <c r="N52" s="39">
        <v>30</v>
      </c>
      <c r="O52" s="58">
        <v>1428</v>
      </c>
      <c r="P52" s="29" t="s">
        <v>53</v>
      </c>
      <c r="Q52" s="39"/>
    </row>
    <row r="53" spans="1:17" ht="12.75" customHeight="1">
      <c r="A53" s="125">
        <v>43251</v>
      </c>
      <c r="B53" s="58"/>
      <c r="C53" s="39">
        <v>7</v>
      </c>
      <c r="D53" s="39">
        <v>76</v>
      </c>
      <c r="E53" s="39">
        <f t="shared" si="2"/>
        <v>69</v>
      </c>
      <c r="F53" s="39"/>
      <c r="G53" s="39"/>
      <c r="H53" s="39"/>
      <c r="I53" s="39"/>
      <c r="J53" s="39"/>
      <c r="K53" s="39"/>
      <c r="L53" s="129" t="str">
        <f t="shared" si="3"/>
        <v>Fail</v>
      </c>
      <c r="M53" s="39">
        <v>30</v>
      </c>
      <c r="N53" s="39">
        <v>30</v>
      </c>
      <c r="O53" s="58">
        <v>121</v>
      </c>
      <c r="P53" s="56" t="s">
        <v>78</v>
      </c>
      <c r="Q53" s="39"/>
    </row>
    <row r="54" spans="1:17" ht="12.75" customHeight="1">
      <c r="A54" s="125">
        <v>43251</v>
      </c>
      <c r="B54" s="58"/>
      <c r="C54" s="39">
        <v>4</v>
      </c>
      <c r="D54" s="39">
        <v>53</v>
      </c>
      <c r="E54" s="39">
        <f t="shared" si="2"/>
        <v>49</v>
      </c>
      <c r="F54" s="39"/>
      <c r="G54" s="39"/>
      <c r="H54" s="39"/>
      <c r="I54" s="39"/>
      <c r="J54" s="39"/>
      <c r="K54" s="39"/>
      <c r="L54" s="129" t="str">
        <f>IF(E54="","",IF(E54&lt;=40,"Pass","Fail"))</f>
        <v>Fail</v>
      </c>
      <c r="M54" s="39">
        <v>30</v>
      </c>
      <c r="N54" s="39">
        <v>30</v>
      </c>
      <c r="O54" s="58">
        <v>121</v>
      </c>
      <c r="P54" s="29"/>
      <c r="Q54" s="113" t="s">
        <v>148</v>
      </c>
    </row>
    <row r="55" spans="1:17" ht="12.75" customHeight="1">
      <c r="A55" s="125">
        <v>43255</v>
      </c>
      <c r="B55" s="58"/>
      <c r="C55" s="39">
        <v>3</v>
      </c>
      <c r="D55" s="39">
        <v>63</v>
      </c>
      <c r="E55" s="39">
        <f>IF(((C55="")*AND(D55="")),"",D55-C55)</f>
        <v>60</v>
      </c>
      <c r="F55" s="39"/>
      <c r="G55" s="39"/>
      <c r="H55" s="39"/>
      <c r="I55" s="39"/>
      <c r="J55" s="39"/>
      <c r="K55" s="39"/>
      <c r="L55" s="129" t="str">
        <f>IF(E55="","",IF(E55&lt;=30,"Pass","Fail"))</f>
        <v>Fail</v>
      </c>
      <c r="M55" s="39">
        <v>30</v>
      </c>
      <c r="N55" s="39">
        <v>30</v>
      </c>
      <c r="O55" s="58">
        <v>121</v>
      </c>
      <c r="P55" s="56" t="s">
        <v>79</v>
      </c>
      <c r="Q55" s="39"/>
    </row>
    <row r="56" spans="1:17" ht="12.75" customHeight="1">
      <c r="A56" s="125">
        <v>43255</v>
      </c>
      <c r="B56" s="58"/>
      <c r="C56" s="39">
        <v>2</v>
      </c>
      <c r="D56" s="39">
        <v>41</v>
      </c>
      <c r="E56" s="39">
        <f>IF(((C56="")*AND(D56="")),"",D56-C56)</f>
        <v>39</v>
      </c>
      <c r="F56" s="39"/>
      <c r="G56" s="39"/>
      <c r="H56" s="39"/>
      <c r="I56" s="39"/>
      <c r="J56" s="39"/>
      <c r="K56" s="39"/>
      <c r="L56" s="129" t="str">
        <f>IF(E56="","",IF(E56&lt;=40,"Pass","Fail"))</f>
        <v>Pass</v>
      </c>
      <c r="M56" s="39">
        <v>30</v>
      </c>
      <c r="N56" s="39">
        <v>30</v>
      </c>
      <c r="O56" s="58">
        <v>121</v>
      </c>
      <c r="P56" s="29"/>
      <c r="Q56" s="113" t="s">
        <v>148</v>
      </c>
    </row>
    <row r="57" spans="1:17" ht="12.75" customHeight="1" thickBot="1">
      <c r="A57" s="125">
        <v>43258</v>
      </c>
      <c r="B57" s="58"/>
      <c r="C57" s="39">
        <v>16</v>
      </c>
      <c r="D57" s="39">
        <v>45</v>
      </c>
      <c r="E57" s="39">
        <f t="shared" si="2"/>
        <v>29</v>
      </c>
      <c r="F57" s="39"/>
      <c r="G57" s="39"/>
      <c r="H57" s="39"/>
      <c r="I57" s="39"/>
      <c r="J57" s="39"/>
      <c r="K57" s="39"/>
      <c r="L57" s="129" t="str">
        <f t="shared" si="3"/>
        <v>Pass</v>
      </c>
      <c r="M57" s="39">
        <v>30</v>
      </c>
      <c r="N57" s="39">
        <v>30</v>
      </c>
      <c r="O57" s="58">
        <v>1335</v>
      </c>
      <c r="P57" s="56" t="s">
        <v>80</v>
      </c>
      <c r="Q57" s="39"/>
    </row>
    <row r="58" spans="1:17" ht="12.75" customHeight="1" thickBot="1">
      <c r="A58" s="128">
        <v>43278</v>
      </c>
      <c r="B58" s="58"/>
      <c r="C58" s="39">
        <v>10</v>
      </c>
      <c r="D58" s="39">
        <v>61</v>
      </c>
      <c r="E58" s="39">
        <f t="shared" si="2"/>
        <v>51</v>
      </c>
      <c r="F58" s="39"/>
      <c r="G58" s="39"/>
      <c r="H58" s="39"/>
      <c r="I58" s="39"/>
      <c r="J58" s="39"/>
      <c r="K58" s="39"/>
      <c r="L58" s="129" t="str">
        <f t="shared" si="3"/>
        <v>Fail</v>
      </c>
      <c r="M58" s="39">
        <v>30</v>
      </c>
      <c r="N58" s="39">
        <v>30</v>
      </c>
      <c r="O58" s="58">
        <v>121</v>
      </c>
      <c r="P58" s="29"/>
      <c r="Q58" s="39"/>
    </row>
    <row r="59" spans="1:17" ht="12.75" customHeight="1" thickBot="1">
      <c r="A59" s="128">
        <v>43278</v>
      </c>
      <c r="B59" s="58"/>
      <c r="C59" s="39">
        <v>4</v>
      </c>
      <c r="D59" s="39">
        <v>30</v>
      </c>
      <c r="E59" s="39">
        <f t="shared" si="2"/>
        <v>26</v>
      </c>
      <c r="F59" s="39"/>
      <c r="G59" s="39"/>
      <c r="H59" s="39"/>
      <c r="I59" s="39"/>
      <c r="J59" s="39"/>
      <c r="K59" s="39"/>
      <c r="L59" s="129" t="str">
        <f t="shared" si="3"/>
        <v>Pass</v>
      </c>
      <c r="M59" s="39">
        <v>30</v>
      </c>
      <c r="N59" s="39">
        <v>30</v>
      </c>
      <c r="O59" s="58">
        <v>121</v>
      </c>
      <c r="P59" s="29"/>
      <c r="Q59" s="113" t="s">
        <v>148</v>
      </c>
    </row>
    <row r="60" spans="1:17" ht="12.75" customHeight="1" thickBot="1">
      <c r="A60" s="128">
        <v>43286</v>
      </c>
      <c r="B60" s="58"/>
      <c r="C60" s="39">
        <v>16</v>
      </c>
      <c r="D60" s="39">
        <v>155</v>
      </c>
      <c r="E60" s="39">
        <f t="shared" si="2"/>
        <v>139</v>
      </c>
      <c r="F60" s="39"/>
      <c r="G60" s="39"/>
      <c r="H60" s="39"/>
      <c r="I60" s="39"/>
      <c r="J60" s="39"/>
      <c r="K60" s="39"/>
      <c r="L60" s="129" t="str">
        <f t="shared" si="3"/>
        <v>Fail</v>
      </c>
      <c r="M60" s="39">
        <v>30</v>
      </c>
      <c r="N60" s="39">
        <v>30</v>
      </c>
      <c r="O60" s="58">
        <v>1159</v>
      </c>
      <c r="P60" s="56" t="s">
        <v>81</v>
      </c>
      <c r="Q60" s="39"/>
    </row>
    <row r="61" spans="1:17" ht="12.75" customHeight="1" thickBot="1">
      <c r="A61" s="128">
        <v>43287</v>
      </c>
      <c r="B61" s="58"/>
      <c r="C61" s="39">
        <v>6</v>
      </c>
      <c r="D61" s="39">
        <v>88</v>
      </c>
      <c r="E61" s="39">
        <f t="shared" si="2"/>
        <v>82</v>
      </c>
      <c r="F61" s="39"/>
      <c r="G61" s="39"/>
      <c r="H61" s="39"/>
      <c r="I61" s="39"/>
      <c r="J61" s="39"/>
      <c r="K61" s="39"/>
      <c r="L61" s="129" t="str">
        <f t="shared" si="3"/>
        <v>Fail</v>
      </c>
      <c r="M61" s="39">
        <v>30</v>
      </c>
      <c r="N61" s="39">
        <v>30</v>
      </c>
      <c r="O61" s="44">
        <v>121</v>
      </c>
      <c r="P61" s="29"/>
      <c r="Q61" s="39"/>
    </row>
    <row r="62" spans="1:17" ht="12.75" customHeight="1" thickBot="1">
      <c r="A62" s="128">
        <v>43287</v>
      </c>
      <c r="B62" s="58"/>
      <c r="C62" s="39">
        <v>5</v>
      </c>
      <c r="D62" s="39">
        <v>49</v>
      </c>
      <c r="E62" s="39">
        <f t="shared" si="2"/>
        <v>44</v>
      </c>
      <c r="F62" s="39"/>
      <c r="G62" s="39"/>
      <c r="H62" s="39"/>
      <c r="I62" s="39"/>
      <c r="J62" s="39"/>
      <c r="K62" s="39"/>
      <c r="L62" s="129" t="str">
        <f t="shared" si="3"/>
        <v>Fail</v>
      </c>
      <c r="M62" s="39">
        <v>30</v>
      </c>
      <c r="N62" s="39">
        <v>30</v>
      </c>
      <c r="O62" s="58">
        <v>121</v>
      </c>
      <c r="P62" s="29"/>
      <c r="Q62" s="113" t="s">
        <v>148</v>
      </c>
    </row>
    <row r="63" spans="1:17" ht="12.75" customHeight="1" thickBot="1">
      <c r="A63" s="128">
        <v>43290</v>
      </c>
      <c r="B63" s="58"/>
      <c r="C63" s="39">
        <v>18</v>
      </c>
      <c r="D63" s="39">
        <v>98</v>
      </c>
      <c r="E63" s="39">
        <f t="shared" si="2"/>
        <v>80</v>
      </c>
      <c r="F63" s="39"/>
      <c r="G63" s="39"/>
      <c r="H63" s="39"/>
      <c r="I63" s="39"/>
      <c r="J63" s="39"/>
      <c r="K63" s="39"/>
      <c r="L63" s="129" t="str">
        <f t="shared" si="3"/>
        <v>Fail</v>
      </c>
      <c r="M63" s="39">
        <v>30</v>
      </c>
      <c r="N63" s="39">
        <v>30</v>
      </c>
      <c r="O63" s="44" t="s">
        <v>82</v>
      </c>
      <c r="P63" s="29"/>
      <c r="Q63" s="39"/>
    </row>
    <row r="64" spans="1:17" ht="12.75" customHeight="1" thickBot="1">
      <c r="A64" s="128">
        <v>43290</v>
      </c>
      <c r="B64" s="58"/>
      <c r="C64" s="39">
        <v>11</v>
      </c>
      <c r="D64" s="39">
        <v>76</v>
      </c>
      <c r="E64" s="39">
        <f t="shared" si="2"/>
        <v>65</v>
      </c>
      <c r="F64" s="39"/>
      <c r="G64" s="39"/>
      <c r="H64" s="39"/>
      <c r="I64" s="39"/>
      <c r="J64" s="39"/>
      <c r="K64" s="39"/>
      <c r="L64" s="129" t="str">
        <f t="shared" si="3"/>
        <v>Fail</v>
      </c>
      <c r="M64" s="39">
        <v>30</v>
      </c>
      <c r="N64" s="39">
        <v>30</v>
      </c>
      <c r="O64" s="44" t="s">
        <v>82</v>
      </c>
      <c r="P64" s="29"/>
      <c r="Q64" s="113" t="s">
        <v>148</v>
      </c>
    </row>
    <row r="65" spans="1:17" ht="12.75" customHeight="1" thickBot="1">
      <c r="A65" s="128">
        <v>43290</v>
      </c>
      <c r="B65" s="58"/>
      <c r="C65" s="39">
        <v>18</v>
      </c>
      <c r="D65" s="39">
        <v>88</v>
      </c>
      <c r="E65" s="39">
        <f t="shared" si="2"/>
        <v>70</v>
      </c>
      <c r="F65" s="39"/>
      <c r="G65" s="39"/>
      <c r="H65" s="39"/>
      <c r="I65" s="39"/>
      <c r="J65" s="39"/>
      <c r="K65" s="39"/>
      <c r="L65" s="129" t="str">
        <f t="shared" si="3"/>
        <v>Fail</v>
      </c>
      <c r="M65" s="39">
        <v>30</v>
      </c>
      <c r="N65" s="39">
        <v>30</v>
      </c>
      <c r="O65" s="44" t="s">
        <v>82</v>
      </c>
      <c r="P65" s="29"/>
      <c r="Q65" s="39"/>
    </row>
    <row r="66" spans="1:17" ht="12.75" customHeight="1" thickBot="1">
      <c r="A66" s="128">
        <v>43290</v>
      </c>
      <c r="B66" s="58"/>
      <c r="C66" s="39">
        <v>13</v>
      </c>
      <c r="D66" s="39">
        <v>64</v>
      </c>
      <c r="E66" s="39">
        <f t="shared" si="2"/>
        <v>51</v>
      </c>
      <c r="F66" s="39"/>
      <c r="G66" s="39"/>
      <c r="H66" s="39"/>
      <c r="I66" s="39"/>
      <c r="J66" s="39"/>
      <c r="K66" s="39"/>
      <c r="L66" s="129" t="str">
        <f t="shared" si="3"/>
        <v>Fail</v>
      </c>
      <c r="M66" s="39">
        <v>30</v>
      </c>
      <c r="N66" s="39">
        <v>30</v>
      </c>
      <c r="O66" s="44" t="s">
        <v>82</v>
      </c>
      <c r="P66" s="29"/>
      <c r="Q66" s="113" t="s">
        <v>148</v>
      </c>
    </row>
    <row r="67" spans="1:17" ht="12.75" customHeight="1" thickBot="1">
      <c r="A67" s="128">
        <v>43291</v>
      </c>
      <c r="B67" s="58"/>
      <c r="C67" s="39">
        <v>21</v>
      </c>
      <c r="D67" s="39">
        <v>116</v>
      </c>
      <c r="E67" s="39">
        <f t="shared" si="2"/>
        <v>95</v>
      </c>
      <c r="F67" s="39"/>
      <c r="G67" s="39"/>
      <c r="H67" s="39"/>
      <c r="I67" s="39"/>
      <c r="J67" s="39"/>
      <c r="K67" s="39"/>
      <c r="L67" s="129" t="str">
        <f>IF(E67="","",IF(E67&lt;=30,"Pass","Fail"))</f>
        <v>Fail</v>
      </c>
      <c r="M67" s="39">
        <v>30</v>
      </c>
      <c r="N67" s="39">
        <v>30</v>
      </c>
      <c r="O67" s="44" t="s">
        <v>83</v>
      </c>
      <c r="P67" s="29"/>
      <c r="Q67" s="39"/>
    </row>
    <row r="68" spans="1:17" ht="12.75" customHeight="1" thickBot="1">
      <c r="A68" s="128">
        <v>43291</v>
      </c>
      <c r="B68" s="58"/>
      <c r="C68" s="39">
        <v>17</v>
      </c>
      <c r="D68" s="39">
        <v>99</v>
      </c>
      <c r="E68" s="39">
        <f t="shared" si="2"/>
        <v>82</v>
      </c>
      <c r="F68" s="39"/>
      <c r="G68" s="39"/>
      <c r="H68" s="39"/>
      <c r="I68" s="39"/>
      <c r="J68" s="39"/>
      <c r="K68" s="39"/>
      <c r="L68" s="129" t="str">
        <f>IF(E68="","",IF(E68&lt;=30,"Pass","Fail"))</f>
        <v>Fail</v>
      </c>
      <c r="M68" s="39">
        <v>30</v>
      </c>
      <c r="N68" s="39">
        <v>30</v>
      </c>
      <c r="O68" s="44" t="s">
        <v>83</v>
      </c>
      <c r="P68" s="29"/>
      <c r="Q68" s="113" t="s">
        <v>148</v>
      </c>
    </row>
    <row r="69" spans="1:17" ht="12.75" customHeight="1" thickBot="1">
      <c r="A69" s="128">
        <v>43291</v>
      </c>
      <c r="B69" s="58"/>
      <c r="C69" s="39">
        <v>20</v>
      </c>
      <c r="D69" s="39">
        <v>106</v>
      </c>
      <c r="E69" s="39">
        <f t="shared" si="2"/>
        <v>86</v>
      </c>
      <c r="F69" s="39"/>
      <c r="G69" s="39"/>
      <c r="H69" s="39"/>
      <c r="I69" s="39"/>
      <c r="J69" s="39"/>
      <c r="K69" s="39"/>
      <c r="L69" s="129" t="str">
        <f t="shared" si="3"/>
        <v>Fail</v>
      </c>
      <c r="M69" s="39">
        <v>30</v>
      </c>
      <c r="N69" s="39">
        <v>30</v>
      </c>
      <c r="O69" s="58">
        <v>121</v>
      </c>
      <c r="P69" s="29" t="s">
        <v>84</v>
      </c>
      <c r="Q69" s="39"/>
    </row>
    <row r="70" spans="1:17" ht="12.75" customHeight="1" thickBot="1">
      <c r="A70" s="128">
        <v>43291</v>
      </c>
      <c r="B70" s="58"/>
      <c r="C70" s="39">
        <v>14</v>
      </c>
      <c r="D70" s="39">
        <v>88</v>
      </c>
      <c r="E70" s="39">
        <f t="shared" si="2"/>
        <v>74</v>
      </c>
      <c r="F70" s="39"/>
      <c r="G70" s="39"/>
      <c r="H70" s="39"/>
      <c r="I70" s="39"/>
      <c r="J70" s="39"/>
      <c r="K70" s="39"/>
      <c r="L70" s="129" t="str">
        <f t="shared" si="3"/>
        <v>Fail</v>
      </c>
      <c r="M70" s="39">
        <v>30</v>
      </c>
      <c r="N70" s="39">
        <v>30</v>
      </c>
      <c r="O70" s="58">
        <v>121</v>
      </c>
      <c r="P70" s="29" t="s">
        <v>84</v>
      </c>
      <c r="Q70" s="113" t="s">
        <v>148</v>
      </c>
    </row>
    <row r="71" spans="1:17" ht="12.75" customHeight="1">
      <c r="A71" s="128">
        <v>43291</v>
      </c>
      <c r="B71" s="58"/>
      <c r="C71" s="39">
        <v>30</v>
      </c>
      <c r="D71" s="39">
        <v>91</v>
      </c>
      <c r="E71" s="39">
        <f t="shared" si="2"/>
        <v>61</v>
      </c>
      <c r="F71" s="39"/>
      <c r="G71" s="39"/>
      <c r="H71" s="39"/>
      <c r="I71" s="39"/>
      <c r="J71" s="39"/>
      <c r="K71" s="39"/>
      <c r="L71" s="129" t="str">
        <f>IF(E71="","",IF(E71&lt;=30,"Pass","Fail"))</f>
        <v>Fail</v>
      </c>
      <c r="M71" s="39">
        <v>30</v>
      </c>
      <c r="N71" s="39">
        <v>30</v>
      </c>
      <c r="O71" s="58">
        <v>64</v>
      </c>
      <c r="P71" s="29" t="s">
        <v>85</v>
      </c>
      <c r="Q71" s="113" t="s">
        <v>148</v>
      </c>
    </row>
    <row r="72" spans="1:17" ht="12.75" customHeight="1">
      <c r="A72" s="125">
        <v>43502</v>
      </c>
      <c r="B72" s="58"/>
      <c r="C72" s="39">
        <v>15</v>
      </c>
      <c r="D72" s="39">
        <v>11</v>
      </c>
      <c r="E72" s="39">
        <f t="shared" si="2"/>
        <v>-4</v>
      </c>
      <c r="F72" s="39"/>
      <c r="G72" s="39"/>
      <c r="H72" s="39"/>
      <c r="I72" s="39"/>
      <c r="J72" s="39"/>
      <c r="K72" s="39"/>
      <c r="L72" s="129" t="str">
        <f t="shared" si="3"/>
        <v>Pass</v>
      </c>
      <c r="M72" s="39">
        <v>30</v>
      </c>
      <c r="N72" s="39">
        <v>30</v>
      </c>
      <c r="O72" s="58">
        <v>1340</v>
      </c>
      <c r="P72" s="29" t="s">
        <v>86</v>
      </c>
      <c r="Q72" s="39"/>
    </row>
    <row r="73" spans="1:17" ht="12.75" customHeight="1">
      <c r="A73" s="125">
        <v>43502</v>
      </c>
      <c r="B73" s="58"/>
      <c r="C73" s="39">
        <v>16</v>
      </c>
      <c r="D73" s="39">
        <v>14</v>
      </c>
      <c r="E73" s="39">
        <f t="shared" si="2"/>
        <v>-2</v>
      </c>
      <c r="F73" s="39"/>
      <c r="G73" s="39"/>
      <c r="H73" s="39"/>
      <c r="I73" s="39"/>
      <c r="J73" s="39"/>
      <c r="K73" s="39"/>
      <c r="L73" s="129" t="str">
        <f t="shared" si="3"/>
        <v>Pass</v>
      </c>
      <c r="M73" s="39">
        <v>30</v>
      </c>
      <c r="N73" s="39">
        <v>30</v>
      </c>
      <c r="O73" s="58">
        <v>1340</v>
      </c>
      <c r="P73" s="29" t="s">
        <v>86</v>
      </c>
      <c r="Q73" s="39"/>
    </row>
    <row r="74" spans="1:17" ht="12.75" customHeight="1">
      <c r="A74" s="125">
        <v>43507</v>
      </c>
      <c r="B74" s="58"/>
      <c r="C74" s="39">
        <v>35</v>
      </c>
      <c r="D74" s="39">
        <v>24</v>
      </c>
      <c r="E74" s="39">
        <f t="shared" si="2"/>
        <v>-11</v>
      </c>
      <c r="F74" s="39"/>
      <c r="G74" s="39"/>
      <c r="H74" s="39"/>
      <c r="I74" s="39"/>
      <c r="J74" s="39"/>
      <c r="K74" s="39"/>
      <c r="L74" s="129" t="str">
        <f t="shared" si="3"/>
        <v>Pass</v>
      </c>
      <c r="M74" s="39">
        <v>30</v>
      </c>
      <c r="N74" s="39">
        <v>30</v>
      </c>
      <c r="O74" s="58">
        <v>1335</v>
      </c>
      <c r="P74" s="29"/>
      <c r="Q74" s="39"/>
    </row>
    <row r="75" spans="1:17" ht="12.75" customHeight="1">
      <c r="A75" s="125">
        <v>43622</v>
      </c>
      <c r="B75" s="58"/>
      <c r="C75" s="39">
        <v>32</v>
      </c>
      <c r="D75" s="39">
        <v>24</v>
      </c>
      <c r="E75" s="39">
        <f t="shared" si="2"/>
        <v>-8</v>
      </c>
      <c r="F75" s="39"/>
      <c r="G75" s="39"/>
      <c r="H75" s="39"/>
      <c r="I75" s="39"/>
      <c r="J75" s="39"/>
      <c r="K75" s="39"/>
      <c r="L75" s="129" t="str">
        <f t="shared" si="3"/>
        <v>Pass</v>
      </c>
      <c r="M75" s="39">
        <v>30</v>
      </c>
      <c r="N75" s="39">
        <v>30</v>
      </c>
      <c r="O75" s="58">
        <v>1428</v>
      </c>
      <c r="P75" s="228" t="s">
        <v>157</v>
      </c>
      <c r="Q75" s="39"/>
    </row>
    <row r="76" spans="1:17" ht="12.75" customHeight="1">
      <c r="A76" s="125">
        <v>43840</v>
      </c>
      <c r="B76" s="58"/>
      <c r="C76" s="39">
        <v>2</v>
      </c>
      <c r="D76" s="39">
        <v>10</v>
      </c>
      <c r="E76" s="39">
        <f t="shared" si="2"/>
        <v>8</v>
      </c>
      <c r="F76" s="39"/>
      <c r="G76" s="39"/>
      <c r="H76" s="39"/>
      <c r="I76" s="39"/>
      <c r="J76" s="39"/>
      <c r="K76" s="39"/>
      <c r="L76" s="129" t="str">
        <f t="shared" si="3"/>
        <v>Pass</v>
      </c>
      <c r="M76" s="39">
        <v>30</v>
      </c>
      <c r="N76" s="39">
        <v>30</v>
      </c>
      <c r="O76" s="58">
        <v>1428</v>
      </c>
      <c r="P76" s="228" t="s">
        <v>161</v>
      </c>
      <c r="Q76" s="247" t="s">
        <v>162</v>
      </c>
    </row>
    <row r="77" spans="1:17" ht="12.75" customHeight="1">
      <c r="A77" s="125"/>
      <c r="B77" s="58"/>
      <c r="C77" s="39"/>
      <c r="D77" s="39"/>
      <c r="E77" s="39"/>
      <c r="F77" s="39"/>
      <c r="G77" s="39"/>
      <c r="H77" s="39"/>
      <c r="I77" s="39"/>
      <c r="J77" s="39"/>
      <c r="K77" s="39"/>
      <c r="L77" s="129" t="str">
        <f t="shared" si="3"/>
        <v/>
      </c>
      <c r="M77" s="39"/>
      <c r="N77" s="39"/>
      <c r="O77" s="58"/>
      <c r="P77" s="29"/>
      <c r="Q77" s="39"/>
    </row>
    <row r="78" spans="1:17" ht="12.75" customHeight="1">
      <c r="A78" s="125"/>
      <c r="B78" s="58"/>
      <c r="C78" s="39"/>
      <c r="D78" s="39"/>
      <c r="E78" s="39"/>
      <c r="F78" s="39"/>
      <c r="G78" s="39"/>
      <c r="H78" s="39"/>
      <c r="I78" s="39"/>
      <c r="J78" s="39"/>
      <c r="K78" s="39"/>
      <c r="L78" s="129" t="str">
        <f t="shared" si="3"/>
        <v/>
      </c>
      <c r="M78" s="39"/>
      <c r="N78" s="39"/>
      <c r="O78" s="58"/>
      <c r="P78" s="29"/>
      <c r="Q78" s="39"/>
    </row>
    <row r="79" spans="1:17" ht="12.75" customHeight="1">
      <c r="A79" s="125"/>
      <c r="B79" s="58"/>
      <c r="C79" s="39"/>
      <c r="D79" s="39"/>
      <c r="E79" s="39"/>
      <c r="F79" s="39"/>
      <c r="G79" s="39"/>
      <c r="H79" s="39"/>
      <c r="I79" s="39"/>
      <c r="J79" s="39"/>
      <c r="K79" s="39"/>
      <c r="L79" s="129" t="str">
        <f t="shared" si="3"/>
        <v/>
      </c>
      <c r="M79" s="39"/>
      <c r="N79" s="39"/>
      <c r="O79" s="58"/>
      <c r="P79" s="29"/>
      <c r="Q79" s="39"/>
    </row>
    <row r="80" spans="1:17" ht="12.75" customHeight="1">
      <c r="A80" s="125"/>
      <c r="B80" s="58"/>
      <c r="C80" s="39"/>
      <c r="D80" s="39"/>
      <c r="E80" s="39"/>
      <c r="F80" s="39"/>
      <c r="G80" s="39"/>
      <c r="H80" s="39"/>
      <c r="I80" s="39"/>
      <c r="J80" s="39"/>
      <c r="K80" s="39"/>
      <c r="L80" s="129" t="str">
        <f t="shared" si="3"/>
        <v/>
      </c>
      <c r="M80" s="39"/>
      <c r="N80" s="39"/>
      <c r="O80" s="58"/>
      <c r="P80" s="29"/>
      <c r="Q80" s="39"/>
    </row>
    <row r="81" spans="1:17" ht="12.75" customHeight="1">
      <c r="A81" s="125"/>
      <c r="B81" s="58"/>
      <c r="C81" s="39"/>
      <c r="D81" s="39"/>
      <c r="E81" s="39"/>
      <c r="F81" s="39"/>
      <c r="G81" s="39"/>
      <c r="H81" s="39"/>
      <c r="I81" s="39"/>
      <c r="J81" s="39"/>
      <c r="K81" s="39"/>
      <c r="L81" s="129" t="str">
        <f t="shared" si="3"/>
        <v/>
      </c>
      <c r="M81" s="39"/>
      <c r="N81" s="39"/>
      <c r="O81" s="58"/>
      <c r="P81" s="29"/>
      <c r="Q81" s="39"/>
    </row>
    <row r="82" spans="1:17" ht="12.75" customHeight="1">
      <c r="A82" s="125"/>
      <c r="B82" s="58"/>
      <c r="C82" s="39"/>
      <c r="D82" s="39"/>
      <c r="E82" s="39"/>
      <c r="F82" s="39"/>
      <c r="G82" s="39"/>
      <c r="H82" s="39"/>
      <c r="I82" s="39"/>
      <c r="J82" s="39"/>
      <c r="K82" s="39"/>
      <c r="L82" s="129" t="str">
        <f t="shared" si="3"/>
        <v/>
      </c>
      <c r="M82" s="39"/>
      <c r="N82" s="39"/>
      <c r="O82" s="58"/>
      <c r="P82" s="29"/>
      <c r="Q82" s="39"/>
    </row>
    <row r="83" spans="1:17" ht="12.75" customHeight="1">
      <c r="A83" s="125"/>
      <c r="B83" s="58"/>
      <c r="C83" s="39"/>
      <c r="D83" s="39"/>
      <c r="E83" s="39"/>
      <c r="F83" s="39"/>
      <c r="G83" s="39"/>
      <c r="H83" s="39"/>
      <c r="I83" s="39"/>
      <c r="J83" s="39"/>
      <c r="K83" s="39"/>
      <c r="L83" s="129" t="str">
        <f t="shared" si="3"/>
        <v/>
      </c>
      <c r="M83" s="39"/>
      <c r="N83" s="39"/>
      <c r="O83" s="58"/>
      <c r="P83" s="29"/>
      <c r="Q83" s="39"/>
    </row>
    <row r="84" spans="1:17" ht="12.75" customHeight="1">
      <c r="A84" s="125"/>
      <c r="B84" s="58"/>
      <c r="C84" s="39"/>
      <c r="D84" s="39"/>
      <c r="E84" s="39"/>
      <c r="F84" s="39"/>
      <c r="G84" s="39"/>
      <c r="H84" s="39"/>
      <c r="I84" s="39"/>
      <c r="J84" s="39"/>
      <c r="K84" s="39"/>
      <c r="L84" s="129" t="str">
        <f t="shared" si="3"/>
        <v/>
      </c>
      <c r="M84" s="39"/>
      <c r="N84" s="39"/>
      <c r="O84" s="58"/>
      <c r="P84" s="29"/>
      <c r="Q84" s="39"/>
    </row>
    <row r="85" spans="1:17" ht="12.75" customHeight="1">
      <c r="A85" s="125"/>
      <c r="B85" s="58"/>
      <c r="C85" s="39"/>
      <c r="D85" s="39"/>
      <c r="E85" s="39"/>
      <c r="F85" s="39"/>
      <c r="G85" s="39"/>
      <c r="H85" s="39"/>
      <c r="I85" s="39"/>
      <c r="J85" s="39"/>
      <c r="K85" s="39"/>
      <c r="L85" s="129" t="str">
        <f t="shared" si="3"/>
        <v/>
      </c>
      <c r="M85" s="39"/>
      <c r="N85" s="39"/>
      <c r="O85" s="58"/>
      <c r="P85" s="29"/>
      <c r="Q85" s="39"/>
    </row>
    <row r="86" spans="1:17" ht="12.75" customHeight="1">
      <c r="A86" s="125"/>
      <c r="B86" s="58"/>
      <c r="C86" s="39"/>
      <c r="D86" s="39"/>
      <c r="E86" s="39"/>
      <c r="F86" s="39"/>
      <c r="G86" s="39"/>
      <c r="H86" s="39"/>
      <c r="I86" s="39"/>
      <c r="J86" s="39"/>
      <c r="K86" s="39"/>
      <c r="L86" s="129" t="str">
        <f t="shared" si="3"/>
        <v/>
      </c>
      <c r="M86" s="39"/>
      <c r="N86" s="39"/>
      <c r="O86" s="58"/>
      <c r="P86" s="29"/>
      <c r="Q86" s="39"/>
    </row>
    <row r="87" spans="1:17" ht="12.75" customHeight="1">
      <c r="A87" s="125"/>
      <c r="B87" s="58"/>
      <c r="C87" s="39"/>
      <c r="D87" s="39"/>
      <c r="E87" s="39"/>
      <c r="F87" s="39"/>
      <c r="G87" s="39"/>
      <c r="H87" s="39"/>
      <c r="I87" s="39"/>
      <c r="J87" s="39"/>
      <c r="K87" s="39"/>
      <c r="L87" s="129" t="str">
        <f t="shared" si="3"/>
        <v/>
      </c>
      <c r="M87" s="39"/>
      <c r="N87" s="39"/>
      <c r="O87" s="58"/>
      <c r="P87" s="29"/>
      <c r="Q87" s="39"/>
    </row>
    <row r="88" spans="1:17" ht="12.75" customHeight="1">
      <c r="A88" s="125"/>
      <c r="B88" s="58"/>
      <c r="C88" s="39"/>
      <c r="D88" s="39"/>
      <c r="E88" s="39"/>
      <c r="F88" s="39"/>
      <c r="G88" s="39"/>
      <c r="H88" s="39"/>
      <c r="I88" s="39"/>
      <c r="J88" s="39"/>
      <c r="K88" s="39"/>
      <c r="L88" s="129" t="str">
        <f t="shared" si="3"/>
        <v/>
      </c>
      <c r="M88" s="39"/>
      <c r="N88" s="39"/>
      <c r="O88" s="58"/>
      <c r="P88" s="29"/>
      <c r="Q88" s="39"/>
    </row>
    <row r="89" spans="1:17" ht="12.75" customHeight="1">
      <c r="A89" s="125"/>
      <c r="B89" s="58"/>
      <c r="C89" s="39"/>
      <c r="D89" s="39"/>
      <c r="E89" s="39"/>
      <c r="F89" s="39"/>
      <c r="G89" s="39"/>
      <c r="H89" s="39"/>
      <c r="I89" s="39"/>
      <c r="J89" s="39"/>
      <c r="K89" s="39"/>
      <c r="L89" s="129" t="str">
        <f t="shared" si="3"/>
        <v/>
      </c>
      <c r="M89" s="39"/>
      <c r="N89" s="39"/>
      <c r="O89" s="58"/>
      <c r="P89" s="29"/>
      <c r="Q89" s="39"/>
    </row>
    <row r="90" spans="1:17" ht="12.75" customHeight="1">
      <c r="A90" s="125"/>
      <c r="B90" s="58"/>
      <c r="C90" s="39"/>
      <c r="D90" s="39"/>
      <c r="E90" s="39"/>
      <c r="F90" s="39"/>
      <c r="G90" s="39"/>
      <c r="H90" s="39"/>
      <c r="I90" s="39"/>
      <c r="J90" s="39"/>
      <c r="K90" s="39"/>
      <c r="L90" s="129" t="str">
        <f t="shared" si="3"/>
        <v/>
      </c>
      <c r="M90" s="39"/>
      <c r="N90" s="39"/>
      <c r="O90" s="58"/>
      <c r="P90" s="29"/>
      <c r="Q90" s="39"/>
    </row>
    <row r="91" spans="1:17" ht="12.75" customHeight="1">
      <c r="A91" s="125"/>
      <c r="B91" s="58"/>
      <c r="C91" s="39"/>
      <c r="D91" s="39"/>
      <c r="E91" s="39"/>
      <c r="F91" s="39"/>
      <c r="G91" s="39"/>
      <c r="H91" s="39"/>
      <c r="I91" s="39"/>
      <c r="J91" s="39"/>
      <c r="K91" s="39"/>
      <c r="L91" s="129" t="str">
        <f t="shared" si="3"/>
        <v/>
      </c>
      <c r="M91" s="39"/>
      <c r="N91" s="39"/>
      <c r="O91" s="58"/>
      <c r="P91" s="29"/>
      <c r="Q91" s="39"/>
    </row>
    <row r="92" spans="1:17" ht="12.75" customHeight="1">
      <c r="A92" s="125"/>
      <c r="B92" s="58"/>
      <c r="C92" s="39"/>
      <c r="D92" s="39"/>
      <c r="E92" s="39"/>
      <c r="F92" s="39"/>
      <c r="G92" s="39"/>
      <c r="H92" s="39"/>
      <c r="I92" s="39"/>
      <c r="J92" s="39"/>
      <c r="K92" s="39"/>
      <c r="L92" s="129" t="str">
        <f t="shared" si="3"/>
        <v/>
      </c>
      <c r="M92" s="39"/>
      <c r="N92" s="39"/>
      <c r="O92" s="58"/>
      <c r="P92" s="29"/>
      <c r="Q92" s="39"/>
    </row>
    <row r="93" spans="1:17" ht="12.75" customHeight="1">
      <c r="A93" s="125"/>
      <c r="B93" s="58"/>
      <c r="C93" s="39"/>
      <c r="D93" s="39"/>
      <c r="E93" s="39"/>
      <c r="F93" s="39"/>
      <c r="G93" s="39"/>
      <c r="H93" s="39"/>
      <c r="I93" s="39"/>
      <c r="J93" s="39"/>
      <c r="K93" s="39"/>
      <c r="L93" s="129" t="str">
        <f t="shared" si="3"/>
        <v/>
      </c>
      <c r="M93" s="39"/>
      <c r="N93" s="39"/>
      <c r="O93" s="58"/>
      <c r="P93" s="29"/>
      <c r="Q93" s="39"/>
    </row>
    <row r="94" spans="1:17" ht="12.75" customHeight="1">
      <c r="A94" s="125"/>
      <c r="B94" s="58"/>
      <c r="C94" s="39"/>
      <c r="D94" s="39"/>
      <c r="E94" s="39"/>
      <c r="F94" s="39"/>
      <c r="G94" s="39"/>
      <c r="H94" s="39"/>
      <c r="I94" s="39"/>
      <c r="J94" s="39"/>
      <c r="K94" s="39"/>
      <c r="L94" s="129" t="str">
        <f t="shared" si="3"/>
        <v/>
      </c>
      <c r="M94" s="39"/>
      <c r="N94" s="39"/>
      <c r="O94" s="58"/>
      <c r="P94" s="29"/>
      <c r="Q94" s="39"/>
    </row>
    <row r="95" spans="1:17" ht="12.75" customHeight="1">
      <c r="A95" s="125"/>
      <c r="B95" s="58"/>
      <c r="C95" s="39"/>
      <c r="D95" s="39"/>
      <c r="E95" s="39"/>
      <c r="F95" s="39"/>
      <c r="G95" s="39"/>
      <c r="H95" s="39"/>
      <c r="I95" s="39"/>
      <c r="J95" s="39"/>
      <c r="K95" s="39"/>
      <c r="L95" s="129" t="str">
        <f t="shared" si="3"/>
        <v/>
      </c>
      <c r="M95" s="39"/>
      <c r="N95" s="39"/>
      <c r="O95" s="58"/>
      <c r="P95" s="29"/>
      <c r="Q95" s="39"/>
    </row>
    <row r="96" spans="1:17" ht="12.75" customHeight="1">
      <c r="A96" s="125"/>
      <c r="B96" s="58"/>
      <c r="C96" s="39"/>
      <c r="D96" s="39"/>
      <c r="E96" s="39"/>
      <c r="F96" s="39"/>
      <c r="G96" s="39"/>
      <c r="H96" s="39"/>
      <c r="I96" s="39"/>
      <c r="J96" s="39"/>
      <c r="K96" s="39"/>
      <c r="L96" s="129" t="str">
        <f t="shared" si="3"/>
        <v/>
      </c>
      <c r="M96" s="39"/>
      <c r="N96" s="39"/>
      <c r="O96" s="58"/>
      <c r="P96" s="29"/>
      <c r="Q96" s="39"/>
    </row>
    <row r="97" spans="1:17" ht="12.75" customHeight="1">
      <c r="A97" s="125"/>
      <c r="B97" s="58"/>
      <c r="C97" s="39"/>
      <c r="D97" s="39"/>
      <c r="E97" s="39"/>
      <c r="F97" s="39"/>
      <c r="G97" s="39"/>
      <c r="H97" s="39"/>
      <c r="I97" s="39"/>
      <c r="J97" s="39"/>
      <c r="K97" s="39"/>
      <c r="L97" s="129" t="str">
        <f t="shared" si="3"/>
        <v/>
      </c>
      <c r="M97" s="39"/>
      <c r="N97" s="39"/>
      <c r="O97" s="58"/>
      <c r="P97" s="29"/>
      <c r="Q97" s="39"/>
    </row>
    <row r="98" spans="1:17" ht="12.75" customHeight="1">
      <c r="A98" s="125"/>
      <c r="B98" s="58"/>
      <c r="C98" s="39"/>
      <c r="D98" s="39"/>
      <c r="E98" s="39"/>
      <c r="F98" s="39"/>
      <c r="G98" s="39"/>
      <c r="H98" s="39"/>
      <c r="I98" s="39"/>
      <c r="J98" s="39"/>
      <c r="K98" s="39"/>
      <c r="L98" s="129" t="str">
        <f t="shared" si="3"/>
        <v/>
      </c>
      <c r="M98" s="39"/>
      <c r="N98" s="39"/>
      <c r="O98" s="58"/>
      <c r="P98" s="29"/>
      <c r="Q98" s="39"/>
    </row>
    <row r="99" spans="1:17" ht="12.75" customHeight="1">
      <c r="A99" s="125"/>
      <c r="B99" s="58"/>
      <c r="C99" s="39"/>
      <c r="D99" s="39"/>
      <c r="E99" s="39"/>
      <c r="F99" s="39"/>
      <c r="G99" s="39"/>
      <c r="H99" s="39"/>
      <c r="I99" s="39"/>
      <c r="J99" s="39"/>
      <c r="K99" s="39"/>
      <c r="L99" s="129" t="str">
        <f t="shared" si="3"/>
        <v/>
      </c>
      <c r="M99" s="39"/>
      <c r="N99" s="39"/>
      <c r="O99" s="58"/>
      <c r="P99" s="29"/>
      <c r="Q99" s="39"/>
    </row>
    <row r="100" spans="1:17" ht="12.75" customHeight="1">
      <c r="A100" s="125"/>
      <c r="B100" s="58"/>
      <c r="C100" s="39"/>
      <c r="D100" s="39"/>
      <c r="E100" s="39"/>
      <c r="F100" s="39"/>
      <c r="G100" s="39"/>
      <c r="H100" s="39"/>
      <c r="I100" s="39"/>
      <c r="J100" s="39"/>
      <c r="K100" s="39"/>
      <c r="L100" s="129" t="str">
        <f t="shared" si="3"/>
        <v/>
      </c>
      <c r="M100" s="39"/>
      <c r="N100" s="39"/>
      <c r="O100" s="58"/>
      <c r="P100" s="29"/>
      <c r="Q100" s="39"/>
    </row>
    <row r="101" spans="1:17" ht="12.75" customHeight="1">
      <c r="A101" s="125"/>
      <c r="B101" s="58"/>
      <c r="C101" s="39"/>
      <c r="D101" s="39"/>
      <c r="E101" s="39"/>
      <c r="F101" s="39"/>
      <c r="G101" s="39"/>
      <c r="H101" s="39"/>
      <c r="I101" s="39"/>
      <c r="J101" s="39"/>
      <c r="K101" s="39"/>
      <c r="L101" s="129" t="str">
        <f t="shared" si="3"/>
        <v/>
      </c>
      <c r="M101" s="39"/>
      <c r="N101" s="39"/>
      <c r="O101" s="58"/>
      <c r="P101" s="29"/>
      <c r="Q101" s="39"/>
    </row>
    <row r="102" spans="1:17" ht="12.75" customHeight="1">
      <c r="A102" s="125"/>
      <c r="B102" s="58"/>
      <c r="C102" s="39"/>
      <c r="D102" s="39"/>
      <c r="E102" s="39"/>
      <c r="F102" s="39"/>
      <c r="G102" s="39"/>
      <c r="H102" s="39"/>
      <c r="I102" s="39"/>
      <c r="J102" s="39"/>
      <c r="K102" s="39"/>
      <c r="L102" s="129" t="str">
        <f t="shared" si="3"/>
        <v/>
      </c>
      <c r="M102" s="39"/>
      <c r="N102" s="39"/>
      <c r="O102" s="58"/>
      <c r="P102" s="29"/>
      <c r="Q102" s="39"/>
    </row>
    <row r="103" spans="1:17" ht="12.75" customHeight="1">
      <c r="A103" s="125"/>
      <c r="B103" s="58"/>
      <c r="C103" s="39"/>
      <c r="D103" s="39"/>
      <c r="E103" s="39"/>
      <c r="F103" s="39"/>
      <c r="G103" s="39"/>
      <c r="H103" s="39"/>
      <c r="I103" s="39"/>
      <c r="J103" s="39"/>
      <c r="K103" s="39"/>
      <c r="L103" s="129" t="str">
        <f t="shared" si="3"/>
        <v/>
      </c>
      <c r="M103" s="39"/>
      <c r="N103" s="39"/>
      <c r="O103" s="58"/>
      <c r="P103" s="29"/>
      <c r="Q103" s="39"/>
    </row>
    <row r="104" spans="1:17" ht="12.75" customHeight="1">
      <c r="A104" s="125"/>
      <c r="B104" s="58"/>
      <c r="C104" s="39"/>
      <c r="D104" s="39"/>
      <c r="E104" s="39"/>
      <c r="F104" s="39"/>
      <c r="G104" s="39"/>
      <c r="H104" s="39"/>
      <c r="I104" s="39"/>
      <c r="J104" s="39"/>
      <c r="K104" s="39"/>
      <c r="L104" s="129" t="str">
        <f t="shared" si="3"/>
        <v/>
      </c>
      <c r="M104" s="39"/>
      <c r="N104" s="39"/>
      <c r="O104" s="58"/>
      <c r="P104" s="29"/>
      <c r="Q104" s="39"/>
    </row>
    <row r="105" spans="1:17" ht="12.75" customHeight="1">
      <c r="A105" s="125"/>
      <c r="B105" s="58"/>
      <c r="C105" s="39"/>
      <c r="D105" s="39"/>
      <c r="E105" s="39"/>
      <c r="F105" s="39"/>
      <c r="G105" s="39"/>
      <c r="H105" s="39"/>
      <c r="I105" s="39"/>
      <c r="J105" s="39"/>
      <c r="K105" s="39"/>
      <c r="L105" s="129" t="str">
        <f t="shared" si="3"/>
        <v/>
      </c>
      <c r="M105" s="39"/>
      <c r="N105" s="39"/>
      <c r="O105" s="58"/>
      <c r="P105" s="29"/>
      <c r="Q105" s="39"/>
    </row>
    <row r="106" spans="1:17" ht="12.75" customHeight="1">
      <c r="A106" s="125"/>
      <c r="B106" s="58"/>
      <c r="C106" s="39"/>
      <c r="D106" s="39"/>
      <c r="E106" s="39"/>
      <c r="F106" s="39"/>
      <c r="G106" s="39"/>
      <c r="H106" s="39"/>
      <c r="I106" s="39"/>
      <c r="J106" s="39"/>
      <c r="K106" s="39"/>
      <c r="L106" s="129" t="str">
        <f t="shared" si="3"/>
        <v/>
      </c>
      <c r="M106" s="39"/>
      <c r="N106" s="39"/>
      <c r="O106" s="58"/>
      <c r="P106" s="29"/>
      <c r="Q106" s="39"/>
    </row>
    <row r="107" spans="1:17" ht="12.75" customHeight="1">
      <c r="A107" s="125"/>
      <c r="B107" s="58"/>
      <c r="C107" s="39"/>
      <c r="D107" s="39"/>
      <c r="E107" s="39"/>
      <c r="F107" s="39"/>
      <c r="G107" s="39"/>
      <c r="H107" s="39"/>
      <c r="I107" s="39"/>
      <c r="J107" s="39"/>
      <c r="K107" s="39"/>
      <c r="L107" s="129" t="str">
        <f t="shared" si="3"/>
        <v/>
      </c>
      <c r="M107" s="39"/>
      <c r="N107" s="39"/>
      <c r="O107" s="58"/>
      <c r="P107" s="29"/>
      <c r="Q107" s="39"/>
    </row>
    <row r="108" spans="1:17" ht="12.75" customHeight="1">
      <c r="A108" s="125"/>
      <c r="B108" s="58"/>
      <c r="C108" s="39"/>
      <c r="D108" s="39"/>
      <c r="E108" s="39"/>
      <c r="F108" s="39"/>
      <c r="G108" s="39"/>
      <c r="H108" s="39"/>
      <c r="I108" s="39"/>
      <c r="J108" s="39"/>
      <c r="K108" s="39"/>
      <c r="L108" s="129" t="str">
        <f t="shared" ref="L108:L171" si="4">IF(E108="","",IF(E108&lt;=30,"Pass","Fail"))</f>
        <v/>
      </c>
      <c r="M108" s="39"/>
      <c r="N108" s="39"/>
      <c r="O108" s="58"/>
      <c r="P108" s="29"/>
      <c r="Q108" s="39"/>
    </row>
    <row r="109" spans="1:17" ht="12.75" customHeight="1">
      <c r="A109" s="125"/>
      <c r="B109" s="58"/>
      <c r="C109" s="39"/>
      <c r="D109" s="39"/>
      <c r="E109" s="39"/>
      <c r="F109" s="39"/>
      <c r="G109" s="39"/>
      <c r="H109" s="39"/>
      <c r="I109" s="39"/>
      <c r="J109" s="39"/>
      <c r="K109" s="39"/>
      <c r="L109" s="129" t="str">
        <f t="shared" si="4"/>
        <v/>
      </c>
      <c r="M109" s="39"/>
      <c r="N109" s="39"/>
      <c r="O109" s="58"/>
      <c r="P109" s="29"/>
      <c r="Q109" s="39"/>
    </row>
    <row r="110" spans="1:17" ht="12.75" customHeight="1">
      <c r="A110" s="125"/>
      <c r="B110" s="58"/>
      <c r="C110" s="39"/>
      <c r="D110" s="39"/>
      <c r="E110" s="39"/>
      <c r="F110" s="39"/>
      <c r="G110" s="39"/>
      <c r="H110" s="39"/>
      <c r="I110" s="39"/>
      <c r="J110" s="39"/>
      <c r="K110" s="39"/>
      <c r="L110" s="129" t="str">
        <f t="shared" si="4"/>
        <v/>
      </c>
      <c r="M110" s="39"/>
      <c r="N110" s="39"/>
      <c r="O110" s="58"/>
      <c r="P110" s="29"/>
      <c r="Q110" s="39"/>
    </row>
    <row r="111" spans="1:17" ht="12.75" customHeight="1">
      <c r="A111" s="125"/>
      <c r="B111" s="58"/>
      <c r="C111" s="39"/>
      <c r="D111" s="39"/>
      <c r="E111" s="39"/>
      <c r="F111" s="39"/>
      <c r="G111" s="39"/>
      <c r="H111" s="39"/>
      <c r="I111" s="39"/>
      <c r="J111" s="39"/>
      <c r="K111" s="39"/>
      <c r="L111" s="129" t="str">
        <f t="shared" si="4"/>
        <v/>
      </c>
      <c r="M111" s="39"/>
      <c r="N111" s="39"/>
      <c r="O111" s="58"/>
      <c r="P111" s="29"/>
      <c r="Q111" s="39"/>
    </row>
    <row r="112" spans="1:17" ht="12.75" customHeight="1">
      <c r="A112" s="125"/>
      <c r="B112" s="58"/>
      <c r="C112" s="39"/>
      <c r="D112" s="39"/>
      <c r="E112" s="39"/>
      <c r="F112" s="39"/>
      <c r="G112" s="39"/>
      <c r="H112" s="39"/>
      <c r="I112" s="39"/>
      <c r="J112" s="39"/>
      <c r="K112" s="39"/>
      <c r="L112" s="129" t="str">
        <f t="shared" si="4"/>
        <v/>
      </c>
      <c r="M112" s="39"/>
      <c r="N112" s="39"/>
      <c r="O112" s="58"/>
      <c r="P112" s="29"/>
      <c r="Q112" s="39"/>
    </row>
    <row r="113" spans="1:17" ht="12.75" customHeight="1">
      <c r="A113" s="125"/>
      <c r="B113" s="58"/>
      <c r="C113" s="39"/>
      <c r="D113" s="39"/>
      <c r="E113" s="39"/>
      <c r="F113" s="39"/>
      <c r="G113" s="39"/>
      <c r="H113" s="39"/>
      <c r="I113" s="39"/>
      <c r="J113" s="39"/>
      <c r="K113" s="39"/>
      <c r="L113" s="129" t="str">
        <f t="shared" si="4"/>
        <v/>
      </c>
      <c r="M113" s="39"/>
      <c r="N113" s="39"/>
      <c r="O113" s="58"/>
      <c r="P113" s="29"/>
      <c r="Q113" s="39"/>
    </row>
    <row r="114" spans="1:17" ht="12.75" customHeight="1">
      <c r="A114" s="125"/>
      <c r="B114" s="58"/>
      <c r="C114" s="39"/>
      <c r="D114" s="39"/>
      <c r="E114" s="39"/>
      <c r="F114" s="39"/>
      <c r="G114" s="39"/>
      <c r="H114" s="39"/>
      <c r="I114" s="39"/>
      <c r="J114" s="39"/>
      <c r="K114" s="39"/>
      <c r="L114" s="129" t="str">
        <f t="shared" si="4"/>
        <v/>
      </c>
      <c r="M114" s="39"/>
      <c r="N114" s="39"/>
      <c r="O114" s="58"/>
      <c r="P114" s="29"/>
      <c r="Q114" s="39"/>
    </row>
    <row r="115" spans="1:17" ht="12.75" customHeight="1">
      <c r="A115" s="125"/>
      <c r="B115" s="58"/>
      <c r="C115" s="39"/>
      <c r="D115" s="39"/>
      <c r="E115" s="39"/>
      <c r="F115" s="39"/>
      <c r="G115" s="39"/>
      <c r="H115" s="39"/>
      <c r="I115" s="39"/>
      <c r="J115" s="39"/>
      <c r="K115" s="39"/>
      <c r="L115" s="129" t="str">
        <f t="shared" si="4"/>
        <v/>
      </c>
      <c r="M115" s="39"/>
      <c r="N115" s="39"/>
      <c r="O115" s="58"/>
      <c r="P115" s="29"/>
      <c r="Q115" s="39"/>
    </row>
    <row r="116" spans="1:17" ht="12.75" customHeight="1">
      <c r="A116" s="125"/>
      <c r="B116" s="58"/>
      <c r="C116" s="39"/>
      <c r="D116" s="39"/>
      <c r="E116" s="39"/>
      <c r="F116" s="39"/>
      <c r="G116" s="39"/>
      <c r="H116" s="39"/>
      <c r="I116" s="39"/>
      <c r="J116" s="39"/>
      <c r="K116" s="39"/>
      <c r="L116" s="129" t="str">
        <f t="shared" si="4"/>
        <v/>
      </c>
      <c r="M116" s="39"/>
      <c r="N116" s="39"/>
      <c r="O116" s="58"/>
      <c r="P116" s="29"/>
      <c r="Q116" s="39"/>
    </row>
    <row r="117" spans="1:17" ht="12.75" customHeight="1">
      <c r="A117" s="125"/>
      <c r="B117" s="58"/>
      <c r="C117" s="39"/>
      <c r="D117" s="39"/>
      <c r="E117" s="39"/>
      <c r="F117" s="39"/>
      <c r="G117" s="39"/>
      <c r="H117" s="39"/>
      <c r="I117" s="39"/>
      <c r="J117" s="39"/>
      <c r="K117" s="39"/>
      <c r="L117" s="129" t="str">
        <f t="shared" si="4"/>
        <v/>
      </c>
      <c r="M117" s="39"/>
      <c r="N117" s="39"/>
      <c r="O117" s="58"/>
      <c r="P117" s="29"/>
      <c r="Q117" s="39"/>
    </row>
    <row r="118" spans="1:17" ht="12.75" customHeight="1">
      <c r="A118" s="125"/>
      <c r="B118" s="58"/>
      <c r="C118" s="39"/>
      <c r="D118" s="39"/>
      <c r="E118" s="39"/>
      <c r="F118" s="39"/>
      <c r="G118" s="39"/>
      <c r="H118" s="39"/>
      <c r="I118" s="39"/>
      <c r="J118" s="39"/>
      <c r="K118" s="39"/>
      <c r="L118" s="129" t="str">
        <f t="shared" si="4"/>
        <v/>
      </c>
      <c r="M118" s="39"/>
      <c r="N118" s="39"/>
      <c r="O118" s="58"/>
      <c r="P118" s="29"/>
      <c r="Q118" s="39"/>
    </row>
    <row r="119" spans="1:17" ht="12.75" customHeight="1">
      <c r="A119" s="125"/>
      <c r="B119" s="58"/>
      <c r="C119" s="39"/>
      <c r="D119" s="39"/>
      <c r="E119" s="39"/>
      <c r="F119" s="39"/>
      <c r="G119" s="39"/>
      <c r="H119" s="39"/>
      <c r="I119" s="39"/>
      <c r="J119" s="39"/>
      <c r="K119" s="39"/>
      <c r="L119" s="129" t="str">
        <f t="shared" si="4"/>
        <v/>
      </c>
      <c r="M119" s="39"/>
      <c r="N119" s="39"/>
      <c r="O119" s="58"/>
      <c r="P119" s="29"/>
      <c r="Q119" s="39"/>
    </row>
    <row r="120" spans="1:17" ht="12.75" customHeight="1">
      <c r="A120" s="125"/>
      <c r="B120" s="58"/>
      <c r="C120" s="39"/>
      <c r="D120" s="39"/>
      <c r="E120" s="39"/>
      <c r="F120" s="39"/>
      <c r="G120" s="39"/>
      <c r="H120" s="39"/>
      <c r="I120" s="39"/>
      <c r="J120" s="39"/>
      <c r="K120" s="39"/>
      <c r="L120" s="129" t="str">
        <f t="shared" si="4"/>
        <v/>
      </c>
      <c r="M120" s="39"/>
      <c r="N120" s="39"/>
      <c r="O120" s="58"/>
      <c r="P120" s="29"/>
      <c r="Q120" s="39"/>
    </row>
    <row r="121" spans="1:17" ht="12.75" customHeight="1">
      <c r="A121" s="125"/>
      <c r="B121" s="58"/>
      <c r="C121" s="39"/>
      <c r="D121" s="39"/>
      <c r="E121" s="39"/>
      <c r="F121" s="39"/>
      <c r="G121" s="39"/>
      <c r="H121" s="39"/>
      <c r="I121" s="39"/>
      <c r="J121" s="39"/>
      <c r="K121" s="39"/>
      <c r="L121" s="129" t="str">
        <f t="shared" si="4"/>
        <v/>
      </c>
      <c r="M121" s="39"/>
      <c r="N121" s="39"/>
      <c r="O121" s="58"/>
      <c r="P121" s="29"/>
      <c r="Q121" s="39"/>
    </row>
    <row r="122" spans="1:17" ht="12.75" customHeight="1">
      <c r="A122" s="125"/>
      <c r="B122" s="58"/>
      <c r="C122" s="39"/>
      <c r="D122" s="39"/>
      <c r="E122" s="39"/>
      <c r="F122" s="39"/>
      <c r="G122" s="39"/>
      <c r="H122" s="39"/>
      <c r="I122" s="39"/>
      <c r="J122" s="39"/>
      <c r="K122" s="39"/>
      <c r="L122" s="129" t="str">
        <f t="shared" si="4"/>
        <v/>
      </c>
      <c r="M122" s="39"/>
      <c r="N122" s="39"/>
      <c r="O122" s="58"/>
      <c r="P122" s="29"/>
      <c r="Q122" s="39"/>
    </row>
    <row r="123" spans="1:17" ht="12.75" customHeight="1">
      <c r="A123" s="125"/>
      <c r="B123" s="58"/>
      <c r="C123" s="39"/>
      <c r="D123" s="39"/>
      <c r="E123" s="39"/>
      <c r="F123" s="39"/>
      <c r="G123" s="39"/>
      <c r="H123" s="39"/>
      <c r="I123" s="39"/>
      <c r="J123" s="39"/>
      <c r="K123" s="39"/>
      <c r="L123" s="129" t="str">
        <f t="shared" si="4"/>
        <v/>
      </c>
      <c r="M123" s="39"/>
      <c r="N123" s="39"/>
      <c r="O123" s="58"/>
      <c r="P123" s="29"/>
      <c r="Q123" s="39"/>
    </row>
    <row r="124" spans="1:17" ht="12.75" customHeight="1">
      <c r="A124" s="125"/>
      <c r="B124" s="58"/>
      <c r="C124" s="39"/>
      <c r="D124" s="39"/>
      <c r="E124" s="39"/>
      <c r="F124" s="39"/>
      <c r="G124" s="39"/>
      <c r="H124" s="39"/>
      <c r="I124" s="39"/>
      <c r="J124" s="39"/>
      <c r="K124" s="39"/>
      <c r="L124" s="129" t="str">
        <f t="shared" si="4"/>
        <v/>
      </c>
      <c r="M124" s="39"/>
      <c r="N124" s="39"/>
      <c r="O124" s="58"/>
      <c r="P124" s="29"/>
      <c r="Q124" s="39"/>
    </row>
    <row r="125" spans="1:17" ht="12.75" customHeight="1">
      <c r="A125" s="125"/>
      <c r="B125" s="58"/>
      <c r="C125" s="39"/>
      <c r="D125" s="39"/>
      <c r="E125" s="39"/>
      <c r="F125" s="39"/>
      <c r="G125" s="39"/>
      <c r="H125" s="39"/>
      <c r="I125" s="39"/>
      <c r="J125" s="39"/>
      <c r="K125" s="39"/>
      <c r="L125" s="129" t="str">
        <f t="shared" si="4"/>
        <v/>
      </c>
      <c r="M125" s="39"/>
      <c r="N125" s="39"/>
      <c r="O125" s="58"/>
      <c r="P125" s="29"/>
      <c r="Q125" s="39"/>
    </row>
    <row r="126" spans="1:17" ht="12.75" customHeight="1">
      <c r="A126" s="125"/>
      <c r="B126" s="58"/>
      <c r="C126" s="39"/>
      <c r="D126" s="39"/>
      <c r="E126" s="39"/>
      <c r="F126" s="39"/>
      <c r="G126" s="39"/>
      <c r="H126" s="39"/>
      <c r="I126" s="39"/>
      <c r="J126" s="39"/>
      <c r="K126" s="39"/>
      <c r="L126" s="129" t="str">
        <f t="shared" si="4"/>
        <v/>
      </c>
      <c r="M126" s="39"/>
      <c r="N126" s="39"/>
      <c r="O126" s="58"/>
      <c r="P126" s="29"/>
      <c r="Q126" s="39"/>
    </row>
    <row r="127" spans="1:17" ht="12.75" customHeight="1">
      <c r="A127" s="125"/>
      <c r="B127" s="58"/>
      <c r="C127" s="39"/>
      <c r="D127" s="39"/>
      <c r="E127" s="39"/>
      <c r="F127" s="39"/>
      <c r="G127" s="39"/>
      <c r="H127" s="39"/>
      <c r="I127" s="39"/>
      <c r="J127" s="39"/>
      <c r="K127" s="39"/>
      <c r="L127" s="129" t="str">
        <f t="shared" si="4"/>
        <v/>
      </c>
      <c r="M127" s="39"/>
      <c r="N127" s="39"/>
      <c r="O127" s="58"/>
      <c r="P127" s="29"/>
      <c r="Q127" s="39"/>
    </row>
    <row r="128" spans="1:17" ht="12.75" customHeight="1">
      <c r="A128" s="125"/>
      <c r="B128" s="58"/>
      <c r="C128" s="39"/>
      <c r="D128" s="39"/>
      <c r="E128" s="39"/>
      <c r="F128" s="39"/>
      <c r="G128" s="39"/>
      <c r="H128" s="39"/>
      <c r="I128" s="39"/>
      <c r="J128" s="39"/>
      <c r="K128" s="39"/>
      <c r="L128" s="129" t="str">
        <f t="shared" si="4"/>
        <v/>
      </c>
      <c r="M128" s="39"/>
      <c r="N128" s="39"/>
      <c r="O128" s="58"/>
      <c r="P128" s="29"/>
      <c r="Q128" s="39"/>
    </row>
    <row r="129" spans="1:17" ht="12.75" customHeight="1">
      <c r="A129" s="125"/>
      <c r="B129" s="58"/>
      <c r="C129" s="39"/>
      <c r="D129" s="39"/>
      <c r="E129" s="39"/>
      <c r="F129" s="39"/>
      <c r="G129" s="39"/>
      <c r="H129" s="39"/>
      <c r="I129" s="39"/>
      <c r="J129" s="39"/>
      <c r="K129" s="39"/>
      <c r="L129" s="129" t="str">
        <f t="shared" si="4"/>
        <v/>
      </c>
      <c r="M129" s="39"/>
      <c r="N129" s="39"/>
      <c r="O129" s="58"/>
      <c r="P129" s="29"/>
      <c r="Q129" s="39"/>
    </row>
    <row r="130" spans="1:17" ht="12.75" customHeight="1">
      <c r="A130" s="125"/>
      <c r="B130" s="58"/>
      <c r="C130" s="39"/>
      <c r="D130" s="39"/>
      <c r="E130" s="39"/>
      <c r="F130" s="39"/>
      <c r="G130" s="39"/>
      <c r="H130" s="39"/>
      <c r="I130" s="39"/>
      <c r="J130" s="39"/>
      <c r="K130" s="39"/>
      <c r="L130" s="129" t="str">
        <f t="shared" si="4"/>
        <v/>
      </c>
      <c r="M130" s="39"/>
      <c r="N130" s="39"/>
      <c r="O130" s="58"/>
      <c r="P130" s="29"/>
      <c r="Q130" s="39"/>
    </row>
    <row r="131" spans="1:17" ht="12.75" customHeight="1">
      <c r="A131" s="125"/>
      <c r="B131" s="58"/>
      <c r="C131" s="39"/>
      <c r="D131" s="39"/>
      <c r="E131" s="39"/>
      <c r="F131" s="39"/>
      <c r="G131" s="39"/>
      <c r="H131" s="39"/>
      <c r="I131" s="39"/>
      <c r="J131" s="39"/>
      <c r="K131" s="39"/>
      <c r="L131" s="129" t="str">
        <f t="shared" si="4"/>
        <v/>
      </c>
      <c r="M131" s="39"/>
      <c r="N131" s="39"/>
      <c r="O131" s="58"/>
      <c r="P131" s="29"/>
      <c r="Q131" s="39"/>
    </row>
    <row r="132" spans="1:17" ht="12.75" customHeight="1">
      <c r="A132" s="125"/>
      <c r="B132" s="58"/>
      <c r="C132" s="39"/>
      <c r="D132" s="39"/>
      <c r="E132" s="39"/>
      <c r="F132" s="39"/>
      <c r="G132" s="39"/>
      <c r="H132" s="39"/>
      <c r="I132" s="39"/>
      <c r="J132" s="39"/>
      <c r="K132" s="39"/>
      <c r="L132" s="129" t="str">
        <f t="shared" si="4"/>
        <v/>
      </c>
      <c r="M132" s="39"/>
      <c r="N132" s="39"/>
      <c r="O132" s="58"/>
      <c r="P132" s="29"/>
      <c r="Q132" s="39"/>
    </row>
    <row r="133" spans="1:17" ht="12.75" customHeight="1">
      <c r="A133" s="125"/>
      <c r="B133" s="58"/>
      <c r="C133" s="39"/>
      <c r="D133" s="39"/>
      <c r="E133" s="39"/>
      <c r="F133" s="39"/>
      <c r="G133" s="39"/>
      <c r="H133" s="39"/>
      <c r="I133" s="39"/>
      <c r="J133" s="39"/>
      <c r="K133" s="39"/>
      <c r="L133" s="129" t="str">
        <f t="shared" si="4"/>
        <v/>
      </c>
      <c r="M133" s="39"/>
      <c r="N133" s="39"/>
      <c r="O133" s="58"/>
      <c r="P133" s="29"/>
      <c r="Q133" s="39"/>
    </row>
    <row r="134" spans="1:17" ht="12.75" customHeight="1">
      <c r="A134" s="125"/>
      <c r="B134" s="58"/>
      <c r="C134" s="39"/>
      <c r="D134" s="39"/>
      <c r="E134" s="39"/>
      <c r="F134" s="39"/>
      <c r="G134" s="39"/>
      <c r="H134" s="39"/>
      <c r="I134" s="39"/>
      <c r="J134" s="39"/>
      <c r="K134" s="39"/>
      <c r="L134" s="129" t="str">
        <f t="shared" si="4"/>
        <v/>
      </c>
      <c r="M134" s="39"/>
      <c r="N134" s="39"/>
      <c r="O134" s="58"/>
      <c r="P134" s="29"/>
      <c r="Q134" s="39"/>
    </row>
    <row r="135" spans="1:17" ht="12.75" customHeight="1">
      <c r="A135" s="125"/>
      <c r="B135" s="58"/>
      <c r="C135" s="39"/>
      <c r="D135" s="39"/>
      <c r="E135" s="39"/>
      <c r="F135" s="39"/>
      <c r="G135" s="39"/>
      <c r="H135" s="39"/>
      <c r="I135" s="39"/>
      <c r="J135" s="39"/>
      <c r="K135" s="39"/>
      <c r="L135" s="129" t="str">
        <f t="shared" si="4"/>
        <v/>
      </c>
      <c r="M135" s="39"/>
      <c r="N135" s="39"/>
      <c r="O135" s="58"/>
      <c r="P135" s="29"/>
      <c r="Q135" s="39"/>
    </row>
    <row r="136" spans="1:17" ht="12.75" customHeight="1">
      <c r="A136" s="125"/>
      <c r="B136" s="58"/>
      <c r="C136" s="39"/>
      <c r="D136" s="39"/>
      <c r="E136" s="39"/>
      <c r="F136" s="39"/>
      <c r="G136" s="39"/>
      <c r="H136" s="39"/>
      <c r="I136" s="39"/>
      <c r="J136" s="39"/>
      <c r="K136" s="39"/>
      <c r="L136" s="129" t="str">
        <f t="shared" si="4"/>
        <v/>
      </c>
      <c r="M136" s="39"/>
      <c r="N136" s="39"/>
      <c r="O136" s="58"/>
      <c r="P136" s="29"/>
      <c r="Q136" s="39"/>
    </row>
    <row r="137" spans="1:17" ht="12.75" customHeight="1">
      <c r="A137" s="125"/>
      <c r="B137" s="58"/>
      <c r="C137" s="39"/>
      <c r="D137" s="39"/>
      <c r="E137" s="39"/>
      <c r="F137" s="39"/>
      <c r="G137" s="39"/>
      <c r="H137" s="39"/>
      <c r="I137" s="39"/>
      <c r="J137" s="39"/>
      <c r="K137" s="39"/>
      <c r="L137" s="129" t="str">
        <f t="shared" si="4"/>
        <v/>
      </c>
      <c r="M137" s="39"/>
      <c r="N137" s="39"/>
      <c r="O137" s="58"/>
      <c r="P137" s="29"/>
      <c r="Q137" s="39"/>
    </row>
    <row r="138" spans="1:17" ht="12.75" customHeight="1">
      <c r="A138" s="125"/>
      <c r="B138" s="58"/>
      <c r="C138" s="39"/>
      <c r="D138" s="39"/>
      <c r="E138" s="39"/>
      <c r="F138" s="39"/>
      <c r="G138" s="39"/>
      <c r="H138" s="39"/>
      <c r="I138" s="39"/>
      <c r="J138" s="39"/>
      <c r="K138" s="39"/>
      <c r="L138" s="129" t="str">
        <f t="shared" si="4"/>
        <v/>
      </c>
      <c r="M138" s="39"/>
      <c r="N138" s="39"/>
      <c r="O138" s="58"/>
      <c r="P138" s="29"/>
      <c r="Q138" s="39"/>
    </row>
    <row r="139" spans="1:17" ht="12.75" customHeight="1">
      <c r="A139" s="125"/>
      <c r="B139" s="58"/>
      <c r="C139" s="39"/>
      <c r="D139" s="39"/>
      <c r="E139" s="39"/>
      <c r="F139" s="39"/>
      <c r="G139" s="39"/>
      <c r="H139" s="39"/>
      <c r="I139" s="39"/>
      <c r="J139" s="39"/>
      <c r="K139" s="39"/>
      <c r="L139" s="129" t="str">
        <f t="shared" si="4"/>
        <v/>
      </c>
      <c r="M139" s="39"/>
      <c r="N139" s="39"/>
      <c r="O139" s="58"/>
      <c r="P139" s="29"/>
      <c r="Q139" s="39"/>
    </row>
    <row r="140" spans="1:17" ht="12.75" customHeight="1">
      <c r="A140" s="125"/>
      <c r="B140" s="58"/>
      <c r="C140" s="39"/>
      <c r="D140" s="39"/>
      <c r="E140" s="39"/>
      <c r="F140" s="39"/>
      <c r="G140" s="39"/>
      <c r="H140" s="39"/>
      <c r="I140" s="39"/>
      <c r="J140" s="39"/>
      <c r="K140" s="39"/>
      <c r="L140" s="129" t="str">
        <f t="shared" si="4"/>
        <v/>
      </c>
      <c r="M140" s="39"/>
      <c r="N140" s="39"/>
      <c r="O140" s="58"/>
      <c r="P140" s="29"/>
      <c r="Q140" s="39"/>
    </row>
    <row r="141" spans="1:17" ht="12.75" customHeight="1">
      <c r="A141" s="125"/>
      <c r="B141" s="58"/>
      <c r="C141" s="39"/>
      <c r="D141" s="39"/>
      <c r="E141" s="39"/>
      <c r="F141" s="39"/>
      <c r="G141" s="39"/>
      <c r="H141" s="39"/>
      <c r="I141" s="39"/>
      <c r="J141" s="39"/>
      <c r="K141" s="39"/>
      <c r="L141" s="129" t="str">
        <f t="shared" si="4"/>
        <v/>
      </c>
      <c r="M141" s="39"/>
      <c r="N141" s="39"/>
      <c r="O141" s="58"/>
      <c r="P141" s="29"/>
      <c r="Q141" s="39"/>
    </row>
    <row r="142" spans="1:17" ht="12.75" customHeight="1">
      <c r="A142" s="125"/>
      <c r="B142" s="58"/>
      <c r="C142" s="39"/>
      <c r="D142" s="39"/>
      <c r="E142" s="39"/>
      <c r="F142" s="39"/>
      <c r="G142" s="39"/>
      <c r="H142" s="39"/>
      <c r="I142" s="39"/>
      <c r="J142" s="39"/>
      <c r="K142" s="39"/>
      <c r="L142" s="129" t="str">
        <f t="shared" si="4"/>
        <v/>
      </c>
      <c r="M142" s="39"/>
      <c r="N142" s="39"/>
      <c r="O142" s="58"/>
      <c r="P142" s="29"/>
      <c r="Q142" s="39"/>
    </row>
    <row r="143" spans="1:17" ht="12.75" customHeight="1">
      <c r="A143" s="125"/>
      <c r="B143" s="58"/>
      <c r="C143" s="39"/>
      <c r="D143" s="39"/>
      <c r="E143" s="39"/>
      <c r="F143" s="39"/>
      <c r="G143" s="39"/>
      <c r="H143" s="39"/>
      <c r="I143" s="39"/>
      <c r="J143" s="39"/>
      <c r="K143" s="39"/>
      <c r="L143" s="129" t="str">
        <f t="shared" si="4"/>
        <v/>
      </c>
      <c r="M143" s="39"/>
      <c r="N143" s="39"/>
      <c r="O143" s="58"/>
      <c r="P143" s="29"/>
      <c r="Q143" s="39"/>
    </row>
    <row r="144" spans="1:17" ht="12.75" customHeight="1">
      <c r="A144" s="125"/>
      <c r="B144" s="58"/>
      <c r="C144" s="39"/>
      <c r="D144" s="39"/>
      <c r="E144" s="39"/>
      <c r="F144" s="39"/>
      <c r="G144" s="39"/>
      <c r="H144" s="39"/>
      <c r="I144" s="39"/>
      <c r="J144" s="39"/>
      <c r="K144" s="39"/>
      <c r="L144" s="129" t="str">
        <f t="shared" si="4"/>
        <v/>
      </c>
      <c r="M144" s="39"/>
      <c r="N144" s="39"/>
      <c r="O144" s="58"/>
      <c r="P144" s="29"/>
      <c r="Q144" s="39"/>
    </row>
    <row r="145" spans="1:17" ht="12.75" customHeight="1">
      <c r="A145" s="125"/>
      <c r="B145" s="58"/>
      <c r="C145" s="39"/>
      <c r="D145" s="39"/>
      <c r="E145" s="39"/>
      <c r="F145" s="39"/>
      <c r="G145" s="39"/>
      <c r="H145" s="39"/>
      <c r="I145" s="39"/>
      <c r="J145" s="39"/>
      <c r="K145" s="39"/>
      <c r="L145" s="129" t="str">
        <f t="shared" si="4"/>
        <v/>
      </c>
      <c r="M145" s="39"/>
      <c r="N145" s="39"/>
      <c r="O145" s="58"/>
      <c r="P145" s="29"/>
      <c r="Q145" s="39"/>
    </row>
    <row r="146" spans="1:17" ht="12.75" customHeight="1">
      <c r="A146" s="125"/>
      <c r="B146" s="58"/>
      <c r="C146" s="39"/>
      <c r="D146" s="39"/>
      <c r="E146" s="39"/>
      <c r="F146" s="39"/>
      <c r="G146" s="39"/>
      <c r="H146" s="39"/>
      <c r="I146" s="39"/>
      <c r="J146" s="39"/>
      <c r="K146" s="39"/>
      <c r="L146" s="129" t="str">
        <f t="shared" si="4"/>
        <v/>
      </c>
      <c r="M146" s="39"/>
      <c r="N146" s="39"/>
      <c r="O146" s="58"/>
      <c r="P146" s="29"/>
      <c r="Q146" s="39"/>
    </row>
    <row r="147" spans="1:17" ht="12.75" customHeight="1">
      <c r="A147" s="125"/>
      <c r="B147" s="58"/>
      <c r="C147" s="39"/>
      <c r="D147" s="39"/>
      <c r="E147" s="39"/>
      <c r="F147" s="39"/>
      <c r="G147" s="39"/>
      <c r="H147" s="39"/>
      <c r="I147" s="39"/>
      <c r="J147" s="39"/>
      <c r="K147" s="39"/>
      <c r="L147" s="129" t="str">
        <f t="shared" si="4"/>
        <v/>
      </c>
      <c r="M147" s="39"/>
      <c r="N147" s="39"/>
      <c r="O147" s="58"/>
      <c r="P147" s="29"/>
      <c r="Q147" s="39"/>
    </row>
    <row r="148" spans="1:17" ht="12.75" customHeight="1">
      <c r="A148" s="125"/>
      <c r="B148" s="58"/>
      <c r="C148" s="39"/>
      <c r="D148" s="39"/>
      <c r="E148" s="39"/>
      <c r="F148" s="39"/>
      <c r="G148" s="39"/>
      <c r="H148" s="39"/>
      <c r="I148" s="39"/>
      <c r="J148" s="39"/>
      <c r="K148" s="39"/>
      <c r="L148" s="129" t="str">
        <f t="shared" si="4"/>
        <v/>
      </c>
      <c r="M148" s="39"/>
      <c r="N148" s="39"/>
      <c r="O148" s="58"/>
      <c r="P148" s="29"/>
      <c r="Q148" s="39"/>
    </row>
    <row r="149" spans="1:17" ht="12.75" customHeight="1">
      <c r="A149" s="125"/>
      <c r="B149" s="58"/>
      <c r="C149" s="39"/>
      <c r="D149" s="39"/>
      <c r="E149" s="39"/>
      <c r="F149" s="39"/>
      <c r="G149" s="39"/>
      <c r="H149" s="39"/>
      <c r="I149" s="39"/>
      <c r="J149" s="39"/>
      <c r="K149" s="39"/>
      <c r="L149" s="129" t="str">
        <f t="shared" si="4"/>
        <v/>
      </c>
      <c r="M149" s="39"/>
      <c r="N149" s="39"/>
      <c r="O149" s="58"/>
      <c r="P149" s="29"/>
      <c r="Q149" s="39"/>
    </row>
    <row r="150" spans="1:17" ht="12.75" customHeight="1">
      <c r="A150" s="125"/>
      <c r="B150" s="58"/>
      <c r="C150" s="39"/>
      <c r="D150" s="39"/>
      <c r="E150" s="39"/>
      <c r="F150" s="39"/>
      <c r="G150" s="39"/>
      <c r="H150" s="39"/>
      <c r="I150" s="39"/>
      <c r="J150" s="39"/>
      <c r="K150" s="39"/>
      <c r="L150" s="129" t="str">
        <f t="shared" si="4"/>
        <v/>
      </c>
      <c r="M150" s="39"/>
      <c r="N150" s="39"/>
      <c r="O150" s="58"/>
      <c r="P150" s="29"/>
      <c r="Q150" s="39"/>
    </row>
    <row r="151" spans="1:17" ht="12.75" customHeight="1">
      <c r="A151" s="125"/>
      <c r="B151" s="58"/>
      <c r="C151" s="39"/>
      <c r="D151" s="39"/>
      <c r="E151" s="39"/>
      <c r="F151" s="39"/>
      <c r="G151" s="39"/>
      <c r="H151" s="39"/>
      <c r="I151" s="39"/>
      <c r="J151" s="39"/>
      <c r="K151" s="39"/>
      <c r="L151" s="129" t="str">
        <f t="shared" si="4"/>
        <v/>
      </c>
      <c r="M151" s="39"/>
      <c r="N151" s="39"/>
      <c r="O151" s="58"/>
      <c r="P151" s="29"/>
      <c r="Q151" s="39"/>
    </row>
    <row r="152" spans="1:17" ht="12.75" customHeight="1">
      <c r="A152" s="125"/>
      <c r="B152" s="58"/>
      <c r="C152" s="39"/>
      <c r="D152" s="39"/>
      <c r="E152" s="39"/>
      <c r="F152" s="39"/>
      <c r="G152" s="39"/>
      <c r="H152" s="39"/>
      <c r="I152" s="39"/>
      <c r="J152" s="39"/>
      <c r="K152" s="39"/>
      <c r="L152" s="129" t="str">
        <f t="shared" si="4"/>
        <v/>
      </c>
      <c r="M152" s="39"/>
      <c r="N152" s="39"/>
      <c r="O152" s="58"/>
      <c r="P152" s="29"/>
      <c r="Q152" s="39"/>
    </row>
    <row r="153" spans="1:17" ht="12.75" customHeight="1">
      <c r="A153" s="125"/>
      <c r="B153" s="58"/>
      <c r="C153" s="39"/>
      <c r="D153" s="39"/>
      <c r="E153" s="39"/>
      <c r="F153" s="39"/>
      <c r="G153" s="39"/>
      <c r="H153" s="39"/>
      <c r="I153" s="39"/>
      <c r="J153" s="39"/>
      <c r="K153" s="39"/>
      <c r="L153" s="129" t="str">
        <f t="shared" si="4"/>
        <v/>
      </c>
      <c r="M153" s="39"/>
      <c r="N153" s="39"/>
      <c r="O153" s="58"/>
      <c r="P153" s="29"/>
      <c r="Q153" s="39"/>
    </row>
    <row r="154" spans="1:17" ht="12.75" customHeight="1">
      <c r="A154" s="125"/>
      <c r="B154" s="58"/>
      <c r="C154" s="39"/>
      <c r="D154" s="39"/>
      <c r="E154" s="39"/>
      <c r="F154" s="39"/>
      <c r="G154" s="39"/>
      <c r="H154" s="39"/>
      <c r="I154" s="39"/>
      <c r="J154" s="39"/>
      <c r="K154" s="39"/>
      <c r="L154" s="129" t="str">
        <f t="shared" si="4"/>
        <v/>
      </c>
      <c r="M154" s="39"/>
      <c r="N154" s="39"/>
      <c r="O154" s="58"/>
      <c r="P154" s="29"/>
      <c r="Q154" s="39"/>
    </row>
    <row r="155" spans="1:17" ht="12.75" customHeight="1">
      <c r="A155" s="125"/>
      <c r="B155" s="58"/>
      <c r="C155" s="39"/>
      <c r="D155" s="39"/>
      <c r="E155" s="39"/>
      <c r="F155" s="39"/>
      <c r="G155" s="39"/>
      <c r="H155" s="39"/>
      <c r="I155" s="39"/>
      <c r="J155" s="39"/>
      <c r="K155" s="39"/>
      <c r="L155" s="129" t="str">
        <f t="shared" si="4"/>
        <v/>
      </c>
      <c r="M155" s="39"/>
      <c r="N155" s="39"/>
      <c r="O155" s="58"/>
      <c r="P155" s="29"/>
      <c r="Q155" s="39"/>
    </row>
    <row r="156" spans="1:17" ht="12.75" customHeight="1">
      <c r="A156" s="125"/>
      <c r="B156" s="58"/>
      <c r="C156" s="39"/>
      <c r="D156" s="39"/>
      <c r="E156" s="39"/>
      <c r="F156" s="39"/>
      <c r="G156" s="39"/>
      <c r="H156" s="39"/>
      <c r="I156" s="39"/>
      <c r="J156" s="39"/>
      <c r="K156" s="39"/>
      <c r="L156" s="129" t="str">
        <f t="shared" si="4"/>
        <v/>
      </c>
      <c r="M156" s="39"/>
      <c r="N156" s="39"/>
      <c r="O156" s="58"/>
      <c r="P156" s="29"/>
      <c r="Q156" s="39"/>
    </row>
    <row r="157" spans="1:17" ht="12.75" customHeight="1">
      <c r="A157" s="125"/>
      <c r="B157" s="58"/>
      <c r="C157" s="39"/>
      <c r="D157" s="39"/>
      <c r="E157" s="39"/>
      <c r="F157" s="39"/>
      <c r="G157" s="39"/>
      <c r="H157" s="39"/>
      <c r="I157" s="39"/>
      <c r="J157" s="39"/>
      <c r="K157" s="39"/>
      <c r="L157" s="129" t="str">
        <f t="shared" si="4"/>
        <v/>
      </c>
      <c r="M157" s="39"/>
      <c r="N157" s="39"/>
      <c r="O157" s="58"/>
      <c r="P157" s="29"/>
      <c r="Q157" s="39"/>
    </row>
    <row r="158" spans="1:17" ht="12.75" customHeight="1">
      <c r="A158" s="125"/>
      <c r="B158" s="58"/>
      <c r="C158" s="39"/>
      <c r="D158" s="39"/>
      <c r="E158" s="39"/>
      <c r="F158" s="39"/>
      <c r="G158" s="39"/>
      <c r="H158" s="39"/>
      <c r="I158" s="39"/>
      <c r="J158" s="39"/>
      <c r="K158" s="39"/>
      <c r="L158" s="129" t="str">
        <f t="shared" si="4"/>
        <v/>
      </c>
      <c r="M158" s="39"/>
      <c r="N158" s="39"/>
      <c r="O158" s="58"/>
      <c r="P158" s="29"/>
      <c r="Q158" s="39"/>
    </row>
    <row r="159" spans="1:17" ht="12.75" customHeight="1">
      <c r="A159" s="125"/>
      <c r="B159" s="58"/>
      <c r="C159" s="39"/>
      <c r="D159" s="39"/>
      <c r="E159" s="39"/>
      <c r="F159" s="39"/>
      <c r="G159" s="39"/>
      <c r="H159" s="39"/>
      <c r="I159" s="39"/>
      <c r="J159" s="39"/>
      <c r="K159" s="39"/>
      <c r="L159" s="129" t="str">
        <f t="shared" si="4"/>
        <v/>
      </c>
      <c r="M159" s="39"/>
      <c r="N159" s="39"/>
      <c r="O159" s="58"/>
      <c r="P159" s="29"/>
      <c r="Q159" s="39"/>
    </row>
    <row r="160" spans="1:17" ht="12.75" customHeight="1">
      <c r="A160" s="125"/>
      <c r="B160" s="58"/>
      <c r="C160" s="39"/>
      <c r="D160" s="39"/>
      <c r="E160" s="39"/>
      <c r="F160" s="39"/>
      <c r="G160" s="39"/>
      <c r="H160" s="39"/>
      <c r="I160" s="39"/>
      <c r="J160" s="39"/>
      <c r="K160" s="39"/>
      <c r="L160" s="129" t="str">
        <f t="shared" si="4"/>
        <v/>
      </c>
      <c r="M160" s="39"/>
      <c r="N160" s="39"/>
      <c r="O160" s="58"/>
      <c r="P160" s="29"/>
      <c r="Q160" s="39"/>
    </row>
    <row r="161" spans="1:17" ht="12.75" customHeight="1">
      <c r="A161" s="125"/>
      <c r="B161" s="58"/>
      <c r="C161" s="39"/>
      <c r="D161" s="39"/>
      <c r="E161" s="39"/>
      <c r="F161" s="39"/>
      <c r="G161" s="39"/>
      <c r="H161" s="39"/>
      <c r="I161" s="39"/>
      <c r="J161" s="39"/>
      <c r="K161" s="39"/>
      <c r="L161" s="129" t="str">
        <f t="shared" si="4"/>
        <v/>
      </c>
      <c r="M161" s="39"/>
      <c r="N161" s="39"/>
      <c r="O161" s="58"/>
      <c r="P161" s="29"/>
      <c r="Q161" s="39"/>
    </row>
    <row r="162" spans="1:17" ht="12.75" customHeight="1">
      <c r="A162" s="125"/>
      <c r="B162" s="58"/>
      <c r="C162" s="39"/>
      <c r="D162" s="39"/>
      <c r="E162" s="39"/>
      <c r="F162" s="39"/>
      <c r="G162" s="39"/>
      <c r="H162" s="39"/>
      <c r="I162" s="39"/>
      <c r="J162" s="39"/>
      <c r="K162" s="39"/>
      <c r="L162" s="129" t="str">
        <f t="shared" si="4"/>
        <v/>
      </c>
      <c r="M162" s="39"/>
      <c r="N162" s="39"/>
      <c r="O162" s="58"/>
      <c r="P162" s="29"/>
      <c r="Q162" s="39"/>
    </row>
    <row r="163" spans="1:17" ht="12.75" customHeight="1">
      <c r="A163" s="125"/>
      <c r="B163" s="58"/>
      <c r="C163" s="39"/>
      <c r="D163" s="39"/>
      <c r="E163" s="39"/>
      <c r="F163" s="39"/>
      <c r="G163" s="39"/>
      <c r="H163" s="39"/>
      <c r="I163" s="39"/>
      <c r="J163" s="39"/>
      <c r="K163" s="39"/>
      <c r="L163" s="129" t="str">
        <f t="shared" si="4"/>
        <v/>
      </c>
      <c r="M163" s="39"/>
      <c r="N163" s="39"/>
      <c r="O163" s="58"/>
      <c r="P163" s="29"/>
      <c r="Q163" s="39"/>
    </row>
    <row r="164" spans="1:17" ht="12.75" customHeight="1">
      <c r="A164" s="125"/>
      <c r="B164" s="58"/>
      <c r="C164" s="39"/>
      <c r="D164" s="39"/>
      <c r="E164" s="39"/>
      <c r="F164" s="39"/>
      <c r="G164" s="39"/>
      <c r="H164" s="39"/>
      <c r="I164" s="39"/>
      <c r="J164" s="39"/>
      <c r="K164" s="39"/>
      <c r="L164" s="129" t="str">
        <f t="shared" si="4"/>
        <v/>
      </c>
      <c r="M164" s="39"/>
      <c r="N164" s="39"/>
      <c r="O164" s="58"/>
      <c r="P164" s="29"/>
      <c r="Q164" s="39"/>
    </row>
    <row r="165" spans="1:17" ht="12.75" customHeight="1">
      <c r="A165" s="125"/>
      <c r="B165" s="58"/>
      <c r="C165" s="39"/>
      <c r="D165" s="39"/>
      <c r="E165" s="39"/>
      <c r="F165" s="39"/>
      <c r="G165" s="39"/>
      <c r="H165" s="39"/>
      <c r="I165" s="39"/>
      <c r="J165" s="39"/>
      <c r="K165" s="39"/>
      <c r="L165" s="129" t="str">
        <f t="shared" si="4"/>
        <v/>
      </c>
      <c r="M165" s="39"/>
      <c r="N165" s="39"/>
      <c r="O165" s="58"/>
      <c r="P165" s="29"/>
      <c r="Q165" s="39"/>
    </row>
    <row r="166" spans="1:17" ht="12.75" customHeight="1">
      <c r="A166" s="125"/>
      <c r="B166" s="58"/>
      <c r="C166" s="39"/>
      <c r="D166" s="39"/>
      <c r="E166" s="39"/>
      <c r="F166" s="39"/>
      <c r="G166" s="39"/>
      <c r="H166" s="39"/>
      <c r="I166" s="39"/>
      <c r="J166" s="39"/>
      <c r="K166" s="39"/>
      <c r="L166" s="129" t="str">
        <f t="shared" si="4"/>
        <v/>
      </c>
      <c r="M166" s="39"/>
      <c r="N166" s="39"/>
      <c r="O166" s="58"/>
      <c r="P166" s="29"/>
      <c r="Q166" s="39"/>
    </row>
    <row r="167" spans="1:17" ht="12.75" customHeight="1">
      <c r="A167" s="125"/>
      <c r="B167" s="58"/>
      <c r="C167" s="39"/>
      <c r="D167" s="39"/>
      <c r="E167" s="39"/>
      <c r="F167" s="39"/>
      <c r="G167" s="39"/>
      <c r="H167" s="39"/>
      <c r="I167" s="39"/>
      <c r="J167" s="39"/>
      <c r="K167" s="39"/>
      <c r="L167" s="129" t="str">
        <f t="shared" si="4"/>
        <v/>
      </c>
      <c r="M167" s="39"/>
      <c r="N167" s="39"/>
      <c r="O167" s="58"/>
      <c r="P167" s="29"/>
      <c r="Q167" s="39"/>
    </row>
    <row r="168" spans="1:17" ht="12.75" customHeight="1">
      <c r="A168" s="125"/>
      <c r="B168" s="58"/>
      <c r="C168" s="39"/>
      <c r="D168" s="39"/>
      <c r="E168" s="39"/>
      <c r="F168" s="39"/>
      <c r="G168" s="39"/>
      <c r="H168" s="39"/>
      <c r="I168" s="39"/>
      <c r="J168" s="39"/>
      <c r="K168" s="39"/>
      <c r="L168" s="129" t="str">
        <f t="shared" si="4"/>
        <v/>
      </c>
      <c r="M168" s="39"/>
      <c r="N168" s="39"/>
      <c r="O168" s="58"/>
      <c r="P168" s="29"/>
      <c r="Q168" s="39"/>
    </row>
    <row r="169" spans="1:17" ht="12.75" customHeight="1">
      <c r="A169" s="125"/>
      <c r="B169" s="58"/>
      <c r="C169" s="39"/>
      <c r="D169" s="39"/>
      <c r="E169" s="39"/>
      <c r="F169" s="39"/>
      <c r="G169" s="39"/>
      <c r="H169" s="39"/>
      <c r="I169" s="39"/>
      <c r="J169" s="39"/>
      <c r="K169" s="39"/>
      <c r="L169" s="129" t="str">
        <f t="shared" si="4"/>
        <v/>
      </c>
      <c r="M169" s="39"/>
      <c r="N169" s="39"/>
      <c r="O169" s="58"/>
      <c r="P169" s="29"/>
      <c r="Q169" s="39"/>
    </row>
    <row r="170" spans="1:17" ht="12.75" customHeight="1">
      <c r="A170" s="125"/>
      <c r="B170" s="58"/>
      <c r="C170" s="39"/>
      <c r="D170" s="39"/>
      <c r="E170" s="39"/>
      <c r="F170" s="39"/>
      <c r="G170" s="39"/>
      <c r="H170" s="39"/>
      <c r="I170" s="39"/>
      <c r="J170" s="39"/>
      <c r="K170" s="39"/>
      <c r="L170" s="129" t="str">
        <f t="shared" si="4"/>
        <v/>
      </c>
      <c r="M170" s="39"/>
      <c r="N170" s="39"/>
      <c r="O170" s="58"/>
      <c r="P170" s="29"/>
      <c r="Q170" s="39"/>
    </row>
    <row r="171" spans="1:17" ht="12.75" customHeight="1">
      <c r="A171" s="125"/>
      <c r="B171" s="58"/>
      <c r="C171" s="39"/>
      <c r="D171" s="39"/>
      <c r="E171" s="39"/>
      <c r="F171" s="39"/>
      <c r="G171" s="39"/>
      <c r="H171" s="39"/>
      <c r="I171" s="39"/>
      <c r="J171" s="39"/>
      <c r="K171" s="39"/>
      <c r="L171" s="129" t="str">
        <f t="shared" si="4"/>
        <v/>
      </c>
      <c r="M171" s="39"/>
      <c r="N171" s="39"/>
      <c r="O171" s="58"/>
      <c r="P171" s="29"/>
      <c r="Q171" s="39"/>
    </row>
    <row r="172" spans="1:17" ht="12.75" customHeight="1">
      <c r="A172" s="125"/>
      <c r="B172" s="58"/>
      <c r="C172" s="39"/>
      <c r="D172" s="39"/>
      <c r="E172" s="39"/>
      <c r="F172" s="39"/>
      <c r="G172" s="39"/>
      <c r="H172" s="39"/>
      <c r="I172" s="39"/>
      <c r="J172" s="39"/>
      <c r="K172" s="39"/>
      <c r="L172" s="129" t="str">
        <f t="shared" ref="L172:L180" si="5">IF(E172="","",IF(E172&lt;=30,"Pass","Fail"))</f>
        <v/>
      </c>
      <c r="M172" s="39"/>
      <c r="N172" s="39"/>
      <c r="O172" s="58"/>
      <c r="P172" s="29"/>
      <c r="Q172" s="39"/>
    </row>
    <row r="173" spans="1:17" ht="12.75" customHeight="1">
      <c r="A173" s="125"/>
      <c r="B173" s="58"/>
      <c r="C173" s="39"/>
      <c r="D173" s="39"/>
      <c r="E173" s="39"/>
      <c r="F173" s="39"/>
      <c r="G173" s="39"/>
      <c r="H173" s="39"/>
      <c r="I173" s="39"/>
      <c r="J173" s="39"/>
      <c r="K173" s="39"/>
      <c r="L173" s="129" t="str">
        <f t="shared" si="5"/>
        <v/>
      </c>
      <c r="M173" s="39"/>
      <c r="N173" s="39"/>
      <c r="O173" s="58"/>
      <c r="P173" s="29"/>
      <c r="Q173" s="39"/>
    </row>
    <row r="174" spans="1:17" ht="12.75" customHeight="1">
      <c r="A174" s="125"/>
      <c r="B174" s="58"/>
      <c r="C174" s="39"/>
      <c r="D174" s="39"/>
      <c r="E174" s="39"/>
      <c r="F174" s="39"/>
      <c r="G174" s="39"/>
      <c r="H174" s="39"/>
      <c r="I174" s="39"/>
      <c r="J174" s="39"/>
      <c r="K174" s="39"/>
      <c r="L174" s="129" t="str">
        <f t="shared" si="5"/>
        <v/>
      </c>
      <c r="M174" s="39"/>
      <c r="N174" s="39"/>
      <c r="O174" s="58"/>
      <c r="P174" s="29"/>
      <c r="Q174" s="39"/>
    </row>
    <row r="175" spans="1:17" ht="12.75" customHeight="1">
      <c r="A175" s="125"/>
      <c r="B175" s="58"/>
      <c r="C175" s="39"/>
      <c r="D175" s="39"/>
      <c r="E175" s="39"/>
      <c r="F175" s="39"/>
      <c r="G175" s="39"/>
      <c r="H175" s="39"/>
      <c r="I175" s="39"/>
      <c r="J175" s="39"/>
      <c r="K175" s="39"/>
      <c r="L175" s="129" t="str">
        <f t="shared" si="5"/>
        <v/>
      </c>
      <c r="M175" s="39"/>
      <c r="N175" s="39"/>
      <c r="O175" s="58"/>
      <c r="P175" s="29"/>
      <c r="Q175" s="39"/>
    </row>
    <row r="176" spans="1:17" ht="12.75" customHeight="1">
      <c r="A176" s="125"/>
      <c r="B176" s="58"/>
      <c r="C176" s="39"/>
      <c r="D176" s="39"/>
      <c r="E176" s="39"/>
      <c r="F176" s="39"/>
      <c r="G176" s="39"/>
      <c r="H176" s="39"/>
      <c r="I176" s="39"/>
      <c r="J176" s="39"/>
      <c r="K176" s="39"/>
      <c r="L176" s="129" t="str">
        <f t="shared" si="5"/>
        <v/>
      </c>
      <c r="M176" s="39"/>
      <c r="N176" s="39"/>
      <c r="O176" s="58"/>
      <c r="P176" s="29"/>
      <c r="Q176" s="39"/>
    </row>
    <row r="177" spans="1:17" ht="12.75" customHeight="1">
      <c r="A177" s="125"/>
      <c r="B177" s="58"/>
      <c r="C177" s="39"/>
      <c r="D177" s="39"/>
      <c r="E177" s="39"/>
      <c r="F177" s="39"/>
      <c r="G177" s="39"/>
      <c r="H177" s="39"/>
      <c r="I177" s="39"/>
      <c r="J177" s="39"/>
      <c r="K177" s="39"/>
      <c r="L177" s="129" t="str">
        <f t="shared" si="5"/>
        <v/>
      </c>
      <c r="M177" s="39"/>
      <c r="N177" s="39"/>
      <c r="O177" s="58"/>
      <c r="P177" s="29"/>
      <c r="Q177" s="39"/>
    </row>
    <row r="178" spans="1:17" ht="12.75" customHeight="1">
      <c r="A178" s="125"/>
      <c r="B178" s="58"/>
      <c r="C178" s="39"/>
      <c r="D178" s="39"/>
      <c r="E178" s="39"/>
      <c r="F178" s="39"/>
      <c r="G178" s="39"/>
      <c r="H178" s="39"/>
      <c r="I178" s="39"/>
      <c r="J178" s="39"/>
      <c r="K178" s="39"/>
      <c r="L178" s="129" t="str">
        <f t="shared" si="5"/>
        <v/>
      </c>
      <c r="M178" s="39"/>
      <c r="N178" s="39"/>
      <c r="O178" s="58"/>
      <c r="P178" s="29"/>
      <c r="Q178" s="39"/>
    </row>
    <row r="179" spans="1:17" ht="12.75" customHeight="1">
      <c r="A179" s="125"/>
      <c r="B179" s="58"/>
      <c r="C179" s="39"/>
      <c r="D179" s="39"/>
      <c r="E179" s="39"/>
      <c r="F179" s="39"/>
      <c r="G179" s="39"/>
      <c r="H179" s="39"/>
      <c r="I179" s="39"/>
      <c r="J179" s="39"/>
      <c r="K179" s="39"/>
      <c r="L179" s="129" t="str">
        <f t="shared" si="5"/>
        <v/>
      </c>
      <c r="M179" s="39"/>
      <c r="N179" s="39"/>
      <c r="O179" s="58"/>
      <c r="P179" s="29"/>
      <c r="Q179" s="39"/>
    </row>
    <row r="180" spans="1:17" ht="12.75" customHeight="1">
      <c r="A180" s="125"/>
      <c r="B180" s="58"/>
      <c r="C180" s="39"/>
      <c r="D180" s="39"/>
      <c r="E180" s="39"/>
      <c r="F180" s="39"/>
      <c r="G180" s="39"/>
      <c r="H180" s="39"/>
      <c r="I180" s="39"/>
      <c r="J180" s="39"/>
      <c r="K180" s="39"/>
      <c r="L180" s="129" t="str">
        <f t="shared" si="5"/>
        <v/>
      </c>
      <c r="M180" s="39"/>
      <c r="N180" s="39"/>
      <c r="O180" s="58"/>
      <c r="P180" s="29"/>
      <c r="Q180" s="39"/>
    </row>
  </sheetData>
  <autoFilter ref="A10:WVY10">
    <filterColumn colId="5"/>
    <filterColumn colId="6"/>
    <filterColumn colId="7"/>
    <filterColumn colId="8"/>
    <filterColumn colId="9"/>
    <filterColumn colId="10"/>
    <filterColumn colId="12"/>
  </autoFilter>
  <mergeCells count="6">
    <mergeCell ref="A1:P1"/>
    <mergeCell ref="L3:P3"/>
    <mergeCell ref="C9:E9"/>
    <mergeCell ref="F9:H9"/>
    <mergeCell ref="I9:K9"/>
    <mergeCell ref="C8:K8"/>
  </mergeCells>
  <conditionalFormatting sqref="L11:N27 N28:N30 L28:M180 M11:M30">
    <cfRule type="containsText" dxfId="5" priority="1" stopIfTrue="1" operator="containsText" text="PASS">
      <formula>NOT(ISERROR(SEARCH("PASS",L11)))</formula>
    </cfRule>
    <cfRule type="containsText" dxfId="4" priority="2" stopIfTrue="1" operator="containsText" text="FAIL">
      <formula>NOT(ISERROR(SEARCH("FAIL",L11)))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H668"/>
  <sheetViews>
    <sheetView topLeftCell="C1" zoomScale="85" zoomScaleNormal="85" workbookViewId="0">
      <pane ySplit="17" topLeftCell="A523" activePane="bottomLeft" state="frozen"/>
      <selection pane="bottomLeft" activeCell="E526" sqref="E526:M526"/>
    </sheetView>
  </sheetViews>
  <sheetFormatPr defaultRowHeight="12.75"/>
  <cols>
    <col min="1" max="1" width="12.25" style="80" customWidth="1"/>
    <col min="2" max="2" width="8.5" style="10" customWidth="1"/>
    <col min="3" max="3" width="8.75" style="10" customWidth="1"/>
    <col min="4" max="4" width="10.375" style="10" customWidth="1"/>
    <col min="5" max="5" width="8.75" style="10" customWidth="1"/>
    <col min="6" max="6" width="7.875" style="10" customWidth="1"/>
    <col min="7" max="7" width="8.875" style="10" customWidth="1"/>
    <col min="8" max="8" width="8.625" style="10" customWidth="1"/>
    <col min="9" max="9" width="8.875" style="10" customWidth="1"/>
    <col min="10" max="11" width="10.375" style="10" customWidth="1"/>
    <col min="12" max="12" width="12.625" style="10" customWidth="1"/>
    <col min="13" max="13" width="10.375" style="10" customWidth="1"/>
    <col min="14" max="14" width="8.375" style="39" customWidth="1"/>
    <col min="15" max="16" width="8.75" style="39" customWidth="1"/>
    <col min="17" max="17" width="7.25" style="39" customWidth="1"/>
    <col min="18" max="18" width="8.5" style="59" customWidth="1"/>
    <col min="19" max="19" width="6.875" style="59" bestFit="1" customWidth="1"/>
    <col min="20" max="20" width="9" style="199" customWidth="1"/>
    <col min="21" max="21" width="11.5" style="199" customWidth="1"/>
    <col min="22" max="22" width="8.25" style="66" customWidth="1"/>
    <col min="23" max="23" width="6.25" style="59" customWidth="1"/>
    <col min="24" max="24" width="14.625" style="59" customWidth="1"/>
    <col min="25" max="25" width="16.375" style="59" customWidth="1"/>
    <col min="26" max="26" width="27.375" style="59" customWidth="1"/>
    <col min="27" max="32" width="8.25" style="67" customWidth="1"/>
    <col min="33" max="256" width="8.75" style="10"/>
    <col min="257" max="257" width="15.75" style="10" customWidth="1"/>
    <col min="258" max="259" width="10.125" style="10" customWidth="1"/>
    <col min="260" max="260" width="13.375" style="10" customWidth="1"/>
    <col min="261" max="262" width="6.125" style="10" customWidth="1"/>
    <col min="263" max="263" width="8.125" style="10" customWidth="1"/>
    <col min="264" max="265" width="6.125" style="10" customWidth="1"/>
    <col min="266" max="266" width="7.625" style="10" customWidth="1"/>
    <col min="267" max="267" width="7.25" style="10" customWidth="1"/>
    <col min="268" max="272" width="8.75" style="10" customWidth="1"/>
    <col min="273" max="274" width="7.25" style="10" customWidth="1"/>
    <col min="275" max="275" width="8.5" style="10" customWidth="1"/>
    <col min="276" max="276" width="6.875" style="10" bestFit="1" customWidth="1"/>
    <col min="277" max="277" width="9" style="10" customWidth="1"/>
    <col min="278" max="278" width="9.375" style="10" customWidth="1"/>
    <col min="279" max="279" width="6.25" style="10" customWidth="1"/>
    <col min="280" max="280" width="14.625" style="10" customWidth="1"/>
    <col min="281" max="281" width="43.5" style="10" bestFit="1" customWidth="1"/>
    <col min="282" max="288" width="8.25" style="10" customWidth="1"/>
    <col min="289" max="512" width="8.75" style="10"/>
    <col min="513" max="513" width="15.75" style="10" customWidth="1"/>
    <col min="514" max="515" width="10.125" style="10" customWidth="1"/>
    <col min="516" max="516" width="13.375" style="10" customWidth="1"/>
    <col min="517" max="518" width="6.125" style="10" customWidth="1"/>
    <col min="519" max="519" width="8.125" style="10" customWidth="1"/>
    <col min="520" max="521" width="6.125" style="10" customWidth="1"/>
    <col min="522" max="522" width="7.625" style="10" customWidth="1"/>
    <col min="523" max="523" width="7.25" style="10" customWidth="1"/>
    <col min="524" max="528" width="8.75" style="10" customWidth="1"/>
    <col min="529" max="530" width="7.25" style="10" customWidth="1"/>
    <col min="531" max="531" width="8.5" style="10" customWidth="1"/>
    <col min="532" max="532" width="6.875" style="10" bestFit="1" customWidth="1"/>
    <col min="533" max="533" width="9" style="10" customWidth="1"/>
    <col min="534" max="534" width="9.375" style="10" customWidth="1"/>
    <col min="535" max="535" width="6.25" style="10" customWidth="1"/>
    <col min="536" max="536" width="14.625" style="10" customWidth="1"/>
    <col min="537" max="537" width="43.5" style="10" bestFit="1" customWidth="1"/>
    <col min="538" max="544" width="8.25" style="10" customWidth="1"/>
    <col min="545" max="768" width="8.75" style="10"/>
    <col min="769" max="769" width="15.75" style="10" customWidth="1"/>
    <col min="770" max="771" width="10.125" style="10" customWidth="1"/>
    <col min="772" max="772" width="13.375" style="10" customWidth="1"/>
    <col min="773" max="774" width="6.125" style="10" customWidth="1"/>
    <col min="775" max="775" width="8.125" style="10" customWidth="1"/>
    <col min="776" max="777" width="6.125" style="10" customWidth="1"/>
    <col min="778" max="778" width="7.625" style="10" customWidth="1"/>
    <col min="779" max="779" width="7.25" style="10" customWidth="1"/>
    <col min="780" max="784" width="8.75" style="10" customWidth="1"/>
    <col min="785" max="786" width="7.25" style="10" customWidth="1"/>
    <col min="787" max="787" width="8.5" style="10" customWidth="1"/>
    <col min="788" max="788" width="6.875" style="10" bestFit="1" customWidth="1"/>
    <col min="789" max="789" width="9" style="10" customWidth="1"/>
    <col min="790" max="790" width="9.375" style="10" customWidth="1"/>
    <col min="791" max="791" width="6.25" style="10" customWidth="1"/>
    <col min="792" max="792" width="14.625" style="10" customWidth="1"/>
    <col min="793" max="793" width="43.5" style="10" bestFit="1" customWidth="1"/>
    <col min="794" max="800" width="8.25" style="10" customWidth="1"/>
    <col min="801" max="1024" width="8.75" style="10"/>
    <col min="1025" max="1025" width="15.75" style="10" customWidth="1"/>
    <col min="1026" max="1027" width="10.125" style="10" customWidth="1"/>
    <col min="1028" max="1028" width="13.375" style="10" customWidth="1"/>
    <col min="1029" max="1030" width="6.125" style="10" customWidth="1"/>
    <col min="1031" max="1031" width="8.125" style="10" customWidth="1"/>
    <col min="1032" max="1033" width="6.125" style="10" customWidth="1"/>
    <col min="1034" max="1034" width="7.625" style="10" customWidth="1"/>
    <col min="1035" max="1035" width="7.25" style="10" customWidth="1"/>
    <col min="1036" max="1040" width="8.75" style="10" customWidth="1"/>
    <col min="1041" max="1042" width="7.25" style="10" customWidth="1"/>
    <col min="1043" max="1043" width="8.5" style="10" customWidth="1"/>
    <col min="1044" max="1044" width="6.875" style="10" bestFit="1" customWidth="1"/>
    <col min="1045" max="1045" width="9" style="10" customWidth="1"/>
    <col min="1046" max="1046" width="9.375" style="10" customWidth="1"/>
    <col min="1047" max="1047" width="6.25" style="10" customWidth="1"/>
    <col min="1048" max="1048" width="14.625" style="10" customWidth="1"/>
    <col min="1049" max="1049" width="43.5" style="10" bestFit="1" customWidth="1"/>
    <col min="1050" max="1056" width="8.25" style="10" customWidth="1"/>
    <col min="1057" max="1280" width="8.75" style="10"/>
    <col min="1281" max="1281" width="15.75" style="10" customWidth="1"/>
    <col min="1282" max="1283" width="10.125" style="10" customWidth="1"/>
    <col min="1284" max="1284" width="13.375" style="10" customWidth="1"/>
    <col min="1285" max="1286" width="6.125" style="10" customWidth="1"/>
    <col min="1287" max="1287" width="8.125" style="10" customWidth="1"/>
    <col min="1288" max="1289" width="6.125" style="10" customWidth="1"/>
    <col min="1290" max="1290" width="7.625" style="10" customWidth="1"/>
    <col min="1291" max="1291" width="7.25" style="10" customWidth="1"/>
    <col min="1292" max="1296" width="8.75" style="10" customWidth="1"/>
    <col min="1297" max="1298" width="7.25" style="10" customWidth="1"/>
    <col min="1299" max="1299" width="8.5" style="10" customWidth="1"/>
    <col min="1300" max="1300" width="6.875" style="10" bestFit="1" customWidth="1"/>
    <col min="1301" max="1301" width="9" style="10" customWidth="1"/>
    <col min="1302" max="1302" width="9.375" style="10" customWidth="1"/>
    <col min="1303" max="1303" width="6.25" style="10" customWidth="1"/>
    <col min="1304" max="1304" width="14.625" style="10" customWidth="1"/>
    <col min="1305" max="1305" width="43.5" style="10" bestFit="1" customWidth="1"/>
    <col min="1306" max="1312" width="8.25" style="10" customWidth="1"/>
    <col min="1313" max="1536" width="8.75" style="10"/>
    <col min="1537" max="1537" width="15.75" style="10" customWidth="1"/>
    <col min="1538" max="1539" width="10.125" style="10" customWidth="1"/>
    <col min="1540" max="1540" width="13.375" style="10" customWidth="1"/>
    <col min="1541" max="1542" width="6.125" style="10" customWidth="1"/>
    <col min="1543" max="1543" width="8.125" style="10" customWidth="1"/>
    <col min="1544" max="1545" width="6.125" style="10" customWidth="1"/>
    <col min="1546" max="1546" width="7.625" style="10" customWidth="1"/>
    <col min="1547" max="1547" width="7.25" style="10" customWidth="1"/>
    <col min="1548" max="1552" width="8.75" style="10" customWidth="1"/>
    <col min="1553" max="1554" width="7.25" style="10" customWidth="1"/>
    <col min="1555" max="1555" width="8.5" style="10" customWidth="1"/>
    <col min="1556" max="1556" width="6.875" style="10" bestFit="1" customWidth="1"/>
    <col min="1557" max="1557" width="9" style="10" customWidth="1"/>
    <col min="1558" max="1558" width="9.375" style="10" customWidth="1"/>
    <col min="1559" max="1559" width="6.25" style="10" customWidth="1"/>
    <col min="1560" max="1560" width="14.625" style="10" customWidth="1"/>
    <col min="1561" max="1561" width="43.5" style="10" bestFit="1" customWidth="1"/>
    <col min="1562" max="1568" width="8.25" style="10" customWidth="1"/>
    <col min="1569" max="1792" width="8.75" style="10"/>
    <col min="1793" max="1793" width="15.75" style="10" customWidth="1"/>
    <col min="1794" max="1795" width="10.125" style="10" customWidth="1"/>
    <col min="1796" max="1796" width="13.375" style="10" customWidth="1"/>
    <col min="1797" max="1798" width="6.125" style="10" customWidth="1"/>
    <col min="1799" max="1799" width="8.125" style="10" customWidth="1"/>
    <col min="1800" max="1801" width="6.125" style="10" customWidth="1"/>
    <col min="1802" max="1802" width="7.625" style="10" customWidth="1"/>
    <col min="1803" max="1803" width="7.25" style="10" customWidth="1"/>
    <col min="1804" max="1808" width="8.75" style="10" customWidth="1"/>
    <col min="1809" max="1810" width="7.25" style="10" customWidth="1"/>
    <col min="1811" max="1811" width="8.5" style="10" customWidth="1"/>
    <col min="1812" max="1812" width="6.875" style="10" bestFit="1" customWidth="1"/>
    <col min="1813" max="1813" width="9" style="10" customWidth="1"/>
    <col min="1814" max="1814" width="9.375" style="10" customWidth="1"/>
    <col min="1815" max="1815" width="6.25" style="10" customWidth="1"/>
    <col min="1816" max="1816" width="14.625" style="10" customWidth="1"/>
    <col min="1817" max="1817" width="43.5" style="10" bestFit="1" customWidth="1"/>
    <col min="1818" max="1824" width="8.25" style="10" customWidth="1"/>
    <col min="1825" max="2048" width="8.75" style="10"/>
    <col min="2049" max="2049" width="15.75" style="10" customWidth="1"/>
    <col min="2050" max="2051" width="10.125" style="10" customWidth="1"/>
    <col min="2052" max="2052" width="13.375" style="10" customWidth="1"/>
    <col min="2053" max="2054" width="6.125" style="10" customWidth="1"/>
    <col min="2055" max="2055" width="8.125" style="10" customWidth="1"/>
    <col min="2056" max="2057" width="6.125" style="10" customWidth="1"/>
    <col min="2058" max="2058" width="7.625" style="10" customWidth="1"/>
    <col min="2059" max="2059" width="7.25" style="10" customWidth="1"/>
    <col min="2060" max="2064" width="8.75" style="10" customWidth="1"/>
    <col min="2065" max="2066" width="7.25" style="10" customWidth="1"/>
    <col min="2067" max="2067" width="8.5" style="10" customWidth="1"/>
    <col min="2068" max="2068" width="6.875" style="10" bestFit="1" customWidth="1"/>
    <col min="2069" max="2069" width="9" style="10" customWidth="1"/>
    <col min="2070" max="2070" width="9.375" style="10" customWidth="1"/>
    <col min="2071" max="2071" width="6.25" style="10" customWidth="1"/>
    <col min="2072" max="2072" width="14.625" style="10" customWidth="1"/>
    <col min="2073" max="2073" width="43.5" style="10" bestFit="1" customWidth="1"/>
    <col min="2074" max="2080" width="8.25" style="10" customWidth="1"/>
    <col min="2081" max="2304" width="8.75" style="10"/>
    <col min="2305" max="2305" width="15.75" style="10" customWidth="1"/>
    <col min="2306" max="2307" width="10.125" style="10" customWidth="1"/>
    <col min="2308" max="2308" width="13.375" style="10" customWidth="1"/>
    <col min="2309" max="2310" width="6.125" style="10" customWidth="1"/>
    <col min="2311" max="2311" width="8.125" style="10" customWidth="1"/>
    <col min="2312" max="2313" width="6.125" style="10" customWidth="1"/>
    <col min="2314" max="2314" width="7.625" style="10" customWidth="1"/>
    <col min="2315" max="2315" width="7.25" style="10" customWidth="1"/>
    <col min="2316" max="2320" width="8.75" style="10" customWidth="1"/>
    <col min="2321" max="2322" width="7.25" style="10" customWidth="1"/>
    <col min="2323" max="2323" width="8.5" style="10" customWidth="1"/>
    <col min="2324" max="2324" width="6.875" style="10" bestFit="1" customWidth="1"/>
    <col min="2325" max="2325" width="9" style="10" customWidth="1"/>
    <col min="2326" max="2326" width="9.375" style="10" customWidth="1"/>
    <col min="2327" max="2327" width="6.25" style="10" customWidth="1"/>
    <col min="2328" max="2328" width="14.625" style="10" customWidth="1"/>
    <col min="2329" max="2329" width="43.5" style="10" bestFit="1" customWidth="1"/>
    <col min="2330" max="2336" width="8.25" style="10" customWidth="1"/>
    <col min="2337" max="2560" width="8.75" style="10"/>
    <col min="2561" max="2561" width="15.75" style="10" customWidth="1"/>
    <col min="2562" max="2563" width="10.125" style="10" customWidth="1"/>
    <col min="2564" max="2564" width="13.375" style="10" customWidth="1"/>
    <col min="2565" max="2566" width="6.125" style="10" customWidth="1"/>
    <col min="2567" max="2567" width="8.125" style="10" customWidth="1"/>
    <col min="2568" max="2569" width="6.125" style="10" customWidth="1"/>
    <col min="2570" max="2570" width="7.625" style="10" customWidth="1"/>
    <col min="2571" max="2571" width="7.25" style="10" customWidth="1"/>
    <col min="2572" max="2576" width="8.75" style="10" customWidth="1"/>
    <col min="2577" max="2578" width="7.25" style="10" customWidth="1"/>
    <col min="2579" max="2579" width="8.5" style="10" customWidth="1"/>
    <col min="2580" max="2580" width="6.875" style="10" bestFit="1" customWidth="1"/>
    <col min="2581" max="2581" width="9" style="10" customWidth="1"/>
    <col min="2582" max="2582" width="9.375" style="10" customWidth="1"/>
    <col min="2583" max="2583" width="6.25" style="10" customWidth="1"/>
    <col min="2584" max="2584" width="14.625" style="10" customWidth="1"/>
    <col min="2585" max="2585" width="43.5" style="10" bestFit="1" customWidth="1"/>
    <col min="2586" max="2592" width="8.25" style="10" customWidth="1"/>
    <col min="2593" max="2816" width="8.75" style="10"/>
    <col min="2817" max="2817" width="15.75" style="10" customWidth="1"/>
    <col min="2818" max="2819" width="10.125" style="10" customWidth="1"/>
    <col min="2820" max="2820" width="13.375" style="10" customWidth="1"/>
    <col min="2821" max="2822" width="6.125" style="10" customWidth="1"/>
    <col min="2823" max="2823" width="8.125" style="10" customWidth="1"/>
    <col min="2824" max="2825" width="6.125" style="10" customWidth="1"/>
    <col min="2826" max="2826" width="7.625" style="10" customWidth="1"/>
    <col min="2827" max="2827" width="7.25" style="10" customWidth="1"/>
    <col min="2828" max="2832" width="8.75" style="10" customWidth="1"/>
    <col min="2833" max="2834" width="7.25" style="10" customWidth="1"/>
    <col min="2835" max="2835" width="8.5" style="10" customWidth="1"/>
    <col min="2836" max="2836" width="6.875" style="10" bestFit="1" customWidth="1"/>
    <col min="2837" max="2837" width="9" style="10" customWidth="1"/>
    <col min="2838" max="2838" width="9.375" style="10" customWidth="1"/>
    <col min="2839" max="2839" width="6.25" style="10" customWidth="1"/>
    <col min="2840" max="2840" width="14.625" style="10" customWidth="1"/>
    <col min="2841" max="2841" width="43.5" style="10" bestFit="1" customWidth="1"/>
    <col min="2842" max="2848" width="8.25" style="10" customWidth="1"/>
    <col min="2849" max="3072" width="8.75" style="10"/>
    <col min="3073" max="3073" width="15.75" style="10" customWidth="1"/>
    <col min="3074" max="3075" width="10.125" style="10" customWidth="1"/>
    <col min="3076" max="3076" width="13.375" style="10" customWidth="1"/>
    <col min="3077" max="3078" width="6.125" style="10" customWidth="1"/>
    <col min="3079" max="3079" width="8.125" style="10" customWidth="1"/>
    <col min="3080" max="3081" width="6.125" style="10" customWidth="1"/>
    <col min="3082" max="3082" width="7.625" style="10" customWidth="1"/>
    <col min="3083" max="3083" width="7.25" style="10" customWidth="1"/>
    <col min="3084" max="3088" width="8.75" style="10" customWidth="1"/>
    <col min="3089" max="3090" width="7.25" style="10" customWidth="1"/>
    <col min="3091" max="3091" width="8.5" style="10" customWidth="1"/>
    <col min="3092" max="3092" width="6.875" style="10" bestFit="1" customWidth="1"/>
    <col min="3093" max="3093" width="9" style="10" customWidth="1"/>
    <col min="3094" max="3094" width="9.375" style="10" customWidth="1"/>
    <col min="3095" max="3095" width="6.25" style="10" customWidth="1"/>
    <col min="3096" max="3096" width="14.625" style="10" customWidth="1"/>
    <col min="3097" max="3097" width="43.5" style="10" bestFit="1" customWidth="1"/>
    <col min="3098" max="3104" width="8.25" style="10" customWidth="1"/>
    <col min="3105" max="3328" width="8.75" style="10"/>
    <col min="3329" max="3329" width="15.75" style="10" customWidth="1"/>
    <col min="3330" max="3331" width="10.125" style="10" customWidth="1"/>
    <col min="3332" max="3332" width="13.375" style="10" customWidth="1"/>
    <col min="3333" max="3334" width="6.125" style="10" customWidth="1"/>
    <col min="3335" max="3335" width="8.125" style="10" customWidth="1"/>
    <col min="3336" max="3337" width="6.125" style="10" customWidth="1"/>
    <col min="3338" max="3338" width="7.625" style="10" customWidth="1"/>
    <col min="3339" max="3339" width="7.25" style="10" customWidth="1"/>
    <col min="3340" max="3344" width="8.75" style="10" customWidth="1"/>
    <col min="3345" max="3346" width="7.25" style="10" customWidth="1"/>
    <col min="3347" max="3347" width="8.5" style="10" customWidth="1"/>
    <col min="3348" max="3348" width="6.875" style="10" bestFit="1" customWidth="1"/>
    <col min="3349" max="3349" width="9" style="10" customWidth="1"/>
    <col min="3350" max="3350" width="9.375" style="10" customWidth="1"/>
    <col min="3351" max="3351" width="6.25" style="10" customWidth="1"/>
    <col min="3352" max="3352" width="14.625" style="10" customWidth="1"/>
    <col min="3353" max="3353" width="43.5" style="10" bestFit="1" customWidth="1"/>
    <col min="3354" max="3360" width="8.25" style="10" customWidth="1"/>
    <col min="3361" max="3584" width="8.75" style="10"/>
    <col min="3585" max="3585" width="15.75" style="10" customWidth="1"/>
    <col min="3586" max="3587" width="10.125" style="10" customWidth="1"/>
    <col min="3588" max="3588" width="13.375" style="10" customWidth="1"/>
    <col min="3589" max="3590" width="6.125" style="10" customWidth="1"/>
    <col min="3591" max="3591" width="8.125" style="10" customWidth="1"/>
    <col min="3592" max="3593" width="6.125" style="10" customWidth="1"/>
    <col min="3594" max="3594" width="7.625" style="10" customWidth="1"/>
    <col min="3595" max="3595" width="7.25" style="10" customWidth="1"/>
    <col min="3596" max="3600" width="8.75" style="10" customWidth="1"/>
    <col min="3601" max="3602" width="7.25" style="10" customWidth="1"/>
    <col min="3603" max="3603" width="8.5" style="10" customWidth="1"/>
    <col min="3604" max="3604" width="6.875" style="10" bestFit="1" customWidth="1"/>
    <col min="3605" max="3605" width="9" style="10" customWidth="1"/>
    <col min="3606" max="3606" width="9.375" style="10" customWidth="1"/>
    <col min="3607" max="3607" width="6.25" style="10" customWidth="1"/>
    <col min="3608" max="3608" width="14.625" style="10" customWidth="1"/>
    <col min="3609" max="3609" width="43.5" style="10" bestFit="1" customWidth="1"/>
    <col min="3610" max="3616" width="8.25" style="10" customWidth="1"/>
    <col min="3617" max="3840" width="8.75" style="10"/>
    <col min="3841" max="3841" width="15.75" style="10" customWidth="1"/>
    <col min="3842" max="3843" width="10.125" style="10" customWidth="1"/>
    <col min="3844" max="3844" width="13.375" style="10" customWidth="1"/>
    <col min="3845" max="3846" width="6.125" style="10" customWidth="1"/>
    <col min="3847" max="3847" width="8.125" style="10" customWidth="1"/>
    <col min="3848" max="3849" width="6.125" style="10" customWidth="1"/>
    <col min="3850" max="3850" width="7.625" style="10" customWidth="1"/>
    <col min="3851" max="3851" width="7.25" style="10" customWidth="1"/>
    <col min="3852" max="3856" width="8.75" style="10" customWidth="1"/>
    <col min="3857" max="3858" width="7.25" style="10" customWidth="1"/>
    <col min="3859" max="3859" width="8.5" style="10" customWidth="1"/>
    <col min="3860" max="3860" width="6.875" style="10" bestFit="1" customWidth="1"/>
    <col min="3861" max="3861" width="9" style="10" customWidth="1"/>
    <col min="3862" max="3862" width="9.375" style="10" customWidth="1"/>
    <col min="3863" max="3863" width="6.25" style="10" customWidth="1"/>
    <col min="3864" max="3864" width="14.625" style="10" customWidth="1"/>
    <col min="3865" max="3865" width="43.5" style="10" bestFit="1" customWidth="1"/>
    <col min="3866" max="3872" width="8.25" style="10" customWidth="1"/>
    <col min="3873" max="4096" width="8.75" style="10"/>
    <col min="4097" max="4097" width="15.75" style="10" customWidth="1"/>
    <col min="4098" max="4099" width="10.125" style="10" customWidth="1"/>
    <col min="4100" max="4100" width="13.375" style="10" customWidth="1"/>
    <col min="4101" max="4102" width="6.125" style="10" customWidth="1"/>
    <col min="4103" max="4103" width="8.125" style="10" customWidth="1"/>
    <col min="4104" max="4105" width="6.125" style="10" customWidth="1"/>
    <col min="4106" max="4106" width="7.625" style="10" customWidth="1"/>
    <col min="4107" max="4107" width="7.25" style="10" customWidth="1"/>
    <col min="4108" max="4112" width="8.75" style="10" customWidth="1"/>
    <col min="4113" max="4114" width="7.25" style="10" customWidth="1"/>
    <col min="4115" max="4115" width="8.5" style="10" customWidth="1"/>
    <col min="4116" max="4116" width="6.875" style="10" bestFit="1" customWidth="1"/>
    <col min="4117" max="4117" width="9" style="10" customWidth="1"/>
    <col min="4118" max="4118" width="9.375" style="10" customWidth="1"/>
    <col min="4119" max="4119" width="6.25" style="10" customWidth="1"/>
    <col min="4120" max="4120" width="14.625" style="10" customWidth="1"/>
    <col min="4121" max="4121" width="43.5" style="10" bestFit="1" customWidth="1"/>
    <col min="4122" max="4128" width="8.25" style="10" customWidth="1"/>
    <col min="4129" max="4352" width="8.75" style="10"/>
    <col min="4353" max="4353" width="15.75" style="10" customWidth="1"/>
    <col min="4354" max="4355" width="10.125" style="10" customWidth="1"/>
    <col min="4356" max="4356" width="13.375" style="10" customWidth="1"/>
    <col min="4357" max="4358" width="6.125" style="10" customWidth="1"/>
    <col min="4359" max="4359" width="8.125" style="10" customWidth="1"/>
    <col min="4360" max="4361" width="6.125" style="10" customWidth="1"/>
    <col min="4362" max="4362" width="7.625" style="10" customWidth="1"/>
    <col min="4363" max="4363" width="7.25" style="10" customWidth="1"/>
    <col min="4364" max="4368" width="8.75" style="10" customWidth="1"/>
    <col min="4369" max="4370" width="7.25" style="10" customWidth="1"/>
    <col min="4371" max="4371" width="8.5" style="10" customWidth="1"/>
    <col min="4372" max="4372" width="6.875" style="10" bestFit="1" customWidth="1"/>
    <col min="4373" max="4373" width="9" style="10" customWidth="1"/>
    <col min="4374" max="4374" width="9.375" style="10" customWidth="1"/>
    <col min="4375" max="4375" width="6.25" style="10" customWidth="1"/>
    <col min="4376" max="4376" width="14.625" style="10" customWidth="1"/>
    <col min="4377" max="4377" width="43.5" style="10" bestFit="1" customWidth="1"/>
    <col min="4378" max="4384" width="8.25" style="10" customWidth="1"/>
    <col min="4385" max="4608" width="8.75" style="10"/>
    <col min="4609" max="4609" width="15.75" style="10" customWidth="1"/>
    <col min="4610" max="4611" width="10.125" style="10" customWidth="1"/>
    <col min="4612" max="4612" width="13.375" style="10" customWidth="1"/>
    <col min="4613" max="4614" width="6.125" style="10" customWidth="1"/>
    <col min="4615" max="4615" width="8.125" style="10" customWidth="1"/>
    <col min="4616" max="4617" width="6.125" style="10" customWidth="1"/>
    <col min="4618" max="4618" width="7.625" style="10" customWidth="1"/>
    <col min="4619" max="4619" width="7.25" style="10" customWidth="1"/>
    <col min="4620" max="4624" width="8.75" style="10" customWidth="1"/>
    <col min="4625" max="4626" width="7.25" style="10" customWidth="1"/>
    <col min="4627" max="4627" width="8.5" style="10" customWidth="1"/>
    <col min="4628" max="4628" width="6.875" style="10" bestFit="1" customWidth="1"/>
    <col min="4629" max="4629" width="9" style="10" customWidth="1"/>
    <col min="4630" max="4630" width="9.375" style="10" customWidth="1"/>
    <col min="4631" max="4631" width="6.25" style="10" customWidth="1"/>
    <col min="4632" max="4632" width="14.625" style="10" customWidth="1"/>
    <col min="4633" max="4633" width="43.5" style="10" bestFit="1" customWidth="1"/>
    <col min="4634" max="4640" width="8.25" style="10" customWidth="1"/>
    <col min="4641" max="4864" width="8.75" style="10"/>
    <col min="4865" max="4865" width="15.75" style="10" customWidth="1"/>
    <col min="4866" max="4867" width="10.125" style="10" customWidth="1"/>
    <col min="4868" max="4868" width="13.375" style="10" customWidth="1"/>
    <col min="4869" max="4870" width="6.125" style="10" customWidth="1"/>
    <col min="4871" max="4871" width="8.125" style="10" customWidth="1"/>
    <col min="4872" max="4873" width="6.125" style="10" customWidth="1"/>
    <col min="4874" max="4874" width="7.625" style="10" customWidth="1"/>
    <col min="4875" max="4875" width="7.25" style="10" customWidth="1"/>
    <col min="4876" max="4880" width="8.75" style="10" customWidth="1"/>
    <col min="4881" max="4882" width="7.25" style="10" customWidth="1"/>
    <col min="4883" max="4883" width="8.5" style="10" customWidth="1"/>
    <col min="4884" max="4884" width="6.875" style="10" bestFit="1" customWidth="1"/>
    <col min="4885" max="4885" width="9" style="10" customWidth="1"/>
    <col min="4886" max="4886" width="9.375" style="10" customWidth="1"/>
    <col min="4887" max="4887" width="6.25" style="10" customWidth="1"/>
    <col min="4888" max="4888" width="14.625" style="10" customWidth="1"/>
    <col min="4889" max="4889" width="43.5" style="10" bestFit="1" customWidth="1"/>
    <col min="4890" max="4896" width="8.25" style="10" customWidth="1"/>
    <col min="4897" max="5120" width="8.75" style="10"/>
    <col min="5121" max="5121" width="15.75" style="10" customWidth="1"/>
    <col min="5122" max="5123" width="10.125" style="10" customWidth="1"/>
    <col min="5124" max="5124" width="13.375" style="10" customWidth="1"/>
    <col min="5125" max="5126" width="6.125" style="10" customWidth="1"/>
    <col min="5127" max="5127" width="8.125" style="10" customWidth="1"/>
    <col min="5128" max="5129" width="6.125" style="10" customWidth="1"/>
    <col min="5130" max="5130" width="7.625" style="10" customWidth="1"/>
    <col min="5131" max="5131" width="7.25" style="10" customWidth="1"/>
    <col min="5132" max="5136" width="8.75" style="10" customWidth="1"/>
    <col min="5137" max="5138" width="7.25" style="10" customWidth="1"/>
    <col min="5139" max="5139" width="8.5" style="10" customWidth="1"/>
    <col min="5140" max="5140" width="6.875" style="10" bestFit="1" customWidth="1"/>
    <col min="5141" max="5141" width="9" style="10" customWidth="1"/>
    <col min="5142" max="5142" width="9.375" style="10" customWidth="1"/>
    <col min="5143" max="5143" width="6.25" style="10" customWidth="1"/>
    <col min="5144" max="5144" width="14.625" style="10" customWidth="1"/>
    <col min="5145" max="5145" width="43.5" style="10" bestFit="1" customWidth="1"/>
    <col min="5146" max="5152" width="8.25" style="10" customWidth="1"/>
    <col min="5153" max="5376" width="8.75" style="10"/>
    <col min="5377" max="5377" width="15.75" style="10" customWidth="1"/>
    <col min="5378" max="5379" width="10.125" style="10" customWidth="1"/>
    <col min="5380" max="5380" width="13.375" style="10" customWidth="1"/>
    <col min="5381" max="5382" width="6.125" style="10" customWidth="1"/>
    <col min="5383" max="5383" width="8.125" style="10" customWidth="1"/>
    <col min="5384" max="5385" width="6.125" style="10" customWidth="1"/>
    <col min="5386" max="5386" width="7.625" style="10" customWidth="1"/>
    <col min="5387" max="5387" width="7.25" style="10" customWidth="1"/>
    <col min="5388" max="5392" width="8.75" style="10" customWidth="1"/>
    <col min="5393" max="5394" width="7.25" style="10" customWidth="1"/>
    <col min="5395" max="5395" width="8.5" style="10" customWidth="1"/>
    <col min="5396" max="5396" width="6.875" style="10" bestFit="1" customWidth="1"/>
    <col min="5397" max="5397" width="9" style="10" customWidth="1"/>
    <col min="5398" max="5398" width="9.375" style="10" customWidth="1"/>
    <col min="5399" max="5399" width="6.25" style="10" customWidth="1"/>
    <col min="5400" max="5400" width="14.625" style="10" customWidth="1"/>
    <col min="5401" max="5401" width="43.5" style="10" bestFit="1" customWidth="1"/>
    <col min="5402" max="5408" width="8.25" style="10" customWidth="1"/>
    <col min="5409" max="5632" width="8.75" style="10"/>
    <col min="5633" max="5633" width="15.75" style="10" customWidth="1"/>
    <col min="5634" max="5635" width="10.125" style="10" customWidth="1"/>
    <col min="5636" max="5636" width="13.375" style="10" customWidth="1"/>
    <col min="5637" max="5638" width="6.125" style="10" customWidth="1"/>
    <col min="5639" max="5639" width="8.125" style="10" customWidth="1"/>
    <col min="5640" max="5641" width="6.125" style="10" customWidth="1"/>
    <col min="5642" max="5642" width="7.625" style="10" customWidth="1"/>
    <col min="5643" max="5643" width="7.25" style="10" customWidth="1"/>
    <col min="5644" max="5648" width="8.75" style="10" customWidth="1"/>
    <col min="5649" max="5650" width="7.25" style="10" customWidth="1"/>
    <col min="5651" max="5651" width="8.5" style="10" customWidth="1"/>
    <col min="5652" max="5652" width="6.875" style="10" bestFit="1" customWidth="1"/>
    <col min="5653" max="5653" width="9" style="10" customWidth="1"/>
    <col min="5654" max="5654" width="9.375" style="10" customWidth="1"/>
    <col min="5655" max="5655" width="6.25" style="10" customWidth="1"/>
    <col min="5656" max="5656" width="14.625" style="10" customWidth="1"/>
    <col min="5657" max="5657" width="43.5" style="10" bestFit="1" customWidth="1"/>
    <col min="5658" max="5664" width="8.25" style="10" customWidth="1"/>
    <col min="5665" max="5888" width="8.75" style="10"/>
    <col min="5889" max="5889" width="15.75" style="10" customWidth="1"/>
    <col min="5890" max="5891" width="10.125" style="10" customWidth="1"/>
    <col min="5892" max="5892" width="13.375" style="10" customWidth="1"/>
    <col min="5893" max="5894" width="6.125" style="10" customWidth="1"/>
    <col min="5895" max="5895" width="8.125" style="10" customWidth="1"/>
    <col min="5896" max="5897" width="6.125" style="10" customWidth="1"/>
    <col min="5898" max="5898" width="7.625" style="10" customWidth="1"/>
    <col min="5899" max="5899" width="7.25" style="10" customWidth="1"/>
    <col min="5900" max="5904" width="8.75" style="10" customWidth="1"/>
    <col min="5905" max="5906" width="7.25" style="10" customWidth="1"/>
    <col min="5907" max="5907" width="8.5" style="10" customWidth="1"/>
    <col min="5908" max="5908" width="6.875" style="10" bestFit="1" customWidth="1"/>
    <col min="5909" max="5909" width="9" style="10" customWidth="1"/>
    <col min="5910" max="5910" width="9.375" style="10" customWidth="1"/>
    <col min="5911" max="5911" width="6.25" style="10" customWidth="1"/>
    <col min="5912" max="5912" width="14.625" style="10" customWidth="1"/>
    <col min="5913" max="5913" width="43.5" style="10" bestFit="1" customWidth="1"/>
    <col min="5914" max="5920" width="8.25" style="10" customWidth="1"/>
    <col min="5921" max="6144" width="8.75" style="10"/>
    <col min="6145" max="6145" width="15.75" style="10" customWidth="1"/>
    <col min="6146" max="6147" width="10.125" style="10" customWidth="1"/>
    <col min="6148" max="6148" width="13.375" style="10" customWidth="1"/>
    <col min="6149" max="6150" width="6.125" style="10" customWidth="1"/>
    <col min="6151" max="6151" width="8.125" style="10" customWidth="1"/>
    <col min="6152" max="6153" width="6.125" style="10" customWidth="1"/>
    <col min="6154" max="6154" width="7.625" style="10" customWidth="1"/>
    <col min="6155" max="6155" width="7.25" style="10" customWidth="1"/>
    <col min="6156" max="6160" width="8.75" style="10" customWidth="1"/>
    <col min="6161" max="6162" width="7.25" style="10" customWidth="1"/>
    <col min="6163" max="6163" width="8.5" style="10" customWidth="1"/>
    <col min="6164" max="6164" width="6.875" style="10" bestFit="1" customWidth="1"/>
    <col min="6165" max="6165" width="9" style="10" customWidth="1"/>
    <col min="6166" max="6166" width="9.375" style="10" customWidth="1"/>
    <col min="6167" max="6167" width="6.25" style="10" customWidth="1"/>
    <col min="6168" max="6168" width="14.625" style="10" customWidth="1"/>
    <col min="6169" max="6169" width="43.5" style="10" bestFit="1" customWidth="1"/>
    <col min="6170" max="6176" width="8.25" style="10" customWidth="1"/>
    <col min="6177" max="6400" width="8.75" style="10"/>
    <col min="6401" max="6401" width="15.75" style="10" customWidth="1"/>
    <col min="6402" max="6403" width="10.125" style="10" customWidth="1"/>
    <col min="6404" max="6404" width="13.375" style="10" customWidth="1"/>
    <col min="6405" max="6406" width="6.125" style="10" customWidth="1"/>
    <col min="6407" max="6407" width="8.125" style="10" customWidth="1"/>
    <col min="6408" max="6409" width="6.125" style="10" customWidth="1"/>
    <col min="6410" max="6410" width="7.625" style="10" customWidth="1"/>
    <col min="6411" max="6411" width="7.25" style="10" customWidth="1"/>
    <col min="6412" max="6416" width="8.75" style="10" customWidth="1"/>
    <col min="6417" max="6418" width="7.25" style="10" customWidth="1"/>
    <col min="6419" max="6419" width="8.5" style="10" customWidth="1"/>
    <col min="6420" max="6420" width="6.875" style="10" bestFit="1" customWidth="1"/>
    <col min="6421" max="6421" width="9" style="10" customWidth="1"/>
    <col min="6422" max="6422" width="9.375" style="10" customWidth="1"/>
    <col min="6423" max="6423" width="6.25" style="10" customWidth="1"/>
    <col min="6424" max="6424" width="14.625" style="10" customWidth="1"/>
    <col min="6425" max="6425" width="43.5" style="10" bestFit="1" customWidth="1"/>
    <col min="6426" max="6432" width="8.25" style="10" customWidth="1"/>
    <col min="6433" max="6656" width="8.75" style="10"/>
    <col min="6657" max="6657" width="15.75" style="10" customWidth="1"/>
    <col min="6658" max="6659" width="10.125" style="10" customWidth="1"/>
    <col min="6660" max="6660" width="13.375" style="10" customWidth="1"/>
    <col min="6661" max="6662" width="6.125" style="10" customWidth="1"/>
    <col min="6663" max="6663" width="8.125" style="10" customWidth="1"/>
    <col min="6664" max="6665" width="6.125" style="10" customWidth="1"/>
    <col min="6666" max="6666" width="7.625" style="10" customWidth="1"/>
    <col min="6667" max="6667" width="7.25" style="10" customWidth="1"/>
    <col min="6668" max="6672" width="8.75" style="10" customWidth="1"/>
    <col min="6673" max="6674" width="7.25" style="10" customWidth="1"/>
    <col min="6675" max="6675" width="8.5" style="10" customWidth="1"/>
    <col min="6676" max="6676" width="6.875" style="10" bestFit="1" customWidth="1"/>
    <col min="6677" max="6677" width="9" style="10" customWidth="1"/>
    <col min="6678" max="6678" width="9.375" style="10" customWidth="1"/>
    <col min="6679" max="6679" width="6.25" style="10" customWidth="1"/>
    <col min="6680" max="6680" width="14.625" style="10" customWidth="1"/>
    <col min="6681" max="6681" width="43.5" style="10" bestFit="1" customWidth="1"/>
    <col min="6682" max="6688" width="8.25" style="10" customWidth="1"/>
    <col min="6689" max="6912" width="8.75" style="10"/>
    <col min="6913" max="6913" width="15.75" style="10" customWidth="1"/>
    <col min="6914" max="6915" width="10.125" style="10" customWidth="1"/>
    <col min="6916" max="6916" width="13.375" style="10" customWidth="1"/>
    <col min="6917" max="6918" width="6.125" style="10" customWidth="1"/>
    <col min="6919" max="6919" width="8.125" style="10" customWidth="1"/>
    <col min="6920" max="6921" width="6.125" style="10" customWidth="1"/>
    <col min="6922" max="6922" width="7.625" style="10" customWidth="1"/>
    <col min="6923" max="6923" width="7.25" style="10" customWidth="1"/>
    <col min="6924" max="6928" width="8.75" style="10" customWidth="1"/>
    <col min="6929" max="6930" width="7.25" style="10" customWidth="1"/>
    <col min="6931" max="6931" width="8.5" style="10" customWidth="1"/>
    <col min="6932" max="6932" width="6.875" style="10" bestFit="1" customWidth="1"/>
    <col min="6933" max="6933" width="9" style="10" customWidth="1"/>
    <col min="6934" max="6934" width="9.375" style="10" customWidth="1"/>
    <col min="6935" max="6935" width="6.25" style="10" customWidth="1"/>
    <col min="6936" max="6936" width="14.625" style="10" customWidth="1"/>
    <col min="6937" max="6937" width="43.5" style="10" bestFit="1" customWidth="1"/>
    <col min="6938" max="6944" width="8.25" style="10" customWidth="1"/>
    <col min="6945" max="7168" width="8.75" style="10"/>
    <col min="7169" max="7169" width="15.75" style="10" customWidth="1"/>
    <col min="7170" max="7171" width="10.125" style="10" customWidth="1"/>
    <col min="7172" max="7172" width="13.375" style="10" customWidth="1"/>
    <col min="7173" max="7174" width="6.125" style="10" customWidth="1"/>
    <col min="7175" max="7175" width="8.125" style="10" customWidth="1"/>
    <col min="7176" max="7177" width="6.125" style="10" customWidth="1"/>
    <col min="7178" max="7178" width="7.625" style="10" customWidth="1"/>
    <col min="7179" max="7179" width="7.25" style="10" customWidth="1"/>
    <col min="7180" max="7184" width="8.75" style="10" customWidth="1"/>
    <col min="7185" max="7186" width="7.25" style="10" customWidth="1"/>
    <col min="7187" max="7187" width="8.5" style="10" customWidth="1"/>
    <col min="7188" max="7188" width="6.875" style="10" bestFit="1" customWidth="1"/>
    <col min="7189" max="7189" width="9" style="10" customWidth="1"/>
    <col min="7190" max="7190" width="9.375" style="10" customWidth="1"/>
    <col min="7191" max="7191" width="6.25" style="10" customWidth="1"/>
    <col min="7192" max="7192" width="14.625" style="10" customWidth="1"/>
    <col min="7193" max="7193" width="43.5" style="10" bestFit="1" customWidth="1"/>
    <col min="7194" max="7200" width="8.25" style="10" customWidth="1"/>
    <col min="7201" max="7424" width="8.75" style="10"/>
    <col min="7425" max="7425" width="15.75" style="10" customWidth="1"/>
    <col min="7426" max="7427" width="10.125" style="10" customWidth="1"/>
    <col min="7428" max="7428" width="13.375" style="10" customWidth="1"/>
    <col min="7429" max="7430" width="6.125" style="10" customWidth="1"/>
    <col min="7431" max="7431" width="8.125" style="10" customWidth="1"/>
    <col min="7432" max="7433" width="6.125" style="10" customWidth="1"/>
    <col min="7434" max="7434" width="7.625" style="10" customWidth="1"/>
    <col min="7435" max="7435" width="7.25" style="10" customWidth="1"/>
    <col min="7436" max="7440" width="8.75" style="10" customWidth="1"/>
    <col min="7441" max="7442" width="7.25" style="10" customWidth="1"/>
    <col min="7443" max="7443" width="8.5" style="10" customWidth="1"/>
    <col min="7444" max="7444" width="6.875" style="10" bestFit="1" customWidth="1"/>
    <col min="7445" max="7445" width="9" style="10" customWidth="1"/>
    <col min="7446" max="7446" width="9.375" style="10" customWidth="1"/>
    <col min="7447" max="7447" width="6.25" style="10" customWidth="1"/>
    <col min="7448" max="7448" width="14.625" style="10" customWidth="1"/>
    <col min="7449" max="7449" width="43.5" style="10" bestFit="1" customWidth="1"/>
    <col min="7450" max="7456" width="8.25" style="10" customWidth="1"/>
    <col min="7457" max="7680" width="8.75" style="10"/>
    <col min="7681" max="7681" width="15.75" style="10" customWidth="1"/>
    <col min="7682" max="7683" width="10.125" style="10" customWidth="1"/>
    <col min="7684" max="7684" width="13.375" style="10" customWidth="1"/>
    <col min="7685" max="7686" width="6.125" style="10" customWidth="1"/>
    <col min="7687" max="7687" width="8.125" style="10" customWidth="1"/>
    <col min="7688" max="7689" width="6.125" style="10" customWidth="1"/>
    <col min="7690" max="7690" width="7.625" style="10" customWidth="1"/>
    <col min="7691" max="7691" width="7.25" style="10" customWidth="1"/>
    <col min="7692" max="7696" width="8.75" style="10" customWidth="1"/>
    <col min="7697" max="7698" width="7.25" style="10" customWidth="1"/>
    <col min="7699" max="7699" width="8.5" style="10" customWidth="1"/>
    <col min="7700" max="7700" width="6.875" style="10" bestFit="1" customWidth="1"/>
    <col min="7701" max="7701" width="9" style="10" customWidth="1"/>
    <col min="7702" max="7702" width="9.375" style="10" customWidth="1"/>
    <col min="7703" max="7703" width="6.25" style="10" customWidth="1"/>
    <col min="7704" max="7704" width="14.625" style="10" customWidth="1"/>
    <col min="7705" max="7705" width="43.5" style="10" bestFit="1" customWidth="1"/>
    <col min="7706" max="7712" width="8.25" style="10" customWidth="1"/>
    <col min="7713" max="7936" width="8.75" style="10"/>
    <col min="7937" max="7937" width="15.75" style="10" customWidth="1"/>
    <col min="7938" max="7939" width="10.125" style="10" customWidth="1"/>
    <col min="7940" max="7940" width="13.375" style="10" customWidth="1"/>
    <col min="7941" max="7942" width="6.125" style="10" customWidth="1"/>
    <col min="7943" max="7943" width="8.125" style="10" customWidth="1"/>
    <col min="7944" max="7945" width="6.125" style="10" customWidth="1"/>
    <col min="7946" max="7946" width="7.625" style="10" customWidth="1"/>
    <col min="7947" max="7947" width="7.25" style="10" customWidth="1"/>
    <col min="7948" max="7952" width="8.75" style="10" customWidth="1"/>
    <col min="7953" max="7954" width="7.25" style="10" customWidth="1"/>
    <col min="7955" max="7955" width="8.5" style="10" customWidth="1"/>
    <col min="7956" max="7956" width="6.875" style="10" bestFit="1" customWidth="1"/>
    <col min="7957" max="7957" width="9" style="10" customWidth="1"/>
    <col min="7958" max="7958" width="9.375" style="10" customWidth="1"/>
    <col min="7959" max="7959" width="6.25" style="10" customWidth="1"/>
    <col min="7960" max="7960" width="14.625" style="10" customWidth="1"/>
    <col min="7961" max="7961" width="43.5" style="10" bestFit="1" customWidth="1"/>
    <col min="7962" max="7968" width="8.25" style="10" customWidth="1"/>
    <col min="7969" max="8192" width="8.75" style="10"/>
    <col min="8193" max="8193" width="15.75" style="10" customWidth="1"/>
    <col min="8194" max="8195" width="10.125" style="10" customWidth="1"/>
    <col min="8196" max="8196" width="13.375" style="10" customWidth="1"/>
    <col min="8197" max="8198" width="6.125" style="10" customWidth="1"/>
    <col min="8199" max="8199" width="8.125" style="10" customWidth="1"/>
    <col min="8200" max="8201" width="6.125" style="10" customWidth="1"/>
    <col min="8202" max="8202" width="7.625" style="10" customWidth="1"/>
    <col min="8203" max="8203" width="7.25" style="10" customWidth="1"/>
    <col min="8204" max="8208" width="8.75" style="10" customWidth="1"/>
    <col min="8209" max="8210" width="7.25" style="10" customWidth="1"/>
    <col min="8211" max="8211" width="8.5" style="10" customWidth="1"/>
    <col min="8212" max="8212" width="6.875" style="10" bestFit="1" customWidth="1"/>
    <col min="8213" max="8213" width="9" style="10" customWidth="1"/>
    <col min="8214" max="8214" width="9.375" style="10" customWidth="1"/>
    <col min="8215" max="8215" width="6.25" style="10" customWidth="1"/>
    <col min="8216" max="8216" width="14.625" style="10" customWidth="1"/>
    <col min="8217" max="8217" width="43.5" style="10" bestFit="1" customWidth="1"/>
    <col min="8218" max="8224" width="8.25" style="10" customWidth="1"/>
    <col min="8225" max="8448" width="8.75" style="10"/>
    <col min="8449" max="8449" width="15.75" style="10" customWidth="1"/>
    <col min="8450" max="8451" width="10.125" style="10" customWidth="1"/>
    <col min="8452" max="8452" width="13.375" style="10" customWidth="1"/>
    <col min="8453" max="8454" width="6.125" style="10" customWidth="1"/>
    <col min="8455" max="8455" width="8.125" style="10" customWidth="1"/>
    <col min="8456" max="8457" width="6.125" style="10" customWidth="1"/>
    <col min="8458" max="8458" width="7.625" style="10" customWidth="1"/>
    <col min="8459" max="8459" width="7.25" style="10" customWidth="1"/>
    <col min="8460" max="8464" width="8.75" style="10" customWidth="1"/>
    <col min="8465" max="8466" width="7.25" style="10" customWidth="1"/>
    <col min="8467" max="8467" width="8.5" style="10" customWidth="1"/>
    <col min="8468" max="8468" width="6.875" style="10" bestFit="1" customWidth="1"/>
    <col min="8469" max="8469" width="9" style="10" customWidth="1"/>
    <col min="8470" max="8470" width="9.375" style="10" customWidth="1"/>
    <col min="8471" max="8471" width="6.25" style="10" customWidth="1"/>
    <col min="8472" max="8472" width="14.625" style="10" customWidth="1"/>
    <col min="8473" max="8473" width="43.5" style="10" bestFit="1" customWidth="1"/>
    <col min="8474" max="8480" width="8.25" style="10" customWidth="1"/>
    <col min="8481" max="8704" width="8.75" style="10"/>
    <col min="8705" max="8705" width="15.75" style="10" customWidth="1"/>
    <col min="8706" max="8707" width="10.125" style="10" customWidth="1"/>
    <col min="8708" max="8708" width="13.375" style="10" customWidth="1"/>
    <col min="8709" max="8710" width="6.125" style="10" customWidth="1"/>
    <col min="8711" max="8711" width="8.125" style="10" customWidth="1"/>
    <col min="8712" max="8713" width="6.125" style="10" customWidth="1"/>
    <col min="8714" max="8714" width="7.625" style="10" customWidth="1"/>
    <col min="8715" max="8715" width="7.25" style="10" customWidth="1"/>
    <col min="8716" max="8720" width="8.75" style="10" customWidth="1"/>
    <col min="8721" max="8722" width="7.25" style="10" customWidth="1"/>
    <col min="8723" max="8723" width="8.5" style="10" customWidth="1"/>
    <col min="8724" max="8724" width="6.875" style="10" bestFit="1" customWidth="1"/>
    <col min="8725" max="8725" width="9" style="10" customWidth="1"/>
    <col min="8726" max="8726" width="9.375" style="10" customWidth="1"/>
    <col min="8727" max="8727" width="6.25" style="10" customWidth="1"/>
    <col min="8728" max="8728" width="14.625" style="10" customWidth="1"/>
    <col min="8729" max="8729" width="43.5" style="10" bestFit="1" customWidth="1"/>
    <col min="8730" max="8736" width="8.25" style="10" customWidth="1"/>
    <col min="8737" max="8960" width="8.75" style="10"/>
    <col min="8961" max="8961" width="15.75" style="10" customWidth="1"/>
    <col min="8962" max="8963" width="10.125" style="10" customWidth="1"/>
    <col min="8964" max="8964" width="13.375" style="10" customWidth="1"/>
    <col min="8965" max="8966" width="6.125" style="10" customWidth="1"/>
    <col min="8967" max="8967" width="8.125" style="10" customWidth="1"/>
    <col min="8968" max="8969" width="6.125" style="10" customWidth="1"/>
    <col min="8970" max="8970" width="7.625" style="10" customWidth="1"/>
    <col min="8971" max="8971" width="7.25" style="10" customWidth="1"/>
    <col min="8972" max="8976" width="8.75" style="10" customWidth="1"/>
    <col min="8977" max="8978" width="7.25" style="10" customWidth="1"/>
    <col min="8979" max="8979" width="8.5" style="10" customWidth="1"/>
    <col min="8980" max="8980" width="6.875" style="10" bestFit="1" customWidth="1"/>
    <col min="8981" max="8981" width="9" style="10" customWidth="1"/>
    <col min="8982" max="8982" width="9.375" style="10" customWidth="1"/>
    <col min="8983" max="8983" width="6.25" style="10" customWidth="1"/>
    <col min="8984" max="8984" width="14.625" style="10" customWidth="1"/>
    <col min="8985" max="8985" width="43.5" style="10" bestFit="1" customWidth="1"/>
    <col min="8986" max="8992" width="8.25" style="10" customWidth="1"/>
    <col min="8993" max="9216" width="8.75" style="10"/>
    <col min="9217" max="9217" width="15.75" style="10" customWidth="1"/>
    <col min="9218" max="9219" width="10.125" style="10" customWidth="1"/>
    <col min="9220" max="9220" width="13.375" style="10" customWidth="1"/>
    <col min="9221" max="9222" width="6.125" style="10" customWidth="1"/>
    <col min="9223" max="9223" width="8.125" style="10" customWidth="1"/>
    <col min="9224" max="9225" width="6.125" style="10" customWidth="1"/>
    <col min="9226" max="9226" width="7.625" style="10" customWidth="1"/>
    <col min="9227" max="9227" width="7.25" style="10" customWidth="1"/>
    <col min="9228" max="9232" width="8.75" style="10" customWidth="1"/>
    <col min="9233" max="9234" width="7.25" style="10" customWidth="1"/>
    <col min="9235" max="9235" width="8.5" style="10" customWidth="1"/>
    <col min="9236" max="9236" width="6.875" style="10" bestFit="1" customWidth="1"/>
    <col min="9237" max="9237" width="9" style="10" customWidth="1"/>
    <col min="9238" max="9238" width="9.375" style="10" customWidth="1"/>
    <col min="9239" max="9239" width="6.25" style="10" customWidth="1"/>
    <col min="9240" max="9240" width="14.625" style="10" customWidth="1"/>
    <col min="9241" max="9241" width="43.5" style="10" bestFit="1" customWidth="1"/>
    <col min="9242" max="9248" width="8.25" style="10" customWidth="1"/>
    <col min="9249" max="9472" width="8.75" style="10"/>
    <col min="9473" max="9473" width="15.75" style="10" customWidth="1"/>
    <col min="9474" max="9475" width="10.125" style="10" customWidth="1"/>
    <col min="9476" max="9476" width="13.375" style="10" customWidth="1"/>
    <col min="9477" max="9478" width="6.125" style="10" customWidth="1"/>
    <col min="9479" max="9479" width="8.125" style="10" customWidth="1"/>
    <col min="9480" max="9481" width="6.125" style="10" customWidth="1"/>
    <col min="9482" max="9482" width="7.625" style="10" customWidth="1"/>
    <col min="9483" max="9483" width="7.25" style="10" customWidth="1"/>
    <col min="9484" max="9488" width="8.75" style="10" customWidth="1"/>
    <col min="9489" max="9490" width="7.25" style="10" customWidth="1"/>
    <col min="9491" max="9491" width="8.5" style="10" customWidth="1"/>
    <col min="9492" max="9492" width="6.875" style="10" bestFit="1" customWidth="1"/>
    <col min="9493" max="9493" width="9" style="10" customWidth="1"/>
    <col min="9494" max="9494" width="9.375" style="10" customWidth="1"/>
    <col min="9495" max="9495" width="6.25" style="10" customWidth="1"/>
    <col min="9496" max="9496" width="14.625" style="10" customWidth="1"/>
    <col min="9497" max="9497" width="43.5" style="10" bestFit="1" customWidth="1"/>
    <col min="9498" max="9504" width="8.25" style="10" customWidth="1"/>
    <col min="9505" max="9728" width="8.75" style="10"/>
    <col min="9729" max="9729" width="15.75" style="10" customWidth="1"/>
    <col min="9730" max="9731" width="10.125" style="10" customWidth="1"/>
    <col min="9732" max="9732" width="13.375" style="10" customWidth="1"/>
    <col min="9733" max="9734" width="6.125" style="10" customWidth="1"/>
    <col min="9735" max="9735" width="8.125" style="10" customWidth="1"/>
    <col min="9736" max="9737" width="6.125" style="10" customWidth="1"/>
    <col min="9738" max="9738" width="7.625" style="10" customWidth="1"/>
    <col min="9739" max="9739" width="7.25" style="10" customWidth="1"/>
    <col min="9740" max="9744" width="8.75" style="10" customWidth="1"/>
    <col min="9745" max="9746" width="7.25" style="10" customWidth="1"/>
    <col min="9747" max="9747" width="8.5" style="10" customWidth="1"/>
    <col min="9748" max="9748" width="6.875" style="10" bestFit="1" customWidth="1"/>
    <col min="9749" max="9749" width="9" style="10" customWidth="1"/>
    <col min="9750" max="9750" width="9.375" style="10" customWidth="1"/>
    <col min="9751" max="9751" width="6.25" style="10" customWidth="1"/>
    <col min="9752" max="9752" width="14.625" style="10" customWidth="1"/>
    <col min="9753" max="9753" width="43.5" style="10" bestFit="1" customWidth="1"/>
    <col min="9754" max="9760" width="8.25" style="10" customWidth="1"/>
    <col min="9761" max="9984" width="8.75" style="10"/>
    <col min="9985" max="9985" width="15.75" style="10" customWidth="1"/>
    <col min="9986" max="9987" width="10.125" style="10" customWidth="1"/>
    <col min="9988" max="9988" width="13.375" style="10" customWidth="1"/>
    <col min="9989" max="9990" width="6.125" style="10" customWidth="1"/>
    <col min="9991" max="9991" width="8.125" style="10" customWidth="1"/>
    <col min="9992" max="9993" width="6.125" style="10" customWidth="1"/>
    <col min="9994" max="9994" width="7.625" style="10" customWidth="1"/>
    <col min="9995" max="9995" width="7.25" style="10" customWidth="1"/>
    <col min="9996" max="10000" width="8.75" style="10" customWidth="1"/>
    <col min="10001" max="10002" width="7.25" style="10" customWidth="1"/>
    <col min="10003" max="10003" width="8.5" style="10" customWidth="1"/>
    <col min="10004" max="10004" width="6.875" style="10" bestFit="1" customWidth="1"/>
    <col min="10005" max="10005" width="9" style="10" customWidth="1"/>
    <col min="10006" max="10006" width="9.375" style="10" customWidth="1"/>
    <col min="10007" max="10007" width="6.25" style="10" customWidth="1"/>
    <col min="10008" max="10008" width="14.625" style="10" customWidth="1"/>
    <col min="10009" max="10009" width="43.5" style="10" bestFit="1" customWidth="1"/>
    <col min="10010" max="10016" width="8.25" style="10" customWidth="1"/>
    <col min="10017" max="10240" width="8.75" style="10"/>
    <col min="10241" max="10241" width="15.75" style="10" customWidth="1"/>
    <col min="10242" max="10243" width="10.125" style="10" customWidth="1"/>
    <col min="10244" max="10244" width="13.375" style="10" customWidth="1"/>
    <col min="10245" max="10246" width="6.125" style="10" customWidth="1"/>
    <col min="10247" max="10247" width="8.125" style="10" customWidth="1"/>
    <col min="10248" max="10249" width="6.125" style="10" customWidth="1"/>
    <col min="10250" max="10250" width="7.625" style="10" customWidth="1"/>
    <col min="10251" max="10251" width="7.25" style="10" customWidth="1"/>
    <col min="10252" max="10256" width="8.75" style="10" customWidth="1"/>
    <col min="10257" max="10258" width="7.25" style="10" customWidth="1"/>
    <col min="10259" max="10259" width="8.5" style="10" customWidth="1"/>
    <col min="10260" max="10260" width="6.875" style="10" bestFit="1" customWidth="1"/>
    <col min="10261" max="10261" width="9" style="10" customWidth="1"/>
    <col min="10262" max="10262" width="9.375" style="10" customWidth="1"/>
    <col min="10263" max="10263" width="6.25" style="10" customWidth="1"/>
    <col min="10264" max="10264" width="14.625" style="10" customWidth="1"/>
    <col min="10265" max="10265" width="43.5" style="10" bestFit="1" customWidth="1"/>
    <col min="10266" max="10272" width="8.25" style="10" customWidth="1"/>
    <col min="10273" max="10496" width="8.75" style="10"/>
    <col min="10497" max="10497" width="15.75" style="10" customWidth="1"/>
    <col min="10498" max="10499" width="10.125" style="10" customWidth="1"/>
    <col min="10500" max="10500" width="13.375" style="10" customWidth="1"/>
    <col min="10501" max="10502" width="6.125" style="10" customWidth="1"/>
    <col min="10503" max="10503" width="8.125" style="10" customWidth="1"/>
    <col min="10504" max="10505" width="6.125" style="10" customWidth="1"/>
    <col min="10506" max="10506" width="7.625" style="10" customWidth="1"/>
    <col min="10507" max="10507" width="7.25" style="10" customWidth="1"/>
    <col min="10508" max="10512" width="8.75" style="10" customWidth="1"/>
    <col min="10513" max="10514" width="7.25" style="10" customWidth="1"/>
    <col min="10515" max="10515" width="8.5" style="10" customWidth="1"/>
    <col min="10516" max="10516" width="6.875" style="10" bestFit="1" customWidth="1"/>
    <col min="10517" max="10517" width="9" style="10" customWidth="1"/>
    <col min="10518" max="10518" width="9.375" style="10" customWidth="1"/>
    <col min="10519" max="10519" width="6.25" style="10" customWidth="1"/>
    <col min="10520" max="10520" width="14.625" style="10" customWidth="1"/>
    <col min="10521" max="10521" width="43.5" style="10" bestFit="1" customWidth="1"/>
    <col min="10522" max="10528" width="8.25" style="10" customWidth="1"/>
    <col min="10529" max="10752" width="8.75" style="10"/>
    <col min="10753" max="10753" width="15.75" style="10" customWidth="1"/>
    <col min="10754" max="10755" width="10.125" style="10" customWidth="1"/>
    <col min="10756" max="10756" width="13.375" style="10" customWidth="1"/>
    <col min="10757" max="10758" width="6.125" style="10" customWidth="1"/>
    <col min="10759" max="10759" width="8.125" style="10" customWidth="1"/>
    <col min="10760" max="10761" width="6.125" style="10" customWidth="1"/>
    <col min="10762" max="10762" width="7.625" style="10" customWidth="1"/>
    <col min="10763" max="10763" width="7.25" style="10" customWidth="1"/>
    <col min="10764" max="10768" width="8.75" style="10" customWidth="1"/>
    <col min="10769" max="10770" width="7.25" style="10" customWidth="1"/>
    <col min="10771" max="10771" width="8.5" style="10" customWidth="1"/>
    <col min="10772" max="10772" width="6.875" style="10" bestFit="1" customWidth="1"/>
    <col min="10773" max="10773" width="9" style="10" customWidth="1"/>
    <col min="10774" max="10774" width="9.375" style="10" customWidth="1"/>
    <col min="10775" max="10775" width="6.25" style="10" customWidth="1"/>
    <col min="10776" max="10776" width="14.625" style="10" customWidth="1"/>
    <col min="10777" max="10777" width="43.5" style="10" bestFit="1" customWidth="1"/>
    <col min="10778" max="10784" width="8.25" style="10" customWidth="1"/>
    <col min="10785" max="11008" width="8.75" style="10"/>
    <col min="11009" max="11009" width="15.75" style="10" customWidth="1"/>
    <col min="11010" max="11011" width="10.125" style="10" customWidth="1"/>
    <col min="11012" max="11012" width="13.375" style="10" customWidth="1"/>
    <col min="11013" max="11014" width="6.125" style="10" customWidth="1"/>
    <col min="11015" max="11015" width="8.125" style="10" customWidth="1"/>
    <col min="11016" max="11017" width="6.125" style="10" customWidth="1"/>
    <col min="11018" max="11018" width="7.625" style="10" customWidth="1"/>
    <col min="11019" max="11019" width="7.25" style="10" customWidth="1"/>
    <col min="11020" max="11024" width="8.75" style="10" customWidth="1"/>
    <col min="11025" max="11026" width="7.25" style="10" customWidth="1"/>
    <col min="11027" max="11027" width="8.5" style="10" customWidth="1"/>
    <col min="11028" max="11028" width="6.875" style="10" bestFit="1" customWidth="1"/>
    <col min="11029" max="11029" width="9" style="10" customWidth="1"/>
    <col min="11030" max="11030" width="9.375" style="10" customWidth="1"/>
    <col min="11031" max="11031" width="6.25" style="10" customWidth="1"/>
    <col min="11032" max="11032" width="14.625" style="10" customWidth="1"/>
    <col min="11033" max="11033" width="43.5" style="10" bestFit="1" customWidth="1"/>
    <col min="11034" max="11040" width="8.25" style="10" customWidth="1"/>
    <col min="11041" max="11264" width="8.75" style="10"/>
    <col min="11265" max="11265" width="15.75" style="10" customWidth="1"/>
    <col min="11266" max="11267" width="10.125" style="10" customWidth="1"/>
    <col min="11268" max="11268" width="13.375" style="10" customWidth="1"/>
    <col min="11269" max="11270" width="6.125" style="10" customWidth="1"/>
    <col min="11271" max="11271" width="8.125" style="10" customWidth="1"/>
    <col min="11272" max="11273" width="6.125" style="10" customWidth="1"/>
    <col min="11274" max="11274" width="7.625" style="10" customWidth="1"/>
    <col min="11275" max="11275" width="7.25" style="10" customWidth="1"/>
    <col min="11276" max="11280" width="8.75" style="10" customWidth="1"/>
    <col min="11281" max="11282" width="7.25" style="10" customWidth="1"/>
    <col min="11283" max="11283" width="8.5" style="10" customWidth="1"/>
    <col min="11284" max="11284" width="6.875" style="10" bestFit="1" customWidth="1"/>
    <col min="11285" max="11285" width="9" style="10" customWidth="1"/>
    <col min="11286" max="11286" width="9.375" style="10" customWidth="1"/>
    <col min="11287" max="11287" width="6.25" style="10" customWidth="1"/>
    <col min="11288" max="11288" width="14.625" style="10" customWidth="1"/>
    <col min="11289" max="11289" width="43.5" style="10" bestFit="1" customWidth="1"/>
    <col min="11290" max="11296" width="8.25" style="10" customWidth="1"/>
    <col min="11297" max="11520" width="8.75" style="10"/>
    <col min="11521" max="11521" width="15.75" style="10" customWidth="1"/>
    <col min="11522" max="11523" width="10.125" style="10" customWidth="1"/>
    <col min="11524" max="11524" width="13.375" style="10" customWidth="1"/>
    <col min="11525" max="11526" width="6.125" style="10" customWidth="1"/>
    <col min="11527" max="11527" width="8.125" style="10" customWidth="1"/>
    <col min="11528" max="11529" width="6.125" style="10" customWidth="1"/>
    <col min="11530" max="11530" width="7.625" style="10" customWidth="1"/>
    <col min="11531" max="11531" width="7.25" style="10" customWidth="1"/>
    <col min="11532" max="11536" width="8.75" style="10" customWidth="1"/>
    <col min="11537" max="11538" width="7.25" style="10" customWidth="1"/>
    <col min="11539" max="11539" width="8.5" style="10" customWidth="1"/>
    <col min="11540" max="11540" width="6.875" style="10" bestFit="1" customWidth="1"/>
    <col min="11541" max="11541" width="9" style="10" customWidth="1"/>
    <col min="11542" max="11542" width="9.375" style="10" customWidth="1"/>
    <col min="11543" max="11543" width="6.25" style="10" customWidth="1"/>
    <col min="11544" max="11544" width="14.625" style="10" customWidth="1"/>
    <col min="11545" max="11545" width="43.5" style="10" bestFit="1" customWidth="1"/>
    <col min="11546" max="11552" width="8.25" style="10" customWidth="1"/>
    <col min="11553" max="11776" width="8.75" style="10"/>
    <col min="11777" max="11777" width="15.75" style="10" customWidth="1"/>
    <col min="11778" max="11779" width="10.125" style="10" customWidth="1"/>
    <col min="11780" max="11780" width="13.375" style="10" customWidth="1"/>
    <col min="11781" max="11782" width="6.125" style="10" customWidth="1"/>
    <col min="11783" max="11783" width="8.125" style="10" customWidth="1"/>
    <col min="11784" max="11785" width="6.125" style="10" customWidth="1"/>
    <col min="11786" max="11786" width="7.625" style="10" customWidth="1"/>
    <col min="11787" max="11787" width="7.25" style="10" customWidth="1"/>
    <col min="11788" max="11792" width="8.75" style="10" customWidth="1"/>
    <col min="11793" max="11794" width="7.25" style="10" customWidth="1"/>
    <col min="11795" max="11795" width="8.5" style="10" customWidth="1"/>
    <col min="11796" max="11796" width="6.875" style="10" bestFit="1" customWidth="1"/>
    <col min="11797" max="11797" width="9" style="10" customWidth="1"/>
    <col min="11798" max="11798" width="9.375" style="10" customWidth="1"/>
    <col min="11799" max="11799" width="6.25" style="10" customWidth="1"/>
    <col min="11800" max="11800" width="14.625" style="10" customWidth="1"/>
    <col min="11801" max="11801" width="43.5" style="10" bestFit="1" customWidth="1"/>
    <col min="11802" max="11808" width="8.25" style="10" customWidth="1"/>
    <col min="11809" max="12032" width="8.75" style="10"/>
    <col min="12033" max="12033" width="15.75" style="10" customWidth="1"/>
    <col min="12034" max="12035" width="10.125" style="10" customWidth="1"/>
    <col min="12036" max="12036" width="13.375" style="10" customWidth="1"/>
    <col min="12037" max="12038" width="6.125" style="10" customWidth="1"/>
    <col min="12039" max="12039" width="8.125" style="10" customWidth="1"/>
    <col min="12040" max="12041" width="6.125" style="10" customWidth="1"/>
    <col min="12042" max="12042" width="7.625" style="10" customWidth="1"/>
    <col min="12043" max="12043" width="7.25" style="10" customWidth="1"/>
    <col min="12044" max="12048" width="8.75" style="10" customWidth="1"/>
    <col min="12049" max="12050" width="7.25" style="10" customWidth="1"/>
    <col min="12051" max="12051" width="8.5" style="10" customWidth="1"/>
    <col min="12052" max="12052" width="6.875" style="10" bestFit="1" customWidth="1"/>
    <col min="12053" max="12053" width="9" style="10" customWidth="1"/>
    <col min="12054" max="12054" width="9.375" style="10" customWidth="1"/>
    <col min="12055" max="12055" width="6.25" style="10" customWidth="1"/>
    <col min="12056" max="12056" width="14.625" style="10" customWidth="1"/>
    <col min="12057" max="12057" width="43.5" style="10" bestFit="1" customWidth="1"/>
    <col min="12058" max="12064" width="8.25" style="10" customWidth="1"/>
    <col min="12065" max="12288" width="8.75" style="10"/>
    <col min="12289" max="12289" width="15.75" style="10" customWidth="1"/>
    <col min="12290" max="12291" width="10.125" style="10" customWidth="1"/>
    <col min="12292" max="12292" width="13.375" style="10" customWidth="1"/>
    <col min="12293" max="12294" width="6.125" style="10" customWidth="1"/>
    <col min="12295" max="12295" width="8.125" style="10" customWidth="1"/>
    <col min="12296" max="12297" width="6.125" style="10" customWidth="1"/>
    <col min="12298" max="12298" width="7.625" style="10" customWidth="1"/>
    <col min="12299" max="12299" width="7.25" style="10" customWidth="1"/>
    <col min="12300" max="12304" width="8.75" style="10" customWidth="1"/>
    <col min="12305" max="12306" width="7.25" style="10" customWidth="1"/>
    <col min="12307" max="12307" width="8.5" style="10" customWidth="1"/>
    <col min="12308" max="12308" width="6.875" style="10" bestFit="1" customWidth="1"/>
    <col min="12309" max="12309" width="9" style="10" customWidth="1"/>
    <col min="12310" max="12310" width="9.375" style="10" customWidth="1"/>
    <col min="12311" max="12311" width="6.25" style="10" customWidth="1"/>
    <col min="12312" max="12312" width="14.625" style="10" customWidth="1"/>
    <col min="12313" max="12313" width="43.5" style="10" bestFit="1" customWidth="1"/>
    <col min="12314" max="12320" width="8.25" style="10" customWidth="1"/>
    <col min="12321" max="12544" width="8.75" style="10"/>
    <col min="12545" max="12545" width="15.75" style="10" customWidth="1"/>
    <col min="12546" max="12547" width="10.125" style="10" customWidth="1"/>
    <col min="12548" max="12548" width="13.375" style="10" customWidth="1"/>
    <col min="12549" max="12550" width="6.125" style="10" customWidth="1"/>
    <col min="12551" max="12551" width="8.125" style="10" customWidth="1"/>
    <col min="12552" max="12553" width="6.125" style="10" customWidth="1"/>
    <col min="12554" max="12554" width="7.625" style="10" customWidth="1"/>
    <col min="12555" max="12555" width="7.25" style="10" customWidth="1"/>
    <col min="12556" max="12560" width="8.75" style="10" customWidth="1"/>
    <col min="12561" max="12562" width="7.25" style="10" customWidth="1"/>
    <col min="12563" max="12563" width="8.5" style="10" customWidth="1"/>
    <col min="12564" max="12564" width="6.875" style="10" bestFit="1" customWidth="1"/>
    <col min="12565" max="12565" width="9" style="10" customWidth="1"/>
    <col min="12566" max="12566" width="9.375" style="10" customWidth="1"/>
    <col min="12567" max="12567" width="6.25" style="10" customWidth="1"/>
    <col min="12568" max="12568" width="14.625" style="10" customWidth="1"/>
    <col min="12569" max="12569" width="43.5" style="10" bestFit="1" customWidth="1"/>
    <col min="12570" max="12576" width="8.25" style="10" customWidth="1"/>
    <col min="12577" max="12800" width="8.75" style="10"/>
    <col min="12801" max="12801" width="15.75" style="10" customWidth="1"/>
    <col min="12802" max="12803" width="10.125" style="10" customWidth="1"/>
    <col min="12804" max="12804" width="13.375" style="10" customWidth="1"/>
    <col min="12805" max="12806" width="6.125" style="10" customWidth="1"/>
    <col min="12807" max="12807" width="8.125" style="10" customWidth="1"/>
    <col min="12808" max="12809" width="6.125" style="10" customWidth="1"/>
    <col min="12810" max="12810" width="7.625" style="10" customWidth="1"/>
    <col min="12811" max="12811" width="7.25" style="10" customWidth="1"/>
    <col min="12812" max="12816" width="8.75" style="10" customWidth="1"/>
    <col min="12817" max="12818" width="7.25" style="10" customWidth="1"/>
    <col min="12819" max="12819" width="8.5" style="10" customWidth="1"/>
    <col min="12820" max="12820" width="6.875" style="10" bestFit="1" customWidth="1"/>
    <col min="12821" max="12821" width="9" style="10" customWidth="1"/>
    <col min="12822" max="12822" width="9.375" style="10" customWidth="1"/>
    <col min="12823" max="12823" width="6.25" style="10" customWidth="1"/>
    <col min="12824" max="12824" width="14.625" style="10" customWidth="1"/>
    <col min="12825" max="12825" width="43.5" style="10" bestFit="1" customWidth="1"/>
    <col min="12826" max="12832" width="8.25" style="10" customWidth="1"/>
    <col min="12833" max="13056" width="8.75" style="10"/>
    <col min="13057" max="13057" width="15.75" style="10" customWidth="1"/>
    <col min="13058" max="13059" width="10.125" style="10" customWidth="1"/>
    <col min="13060" max="13060" width="13.375" style="10" customWidth="1"/>
    <col min="13061" max="13062" width="6.125" style="10" customWidth="1"/>
    <col min="13063" max="13063" width="8.125" style="10" customWidth="1"/>
    <col min="13064" max="13065" width="6.125" style="10" customWidth="1"/>
    <col min="13066" max="13066" width="7.625" style="10" customWidth="1"/>
    <col min="13067" max="13067" width="7.25" style="10" customWidth="1"/>
    <col min="13068" max="13072" width="8.75" style="10" customWidth="1"/>
    <col min="13073" max="13074" width="7.25" style="10" customWidth="1"/>
    <col min="13075" max="13075" width="8.5" style="10" customWidth="1"/>
    <col min="13076" max="13076" width="6.875" style="10" bestFit="1" customWidth="1"/>
    <col min="13077" max="13077" width="9" style="10" customWidth="1"/>
    <col min="13078" max="13078" width="9.375" style="10" customWidth="1"/>
    <col min="13079" max="13079" width="6.25" style="10" customWidth="1"/>
    <col min="13080" max="13080" width="14.625" style="10" customWidth="1"/>
    <col min="13081" max="13081" width="43.5" style="10" bestFit="1" customWidth="1"/>
    <col min="13082" max="13088" width="8.25" style="10" customWidth="1"/>
    <col min="13089" max="13312" width="8.75" style="10"/>
    <col min="13313" max="13313" width="15.75" style="10" customWidth="1"/>
    <col min="13314" max="13315" width="10.125" style="10" customWidth="1"/>
    <col min="13316" max="13316" width="13.375" style="10" customWidth="1"/>
    <col min="13317" max="13318" width="6.125" style="10" customWidth="1"/>
    <col min="13319" max="13319" width="8.125" style="10" customWidth="1"/>
    <col min="13320" max="13321" width="6.125" style="10" customWidth="1"/>
    <col min="13322" max="13322" width="7.625" style="10" customWidth="1"/>
    <col min="13323" max="13323" width="7.25" style="10" customWidth="1"/>
    <col min="13324" max="13328" width="8.75" style="10" customWidth="1"/>
    <col min="13329" max="13330" width="7.25" style="10" customWidth="1"/>
    <col min="13331" max="13331" width="8.5" style="10" customWidth="1"/>
    <col min="13332" max="13332" width="6.875" style="10" bestFit="1" customWidth="1"/>
    <col min="13333" max="13333" width="9" style="10" customWidth="1"/>
    <col min="13334" max="13334" width="9.375" style="10" customWidth="1"/>
    <col min="13335" max="13335" width="6.25" style="10" customWidth="1"/>
    <col min="13336" max="13336" width="14.625" style="10" customWidth="1"/>
    <col min="13337" max="13337" width="43.5" style="10" bestFit="1" customWidth="1"/>
    <col min="13338" max="13344" width="8.25" style="10" customWidth="1"/>
    <col min="13345" max="13568" width="8.75" style="10"/>
    <col min="13569" max="13569" width="15.75" style="10" customWidth="1"/>
    <col min="13570" max="13571" width="10.125" style="10" customWidth="1"/>
    <col min="13572" max="13572" width="13.375" style="10" customWidth="1"/>
    <col min="13573" max="13574" width="6.125" style="10" customWidth="1"/>
    <col min="13575" max="13575" width="8.125" style="10" customWidth="1"/>
    <col min="13576" max="13577" width="6.125" style="10" customWidth="1"/>
    <col min="13578" max="13578" width="7.625" style="10" customWidth="1"/>
    <col min="13579" max="13579" width="7.25" style="10" customWidth="1"/>
    <col min="13580" max="13584" width="8.75" style="10" customWidth="1"/>
    <col min="13585" max="13586" width="7.25" style="10" customWidth="1"/>
    <col min="13587" max="13587" width="8.5" style="10" customWidth="1"/>
    <col min="13588" max="13588" width="6.875" style="10" bestFit="1" customWidth="1"/>
    <col min="13589" max="13589" width="9" style="10" customWidth="1"/>
    <col min="13590" max="13590" width="9.375" style="10" customWidth="1"/>
    <col min="13591" max="13591" width="6.25" style="10" customWidth="1"/>
    <col min="13592" max="13592" width="14.625" style="10" customWidth="1"/>
    <col min="13593" max="13593" width="43.5" style="10" bestFit="1" customWidth="1"/>
    <col min="13594" max="13600" width="8.25" style="10" customWidth="1"/>
    <col min="13601" max="13824" width="8.75" style="10"/>
    <col min="13825" max="13825" width="15.75" style="10" customWidth="1"/>
    <col min="13826" max="13827" width="10.125" style="10" customWidth="1"/>
    <col min="13828" max="13828" width="13.375" style="10" customWidth="1"/>
    <col min="13829" max="13830" width="6.125" style="10" customWidth="1"/>
    <col min="13831" max="13831" width="8.125" style="10" customWidth="1"/>
    <col min="13832" max="13833" width="6.125" style="10" customWidth="1"/>
    <col min="13834" max="13834" width="7.625" style="10" customWidth="1"/>
    <col min="13835" max="13835" width="7.25" style="10" customWidth="1"/>
    <col min="13836" max="13840" width="8.75" style="10" customWidth="1"/>
    <col min="13841" max="13842" width="7.25" style="10" customWidth="1"/>
    <col min="13843" max="13843" width="8.5" style="10" customWidth="1"/>
    <col min="13844" max="13844" width="6.875" style="10" bestFit="1" customWidth="1"/>
    <col min="13845" max="13845" width="9" style="10" customWidth="1"/>
    <col min="13846" max="13846" width="9.375" style="10" customWidth="1"/>
    <col min="13847" max="13847" width="6.25" style="10" customWidth="1"/>
    <col min="13848" max="13848" width="14.625" style="10" customWidth="1"/>
    <col min="13849" max="13849" width="43.5" style="10" bestFit="1" customWidth="1"/>
    <col min="13850" max="13856" width="8.25" style="10" customWidth="1"/>
    <col min="13857" max="14080" width="8.75" style="10"/>
    <col min="14081" max="14081" width="15.75" style="10" customWidth="1"/>
    <col min="14082" max="14083" width="10.125" style="10" customWidth="1"/>
    <col min="14084" max="14084" width="13.375" style="10" customWidth="1"/>
    <col min="14085" max="14086" width="6.125" style="10" customWidth="1"/>
    <col min="14087" max="14087" width="8.125" style="10" customWidth="1"/>
    <col min="14088" max="14089" width="6.125" style="10" customWidth="1"/>
    <col min="14090" max="14090" width="7.625" style="10" customWidth="1"/>
    <col min="14091" max="14091" width="7.25" style="10" customWidth="1"/>
    <col min="14092" max="14096" width="8.75" style="10" customWidth="1"/>
    <col min="14097" max="14098" width="7.25" style="10" customWidth="1"/>
    <col min="14099" max="14099" width="8.5" style="10" customWidth="1"/>
    <col min="14100" max="14100" width="6.875" style="10" bestFit="1" customWidth="1"/>
    <col min="14101" max="14101" width="9" style="10" customWidth="1"/>
    <col min="14102" max="14102" width="9.375" style="10" customWidth="1"/>
    <col min="14103" max="14103" width="6.25" style="10" customWidth="1"/>
    <col min="14104" max="14104" width="14.625" style="10" customWidth="1"/>
    <col min="14105" max="14105" width="43.5" style="10" bestFit="1" customWidth="1"/>
    <col min="14106" max="14112" width="8.25" style="10" customWidth="1"/>
    <col min="14113" max="14336" width="8.75" style="10"/>
    <col min="14337" max="14337" width="15.75" style="10" customWidth="1"/>
    <col min="14338" max="14339" width="10.125" style="10" customWidth="1"/>
    <col min="14340" max="14340" width="13.375" style="10" customWidth="1"/>
    <col min="14341" max="14342" width="6.125" style="10" customWidth="1"/>
    <col min="14343" max="14343" width="8.125" style="10" customWidth="1"/>
    <col min="14344" max="14345" width="6.125" style="10" customWidth="1"/>
    <col min="14346" max="14346" width="7.625" style="10" customWidth="1"/>
    <col min="14347" max="14347" width="7.25" style="10" customWidth="1"/>
    <col min="14348" max="14352" width="8.75" style="10" customWidth="1"/>
    <col min="14353" max="14354" width="7.25" style="10" customWidth="1"/>
    <col min="14355" max="14355" width="8.5" style="10" customWidth="1"/>
    <col min="14356" max="14356" width="6.875" style="10" bestFit="1" customWidth="1"/>
    <col min="14357" max="14357" width="9" style="10" customWidth="1"/>
    <col min="14358" max="14358" width="9.375" style="10" customWidth="1"/>
    <col min="14359" max="14359" width="6.25" style="10" customWidth="1"/>
    <col min="14360" max="14360" width="14.625" style="10" customWidth="1"/>
    <col min="14361" max="14361" width="43.5" style="10" bestFit="1" customWidth="1"/>
    <col min="14362" max="14368" width="8.25" style="10" customWidth="1"/>
    <col min="14369" max="14592" width="8.75" style="10"/>
    <col min="14593" max="14593" width="15.75" style="10" customWidth="1"/>
    <col min="14594" max="14595" width="10.125" style="10" customWidth="1"/>
    <col min="14596" max="14596" width="13.375" style="10" customWidth="1"/>
    <col min="14597" max="14598" width="6.125" style="10" customWidth="1"/>
    <col min="14599" max="14599" width="8.125" style="10" customWidth="1"/>
    <col min="14600" max="14601" width="6.125" style="10" customWidth="1"/>
    <col min="14602" max="14602" width="7.625" style="10" customWidth="1"/>
    <col min="14603" max="14603" width="7.25" style="10" customWidth="1"/>
    <col min="14604" max="14608" width="8.75" style="10" customWidth="1"/>
    <col min="14609" max="14610" width="7.25" style="10" customWidth="1"/>
    <col min="14611" max="14611" width="8.5" style="10" customWidth="1"/>
    <col min="14612" max="14612" width="6.875" style="10" bestFit="1" customWidth="1"/>
    <col min="14613" max="14613" width="9" style="10" customWidth="1"/>
    <col min="14614" max="14614" width="9.375" style="10" customWidth="1"/>
    <col min="14615" max="14615" width="6.25" style="10" customWidth="1"/>
    <col min="14616" max="14616" width="14.625" style="10" customWidth="1"/>
    <col min="14617" max="14617" width="43.5" style="10" bestFit="1" customWidth="1"/>
    <col min="14618" max="14624" width="8.25" style="10" customWidth="1"/>
    <col min="14625" max="14848" width="8.75" style="10"/>
    <col min="14849" max="14849" width="15.75" style="10" customWidth="1"/>
    <col min="14850" max="14851" width="10.125" style="10" customWidth="1"/>
    <col min="14852" max="14852" width="13.375" style="10" customWidth="1"/>
    <col min="14853" max="14854" width="6.125" style="10" customWidth="1"/>
    <col min="14855" max="14855" width="8.125" style="10" customWidth="1"/>
    <col min="14856" max="14857" width="6.125" style="10" customWidth="1"/>
    <col min="14858" max="14858" width="7.625" style="10" customWidth="1"/>
    <col min="14859" max="14859" width="7.25" style="10" customWidth="1"/>
    <col min="14860" max="14864" width="8.75" style="10" customWidth="1"/>
    <col min="14865" max="14866" width="7.25" style="10" customWidth="1"/>
    <col min="14867" max="14867" width="8.5" style="10" customWidth="1"/>
    <col min="14868" max="14868" width="6.875" style="10" bestFit="1" customWidth="1"/>
    <col min="14869" max="14869" width="9" style="10" customWidth="1"/>
    <col min="14870" max="14870" width="9.375" style="10" customWidth="1"/>
    <col min="14871" max="14871" width="6.25" style="10" customWidth="1"/>
    <col min="14872" max="14872" width="14.625" style="10" customWidth="1"/>
    <col min="14873" max="14873" width="43.5" style="10" bestFit="1" customWidth="1"/>
    <col min="14874" max="14880" width="8.25" style="10" customWidth="1"/>
    <col min="14881" max="15104" width="8.75" style="10"/>
    <col min="15105" max="15105" width="15.75" style="10" customWidth="1"/>
    <col min="15106" max="15107" width="10.125" style="10" customWidth="1"/>
    <col min="15108" max="15108" width="13.375" style="10" customWidth="1"/>
    <col min="15109" max="15110" width="6.125" style="10" customWidth="1"/>
    <col min="15111" max="15111" width="8.125" style="10" customWidth="1"/>
    <col min="15112" max="15113" width="6.125" style="10" customWidth="1"/>
    <col min="15114" max="15114" width="7.625" style="10" customWidth="1"/>
    <col min="15115" max="15115" width="7.25" style="10" customWidth="1"/>
    <col min="15116" max="15120" width="8.75" style="10" customWidth="1"/>
    <col min="15121" max="15122" width="7.25" style="10" customWidth="1"/>
    <col min="15123" max="15123" width="8.5" style="10" customWidth="1"/>
    <col min="15124" max="15124" width="6.875" style="10" bestFit="1" customWidth="1"/>
    <col min="15125" max="15125" width="9" style="10" customWidth="1"/>
    <col min="15126" max="15126" width="9.375" style="10" customWidth="1"/>
    <col min="15127" max="15127" width="6.25" style="10" customWidth="1"/>
    <col min="15128" max="15128" width="14.625" style="10" customWidth="1"/>
    <col min="15129" max="15129" width="43.5" style="10" bestFit="1" customWidth="1"/>
    <col min="15130" max="15136" width="8.25" style="10" customWidth="1"/>
    <col min="15137" max="15360" width="8.75" style="10"/>
    <col min="15361" max="15361" width="15.75" style="10" customWidth="1"/>
    <col min="15362" max="15363" width="10.125" style="10" customWidth="1"/>
    <col min="15364" max="15364" width="13.375" style="10" customWidth="1"/>
    <col min="15365" max="15366" width="6.125" style="10" customWidth="1"/>
    <col min="15367" max="15367" width="8.125" style="10" customWidth="1"/>
    <col min="15368" max="15369" width="6.125" style="10" customWidth="1"/>
    <col min="15370" max="15370" width="7.625" style="10" customWidth="1"/>
    <col min="15371" max="15371" width="7.25" style="10" customWidth="1"/>
    <col min="15372" max="15376" width="8.75" style="10" customWidth="1"/>
    <col min="15377" max="15378" width="7.25" style="10" customWidth="1"/>
    <col min="15379" max="15379" width="8.5" style="10" customWidth="1"/>
    <col min="15380" max="15380" width="6.875" style="10" bestFit="1" customWidth="1"/>
    <col min="15381" max="15381" width="9" style="10" customWidth="1"/>
    <col min="15382" max="15382" width="9.375" style="10" customWidth="1"/>
    <col min="15383" max="15383" width="6.25" style="10" customWidth="1"/>
    <col min="15384" max="15384" width="14.625" style="10" customWidth="1"/>
    <col min="15385" max="15385" width="43.5" style="10" bestFit="1" customWidth="1"/>
    <col min="15386" max="15392" width="8.25" style="10" customWidth="1"/>
    <col min="15393" max="15616" width="8.75" style="10"/>
    <col min="15617" max="15617" width="15.75" style="10" customWidth="1"/>
    <col min="15618" max="15619" width="10.125" style="10" customWidth="1"/>
    <col min="15620" max="15620" width="13.375" style="10" customWidth="1"/>
    <col min="15621" max="15622" width="6.125" style="10" customWidth="1"/>
    <col min="15623" max="15623" width="8.125" style="10" customWidth="1"/>
    <col min="15624" max="15625" width="6.125" style="10" customWidth="1"/>
    <col min="15626" max="15626" width="7.625" style="10" customWidth="1"/>
    <col min="15627" max="15627" width="7.25" style="10" customWidth="1"/>
    <col min="15628" max="15632" width="8.75" style="10" customWidth="1"/>
    <col min="15633" max="15634" width="7.25" style="10" customWidth="1"/>
    <col min="15635" max="15635" width="8.5" style="10" customWidth="1"/>
    <col min="15636" max="15636" width="6.875" style="10" bestFit="1" customWidth="1"/>
    <col min="15637" max="15637" width="9" style="10" customWidth="1"/>
    <col min="15638" max="15638" width="9.375" style="10" customWidth="1"/>
    <col min="15639" max="15639" width="6.25" style="10" customWidth="1"/>
    <col min="15640" max="15640" width="14.625" style="10" customWidth="1"/>
    <col min="15641" max="15641" width="43.5" style="10" bestFit="1" customWidth="1"/>
    <col min="15642" max="15648" width="8.25" style="10" customWidth="1"/>
    <col min="15649" max="15872" width="8.75" style="10"/>
    <col min="15873" max="15873" width="15.75" style="10" customWidth="1"/>
    <col min="15874" max="15875" width="10.125" style="10" customWidth="1"/>
    <col min="15876" max="15876" width="13.375" style="10" customWidth="1"/>
    <col min="15877" max="15878" width="6.125" style="10" customWidth="1"/>
    <col min="15879" max="15879" width="8.125" style="10" customWidth="1"/>
    <col min="15880" max="15881" width="6.125" style="10" customWidth="1"/>
    <col min="15882" max="15882" width="7.625" style="10" customWidth="1"/>
    <col min="15883" max="15883" width="7.25" style="10" customWidth="1"/>
    <col min="15884" max="15888" width="8.75" style="10" customWidth="1"/>
    <col min="15889" max="15890" width="7.25" style="10" customWidth="1"/>
    <col min="15891" max="15891" width="8.5" style="10" customWidth="1"/>
    <col min="15892" max="15892" width="6.875" style="10" bestFit="1" customWidth="1"/>
    <col min="15893" max="15893" width="9" style="10" customWidth="1"/>
    <col min="15894" max="15894" width="9.375" style="10" customWidth="1"/>
    <col min="15895" max="15895" width="6.25" style="10" customWidth="1"/>
    <col min="15896" max="15896" width="14.625" style="10" customWidth="1"/>
    <col min="15897" max="15897" width="43.5" style="10" bestFit="1" customWidth="1"/>
    <col min="15898" max="15904" width="8.25" style="10" customWidth="1"/>
    <col min="15905" max="16128" width="8.75" style="10"/>
    <col min="16129" max="16129" width="15.75" style="10" customWidth="1"/>
    <col min="16130" max="16131" width="10.125" style="10" customWidth="1"/>
    <col min="16132" max="16132" width="13.375" style="10" customWidth="1"/>
    <col min="16133" max="16134" width="6.125" style="10" customWidth="1"/>
    <col min="16135" max="16135" width="8.125" style="10" customWidth="1"/>
    <col min="16136" max="16137" width="6.125" style="10" customWidth="1"/>
    <col min="16138" max="16138" width="7.625" style="10" customWidth="1"/>
    <col min="16139" max="16139" width="7.25" style="10" customWidth="1"/>
    <col min="16140" max="16144" width="8.75" style="10" customWidth="1"/>
    <col min="16145" max="16146" width="7.25" style="10" customWidth="1"/>
    <col min="16147" max="16147" width="8.5" style="10" customWidth="1"/>
    <col min="16148" max="16148" width="6.875" style="10" bestFit="1" customWidth="1"/>
    <col min="16149" max="16149" width="9" style="10" customWidth="1"/>
    <col min="16150" max="16150" width="9.375" style="10" customWidth="1"/>
    <col min="16151" max="16151" width="6.25" style="10" customWidth="1"/>
    <col min="16152" max="16152" width="14.625" style="10" customWidth="1"/>
    <col min="16153" max="16153" width="43.5" style="10" bestFit="1" customWidth="1"/>
    <col min="16154" max="16160" width="8.25" style="10" customWidth="1"/>
    <col min="16161" max="16384" width="8.75" style="10"/>
  </cols>
  <sheetData>
    <row r="1" spans="1:32" s="2" customFormat="1" ht="17.850000000000001" customHeight="1">
      <c r="A1" s="68" t="s">
        <v>11</v>
      </c>
      <c r="B1" s="68"/>
      <c r="C1" s="68"/>
      <c r="D1" s="68"/>
      <c r="E1" s="68"/>
      <c r="F1" s="68"/>
      <c r="G1" s="5"/>
      <c r="H1" s="5"/>
      <c r="I1" s="5"/>
      <c r="J1" s="5"/>
      <c r="K1" s="5"/>
      <c r="L1" s="5"/>
      <c r="M1" s="5"/>
      <c r="N1" s="60"/>
      <c r="O1" s="60"/>
      <c r="P1" s="60"/>
      <c r="Q1" s="60"/>
      <c r="R1" s="61"/>
      <c r="S1" s="61"/>
      <c r="T1" s="183"/>
      <c r="U1" s="183"/>
      <c r="V1" s="63"/>
      <c r="W1" s="61"/>
      <c r="X1" s="61"/>
      <c r="Y1" s="62"/>
      <c r="Z1" s="146"/>
      <c r="AA1" s="64"/>
      <c r="AB1" s="64"/>
      <c r="AC1" s="64"/>
      <c r="AD1" s="64"/>
      <c r="AE1" s="64"/>
      <c r="AF1" s="64"/>
    </row>
    <row r="2" spans="1:32" ht="16.149999999999999" customHeight="1">
      <c r="A2" s="151" t="s">
        <v>12</v>
      </c>
      <c r="B2" s="68"/>
      <c r="C2" s="68"/>
      <c r="D2" s="152"/>
      <c r="E2" s="152"/>
      <c r="F2" s="68"/>
      <c r="G2" s="5"/>
      <c r="H2" s="5"/>
      <c r="I2" s="5"/>
      <c r="J2" s="6"/>
      <c r="K2" s="12"/>
      <c r="L2" s="5" t="s">
        <v>13</v>
      </c>
      <c r="M2" s="5"/>
      <c r="N2" s="60"/>
      <c r="O2" s="60"/>
      <c r="P2" s="153" t="s">
        <v>93</v>
      </c>
      <c r="Q2" s="72"/>
      <c r="R2" s="69" t="s">
        <v>94</v>
      </c>
      <c r="S2" s="69" t="s">
        <v>45</v>
      </c>
      <c r="T2" s="69" t="s">
        <v>93</v>
      </c>
      <c r="U2" s="69" t="s">
        <v>94</v>
      </c>
      <c r="V2" s="69" t="s">
        <v>45</v>
      </c>
      <c r="W2" s="33"/>
      <c r="X2" s="32"/>
      <c r="Y2" s="65"/>
      <c r="Z2" s="146"/>
    </row>
    <row r="3" spans="1:32" ht="17.45" customHeight="1">
      <c r="A3" s="151" t="s">
        <v>87</v>
      </c>
      <c r="B3" s="68"/>
      <c r="C3" s="68"/>
      <c r="D3" s="17"/>
      <c r="E3" s="17"/>
      <c r="F3" s="17"/>
      <c r="G3" s="6" t="s">
        <v>88</v>
      </c>
      <c r="H3" s="6"/>
      <c r="I3" s="6"/>
      <c r="J3" s="6"/>
      <c r="K3" s="6"/>
      <c r="L3" s="6"/>
      <c r="M3" s="6"/>
      <c r="N3" s="69"/>
      <c r="O3" s="69"/>
      <c r="P3" s="154" t="s">
        <v>95</v>
      </c>
      <c r="Q3" s="76"/>
      <c r="R3" s="77">
        <v>2000</v>
      </c>
      <c r="S3" s="77">
        <v>3000</v>
      </c>
      <c r="T3" s="78" t="s">
        <v>96</v>
      </c>
      <c r="U3" s="79">
        <v>270</v>
      </c>
      <c r="V3" s="79">
        <v>370</v>
      </c>
      <c r="W3" s="33"/>
      <c r="X3" s="33"/>
      <c r="Y3" s="70"/>
      <c r="Z3" s="33"/>
    </row>
    <row r="4" spans="1:32" ht="13.35" customHeight="1">
      <c r="A4" s="151" t="s">
        <v>89</v>
      </c>
      <c r="B4" s="68"/>
      <c r="C4" s="68"/>
      <c r="D4" s="152"/>
      <c r="E4" s="152"/>
      <c r="F4" s="17"/>
      <c r="G4" s="6"/>
      <c r="H4" s="6"/>
      <c r="I4" s="6"/>
      <c r="J4" s="6"/>
      <c r="K4" s="6"/>
      <c r="L4" s="6"/>
      <c r="M4" s="6"/>
      <c r="N4" s="69"/>
      <c r="O4" s="69"/>
      <c r="P4" s="154" t="s">
        <v>97</v>
      </c>
      <c r="Q4" s="76"/>
      <c r="R4" s="77">
        <v>0</v>
      </c>
      <c r="S4" s="77">
        <v>7</v>
      </c>
      <c r="T4" s="78" t="s">
        <v>98</v>
      </c>
      <c r="U4" s="79">
        <v>20</v>
      </c>
      <c r="V4" s="79">
        <v>0</v>
      </c>
      <c r="W4" s="33"/>
      <c r="X4" s="33"/>
      <c r="Y4" s="70"/>
      <c r="Z4" s="33"/>
    </row>
    <row r="5" spans="1:32">
      <c r="A5" s="151" t="s">
        <v>90</v>
      </c>
      <c r="B5" s="68"/>
      <c r="C5" s="68"/>
      <c r="D5" s="152"/>
      <c r="E5" s="152"/>
      <c r="F5" s="17"/>
      <c r="G5" s="6"/>
      <c r="H5" s="6"/>
      <c r="I5" s="6"/>
      <c r="J5" s="6"/>
      <c r="K5" s="6"/>
      <c r="L5" s="6"/>
      <c r="M5" s="6"/>
      <c r="N5" s="69"/>
      <c r="O5" s="69"/>
      <c r="P5" s="154" t="s">
        <v>99</v>
      </c>
      <c r="Q5" s="76"/>
      <c r="R5" s="79">
        <v>3250</v>
      </c>
      <c r="S5" s="79">
        <v>4050</v>
      </c>
      <c r="T5" s="78" t="s">
        <v>100</v>
      </c>
      <c r="U5" s="79">
        <v>4450</v>
      </c>
      <c r="V5" s="79">
        <v>3650</v>
      </c>
      <c r="W5" s="33"/>
      <c r="X5" s="33"/>
      <c r="Y5" s="70"/>
      <c r="Z5" s="33"/>
    </row>
    <row r="6" spans="1:32">
      <c r="A6" s="151" t="s">
        <v>91</v>
      </c>
      <c r="B6" s="68"/>
      <c r="C6" s="68"/>
      <c r="D6" s="152"/>
      <c r="E6" s="152"/>
      <c r="F6" s="17"/>
      <c r="G6" s="6"/>
      <c r="H6" s="6"/>
      <c r="I6" s="6"/>
      <c r="J6" s="6"/>
      <c r="K6" s="6"/>
      <c r="L6" s="33"/>
      <c r="M6" s="33"/>
      <c r="N6" s="71"/>
      <c r="O6" s="71"/>
      <c r="P6" s="154" t="s">
        <v>97</v>
      </c>
      <c r="Q6" s="76"/>
      <c r="R6" s="79">
        <v>0</v>
      </c>
      <c r="S6" s="79">
        <v>20</v>
      </c>
      <c r="T6" s="78" t="s">
        <v>97</v>
      </c>
      <c r="U6" s="79">
        <v>7</v>
      </c>
      <c r="V6" s="79">
        <v>0</v>
      </c>
      <c r="W6" s="33"/>
      <c r="X6" s="33"/>
      <c r="Y6" s="70"/>
      <c r="Z6" s="33"/>
    </row>
    <row r="7" spans="1:32" ht="19.350000000000001" customHeight="1">
      <c r="A7" s="151" t="s">
        <v>92</v>
      </c>
      <c r="B7" s="68"/>
      <c r="C7" s="68"/>
      <c r="D7" s="152"/>
      <c r="E7" s="152"/>
      <c r="M7" s="16"/>
      <c r="N7" s="69"/>
      <c r="O7" s="69"/>
      <c r="P7" s="69"/>
      <c r="Q7" s="73"/>
      <c r="R7" s="36"/>
      <c r="S7" s="36"/>
      <c r="T7" s="184"/>
      <c r="U7" s="185"/>
      <c r="W7" s="169"/>
      <c r="X7" s="74"/>
      <c r="Y7" s="75"/>
      <c r="Z7" s="147"/>
    </row>
    <row r="8" spans="1:32" ht="19.350000000000001" customHeight="1">
      <c r="A8" s="151"/>
      <c r="B8" s="68"/>
      <c r="C8" s="68"/>
      <c r="D8" s="152"/>
      <c r="E8" s="299" t="s">
        <v>156</v>
      </c>
      <c r="F8" s="299"/>
      <c r="G8" s="299"/>
      <c r="H8" s="299"/>
      <c r="I8" s="299"/>
      <c r="J8" s="299"/>
      <c r="K8" s="299"/>
      <c r="L8" s="299"/>
      <c r="M8" s="299"/>
      <c r="N8" s="237"/>
      <c r="O8" s="237"/>
      <c r="P8" s="237"/>
      <c r="Q8" s="12"/>
      <c r="R8" s="36"/>
      <c r="S8" s="36"/>
      <c r="T8" s="184"/>
      <c r="U8" s="185"/>
      <c r="W8" s="169"/>
      <c r="X8" s="74"/>
      <c r="Y8" s="75"/>
      <c r="Z8" s="147"/>
    </row>
    <row r="9" spans="1:32" s="132" customFormat="1" ht="15">
      <c r="A9" s="130"/>
      <c r="B9" s="131"/>
      <c r="C9" s="300" t="s">
        <v>160</v>
      </c>
      <c r="D9" s="239" t="s">
        <v>158</v>
      </c>
      <c r="E9" s="239">
        <v>-15.458461</v>
      </c>
      <c r="F9" s="239">
        <v>-81.200944000000007</v>
      </c>
      <c r="G9" s="239">
        <v>-59.286783</v>
      </c>
      <c r="H9" s="239">
        <v>-15.458461</v>
      </c>
      <c r="I9" s="239">
        <v>6.4557000000000002</v>
      </c>
      <c r="J9" s="239">
        <v>28.369861</v>
      </c>
      <c r="K9" s="239">
        <v>50.284022</v>
      </c>
      <c r="L9" s="239">
        <v>-15.458461</v>
      </c>
      <c r="M9" s="239">
        <v>-15.458461</v>
      </c>
      <c r="N9" s="205"/>
      <c r="O9" s="205"/>
      <c r="P9" s="205"/>
      <c r="Q9" s="205"/>
      <c r="R9" s="186"/>
      <c r="S9" s="186"/>
      <c r="T9" s="187"/>
      <c r="U9" s="186"/>
      <c r="V9" s="136"/>
      <c r="W9" s="133"/>
      <c r="X9" s="134"/>
      <c r="Y9" s="136"/>
      <c r="Z9" s="136"/>
      <c r="AA9" s="135"/>
      <c r="AB9" s="135"/>
      <c r="AC9" s="136"/>
      <c r="AD9" s="136"/>
    </row>
    <row r="10" spans="1:32" s="132" customFormat="1" ht="15">
      <c r="A10" s="230"/>
      <c r="B10" s="231"/>
      <c r="C10" s="301"/>
      <c r="D10" s="239" t="s">
        <v>159</v>
      </c>
      <c r="E10" s="239">
        <v>48.759875999999998</v>
      </c>
      <c r="F10" s="239">
        <v>4.9215</v>
      </c>
      <c r="G10" s="239">
        <v>4.9215</v>
      </c>
      <c r="H10" s="239">
        <v>4.9215</v>
      </c>
      <c r="I10" s="239">
        <v>4.9215</v>
      </c>
      <c r="J10" s="239">
        <v>4.9215</v>
      </c>
      <c r="K10" s="239">
        <v>4.9215</v>
      </c>
      <c r="L10" s="239">
        <v>-16.997688</v>
      </c>
      <c r="M10" s="239">
        <v>-16.997688</v>
      </c>
      <c r="N10" s="205"/>
      <c r="O10" s="205"/>
      <c r="P10" s="205"/>
      <c r="Q10" s="205"/>
      <c r="R10" s="186"/>
      <c r="S10" s="186"/>
      <c r="T10" s="187"/>
      <c r="U10" s="186"/>
      <c r="V10" s="232"/>
      <c r="W10" s="233"/>
      <c r="X10" s="234"/>
      <c r="Y10" s="235"/>
      <c r="Z10" s="235"/>
      <c r="AA10" s="236"/>
      <c r="AB10" s="236"/>
      <c r="AC10" s="232"/>
      <c r="AD10" s="232"/>
    </row>
    <row r="11" spans="1:32" s="132" customFormat="1" ht="15">
      <c r="A11" s="230"/>
      <c r="B11" s="231"/>
      <c r="C11" s="300" t="s">
        <v>117</v>
      </c>
      <c r="D11" s="239" t="s">
        <v>158</v>
      </c>
      <c r="E11" s="239">
        <v>0</v>
      </c>
      <c r="F11" s="239">
        <v>0</v>
      </c>
      <c r="G11" s="239">
        <v>0</v>
      </c>
      <c r="H11" s="239">
        <v>0</v>
      </c>
      <c r="I11" s="239">
        <v>0</v>
      </c>
      <c r="J11" s="239">
        <v>-90</v>
      </c>
      <c r="K11" s="239">
        <v>-30.06</v>
      </c>
      <c r="L11" s="239">
        <v>30.06</v>
      </c>
      <c r="M11" s="239">
        <v>90</v>
      </c>
      <c r="N11" s="241">
        <v>-30.06</v>
      </c>
      <c r="O11" s="239">
        <v>30.06</v>
      </c>
      <c r="P11" s="239">
        <v>-30.06</v>
      </c>
      <c r="Q11" s="239">
        <v>30.06</v>
      </c>
      <c r="R11" s="186"/>
      <c r="S11" s="186"/>
      <c r="T11" s="187"/>
      <c r="U11" s="186"/>
      <c r="V11" s="232"/>
      <c r="W11" s="233"/>
      <c r="X11" s="234"/>
      <c r="Y11" s="235"/>
      <c r="Z11" s="235"/>
      <c r="AA11" s="236"/>
      <c r="AB11" s="236"/>
      <c r="AC11" s="232"/>
      <c r="AD11" s="232"/>
    </row>
    <row r="12" spans="1:32" s="132" customFormat="1" ht="15">
      <c r="A12" s="230"/>
      <c r="B12" s="231"/>
      <c r="C12" s="301"/>
      <c r="D12" s="239" t="s">
        <v>159</v>
      </c>
      <c r="E12" s="239">
        <v>90</v>
      </c>
      <c r="F12" s="239">
        <v>30.06</v>
      </c>
      <c r="G12" s="239">
        <v>0</v>
      </c>
      <c r="H12" s="239">
        <v>-30.06</v>
      </c>
      <c r="I12" s="239">
        <v>-90</v>
      </c>
      <c r="J12" s="239">
        <v>0</v>
      </c>
      <c r="K12" s="239">
        <v>0</v>
      </c>
      <c r="L12" s="239">
        <v>0</v>
      </c>
      <c r="M12" s="239">
        <v>0</v>
      </c>
      <c r="N12" s="239">
        <v>30.06</v>
      </c>
      <c r="O12" s="239">
        <v>-30.06</v>
      </c>
      <c r="P12" s="239">
        <v>-30.06</v>
      </c>
      <c r="Q12" s="239">
        <v>30.06</v>
      </c>
      <c r="R12" s="186"/>
      <c r="S12" s="186"/>
      <c r="T12" s="187"/>
      <c r="U12" s="186"/>
      <c r="V12" s="232"/>
      <c r="W12" s="233"/>
      <c r="X12" s="234"/>
      <c r="Y12" s="235"/>
      <c r="Z12" s="235"/>
      <c r="AA12" s="236"/>
      <c r="AB12" s="236"/>
      <c r="AC12" s="232"/>
      <c r="AD12" s="232"/>
    </row>
    <row r="13" spans="1:32" s="132" customFormat="1" ht="15">
      <c r="A13" s="230"/>
      <c r="B13" s="231"/>
      <c r="C13" s="300" t="s">
        <v>119</v>
      </c>
      <c r="D13" s="239" t="s">
        <v>158</v>
      </c>
      <c r="E13" s="239">
        <v>-19.472294000000002</v>
      </c>
      <c r="F13" s="239">
        <v>-19.472294000000002</v>
      </c>
      <c r="G13" s="239">
        <v>-19.472294000000002</v>
      </c>
      <c r="H13" s="239">
        <v>-19.472294000000002</v>
      </c>
      <c r="I13" s="239">
        <v>-19.472294000000002</v>
      </c>
      <c r="J13" s="239">
        <v>-85.206175999999999</v>
      </c>
      <c r="K13" s="239">
        <v>-41.383588000000003</v>
      </c>
      <c r="L13" s="239">
        <v>24.350294000000002</v>
      </c>
      <c r="M13" s="239">
        <v>68.172882000000001</v>
      </c>
      <c r="N13" s="205"/>
      <c r="O13" s="205"/>
      <c r="P13" s="205"/>
      <c r="Q13" s="205"/>
      <c r="R13" s="186"/>
      <c r="S13" s="186"/>
      <c r="T13" s="187"/>
      <c r="U13" s="186"/>
      <c r="V13" s="232"/>
      <c r="W13" s="233"/>
      <c r="X13" s="234"/>
      <c r="Y13" s="235"/>
      <c r="Z13" s="235"/>
      <c r="AA13" s="236"/>
      <c r="AB13" s="236"/>
      <c r="AC13" s="232"/>
      <c r="AD13" s="232"/>
    </row>
    <row r="14" spans="1:32" s="132" customFormat="1" ht="15">
      <c r="A14" s="230"/>
      <c r="B14" s="231"/>
      <c r="C14" s="301"/>
      <c r="D14" s="239" t="s">
        <v>159</v>
      </c>
      <c r="E14" s="239">
        <v>79.875450999999998</v>
      </c>
      <c r="F14" s="239">
        <v>36.039217000000001</v>
      </c>
      <c r="G14" s="239">
        <v>-7.7970170000000003</v>
      </c>
      <c r="H14" s="239">
        <v>-29.715133999999999</v>
      </c>
      <c r="I14" s="239">
        <v>-73.551367999999997</v>
      </c>
      <c r="J14" s="239">
        <v>-7.7970170000000003</v>
      </c>
      <c r="K14" s="239">
        <v>-7.7970170000000003</v>
      </c>
      <c r="L14" s="239">
        <v>-7.7970170000000003</v>
      </c>
      <c r="M14" s="239">
        <v>-7.7970170000000003</v>
      </c>
      <c r="N14" s="205"/>
      <c r="O14" s="205"/>
      <c r="P14" s="205"/>
      <c r="Q14" s="205"/>
      <c r="R14" s="186"/>
      <c r="S14" s="186"/>
      <c r="T14" s="187"/>
      <c r="U14" s="186"/>
      <c r="V14" s="232"/>
      <c r="W14" s="233"/>
      <c r="X14" s="234"/>
      <c r="Y14" s="235"/>
      <c r="Z14" s="235"/>
      <c r="AA14" s="236"/>
      <c r="AB14" s="236"/>
      <c r="AC14" s="232"/>
      <c r="AD14" s="232"/>
    </row>
    <row r="15" spans="1:32" s="132" customFormat="1" ht="15">
      <c r="A15" s="230"/>
      <c r="B15" s="231"/>
      <c r="C15" s="300" t="s">
        <v>121</v>
      </c>
      <c r="D15" s="239" t="s">
        <v>158</v>
      </c>
      <c r="E15" s="239">
        <v>0</v>
      </c>
      <c r="F15" s="239">
        <v>0</v>
      </c>
      <c r="G15" s="239">
        <v>0</v>
      </c>
      <c r="H15" s="239">
        <v>0</v>
      </c>
      <c r="I15" s="239">
        <v>0</v>
      </c>
      <c r="J15" s="239">
        <v>-90</v>
      </c>
      <c r="K15" s="239">
        <v>-45</v>
      </c>
      <c r="L15" s="239">
        <v>45</v>
      </c>
      <c r="M15" s="239">
        <v>90</v>
      </c>
      <c r="N15" s="205"/>
      <c r="O15" s="205"/>
      <c r="P15" s="205"/>
      <c r="Q15" s="205"/>
      <c r="R15" s="186"/>
      <c r="S15" s="186"/>
      <c r="T15" s="187"/>
      <c r="U15" s="186"/>
      <c r="V15" s="232"/>
      <c r="W15" s="233"/>
      <c r="X15" s="234"/>
      <c r="Y15" s="235"/>
      <c r="Z15" s="235"/>
      <c r="AA15" s="236"/>
      <c r="AB15" s="236"/>
      <c r="AC15" s="232"/>
      <c r="AD15" s="232"/>
    </row>
    <row r="16" spans="1:32" s="132" customFormat="1" ht="15.75" thickBot="1">
      <c r="A16" s="230"/>
      <c r="B16" s="231"/>
      <c r="C16" s="302"/>
      <c r="D16" s="240" t="s">
        <v>159</v>
      </c>
      <c r="E16" s="240">
        <v>90</v>
      </c>
      <c r="F16" s="240">
        <v>45</v>
      </c>
      <c r="G16" s="240">
        <v>0</v>
      </c>
      <c r="H16" s="240">
        <v>-45</v>
      </c>
      <c r="I16" s="240">
        <v>-90</v>
      </c>
      <c r="J16" s="240">
        <v>0</v>
      </c>
      <c r="K16" s="240">
        <v>0</v>
      </c>
      <c r="L16" s="240">
        <v>0</v>
      </c>
      <c r="M16" s="240">
        <v>0</v>
      </c>
      <c r="N16" s="205"/>
      <c r="O16" s="205"/>
      <c r="P16" s="205"/>
      <c r="Q16" s="205"/>
      <c r="R16" s="186"/>
      <c r="S16" s="186"/>
      <c r="T16" s="187"/>
      <c r="U16" s="186"/>
      <c r="V16" s="232"/>
      <c r="W16" s="233"/>
      <c r="X16" s="234"/>
      <c r="Y16" s="235"/>
      <c r="Z16" s="235"/>
      <c r="AA16" s="236"/>
      <c r="AB16" s="236"/>
      <c r="AC16" s="232"/>
      <c r="AD16" s="232"/>
    </row>
    <row r="17" spans="1:34" s="145" customFormat="1" ht="57.75" customHeight="1" thickBot="1">
      <c r="A17" s="137" t="s">
        <v>149</v>
      </c>
      <c r="B17" s="138" t="s">
        <v>101</v>
      </c>
      <c r="C17" s="138" t="s">
        <v>102</v>
      </c>
      <c r="D17" s="238" t="s">
        <v>111</v>
      </c>
      <c r="E17" s="238">
        <v>1</v>
      </c>
      <c r="F17" s="238">
        <v>2</v>
      </c>
      <c r="G17" s="238">
        <v>3</v>
      </c>
      <c r="H17" s="238">
        <v>4</v>
      </c>
      <c r="I17" s="238">
        <v>5</v>
      </c>
      <c r="J17" s="238">
        <v>6</v>
      </c>
      <c r="K17" s="238">
        <v>7</v>
      </c>
      <c r="L17" s="238">
        <v>8</v>
      </c>
      <c r="M17" s="238">
        <v>9</v>
      </c>
      <c r="N17" s="138">
        <v>10</v>
      </c>
      <c r="O17" s="138">
        <v>11</v>
      </c>
      <c r="P17" s="138">
        <v>12</v>
      </c>
      <c r="Q17" s="138">
        <v>13</v>
      </c>
      <c r="R17" s="139" t="s">
        <v>104</v>
      </c>
      <c r="S17" s="139" t="s">
        <v>105</v>
      </c>
      <c r="T17" s="138" t="s">
        <v>150</v>
      </c>
      <c r="U17" s="140" t="s">
        <v>155</v>
      </c>
      <c r="V17" s="140" t="s">
        <v>103</v>
      </c>
      <c r="W17" s="141" t="s">
        <v>29</v>
      </c>
      <c r="X17" s="138" t="s">
        <v>106</v>
      </c>
      <c r="Y17" s="142" t="s">
        <v>151</v>
      </c>
      <c r="Z17" s="142" t="s">
        <v>31</v>
      </c>
      <c r="AA17" s="143" t="s">
        <v>94</v>
      </c>
      <c r="AB17" s="143" t="s">
        <v>45</v>
      </c>
      <c r="AC17" s="143" t="s">
        <v>107</v>
      </c>
      <c r="AD17" s="143" t="s">
        <v>108</v>
      </c>
      <c r="AE17" s="143" t="s">
        <v>109</v>
      </c>
      <c r="AF17" s="144" t="s">
        <v>110</v>
      </c>
    </row>
    <row r="18" spans="1:34">
      <c r="A18" s="148">
        <v>42103</v>
      </c>
      <c r="B18" s="200" t="s">
        <v>112</v>
      </c>
      <c r="C18" s="200" t="s">
        <v>113</v>
      </c>
      <c r="D18" s="201" t="s">
        <v>114</v>
      </c>
      <c r="E18" s="96">
        <v>7931.83</v>
      </c>
      <c r="F18" s="96">
        <v>8038.06</v>
      </c>
      <c r="G18" s="96">
        <v>8049.81</v>
      </c>
      <c r="H18" s="96">
        <v>8089.8</v>
      </c>
      <c r="I18" s="96">
        <v>8099.45</v>
      </c>
      <c r="J18" s="96">
        <v>8090.88</v>
      </c>
      <c r="K18" s="96">
        <v>8040.85</v>
      </c>
      <c r="L18" s="96">
        <v>8059.56</v>
      </c>
      <c r="M18" s="96">
        <v>7773.95</v>
      </c>
      <c r="N18" s="202"/>
      <c r="O18" s="202"/>
      <c r="P18" s="202"/>
      <c r="Q18" s="202"/>
      <c r="R18" s="188">
        <f>IF((M19=""),"",MAX(E20:M20))</f>
        <v>6641.3599999999988</v>
      </c>
      <c r="S18" s="188">
        <f>IF((M19=""),"",MIN(E20:M20))</f>
        <v>6020.9400000000005</v>
      </c>
      <c r="T18" s="189">
        <f>IF((M20=""),"",AVERAGE(E20:M20))</f>
        <v>6325.557777777778</v>
      </c>
      <c r="U18" s="189">
        <f>IF((M19=""),"",(R18-S18)/(R18+S18)*100)</f>
        <v>4.899741753078021</v>
      </c>
      <c r="V18" s="66">
        <f>STDEV(E20:Q20)</f>
        <v>229.41327652173837</v>
      </c>
      <c r="W18" s="170" t="str">
        <f>IF(M19="","",IF(U18&lt;6.3,IF(T18&gt;5550,IF(T18&lt;6900,"Pass","Fail"),"Fail"),"Fail"))</f>
        <v>Pass</v>
      </c>
      <c r="X18" s="203">
        <v>1400</v>
      </c>
      <c r="Y18" s="155"/>
      <c r="Z18" s="147"/>
      <c r="AA18" s="67">
        <v>5860</v>
      </c>
      <c r="AB18" s="67">
        <v>6770</v>
      </c>
      <c r="AC18" s="67">
        <v>5550</v>
      </c>
      <c r="AD18" s="67">
        <v>6900</v>
      </c>
      <c r="AE18" s="67">
        <v>20</v>
      </c>
      <c r="AF18" s="67">
        <v>6.3</v>
      </c>
      <c r="AH18" s="84"/>
    </row>
    <row r="19" spans="1:34" ht="15.75">
      <c r="A19"/>
      <c r="B19" s="82"/>
      <c r="C19" s="82"/>
      <c r="D19" s="204" t="s">
        <v>115</v>
      </c>
      <c r="E19" s="94">
        <v>4705.1899999999996</v>
      </c>
      <c r="F19" s="94">
        <v>4728.57</v>
      </c>
      <c r="G19" s="94">
        <v>4832.72</v>
      </c>
      <c r="H19" s="94">
        <v>5058.1400000000003</v>
      </c>
      <c r="I19" s="94">
        <v>5088.9799999999996</v>
      </c>
      <c r="J19" s="94">
        <v>5018.1499999999996</v>
      </c>
      <c r="K19" s="94">
        <v>4870.62</v>
      </c>
      <c r="L19" s="94">
        <v>4953.54</v>
      </c>
      <c r="M19" s="94">
        <v>4453.2700000000004</v>
      </c>
      <c r="N19" s="205"/>
      <c r="O19" s="205"/>
      <c r="P19" s="205"/>
      <c r="Q19" s="205"/>
      <c r="R19" s="190"/>
      <c r="S19" s="190"/>
      <c r="T19" s="191"/>
      <c r="U19" s="191"/>
      <c r="W19" s="171"/>
      <c r="X19" s="206"/>
      <c r="Y19" s="156"/>
      <c r="Z19" s="147"/>
    </row>
    <row r="20" spans="1:34" ht="48">
      <c r="A20"/>
      <c r="B20" s="207"/>
      <c r="C20" s="207"/>
      <c r="D20" s="204" t="s">
        <v>116</v>
      </c>
      <c r="E20" s="51">
        <f t="shared" ref="E20:M20" si="0">IF(((E18="")*AND(E19="")),"",(E18-E19)*2)</f>
        <v>6453.2800000000007</v>
      </c>
      <c r="F20" s="51">
        <f t="shared" si="0"/>
        <v>6618.9800000000014</v>
      </c>
      <c r="G20" s="51">
        <f t="shared" si="0"/>
        <v>6434.18</v>
      </c>
      <c r="H20" s="51">
        <f t="shared" si="0"/>
        <v>6063.32</v>
      </c>
      <c r="I20" s="51">
        <f t="shared" si="0"/>
        <v>6020.9400000000005</v>
      </c>
      <c r="J20" s="51">
        <f t="shared" si="0"/>
        <v>6145.4600000000009</v>
      </c>
      <c r="K20" s="51">
        <f t="shared" si="0"/>
        <v>6340.4600000000009</v>
      </c>
      <c r="L20" s="51">
        <f t="shared" si="0"/>
        <v>6212.0400000000009</v>
      </c>
      <c r="M20" s="51">
        <f t="shared" si="0"/>
        <v>6641.3599999999988</v>
      </c>
      <c r="N20" s="51"/>
      <c r="O20" s="51"/>
      <c r="P20" s="51"/>
      <c r="Q20" s="51" t="str">
        <f>IF(((Q18="")*AND(Q19="")),"",(Q18-Q19)*2)</f>
        <v/>
      </c>
      <c r="R20" s="192"/>
      <c r="S20" s="192"/>
      <c r="T20" s="193"/>
      <c r="U20" s="193"/>
      <c r="W20" s="172"/>
      <c r="X20" s="208"/>
      <c r="Y20" s="156"/>
      <c r="Z20" s="147"/>
    </row>
    <row r="21" spans="1:34">
      <c r="A21" s="149">
        <v>42103</v>
      </c>
      <c r="B21" s="81" t="s">
        <v>117</v>
      </c>
      <c r="C21" s="81" t="s">
        <v>118</v>
      </c>
      <c r="D21" s="204" t="s">
        <v>114</v>
      </c>
      <c r="E21" s="94">
        <v>2794.47</v>
      </c>
      <c r="F21" s="94">
        <v>2745.43</v>
      </c>
      <c r="G21" s="94">
        <v>2721.95</v>
      </c>
      <c r="H21" s="94">
        <v>2717.56</v>
      </c>
      <c r="I21" s="94">
        <v>2733.39</v>
      </c>
      <c r="J21" s="94">
        <v>2767.55</v>
      </c>
      <c r="K21" s="94">
        <v>2825.02</v>
      </c>
      <c r="L21" s="94">
        <v>2791.15</v>
      </c>
      <c r="M21" s="94">
        <v>2747.08</v>
      </c>
      <c r="N21" s="94">
        <v>2723.72</v>
      </c>
      <c r="O21" s="94">
        <v>2726.56</v>
      </c>
      <c r="P21" s="94">
        <v>2749.52</v>
      </c>
      <c r="Q21" s="94">
        <v>2788.53</v>
      </c>
      <c r="R21" s="194">
        <f>IF((Q22=""),"",MAX(E23:Q23))</f>
        <v>276.63000000000011</v>
      </c>
      <c r="S21" s="194">
        <f>IF(Q22="","",MIN(E23:Q23))</f>
        <v>257.92999999999984</v>
      </c>
      <c r="T21" s="195">
        <f>IF((Q23=""),"",AVERAGE(E23:Q23))</f>
        <v>268.1438461538462</v>
      </c>
      <c r="U21" s="195">
        <f>IF((Q22=""),"",(R21-S21)/(R21+S21)*100)</f>
        <v>3.4982041304999019</v>
      </c>
      <c r="V21" s="66">
        <f>STDEV(E23:Q23)</f>
        <v>6.0802419612801168</v>
      </c>
      <c r="W21" s="173" t="str">
        <f>IF(Q22="","",IF(T21&gt;242,IF(T21&lt;320,"Pass","Fail"),"Fail"))</f>
        <v>Pass</v>
      </c>
      <c r="X21" s="209">
        <v>1400</v>
      </c>
      <c r="Y21" s="156"/>
      <c r="Z21" s="147"/>
      <c r="AA21" s="67">
        <v>240</v>
      </c>
      <c r="AB21" s="67">
        <v>320</v>
      </c>
      <c r="AC21" s="67">
        <v>190</v>
      </c>
      <c r="AD21" s="67">
        <v>360</v>
      </c>
      <c r="AE21" s="67">
        <v>20</v>
      </c>
      <c r="AF21" s="67">
        <v>11</v>
      </c>
    </row>
    <row r="22" spans="1:34" ht="15.75">
      <c r="A22"/>
      <c r="B22" s="82"/>
      <c r="C22" s="82"/>
      <c r="D22" s="204" t="s">
        <v>115</v>
      </c>
      <c r="E22" s="94">
        <v>2530.12</v>
      </c>
      <c r="F22" s="94">
        <v>2481.0700000000002</v>
      </c>
      <c r="G22" s="94">
        <v>2446.9899999999998</v>
      </c>
      <c r="H22" s="94">
        <v>2445.04</v>
      </c>
      <c r="I22" s="94">
        <v>2464.66</v>
      </c>
      <c r="J22" s="94">
        <v>2502.42</v>
      </c>
      <c r="K22" s="94">
        <v>2567.09</v>
      </c>
      <c r="L22" s="94">
        <v>2514.52</v>
      </c>
      <c r="M22" s="94">
        <v>2475.7199999999998</v>
      </c>
      <c r="N22" s="94">
        <v>2448.52</v>
      </c>
      <c r="O22" s="94">
        <v>2455.4899999999998</v>
      </c>
      <c r="P22" s="94">
        <v>2484.9899999999998</v>
      </c>
      <c r="Q22" s="94">
        <v>2529.4299999999998</v>
      </c>
      <c r="R22" s="190"/>
      <c r="S22" s="190"/>
      <c r="T22" s="191"/>
      <c r="U22" s="191"/>
      <c r="W22" s="171"/>
      <c r="X22" s="206"/>
      <c r="Y22" s="156"/>
      <c r="Z22" s="147"/>
    </row>
    <row r="23" spans="1:34" ht="48">
      <c r="A23"/>
      <c r="B23" s="207"/>
      <c r="C23" s="207"/>
      <c r="D23" s="204" t="s">
        <v>116</v>
      </c>
      <c r="E23" s="51">
        <f t="shared" ref="E23:Q23" si="1">IF(((E21="")*AND(E22="")),"",(E21-E22))</f>
        <v>264.34999999999991</v>
      </c>
      <c r="F23" s="51">
        <f t="shared" si="1"/>
        <v>264.35999999999967</v>
      </c>
      <c r="G23" s="51">
        <f t="shared" si="1"/>
        <v>274.96000000000004</v>
      </c>
      <c r="H23" s="51">
        <f t="shared" si="1"/>
        <v>272.52</v>
      </c>
      <c r="I23" s="51">
        <f t="shared" si="1"/>
        <v>268.73</v>
      </c>
      <c r="J23" s="51">
        <f t="shared" si="1"/>
        <v>265.13000000000011</v>
      </c>
      <c r="K23" s="51">
        <f t="shared" si="1"/>
        <v>257.92999999999984</v>
      </c>
      <c r="L23" s="51">
        <f t="shared" si="1"/>
        <v>276.63000000000011</v>
      </c>
      <c r="M23" s="51">
        <f t="shared" si="1"/>
        <v>271.36000000000013</v>
      </c>
      <c r="N23" s="85">
        <f t="shared" si="1"/>
        <v>275.19999999999982</v>
      </c>
      <c r="O23" s="85">
        <f t="shared" si="1"/>
        <v>271.07000000000016</v>
      </c>
      <c r="P23" s="85">
        <f t="shared" si="1"/>
        <v>264.5300000000002</v>
      </c>
      <c r="Q23" s="85">
        <f t="shared" si="1"/>
        <v>259.10000000000036</v>
      </c>
      <c r="R23" s="192"/>
      <c r="S23" s="192"/>
      <c r="T23" s="193"/>
      <c r="U23" s="193"/>
      <c r="W23" s="172"/>
      <c r="X23" s="208"/>
      <c r="Y23" s="156"/>
      <c r="Z23" s="147"/>
    </row>
    <row r="24" spans="1:34">
      <c r="A24" s="149">
        <v>42103</v>
      </c>
      <c r="B24" s="81" t="s">
        <v>119</v>
      </c>
      <c r="C24" s="81" t="s">
        <v>120</v>
      </c>
      <c r="D24" s="204" t="s">
        <v>114</v>
      </c>
      <c r="E24" s="94">
        <v>7086.57</v>
      </c>
      <c r="F24" s="94">
        <v>7082.34</v>
      </c>
      <c r="G24" s="94">
        <v>7212.51</v>
      </c>
      <c r="H24" s="94">
        <v>7200.22</v>
      </c>
      <c r="I24" s="94">
        <v>7357.47</v>
      </c>
      <c r="J24" s="94">
        <v>7188.78</v>
      </c>
      <c r="K24" s="94">
        <v>7156.24</v>
      </c>
      <c r="L24" s="94">
        <v>7220.07</v>
      </c>
      <c r="M24" s="94">
        <v>7394.51</v>
      </c>
      <c r="N24" s="210"/>
      <c r="O24" s="210"/>
      <c r="P24" s="210"/>
      <c r="Q24" s="210"/>
      <c r="R24" s="196">
        <f>IF((M25=""),"",MAX(E26:M26))</f>
        <v>4582.66</v>
      </c>
      <c r="S24" s="194">
        <f>IF(M25="","",MIN(E26:M26))</f>
        <v>4153.8799999999992</v>
      </c>
      <c r="T24" s="195">
        <f>IF((M26=""),"",AVERAGE(E26:M26))</f>
        <v>4340.3577777777773</v>
      </c>
      <c r="U24" s="195">
        <f>IF((M25=""),"",(R24-S24)/(R24+S24)*100)</f>
        <v>4.9078925982139463</v>
      </c>
      <c r="V24" s="66">
        <f>STDEV(E26:Q26)</f>
        <v>154.35115433467269</v>
      </c>
      <c r="W24" s="173" t="str">
        <f>IF(M25="","",IF(T24&gt;3650,IF(T24&lt;4450,"Pass","Fail"),"Fail"))</f>
        <v>Pass</v>
      </c>
      <c r="X24" s="209">
        <v>1400</v>
      </c>
      <c r="Y24" s="156"/>
      <c r="Z24" s="147"/>
      <c r="AA24" s="86">
        <v>3650</v>
      </c>
      <c r="AB24" s="86">
        <v>4450</v>
      </c>
      <c r="AC24" s="86">
        <v>3700</v>
      </c>
      <c r="AD24" s="86">
        <v>4250</v>
      </c>
      <c r="AE24" s="86">
        <v>7.2</v>
      </c>
      <c r="AF24" s="86">
        <v>3</v>
      </c>
    </row>
    <row r="25" spans="1:34" ht="15.75">
      <c r="A25"/>
      <c r="B25" s="82"/>
      <c r="C25" s="82"/>
      <c r="D25" s="204" t="s">
        <v>115</v>
      </c>
      <c r="E25" s="94">
        <v>4798.5</v>
      </c>
      <c r="F25" s="94">
        <v>4947.3100000000004</v>
      </c>
      <c r="G25" s="94">
        <v>5126.5600000000004</v>
      </c>
      <c r="H25" s="94">
        <v>5026.6400000000003</v>
      </c>
      <c r="I25" s="94">
        <v>5066.1400000000003</v>
      </c>
      <c r="J25" s="94">
        <v>5044.66</v>
      </c>
      <c r="K25" s="94">
        <v>5013.9399999999996</v>
      </c>
      <c r="L25" s="94">
        <v>5143.13</v>
      </c>
      <c r="M25" s="94">
        <v>5200.22</v>
      </c>
      <c r="N25" s="205"/>
      <c r="O25" s="205"/>
      <c r="P25" s="205"/>
      <c r="Q25" s="205"/>
      <c r="R25" s="190"/>
      <c r="S25" s="190"/>
      <c r="T25" s="191"/>
      <c r="U25" s="191"/>
      <c r="W25" s="171"/>
      <c r="X25" s="206"/>
      <c r="Y25" s="156"/>
      <c r="Z25" s="147"/>
    </row>
    <row r="26" spans="1:34" ht="48">
      <c r="A26"/>
      <c r="B26" s="207"/>
      <c r="C26" s="207"/>
      <c r="D26" s="204" t="s">
        <v>116</v>
      </c>
      <c r="E26" s="51">
        <f t="shared" ref="E26:M26" si="2">IF(((E24="")*AND(E25="")),"",(E24-E25)*2)</f>
        <v>4576.1399999999994</v>
      </c>
      <c r="F26" s="51">
        <f t="shared" si="2"/>
        <v>4270.0599999999995</v>
      </c>
      <c r="G26" s="51">
        <f t="shared" si="2"/>
        <v>4171.8999999999996</v>
      </c>
      <c r="H26" s="51">
        <f t="shared" si="2"/>
        <v>4347.16</v>
      </c>
      <c r="I26" s="51">
        <f t="shared" si="2"/>
        <v>4582.66</v>
      </c>
      <c r="J26" s="51">
        <f t="shared" si="2"/>
        <v>4288.24</v>
      </c>
      <c r="K26" s="51">
        <f t="shared" si="2"/>
        <v>4284.6000000000004</v>
      </c>
      <c r="L26" s="51">
        <f t="shared" si="2"/>
        <v>4153.8799999999992</v>
      </c>
      <c r="M26" s="51">
        <f t="shared" si="2"/>
        <v>4388.58</v>
      </c>
      <c r="N26" s="51"/>
      <c r="O26" s="51"/>
      <c r="P26" s="51"/>
      <c r="Q26" s="51"/>
      <c r="R26" s="192"/>
      <c r="S26" s="192"/>
      <c r="T26" s="193"/>
      <c r="U26" s="193"/>
      <c r="W26" s="172"/>
      <c r="X26" s="208"/>
      <c r="Y26" s="156"/>
      <c r="Z26" s="147"/>
    </row>
    <row r="27" spans="1:34">
      <c r="A27" s="149">
        <v>42103</v>
      </c>
      <c r="B27" s="81" t="s">
        <v>121</v>
      </c>
      <c r="C27" s="81" t="s">
        <v>121</v>
      </c>
      <c r="D27" s="204" t="s">
        <v>114</v>
      </c>
      <c r="E27" s="94">
        <v>1953.84</v>
      </c>
      <c r="F27" s="94">
        <v>1957.71</v>
      </c>
      <c r="G27" s="94">
        <v>1955.06</v>
      </c>
      <c r="H27" s="94">
        <v>1950.75</v>
      </c>
      <c r="I27" s="94">
        <v>1940.52</v>
      </c>
      <c r="J27" s="94">
        <v>1948.73</v>
      </c>
      <c r="K27" s="94">
        <v>1953.98</v>
      </c>
      <c r="L27" s="94">
        <v>1951.53</v>
      </c>
      <c r="M27" s="94">
        <v>1943.73</v>
      </c>
      <c r="N27" s="205"/>
      <c r="O27" s="205"/>
      <c r="P27" s="205"/>
      <c r="Q27" s="205"/>
      <c r="R27" s="194">
        <f>IF((M28=""),"",MAX(E29:M29))</f>
        <v>2655.4400000000005</v>
      </c>
      <c r="S27" s="194">
        <f>IF((M28=""),"",MIN(E29:M29))</f>
        <v>2480.12</v>
      </c>
      <c r="T27" s="195">
        <f>IF((M29=""),"",AVERAGE(E29:M29))</f>
        <v>2555.0355555555557</v>
      </c>
      <c r="U27" s="195">
        <f>IF((M28=""),"",(R27-S27)/(R27+S27)*100)</f>
        <v>3.4138438651286442</v>
      </c>
      <c r="V27" s="66">
        <f>STDEV(E29:Q29)</f>
        <v>54.090237361095383</v>
      </c>
      <c r="W27" s="174" t="str">
        <f>IF(M28="","",IF(U27&lt;5.5,IF(T27&gt;2200,IF(T27&lt;2900,"Pass","Fail"),"Fail"),"Fail"))</f>
        <v>Pass</v>
      </c>
      <c r="X27" s="209">
        <v>1400</v>
      </c>
      <c r="Y27" s="156"/>
      <c r="Z27" s="147"/>
      <c r="AA27" s="67">
        <v>2000</v>
      </c>
      <c r="AB27" s="67">
        <v>3000</v>
      </c>
      <c r="AC27" s="67">
        <v>2200</v>
      </c>
      <c r="AD27" s="67">
        <v>2900</v>
      </c>
      <c r="AE27" s="67">
        <v>7</v>
      </c>
      <c r="AF27" s="67">
        <v>5.5</v>
      </c>
    </row>
    <row r="28" spans="1:34" ht="15.75">
      <c r="A28"/>
      <c r="B28" s="82"/>
      <c r="C28" s="82"/>
      <c r="D28" s="204" t="s">
        <v>115</v>
      </c>
      <c r="E28" s="94">
        <v>1311.83</v>
      </c>
      <c r="F28" s="94">
        <v>1318.59</v>
      </c>
      <c r="G28" s="94">
        <v>1335.03</v>
      </c>
      <c r="H28" s="94">
        <v>1311.2</v>
      </c>
      <c r="I28" s="94">
        <v>1295.53</v>
      </c>
      <c r="J28" s="94">
        <v>1284.8699999999999</v>
      </c>
      <c r="K28" s="94">
        <v>1305.94</v>
      </c>
      <c r="L28" s="94">
        <v>1325.58</v>
      </c>
      <c r="M28" s="94">
        <v>1318.45</v>
      </c>
      <c r="N28" s="205"/>
      <c r="O28" s="205"/>
      <c r="P28" s="205"/>
      <c r="Q28" s="205"/>
      <c r="R28" s="190"/>
      <c r="S28" s="190"/>
      <c r="T28" s="191"/>
      <c r="U28" s="191"/>
      <c r="W28" s="175"/>
      <c r="X28" s="206"/>
      <c r="Y28" s="156"/>
      <c r="Z28" s="147"/>
    </row>
    <row r="29" spans="1:34" ht="48.75" thickBot="1">
      <c r="A29"/>
      <c r="B29" s="211"/>
      <c r="C29" s="211"/>
      <c r="D29" s="212" t="s">
        <v>116</v>
      </c>
      <c r="E29" s="87">
        <f t="shared" ref="E29:M29" si="3">IF(((E27="")*AND(E28="")),"",(E27-E28)*4)</f>
        <v>2568.04</v>
      </c>
      <c r="F29" s="87">
        <f t="shared" si="3"/>
        <v>2556.4800000000005</v>
      </c>
      <c r="G29" s="87">
        <f t="shared" si="3"/>
        <v>2480.12</v>
      </c>
      <c r="H29" s="87">
        <f t="shared" si="3"/>
        <v>2558.1999999999998</v>
      </c>
      <c r="I29" s="87">
        <f t="shared" si="3"/>
        <v>2579.96</v>
      </c>
      <c r="J29" s="87">
        <f t="shared" si="3"/>
        <v>2655.4400000000005</v>
      </c>
      <c r="K29" s="87">
        <f t="shared" si="3"/>
        <v>2592.16</v>
      </c>
      <c r="L29" s="87">
        <f t="shared" si="3"/>
        <v>2503.8000000000002</v>
      </c>
      <c r="M29" s="87">
        <f t="shared" si="3"/>
        <v>2501.12</v>
      </c>
      <c r="N29" s="87"/>
      <c r="O29" s="87"/>
      <c r="P29" s="87"/>
      <c r="Q29" s="87" t="str">
        <f>IF(((Q27="")*AND(Q28="")),"",(Q27-Q28)*4)</f>
        <v/>
      </c>
      <c r="R29" s="197"/>
      <c r="S29" s="197"/>
      <c r="T29" s="198"/>
      <c r="U29" s="198"/>
      <c r="W29" s="176"/>
      <c r="X29" s="213"/>
      <c r="Y29" s="157"/>
      <c r="Z29" s="147"/>
    </row>
    <row r="30" spans="1:34">
      <c r="A30" s="148">
        <v>42110</v>
      </c>
      <c r="B30" s="200" t="s">
        <v>112</v>
      </c>
      <c r="C30" s="200" t="s">
        <v>113</v>
      </c>
      <c r="D30" s="201" t="s">
        <v>114</v>
      </c>
      <c r="E30" s="96">
        <v>7930.05</v>
      </c>
      <c r="F30" s="96">
        <v>8039.12</v>
      </c>
      <c r="G30" s="96">
        <v>8051.23</v>
      </c>
      <c r="H30" s="96">
        <v>8089.86</v>
      </c>
      <c r="I30" s="96">
        <v>8098.78</v>
      </c>
      <c r="J30" s="96">
        <v>8087.79</v>
      </c>
      <c r="K30" s="96">
        <v>8041.68</v>
      </c>
      <c r="L30" s="96">
        <v>8059.44</v>
      </c>
      <c r="M30" s="96">
        <v>7774.03</v>
      </c>
      <c r="N30" s="202"/>
      <c r="O30" s="202"/>
      <c r="P30" s="202"/>
      <c r="Q30" s="202"/>
      <c r="R30" s="188">
        <f>IF((M31=""),"",MAX(E32:M32))</f>
        <v>6670.9399999999987</v>
      </c>
      <c r="S30" s="188">
        <f>IF((M31=""),"",MIN(E32:M32))</f>
        <v>6045.1</v>
      </c>
      <c r="T30" s="189">
        <f>IF((M32=""),"",AVERAGE(E32:M32))</f>
        <v>6354.3199999999988</v>
      </c>
      <c r="U30" s="189">
        <f>IF((M31=""),"",(R30-S30)/(R30+S30)*100)</f>
        <v>4.9216580004466675</v>
      </c>
      <c r="V30" s="66">
        <f>STDEV(E32:Q32)</f>
        <v>228.09329034411365</v>
      </c>
      <c r="W30" s="170" t="str">
        <f>IF(M31="","",IF(U30&lt;6.3,IF(T30&gt;5550,IF(T30&lt;6900,"Pass","Fail"),"Fail"),"Fail"))</f>
        <v>Pass</v>
      </c>
      <c r="X30" s="203">
        <v>1400</v>
      </c>
      <c r="Y30" s="155" t="s">
        <v>122</v>
      </c>
      <c r="Z30" s="147"/>
      <c r="AA30" s="67">
        <v>5860</v>
      </c>
      <c r="AB30" s="67">
        <v>6770</v>
      </c>
      <c r="AC30" s="67">
        <v>5550</v>
      </c>
      <c r="AD30" s="67">
        <v>6900</v>
      </c>
      <c r="AE30" s="67">
        <v>20</v>
      </c>
      <c r="AF30" s="67">
        <v>6.3</v>
      </c>
    </row>
    <row r="31" spans="1:34" ht="15.75">
      <c r="A31"/>
      <c r="B31" s="82"/>
      <c r="C31" s="82"/>
      <c r="D31" s="204" t="s">
        <v>115</v>
      </c>
      <c r="E31" s="94">
        <v>4687.09</v>
      </c>
      <c r="F31" s="94">
        <v>4723.3999999999996</v>
      </c>
      <c r="G31" s="94">
        <v>4818.2</v>
      </c>
      <c r="H31" s="94">
        <v>5043.1899999999996</v>
      </c>
      <c r="I31" s="94">
        <v>5076.2299999999996</v>
      </c>
      <c r="J31" s="94">
        <v>5001.6000000000004</v>
      </c>
      <c r="K31" s="94">
        <v>4852.3500000000004</v>
      </c>
      <c r="L31" s="94">
        <v>4936.92</v>
      </c>
      <c r="M31" s="94">
        <v>4438.5600000000004</v>
      </c>
      <c r="N31" s="205"/>
      <c r="O31" s="205"/>
      <c r="P31" s="205"/>
      <c r="Q31" s="205"/>
      <c r="R31" s="190"/>
      <c r="S31" s="190"/>
      <c r="T31" s="191"/>
      <c r="U31" s="191"/>
      <c r="W31" s="171"/>
      <c r="X31" s="206"/>
      <c r="Y31" s="156"/>
      <c r="Z31" s="147"/>
    </row>
    <row r="32" spans="1:34" ht="48">
      <c r="A32"/>
      <c r="B32" s="207"/>
      <c r="C32" s="207"/>
      <c r="D32" s="204" t="s">
        <v>116</v>
      </c>
      <c r="E32" s="51">
        <f t="shared" ref="E32:M32" si="4">IF(((E30="")*AND(E31="")),"",(E30-E31)*2)</f>
        <v>6485.92</v>
      </c>
      <c r="F32" s="51">
        <f t="shared" si="4"/>
        <v>6631.4400000000005</v>
      </c>
      <c r="G32" s="51">
        <f t="shared" si="4"/>
        <v>6466.0599999999995</v>
      </c>
      <c r="H32" s="51">
        <f t="shared" si="4"/>
        <v>6093.34</v>
      </c>
      <c r="I32" s="51">
        <f t="shared" si="4"/>
        <v>6045.1</v>
      </c>
      <c r="J32" s="51">
        <f t="shared" si="4"/>
        <v>6172.3799999999992</v>
      </c>
      <c r="K32" s="51">
        <f t="shared" si="4"/>
        <v>6378.66</v>
      </c>
      <c r="L32" s="51">
        <f t="shared" si="4"/>
        <v>6245.0399999999991</v>
      </c>
      <c r="M32" s="51">
        <f t="shared" si="4"/>
        <v>6670.9399999999987</v>
      </c>
      <c r="N32" s="51"/>
      <c r="O32" s="51"/>
      <c r="P32" s="51"/>
      <c r="Q32" s="51" t="str">
        <f>IF(((Q30="")*AND(Q31="")),"",(Q30-Q31)*2)</f>
        <v/>
      </c>
      <c r="R32" s="192"/>
      <c r="S32" s="192"/>
      <c r="T32" s="193"/>
      <c r="U32" s="193"/>
      <c r="W32" s="172"/>
      <c r="X32" s="208"/>
      <c r="Y32" s="156"/>
      <c r="Z32" s="147"/>
    </row>
    <row r="33" spans="1:32">
      <c r="A33" s="149">
        <v>42110</v>
      </c>
      <c r="B33" s="81" t="s">
        <v>117</v>
      </c>
      <c r="C33" s="81" t="s">
        <v>118</v>
      </c>
      <c r="D33" s="204" t="s">
        <v>114</v>
      </c>
      <c r="E33" s="94">
        <v>2788.56</v>
      </c>
      <c r="F33" s="94">
        <v>2741.46</v>
      </c>
      <c r="G33" s="94">
        <v>2717.21</v>
      </c>
      <c r="H33" s="94">
        <v>2712.51</v>
      </c>
      <c r="I33" s="94">
        <v>2731.14</v>
      </c>
      <c r="J33" s="94">
        <v>2762.53</v>
      </c>
      <c r="K33" s="94">
        <v>2820.62</v>
      </c>
      <c r="L33" s="94">
        <v>2787.12</v>
      </c>
      <c r="M33" s="94">
        <v>2743.53</v>
      </c>
      <c r="N33" s="94">
        <v>2723.54</v>
      </c>
      <c r="O33" s="94">
        <v>2724.39</v>
      </c>
      <c r="P33" s="94">
        <v>2747.93</v>
      </c>
      <c r="Q33" s="94">
        <v>2794.82</v>
      </c>
      <c r="R33" s="194">
        <f>IF((Q34=""),"",MAX(E35:Q35))</f>
        <v>280.7199999999998</v>
      </c>
      <c r="S33" s="194">
        <f>IF(Q34="","",MIN(E35:Q35))</f>
        <v>260.68000000000029</v>
      </c>
      <c r="T33" s="195">
        <f>IF((Q35=""),"",AVERAGE(E35:Q35))</f>
        <v>270.12846153846158</v>
      </c>
      <c r="U33" s="195">
        <f>IF((Q34=""),"",(R33-S33)/(R33+S33)*100)</f>
        <v>3.701514591798948</v>
      </c>
      <c r="V33" s="66">
        <f>STDEV(E35:Q35)</f>
        <v>6.2908595678626202</v>
      </c>
      <c r="W33" s="173" t="str">
        <f>IF(Q34="","",IF(T33&gt;242,IF(T33&lt;320,"Pass","Fail"),"Fail"))</f>
        <v>Pass</v>
      </c>
      <c r="X33" s="209">
        <v>1400</v>
      </c>
      <c r="Y33" s="156" t="s">
        <v>122</v>
      </c>
      <c r="Z33" s="147"/>
      <c r="AA33" s="67">
        <v>240</v>
      </c>
      <c r="AB33" s="67">
        <v>320</v>
      </c>
      <c r="AC33" s="67">
        <v>190</v>
      </c>
      <c r="AD33" s="67">
        <v>360</v>
      </c>
      <c r="AE33" s="67">
        <v>20</v>
      </c>
      <c r="AF33" s="67">
        <v>11</v>
      </c>
    </row>
    <row r="34" spans="1:32" ht="15.75">
      <c r="A34"/>
      <c r="B34" s="82"/>
      <c r="C34" s="82"/>
      <c r="D34" s="204" t="s">
        <v>115</v>
      </c>
      <c r="E34" s="94">
        <v>2516.84</v>
      </c>
      <c r="F34" s="94">
        <v>2474.81</v>
      </c>
      <c r="G34" s="94">
        <v>2443.4299999999998</v>
      </c>
      <c r="H34" s="94">
        <v>2437.91</v>
      </c>
      <c r="I34" s="94">
        <v>2457.12</v>
      </c>
      <c r="J34" s="94">
        <v>2499.6999999999998</v>
      </c>
      <c r="K34" s="94">
        <v>2558.12</v>
      </c>
      <c r="L34" s="94">
        <v>2506.4</v>
      </c>
      <c r="M34" s="94">
        <v>2471.7600000000002</v>
      </c>
      <c r="N34" s="94">
        <v>2446.14</v>
      </c>
      <c r="O34" s="94">
        <v>2453.0500000000002</v>
      </c>
      <c r="P34" s="94">
        <v>2484.27</v>
      </c>
      <c r="Q34" s="94">
        <v>2534.14</v>
      </c>
      <c r="R34" s="190"/>
      <c r="S34" s="190"/>
      <c r="T34" s="191"/>
      <c r="U34" s="191"/>
      <c r="W34" s="171"/>
      <c r="X34" s="206"/>
      <c r="Y34" s="156"/>
      <c r="Z34" s="147"/>
    </row>
    <row r="35" spans="1:32" ht="48">
      <c r="A35"/>
      <c r="B35" s="207"/>
      <c r="C35" s="207"/>
      <c r="D35" s="204" t="s">
        <v>116</v>
      </c>
      <c r="E35" s="51">
        <f t="shared" ref="E35:Q35" si="5">IF(((E33="")*AND(E34="")),"",(E33-E34))</f>
        <v>271.7199999999998</v>
      </c>
      <c r="F35" s="51">
        <f t="shared" si="5"/>
        <v>266.65000000000009</v>
      </c>
      <c r="G35" s="51">
        <f t="shared" si="5"/>
        <v>273.7800000000002</v>
      </c>
      <c r="H35" s="51">
        <f t="shared" si="5"/>
        <v>274.60000000000036</v>
      </c>
      <c r="I35" s="51">
        <f t="shared" si="5"/>
        <v>274.02</v>
      </c>
      <c r="J35" s="51">
        <f t="shared" si="5"/>
        <v>262.83000000000038</v>
      </c>
      <c r="K35" s="51">
        <f t="shared" si="5"/>
        <v>262.5</v>
      </c>
      <c r="L35" s="51">
        <f t="shared" si="5"/>
        <v>280.7199999999998</v>
      </c>
      <c r="M35" s="51">
        <f t="shared" si="5"/>
        <v>271.77</v>
      </c>
      <c r="N35" s="85">
        <f t="shared" si="5"/>
        <v>277.40000000000009</v>
      </c>
      <c r="O35" s="85">
        <f t="shared" si="5"/>
        <v>271.33999999999969</v>
      </c>
      <c r="P35" s="85">
        <f t="shared" si="5"/>
        <v>263.65999999999985</v>
      </c>
      <c r="Q35" s="85">
        <f t="shared" si="5"/>
        <v>260.68000000000029</v>
      </c>
      <c r="R35" s="192"/>
      <c r="S35" s="192"/>
      <c r="T35" s="193"/>
      <c r="U35" s="193"/>
      <c r="W35" s="172"/>
      <c r="X35" s="208"/>
      <c r="Y35" s="156"/>
      <c r="Z35" s="147"/>
    </row>
    <row r="36" spans="1:32">
      <c r="A36" s="149">
        <v>42110</v>
      </c>
      <c r="B36" s="81" t="s">
        <v>119</v>
      </c>
      <c r="C36" s="81" t="s">
        <v>120</v>
      </c>
      <c r="D36" s="204" t="s">
        <v>114</v>
      </c>
      <c r="E36" s="94">
        <v>6985.37</v>
      </c>
      <c r="F36" s="94">
        <v>6986.48</v>
      </c>
      <c r="G36" s="94">
        <v>7113.46</v>
      </c>
      <c r="H36" s="94">
        <v>7093.82</v>
      </c>
      <c r="I36" s="94">
        <v>7251</v>
      </c>
      <c r="J36" s="94">
        <v>7092.99</v>
      </c>
      <c r="K36" s="94">
        <v>7056.57</v>
      </c>
      <c r="L36" s="94">
        <v>7114.17</v>
      </c>
      <c r="M36" s="94">
        <v>7300.21</v>
      </c>
      <c r="N36" s="210"/>
      <c r="O36" s="210"/>
      <c r="P36" s="210"/>
      <c r="Q36" s="210"/>
      <c r="R36" s="196">
        <f>IF((M37=""),"",MAX(E38:M38))</f>
        <v>4629.4400000000005</v>
      </c>
      <c r="S36" s="194">
        <f>IF(M37="","",MIN(E38:M38))</f>
        <v>4208.68</v>
      </c>
      <c r="T36" s="195">
        <f>IF((M38=""),"",AVERAGE(E38:M38))</f>
        <v>4374.8866666666663</v>
      </c>
      <c r="U36" s="195">
        <f>IF((M37=""),"",(R36-S36)/(R36+S36)*100)</f>
        <v>4.7607409720619343</v>
      </c>
      <c r="V36" s="66">
        <f>STDEV(E38:Q38)</f>
        <v>151.13705766621172</v>
      </c>
      <c r="W36" s="173" t="str">
        <f>IF(M37="","",IF(T36&gt;3650,IF(T36&lt;4450,"Pass","Fail"),"Fail"))</f>
        <v>Pass</v>
      </c>
      <c r="X36" s="209">
        <v>1400</v>
      </c>
      <c r="Y36" s="156" t="s">
        <v>122</v>
      </c>
      <c r="Z36" s="147"/>
      <c r="AA36" s="86">
        <v>3650</v>
      </c>
      <c r="AB36" s="86">
        <v>4450</v>
      </c>
      <c r="AC36" s="86">
        <v>3700</v>
      </c>
      <c r="AD36" s="86">
        <v>4250</v>
      </c>
      <c r="AE36" s="86">
        <v>7.2</v>
      </c>
      <c r="AF36" s="86">
        <v>3</v>
      </c>
    </row>
    <row r="37" spans="1:32" ht="15.75">
      <c r="A37"/>
      <c r="B37" s="82"/>
      <c r="C37" s="82"/>
      <c r="D37" s="204" t="s">
        <v>115</v>
      </c>
      <c r="E37" s="94">
        <v>4670.6499999999996</v>
      </c>
      <c r="F37" s="94">
        <v>4831.2</v>
      </c>
      <c r="G37" s="94">
        <v>4993.8500000000004</v>
      </c>
      <c r="H37" s="94">
        <v>4936.28</v>
      </c>
      <c r="I37" s="94">
        <v>4955.96</v>
      </c>
      <c r="J37" s="94">
        <v>4954.53</v>
      </c>
      <c r="K37" s="94">
        <v>4884.7700000000004</v>
      </c>
      <c r="L37" s="94">
        <v>5009.83</v>
      </c>
      <c r="M37" s="94">
        <v>5070.01</v>
      </c>
      <c r="N37" s="205"/>
      <c r="O37" s="205"/>
      <c r="P37" s="205"/>
      <c r="Q37" s="205"/>
      <c r="R37" s="190"/>
      <c r="S37" s="190"/>
      <c r="T37" s="191"/>
      <c r="U37" s="191"/>
      <c r="W37" s="171"/>
      <c r="X37" s="206"/>
      <c r="Y37" s="156"/>
      <c r="Z37" s="147"/>
    </row>
    <row r="38" spans="1:32" ht="48">
      <c r="A38"/>
      <c r="B38" s="207"/>
      <c r="C38" s="207"/>
      <c r="D38" s="204" t="s">
        <v>116</v>
      </c>
      <c r="E38" s="51">
        <f t="shared" ref="E38:M38" si="6">IF(((E36="")*AND(E37="")),"",(E36-E37)*2)</f>
        <v>4629.4400000000005</v>
      </c>
      <c r="F38" s="51">
        <f t="shared" si="6"/>
        <v>4310.5599999999995</v>
      </c>
      <c r="G38" s="51">
        <f t="shared" si="6"/>
        <v>4239.2199999999993</v>
      </c>
      <c r="H38" s="51">
        <f t="shared" si="6"/>
        <v>4315.08</v>
      </c>
      <c r="I38" s="51">
        <f t="shared" si="6"/>
        <v>4590.08</v>
      </c>
      <c r="J38" s="51">
        <f t="shared" si="6"/>
        <v>4276.92</v>
      </c>
      <c r="K38" s="51">
        <f t="shared" si="6"/>
        <v>4343.5999999999985</v>
      </c>
      <c r="L38" s="51">
        <f t="shared" si="6"/>
        <v>4208.68</v>
      </c>
      <c r="M38" s="51">
        <f t="shared" si="6"/>
        <v>4460.3999999999996</v>
      </c>
      <c r="N38" s="51"/>
      <c r="O38" s="51"/>
      <c r="P38" s="51"/>
      <c r="Q38" s="51"/>
      <c r="R38" s="192"/>
      <c r="S38" s="192"/>
      <c r="T38" s="193"/>
      <c r="U38" s="193"/>
      <c r="W38" s="172"/>
      <c r="X38" s="208"/>
      <c r="Y38" s="156"/>
      <c r="Z38" s="147"/>
    </row>
    <row r="39" spans="1:32">
      <c r="A39" s="149">
        <v>42110</v>
      </c>
      <c r="B39" s="81" t="s">
        <v>121</v>
      </c>
      <c r="C39" s="81" t="s">
        <v>121</v>
      </c>
      <c r="D39" s="204" t="s">
        <v>114</v>
      </c>
      <c r="E39" s="94">
        <v>1913.09</v>
      </c>
      <c r="F39" s="94">
        <v>1907.76</v>
      </c>
      <c r="G39" s="94">
        <v>1910.03</v>
      </c>
      <c r="H39" s="94">
        <v>1907.81</v>
      </c>
      <c r="I39" s="94">
        <v>1912.27</v>
      </c>
      <c r="J39" s="94">
        <v>1917.21</v>
      </c>
      <c r="K39" s="94">
        <v>1907.91</v>
      </c>
      <c r="L39" s="94">
        <v>1907.58</v>
      </c>
      <c r="M39" s="94">
        <v>1911.71</v>
      </c>
      <c r="N39" s="205"/>
      <c r="O39" s="205"/>
      <c r="P39" s="205"/>
      <c r="Q39" s="205"/>
      <c r="R39" s="194">
        <f>IF((M40=""),"",MAX(E41:M41))</f>
        <v>2654.84</v>
      </c>
      <c r="S39" s="194">
        <f>IF((M40=""),"",MIN(E41:M41))</f>
        <v>2492.6800000000003</v>
      </c>
      <c r="T39" s="195">
        <f>IF((M41=""),"",AVERAGE(E41:M41))</f>
        <v>2565.8844444444444</v>
      </c>
      <c r="U39" s="195">
        <f>IF((M40=""),"",(R39-S39)/(R39+S39)*100)</f>
        <v>3.1502548800198897</v>
      </c>
      <c r="V39" s="66">
        <f>STDEV(E41:Q41)</f>
        <v>48.256209732836041</v>
      </c>
      <c r="W39" s="174" t="str">
        <f>IF(M40="","",IF(U39&lt;5.5,IF(T39&gt;2200,IF(T39&lt;2900,"Pass","Fail"),"Fail"),"Fail"))</f>
        <v>Pass</v>
      </c>
      <c r="X39" s="209">
        <v>1400</v>
      </c>
      <c r="Y39" s="156" t="s">
        <v>122</v>
      </c>
      <c r="Z39" s="147"/>
      <c r="AA39" s="67">
        <v>2000</v>
      </c>
      <c r="AB39" s="67">
        <v>3000</v>
      </c>
      <c r="AC39" s="67">
        <v>2200</v>
      </c>
      <c r="AD39" s="67">
        <v>2900</v>
      </c>
      <c r="AE39" s="67">
        <v>7</v>
      </c>
      <c r="AF39" s="67">
        <v>5.5</v>
      </c>
    </row>
    <row r="40" spans="1:32" ht="15.75">
      <c r="A40"/>
      <c r="B40" s="82"/>
      <c r="C40" s="82"/>
      <c r="D40" s="204" t="s">
        <v>115</v>
      </c>
      <c r="E40" s="94">
        <v>1272.44</v>
      </c>
      <c r="F40" s="94">
        <v>1267.82</v>
      </c>
      <c r="G40" s="94">
        <v>1286.8599999999999</v>
      </c>
      <c r="H40" s="94">
        <v>1262.7</v>
      </c>
      <c r="I40" s="94">
        <v>1265.25</v>
      </c>
      <c r="J40" s="94">
        <v>1253.5</v>
      </c>
      <c r="K40" s="94">
        <v>1257.27</v>
      </c>
      <c r="L40" s="94">
        <v>1274.52</v>
      </c>
      <c r="M40" s="94">
        <v>1281.77</v>
      </c>
      <c r="N40" s="205"/>
      <c r="O40" s="205"/>
      <c r="P40" s="205"/>
      <c r="Q40" s="205"/>
      <c r="R40" s="190"/>
      <c r="S40" s="190"/>
      <c r="T40" s="191"/>
      <c r="U40" s="191"/>
      <c r="W40" s="175"/>
      <c r="X40" s="206"/>
      <c r="Y40" s="156"/>
      <c r="Z40" s="147"/>
    </row>
    <row r="41" spans="1:32" ht="48.75" thickBot="1">
      <c r="A41"/>
      <c r="B41" s="211"/>
      <c r="C41" s="211"/>
      <c r="D41" s="212" t="s">
        <v>116</v>
      </c>
      <c r="E41" s="87">
        <f t="shared" ref="E41:M41" si="7">IF(((E39="")*AND(E40="")),"",(E39-E40)*4)</f>
        <v>2562.5999999999995</v>
      </c>
      <c r="F41" s="87">
        <f t="shared" si="7"/>
        <v>2559.7600000000002</v>
      </c>
      <c r="G41" s="87">
        <f t="shared" si="7"/>
        <v>2492.6800000000003</v>
      </c>
      <c r="H41" s="87">
        <f t="shared" si="7"/>
        <v>2580.4399999999996</v>
      </c>
      <c r="I41" s="87">
        <f t="shared" si="7"/>
        <v>2588.08</v>
      </c>
      <c r="J41" s="87">
        <f t="shared" si="7"/>
        <v>2654.84</v>
      </c>
      <c r="K41" s="87">
        <f t="shared" si="7"/>
        <v>2602.5600000000004</v>
      </c>
      <c r="L41" s="87">
        <f t="shared" si="7"/>
        <v>2532.2399999999998</v>
      </c>
      <c r="M41" s="87">
        <f t="shared" si="7"/>
        <v>2519.7600000000002</v>
      </c>
      <c r="N41" s="87"/>
      <c r="O41" s="87"/>
      <c r="P41" s="87"/>
      <c r="Q41" s="87" t="str">
        <f>IF(((Q39="")*AND(Q40="")),"",(Q39-Q40)*4)</f>
        <v/>
      </c>
      <c r="R41" s="197"/>
      <c r="S41" s="197"/>
      <c r="T41" s="198"/>
      <c r="U41" s="198"/>
      <c r="W41" s="176"/>
      <c r="X41" s="213"/>
      <c r="Y41" s="157"/>
      <c r="Z41" s="147"/>
    </row>
    <row r="42" spans="1:32">
      <c r="A42" s="148">
        <v>42124</v>
      </c>
      <c r="B42" s="82" t="s">
        <v>112</v>
      </c>
      <c r="C42" s="82" t="s">
        <v>113</v>
      </c>
      <c r="D42" s="192" t="s">
        <v>114</v>
      </c>
      <c r="E42" s="59">
        <v>7941.55</v>
      </c>
      <c r="F42" s="59">
        <v>8034.47</v>
      </c>
      <c r="G42" s="59">
        <v>8059.53</v>
      </c>
      <c r="H42" s="59">
        <v>8104.25</v>
      </c>
      <c r="I42" s="59">
        <v>8107.61</v>
      </c>
      <c r="J42" s="59">
        <v>8091.57</v>
      </c>
      <c r="K42" s="59">
        <v>8040.7</v>
      </c>
      <c r="L42" s="59">
        <v>8070.83</v>
      </c>
      <c r="M42" s="59">
        <v>7770.6</v>
      </c>
      <c r="N42" s="205"/>
      <c r="O42" s="205"/>
      <c r="P42" s="205"/>
      <c r="Q42" s="205"/>
      <c r="R42" s="190">
        <f>IF((M43=""),"",MAX(E44:M44))</f>
        <v>6517.02</v>
      </c>
      <c r="S42" s="190">
        <f>IF((M43=""),"",MIN(E44:M44))</f>
        <v>5916.48</v>
      </c>
      <c r="T42" s="191">
        <f>IF((M44=""),"",AVERAGE(E44:M44))</f>
        <v>6209.4200000000019</v>
      </c>
      <c r="U42" s="191">
        <f>IF((M43=""),"",(R42-S42)/(R42+S42)*100)</f>
        <v>4.8300156834358861</v>
      </c>
      <c r="V42" s="66">
        <f>STDEV(E44:Q44)</f>
        <v>219.39674450634035</v>
      </c>
      <c r="W42" s="170" t="str">
        <f>IF(M43="","",IF(U42&lt;6.3,IF(T42&gt;5550,IF(T42&lt;6900,"Pass","Fail"),"Fail"),"Fail"))</f>
        <v>Pass</v>
      </c>
      <c r="AA42" s="67">
        <v>5860</v>
      </c>
      <c r="AB42" s="67">
        <v>6770</v>
      </c>
      <c r="AC42" s="67">
        <v>5550</v>
      </c>
      <c r="AD42" s="67">
        <v>6900</v>
      </c>
      <c r="AE42" s="67">
        <v>20</v>
      </c>
      <c r="AF42" s="67">
        <v>6.3</v>
      </c>
    </row>
    <row r="43" spans="1:32" ht="15.75">
      <c r="A43"/>
      <c r="B43" s="82"/>
      <c r="C43" s="82"/>
      <c r="D43" s="204" t="s">
        <v>115</v>
      </c>
      <c r="E43" s="59">
        <v>4768.95</v>
      </c>
      <c r="F43" s="59">
        <v>4800.91</v>
      </c>
      <c r="G43" s="59">
        <v>4895.7299999999996</v>
      </c>
      <c r="H43" s="59">
        <v>5125.29</v>
      </c>
      <c r="I43" s="59">
        <v>5149.37</v>
      </c>
      <c r="J43" s="59">
        <v>5075.43</v>
      </c>
      <c r="K43" s="59">
        <v>4932.05</v>
      </c>
      <c r="L43" s="59">
        <v>5018.8999999999996</v>
      </c>
      <c r="M43" s="59">
        <v>4512.09</v>
      </c>
      <c r="N43" s="205"/>
      <c r="O43" s="205"/>
      <c r="P43" s="205"/>
      <c r="Q43" s="205"/>
      <c r="R43" s="190"/>
      <c r="S43" s="190"/>
      <c r="T43" s="191"/>
      <c r="U43" s="191"/>
      <c r="W43" s="177"/>
    </row>
    <row r="44" spans="1:32" ht="48">
      <c r="A44"/>
      <c r="B44" s="207"/>
      <c r="C44" s="207"/>
      <c r="D44" s="204" t="s">
        <v>116</v>
      </c>
      <c r="E44" s="51">
        <f t="shared" ref="E44:M44" si="8">IF(((E42="")*AND(E43="")),"",(E42-E43)*2)</f>
        <v>6345.2000000000007</v>
      </c>
      <c r="F44" s="51">
        <f t="shared" si="8"/>
        <v>6467.1200000000008</v>
      </c>
      <c r="G44" s="51">
        <f t="shared" si="8"/>
        <v>6327.6</v>
      </c>
      <c r="H44" s="51">
        <f t="shared" si="8"/>
        <v>5957.92</v>
      </c>
      <c r="I44" s="51">
        <f t="shared" si="8"/>
        <v>5916.48</v>
      </c>
      <c r="J44" s="51">
        <f t="shared" si="8"/>
        <v>6032.2799999999988</v>
      </c>
      <c r="K44" s="51">
        <f t="shared" si="8"/>
        <v>6217.2999999999993</v>
      </c>
      <c r="L44" s="51">
        <f t="shared" si="8"/>
        <v>6103.8600000000006</v>
      </c>
      <c r="M44" s="51">
        <f t="shared" si="8"/>
        <v>6517.02</v>
      </c>
      <c r="N44" s="51"/>
      <c r="O44" s="51"/>
      <c r="P44" s="51"/>
      <c r="Q44" s="51" t="str">
        <f>IF(((Q42="")*AND(Q43="")),"",(Q42-Q43)*2)</f>
        <v/>
      </c>
      <c r="R44" s="192"/>
      <c r="S44" s="192"/>
      <c r="T44" s="193"/>
      <c r="U44" s="193"/>
      <c r="W44" s="178"/>
    </row>
    <row r="45" spans="1:32">
      <c r="A45" s="150">
        <v>42124</v>
      </c>
      <c r="B45" s="81" t="s">
        <v>117</v>
      </c>
      <c r="C45" s="81" t="s">
        <v>118</v>
      </c>
      <c r="D45" s="204" t="s">
        <v>114</v>
      </c>
      <c r="E45" s="59">
        <v>2778.35</v>
      </c>
      <c r="F45" s="59">
        <v>2744.98</v>
      </c>
      <c r="G45" s="59">
        <v>2720.25</v>
      </c>
      <c r="H45" s="59">
        <v>2712.1</v>
      </c>
      <c r="I45" s="59">
        <v>2714.85</v>
      </c>
      <c r="J45" s="59">
        <v>2737.81</v>
      </c>
      <c r="K45" s="59">
        <v>2773.88</v>
      </c>
      <c r="L45" s="59">
        <v>2821.52</v>
      </c>
      <c r="M45" s="59">
        <v>2765.25</v>
      </c>
      <c r="N45" s="59">
        <v>2728.84</v>
      </c>
      <c r="O45" s="59">
        <v>2710.71</v>
      </c>
      <c r="P45" s="59">
        <v>2734.69</v>
      </c>
      <c r="Q45" s="59">
        <v>2777.79</v>
      </c>
      <c r="R45" s="194">
        <f>IF((Q46=""),"",MAX(E47:Q47))</f>
        <v>268.55999999999995</v>
      </c>
      <c r="S45" s="194">
        <f>IF(Q46="","",MIN(E47:Q47))</f>
        <v>248.44999999999982</v>
      </c>
      <c r="T45" s="195">
        <f>IF((Q47=""),"",AVERAGE(E47:Q47))</f>
        <v>259.95230769230767</v>
      </c>
      <c r="U45" s="195">
        <f>IF((Q46=""),"",(R45-S45)/(R45+S45)*100)</f>
        <v>3.8896733138624273</v>
      </c>
      <c r="V45" s="66">
        <f>STDEV(E47:Q47)</f>
        <v>6.0376004530577161</v>
      </c>
      <c r="W45" s="83" t="str">
        <f>IF(Q46="","",IF(T45&gt;242,IF(T45&lt;320,"Pass","Fail"),"Fail"))</f>
        <v>Pass</v>
      </c>
      <c r="AA45" s="67">
        <v>240</v>
      </c>
      <c r="AB45" s="67">
        <v>320</v>
      </c>
      <c r="AC45" s="67">
        <v>190</v>
      </c>
      <c r="AD45" s="67">
        <v>360</v>
      </c>
      <c r="AE45" s="67">
        <v>20</v>
      </c>
      <c r="AF45" s="67">
        <v>11</v>
      </c>
    </row>
    <row r="46" spans="1:32" ht="15.75">
      <c r="A46"/>
      <c r="B46" s="82"/>
      <c r="C46" s="82"/>
      <c r="D46" s="204" t="s">
        <v>115</v>
      </c>
      <c r="E46" s="59">
        <v>2522.75</v>
      </c>
      <c r="F46" s="59">
        <v>2484.3200000000002</v>
      </c>
      <c r="G46" s="59">
        <v>2451.69</v>
      </c>
      <c r="H46" s="59">
        <v>2446.66</v>
      </c>
      <c r="I46" s="59">
        <v>2449.79</v>
      </c>
      <c r="J46" s="59">
        <v>2477.7199999999998</v>
      </c>
      <c r="K46" s="59">
        <v>2517.13</v>
      </c>
      <c r="L46" s="59">
        <v>2570.0700000000002</v>
      </c>
      <c r="M46" s="59">
        <v>2507.29</v>
      </c>
      <c r="N46" s="59">
        <v>2461.0100000000002</v>
      </c>
      <c r="O46" s="59">
        <v>2448.29</v>
      </c>
      <c r="P46" s="59">
        <v>2475.58</v>
      </c>
      <c r="Q46" s="59">
        <v>2529.34</v>
      </c>
      <c r="R46" s="190"/>
      <c r="S46" s="190"/>
      <c r="T46" s="191"/>
      <c r="U46" s="191"/>
      <c r="W46" s="177"/>
    </row>
    <row r="47" spans="1:32" ht="48">
      <c r="A47"/>
      <c r="B47" s="207"/>
      <c r="C47" s="207"/>
      <c r="D47" s="204" t="s">
        <v>116</v>
      </c>
      <c r="E47" s="51">
        <f t="shared" ref="E47:Q47" si="9">IF(((E45="")*AND(E46="")),"",(E45-E46))</f>
        <v>255.59999999999991</v>
      </c>
      <c r="F47" s="51">
        <f t="shared" si="9"/>
        <v>260.65999999999985</v>
      </c>
      <c r="G47" s="51">
        <f t="shared" si="9"/>
        <v>268.55999999999995</v>
      </c>
      <c r="H47" s="51">
        <f t="shared" si="9"/>
        <v>265.44000000000005</v>
      </c>
      <c r="I47" s="51">
        <f t="shared" si="9"/>
        <v>265.05999999999995</v>
      </c>
      <c r="J47" s="51">
        <f t="shared" si="9"/>
        <v>260.09000000000015</v>
      </c>
      <c r="K47" s="51">
        <f t="shared" si="9"/>
        <v>256.75</v>
      </c>
      <c r="L47" s="51">
        <f t="shared" si="9"/>
        <v>251.44999999999982</v>
      </c>
      <c r="M47" s="51">
        <f t="shared" si="9"/>
        <v>257.96000000000004</v>
      </c>
      <c r="N47" s="85">
        <f t="shared" si="9"/>
        <v>267.82999999999993</v>
      </c>
      <c r="O47" s="85">
        <f t="shared" si="9"/>
        <v>262.42000000000007</v>
      </c>
      <c r="P47" s="85">
        <f t="shared" si="9"/>
        <v>259.11000000000013</v>
      </c>
      <c r="Q47" s="85">
        <f t="shared" si="9"/>
        <v>248.44999999999982</v>
      </c>
      <c r="R47" s="192"/>
      <c r="S47" s="192"/>
      <c r="T47" s="193"/>
      <c r="U47" s="193"/>
      <c r="W47" s="178"/>
    </row>
    <row r="48" spans="1:32">
      <c r="A48" s="150">
        <v>42124</v>
      </c>
      <c r="B48" s="81" t="s">
        <v>119</v>
      </c>
      <c r="C48" s="81" t="s">
        <v>120</v>
      </c>
      <c r="D48" s="204" t="s">
        <v>114</v>
      </c>
      <c r="E48" s="59">
        <v>6942.37</v>
      </c>
      <c r="F48" s="59">
        <v>7001.2</v>
      </c>
      <c r="G48" s="59">
        <v>7186.65</v>
      </c>
      <c r="H48" s="59">
        <v>7223.83</v>
      </c>
      <c r="I48" s="59">
        <v>7496.86</v>
      </c>
      <c r="J48" s="59">
        <v>7206.76</v>
      </c>
      <c r="K48" s="59">
        <v>7142.65</v>
      </c>
      <c r="L48" s="59">
        <v>7174.77</v>
      </c>
      <c r="M48" s="59">
        <v>7329.08</v>
      </c>
      <c r="N48" s="210"/>
      <c r="O48" s="210"/>
      <c r="P48" s="210"/>
      <c r="Q48" s="210"/>
      <c r="R48" s="196">
        <f>IF((M49=""),"",MAX(E50:M50))</f>
        <v>4528.2199999999993</v>
      </c>
      <c r="S48" s="194">
        <f>IF(M49="","",MIN(E50:M50))</f>
        <v>4147.0600000000013</v>
      </c>
      <c r="T48" s="195">
        <f>IF((M50=""),"",AVERAGE(E50:M50))</f>
        <v>4298.5155555555557</v>
      </c>
      <c r="U48" s="195">
        <f>IF((M49=""),"",(R48-S48)/(R48+S48)*100)</f>
        <v>4.3936334043396643</v>
      </c>
      <c r="V48" s="66">
        <f>STDEV(E50:Q50)</f>
        <v>139.13151432288043</v>
      </c>
      <c r="W48" s="83" t="str">
        <f>IF(M49="","",IF(T48&gt;3650,IF(T48&lt;4450,"Pass","Fail"),"Fail"))</f>
        <v>Pass</v>
      </c>
      <c r="AA48" s="86">
        <v>3650</v>
      </c>
      <c r="AB48" s="86">
        <v>4450</v>
      </c>
      <c r="AC48" s="86">
        <v>3700</v>
      </c>
      <c r="AD48" s="86">
        <v>4250</v>
      </c>
      <c r="AE48" s="86">
        <v>7.2</v>
      </c>
      <c r="AF48" s="86">
        <v>3</v>
      </c>
    </row>
    <row r="49" spans="1:32" ht="15.75">
      <c r="A49"/>
      <c r="B49" s="82"/>
      <c r="C49" s="82"/>
      <c r="D49" s="204" t="s">
        <v>115</v>
      </c>
      <c r="E49" s="59">
        <v>4678.26</v>
      </c>
      <c r="F49" s="59">
        <v>4883.07</v>
      </c>
      <c r="G49" s="59">
        <v>5100.92</v>
      </c>
      <c r="H49" s="59">
        <v>5103.72</v>
      </c>
      <c r="I49" s="59">
        <v>5249.65</v>
      </c>
      <c r="J49" s="59">
        <v>5104.24</v>
      </c>
      <c r="K49" s="59">
        <v>5004.91</v>
      </c>
      <c r="L49" s="59">
        <v>5101.24</v>
      </c>
      <c r="M49" s="59">
        <v>5134.84</v>
      </c>
      <c r="N49" s="205"/>
      <c r="O49" s="205"/>
      <c r="P49" s="205"/>
      <c r="Q49" s="205"/>
      <c r="R49" s="190"/>
      <c r="S49" s="190"/>
      <c r="T49" s="191"/>
      <c r="U49" s="191"/>
      <c r="W49" s="177"/>
    </row>
    <row r="50" spans="1:32" ht="48">
      <c r="A50"/>
      <c r="B50" s="207"/>
      <c r="C50" s="207"/>
      <c r="D50" s="204" t="s">
        <v>116</v>
      </c>
      <c r="E50" s="51">
        <f t="shared" ref="E50:M50" si="10">IF(((E48="")*AND(E49="")),"",(E48-E49)*2)</f>
        <v>4528.2199999999993</v>
      </c>
      <c r="F50" s="51">
        <f t="shared" si="10"/>
        <v>4236.26</v>
      </c>
      <c r="G50" s="51">
        <f t="shared" si="10"/>
        <v>4171.4599999999991</v>
      </c>
      <c r="H50" s="51">
        <f t="shared" si="10"/>
        <v>4240.2199999999993</v>
      </c>
      <c r="I50" s="51">
        <f t="shared" si="10"/>
        <v>4494.42</v>
      </c>
      <c r="J50" s="51">
        <f t="shared" si="10"/>
        <v>4205.0400000000009</v>
      </c>
      <c r="K50" s="51">
        <f t="shared" si="10"/>
        <v>4275.4799999999996</v>
      </c>
      <c r="L50" s="51">
        <f t="shared" si="10"/>
        <v>4147.0600000000013</v>
      </c>
      <c r="M50" s="51">
        <f t="shared" si="10"/>
        <v>4388.4799999999996</v>
      </c>
      <c r="N50" s="51"/>
      <c r="O50" s="51"/>
      <c r="P50" s="51"/>
      <c r="Q50" s="51"/>
      <c r="R50" s="192"/>
      <c r="S50" s="192"/>
      <c r="T50" s="193"/>
      <c r="U50" s="193"/>
      <c r="W50" s="178"/>
    </row>
    <row r="51" spans="1:32">
      <c r="A51" s="149">
        <v>42124</v>
      </c>
      <c r="B51" s="81" t="s">
        <v>121</v>
      </c>
      <c r="C51" s="81" t="s">
        <v>121</v>
      </c>
      <c r="D51" s="204" t="s">
        <v>114</v>
      </c>
      <c r="E51" s="59">
        <v>1928.46</v>
      </c>
      <c r="F51" s="59">
        <v>1920.3</v>
      </c>
      <c r="G51" s="59">
        <v>1923.33</v>
      </c>
      <c r="H51" s="59">
        <v>1918.29</v>
      </c>
      <c r="I51" s="59">
        <v>1924.01</v>
      </c>
      <c r="J51" s="59">
        <v>1929.22</v>
      </c>
      <c r="K51" s="59">
        <v>1921.58</v>
      </c>
      <c r="L51" s="59">
        <v>1922.47</v>
      </c>
      <c r="M51" s="59">
        <v>1924.02</v>
      </c>
      <c r="N51" s="205"/>
      <c r="O51" s="205"/>
      <c r="P51" s="205"/>
      <c r="Q51" s="205"/>
      <c r="R51" s="194">
        <f>IF((M52=""),"",MAX(E53:M53))</f>
        <v>2609.88</v>
      </c>
      <c r="S51" s="194">
        <f>IF((M52=""),"",MIN(E53:M53))</f>
        <v>2514.6400000000003</v>
      </c>
      <c r="T51" s="195">
        <f>IF((M53=""),"",AVERAGE(E53:M53))</f>
        <v>2559.315555555555</v>
      </c>
      <c r="U51" s="195">
        <f>IF((M52=""),"",(R51-S51)/(R51+S51)*100)</f>
        <v>1.8585155292593212</v>
      </c>
      <c r="V51" s="66">
        <f>STDEV(E53:Q53)</f>
        <v>32.879169359626779</v>
      </c>
      <c r="W51" s="174" t="str">
        <f>IF(M52="","",IF(U51&lt;5.5,IF(T51&gt;2200,IF(T51&lt;2900,"Pass","Fail"),"Fail"),"Fail"))</f>
        <v>Pass</v>
      </c>
      <c r="AA51" s="67">
        <v>2000</v>
      </c>
      <c r="AB51" s="67">
        <v>3000</v>
      </c>
      <c r="AC51" s="67">
        <v>2200</v>
      </c>
      <c r="AD51" s="67">
        <v>2900</v>
      </c>
      <c r="AE51" s="67">
        <v>7</v>
      </c>
      <c r="AF51" s="67">
        <v>5.5</v>
      </c>
    </row>
    <row r="52" spans="1:32">
      <c r="A52" s="149"/>
      <c r="B52" s="82"/>
      <c r="C52" s="82"/>
      <c r="D52" s="204" t="s">
        <v>115</v>
      </c>
      <c r="E52" s="59">
        <v>1288.42</v>
      </c>
      <c r="F52" s="59">
        <v>1275.5999999999999</v>
      </c>
      <c r="G52" s="59">
        <v>1291.23</v>
      </c>
      <c r="H52" s="59">
        <v>1277.5899999999999</v>
      </c>
      <c r="I52" s="59">
        <v>1290.69</v>
      </c>
      <c r="J52" s="59">
        <v>1278.7</v>
      </c>
      <c r="K52" s="59">
        <v>1269.1099999999999</v>
      </c>
      <c r="L52" s="59">
        <v>1286.52</v>
      </c>
      <c r="M52" s="59">
        <v>1295.3599999999999</v>
      </c>
      <c r="N52" s="205"/>
      <c r="O52" s="205"/>
      <c r="P52" s="205"/>
      <c r="Q52" s="205"/>
      <c r="R52" s="190"/>
      <c r="S52" s="190"/>
      <c r="T52" s="191"/>
      <c r="U52" s="191"/>
      <c r="W52" s="179"/>
    </row>
    <row r="53" spans="1:32" ht="48.75" thickBot="1">
      <c r="A53" s="149"/>
      <c r="B53" s="211"/>
      <c r="C53" s="211"/>
      <c r="D53" s="212" t="s">
        <v>116</v>
      </c>
      <c r="E53" s="87">
        <f t="shared" ref="E53:M53" si="11">IF(((E51="")*AND(E52="")),"",(E51-E52)*4)</f>
        <v>2560.16</v>
      </c>
      <c r="F53" s="87">
        <f t="shared" si="11"/>
        <v>2578.8000000000002</v>
      </c>
      <c r="G53" s="87">
        <f t="shared" si="11"/>
        <v>2528.3999999999996</v>
      </c>
      <c r="H53" s="87">
        <f t="shared" si="11"/>
        <v>2562.8000000000002</v>
      </c>
      <c r="I53" s="87">
        <f t="shared" si="11"/>
        <v>2533.2799999999997</v>
      </c>
      <c r="J53" s="87">
        <f t="shared" si="11"/>
        <v>2602.08</v>
      </c>
      <c r="K53" s="87">
        <f t="shared" si="11"/>
        <v>2609.88</v>
      </c>
      <c r="L53" s="87">
        <f t="shared" si="11"/>
        <v>2543.8000000000002</v>
      </c>
      <c r="M53" s="87">
        <f t="shared" si="11"/>
        <v>2514.6400000000003</v>
      </c>
      <c r="N53" s="87"/>
      <c r="O53" s="87"/>
      <c r="P53" s="87"/>
      <c r="Q53" s="87" t="str">
        <f>IF(((Q51="")*AND(Q52="")),"",(Q51-Q52)*4)</f>
        <v/>
      </c>
      <c r="R53" s="197"/>
      <c r="S53" s="197"/>
      <c r="T53" s="198"/>
      <c r="U53" s="198"/>
      <c r="W53" s="180"/>
    </row>
    <row r="54" spans="1:32">
      <c r="A54" s="149">
        <v>42130</v>
      </c>
      <c r="B54" s="200" t="s">
        <v>112</v>
      </c>
      <c r="C54" s="200" t="s">
        <v>113</v>
      </c>
      <c r="D54" s="201" t="s">
        <v>114</v>
      </c>
      <c r="E54" s="59">
        <v>7930.91</v>
      </c>
      <c r="F54" s="59">
        <v>8033.5</v>
      </c>
      <c r="G54" s="59">
        <v>8047.88</v>
      </c>
      <c r="H54" s="59">
        <v>8087.24</v>
      </c>
      <c r="I54" s="59">
        <v>8097.65</v>
      </c>
      <c r="J54" s="59">
        <v>8086.71</v>
      </c>
      <c r="K54" s="59">
        <v>8039.47</v>
      </c>
      <c r="L54" s="59">
        <v>8056.49</v>
      </c>
      <c r="M54" s="59">
        <v>7769.49</v>
      </c>
      <c r="N54" s="202"/>
      <c r="O54" s="202"/>
      <c r="P54" s="202"/>
      <c r="Q54" s="202"/>
      <c r="R54" s="188">
        <f>IF((M55=""),"",MAX(E56:M56))</f>
        <v>6558.26</v>
      </c>
      <c r="S54" s="188">
        <f>IF((M55=""),"",MIN(E56:M56))</f>
        <v>5941.7199999999993</v>
      </c>
      <c r="T54" s="189">
        <f>IF((M56=""),"",AVERAGE(E56:M56))</f>
        <v>6252.4955555555553</v>
      </c>
      <c r="U54" s="189">
        <f>IF((M55=""),"",(R54-S54)/(R54+S54)*100)</f>
        <v>4.9323278917246336</v>
      </c>
      <c r="V54" s="66">
        <f>STDEV(E56:Q56)</f>
        <v>230.35219290852299</v>
      </c>
      <c r="W54" s="170" t="str">
        <f>IF(M55="","",IF(U54&lt;6.3,IF(T54&gt;5550,IF(T54&lt;6900,"Pass","Fail"),"Fail"),"Fail"))</f>
        <v>Pass</v>
      </c>
      <c r="X54" s="88">
        <v>1400</v>
      </c>
      <c r="Y54" s="158" t="s">
        <v>123</v>
      </c>
      <c r="Z54" s="147"/>
      <c r="AA54" s="67">
        <v>5860</v>
      </c>
      <c r="AB54" s="67">
        <v>6770</v>
      </c>
      <c r="AC54" s="67">
        <v>5550</v>
      </c>
      <c r="AD54" s="67">
        <v>6900</v>
      </c>
      <c r="AE54" s="67">
        <v>20</v>
      </c>
      <c r="AF54" s="67">
        <v>6.3</v>
      </c>
    </row>
    <row r="55" spans="1:32">
      <c r="A55" s="149"/>
      <c r="B55" s="82"/>
      <c r="C55" s="82"/>
      <c r="D55" s="204" t="s">
        <v>115</v>
      </c>
      <c r="E55" s="59">
        <v>4732.46</v>
      </c>
      <c r="F55" s="59">
        <v>4764.28</v>
      </c>
      <c r="G55" s="59">
        <v>4859.59</v>
      </c>
      <c r="H55" s="59">
        <v>5091.7</v>
      </c>
      <c r="I55" s="59">
        <v>5126.79</v>
      </c>
      <c r="J55" s="59">
        <v>5052.8500000000004</v>
      </c>
      <c r="K55" s="59">
        <v>4906.24</v>
      </c>
      <c r="L55" s="59">
        <v>4988.84</v>
      </c>
      <c r="M55" s="59">
        <v>4490.3599999999997</v>
      </c>
      <c r="N55" s="205"/>
      <c r="O55" s="205"/>
      <c r="P55" s="205"/>
      <c r="Q55" s="205"/>
      <c r="R55" s="190"/>
      <c r="S55" s="190"/>
      <c r="T55" s="191"/>
      <c r="U55" s="191"/>
      <c r="W55" s="177"/>
      <c r="X55" s="89"/>
      <c r="Y55" s="159"/>
      <c r="Z55" s="147"/>
    </row>
    <row r="56" spans="1:32" ht="48.75" thickBot="1">
      <c r="A56" s="149"/>
      <c r="B56" s="207"/>
      <c r="C56" s="207"/>
      <c r="D56" s="204" t="s">
        <v>116</v>
      </c>
      <c r="E56" s="51">
        <f t="shared" ref="E56:M56" si="12">IF(((E54="")*AND(E55="")),"",(E54-E55)*2)</f>
        <v>6396.9</v>
      </c>
      <c r="F56" s="51">
        <f t="shared" si="12"/>
        <v>6538.4400000000005</v>
      </c>
      <c r="G56" s="51">
        <f t="shared" si="12"/>
        <v>6376.58</v>
      </c>
      <c r="H56" s="51">
        <f t="shared" si="12"/>
        <v>5991.08</v>
      </c>
      <c r="I56" s="51">
        <f t="shared" si="12"/>
        <v>5941.7199999999993</v>
      </c>
      <c r="J56" s="51">
        <f t="shared" si="12"/>
        <v>6067.7199999999993</v>
      </c>
      <c r="K56" s="51">
        <f t="shared" si="12"/>
        <v>6266.4600000000009</v>
      </c>
      <c r="L56" s="51">
        <f t="shared" si="12"/>
        <v>6135.2999999999993</v>
      </c>
      <c r="M56" s="51">
        <f t="shared" si="12"/>
        <v>6558.26</v>
      </c>
      <c r="N56" s="51"/>
      <c r="O56" s="51"/>
      <c r="P56" s="51"/>
      <c r="Q56" s="51" t="str">
        <f>IF(((Q54="")*AND(Q55="")),"",(Q54-Q55)*2)</f>
        <v/>
      </c>
      <c r="R56" s="192"/>
      <c r="S56" s="192"/>
      <c r="T56" s="193"/>
      <c r="U56" s="193"/>
      <c r="W56" s="178"/>
      <c r="X56" s="90"/>
      <c r="Y56" s="159"/>
      <c r="Z56" s="147"/>
    </row>
    <row r="57" spans="1:32">
      <c r="A57" s="149">
        <v>42130</v>
      </c>
      <c r="B57" s="81" t="s">
        <v>117</v>
      </c>
      <c r="C57" s="81" t="s">
        <v>118</v>
      </c>
      <c r="D57" s="204" t="s">
        <v>114</v>
      </c>
      <c r="E57" s="59">
        <v>2520.83</v>
      </c>
      <c r="F57" s="59">
        <v>2487.27</v>
      </c>
      <c r="G57" s="59">
        <v>2455.85</v>
      </c>
      <c r="H57" s="59">
        <v>2440.65</v>
      </c>
      <c r="I57" s="59">
        <v>2450.67</v>
      </c>
      <c r="J57" s="59">
        <v>2499.15</v>
      </c>
      <c r="K57" s="59">
        <v>2517.3000000000002</v>
      </c>
      <c r="L57" s="59">
        <v>2569.5700000000002</v>
      </c>
      <c r="M57" s="59">
        <v>2503.2800000000002</v>
      </c>
      <c r="N57" s="59">
        <v>2463.42</v>
      </c>
      <c r="O57" s="59">
        <v>2448.34</v>
      </c>
      <c r="P57" s="59">
        <v>2486.0700000000002</v>
      </c>
      <c r="Q57" s="59">
        <v>2532.34</v>
      </c>
      <c r="R57" s="194">
        <f>IF((Q58=""),"",MAX(E59:Q59))</f>
        <v>370.32000000000016</v>
      </c>
      <c r="S57" s="194">
        <f>IF(Q58="","",MIN(E59:Q59))</f>
        <v>325.3100000000004</v>
      </c>
      <c r="T57" s="195">
        <f>IF((Q59=""),"",AVERAGE(E59:Q59))</f>
        <v>343.98769230769244</v>
      </c>
      <c r="U57" s="195">
        <f>IF((Q58=""),"",(R57-S57)/(R57+S57)*100)</f>
        <v>6.4703937438005443</v>
      </c>
      <c r="V57" s="66">
        <f>STDEV(E59:Q59)</f>
        <v>11.429817841828923</v>
      </c>
      <c r="W57" s="83" t="str">
        <f>IF(Q58="","",IF(T57&gt;242,IF(T57&lt;320,"Pass","Fail"),"Fail"))</f>
        <v>Fail</v>
      </c>
      <c r="X57" s="88">
        <v>1400</v>
      </c>
      <c r="Y57" s="159"/>
      <c r="Z57" s="147"/>
      <c r="AA57" s="67">
        <v>240</v>
      </c>
      <c r="AB57" s="67">
        <v>320</v>
      </c>
      <c r="AC57" s="67">
        <v>190</v>
      </c>
      <c r="AD57" s="67">
        <v>360</v>
      </c>
      <c r="AE57" s="67">
        <v>20</v>
      </c>
      <c r="AF57" s="67">
        <v>11</v>
      </c>
    </row>
    <row r="58" spans="1:32">
      <c r="A58" s="149"/>
      <c r="B58" s="82"/>
      <c r="C58" s="82"/>
      <c r="D58" s="204" t="s">
        <v>115</v>
      </c>
      <c r="E58" s="59">
        <v>2167.83</v>
      </c>
      <c r="F58" s="59">
        <v>2148.16</v>
      </c>
      <c r="G58" s="59">
        <v>2108.8200000000002</v>
      </c>
      <c r="H58" s="59">
        <v>2103.39</v>
      </c>
      <c r="I58" s="59">
        <v>2104.92</v>
      </c>
      <c r="J58" s="59">
        <v>2128.83</v>
      </c>
      <c r="K58" s="59">
        <v>2167</v>
      </c>
      <c r="L58" s="59">
        <v>2221.7399999999998</v>
      </c>
      <c r="M58" s="59">
        <v>2177.9699999999998</v>
      </c>
      <c r="N58" s="59">
        <v>2125</v>
      </c>
      <c r="O58" s="59">
        <v>2111.23</v>
      </c>
      <c r="P58" s="59">
        <v>2135.84</v>
      </c>
      <c r="Q58" s="59">
        <v>2202.17</v>
      </c>
      <c r="R58" s="190"/>
      <c r="S58" s="190"/>
      <c r="T58" s="191"/>
      <c r="U58" s="191"/>
      <c r="W58" s="177"/>
      <c r="X58" s="89"/>
      <c r="Y58" s="159"/>
      <c r="Z58" s="147"/>
    </row>
    <row r="59" spans="1:32" ht="48.75" thickBot="1">
      <c r="A59" s="149"/>
      <c r="B59" s="207"/>
      <c r="C59" s="207"/>
      <c r="D59" s="204" t="s">
        <v>116</v>
      </c>
      <c r="E59" s="51">
        <f t="shared" ref="E59:Q59" si="13">IF(((E57="")*AND(E58="")),"",(E57-E58))</f>
        <v>353</v>
      </c>
      <c r="F59" s="51">
        <f t="shared" si="13"/>
        <v>339.11000000000013</v>
      </c>
      <c r="G59" s="51">
        <f t="shared" si="13"/>
        <v>347.02999999999975</v>
      </c>
      <c r="H59" s="51">
        <f t="shared" si="13"/>
        <v>337.26000000000022</v>
      </c>
      <c r="I59" s="51">
        <f t="shared" si="13"/>
        <v>345.75</v>
      </c>
      <c r="J59" s="51">
        <f t="shared" si="13"/>
        <v>370.32000000000016</v>
      </c>
      <c r="K59" s="51">
        <f t="shared" si="13"/>
        <v>350.30000000000018</v>
      </c>
      <c r="L59" s="51">
        <f t="shared" si="13"/>
        <v>347.83000000000038</v>
      </c>
      <c r="M59" s="51">
        <f t="shared" si="13"/>
        <v>325.3100000000004</v>
      </c>
      <c r="N59" s="85">
        <f t="shared" si="13"/>
        <v>338.42000000000007</v>
      </c>
      <c r="O59" s="85">
        <f t="shared" si="13"/>
        <v>337.11000000000013</v>
      </c>
      <c r="P59" s="85">
        <f t="shared" si="13"/>
        <v>350.23</v>
      </c>
      <c r="Q59" s="85">
        <f t="shared" si="13"/>
        <v>330.17000000000007</v>
      </c>
      <c r="R59" s="192"/>
      <c r="S59" s="192"/>
      <c r="T59" s="193"/>
      <c r="U59" s="193"/>
      <c r="W59" s="178"/>
      <c r="X59" s="90"/>
      <c r="Y59" s="159"/>
      <c r="Z59" s="147"/>
    </row>
    <row r="60" spans="1:32">
      <c r="A60" s="149">
        <v>42130</v>
      </c>
      <c r="B60" s="81" t="s">
        <v>119</v>
      </c>
      <c r="C60" s="81" t="s">
        <v>120</v>
      </c>
      <c r="D60" s="204" t="s">
        <v>114</v>
      </c>
      <c r="E60" s="59">
        <v>4693.1000000000004</v>
      </c>
      <c r="F60" s="59">
        <v>4896.68</v>
      </c>
      <c r="G60" s="59">
        <v>5114.07</v>
      </c>
      <c r="H60" s="59">
        <v>5117.12</v>
      </c>
      <c r="I60" s="59">
        <v>5263.29</v>
      </c>
      <c r="J60" s="59">
        <v>5118.47</v>
      </c>
      <c r="K60" s="59">
        <v>5018.7</v>
      </c>
      <c r="L60" s="59">
        <v>5114.12</v>
      </c>
      <c r="M60" s="59">
        <v>5148.46</v>
      </c>
      <c r="N60" s="210"/>
      <c r="O60" s="210"/>
      <c r="P60" s="210"/>
      <c r="Q60" s="210"/>
      <c r="R60" s="196">
        <f>IF((M61=""),"",MAX(E62:M62))</f>
        <v>4620.9000000000005</v>
      </c>
      <c r="S60" s="194">
        <f>IF(M61="","",MIN(E62:M62))</f>
        <v>4210.9399999999996</v>
      </c>
      <c r="T60" s="195">
        <f>IF((M62=""),"",AVERAGE(E62:M62))</f>
        <v>4373.5600000000013</v>
      </c>
      <c r="U60" s="195">
        <f>IF((M61=""),"",(R60-S60)/(R60+S60)*100)</f>
        <v>4.6418413377054035</v>
      </c>
      <c r="V60" s="66">
        <f>STDEV(E62:Q62)</f>
        <v>143.22532946371555</v>
      </c>
      <c r="W60" s="83" t="str">
        <f>IF(M61="","",IF(T60&gt;3650,IF(T60&lt;4450,"Pass","Fail"),"Fail"))</f>
        <v>Pass</v>
      </c>
      <c r="X60" s="88">
        <v>1400</v>
      </c>
      <c r="Y60" s="158" t="s">
        <v>123</v>
      </c>
      <c r="Z60" s="147"/>
      <c r="AA60" s="86">
        <v>3650</v>
      </c>
      <c r="AB60" s="86">
        <v>4450</v>
      </c>
      <c r="AC60" s="86">
        <v>3700</v>
      </c>
      <c r="AD60" s="86">
        <v>4250</v>
      </c>
      <c r="AE60" s="86">
        <v>7.2</v>
      </c>
      <c r="AF60" s="86">
        <v>3</v>
      </c>
    </row>
    <row r="61" spans="1:32">
      <c r="A61" s="149"/>
      <c r="B61" s="82"/>
      <c r="C61" s="82"/>
      <c r="D61" s="204" t="s">
        <v>115</v>
      </c>
      <c r="E61" s="59">
        <v>2382.65</v>
      </c>
      <c r="F61" s="59">
        <v>2733.26</v>
      </c>
      <c r="G61" s="59">
        <v>2997.47</v>
      </c>
      <c r="H61" s="59">
        <v>2961.42</v>
      </c>
      <c r="I61" s="59">
        <v>2976.77</v>
      </c>
      <c r="J61" s="59">
        <v>2972.25</v>
      </c>
      <c r="K61" s="59">
        <v>2840.69</v>
      </c>
      <c r="L61" s="59">
        <v>3008.65</v>
      </c>
      <c r="M61" s="59">
        <v>2929.83</v>
      </c>
      <c r="N61" s="205"/>
      <c r="O61" s="205"/>
      <c r="P61" s="205"/>
      <c r="Q61" s="205"/>
      <c r="R61" s="190"/>
      <c r="S61" s="190"/>
      <c r="T61" s="191"/>
      <c r="U61" s="191"/>
      <c r="W61" s="177"/>
      <c r="X61" s="89"/>
      <c r="Y61" s="159"/>
      <c r="Z61" s="147"/>
    </row>
    <row r="62" spans="1:32" ht="48.75" thickBot="1">
      <c r="A62" s="149"/>
      <c r="B62" s="207"/>
      <c r="C62" s="207"/>
      <c r="D62" s="204" t="s">
        <v>116</v>
      </c>
      <c r="E62" s="51">
        <f t="shared" ref="E62:M62" si="14">IF(((E60="")*AND(E61="")),"",(E60-E61)*2)</f>
        <v>4620.9000000000005</v>
      </c>
      <c r="F62" s="51">
        <f t="shared" si="14"/>
        <v>4326.84</v>
      </c>
      <c r="G62" s="51">
        <f t="shared" si="14"/>
        <v>4233.2</v>
      </c>
      <c r="H62" s="51">
        <f t="shared" si="14"/>
        <v>4311.3999999999996</v>
      </c>
      <c r="I62" s="51">
        <f t="shared" si="14"/>
        <v>4573.04</v>
      </c>
      <c r="J62" s="51">
        <f t="shared" si="14"/>
        <v>4292.4400000000005</v>
      </c>
      <c r="K62" s="51">
        <f t="shared" si="14"/>
        <v>4356.0199999999995</v>
      </c>
      <c r="L62" s="51">
        <f t="shared" si="14"/>
        <v>4210.9399999999996</v>
      </c>
      <c r="M62" s="51">
        <f t="shared" si="14"/>
        <v>4437.26</v>
      </c>
      <c r="N62" s="51"/>
      <c r="O62" s="51"/>
      <c r="P62" s="51"/>
      <c r="Q62" s="51"/>
      <c r="R62" s="192"/>
      <c r="S62" s="192"/>
      <c r="T62" s="193"/>
      <c r="U62" s="193"/>
      <c r="W62" s="178"/>
      <c r="X62" s="90"/>
      <c r="Y62" s="159"/>
      <c r="Z62" s="147"/>
    </row>
    <row r="63" spans="1:32">
      <c r="A63" s="149">
        <v>42130</v>
      </c>
      <c r="B63" s="81" t="s">
        <v>121</v>
      </c>
      <c r="C63" s="81" t="s">
        <v>121</v>
      </c>
      <c r="D63" s="204" t="s">
        <v>114</v>
      </c>
      <c r="E63" s="59">
        <v>2017.44</v>
      </c>
      <c r="F63" s="59">
        <v>1997.1</v>
      </c>
      <c r="G63" s="59">
        <v>1985.66</v>
      </c>
      <c r="H63" s="59">
        <v>1998.71</v>
      </c>
      <c r="I63" s="59">
        <v>2012.45</v>
      </c>
      <c r="J63" s="59">
        <v>2014.5</v>
      </c>
      <c r="K63" s="59">
        <v>1996.68</v>
      </c>
      <c r="L63" s="59">
        <v>1997.43</v>
      </c>
      <c r="M63" s="59">
        <v>2015.75</v>
      </c>
      <c r="N63" s="205"/>
      <c r="O63" s="205"/>
      <c r="P63" s="205"/>
      <c r="Q63" s="205"/>
      <c r="R63" s="194">
        <f>IF((M64=""),"",MAX(E65:M65))</f>
        <v>3048.76</v>
      </c>
      <c r="S63" s="194">
        <f>IF((M64=""),"",MIN(E65:M65))</f>
        <v>2776.7200000000003</v>
      </c>
      <c r="T63" s="195">
        <f>IF((M65=""),"",AVERAGE(E65:M65))</f>
        <v>2900.1644444444446</v>
      </c>
      <c r="U63" s="195">
        <f>IF((M64=""),"",(R63-S63)/(R63+S63)*100)</f>
        <v>4.6698297822668682</v>
      </c>
      <c r="V63" s="66">
        <f>STDEV(E65:Q65)</f>
        <v>80.506726289045005</v>
      </c>
      <c r="W63" s="174" t="str">
        <f>IF(M64="","",IF(U63&lt;5.5,IF(T63&gt;2200,IF(T63&lt;2900,"Pass","Fail"),"Fail"),"Fail"))</f>
        <v>Fail</v>
      </c>
      <c r="X63" s="88">
        <v>1400</v>
      </c>
      <c r="Y63" s="159"/>
      <c r="Z63" s="147"/>
      <c r="AA63" s="67">
        <v>2000</v>
      </c>
      <c r="AB63" s="67">
        <v>3000</v>
      </c>
      <c r="AC63" s="67">
        <v>2200</v>
      </c>
      <c r="AD63" s="67">
        <v>2900</v>
      </c>
      <c r="AE63" s="67">
        <v>7</v>
      </c>
      <c r="AF63" s="67">
        <v>5.5</v>
      </c>
    </row>
    <row r="64" spans="1:32">
      <c r="A64" s="149"/>
      <c r="B64" s="82"/>
      <c r="C64" s="82"/>
      <c r="D64" s="204" t="s">
        <v>115</v>
      </c>
      <c r="E64" s="59">
        <v>1279.45</v>
      </c>
      <c r="F64" s="59">
        <v>1282.5999999999999</v>
      </c>
      <c r="G64" s="59">
        <v>1291.48</v>
      </c>
      <c r="H64" s="59">
        <v>1278.68</v>
      </c>
      <c r="I64" s="59">
        <v>1272.4000000000001</v>
      </c>
      <c r="J64" s="59">
        <v>1252.31</v>
      </c>
      <c r="K64" s="59">
        <v>1269.2</v>
      </c>
      <c r="L64" s="59">
        <v>1291.6099999999999</v>
      </c>
      <c r="M64" s="59">
        <v>1292.6199999999999</v>
      </c>
      <c r="N64" s="205"/>
      <c r="O64" s="205"/>
      <c r="P64" s="205"/>
      <c r="Q64" s="205"/>
      <c r="R64" s="190"/>
      <c r="S64" s="190"/>
      <c r="T64" s="191"/>
      <c r="U64" s="191"/>
      <c r="W64" s="179"/>
      <c r="X64" s="89"/>
      <c r="Y64" s="159"/>
      <c r="Z64" s="147"/>
    </row>
    <row r="65" spans="1:32" ht="48.75" thickBot="1">
      <c r="A65" s="149"/>
      <c r="B65" s="211"/>
      <c r="C65" s="211"/>
      <c r="D65" s="212" t="s">
        <v>116</v>
      </c>
      <c r="E65" s="87">
        <f t="shared" ref="E65:M65" si="15">IF(((E63="")*AND(E64="")),"",(E63-E64)*4)</f>
        <v>2951.96</v>
      </c>
      <c r="F65" s="87">
        <f t="shared" si="15"/>
        <v>2858</v>
      </c>
      <c r="G65" s="87">
        <f t="shared" si="15"/>
        <v>2776.7200000000003</v>
      </c>
      <c r="H65" s="87">
        <f t="shared" si="15"/>
        <v>2880.12</v>
      </c>
      <c r="I65" s="87">
        <f t="shared" si="15"/>
        <v>2960.2</v>
      </c>
      <c r="J65" s="87">
        <f t="shared" si="15"/>
        <v>3048.76</v>
      </c>
      <c r="K65" s="87">
        <f t="shared" si="15"/>
        <v>2909.92</v>
      </c>
      <c r="L65" s="87">
        <f t="shared" si="15"/>
        <v>2823.2800000000007</v>
      </c>
      <c r="M65" s="87">
        <f t="shared" si="15"/>
        <v>2892.5200000000004</v>
      </c>
      <c r="N65" s="87"/>
      <c r="O65" s="87"/>
      <c r="P65" s="87"/>
      <c r="Q65" s="87" t="str">
        <f>IF(((Q63="")*AND(Q64="")),"",(Q63-Q64)*4)</f>
        <v/>
      </c>
      <c r="R65" s="197"/>
      <c r="S65" s="197"/>
      <c r="T65" s="198"/>
      <c r="U65" s="198"/>
      <c r="W65" s="180"/>
      <c r="X65" s="90"/>
      <c r="Y65" s="160"/>
      <c r="Z65" s="147"/>
    </row>
    <row r="66" spans="1:32">
      <c r="A66" s="149">
        <v>42131</v>
      </c>
      <c r="B66" s="81" t="s">
        <v>117</v>
      </c>
      <c r="C66" s="81" t="s">
        <v>118</v>
      </c>
      <c r="D66" s="204" t="s">
        <v>114</v>
      </c>
      <c r="E66" s="59">
        <v>2772.37</v>
      </c>
      <c r="F66" s="59">
        <v>2737.56</v>
      </c>
      <c r="G66" s="59">
        <v>2715.67</v>
      </c>
      <c r="H66" s="59">
        <v>2709.49</v>
      </c>
      <c r="I66" s="59">
        <v>2711.83</v>
      </c>
      <c r="J66" s="59">
        <v>2731.15</v>
      </c>
      <c r="K66" s="59">
        <v>2770.23</v>
      </c>
      <c r="L66" s="59">
        <v>2814.21</v>
      </c>
      <c r="M66" s="59">
        <v>2758</v>
      </c>
      <c r="N66" s="59">
        <v>2726.72</v>
      </c>
      <c r="O66" s="59">
        <v>2708.71</v>
      </c>
      <c r="P66" s="59">
        <v>2728.21</v>
      </c>
      <c r="Q66" s="59">
        <v>2770.91</v>
      </c>
      <c r="R66" s="194">
        <f>IF((Q67=""),"",MAX(E68:Q68))</f>
        <v>273.9399999999996</v>
      </c>
      <c r="S66" s="194">
        <f>IF(Q67="","",MIN(E68:Q68))</f>
        <v>248.19000000000005</v>
      </c>
      <c r="T66" s="195">
        <f>IF((Q68=""),"",AVERAGE(E68:Q68))</f>
        <v>264.01461538461535</v>
      </c>
      <c r="U66" s="195">
        <f>IF((Q67=""),"",(R66-S66)/(R66+S66)*100)</f>
        <v>4.9317219849461944</v>
      </c>
      <c r="V66" s="66">
        <f>STDEV(E68:Q68)</f>
        <v>8.86923109724939</v>
      </c>
      <c r="W66" s="83" t="str">
        <f>IF(Q67="","",IF(T66&gt;242,IF(T66&lt;320,"Pass","Fail"),"Fail"))</f>
        <v>Pass</v>
      </c>
      <c r="X66" s="88">
        <v>1400</v>
      </c>
      <c r="Y66" s="158" t="s">
        <v>123</v>
      </c>
      <c r="AA66" s="67">
        <v>240</v>
      </c>
      <c r="AB66" s="67">
        <v>320</v>
      </c>
      <c r="AC66" s="67">
        <v>190</v>
      </c>
      <c r="AD66" s="67">
        <v>360</v>
      </c>
      <c r="AE66" s="67">
        <v>20</v>
      </c>
      <c r="AF66" s="67">
        <v>11</v>
      </c>
    </row>
    <row r="67" spans="1:32">
      <c r="A67" s="149"/>
      <c r="B67" s="82"/>
      <c r="C67" s="82"/>
      <c r="D67" s="204" t="s">
        <v>115</v>
      </c>
      <c r="E67" s="59">
        <v>2520.6799999999998</v>
      </c>
      <c r="F67" s="59">
        <v>2479.77</v>
      </c>
      <c r="G67" s="59">
        <v>2445.4299999999998</v>
      </c>
      <c r="H67" s="59">
        <v>2435.5500000000002</v>
      </c>
      <c r="I67" s="59">
        <v>2439.48</v>
      </c>
      <c r="J67" s="59">
        <v>2462.0500000000002</v>
      </c>
      <c r="K67" s="59">
        <v>2499.4899999999998</v>
      </c>
      <c r="L67" s="59">
        <v>2561.02</v>
      </c>
      <c r="M67" s="59">
        <v>2499.19</v>
      </c>
      <c r="N67" s="59">
        <v>2456.7600000000002</v>
      </c>
      <c r="O67" s="59">
        <v>2438.15</v>
      </c>
      <c r="P67" s="59">
        <v>2462.58</v>
      </c>
      <c r="Q67" s="59">
        <v>2522.7199999999998</v>
      </c>
      <c r="R67" s="190"/>
      <c r="S67" s="190"/>
      <c r="T67" s="191"/>
      <c r="U67" s="191"/>
      <c r="W67" s="177"/>
      <c r="X67" s="89"/>
    </row>
    <row r="68" spans="1:32" ht="48.75" thickBot="1">
      <c r="A68" s="149"/>
      <c r="B68" s="207"/>
      <c r="C68" s="207"/>
      <c r="D68" s="204" t="s">
        <v>116</v>
      </c>
      <c r="E68" s="51">
        <f t="shared" ref="E68:Q68" si="16">IF(((E66="")*AND(E67="")),"",(E66-E67))</f>
        <v>251.69000000000005</v>
      </c>
      <c r="F68" s="51">
        <f t="shared" si="16"/>
        <v>257.78999999999996</v>
      </c>
      <c r="G68" s="51">
        <f t="shared" si="16"/>
        <v>270.24000000000024</v>
      </c>
      <c r="H68" s="51">
        <f t="shared" si="16"/>
        <v>273.9399999999996</v>
      </c>
      <c r="I68" s="51">
        <f t="shared" si="16"/>
        <v>272.34999999999991</v>
      </c>
      <c r="J68" s="51">
        <f t="shared" si="16"/>
        <v>269.09999999999991</v>
      </c>
      <c r="K68" s="51">
        <f t="shared" si="16"/>
        <v>270.74000000000024</v>
      </c>
      <c r="L68" s="51">
        <f t="shared" si="16"/>
        <v>253.19000000000005</v>
      </c>
      <c r="M68" s="51">
        <f t="shared" si="16"/>
        <v>258.80999999999995</v>
      </c>
      <c r="N68" s="51">
        <f t="shared" si="16"/>
        <v>269.95999999999958</v>
      </c>
      <c r="O68" s="51">
        <f t="shared" si="16"/>
        <v>270.55999999999995</v>
      </c>
      <c r="P68" s="51">
        <f t="shared" si="16"/>
        <v>265.63000000000011</v>
      </c>
      <c r="Q68" s="51">
        <f t="shared" si="16"/>
        <v>248.19000000000005</v>
      </c>
      <c r="R68" s="192"/>
      <c r="S68" s="192"/>
      <c r="T68" s="193"/>
      <c r="U68" s="193"/>
      <c r="W68" s="178"/>
      <c r="X68" s="90"/>
    </row>
    <row r="69" spans="1:32">
      <c r="A69" s="149">
        <v>42144</v>
      </c>
      <c r="B69" s="200" t="s">
        <v>112</v>
      </c>
      <c r="C69" s="200" t="s">
        <v>113</v>
      </c>
      <c r="D69" s="201" t="s">
        <v>114</v>
      </c>
      <c r="E69" s="59">
        <v>7921.84</v>
      </c>
      <c r="F69" s="59">
        <v>8031.39</v>
      </c>
      <c r="G69" s="59">
        <v>8043.83</v>
      </c>
      <c r="H69" s="59">
        <v>8084.94</v>
      </c>
      <c r="I69" s="59">
        <v>8091.57</v>
      </c>
      <c r="J69" s="59">
        <v>8082.83</v>
      </c>
      <c r="K69" s="59">
        <v>8032.4</v>
      </c>
      <c r="L69" s="59">
        <v>8053.77</v>
      </c>
      <c r="M69" s="59">
        <v>7769.81</v>
      </c>
      <c r="N69" s="202"/>
      <c r="O69" s="202"/>
      <c r="P69" s="202"/>
      <c r="Q69" s="202"/>
      <c r="R69" s="188">
        <f>IF((M70=""),"",MAX(E71:M71))</f>
        <v>6608.7800000000007</v>
      </c>
      <c r="S69" s="188">
        <f>IF((M70=""),"",MIN(E71:M71))</f>
        <v>5984.66</v>
      </c>
      <c r="T69" s="189">
        <f>IF((M71=""),"",AVERAGE(E71:M71))</f>
        <v>6296.8844444444439</v>
      </c>
      <c r="U69" s="189">
        <f>IF((M70=""),"",(R69-S69)/(R69+S69)*100)</f>
        <v>4.9559135549937166</v>
      </c>
      <c r="V69" s="66">
        <f>STDEV(E71:Q71)</f>
        <v>232.10561233580844</v>
      </c>
      <c r="W69" s="170" t="str">
        <f>IF(M70="","",IF(U69&lt;6.3,IF(T69&gt;5550,IF(T69&lt;6900,"Pass","Fail"),"Fail"),"Fail"))</f>
        <v>Pass</v>
      </c>
      <c r="X69" s="88">
        <v>1400</v>
      </c>
      <c r="Y69" s="158" t="s">
        <v>124</v>
      </c>
      <c r="Z69" s="147"/>
      <c r="AA69" s="67">
        <v>5860</v>
      </c>
      <c r="AB69" s="67">
        <v>6770</v>
      </c>
      <c r="AC69" s="67">
        <v>5550</v>
      </c>
      <c r="AD69" s="67">
        <v>6900</v>
      </c>
      <c r="AE69" s="67">
        <v>20</v>
      </c>
      <c r="AF69" s="67">
        <v>6.3</v>
      </c>
    </row>
    <row r="70" spans="1:32">
      <c r="A70" s="149"/>
      <c r="B70" s="82"/>
      <c r="C70" s="82"/>
      <c r="D70" s="204" t="s">
        <v>115</v>
      </c>
      <c r="E70" s="59">
        <v>4705.8100000000004</v>
      </c>
      <c r="F70" s="59">
        <v>4736.59</v>
      </c>
      <c r="G70" s="59">
        <v>4834.37</v>
      </c>
      <c r="H70" s="59">
        <v>5068.2700000000004</v>
      </c>
      <c r="I70" s="59">
        <v>5099.24</v>
      </c>
      <c r="J70" s="59">
        <v>5025.12</v>
      </c>
      <c r="K70" s="59">
        <v>4875.6099999999997</v>
      </c>
      <c r="L70" s="59">
        <v>4965.97</v>
      </c>
      <c r="M70" s="59">
        <v>4465.42</v>
      </c>
      <c r="N70" s="205"/>
      <c r="O70" s="205"/>
      <c r="P70" s="205"/>
      <c r="Q70" s="205"/>
      <c r="R70" s="190"/>
      <c r="S70" s="190"/>
      <c r="T70" s="191"/>
      <c r="U70" s="191"/>
      <c r="W70" s="177"/>
      <c r="X70" s="89"/>
      <c r="Y70" s="159"/>
      <c r="Z70" s="147"/>
    </row>
    <row r="71" spans="1:32" ht="48.75" thickBot="1">
      <c r="A71" s="149"/>
      <c r="B71" s="207"/>
      <c r="C71" s="207"/>
      <c r="D71" s="204" t="s">
        <v>116</v>
      </c>
      <c r="E71" s="51">
        <f t="shared" ref="E71:M71" si="17">IF(((E69="")*AND(E70="")),"",(E69-E70)*2)</f>
        <v>6432.0599999999995</v>
      </c>
      <c r="F71" s="51">
        <f t="shared" si="17"/>
        <v>6589.6</v>
      </c>
      <c r="G71" s="51">
        <f t="shared" si="17"/>
        <v>6418.92</v>
      </c>
      <c r="H71" s="51">
        <f t="shared" si="17"/>
        <v>6033.3399999999983</v>
      </c>
      <c r="I71" s="51">
        <f t="shared" si="17"/>
        <v>5984.66</v>
      </c>
      <c r="J71" s="51">
        <f t="shared" si="17"/>
        <v>6115.42</v>
      </c>
      <c r="K71" s="51">
        <f t="shared" si="17"/>
        <v>6313.58</v>
      </c>
      <c r="L71" s="51">
        <f t="shared" si="17"/>
        <v>6175.6</v>
      </c>
      <c r="M71" s="51">
        <f t="shared" si="17"/>
        <v>6608.7800000000007</v>
      </c>
      <c r="N71" s="51"/>
      <c r="O71" s="51"/>
      <c r="P71" s="51"/>
      <c r="Q71" s="51" t="str">
        <f>IF(((Q69="")*AND(Q70="")),"",(Q69-Q70)*2)</f>
        <v/>
      </c>
      <c r="R71" s="192"/>
      <c r="S71" s="192"/>
      <c r="T71" s="193"/>
      <c r="U71" s="193"/>
      <c r="W71" s="178"/>
      <c r="X71" s="90"/>
      <c r="Y71" s="159"/>
      <c r="Z71" s="147"/>
    </row>
    <row r="72" spans="1:32">
      <c r="A72" s="149">
        <v>42144</v>
      </c>
      <c r="B72" s="81" t="s">
        <v>117</v>
      </c>
      <c r="C72" s="81" t="s">
        <v>118</v>
      </c>
      <c r="D72" s="204" t="s">
        <v>114</v>
      </c>
      <c r="E72" s="59">
        <v>2769</v>
      </c>
      <c r="F72" s="59">
        <v>2733.77</v>
      </c>
      <c r="G72" s="59">
        <v>2709.19</v>
      </c>
      <c r="H72" s="59">
        <v>2702.38</v>
      </c>
      <c r="I72" s="59">
        <v>2706.93</v>
      </c>
      <c r="J72" s="59">
        <v>2726.05</v>
      </c>
      <c r="K72" s="59">
        <v>2764.13</v>
      </c>
      <c r="L72" s="59">
        <v>2805.41</v>
      </c>
      <c r="M72" s="59">
        <v>2752.71</v>
      </c>
      <c r="N72" s="59">
        <v>2717.92</v>
      </c>
      <c r="O72" s="59">
        <v>2702.44</v>
      </c>
      <c r="P72" s="59">
        <v>2718.18</v>
      </c>
      <c r="Q72" s="59">
        <v>2764.64</v>
      </c>
      <c r="R72" s="194">
        <f>IF((Q73=""),"",MAX(E74:Q74))</f>
        <v>293.53999999999996</v>
      </c>
      <c r="S72" s="194">
        <f>IF(Q73="","",MIN(E74:Q74))</f>
        <v>268</v>
      </c>
      <c r="T72" s="195">
        <f>IF((Q74=""),"",AVERAGE(E74:Q74))</f>
        <v>277.49000000000007</v>
      </c>
      <c r="U72" s="195">
        <f>IF((Q73=""),"",(R72-S72)/(R72+S72)*100)</f>
        <v>4.5482067172418645</v>
      </c>
      <c r="V72" s="66">
        <f>STDEV(E74:Q74)</f>
        <v>7.2819125235061248</v>
      </c>
      <c r="W72" s="83" t="str">
        <f>IF(Q73="","",IF(T72&gt;242,IF(T72&lt;320,"Pass","Fail"),"Fail"))</f>
        <v>Pass</v>
      </c>
      <c r="X72" s="88">
        <v>1400</v>
      </c>
      <c r="Y72" s="159" t="s">
        <v>124</v>
      </c>
      <c r="Z72" s="147"/>
      <c r="AA72" s="67">
        <v>240</v>
      </c>
      <c r="AB72" s="67">
        <v>320</v>
      </c>
      <c r="AC72" s="67">
        <v>190</v>
      </c>
      <c r="AD72" s="67">
        <v>360</v>
      </c>
      <c r="AE72" s="67">
        <v>20</v>
      </c>
      <c r="AF72" s="67">
        <v>11</v>
      </c>
    </row>
    <row r="73" spans="1:32">
      <c r="A73" s="149"/>
      <c r="B73" s="82"/>
      <c r="C73" s="82"/>
      <c r="D73" s="204" t="s">
        <v>115</v>
      </c>
      <c r="E73" s="59">
        <v>2475.46</v>
      </c>
      <c r="F73" s="59">
        <v>2460.7199999999998</v>
      </c>
      <c r="G73" s="59">
        <v>2435.4299999999998</v>
      </c>
      <c r="H73" s="59">
        <v>2423.69</v>
      </c>
      <c r="I73" s="59">
        <v>2431.39</v>
      </c>
      <c r="J73" s="59">
        <v>2450.41</v>
      </c>
      <c r="K73" s="59">
        <v>2475.71</v>
      </c>
      <c r="L73" s="59">
        <v>2521.79</v>
      </c>
      <c r="M73" s="59">
        <v>2484.71</v>
      </c>
      <c r="N73" s="59">
        <v>2443.9</v>
      </c>
      <c r="O73" s="59">
        <v>2425.1799999999998</v>
      </c>
      <c r="P73" s="59">
        <v>2449.4699999999998</v>
      </c>
      <c r="Q73" s="59">
        <v>2487.52</v>
      </c>
      <c r="R73" s="190"/>
      <c r="S73" s="190"/>
      <c r="T73" s="191"/>
      <c r="U73" s="191"/>
      <c r="W73" s="177"/>
      <c r="X73" s="89"/>
      <c r="Y73" s="159"/>
      <c r="Z73" s="147"/>
    </row>
    <row r="74" spans="1:32" ht="48.75" thickBot="1">
      <c r="A74" s="149"/>
      <c r="B74" s="207"/>
      <c r="C74" s="207"/>
      <c r="D74" s="204" t="s">
        <v>116</v>
      </c>
      <c r="E74" s="51">
        <f t="shared" ref="E74:Q74" si="18">IF(((E72="")*AND(E73="")),"",(E72-E73))</f>
        <v>293.53999999999996</v>
      </c>
      <c r="F74" s="51">
        <f t="shared" si="18"/>
        <v>273.05000000000018</v>
      </c>
      <c r="G74" s="51">
        <f t="shared" si="18"/>
        <v>273.76000000000022</v>
      </c>
      <c r="H74" s="51">
        <f t="shared" si="18"/>
        <v>278.69000000000005</v>
      </c>
      <c r="I74" s="51">
        <f t="shared" si="18"/>
        <v>275.53999999999996</v>
      </c>
      <c r="J74" s="51">
        <f t="shared" si="18"/>
        <v>275.64000000000033</v>
      </c>
      <c r="K74" s="51">
        <f t="shared" si="18"/>
        <v>288.42000000000007</v>
      </c>
      <c r="L74" s="51">
        <f t="shared" si="18"/>
        <v>283.61999999999989</v>
      </c>
      <c r="M74" s="51">
        <f t="shared" si="18"/>
        <v>268</v>
      </c>
      <c r="N74" s="85">
        <f t="shared" si="18"/>
        <v>274.02</v>
      </c>
      <c r="O74" s="85">
        <f t="shared" si="18"/>
        <v>277.26000000000022</v>
      </c>
      <c r="P74" s="85">
        <f t="shared" si="18"/>
        <v>268.71000000000004</v>
      </c>
      <c r="Q74" s="85">
        <f t="shared" si="18"/>
        <v>277.11999999999989</v>
      </c>
      <c r="R74" s="192"/>
      <c r="S74" s="192"/>
      <c r="T74" s="193"/>
      <c r="U74" s="193"/>
      <c r="W74" s="178"/>
      <c r="X74" s="90"/>
      <c r="Y74" s="159"/>
      <c r="Z74" s="147"/>
    </row>
    <row r="75" spans="1:32">
      <c r="A75" s="149">
        <v>42144</v>
      </c>
      <c r="B75" s="81" t="s">
        <v>119</v>
      </c>
      <c r="C75" s="81" t="s">
        <v>120</v>
      </c>
      <c r="D75" s="204" t="s">
        <v>114</v>
      </c>
      <c r="E75" s="59">
        <v>6951.39</v>
      </c>
      <c r="F75" s="59">
        <v>7014.14</v>
      </c>
      <c r="G75" s="59">
        <v>7207.91</v>
      </c>
      <c r="H75" s="59">
        <v>7253.13</v>
      </c>
      <c r="I75" s="59">
        <v>7546.62</v>
      </c>
      <c r="J75" s="59">
        <v>7247.84</v>
      </c>
      <c r="K75" s="59">
        <v>7168.65</v>
      </c>
      <c r="L75" s="59">
        <v>7190.59</v>
      </c>
      <c r="M75" s="59">
        <v>7342.18</v>
      </c>
      <c r="N75" s="210"/>
      <c r="O75" s="210"/>
      <c r="P75" s="210"/>
      <c r="Q75" s="210"/>
      <c r="R75" s="196">
        <f>IF((M76=""),"",MAX(E77:M77))</f>
        <v>4626.9000000000015</v>
      </c>
      <c r="S75" s="194">
        <f>IF(M76="","",MIN(E77:M77))</f>
        <v>4199.3000000000011</v>
      </c>
      <c r="T75" s="195">
        <f>IF((M77=""),"",AVERAGE(E77:M77))</f>
        <v>4369.0844444444438</v>
      </c>
      <c r="U75" s="195">
        <f>IF((M76=""),"",(R75-S75)/(R75+S75)*100)</f>
        <v>4.8446670141170634</v>
      </c>
      <c r="V75" s="66">
        <f>STDEV(E77:Q77)</f>
        <v>150.52237567146207</v>
      </c>
      <c r="W75" s="83" t="str">
        <f>IF(M76="","",IF(T75&gt;3650,IF(T75&lt;4450,"Pass","Fail"),"Fail"))</f>
        <v>Pass</v>
      </c>
      <c r="X75" s="88">
        <v>1400</v>
      </c>
      <c r="Y75" s="159" t="s">
        <v>124</v>
      </c>
      <c r="Z75" s="147"/>
      <c r="AA75" s="86">
        <v>3650</v>
      </c>
      <c r="AB75" s="86">
        <v>4450</v>
      </c>
      <c r="AC75" s="86">
        <v>3700</v>
      </c>
      <c r="AD75" s="86">
        <v>4250</v>
      </c>
      <c r="AE75" s="86">
        <v>7.2</v>
      </c>
      <c r="AF75" s="86">
        <v>3</v>
      </c>
    </row>
    <row r="76" spans="1:32">
      <c r="A76" s="149"/>
      <c r="B76" s="82"/>
      <c r="C76" s="82"/>
      <c r="D76" s="204" t="s">
        <v>115</v>
      </c>
      <c r="E76" s="59">
        <v>4637.9399999999996</v>
      </c>
      <c r="F76" s="59">
        <v>4861.5600000000004</v>
      </c>
      <c r="G76" s="59">
        <v>5093.47</v>
      </c>
      <c r="H76" s="59">
        <v>5104</v>
      </c>
      <c r="I76" s="59">
        <v>5259.06</v>
      </c>
      <c r="J76" s="59">
        <v>5103.0600000000004</v>
      </c>
      <c r="K76" s="59">
        <v>4997.7299999999996</v>
      </c>
      <c r="L76" s="59">
        <v>5090.9399999999996</v>
      </c>
      <c r="M76" s="59">
        <v>5113.8100000000004</v>
      </c>
      <c r="N76" s="205"/>
      <c r="O76" s="205"/>
      <c r="P76" s="205"/>
      <c r="Q76" s="205"/>
      <c r="R76" s="190"/>
      <c r="S76" s="190"/>
      <c r="T76" s="191"/>
      <c r="U76" s="191"/>
      <c r="W76" s="177"/>
      <c r="X76" s="89"/>
      <c r="Y76" s="159"/>
      <c r="Z76" s="147"/>
    </row>
    <row r="77" spans="1:32" ht="48.75" thickBot="1">
      <c r="A77" s="149"/>
      <c r="B77" s="207"/>
      <c r="C77" s="207"/>
      <c r="D77" s="204" t="s">
        <v>116</v>
      </c>
      <c r="E77" s="51">
        <f t="shared" ref="E77:M77" si="19">IF(((E75="")*AND(E76="")),"",(E75-E76)*2)</f>
        <v>4626.9000000000015</v>
      </c>
      <c r="F77" s="51">
        <f t="shared" si="19"/>
        <v>4305.16</v>
      </c>
      <c r="G77" s="51">
        <f t="shared" si="19"/>
        <v>4228.8799999999992</v>
      </c>
      <c r="H77" s="51">
        <f t="shared" si="19"/>
        <v>4298.26</v>
      </c>
      <c r="I77" s="51">
        <f t="shared" si="19"/>
        <v>4575.119999999999</v>
      </c>
      <c r="J77" s="51">
        <f t="shared" si="19"/>
        <v>4289.5599999999995</v>
      </c>
      <c r="K77" s="51">
        <f t="shared" si="19"/>
        <v>4341.84</v>
      </c>
      <c r="L77" s="51">
        <f t="shared" si="19"/>
        <v>4199.3000000000011</v>
      </c>
      <c r="M77" s="51">
        <f t="shared" si="19"/>
        <v>4456.74</v>
      </c>
      <c r="N77" s="51"/>
      <c r="O77" s="51"/>
      <c r="P77" s="51"/>
      <c r="Q77" s="51"/>
      <c r="R77" s="192"/>
      <c r="S77" s="192"/>
      <c r="T77" s="193"/>
      <c r="U77" s="193"/>
      <c r="W77" s="178"/>
      <c r="X77" s="90"/>
      <c r="Y77" s="159"/>
      <c r="Z77" s="147"/>
    </row>
    <row r="78" spans="1:32">
      <c r="A78" s="149">
        <v>42144</v>
      </c>
      <c r="B78" s="81" t="s">
        <v>121</v>
      </c>
      <c r="C78" s="81" t="s">
        <v>121</v>
      </c>
      <c r="D78" s="204" t="s">
        <v>114</v>
      </c>
      <c r="E78" s="59">
        <v>1913.57</v>
      </c>
      <c r="F78" s="59">
        <v>1907.44</v>
      </c>
      <c r="G78" s="59">
        <v>1902.72</v>
      </c>
      <c r="H78" s="59">
        <v>1912.27</v>
      </c>
      <c r="I78" s="59">
        <v>1919.55</v>
      </c>
      <c r="J78" s="59">
        <v>1918.88</v>
      </c>
      <c r="K78" s="59">
        <v>1910.16</v>
      </c>
      <c r="L78" s="59">
        <v>1909.44</v>
      </c>
      <c r="M78" s="59">
        <v>1918.12</v>
      </c>
      <c r="N78" s="205"/>
      <c r="O78" s="205"/>
      <c r="P78" s="205"/>
      <c r="Q78" s="205"/>
      <c r="R78" s="194">
        <f>IF((M79=""),"",MAX(E80:M80))</f>
        <v>2718.0400000000009</v>
      </c>
      <c r="S78" s="194">
        <f>IF((M79=""),"",MIN(E80:M80))</f>
        <v>2526.7200000000003</v>
      </c>
      <c r="T78" s="195">
        <f>IF((M80=""),"",AVERAGE(E80:M80))</f>
        <v>2621.008888888889</v>
      </c>
      <c r="U78" s="195">
        <f>IF((M79=""),"",(R78-S78)/(R78+S78)*100)</f>
        <v>3.6478313592995781</v>
      </c>
      <c r="V78" s="66">
        <f>STDEV(E80:Q80)</f>
        <v>63.766369750122657</v>
      </c>
      <c r="W78" s="174" t="str">
        <f>IF(M79="","",IF(U78&lt;5.5,IF(T78&gt;2200,IF(T78&lt;2900,"Pass","Fail"),"Fail"),"Fail"))</f>
        <v>Pass</v>
      </c>
      <c r="X78" s="88">
        <v>1400</v>
      </c>
      <c r="Y78" s="159" t="s">
        <v>124</v>
      </c>
      <c r="Z78" s="147"/>
      <c r="AA78" s="67">
        <v>2000</v>
      </c>
      <c r="AB78" s="67">
        <v>3000</v>
      </c>
      <c r="AC78" s="67">
        <v>2200</v>
      </c>
      <c r="AD78" s="67">
        <v>2900</v>
      </c>
      <c r="AE78" s="67">
        <v>7</v>
      </c>
      <c r="AF78" s="67">
        <v>5.5</v>
      </c>
    </row>
    <row r="79" spans="1:32" ht="15.75">
      <c r="A79"/>
      <c r="B79" s="82"/>
      <c r="C79" s="82"/>
      <c r="D79" s="204" t="s">
        <v>115</v>
      </c>
      <c r="E79" s="59">
        <v>1256.1199999999999</v>
      </c>
      <c r="F79" s="59">
        <v>1265.19</v>
      </c>
      <c r="G79" s="59">
        <v>1271.04</v>
      </c>
      <c r="H79" s="59">
        <v>1256.52</v>
      </c>
      <c r="I79" s="59">
        <v>1242.18</v>
      </c>
      <c r="J79" s="59">
        <v>1239.3699999999999</v>
      </c>
      <c r="K79" s="59">
        <v>1255.02</v>
      </c>
      <c r="L79" s="59">
        <v>1269.01</v>
      </c>
      <c r="M79" s="59">
        <v>1260.43</v>
      </c>
      <c r="N79" s="205"/>
      <c r="O79" s="205"/>
      <c r="P79" s="205"/>
      <c r="Q79" s="205"/>
      <c r="R79" s="190"/>
      <c r="S79" s="190"/>
      <c r="T79" s="191"/>
      <c r="U79" s="191"/>
      <c r="W79" s="179"/>
      <c r="X79" s="89"/>
      <c r="Y79" s="159"/>
      <c r="Z79" s="147"/>
    </row>
    <row r="80" spans="1:32" ht="48.75" thickBot="1">
      <c r="A80"/>
      <c r="B80" s="211"/>
      <c r="C80" s="211"/>
      <c r="D80" s="212" t="s">
        <v>116</v>
      </c>
      <c r="E80" s="87">
        <f t="shared" ref="E80:M80" si="20">IF(((E78="")*AND(E79="")),"",(E78-E79)*4)</f>
        <v>2629.8</v>
      </c>
      <c r="F80" s="87">
        <f t="shared" si="20"/>
        <v>2569</v>
      </c>
      <c r="G80" s="87">
        <f t="shared" si="20"/>
        <v>2526.7200000000003</v>
      </c>
      <c r="H80" s="87">
        <f t="shared" si="20"/>
        <v>2623</v>
      </c>
      <c r="I80" s="87">
        <f t="shared" si="20"/>
        <v>2709.4799999999996</v>
      </c>
      <c r="J80" s="87">
        <f t="shared" si="20"/>
        <v>2718.0400000000009</v>
      </c>
      <c r="K80" s="87">
        <f t="shared" si="20"/>
        <v>2620.5600000000004</v>
      </c>
      <c r="L80" s="87">
        <f t="shared" si="20"/>
        <v>2561.7200000000003</v>
      </c>
      <c r="M80" s="87">
        <f t="shared" si="20"/>
        <v>2630.7599999999993</v>
      </c>
      <c r="N80" s="87"/>
      <c r="O80" s="87"/>
      <c r="P80" s="87"/>
      <c r="Q80" s="87" t="str">
        <f>IF(((Q78="")*AND(Q79="")),"",(Q78-Q79)*4)</f>
        <v/>
      </c>
      <c r="R80" s="197"/>
      <c r="S80" s="197"/>
      <c r="T80" s="198"/>
      <c r="U80" s="198"/>
      <c r="W80" s="180"/>
      <c r="X80" s="90"/>
      <c r="Y80" s="160"/>
      <c r="Z80" s="147"/>
    </row>
    <row r="81" spans="1:32">
      <c r="A81" s="128">
        <v>42165</v>
      </c>
      <c r="B81" s="200" t="s">
        <v>112</v>
      </c>
      <c r="C81" s="200" t="s">
        <v>113</v>
      </c>
      <c r="D81" s="201" t="s">
        <v>114</v>
      </c>
      <c r="E81" s="59">
        <v>7936.09</v>
      </c>
      <c r="F81" s="59">
        <v>8045.81</v>
      </c>
      <c r="G81" s="59">
        <v>8057.41</v>
      </c>
      <c r="H81" s="59">
        <v>8097.11</v>
      </c>
      <c r="I81" s="59">
        <v>8106.9</v>
      </c>
      <c r="J81" s="59">
        <v>8095.17</v>
      </c>
      <c r="K81" s="59">
        <v>8049.11</v>
      </c>
      <c r="L81" s="59">
        <v>8068.48</v>
      </c>
      <c r="M81" s="59">
        <v>7786.65</v>
      </c>
      <c r="N81" s="202"/>
      <c r="O81" s="202"/>
      <c r="P81" s="202"/>
      <c r="Q81" s="202"/>
      <c r="R81" s="188">
        <f>IF((M82=""),"",MAX(E83:M83))</f>
        <v>6543.0199999999986</v>
      </c>
      <c r="S81" s="188">
        <f>IF((M82=""),"",MIN(E83:M83))</f>
        <v>5939.5999999999985</v>
      </c>
      <c r="T81" s="189">
        <f>IF((M83=""),"",AVERAGE(E83:M83))</f>
        <v>6240.3577777777773</v>
      </c>
      <c r="U81" s="189">
        <f>IF((M82=""),"",(R81-S81)/(R81+S81)*100)</f>
        <v>4.8340813066487662</v>
      </c>
      <c r="V81" s="66">
        <f>STDEV(E83:Q83)</f>
        <v>219.50811544095276</v>
      </c>
      <c r="W81" s="170" t="str">
        <f>IF(M82="","",IF(U81&lt;6.3,IF(T81&gt;5550,IF(T81&lt;6900,"Pass","Fail"),"Fail"),"Fail"))</f>
        <v>Pass</v>
      </c>
      <c r="X81" s="88">
        <v>1400</v>
      </c>
      <c r="Y81" s="158" t="s">
        <v>125</v>
      </c>
      <c r="Z81" s="147"/>
      <c r="AA81" s="67">
        <v>5860</v>
      </c>
      <c r="AB81" s="67">
        <v>6770</v>
      </c>
      <c r="AC81" s="67">
        <v>5550</v>
      </c>
      <c r="AD81" s="67">
        <v>6900</v>
      </c>
      <c r="AE81" s="67">
        <v>20</v>
      </c>
      <c r="AF81" s="67">
        <v>6.3</v>
      </c>
    </row>
    <row r="82" spans="1:32" ht="15.75">
      <c r="A82"/>
      <c r="B82" s="82"/>
      <c r="C82" s="82"/>
      <c r="D82" s="204" t="s">
        <v>115</v>
      </c>
      <c r="E82" s="59">
        <v>4743.8100000000004</v>
      </c>
      <c r="F82" s="59">
        <v>4802.47</v>
      </c>
      <c r="G82" s="59">
        <v>4875.79</v>
      </c>
      <c r="H82" s="59">
        <v>5103.03</v>
      </c>
      <c r="I82" s="59">
        <v>5137.1000000000004</v>
      </c>
      <c r="J82" s="59">
        <v>5063.3599999999997</v>
      </c>
      <c r="K82" s="59">
        <v>4918.37</v>
      </c>
      <c r="L82" s="59">
        <v>5002.05</v>
      </c>
      <c r="M82" s="59">
        <v>4515.1400000000003</v>
      </c>
      <c r="N82" s="205"/>
      <c r="O82" s="205"/>
      <c r="P82" s="205"/>
      <c r="Q82" s="205"/>
      <c r="R82" s="190"/>
      <c r="S82" s="190"/>
      <c r="T82" s="191"/>
      <c r="U82" s="191"/>
      <c r="W82" s="177"/>
      <c r="X82" s="89"/>
      <c r="Y82" s="159"/>
      <c r="Z82" s="147"/>
    </row>
    <row r="83" spans="1:32" ht="48.75" thickBot="1">
      <c r="A83"/>
      <c r="B83" s="207"/>
      <c r="C83" s="207"/>
      <c r="D83" s="204" t="s">
        <v>116</v>
      </c>
      <c r="E83" s="51">
        <f t="shared" ref="E83:M83" si="21">IF(((E81="")*AND(E82="")),"",(E81-E82)*2)</f>
        <v>6384.5599999999995</v>
      </c>
      <c r="F83" s="51">
        <f t="shared" si="21"/>
        <v>6486.68</v>
      </c>
      <c r="G83" s="51">
        <f t="shared" si="21"/>
        <v>6363.24</v>
      </c>
      <c r="H83" s="51">
        <f t="shared" si="21"/>
        <v>5988.16</v>
      </c>
      <c r="I83" s="51">
        <f t="shared" si="21"/>
        <v>5939.5999999999985</v>
      </c>
      <c r="J83" s="51">
        <f t="shared" si="21"/>
        <v>6063.6200000000008</v>
      </c>
      <c r="K83" s="51">
        <f t="shared" si="21"/>
        <v>6261.48</v>
      </c>
      <c r="L83" s="51">
        <f t="shared" si="21"/>
        <v>6132.8599999999988</v>
      </c>
      <c r="M83" s="51">
        <f t="shared" si="21"/>
        <v>6543.0199999999986</v>
      </c>
      <c r="N83" s="51"/>
      <c r="O83" s="51"/>
      <c r="P83" s="51"/>
      <c r="Q83" s="51" t="str">
        <f>IF(((Q81="")*AND(Q82="")),"",(Q81-Q82)*2)</f>
        <v/>
      </c>
      <c r="R83" s="192"/>
      <c r="S83" s="192"/>
      <c r="T83" s="193"/>
      <c r="U83" s="193"/>
      <c r="W83" s="178"/>
      <c r="X83" s="90"/>
      <c r="Y83" s="159"/>
      <c r="Z83" s="147"/>
    </row>
    <row r="84" spans="1:32">
      <c r="A84" s="128">
        <v>42165</v>
      </c>
      <c r="B84" s="81" t="s">
        <v>117</v>
      </c>
      <c r="C84" s="81" t="s">
        <v>118</v>
      </c>
      <c r="D84" s="204" t="s">
        <v>114</v>
      </c>
      <c r="E84" s="59">
        <v>2479.7199999999998</v>
      </c>
      <c r="F84" s="59">
        <v>2462.71</v>
      </c>
      <c r="G84" s="59">
        <v>2431.73</v>
      </c>
      <c r="H84" s="59">
        <v>2423.13</v>
      </c>
      <c r="I84" s="59">
        <v>2428.61</v>
      </c>
      <c r="J84" s="59">
        <v>2452.16</v>
      </c>
      <c r="K84" s="59">
        <v>2477.0300000000002</v>
      </c>
      <c r="L84" s="59">
        <v>2519.98</v>
      </c>
      <c r="M84" s="59">
        <v>2484.9499999999998</v>
      </c>
      <c r="N84" s="59">
        <v>2444.88</v>
      </c>
      <c r="O84" s="59">
        <v>2424.06</v>
      </c>
      <c r="P84" s="59">
        <v>2446.2600000000002</v>
      </c>
      <c r="Q84" s="59">
        <v>2484.1799999999998</v>
      </c>
      <c r="R84" s="194">
        <f>IF((Q85=""),"",MAX(E86:Q86))</f>
        <v>339.15000000000009</v>
      </c>
      <c r="S84" s="194">
        <f>IF(Q85="","",MIN(E86:Q86))</f>
        <v>319.75999999999976</v>
      </c>
      <c r="T84" s="195">
        <f>IF((Q86=""),"",AVERAGE(E86:Q86))</f>
        <v>331.0215384615384</v>
      </c>
      <c r="U84" s="195">
        <f>IF((Q85=""),"",(R84-S84)/(R84+S84)*100)</f>
        <v>2.9427387655370736</v>
      </c>
      <c r="V84" s="66">
        <f>STDEV(E86:Q86)</f>
        <v>5.2497934025293951</v>
      </c>
      <c r="W84" s="83" t="str">
        <f>IF(Q85="","",IF(T84&gt;242,IF(T84&lt;320,"Pass","Fail"),"Fail"))</f>
        <v>Fail</v>
      </c>
      <c r="X84" s="88">
        <v>1400</v>
      </c>
      <c r="Y84" s="159"/>
      <c r="Z84" s="147"/>
      <c r="AA84" s="67">
        <v>240</v>
      </c>
      <c r="AB84" s="67">
        <v>320</v>
      </c>
      <c r="AC84" s="67">
        <v>190</v>
      </c>
      <c r="AD84" s="67">
        <v>360</v>
      </c>
      <c r="AE84" s="67">
        <v>20</v>
      </c>
      <c r="AF84" s="67">
        <v>11</v>
      </c>
    </row>
    <row r="85" spans="1:32" ht="15.75">
      <c r="A85"/>
      <c r="B85" s="82"/>
      <c r="C85" s="82"/>
      <c r="D85" s="204" t="s">
        <v>115</v>
      </c>
      <c r="E85" s="59">
        <v>2140.87</v>
      </c>
      <c r="F85" s="59">
        <v>2130.7600000000002</v>
      </c>
      <c r="G85" s="59">
        <v>2100.92</v>
      </c>
      <c r="H85" s="59">
        <v>2095.09</v>
      </c>
      <c r="I85" s="59">
        <v>2092.0500000000002</v>
      </c>
      <c r="J85" s="59">
        <v>2118.89</v>
      </c>
      <c r="K85" s="59">
        <v>2137.88</v>
      </c>
      <c r="L85" s="59">
        <v>2191.59</v>
      </c>
      <c r="M85" s="59">
        <v>2154.0300000000002</v>
      </c>
      <c r="N85" s="59">
        <v>2118.1799999999998</v>
      </c>
      <c r="O85" s="59">
        <v>2095.0700000000002</v>
      </c>
      <c r="P85" s="59">
        <v>2116.37</v>
      </c>
      <c r="Q85" s="59">
        <v>2164.42</v>
      </c>
      <c r="R85" s="190"/>
      <c r="S85" s="190"/>
      <c r="T85" s="191"/>
      <c r="U85" s="191"/>
      <c r="W85" s="177"/>
      <c r="X85" s="89"/>
      <c r="Y85" s="159"/>
      <c r="Z85" s="147"/>
    </row>
    <row r="86" spans="1:32" ht="48.75" thickBot="1">
      <c r="A86"/>
      <c r="B86" s="207"/>
      <c r="C86" s="207"/>
      <c r="D86" s="204" t="s">
        <v>116</v>
      </c>
      <c r="E86" s="51">
        <f t="shared" ref="E86:Q86" si="22">IF(((E84="")*AND(E85="")),"",(E84-E85))</f>
        <v>338.84999999999991</v>
      </c>
      <c r="F86" s="51">
        <f t="shared" si="22"/>
        <v>331.94999999999982</v>
      </c>
      <c r="G86" s="51">
        <f t="shared" si="22"/>
        <v>330.80999999999995</v>
      </c>
      <c r="H86" s="51">
        <f t="shared" si="22"/>
        <v>328.03999999999996</v>
      </c>
      <c r="I86" s="51">
        <f t="shared" si="22"/>
        <v>336.55999999999995</v>
      </c>
      <c r="J86" s="51">
        <f t="shared" si="22"/>
        <v>333.27</v>
      </c>
      <c r="K86" s="51">
        <f t="shared" si="22"/>
        <v>339.15000000000009</v>
      </c>
      <c r="L86" s="51">
        <f t="shared" si="22"/>
        <v>328.38999999999987</v>
      </c>
      <c r="M86" s="51">
        <f t="shared" si="22"/>
        <v>330.91999999999962</v>
      </c>
      <c r="N86" s="85">
        <f t="shared" si="22"/>
        <v>326.70000000000027</v>
      </c>
      <c r="O86" s="85">
        <f t="shared" si="22"/>
        <v>328.98999999999978</v>
      </c>
      <c r="P86" s="85">
        <f t="shared" si="22"/>
        <v>329.89000000000033</v>
      </c>
      <c r="Q86" s="85">
        <f t="shared" si="22"/>
        <v>319.75999999999976</v>
      </c>
      <c r="R86" s="192"/>
      <c r="S86" s="192"/>
      <c r="T86" s="193"/>
      <c r="U86" s="193"/>
      <c r="W86" s="178"/>
      <c r="X86" s="90"/>
      <c r="Y86" s="159"/>
      <c r="Z86" s="147"/>
    </row>
    <row r="87" spans="1:32">
      <c r="A87" s="128">
        <v>42165</v>
      </c>
      <c r="B87" s="81" t="s">
        <v>119</v>
      </c>
      <c r="C87" s="81" t="s">
        <v>120</v>
      </c>
      <c r="D87" s="204" t="s">
        <v>114</v>
      </c>
      <c r="E87" s="59">
        <v>4661.41</v>
      </c>
      <c r="F87" s="59">
        <v>4881.7700000000004</v>
      </c>
      <c r="G87" s="59">
        <v>5109.82</v>
      </c>
      <c r="H87" s="59">
        <v>5120.6499999999996</v>
      </c>
      <c r="I87" s="59">
        <v>5278.29</v>
      </c>
      <c r="J87" s="59">
        <v>5121.78</v>
      </c>
      <c r="K87" s="59">
        <v>5015.93</v>
      </c>
      <c r="L87" s="59">
        <v>5106.9399999999996</v>
      </c>
      <c r="M87" s="59">
        <v>5131.72</v>
      </c>
      <c r="N87" s="210"/>
      <c r="O87" s="210"/>
      <c r="P87" s="210"/>
      <c r="Q87" s="210"/>
      <c r="R87" s="196">
        <f>IF((M88=""),"",MAX(E89:M89))</f>
        <v>4613.5599999999995</v>
      </c>
      <c r="S87" s="194">
        <f>IF(M88="","",MIN(E89:M89))</f>
        <v>4209.079999999999</v>
      </c>
      <c r="T87" s="195">
        <f>IF((M89=""),"",AVERAGE(E89:M89))</f>
        <v>4380.391111111112</v>
      </c>
      <c r="U87" s="195">
        <f>IF((M88=""),"",(R87-S87)/(R87+S87)*100)</f>
        <v>4.5845687912008257</v>
      </c>
      <c r="V87" s="66">
        <f>STDEV(E89:Q89)</f>
        <v>146.82994248825028</v>
      </c>
      <c r="W87" s="83" t="str">
        <f>IF(M88="","",IF(T87&gt;3650,IF(T87&lt;4450,"Pass","Fail"),"Fail"))</f>
        <v>Pass</v>
      </c>
      <c r="X87" s="88">
        <v>1400</v>
      </c>
      <c r="Y87" s="159" t="s">
        <v>125</v>
      </c>
      <c r="Z87" s="147"/>
      <c r="AA87" s="86">
        <v>3650</v>
      </c>
      <c r="AB87" s="86">
        <v>4450</v>
      </c>
      <c r="AC87" s="86">
        <v>3700</v>
      </c>
      <c r="AD87" s="86">
        <v>4250</v>
      </c>
      <c r="AE87" s="86">
        <v>7.2</v>
      </c>
      <c r="AF87" s="86">
        <v>3</v>
      </c>
    </row>
    <row r="88" spans="1:32" ht="15.75">
      <c r="A88"/>
      <c r="B88" s="82"/>
      <c r="C88" s="82"/>
      <c r="D88" s="204" t="s">
        <v>115</v>
      </c>
      <c r="E88" s="59">
        <v>2357.29</v>
      </c>
      <c r="F88" s="59">
        <v>2718.58</v>
      </c>
      <c r="G88" s="59">
        <v>2996.24</v>
      </c>
      <c r="H88" s="59">
        <v>2969.33</v>
      </c>
      <c r="I88" s="59">
        <v>2971.51</v>
      </c>
      <c r="J88" s="59">
        <v>2942.76</v>
      </c>
      <c r="K88" s="59">
        <v>2842.96</v>
      </c>
      <c r="L88" s="59">
        <v>3002.4</v>
      </c>
      <c r="M88" s="59">
        <v>2915.48</v>
      </c>
      <c r="N88" s="205"/>
      <c r="O88" s="205"/>
      <c r="P88" s="205"/>
      <c r="Q88" s="205"/>
      <c r="R88" s="190"/>
      <c r="S88" s="190"/>
      <c r="T88" s="191"/>
      <c r="U88" s="191"/>
      <c r="W88" s="177"/>
      <c r="X88" s="89"/>
      <c r="Y88" s="159"/>
      <c r="Z88" s="147"/>
    </row>
    <row r="89" spans="1:32" ht="48.75" thickBot="1">
      <c r="A89"/>
      <c r="B89" s="207"/>
      <c r="C89" s="207"/>
      <c r="D89" s="204" t="s">
        <v>116</v>
      </c>
      <c r="E89" s="51">
        <f t="shared" ref="E89:M89" si="23">IF(((E87="")*AND(E88="")),"",(E87-E88)*2)</f>
        <v>4608.24</v>
      </c>
      <c r="F89" s="51">
        <f t="shared" si="23"/>
        <v>4326.380000000001</v>
      </c>
      <c r="G89" s="51">
        <f t="shared" si="23"/>
        <v>4227.16</v>
      </c>
      <c r="H89" s="51">
        <f t="shared" si="23"/>
        <v>4302.6399999999994</v>
      </c>
      <c r="I89" s="51">
        <f t="shared" si="23"/>
        <v>4613.5599999999995</v>
      </c>
      <c r="J89" s="51">
        <f t="shared" si="23"/>
        <v>4358.0399999999991</v>
      </c>
      <c r="K89" s="51">
        <f t="shared" si="23"/>
        <v>4345.9400000000005</v>
      </c>
      <c r="L89" s="51">
        <f t="shared" si="23"/>
        <v>4209.079999999999</v>
      </c>
      <c r="M89" s="51">
        <f t="shared" si="23"/>
        <v>4432.4800000000005</v>
      </c>
      <c r="N89" s="51"/>
      <c r="O89" s="51"/>
      <c r="P89" s="51"/>
      <c r="Q89" s="51"/>
      <c r="R89" s="192"/>
      <c r="S89" s="192"/>
      <c r="T89" s="193"/>
      <c r="U89" s="193"/>
      <c r="W89" s="178"/>
      <c r="X89" s="90"/>
      <c r="Y89" s="159"/>
      <c r="Z89" s="147"/>
    </row>
    <row r="90" spans="1:32">
      <c r="A90" s="149">
        <v>42165</v>
      </c>
      <c r="B90" s="81" t="s">
        <v>121</v>
      </c>
      <c r="C90" s="81" t="s">
        <v>121</v>
      </c>
      <c r="D90" s="204" t="s">
        <v>114</v>
      </c>
      <c r="E90" s="59">
        <v>1978.2</v>
      </c>
      <c r="F90" s="59">
        <v>1980.67</v>
      </c>
      <c r="G90" s="59">
        <v>1973.78</v>
      </c>
      <c r="H90" s="59">
        <v>1976.24</v>
      </c>
      <c r="I90" s="59">
        <v>1971.47</v>
      </c>
      <c r="J90" s="59">
        <v>1975.8</v>
      </c>
      <c r="K90" s="59">
        <v>1977.97</v>
      </c>
      <c r="L90" s="59">
        <v>1976.06</v>
      </c>
      <c r="M90" s="59">
        <v>1970.73</v>
      </c>
      <c r="N90" s="205"/>
      <c r="O90" s="205"/>
      <c r="P90" s="205"/>
      <c r="Q90" s="205"/>
      <c r="R90" s="194">
        <f>IF((M91=""),"",MAX(E92:M92))</f>
        <v>2702.16</v>
      </c>
      <c r="S90" s="194">
        <f>IF((M91=""),"",MIN(E92:M92))</f>
        <v>2549.16</v>
      </c>
      <c r="T90" s="195">
        <f>IF((M92=""),"",AVERAGE(E92:M92))</f>
        <v>2603.9466666666667</v>
      </c>
      <c r="U90" s="195">
        <f>IF((M91=""),"",(R90-S90)/(R90+S90)*100)</f>
        <v>2.9135531637759651</v>
      </c>
      <c r="V90" s="66">
        <f>STDEV(E92:Q92)</f>
        <v>48.73477198059593</v>
      </c>
      <c r="W90" s="174" t="str">
        <f>IF(M91="","",IF(U90&lt;5.5,IF(T90&gt;2200,IF(T90&lt;2900,"Pass","Fail"),"Fail"),"Fail"))</f>
        <v>Pass</v>
      </c>
      <c r="X90" s="88">
        <v>1400</v>
      </c>
      <c r="Y90" s="159" t="s">
        <v>125</v>
      </c>
      <c r="Z90" s="147"/>
      <c r="AA90" s="67">
        <v>2000</v>
      </c>
      <c r="AB90" s="67">
        <v>3000</v>
      </c>
      <c r="AC90" s="67">
        <v>2200</v>
      </c>
      <c r="AD90" s="67">
        <v>2900</v>
      </c>
      <c r="AE90" s="67">
        <v>7</v>
      </c>
      <c r="AF90" s="67">
        <v>5.5</v>
      </c>
    </row>
    <row r="91" spans="1:32">
      <c r="A91" s="149"/>
      <c r="B91" s="82"/>
      <c r="C91" s="82"/>
      <c r="D91" s="204" t="s">
        <v>115</v>
      </c>
      <c r="E91" s="59">
        <v>1321.36</v>
      </c>
      <c r="F91" s="59">
        <v>1330.71</v>
      </c>
      <c r="G91" s="59">
        <v>1336.49</v>
      </c>
      <c r="H91" s="59">
        <v>1327.32</v>
      </c>
      <c r="I91" s="59">
        <v>1319.81</v>
      </c>
      <c r="J91" s="59">
        <v>1300.26</v>
      </c>
      <c r="K91" s="59">
        <v>1317.91</v>
      </c>
      <c r="L91" s="59">
        <v>1337.7</v>
      </c>
      <c r="M91" s="59">
        <v>1330.48</v>
      </c>
      <c r="N91" s="205"/>
      <c r="O91" s="205"/>
      <c r="P91" s="205"/>
      <c r="Q91" s="205"/>
      <c r="R91" s="190"/>
      <c r="S91" s="190"/>
      <c r="T91" s="191"/>
      <c r="U91" s="191"/>
      <c r="W91" s="179"/>
      <c r="X91" s="89"/>
      <c r="Y91" s="159"/>
      <c r="Z91" s="147"/>
    </row>
    <row r="92" spans="1:32" ht="48.75" thickBot="1">
      <c r="A92" s="149"/>
      <c r="B92" s="211"/>
      <c r="C92" s="211"/>
      <c r="D92" s="212" t="s">
        <v>116</v>
      </c>
      <c r="E92" s="87">
        <f t="shared" ref="E92:M92" si="24">IF(((E90="")*AND(E91="")),"",(E90-E91)*4)</f>
        <v>2627.3600000000006</v>
      </c>
      <c r="F92" s="87">
        <f t="shared" si="24"/>
        <v>2599.84</v>
      </c>
      <c r="G92" s="87">
        <f t="shared" si="24"/>
        <v>2549.16</v>
      </c>
      <c r="H92" s="87">
        <f t="shared" si="24"/>
        <v>2595.6800000000003</v>
      </c>
      <c r="I92" s="87">
        <f t="shared" si="24"/>
        <v>2606.6400000000003</v>
      </c>
      <c r="J92" s="87">
        <f t="shared" si="24"/>
        <v>2702.16</v>
      </c>
      <c r="K92" s="87">
        <f t="shared" si="24"/>
        <v>2640.24</v>
      </c>
      <c r="L92" s="87">
        <f t="shared" si="24"/>
        <v>2553.4399999999996</v>
      </c>
      <c r="M92" s="87">
        <f t="shared" si="24"/>
        <v>2561</v>
      </c>
      <c r="N92" s="87"/>
      <c r="O92" s="87"/>
      <c r="P92" s="87"/>
      <c r="Q92" s="87" t="str">
        <f>IF(((Q90="")*AND(Q91="")),"",(Q90-Q91)*4)</f>
        <v/>
      </c>
      <c r="R92" s="197"/>
      <c r="S92" s="197"/>
      <c r="T92" s="198"/>
      <c r="U92" s="198"/>
      <c r="W92" s="180"/>
      <c r="X92" s="90"/>
      <c r="Y92" s="160"/>
      <c r="Z92" s="147"/>
    </row>
    <row r="93" spans="1:32">
      <c r="A93" s="149">
        <v>42165</v>
      </c>
      <c r="B93" s="81" t="s">
        <v>117</v>
      </c>
      <c r="C93" s="81" t="s">
        <v>118</v>
      </c>
      <c r="D93" s="204" t="s">
        <v>114</v>
      </c>
      <c r="E93" s="59">
        <v>2777.51</v>
      </c>
      <c r="F93" s="59">
        <v>2732.62</v>
      </c>
      <c r="G93" s="59">
        <v>2707.51</v>
      </c>
      <c r="H93" s="59">
        <v>2699.14</v>
      </c>
      <c r="I93" s="59">
        <v>2708.31</v>
      </c>
      <c r="J93" s="59">
        <v>2735.38</v>
      </c>
      <c r="K93" s="59">
        <v>2784.6</v>
      </c>
      <c r="L93" s="59">
        <v>2830.99</v>
      </c>
      <c r="M93" s="59">
        <v>2760.46</v>
      </c>
      <c r="N93" s="59">
        <v>2717.99</v>
      </c>
      <c r="O93" s="59">
        <v>2702.45</v>
      </c>
      <c r="P93" s="59">
        <v>2729.99</v>
      </c>
      <c r="Q93" s="59">
        <v>2790.42</v>
      </c>
      <c r="R93" s="194">
        <f>IF((Q94=""),"",MAX(E95:Q95))</f>
        <v>268.42000000000007</v>
      </c>
      <c r="S93" s="194">
        <f>IF(Q94="","",MIN(E95:Q95))</f>
        <v>240.80999999999995</v>
      </c>
      <c r="T93" s="195">
        <f>IF((Q95=""),"",AVERAGE(E95:Q95))</f>
        <v>256.9861538461538</v>
      </c>
      <c r="U93" s="195">
        <f>IF((Q94=""),"",(R93-S93)/(R93+S93)*100)</f>
        <v>5.4219115134615254</v>
      </c>
      <c r="V93" s="66">
        <f>STDEV(E95:Q95)</f>
        <v>8.7339658216851355</v>
      </c>
      <c r="W93" s="83" t="str">
        <f>IF(Q94="","",IF(T93&gt;242,IF(T93&lt;320,"Pass","Fail"),"Fail"))</f>
        <v>Pass</v>
      </c>
      <c r="X93" s="88">
        <v>1159</v>
      </c>
      <c r="Y93" s="158" t="s">
        <v>125</v>
      </c>
      <c r="Z93" s="147"/>
      <c r="AA93" s="67">
        <v>240</v>
      </c>
      <c r="AB93" s="67">
        <v>320</v>
      </c>
      <c r="AC93" s="67">
        <v>190</v>
      </c>
      <c r="AD93" s="67">
        <v>360</v>
      </c>
      <c r="AE93" s="67">
        <v>20</v>
      </c>
      <c r="AF93" s="67">
        <v>11</v>
      </c>
    </row>
    <row r="94" spans="1:32">
      <c r="A94" s="149"/>
      <c r="B94" s="82"/>
      <c r="C94" s="82"/>
      <c r="D94" s="204" t="s">
        <v>115</v>
      </c>
      <c r="E94" s="59">
        <v>2528.65</v>
      </c>
      <c r="F94" s="59">
        <v>2479.4299999999998</v>
      </c>
      <c r="G94" s="59">
        <v>2442.08</v>
      </c>
      <c r="H94" s="59">
        <v>2432.27</v>
      </c>
      <c r="I94" s="59">
        <v>2439.89</v>
      </c>
      <c r="J94" s="59">
        <v>2475.17</v>
      </c>
      <c r="K94" s="59">
        <v>2525.8200000000002</v>
      </c>
      <c r="L94" s="59">
        <v>2584.7199999999998</v>
      </c>
      <c r="M94" s="59">
        <v>2510.0700000000002</v>
      </c>
      <c r="N94" s="59">
        <v>2456.16</v>
      </c>
      <c r="O94" s="59">
        <v>2437.0300000000002</v>
      </c>
      <c r="P94" s="59">
        <v>2475.65</v>
      </c>
      <c r="Q94" s="59">
        <v>2549.61</v>
      </c>
      <c r="R94" s="190"/>
      <c r="S94" s="190"/>
      <c r="T94" s="191"/>
      <c r="U94" s="191"/>
      <c r="W94" s="177"/>
      <c r="X94" s="89"/>
      <c r="Y94" s="159"/>
      <c r="Z94" s="147"/>
    </row>
    <row r="95" spans="1:32" ht="48.75" thickBot="1">
      <c r="A95" s="149"/>
      <c r="B95" s="207"/>
      <c r="C95" s="207"/>
      <c r="D95" s="204" t="s">
        <v>116</v>
      </c>
      <c r="E95" s="51">
        <f t="shared" ref="E95:Q95" si="25">IF(((E93="")*AND(E94="")),"",(E93-E94))</f>
        <v>248.86000000000013</v>
      </c>
      <c r="F95" s="51">
        <f t="shared" si="25"/>
        <v>253.19000000000005</v>
      </c>
      <c r="G95" s="51">
        <f t="shared" si="25"/>
        <v>265.43000000000029</v>
      </c>
      <c r="H95" s="51">
        <f t="shared" si="25"/>
        <v>266.86999999999989</v>
      </c>
      <c r="I95" s="51">
        <f t="shared" si="25"/>
        <v>268.42000000000007</v>
      </c>
      <c r="J95" s="51">
        <f t="shared" si="25"/>
        <v>260.21000000000004</v>
      </c>
      <c r="K95" s="51">
        <f t="shared" si="25"/>
        <v>258.77999999999975</v>
      </c>
      <c r="L95" s="51">
        <f t="shared" si="25"/>
        <v>246.26999999999998</v>
      </c>
      <c r="M95" s="51">
        <f t="shared" si="25"/>
        <v>250.38999999999987</v>
      </c>
      <c r="N95" s="85">
        <f t="shared" si="25"/>
        <v>261.82999999999993</v>
      </c>
      <c r="O95" s="85">
        <f t="shared" si="25"/>
        <v>265.41999999999962</v>
      </c>
      <c r="P95" s="85">
        <f t="shared" si="25"/>
        <v>254.33999999999969</v>
      </c>
      <c r="Q95" s="85">
        <f t="shared" si="25"/>
        <v>240.80999999999995</v>
      </c>
      <c r="R95" s="192"/>
      <c r="S95" s="192"/>
      <c r="T95" s="193"/>
      <c r="U95" s="193"/>
      <c r="W95" s="178"/>
      <c r="X95" s="90"/>
      <c r="Y95" s="159"/>
      <c r="Z95" s="147"/>
    </row>
    <row r="96" spans="1:32">
      <c r="A96" s="149">
        <v>42172</v>
      </c>
      <c r="B96" s="81" t="s">
        <v>119</v>
      </c>
      <c r="C96" s="81" t="s">
        <v>120</v>
      </c>
      <c r="D96" s="204" t="s">
        <v>114</v>
      </c>
      <c r="E96" s="59">
        <v>5028.71</v>
      </c>
      <c r="F96" s="59">
        <v>4956.54</v>
      </c>
      <c r="G96" s="59">
        <v>5084.2700000000004</v>
      </c>
      <c r="H96" s="59">
        <v>5087.2</v>
      </c>
      <c r="I96" s="59">
        <v>5340.21</v>
      </c>
      <c r="J96" s="59">
        <v>5251.9</v>
      </c>
      <c r="K96" s="59">
        <v>5048.7</v>
      </c>
      <c r="L96" s="59">
        <v>5080.46</v>
      </c>
      <c r="M96" s="59">
        <v>5312.5</v>
      </c>
      <c r="N96" s="210"/>
      <c r="O96" s="210"/>
      <c r="P96" s="210"/>
      <c r="Q96" s="210"/>
      <c r="R96" s="196">
        <f>IF((M97=""),"",MAX(E98:M98))</f>
        <v>4571</v>
      </c>
      <c r="S96" s="194">
        <f>IF(M97="","",MIN(E98:M98))</f>
        <v>4158.8</v>
      </c>
      <c r="T96" s="195">
        <f>IF((M98=""),"",AVERAGE(E98:M98))</f>
        <v>4317.3066666666664</v>
      </c>
      <c r="U96" s="195">
        <f>IF((M97=""),"",(R96-S96)/(R96+S96)*100)</f>
        <v>4.721757657678296</v>
      </c>
      <c r="V96" s="66">
        <f>STDEV(E98:Q98)</f>
        <v>149.30883697894348</v>
      </c>
      <c r="W96" s="83" t="str">
        <f>IF(M97="","",IF(T96&gt;3650,IF(T96&lt;4450,"Pass","Fail"),"Fail"))</f>
        <v>Pass</v>
      </c>
      <c r="X96" s="88">
        <v>1159</v>
      </c>
      <c r="Y96" s="161" t="s">
        <v>126</v>
      </c>
      <c r="Z96" s="162"/>
      <c r="AA96" s="86">
        <v>3650</v>
      </c>
      <c r="AB96" s="86">
        <v>4450</v>
      </c>
      <c r="AC96" s="86">
        <v>3700</v>
      </c>
      <c r="AD96" s="86">
        <v>4250</v>
      </c>
      <c r="AE96" s="86">
        <v>7.2</v>
      </c>
      <c r="AF96" s="86">
        <v>3</v>
      </c>
    </row>
    <row r="97" spans="1:32">
      <c r="A97" s="149"/>
      <c r="B97" s="82"/>
      <c r="C97" s="82"/>
      <c r="D97" s="204" t="s">
        <v>115</v>
      </c>
      <c r="E97" s="59">
        <v>2743.21</v>
      </c>
      <c r="F97" s="59">
        <v>2826.13</v>
      </c>
      <c r="G97" s="59">
        <v>2996.08</v>
      </c>
      <c r="H97" s="59">
        <v>2960.82</v>
      </c>
      <c r="I97" s="59">
        <v>3076</v>
      </c>
      <c r="J97" s="59">
        <v>3144.44</v>
      </c>
      <c r="K97" s="59">
        <v>2900.3</v>
      </c>
      <c r="L97" s="59">
        <v>3001.06</v>
      </c>
      <c r="M97" s="59">
        <v>3114.57</v>
      </c>
      <c r="N97" s="205"/>
      <c r="O97" s="205"/>
      <c r="P97" s="205"/>
      <c r="Q97" s="205"/>
      <c r="R97" s="190"/>
      <c r="S97" s="190"/>
      <c r="T97" s="191"/>
      <c r="U97" s="191"/>
      <c r="W97" s="177"/>
      <c r="X97" s="89"/>
      <c r="Y97" s="159"/>
      <c r="Z97" s="147"/>
    </row>
    <row r="98" spans="1:32" ht="48.75" thickBot="1">
      <c r="A98" s="149"/>
      <c r="B98" s="207"/>
      <c r="C98" s="207"/>
      <c r="D98" s="204" t="s">
        <v>116</v>
      </c>
      <c r="E98" s="51">
        <f t="shared" ref="E98:M98" si="26">IF(((E96="")*AND(E97="")),"",(E96-E97)*2)</f>
        <v>4571</v>
      </c>
      <c r="F98" s="51">
        <f t="shared" si="26"/>
        <v>4260.82</v>
      </c>
      <c r="G98" s="51">
        <f t="shared" si="26"/>
        <v>4176.380000000001</v>
      </c>
      <c r="H98" s="51">
        <f t="shared" si="26"/>
        <v>4252.7599999999993</v>
      </c>
      <c r="I98" s="51">
        <f t="shared" si="26"/>
        <v>4528.42</v>
      </c>
      <c r="J98" s="51">
        <f t="shared" si="26"/>
        <v>4214.9199999999992</v>
      </c>
      <c r="K98" s="51">
        <f t="shared" si="26"/>
        <v>4296.7999999999993</v>
      </c>
      <c r="L98" s="51">
        <f t="shared" si="26"/>
        <v>4158.8</v>
      </c>
      <c r="M98" s="51">
        <f t="shared" si="26"/>
        <v>4395.8599999999997</v>
      </c>
      <c r="N98" s="51"/>
      <c r="O98" s="51"/>
      <c r="P98" s="51"/>
      <c r="Q98" s="51"/>
      <c r="R98" s="192"/>
      <c r="S98" s="192"/>
      <c r="T98" s="193"/>
      <c r="U98" s="193"/>
      <c r="W98" s="178"/>
      <c r="X98" s="90"/>
      <c r="Y98" s="159"/>
      <c r="Z98" s="147"/>
    </row>
    <row r="99" spans="1:32">
      <c r="A99" s="149">
        <v>42172</v>
      </c>
      <c r="B99" s="81" t="s">
        <v>121</v>
      </c>
      <c r="C99" s="81" t="s">
        <v>121</v>
      </c>
      <c r="D99" s="204" t="s">
        <v>114</v>
      </c>
      <c r="E99" s="59">
        <v>1985.87</v>
      </c>
      <c r="F99" s="59">
        <v>1970.76</v>
      </c>
      <c r="G99" s="59">
        <v>1967.56</v>
      </c>
      <c r="H99" s="59">
        <v>1968.17</v>
      </c>
      <c r="I99" s="59">
        <v>1978.78</v>
      </c>
      <c r="J99" s="59">
        <v>1979.71</v>
      </c>
      <c r="K99" s="59">
        <v>1967.06</v>
      </c>
      <c r="L99" s="59">
        <v>1968.41</v>
      </c>
      <c r="M99" s="59">
        <v>1981.54</v>
      </c>
      <c r="N99" s="205"/>
      <c r="O99" s="205"/>
      <c r="P99" s="205"/>
      <c r="Q99" s="205"/>
      <c r="R99" s="194">
        <f>IF((M100=""),"",MAX(E101:M101))</f>
        <v>2799.5600000000004</v>
      </c>
      <c r="S99" s="194">
        <f>IF((M100=""),"",MIN(E101:M101))</f>
        <v>2647.3999999999996</v>
      </c>
      <c r="T99" s="195">
        <f>IF((M101=""),"",AVERAGE(E101:M101))</f>
        <v>2723.1600000000003</v>
      </c>
      <c r="U99" s="195">
        <f>IF((M100=""),"",(R99-S99)/(R99+S99)*100)</f>
        <v>2.7934848062038413</v>
      </c>
      <c r="V99" s="66">
        <f>STDEV(E101:Q101)</f>
        <v>44.57199120522737</v>
      </c>
      <c r="W99" s="174" t="str">
        <f>IF(M100="","",IF(U99&lt;5.5,IF(T99&gt;2200,IF(T99&lt;2900,"Pass","Fail"),"Fail"),"Fail"))</f>
        <v>Pass</v>
      </c>
      <c r="X99" s="88">
        <v>1159</v>
      </c>
      <c r="Y99" s="161" t="s">
        <v>126</v>
      </c>
      <c r="Z99" s="147"/>
      <c r="AA99" s="67">
        <v>2000</v>
      </c>
      <c r="AB99" s="67">
        <v>3000</v>
      </c>
      <c r="AC99" s="67">
        <v>2200</v>
      </c>
      <c r="AD99" s="67">
        <v>2900</v>
      </c>
      <c r="AE99" s="67">
        <v>7</v>
      </c>
      <c r="AF99" s="67">
        <v>5.5</v>
      </c>
    </row>
    <row r="100" spans="1:32">
      <c r="A100" s="149"/>
      <c r="B100" s="82"/>
      <c r="C100" s="82"/>
      <c r="D100" s="204" t="s">
        <v>115</v>
      </c>
      <c r="E100" s="59">
        <v>1293.8800000000001</v>
      </c>
      <c r="F100" s="59">
        <v>1288.76</v>
      </c>
      <c r="G100" s="59">
        <v>1305.71</v>
      </c>
      <c r="H100" s="59">
        <v>1291.3</v>
      </c>
      <c r="I100" s="59">
        <v>1297.8</v>
      </c>
      <c r="J100" s="59">
        <v>1279.82</v>
      </c>
      <c r="K100" s="59">
        <v>1281.0999999999999</v>
      </c>
      <c r="L100" s="59">
        <v>1295.77</v>
      </c>
      <c r="M100" s="59">
        <v>1306.6099999999999</v>
      </c>
      <c r="N100" s="205"/>
      <c r="O100" s="205"/>
      <c r="P100" s="205"/>
      <c r="Q100" s="205"/>
      <c r="R100" s="190"/>
      <c r="S100" s="190"/>
      <c r="T100" s="191"/>
      <c r="U100" s="191"/>
      <c r="W100" s="179"/>
      <c r="X100" s="89"/>
      <c r="Y100" s="159"/>
      <c r="Z100" s="147"/>
    </row>
    <row r="101" spans="1:32" ht="48.75" thickBot="1">
      <c r="A101" s="149"/>
      <c r="B101" s="211"/>
      <c r="C101" s="211"/>
      <c r="D101" s="212" t="s">
        <v>116</v>
      </c>
      <c r="E101" s="87">
        <f t="shared" ref="E101:M101" si="27">IF(((E99="")*AND(E100="")),"",(E99-E100)*4)</f>
        <v>2767.9599999999991</v>
      </c>
      <c r="F101" s="87">
        <f t="shared" si="27"/>
        <v>2728</v>
      </c>
      <c r="G101" s="87">
        <f t="shared" si="27"/>
        <v>2647.3999999999996</v>
      </c>
      <c r="H101" s="87">
        <f t="shared" si="27"/>
        <v>2707.4800000000005</v>
      </c>
      <c r="I101" s="87">
        <f t="shared" si="27"/>
        <v>2723.92</v>
      </c>
      <c r="J101" s="87">
        <f t="shared" si="27"/>
        <v>2799.5600000000004</v>
      </c>
      <c r="K101" s="87">
        <f t="shared" si="27"/>
        <v>2743.84</v>
      </c>
      <c r="L101" s="87">
        <f t="shared" si="27"/>
        <v>2690.5600000000004</v>
      </c>
      <c r="M101" s="87">
        <f t="shared" si="27"/>
        <v>2699.7200000000003</v>
      </c>
      <c r="N101" s="87"/>
      <c r="O101" s="87"/>
      <c r="P101" s="87"/>
      <c r="Q101" s="87" t="str">
        <f>IF(((Q99="")*AND(Q100="")),"",(Q99-Q100)*4)</f>
        <v/>
      </c>
      <c r="R101" s="197"/>
      <c r="S101" s="197"/>
      <c r="T101" s="198"/>
      <c r="U101" s="198"/>
      <c r="W101" s="180"/>
      <c r="X101" s="90"/>
      <c r="Y101" s="159"/>
      <c r="Z101" s="147"/>
    </row>
    <row r="102" spans="1:32">
      <c r="A102" s="149">
        <v>42172</v>
      </c>
      <c r="B102" s="200" t="s">
        <v>112</v>
      </c>
      <c r="C102" s="200" t="s">
        <v>113</v>
      </c>
      <c r="D102" s="201" t="s">
        <v>114</v>
      </c>
      <c r="E102" s="59">
        <v>7937.76</v>
      </c>
      <c r="F102" s="59">
        <v>7966.38</v>
      </c>
      <c r="G102" s="59">
        <v>8009.6</v>
      </c>
      <c r="H102" s="59">
        <v>8103.62</v>
      </c>
      <c r="I102" s="59">
        <v>8111.69</v>
      </c>
      <c r="J102" s="59">
        <v>8089.89</v>
      </c>
      <c r="K102" s="59">
        <v>8018.86</v>
      </c>
      <c r="L102" s="59">
        <v>8098.26</v>
      </c>
      <c r="M102" s="59">
        <v>7936.74</v>
      </c>
      <c r="N102" s="202"/>
      <c r="O102" s="202"/>
      <c r="P102" s="202"/>
      <c r="Q102" s="202"/>
      <c r="R102" s="188">
        <f>IF((M103=""),"",MAX(E104:M104))</f>
        <v>6569.8799999999992</v>
      </c>
      <c r="S102" s="188">
        <f>IF((M103=""),"",MIN(E104:M104))</f>
        <v>5953.0399999999991</v>
      </c>
      <c r="T102" s="189">
        <f>IF((M104=""),"",AVERAGE(E104:M104))</f>
        <v>6250.1222222222223</v>
      </c>
      <c r="U102" s="189">
        <f>IF((M103=""),"",(R102-S102)/(R102+S102)*100)</f>
        <v>4.9256882580101147</v>
      </c>
      <c r="V102" s="66">
        <f>STDEV(E104:Q104)</f>
        <v>208.04276373968131</v>
      </c>
      <c r="W102" s="170" t="str">
        <f>IF(M103="","",IF(U102&lt;6.3,IF(T102&gt;5550,IF(T102&lt;6900,"Pass","Fail"),"Fail"),"Fail"))</f>
        <v>Pass</v>
      </c>
      <c r="X102" s="88">
        <v>1159</v>
      </c>
      <c r="Y102" s="161" t="s">
        <v>126</v>
      </c>
      <c r="Z102" s="147"/>
      <c r="AA102" s="67">
        <v>5860</v>
      </c>
      <c r="AB102" s="67">
        <v>6770</v>
      </c>
      <c r="AC102" s="67">
        <v>5550</v>
      </c>
      <c r="AD102" s="67">
        <v>6900</v>
      </c>
      <c r="AE102" s="67">
        <v>20</v>
      </c>
      <c r="AF102" s="67">
        <v>6.3</v>
      </c>
    </row>
    <row r="103" spans="1:32">
      <c r="A103" s="149"/>
      <c r="B103" s="82"/>
      <c r="C103" s="82"/>
      <c r="D103" s="204" t="s">
        <v>115</v>
      </c>
      <c r="E103" s="59">
        <v>4733.72</v>
      </c>
      <c r="F103" s="59">
        <v>4770.83</v>
      </c>
      <c r="G103" s="59">
        <v>4821.7299999999996</v>
      </c>
      <c r="H103" s="59">
        <v>5098.51</v>
      </c>
      <c r="I103" s="59">
        <v>5135.17</v>
      </c>
      <c r="J103" s="59">
        <v>5045.37</v>
      </c>
      <c r="K103" s="59">
        <v>4869</v>
      </c>
      <c r="L103" s="59">
        <v>5021.12</v>
      </c>
      <c r="M103" s="59">
        <v>4651.8</v>
      </c>
      <c r="N103" s="205"/>
      <c r="O103" s="205"/>
      <c r="P103" s="205"/>
      <c r="Q103" s="205"/>
      <c r="R103" s="190"/>
      <c r="S103" s="190"/>
      <c r="T103" s="191"/>
      <c r="U103" s="191"/>
      <c r="W103" s="177"/>
      <c r="X103" s="89"/>
      <c r="Y103" s="159"/>
      <c r="Z103" s="147"/>
    </row>
    <row r="104" spans="1:32" ht="48.75" thickBot="1">
      <c r="A104" s="149"/>
      <c r="B104" s="207"/>
      <c r="C104" s="207"/>
      <c r="D104" s="204" t="s">
        <v>116</v>
      </c>
      <c r="E104" s="51">
        <f t="shared" ref="E104:M104" si="28">IF(((E102="")*AND(E103="")),"",(E102-E103)*2)</f>
        <v>6408.08</v>
      </c>
      <c r="F104" s="51">
        <f t="shared" si="28"/>
        <v>6391.1</v>
      </c>
      <c r="G104" s="51">
        <f t="shared" si="28"/>
        <v>6375.7400000000016</v>
      </c>
      <c r="H104" s="51">
        <f t="shared" si="28"/>
        <v>6010.2199999999993</v>
      </c>
      <c r="I104" s="51">
        <f t="shared" si="28"/>
        <v>5953.0399999999991</v>
      </c>
      <c r="J104" s="51">
        <f t="shared" si="28"/>
        <v>6089.0400000000009</v>
      </c>
      <c r="K104" s="51">
        <f t="shared" si="28"/>
        <v>6299.7199999999993</v>
      </c>
      <c r="L104" s="51">
        <f t="shared" si="28"/>
        <v>6154.2800000000007</v>
      </c>
      <c r="M104" s="51">
        <f t="shared" si="28"/>
        <v>6569.8799999999992</v>
      </c>
      <c r="N104" s="51"/>
      <c r="O104" s="51"/>
      <c r="P104" s="51"/>
      <c r="Q104" s="51" t="str">
        <f>IF(((Q102="")*AND(Q103="")),"",(Q102-Q103)*2)</f>
        <v/>
      </c>
      <c r="R104" s="192"/>
      <c r="S104" s="192"/>
      <c r="T104" s="193"/>
      <c r="U104" s="193"/>
      <c r="W104" s="178"/>
      <c r="X104" s="90"/>
      <c r="Y104" s="159"/>
      <c r="Z104" s="147"/>
    </row>
    <row r="105" spans="1:32">
      <c r="A105" s="149">
        <v>42172</v>
      </c>
      <c r="B105" s="81" t="s">
        <v>117</v>
      </c>
      <c r="C105" s="81" t="s">
        <v>118</v>
      </c>
      <c r="D105" s="204" t="s">
        <v>114</v>
      </c>
      <c r="E105" s="59">
        <v>2777.31</v>
      </c>
      <c r="F105" s="59">
        <v>2734.06</v>
      </c>
      <c r="G105" s="59">
        <v>2707.01</v>
      </c>
      <c r="H105" s="59">
        <v>2700.45</v>
      </c>
      <c r="I105" s="59">
        <v>2710.87</v>
      </c>
      <c r="J105" s="59">
        <v>2735.74</v>
      </c>
      <c r="K105" s="59">
        <v>2782.64</v>
      </c>
      <c r="L105" s="59">
        <v>2829.09</v>
      </c>
      <c r="M105" s="59">
        <v>2762.77</v>
      </c>
      <c r="N105" s="59">
        <v>2721.52</v>
      </c>
      <c r="O105" s="59">
        <v>2705.02</v>
      </c>
      <c r="P105" s="59">
        <v>2730.2</v>
      </c>
      <c r="Q105" s="59">
        <v>2790.06</v>
      </c>
      <c r="R105" s="194">
        <f>IF((Q106=""),"",MAX(E107:Q107))</f>
        <v>275.06999999999971</v>
      </c>
      <c r="S105" s="194">
        <f>IF(Q106="","",MIN(E107:Q107))</f>
        <v>253.92000000000007</v>
      </c>
      <c r="T105" s="195">
        <f>IF((Q107=""),"",AVERAGE(E107:Q107))</f>
        <v>266.95923076923071</v>
      </c>
      <c r="U105" s="195">
        <f>IF((Q106=""),"",(R105-S105)/(R105+S105)*100)</f>
        <v>3.998185220892577</v>
      </c>
      <c r="V105" s="66">
        <f>STDEV(E107:Q107)</f>
        <v>6.3876370977309209</v>
      </c>
      <c r="W105" s="83" t="str">
        <f>IF(Q106="","",IF(T105&gt;242,IF(T105&lt;320,"Pass","Fail"),"Fail"))</f>
        <v>Pass</v>
      </c>
      <c r="X105" s="88">
        <v>1159</v>
      </c>
      <c r="Y105" s="161" t="s">
        <v>126</v>
      </c>
      <c r="Z105" s="147"/>
      <c r="AA105" s="67">
        <v>240</v>
      </c>
      <c r="AB105" s="67">
        <v>320</v>
      </c>
      <c r="AC105" s="67">
        <v>190</v>
      </c>
      <c r="AD105" s="67">
        <v>360</v>
      </c>
      <c r="AE105" s="67">
        <v>20</v>
      </c>
      <c r="AF105" s="67">
        <v>11</v>
      </c>
    </row>
    <row r="106" spans="1:32">
      <c r="A106" s="149"/>
      <c r="B106" s="82"/>
      <c r="C106" s="82"/>
      <c r="D106" s="204" t="s">
        <v>115</v>
      </c>
      <c r="E106" s="59">
        <v>2506.5700000000002</v>
      </c>
      <c r="F106" s="59">
        <v>2469.66</v>
      </c>
      <c r="G106" s="59">
        <v>2436.21</v>
      </c>
      <c r="H106" s="59">
        <v>2426.19</v>
      </c>
      <c r="I106" s="59">
        <v>2435.8000000000002</v>
      </c>
      <c r="J106" s="59">
        <v>2471.29</v>
      </c>
      <c r="K106" s="59">
        <v>2516.9299999999998</v>
      </c>
      <c r="L106" s="59">
        <v>2569.29</v>
      </c>
      <c r="M106" s="59">
        <v>2499.94</v>
      </c>
      <c r="N106" s="59">
        <v>2449.96</v>
      </c>
      <c r="O106" s="59">
        <v>2430.94</v>
      </c>
      <c r="P106" s="59">
        <v>2467.35</v>
      </c>
      <c r="Q106" s="59">
        <v>2536.14</v>
      </c>
      <c r="R106" s="190"/>
      <c r="S106" s="190"/>
      <c r="T106" s="191"/>
      <c r="U106" s="191"/>
      <c r="W106" s="177"/>
      <c r="X106" s="89"/>
      <c r="Y106" s="159"/>
      <c r="Z106" s="147"/>
    </row>
    <row r="107" spans="1:32" ht="48.75" thickBot="1">
      <c r="A107" s="149"/>
      <c r="B107" s="207"/>
      <c r="C107" s="207"/>
      <c r="D107" s="204" t="s">
        <v>116</v>
      </c>
      <c r="E107" s="51">
        <f t="shared" ref="E107:Q107" si="29">IF(((E105="")*AND(E106="")),"",(E105-E106))</f>
        <v>270.73999999999978</v>
      </c>
      <c r="F107" s="51">
        <f t="shared" si="29"/>
        <v>264.40000000000009</v>
      </c>
      <c r="G107" s="51">
        <f t="shared" si="29"/>
        <v>270.80000000000018</v>
      </c>
      <c r="H107" s="51">
        <f t="shared" si="29"/>
        <v>274.25999999999976</v>
      </c>
      <c r="I107" s="51">
        <f t="shared" si="29"/>
        <v>275.06999999999971</v>
      </c>
      <c r="J107" s="51">
        <f t="shared" si="29"/>
        <v>264.44999999999982</v>
      </c>
      <c r="K107" s="51">
        <f t="shared" si="29"/>
        <v>265.71000000000004</v>
      </c>
      <c r="L107" s="51">
        <f t="shared" si="29"/>
        <v>259.80000000000018</v>
      </c>
      <c r="M107" s="51">
        <f t="shared" si="29"/>
        <v>262.82999999999993</v>
      </c>
      <c r="N107" s="85">
        <f t="shared" si="29"/>
        <v>271.55999999999995</v>
      </c>
      <c r="O107" s="85">
        <f t="shared" si="29"/>
        <v>274.07999999999993</v>
      </c>
      <c r="P107" s="85">
        <f t="shared" si="29"/>
        <v>262.84999999999991</v>
      </c>
      <c r="Q107" s="85">
        <f t="shared" si="29"/>
        <v>253.92000000000007</v>
      </c>
      <c r="R107" s="192"/>
      <c r="S107" s="192"/>
      <c r="T107" s="193"/>
      <c r="U107" s="193"/>
      <c r="W107" s="178"/>
      <c r="X107" s="90"/>
      <c r="Y107" s="159"/>
      <c r="Z107" s="147"/>
    </row>
    <row r="108" spans="1:32">
      <c r="A108" s="149">
        <v>42215</v>
      </c>
      <c r="B108" s="81" t="s">
        <v>119</v>
      </c>
      <c r="C108" s="81" t="s">
        <v>120</v>
      </c>
      <c r="D108" s="204" t="s">
        <v>114</v>
      </c>
      <c r="E108" s="59">
        <v>7015.91</v>
      </c>
      <c r="F108" s="59">
        <v>6953.3</v>
      </c>
      <c r="G108" s="59">
        <v>7037.97</v>
      </c>
      <c r="H108" s="59">
        <v>7014.13</v>
      </c>
      <c r="I108" s="59">
        <v>7228.42</v>
      </c>
      <c r="J108" s="59">
        <v>7164.65</v>
      </c>
      <c r="K108" s="59">
        <v>7014.42</v>
      </c>
      <c r="L108" s="59">
        <v>7034.29</v>
      </c>
      <c r="M108" s="59">
        <v>7190.59</v>
      </c>
      <c r="N108" s="210"/>
      <c r="O108" s="210"/>
      <c r="P108" s="210"/>
      <c r="Q108" s="210"/>
      <c r="R108" s="196">
        <f>IF((M109=""),"",MAX(E110:M110))</f>
        <v>4630.76</v>
      </c>
      <c r="S108" s="194">
        <f>IF(M109="","",MIN(E110:M110))</f>
        <v>4206.7000000000007</v>
      </c>
      <c r="T108" s="195">
        <f>IF((M110=""),"",AVERAGE(E110:M110))</f>
        <v>4374.2222222222226</v>
      </c>
      <c r="U108" s="195">
        <f>IF((M109=""),"",(R108-S108)/(R108+S108)*100)</f>
        <v>4.7984375601134204</v>
      </c>
      <c r="V108" s="66">
        <f>STDEV(E110:Q110)</f>
        <v>164.64987046593362</v>
      </c>
      <c r="W108" s="83" t="str">
        <f>IF(M109="","",IF(T108&gt;3650,IF(T108&lt;4450,"Pass","Fail"),"Fail"))</f>
        <v>Pass</v>
      </c>
      <c r="X108" s="88">
        <v>1400</v>
      </c>
      <c r="AA108" s="86">
        <v>3650</v>
      </c>
      <c r="AB108" s="86">
        <v>4450</v>
      </c>
      <c r="AC108" s="86">
        <v>3700</v>
      </c>
      <c r="AD108" s="86">
        <v>4250</v>
      </c>
      <c r="AE108" s="86">
        <v>7.2</v>
      </c>
      <c r="AF108" s="86">
        <v>3</v>
      </c>
    </row>
    <row r="109" spans="1:32">
      <c r="A109" s="149"/>
      <c r="B109" s="82"/>
      <c r="C109" s="82"/>
      <c r="D109" s="204" t="s">
        <v>115</v>
      </c>
      <c r="E109" s="59">
        <v>4713.3599999999997</v>
      </c>
      <c r="F109" s="59">
        <v>4823.24</v>
      </c>
      <c r="G109" s="59">
        <v>4934</v>
      </c>
      <c r="H109" s="59">
        <v>4878.4799999999996</v>
      </c>
      <c r="I109" s="59">
        <v>4913.04</v>
      </c>
      <c r="J109" s="59">
        <v>4925.33</v>
      </c>
      <c r="K109" s="59">
        <v>4866.4799999999996</v>
      </c>
      <c r="L109" s="59">
        <v>4930.9399999999996</v>
      </c>
      <c r="M109" s="59">
        <v>4984.8100000000004</v>
      </c>
      <c r="N109" s="205"/>
      <c r="O109" s="205"/>
      <c r="P109" s="205"/>
      <c r="Q109" s="205"/>
      <c r="R109" s="190"/>
      <c r="S109" s="190"/>
      <c r="T109" s="191"/>
      <c r="U109" s="191"/>
      <c r="W109" s="177"/>
      <c r="X109" s="89"/>
    </row>
    <row r="110" spans="1:32" ht="48.75" thickBot="1">
      <c r="A110" s="149"/>
      <c r="B110" s="207"/>
      <c r="C110" s="207"/>
      <c r="D110" s="204" t="s">
        <v>116</v>
      </c>
      <c r="E110" s="51">
        <f t="shared" ref="E110:M110" si="30">IF(((E108="")*AND(E109="")),"",(E108-E109)*2)</f>
        <v>4605.1000000000004</v>
      </c>
      <c r="F110" s="51">
        <f t="shared" si="30"/>
        <v>4260.1200000000008</v>
      </c>
      <c r="G110" s="51">
        <f t="shared" si="30"/>
        <v>4207.9400000000005</v>
      </c>
      <c r="H110" s="51">
        <f t="shared" si="30"/>
        <v>4271.3000000000011</v>
      </c>
      <c r="I110" s="51">
        <f t="shared" si="30"/>
        <v>4630.76</v>
      </c>
      <c r="J110" s="51">
        <f t="shared" si="30"/>
        <v>4478.6399999999994</v>
      </c>
      <c r="K110" s="51">
        <f t="shared" si="30"/>
        <v>4295.880000000001</v>
      </c>
      <c r="L110" s="51">
        <f t="shared" si="30"/>
        <v>4206.7000000000007</v>
      </c>
      <c r="M110" s="51">
        <f t="shared" si="30"/>
        <v>4411.5599999999995</v>
      </c>
      <c r="N110" s="51"/>
      <c r="O110" s="51"/>
      <c r="P110" s="51"/>
      <c r="Q110" s="51"/>
      <c r="R110" s="192"/>
      <c r="S110" s="192"/>
      <c r="T110" s="193"/>
      <c r="U110" s="193"/>
      <c r="W110" s="178"/>
      <c r="X110" s="90"/>
    </row>
    <row r="111" spans="1:32">
      <c r="A111" s="149">
        <v>42215</v>
      </c>
      <c r="B111" s="81" t="s">
        <v>121</v>
      </c>
      <c r="C111" s="81" t="s">
        <v>121</v>
      </c>
      <c r="D111" s="204" t="s">
        <v>114</v>
      </c>
      <c r="E111" s="59">
        <v>1961.5</v>
      </c>
      <c r="F111" s="59">
        <v>1954.71</v>
      </c>
      <c r="G111" s="59">
        <v>1950.93</v>
      </c>
      <c r="H111" s="59">
        <v>1952.21</v>
      </c>
      <c r="I111" s="59">
        <v>1961.16</v>
      </c>
      <c r="J111" s="59">
        <v>1959.17</v>
      </c>
      <c r="K111" s="59">
        <v>1953.85</v>
      </c>
      <c r="L111" s="59">
        <v>1958.42</v>
      </c>
      <c r="M111" s="59">
        <v>1963.47</v>
      </c>
      <c r="N111" s="205"/>
      <c r="O111" s="205"/>
      <c r="P111" s="205"/>
      <c r="Q111" s="205"/>
      <c r="R111" s="194">
        <f>IF((M112=""),"",MAX(E113:M113))</f>
        <v>2814.88</v>
      </c>
      <c r="S111" s="194">
        <f>IF((M112=""),"",MIN(E113:M113))</f>
        <v>2670.5600000000004</v>
      </c>
      <c r="T111" s="195">
        <f>IF((M113=""),"",AVERAGE(E113:M113))</f>
        <v>2742.1200000000003</v>
      </c>
      <c r="U111" s="195">
        <f>IF((M112=""),"",(R111-S111)/(R111+S111)*100)</f>
        <v>2.6309648815774067</v>
      </c>
      <c r="V111" s="66">
        <f>STDEV(E113:Q113)</f>
        <v>50.106873779927319</v>
      </c>
      <c r="W111" s="174" t="str">
        <f>IF(M112="","",IF(U111&lt;5.5,IF(T111&gt;2200,IF(T111&lt;2900,"Pass","Fail"),"Fail"),"Fail"))</f>
        <v>Pass</v>
      </c>
      <c r="X111" s="88">
        <v>1400</v>
      </c>
      <c r="AA111" s="67">
        <v>2000</v>
      </c>
      <c r="AB111" s="67">
        <v>3000</v>
      </c>
      <c r="AC111" s="67">
        <v>2200</v>
      </c>
      <c r="AD111" s="67">
        <v>2900</v>
      </c>
      <c r="AE111" s="67">
        <v>7</v>
      </c>
      <c r="AF111" s="67">
        <v>5.5</v>
      </c>
    </row>
    <row r="112" spans="1:32">
      <c r="A112" s="149"/>
      <c r="B112" s="82"/>
      <c r="C112" s="82"/>
      <c r="D112" s="204" t="s">
        <v>115</v>
      </c>
      <c r="E112" s="59">
        <v>1288.5999999999999</v>
      </c>
      <c r="F112" s="59">
        <v>1281.9000000000001</v>
      </c>
      <c r="G112" s="59">
        <v>1283.29</v>
      </c>
      <c r="H112" s="59">
        <v>1260.3499999999999</v>
      </c>
      <c r="I112" s="59">
        <v>1257.44</v>
      </c>
      <c r="J112" s="59">
        <v>1265.7</v>
      </c>
      <c r="K112" s="59">
        <v>1271.58</v>
      </c>
      <c r="L112" s="59">
        <v>1271.82</v>
      </c>
      <c r="M112" s="59">
        <v>1264.97</v>
      </c>
      <c r="N112" s="205"/>
      <c r="O112" s="205"/>
      <c r="P112" s="205"/>
      <c r="Q112" s="205"/>
      <c r="R112" s="190"/>
      <c r="S112" s="190"/>
      <c r="T112" s="191"/>
      <c r="U112" s="191"/>
      <c r="W112" s="179"/>
      <c r="X112" s="89"/>
    </row>
    <row r="113" spans="1:32" ht="48.75" thickBot="1">
      <c r="A113" s="149"/>
      <c r="B113" s="211"/>
      <c r="C113" s="211"/>
      <c r="D113" s="212" t="s">
        <v>116</v>
      </c>
      <c r="E113" s="87">
        <f t="shared" ref="E113:M113" si="31">IF(((E111="")*AND(E112="")),"",(E111-E112)*4)</f>
        <v>2691.6000000000004</v>
      </c>
      <c r="F113" s="87">
        <f t="shared" si="31"/>
        <v>2691.24</v>
      </c>
      <c r="G113" s="87">
        <f t="shared" si="31"/>
        <v>2670.5600000000004</v>
      </c>
      <c r="H113" s="87">
        <f t="shared" si="31"/>
        <v>2767.4400000000005</v>
      </c>
      <c r="I113" s="87">
        <f t="shared" si="31"/>
        <v>2814.88</v>
      </c>
      <c r="J113" s="87">
        <f t="shared" si="31"/>
        <v>2773.88</v>
      </c>
      <c r="K113" s="87">
        <f t="shared" si="31"/>
        <v>2729.08</v>
      </c>
      <c r="L113" s="87">
        <f t="shared" si="31"/>
        <v>2746.4000000000005</v>
      </c>
      <c r="M113" s="87">
        <f t="shared" si="31"/>
        <v>2794</v>
      </c>
      <c r="N113" s="87"/>
      <c r="O113" s="87"/>
      <c r="P113" s="87"/>
      <c r="Q113" s="87" t="str">
        <f>IF(((Q111="")*AND(Q112="")),"",(Q111-Q112)*4)</f>
        <v/>
      </c>
      <c r="R113" s="197"/>
      <c r="S113" s="197"/>
      <c r="T113" s="198"/>
      <c r="U113" s="198"/>
      <c r="W113" s="180"/>
      <c r="X113" s="90"/>
    </row>
    <row r="114" spans="1:32">
      <c r="A114" s="149">
        <v>42215</v>
      </c>
      <c r="B114" s="200" t="s">
        <v>112</v>
      </c>
      <c r="C114" s="200" t="s">
        <v>113</v>
      </c>
      <c r="D114" s="201" t="s">
        <v>114</v>
      </c>
      <c r="E114" s="59">
        <v>7949.92</v>
      </c>
      <c r="F114" s="59">
        <v>7981.7</v>
      </c>
      <c r="G114" s="59">
        <v>8028.66</v>
      </c>
      <c r="H114" s="59">
        <v>8125.91</v>
      </c>
      <c r="I114" s="59">
        <v>8133.81</v>
      </c>
      <c r="J114" s="59">
        <v>8105.98</v>
      </c>
      <c r="K114" s="59">
        <v>8033.71</v>
      </c>
      <c r="L114" s="59">
        <v>8121.3</v>
      </c>
      <c r="M114" s="59">
        <v>7958.51</v>
      </c>
      <c r="N114" s="202"/>
      <c r="O114" s="202"/>
      <c r="P114" s="202"/>
      <c r="Q114" s="202"/>
      <c r="R114" s="188" t="str">
        <f>IF((M115=""),"",MAX(E116:M116))</f>
        <v/>
      </c>
      <c r="S114" s="188" t="str">
        <f>IF((M115=""),"",MIN(E116:M116))</f>
        <v/>
      </c>
      <c r="T114" s="189"/>
      <c r="U114" s="189" t="str">
        <f>IF((M115=""),"",(R114-S114)/(R114+S114)*100)</f>
        <v/>
      </c>
      <c r="V114" s="66">
        <f>STDEV(E116:Q116)</f>
        <v>149.60568304700683</v>
      </c>
      <c r="W114" s="170" t="str">
        <f>IF(M115="","",IF(U114&lt;6.3,IF(T114&gt;5550,IF(T114&lt;6900,"Pass","Fail"),"Fail"),"Fail"))</f>
        <v/>
      </c>
      <c r="X114" s="88">
        <v>1400</v>
      </c>
      <c r="AA114" s="67">
        <v>5860</v>
      </c>
      <c r="AB114" s="67">
        <v>6770</v>
      </c>
      <c r="AC114" s="67">
        <v>5550</v>
      </c>
      <c r="AD114" s="67">
        <v>6900</v>
      </c>
      <c r="AE114" s="67">
        <v>20</v>
      </c>
      <c r="AF114" s="67">
        <v>6.3</v>
      </c>
    </row>
    <row r="115" spans="1:32">
      <c r="A115" s="149"/>
      <c r="B115" s="82"/>
      <c r="C115" s="82"/>
      <c r="D115" s="204" t="s">
        <v>115</v>
      </c>
      <c r="E115" s="94"/>
      <c r="F115" s="94"/>
      <c r="G115" s="94"/>
      <c r="H115" s="94"/>
      <c r="I115" s="94"/>
      <c r="J115" s="94"/>
      <c r="K115" s="94"/>
      <c r="L115" s="94"/>
      <c r="M115" s="214"/>
      <c r="N115" s="205"/>
      <c r="O115" s="205"/>
      <c r="P115" s="205"/>
      <c r="Q115" s="205"/>
      <c r="R115" s="190"/>
      <c r="S115" s="190"/>
      <c r="T115" s="191"/>
      <c r="U115" s="191"/>
      <c r="W115" s="177"/>
      <c r="X115" s="89"/>
    </row>
    <row r="116" spans="1:32" ht="48.75" thickBot="1">
      <c r="A116" s="149"/>
      <c r="B116" s="207"/>
      <c r="C116" s="207"/>
      <c r="D116" s="204" t="s">
        <v>116</v>
      </c>
      <c r="E116" s="51">
        <f t="shared" ref="E116:M116" si="32">IF(((E114="")*AND(E115="")),"",(E114-E115)*2)</f>
        <v>15899.84</v>
      </c>
      <c r="F116" s="51">
        <f t="shared" si="32"/>
        <v>15963.4</v>
      </c>
      <c r="G116" s="51">
        <f t="shared" si="32"/>
        <v>16057.32</v>
      </c>
      <c r="H116" s="51">
        <f t="shared" si="32"/>
        <v>16251.82</v>
      </c>
      <c r="I116" s="51">
        <f t="shared" si="32"/>
        <v>16267.62</v>
      </c>
      <c r="J116" s="51">
        <f t="shared" si="32"/>
        <v>16211.96</v>
      </c>
      <c r="K116" s="51">
        <f t="shared" si="32"/>
        <v>16067.42</v>
      </c>
      <c r="L116" s="51">
        <f t="shared" si="32"/>
        <v>16242.6</v>
      </c>
      <c r="M116" s="51">
        <f t="shared" si="32"/>
        <v>15917.02</v>
      </c>
      <c r="N116" s="51"/>
      <c r="O116" s="51"/>
      <c r="P116" s="51"/>
      <c r="Q116" s="51" t="str">
        <f>IF(((Q114="")*AND(Q115="")),"",(Q114-Q115)*2)</f>
        <v/>
      </c>
      <c r="R116" s="192"/>
      <c r="S116" s="192"/>
      <c r="T116" s="193"/>
      <c r="U116" s="193"/>
      <c r="W116" s="178"/>
      <c r="X116" s="90"/>
    </row>
    <row r="117" spans="1:32">
      <c r="A117" s="149">
        <v>42215</v>
      </c>
      <c r="B117" s="81" t="s">
        <v>117</v>
      </c>
      <c r="C117" s="81" t="s">
        <v>118</v>
      </c>
      <c r="D117" s="204" t="s">
        <v>114</v>
      </c>
      <c r="E117" s="59">
        <v>2497.9699999999998</v>
      </c>
      <c r="F117" s="59">
        <v>2453.61</v>
      </c>
      <c r="G117" s="59">
        <v>2419.65</v>
      </c>
      <c r="H117" s="59">
        <v>2414.19</v>
      </c>
      <c r="I117" s="59">
        <v>2417.59</v>
      </c>
      <c r="J117" s="59">
        <v>2451.1999999999998</v>
      </c>
      <c r="K117" s="59">
        <v>2503.69</v>
      </c>
      <c r="L117" s="59">
        <v>2556.9899999999998</v>
      </c>
      <c r="M117" s="59">
        <v>2482.7600000000002</v>
      </c>
      <c r="N117" s="59">
        <v>2432.98</v>
      </c>
      <c r="O117" s="59">
        <v>2411.2399999999998</v>
      </c>
      <c r="P117" s="59">
        <v>2450.5300000000002</v>
      </c>
      <c r="Q117" s="59">
        <v>2523.21</v>
      </c>
      <c r="R117" s="194">
        <f>IF((Q118=""),"",MAX(E119:Q119))</f>
        <v>338.79999999999973</v>
      </c>
      <c r="S117" s="194">
        <f>IF(Q118="","",MIN(E119:Q119))</f>
        <v>297.41999999999962</v>
      </c>
      <c r="T117" s="195">
        <f>IF((Q119=""),"",AVERAGE(E119:Q119))</f>
        <v>315.63307692307694</v>
      </c>
      <c r="U117" s="195">
        <f>IF((Q118=""),"",(R117-S117)/(R117+S117)*100)</f>
        <v>6.5040394831976602</v>
      </c>
      <c r="V117" s="66">
        <f>STDEV(E119:Q119)</f>
        <v>13.620150136602497</v>
      </c>
      <c r="W117" s="83" t="str">
        <f>IF(Q118="","",IF(T117&gt;242,IF(T117&lt;320,"Pass","Fail"),"Fail"))</f>
        <v>Pass</v>
      </c>
      <c r="X117" s="88">
        <v>1400</v>
      </c>
      <c r="AA117" s="67">
        <v>240</v>
      </c>
      <c r="AB117" s="67">
        <v>320</v>
      </c>
      <c r="AC117" s="67">
        <v>190</v>
      </c>
      <c r="AD117" s="67">
        <v>360</v>
      </c>
      <c r="AE117" s="67">
        <v>20</v>
      </c>
      <c r="AF117" s="67">
        <v>11</v>
      </c>
    </row>
    <row r="118" spans="1:32">
      <c r="A118" s="149"/>
      <c r="B118" s="82"/>
      <c r="C118" s="82"/>
      <c r="D118" s="204" t="s">
        <v>115</v>
      </c>
      <c r="E118" s="59">
        <v>2165.46</v>
      </c>
      <c r="F118" s="59">
        <v>2146.88</v>
      </c>
      <c r="G118" s="59">
        <v>2116.2399999999998</v>
      </c>
      <c r="H118" s="59">
        <v>2083.9899999999998</v>
      </c>
      <c r="I118" s="59">
        <v>2093.33</v>
      </c>
      <c r="J118" s="59">
        <v>2145.2399999999998</v>
      </c>
      <c r="K118" s="59">
        <v>2175.48</v>
      </c>
      <c r="L118" s="59">
        <v>2218.19</v>
      </c>
      <c r="M118" s="59">
        <v>2174.14</v>
      </c>
      <c r="N118" s="59">
        <v>2125.0700000000002</v>
      </c>
      <c r="O118" s="59">
        <v>2113.8200000000002</v>
      </c>
      <c r="P118" s="59">
        <v>2148.81</v>
      </c>
      <c r="Q118" s="59">
        <v>2205.73</v>
      </c>
      <c r="R118" s="190"/>
      <c r="S118" s="190"/>
      <c r="T118" s="191"/>
      <c r="U118" s="191"/>
      <c r="W118" s="177"/>
      <c r="X118" s="89"/>
    </row>
    <row r="119" spans="1:32" ht="48.75" thickBot="1">
      <c r="A119" s="149"/>
      <c r="B119" s="207"/>
      <c r="C119" s="207"/>
      <c r="D119" s="204" t="s">
        <v>116</v>
      </c>
      <c r="E119" s="51">
        <f t="shared" ref="E119:Q119" si="33">IF(((E117="")*AND(E118="")),"",(E117-E118))</f>
        <v>332.50999999999976</v>
      </c>
      <c r="F119" s="51">
        <f t="shared" si="33"/>
        <v>306.73</v>
      </c>
      <c r="G119" s="51">
        <f t="shared" si="33"/>
        <v>303.41000000000031</v>
      </c>
      <c r="H119" s="51">
        <f t="shared" si="33"/>
        <v>330.20000000000027</v>
      </c>
      <c r="I119" s="51">
        <f t="shared" si="33"/>
        <v>324.26000000000022</v>
      </c>
      <c r="J119" s="51">
        <f t="shared" si="33"/>
        <v>305.96000000000004</v>
      </c>
      <c r="K119" s="51">
        <f t="shared" si="33"/>
        <v>328.21000000000004</v>
      </c>
      <c r="L119" s="51">
        <f t="shared" si="33"/>
        <v>338.79999999999973</v>
      </c>
      <c r="M119" s="51">
        <f t="shared" si="33"/>
        <v>308.62000000000035</v>
      </c>
      <c r="N119" s="85">
        <f t="shared" si="33"/>
        <v>307.90999999999985</v>
      </c>
      <c r="O119" s="85">
        <f t="shared" si="33"/>
        <v>297.41999999999962</v>
      </c>
      <c r="P119" s="85">
        <f t="shared" si="33"/>
        <v>301.72000000000025</v>
      </c>
      <c r="Q119" s="85">
        <f t="shared" si="33"/>
        <v>317.48</v>
      </c>
      <c r="R119" s="192"/>
      <c r="S119" s="192"/>
      <c r="T119" s="193"/>
      <c r="U119" s="193"/>
      <c r="W119" s="178"/>
      <c r="X119" s="90"/>
    </row>
    <row r="120" spans="1:32">
      <c r="A120" s="149">
        <v>42228</v>
      </c>
      <c r="B120" s="81" t="s">
        <v>119</v>
      </c>
      <c r="C120" s="81" t="s">
        <v>120</v>
      </c>
      <c r="D120" s="204" t="s">
        <v>114</v>
      </c>
      <c r="E120" s="59">
        <v>5086.5200000000004</v>
      </c>
      <c r="F120" s="59">
        <v>4978.63</v>
      </c>
      <c r="G120" s="59">
        <v>5098.7</v>
      </c>
      <c r="H120" s="59">
        <v>5082.6099999999997</v>
      </c>
      <c r="I120" s="59">
        <v>5470.85</v>
      </c>
      <c r="J120" s="59">
        <v>5473.81</v>
      </c>
      <c r="K120" s="59">
        <v>5060.67</v>
      </c>
      <c r="L120" s="59">
        <v>5071.76</v>
      </c>
      <c r="M120" s="59">
        <v>5302.57</v>
      </c>
      <c r="N120" s="210"/>
      <c r="O120" s="210"/>
      <c r="P120" s="210"/>
      <c r="Q120" s="210"/>
      <c r="R120" s="196">
        <f>IF((M121=""),"",MAX(E122:M122))</f>
        <v>4682.2200000000012</v>
      </c>
      <c r="S120" s="194">
        <f>IF(M121="","",MIN(E122:M122))</f>
        <v>4064.5200000000004</v>
      </c>
      <c r="T120" s="195">
        <f>IF((M122=""),"",AVERAGE(E122:M122))</f>
        <v>4291.2688888888888</v>
      </c>
      <c r="U120" s="195">
        <f>IF((M121=""),"",(R120-S120)/(R120+S120)*100)</f>
        <v>7.0620596930970923</v>
      </c>
      <c r="V120" s="66">
        <f>STDEV(E122:Q122)</f>
        <v>221.16372082942195</v>
      </c>
      <c r="W120" s="83" t="str">
        <f>IF(M121="","",IF(T120&gt;3650,IF(T120&lt;4450,"Pass","Fail"),"Fail"))</f>
        <v>Pass</v>
      </c>
      <c r="X120" s="59">
        <v>121</v>
      </c>
      <c r="AA120" s="86">
        <v>3650</v>
      </c>
      <c r="AB120" s="86">
        <v>4450</v>
      </c>
      <c r="AC120" s="86">
        <v>3700</v>
      </c>
      <c r="AD120" s="86">
        <v>4250</v>
      </c>
      <c r="AE120" s="86">
        <v>7.2</v>
      </c>
      <c r="AF120" s="86">
        <v>3</v>
      </c>
    </row>
    <row r="121" spans="1:32">
      <c r="A121" s="149"/>
      <c r="B121" s="82"/>
      <c r="C121" s="82"/>
      <c r="D121" s="204" t="s">
        <v>115</v>
      </c>
      <c r="E121" s="59">
        <v>2902.36</v>
      </c>
      <c r="F121" s="59">
        <v>2946.37</v>
      </c>
      <c r="G121" s="59">
        <v>3029.65</v>
      </c>
      <c r="H121" s="59">
        <v>3002.2</v>
      </c>
      <c r="I121" s="59">
        <v>3129.74</v>
      </c>
      <c r="J121" s="59">
        <v>3202.71</v>
      </c>
      <c r="K121" s="59">
        <v>2990.71</v>
      </c>
      <c r="L121" s="59">
        <v>3021.92</v>
      </c>
      <c r="M121" s="59">
        <v>3089.75</v>
      </c>
      <c r="N121" s="205"/>
      <c r="O121" s="205"/>
      <c r="P121" s="205"/>
      <c r="Q121" s="205"/>
      <c r="R121" s="190"/>
      <c r="S121" s="190"/>
      <c r="T121" s="191"/>
      <c r="U121" s="191"/>
      <c r="W121" s="177"/>
    </row>
    <row r="122" spans="1:32" ht="48">
      <c r="A122" s="149"/>
      <c r="B122" s="207"/>
      <c r="C122" s="207"/>
      <c r="D122" s="204" t="s">
        <v>116</v>
      </c>
      <c r="E122" s="51">
        <f t="shared" ref="E122:M122" si="34">IF(((E120="")*AND(E121="")),"",(E120-E121)*2)</f>
        <v>4368.3200000000006</v>
      </c>
      <c r="F122" s="51">
        <f t="shared" si="34"/>
        <v>4064.5200000000004</v>
      </c>
      <c r="G122" s="51">
        <f t="shared" si="34"/>
        <v>4138.0999999999995</v>
      </c>
      <c r="H122" s="51">
        <f t="shared" si="34"/>
        <v>4160.82</v>
      </c>
      <c r="I122" s="51">
        <f t="shared" si="34"/>
        <v>4682.2200000000012</v>
      </c>
      <c r="J122" s="51">
        <f t="shared" si="34"/>
        <v>4542.2000000000007</v>
      </c>
      <c r="K122" s="51">
        <f t="shared" si="34"/>
        <v>4139.92</v>
      </c>
      <c r="L122" s="51">
        <f t="shared" si="34"/>
        <v>4099.68</v>
      </c>
      <c r="M122" s="51">
        <f t="shared" si="34"/>
        <v>4425.6399999999994</v>
      </c>
      <c r="N122" s="51"/>
      <c r="O122" s="51"/>
      <c r="P122" s="51"/>
      <c r="Q122" s="51"/>
      <c r="R122" s="192"/>
      <c r="S122" s="192"/>
      <c r="T122" s="193"/>
      <c r="U122" s="193"/>
      <c r="W122" s="178"/>
    </row>
    <row r="123" spans="1:32">
      <c r="A123" s="149">
        <v>42228</v>
      </c>
      <c r="B123" s="81" t="s">
        <v>121</v>
      </c>
      <c r="C123" s="81" t="s">
        <v>121</v>
      </c>
      <c r="D123" s="204" t="s">
        <v>114</v>
      </c>
      <c r="E123" s="59">
        <v>1951.65</v>
      </c>
      <c r="F123" s="59">
        <v>1937.92</v>
      </c>
      <c r="G123" s="59">
        <v>1930.09</v>
      </c>
      <c r="H123" s="59">
        <v>1938.46</v>
      </c>
      <c r="I123" s="59">
        <v>1946.5</v>
      </c>
      <c r="J123" s="59">
        <v>1954.05</v>
      </c>
      <c r="K123" s="59">
        <v>1939.39</v>
      </c>
      <c r="L123" s="59">
        <v>1937.47</v>
      </c>
      <c r="M123" s="59">
        <v>1948.12</v>
      </c>
      <c r="N123" s="205"/>
      <c r="O123" s="205"/>
      <c r="P123" s="205"/>
      <c r="Q123" s="205"/>
      <c r="R123" s="194">
        <f>IF((M124=""),"",MAX(E125:M125))</f>
        <v>2733.96</v>
      </c>
      <c r="S123" s="194">
        <f>IF((M124=""),"",MIN(E125:M125))</f>
        <v>2546.3999999999996</v>
      </c>
      <c r="T123" s="195">
        <f>IF((M125=""),"",AVERAGE(E125:M125))</f>
        <v>2622.6488888888894</v>
      </c>
      <c r="U123" s="195">
        <f>IF((M124=""),"",(R123-S123)/(R123+S123)*100)</f>
        <v>3.5520305433720507</v>
      </c>
      <c r="V123" s="66">
        <f>STDEV(E125:Q125)</f>
        <v>55.340978588283221</v>
      </c>
      <c r="W123" s="174" t="str">
        <f>IF(M124="","",IF(U123&lt;5.5,IF(T123&gt;2200,IF(T123&lt;2900,"Pass","Fail"),"Fail"),"Fail"))</f>
        <v>Pass</v>
      </c>
      <c r="X123" s="59">
        <v>121</v>
      </c>
      <c r="AA123" s="67">
        <v>2000</v>
      </c>
      <c r="AB123" s="67">
        <v>3000</v>
      </c>
      <c r="AC123" s="67">
        <v>2200</v>
      </c>
      <c r="AD123" s="67">
        <v>2900</v>
      </c>
      <c r="AE123" s="67">
        <v>7</v>
      </c>
      <c r="AF123" s="67">
        <v>5.5</v>
      </c>
    </row>
    <row r="124" spans="1:32">
      <c r="A124" s="149"/>
      <c r="B124" s="82"/>
      <c r="C124" s="82"/>
      <c r="D124" s="204" t="s">
        <v>115</v>
      </c>
      <c r="E124" s="59">
        <v>1293.01</v>
      </c>
      <c r="F124" s="59">
        <v>1287.1199999999999</v>
      </c>
      <c r="G124" s="59">
        <v>1293.49</v>
      </c>
      <c r="H124" s="59">
        <v>1282.71</v>
      </c>
      <c r="I124" s="59">
        <v>1283.27</v>
      </c>
      <c r="J124" s="59">
        <v>1270.56</v>
      </c>
      <c r="K124" s="59">
        <v>1276.54</v>
      </c>
      <c r="L124" s="59">
        <v>1295.51</v>
      </c>
      <c r="M124" s="59">
        <v>1300.48</v>
      </c>
      <c r="N124" s="205"/>
      <c r="O124" s="205"/>
      <c r="P124" s="205"/>
      <c r="Q124" s="205"/>
      <c r="R124" s="190"/>
      <c r="S124" s="190"/>
      <c r="T124" s="191"/>
      <c r="U124" s="191"/>
      <c r="W124" s="179"/>
    </row>
    <row r="125" spans="1:32" ht="48.75" thickBot="1">
      <c r="A125" s="149"/>
      <c r="B125" s="211"/>
      <c r="C125" s="211"/>
      <c r="D125" s="212" t="s">
        <v>116</v>
      </c>
      <c r="E125" s="87">
        <f t="shared" ref="E125:M125" si="35">IF(((E123="")*AND(E124="")),"",(E123-E124)*4)</f>
        <v>2634.5600000000004</v>
      </c>
      <c r="F125" s="87">
        <f t="shared" si="35"/>
        <v>2603.2000000000007</v>
      </c>
      <c r="G125" s="87">
        <f t="shared" si="35"/>
        <v>2546.3999999999996</v>
      </c>
      <c r="H125" s="87">
        <f t="shared" si="35"/>
        <v>2623</v>
      </c>
      <c r="I125" s="87">
        <f t="shared" si="35"/>
        <v>2652.92</v>
      </c>
      <c r="J125" s="87">
        <f t="shared" si="35"/>
        <v>2733.96</v>
      </c>
      <c r="K125" s="87">
        <f t="shared" si="35"/>
        <v>2651.4000000000005</v>
      </c>
      <c r="L125" s="87">
        <f t="shared" si="35"/>
        <v>2567.84</v>
      </c>
      <c r="M125" s="87">
        <f t="shared" si="35"/>
        <v>2590.5599999999995</v>
      </c>
      <c r="N125" s="87"/>
      <c r="O125" s="87"/>
      <c r="P125" s="87"/>
      <c r="Q125" s="87" t="str">
        <f>IF(((Q123="")*AND(Q124="")),"",(Q123-Q124)*4)</f>
        <v/>
      </c>
      <c r="R125" s="197"/>
      <c r="S125" s="197"/>
      <c r="T125" s="198"/>
      <c r="U125" s="198"/>
      <c r="W125" s="180"/>
    </row>
    <row r="126" spans="1:32">
      <c r="A126" s="149">
        <v>42228</v>
      </c>
      <c r="B126" s="200" t="s">
        <v>112</v>
      </c>
      <c r="C126" s="200" t="s">
        <v>113</v>
      </c>
      <c r="D126" s="201" t="s">
        <v>114</v>
      </c>
      <c r="E126" s="59">
        <v>7935.35</v>
      </c>
      <c r="F126" s="59">
        <v>7980.5</v>
      </c>
      <c r="G126" s="59">
        <v>8020.36</v>
      </c>
      <c r="H126" s="59">
        <v>8107.97</v>
      </c>
      <c r="I126" s="59">
        <v>8117.49</v>
      </c>
      <c r="J126" s="59">
        <v>8091.06</v>
      </c>
      <c r="K126" s="59">
        <v>8020.62</v>
      </c>
      <c r="L126" s="59">
        <v>8105.94</v>
      </c>
      <c r="M126" s="59">
        <v>7949.12</v>
      </c>
      <c r="N126" s="202"/>
      <c r="O126" s="202"/>
      <c r="P126" s="202"/>
      <c r="Q126" s="202"/>
      <c r="R126" s="188">
        <f>IF((M127=""),"",MAX(E128:M128))</f>
        <v>6577.2999999999993</v>
      </c>
      <c r="S126" s="188">
        <f>IF((M127=""),"",MIN(E128:M128))</f>
        <v>5961.34</v>
      </c>
      <c r="T126" s="189">
        <f>IF((M128=""),"",AVERAGE(E128:M128))</f>
        <v>6260.9000000000005</v>
      </c>
      <c r="U126" s="189">
        <f>IF((M127=""),"",(R126-S126)/(R126+S126)*100)</f>
        <v>4.9124944970108331</v>
      </c>
      <c r="V126" s="66">
        <f>STDEV(E128:Q128)</f>
        <v>211.77334393164179</v>
      </c>
      <c r="W126" s="170" t="str">
        <f>IF(M127="","",IF(U126&lt;6.3,IF(T126&gt;5550,IF(T126&lt;6900,"Pass","Fail"),"Fail"),"Fail"))</f>
        <v>Pass</v>
      </c>
      <c r="X126" s="59">
        <v>121</v>
      </c>
      <c r="AA126" s="67">
        <v>5860</v>
      </c>
      <c r="AB126" s="67">
        <v>6770</v>
      </c>
      <c r="AC126" s="67">
        <v>5550</v>
      </c>
      <c r="AD126" s="67">
        <v>6900</v>
      </c>
      <c r="AE126" s="67">
        <v>20</v>
      </c>
      <c r="AF126" s="67">
        <v>6.3</v>
      </c>
    </row>
    <row r="127" spans="1:32">
      <c r="A127" s="149"/>
      <c r="B127" s="82"/>
      <c r="C127" s="82"/>
      <c r="D127" s="204" t="s">
        <v>115</v>
      </c>
      <c r="E127" s="59">
        <v>4725.57</v>
      </c>
      <c r="F127" s="59">
        <v>4767.55</v>
      </c>
      <c r="G127" s="59">
        <v>4821.6400000000003</v>
      </c>
      <c r="H127" s="59">
        <v>5098.76</v>
      </c>
      <c r="I127" s="59">
        <v>5136.82</v>
      </c>
      <c r="J127" s="59">
        <v>5046.1499999999996</v>
      </c>
      <c r="K127" s="59">
        <v>4874.78</v>
      </c>
      <c r="L127" s="59">
        <v>5022.62</v>
      </c>
      <c r="M127" s="59">
        <v>4660.47</v>
      </c>
      <c r="N127" s="205"/>
      <c r="O127" s="205"/>
      <c r="P127" s="205"/>
      <c r="Q127" s="205"/>
      <c r="R127" s="190"/>
      <c r="S127" s="190"/>
      <c r="T127" s="191"/>
      <c r="U127" s="191"/>
      <c r="W127" s="177"/>
    </row>
    <row r="128" spans="1:32" ht="48">
      <c r="A128" s="149"/>
      <c r="B128" s="207"/>
      <c r="C128" s="207"/>
      <c r="D128" s="204" t="s">
        <v>116</v>
      </c>
      <c r="E128" s="51">
        <f t="shared" ref="E128:M128" si="36">IF(((E126="")*AND(E127="")),"",(E126-E127)*2)</f>
        <v>6419.5600000000013</v>
      </c>
      <c r="F128" s="51">
        <f t="shared" si="36"/>
        <v>6425.9</v>
      </c>
      <c r="G128" s="51">
        <f t="shared" si="36"/>
        <v>6397.4399999999987</v>
      </c>
      <c r="H128" s="51">
        <f t="shared" si="36"/>
        <v>6018.42</v>
      </c>
      <c r="I128" s="51">
        <f t="shared" si="36"/>
        <v>5961.34</v>
      </c>
      <c r="J128" s="51">
        <f t="shared" si="36"/>
        <v>6089.8200000000015</v>
      </c>
      <c r="K128" s="51">
        <f t="shared" si="36"/>
        <v>6291.68</v>
      </c>
      <c r="L128" s="51">
        <f t="shared" si="36"/>
        <v>6166.6399999999994</v>
      </c>
      <c r="M128" s="51">
        <f t="shared" si="36"/>
        <v>6577.2999999999993</v>
      </c>
      <c r="N128" s="51"/>
      <c r="O128" s="51"/>
      <c r="P128" s="51"/>
      <c r="Q128" s="51" t="str">
        <f>IF(((Q126="")*AND(Q127="")),"",(Q126-Q127)*2)</f>
        <v/>
      </c>
      <c r="R128" s="192"/>
      <c r="S128" s="192"/>
      <c r="T128" s="193"/>
      <c r="U128" s="193"/>
      <c r="W128" s="178"/>
    </row>
    <row r="129" spans="1:32">
      <c r="A129" s="149">
        <v>42228</v>
      </c>
      <c r="B129" s="81" t="s">
        <v>117</v>
      </c>
      <c r="C129" s="81" t="s">
        <v>118</v>
      </c>
      <c r="D129" s="204" t="s">
        <v>114</v>
      </c>
      <c r="E129" s="59">
        <v>2835.7</v>
      </c>
      <c r="F129" s="59">
        <v>2759.49</v>
      </c>
      <c r="G129" s="59">
        <v>2747.05</v>
      </c>
      <c r="H129" s="59">
        <v>2784.27</v>
      </c>
      <c r="I129" s="59">
        <v>2879.48</v>
      </c>
      <c r="J129" s="59">
        <v>2829.03</v>
      </c>
      <c r="K129" s="59">
        <v>2762.33</v>
      </c>
      <c r="L129" s="59">
        <v>2769.34</v>
      </c>
      <c r="M129" s="59">
        <v>2830.78</v>
      </c>
      <c r="N129" s="59">
        <v>2784.27</v>
      </c>
      <c r="O129" s="59">
        <v>2879.48</v>
      </c>
      <c r="P129" s="59">
        <v>2829.03</v>
      </c>
      <c r="Q129" s="59">
        <v>2762.33</v>
      </c>
      <c r="R129" s="194">
        <f>IF((Q130=""),"",MAX(E131:Q131))</f>
        <v>297.63000000000011</v>
      </c>
      <c r="S129" s="194">
        <f>IF(Q130="","",MIN(E131:Q131))</f>
        <v>271.80999999999995</v>
      </c>
      <c r="T129" s="195">
        <f>IF((Q131=""),"",AVERAGE(E131:Q131))</f>
        <v>282.19461538461542</v>
      </c>
      <c r="U129" s="195">
        <f>IF((Q130=""),"",(R129-S129)/(R129+S129)*100)</f>
        <v>4.5342792919359649</v>
      </c>
      <c r="V129" s="66">
        <f>STDEV(E131:Q131)</f>
        <v>10.209351608030548</v>
      </c>
      <c r="W129" s="83" t="str">
        <f>IF(Q130="","",IF(T129&gt;242,IF(T129&lt;320,"Pass","Fail"),"Fail"))</f>
        <v>Pass</v>
      </c>
      <c r="X129" s="59">
        <v>121</v>
      </c>
      <c r="AA129" s="67">
        <v>240</v>
      </c>
      <c r="AB129" s="67">
        <v>320</v>
      </c>
      <c r="AC129" s="67">
        <v>190</v>
      </c>
      <c r="AD129" s="67">
        <v>360</v>
      </c>
      <c r="AE129" s="67">
        <v>20</v>
      </c>
      <c r="AF129" s="67">
        <v>11</v>
      </c>
    </row>
    <row r="130" spans="1:32">
      <c r="A130" s="149"/>
      <c r="B130" s="82"/>
      <c r="C130" s="82"/>
      <c r="D130" s="204" t="s">
        <v>115</v>
      </c>
      <c r="E130" s="59">
        <v>2549.25</v>
      </c>
      <c r="F130" s="59">
        <v>2486.7800000000002</v>
      </c>
      <c r="G130" s="59">
        <v>2473.39</v>
      </c>
      <c r="H130" s="59">
        <v>2509.12</v>
      </c>
      <c r="I130" s="59">
        <v>2585.63</v>
      </c>
      <c r="J130" s="59">
        <v>2531.4</v>
      </c>
      <c r="K130" s="59">
        <v>2487.6799999999998</v>
      </c>
      <c r="L130" s="59">
        <v>2497.5300000000002</v>
      </c>
      <c r="M130" s="59">
        <v>2549.44</v>
      </c>
      <c r="N130" s="59">
        <v>2509.12</v>
      </c>
      <c r="O130" s="59">
        <v>2585.63</v>
      </c>
      <c r="P130" s="59">
        <v>2531.4</v>
      </c>
      <c r="Q130" s="59">
        <v>2487.6799999999998</v>
      </c>
      <c r="R130" s="190"/>
      <c r="S130" s="190"/>
      <c r="T130" s="191"/>
      <c r="U130" s="191"/>
      <c r="W130" s="177"/>
    </row>
    <row r="131" spans="1:32" ht="48.75" thickBot="1">
      <c r="A131" s="149"/>
      <c r="B131" s="207"/>
      <c r="C131" s="207"/>
      <c r="D131" s="204" t="s">
        <v>116</v>
      </c>
      <c r="E131" s="51">
        <f t="shared" ref="E131:Q131" si="37">IF(((E129="")*AND(E130="")),"",(E129-E130))</f>
        <v>286.44999999999982</v>
      </c>
      <c r="F131" s="51">
        <f t="shared" si="37"/>
        <v>272.70999999999958</v>
      </c>
      <c r="G131" s="51">
        <f t="shared" si="37"/>
        <v>273.66000000000031</v>
      </c>
      <c r="H131" s="51">
        <f t="shared" si="37"/>
        <v>275.15000000000009</v>
      </c>
      <c r="I131" s="51">
        <f t="shared" si="37"/>
        <v>293.84999999999991</v>
      </c>
      <c r="J131" s="51">
        <f t="shared" si="37"/>
        <v>297.63000000000011</v>
      </c>
      <c r="K131" s="51">
        <f t="shared" si="37"/>
        <v>274.65000000000009</v>
      </c>
      <c r="L131" s="51">
        <f t="shared" si="37"/>
        <v>271.80999999999995</v>
      </c>
      <c r="M131" s="51">
        <f t="shared" si="37"/>
        <v>281.34000000000015</v>
      </c>
      <c r="N131" s="85">
        <f t="shared" si="37"/>
        <v>275.15000000000009</v>
      </c>
      <c r="O131" s="85">
        <f t="shared" si="37"/>
        <v>293.84999999999991</v>
      </c>
      <c r="P131" s="85">
        <f t="shared" si="37"/>
        <v>297.63000000000011</v>
      </c>
      <c r="Q131" s="85">
        <f t="shared" si="37"/>
        <v>274.65000000000009</v>
      </c>
      <c r="R131" s="192"/>
      <c r="S131" s="192"/>
      <c r="T131" s="193"/>
      <c r="U131" s="193"/>
      <c r="W131" s="178"/>
    </row>
    <row r="132" spans="1:32">
      <c r="A132" s="149">
        <v>42305</v>
      </c>
      <c r="B132" s="81" t="s">
        <v>119</v>
      </c>
      <c r="C132" s="81" t="s">
        <v>120</v>
      </c>
      <c r="D132" s="204" t="s">
        <v>114</v>
      </c>
      <c r="E132" s="59">
        <v>6963.46</v>
      </c>
      <c r="F132" s="59">
        <v>6909.38</v>
      </c>
      <c r="G132" s="59">
        <v>7001.12</v>
      </c>
      <c r="H132" s="59">
        <v>6975.53</v>
      </c>
      <c r="I132" s="59">
        <v>7159.34</v>
      </c>
      <c r="J132" s="59">
        <v>7180.03</v>
      </c>
      <c r="K132" s="59">
        <v>6963.77</v>
      </c>
      <c r="L132" s="59">
        <v>6988.45</v>
      </c>
      <c r="M132" s="59">
        <v>7135.27</v>
      </c>
      <c r="N132" s="210"/>
      <c r="O132" s="210"/>
      <c r="P132" s="210"/>
      <c r="Q132" s="210"/>
      <c r="R132" s="196">
        <f>IF((M133=""),"",MAX(E134:M134))</f>
        <v>4565.82</v>
      </c>
      <c r="S132" s="194">
        <f>IF(M133="","",MIN(E134:M134))</f>
        <v>4162.08</v>
      </c>
      <c r="T132" s="195">
        <f>IF((M134=""),"",AVERAGE(E134:M134))</f>
        <v>4315.6799999999994</v>
      </c>
      <c r="U132" s="195">
        <f>IF((M133=""),"",(R132-S132)/(R132+S132)*100)</f>
        <v>4.6258550166706751</v>
      </c>
      <c r="V132" s="66">
        <f>STDEV(E134:Q134)</f>
        <v>152.08197887984025</v>
      </c>
      <c r="W132" s="83" t="str">
        <f>IF(M133="","",IF(T132&gt;3650,IF(T132&lt;4450,"Pass","Fail"),"Fail"))</f>
        <v>Pass</v>
      </c>
      <c r="X132" s="59" t="s">
        <v>52</v>
      </c>
      <c r="Y132" s="161" t="s">
        <v>127</v>
      </c>
      <c r="Z132" s="162"/>
      <c r="AA132" s="86">
        <v>3650</v>
      </c>
      <c r="AB132" s="86">
        <v>4450</v>
      </c>
      <c r="AC132" s="86">
        <v>3700</v>
      </c>
      <c r="AD132" s="86">
        <v>4250</v>
      </c>
      <c r="AE132" s="86">
        <v>7.2</v>
      </c>
      <c r="AF132" s="86">
        <v>3</v>
      </c>
    </row>
    <row r="133" spans="1:32">
      <c r="A133" s="149"/>
      <c r="B133" s="82"/>
      <c r="C133" s="82"/>
      <c r="D133" s="204" t="s">
        <v>115</v>
      </c>
      <c r="E133" s="59">
        <v>4680.55</v>
      </c>
      <c r="F133" s="59">
        <v>4789.12</v>
      </c>
      <c r="G133" s="59">
        <v>4911.84</v>
      </c>
      <c r="H133" s="59">
        <v>4845.29</v>
      </c>
      <c r="I133" s="59">
        <v>4888.92</v>
      </c>
      <c r="J133" s="59">
        <v>5078.92</v>
      </c>
      <c r="K133" s="59">
        <v>4818.6099999999997</v>
      </c>
      <c r="L133" s="59">
        <v>4907.41</v>
      </c>
      <c r="M133" s="59">
        <v>4935.13</v>
      </c>
      <c r="N133" s="205"/>
      <c r="O133" s="205"/>
      <c r="P133" s="205"/>
      <c r="Q133" s="205"/>
      <c r="R133" s="190"/>
      <c r="S133" s="190"/>
      <c r="T133" s="191"/>
      <c r="U133" s="191"/>
      <c r="W133" s="177"/>
      <c r="Y133" s="159"/>
      <c r="Z133" s="147"/>
    </row>
    <row r="134" spans="1:32" ht="48.75" thickBot="1">
      <c r="A134" s="149"/>
      <c r="B134" s="207"/>
      <c r="C134" s="207"/>
      <c r="D134" s="204" t="s">
        <v>116</v>
      </c>
      <c r="E134" s="51">
        <f t="shared" ref="E134:M134" si="38">IF(((E132="")*AND(E133="")),"",(E132-E133)*2)</f>
        <v>4565.82</v>
      </c>
      <c r="F134" s="51">
        <f t="shared" si="38"/>
        <v>4240.5200000000004</v>
      </c>
      <c r="G134" s="51">
        <f t="shared" si="38"/>
        <v>4178.5599999999995</v>
      </c>
      <c r="H134" s="51">
        <f t="shared" si="38"/>
        <v>4260.4799999999996</v>
      </c>
      <c r="I134" s="51">
        <f t="shared" si="38"/>
        <v>4540.84</v>
      </c>
      <c r="J134" s="51">
        <f t="shared" si="38"/>
        <v>4202.2199999999993</v>
      </c>
      <c r="K134" s="51">
        <f t="shared" si="38"/>
        <v>4290.3200000000015</v>
      </c>
      <c r="L134" s="51">
        <f t="shared" si="38"/>
        <v>4162.08</v>
      </c>
      <c r="M134" s="51">
        <f t="shared" si="38"/>
        <v>4400.2800000000007</v>
      </c>
      <c r="N134" s="51"/>
      <c r="O134" s="51"/>
      <c r="P134" s="51"/>
      <c r="Q134" s="51"/>
      <c r="R134" s="192"/>
      <c r="S134" s="192"/>
      <c r="T134" s="193"/>
      <c r="U134" s="193"/>
      <c r="W134" s="178"/>
      <c r="Y134" s="159"/>
      <c r="Z134" s="147"/>
    </row>
    <row r="135" spans="1:32">
      <c r="A135" s="149">
        <v>42305</v>
      </c>
      <c r="B135" s="81" t="s">
        <v>121</v>
      </c>
      <c r="C135" s="81" t="s">
        <v>121</v>
      </c>
      <c r="D135" s="204" t="s">
        <v>114</v>
      </c>
      <c r="E135" s="59">
        <v>1937.07</v>
      </c>
      <c r="F135" s="59">
        <v>1924.93</v>
      </c>
      <c r="G135" s="59">
        <v>1920.83</v>
      </c>
      <c r="H135" s="59">
        <v>1923.01</v>
      </c>
      <c r="I135" s="59">
        <v>1930.7</v>
      </c>
      <c r="J135" s="59">
        <v>1934.82</v>
      </c>
      <c r="K135" s="59">
        <v>1925.17</v>
      </c>
      <c r="L135" s="59">
        <v>1923.99</v>
      </c>
      <c r="M135" s="59">
        <v>1934.19</v>
      </c>
      <c r="N135" s="205"/>
      <c r="O135" s="205"/>
      <c r="P135" s="205"/>
      <c r="Q135" s="205"/>
      <c r="R135" s="194">
        <f>IF((M136=""),"",MAX(E137:M137))</f>
        <v>2818.08</v>
      </c>
      <c r="S135" s="194">
        <f>IF((M136=""),"",MIN(E137:M137))</f>
        <v>2598.3599999999997</v>
      </c>
      <c r="T135" s="195">
        <f>IF((M137=""),"",AVERAGE(E137:M137))</f>
        <v>2702.9022222222225</v>
      </c>
      <c r="U135" s="195">
        <f>IF((M136=""),"",(R135-S135)/(R135+S135)*100)</f>
        <v>4.0565389813235315</v>
      </c>
      <c r="V135" s="66">
        <f>STDEV(E137:Q137)</f>
        <v>63.298695440298069</v>
      </c>
      <c r="W135" s="174" t="str">
        <f>IF(M136="","",IF(U135&lt;5.5,IF(T135&gt;2200,IF(T135&lt;2900,"Pass","Fail"),"Fail"),"Fail"))</f>
        <v>Pass</v>
      </c>
      <c r="X135" s="59" t="s">
        <v>52</v>
      </c>
      <c r="Y135" s="161" t="s">
        <v>127</v>
      </c>
      <c r="Z135" s="147"/>
      <c r="AA135" s="67">
        <v>2000</v>
      </c>
      <c r="AB135" s="67">
        <v>3000</v>
      </c>
      <c r="AC135" s="67">
        <v>2200</v>
      </c>
      <c r="AD135" s="67">
        <v>2900</v>
      </c>
      <c r="AE135" s="67">
        <v>7</v>
      </c>
      <c r="AF135" s="67">
        <v>5.5</v>
      </c>
    </row>
    <row r="136" spans="1:32">
      <c r="A136" s="149"/>
      <c r="B136" s="82"/>
      <c r="C136" s="82"/>
      <c r="D136" s="204" t="s">
        <v>115</v>
      </c>
      <c r="E136" s="59">
        <v>1251.6199999999999</v>
      </c>
      <c r="F136" s="59">
        <v>1254.83</v>
      </c>
      <c r="G136" s="59">
        <v>1271.24</v>
      </c>
      <c r="H136" s="59">
        <v>1249.19</v>
      </c>
      <c r="I136" s="59">
        <v>1246.6400000000001</v>
      </c>
      <c r="J136" s="59">
        <v>1230.3</v>
      </c>
      <c r="K136" s="59">
        <v>1242.28</v>
      </c>
      <c r="L136" s="59">
        <v>1262.53</v>
      </c>
      <c r="M136" s="59">
        <v>1264.55</v>
      </c>
      <c r="N136" s="205"/>
      <c r="O136" s="205"/>
      <c r="P136" s="205"/>
      <c r="Q136" s="205"/>
      <c r="R136" s="190"/>
      <c r="S136" s="190"/>
      <c r="T136" s="191"/>
      <c r="U136" s="191"/>
      <c r="W136" s="179"/>
      <c r="Y136" s="159"/>
      <c r="Z136" s="147"/>
    </row>
    <row r="137" spans="1:32" ht="48.75" thickBot="1">
      <c r="A137" s="149"/>
      <c r="B137" s="211"/>
      <c r="C137" s="211"/>
      <c r="D137" s="212" t="s">
        <v>116</v>
      </c>
      <c r="E137" s="87">
        <f t="shared" ref="E137:M137" si="39">IF(((E135="")*AND(E136="")),"",(E135-E136)*4)</f>
        <v>2741.8</v>
      </c>
      <c r="F137" s="87">
        <f t="shared" si="39"/>
        <v>2680.4000000000005</v>
      </c>
      <c r="G137" s="87">
        <f t="shared" si="39"/>
        <v>2598.3599999999997</v>
      </c>
      <c r="H137" s="87">
        <f t="shared" si="39"/>
        <v>2695.2799999999997</v>
      </c>
      <c r="I137" s="87">
        <f t="shared" si="39"/>
        <v>2736.24</v>
      </c>
      <c r="J137" s="87">
        <f t="shared" si="39"/>
        <v>2818.08</v>
      </c>
      <c r="K137" s="87">
        <f t="shared" si="39"/>
        <v>2731.5600000000004</v>
      </c>
      <c r="L137" s="87">
        <f t="shared" si="39"/>
        <v>2645.84</v>
      </c>
      <c r="M137" s="87">
        <f t="shared" si="39"/>
        <v>2678.5600000000004</v>
      </c>
      <c r="N137" s="87"/>
      <c r="O137" s="87"/>
      <c r="P137" s="87"/>
      <c r="Q137" s="87" t="str">
        <f>IF(((Q135="")*AND(Q136="")),"",(Q135-Q136)*4)</f>
        <v/>
      </c>
      <c r="R137" s="197"/>
      <c r="S137" s="197"/>
      <c r="T137" s="198"/>
      <c r="U137" s="198"/>
      <c r="W137" s="180"/>
      <c r="Y137" s="159"/>
      <c r="Z137" s="147"/>
    </row>
    <row r="138" spans="1:32">
      <c r="A138" s="149">
        <v>42305</v>
      </c>
      <c r="B138" s="200" t="s">
        <v>112</v>
      </c>
      <c r="C138" s="200" t="s">
        <v>113</v>
      </c>
      <c r="D138" s="201" t="s">
        <v>114</v>
      </c>
      <c r="E138" s="59">
        <v>7921.84</v>
      </c>
      <c r="F138" s="59">
        <v>8031.39</v>
      </c>
      <c r="G138" s="59">
        <v>8043.83</v>
      </c>
      <c r="H138" s="59">
        <v>8084.94</v>
      </c>
      <c r="I138" s="59">
        <v>8091.57</v>
      </c>
      <c r="J138" s="59">
        <v>8082.83</v>
      </c>
      <c r="K138" s="59">
        <v>8032.4</v>
      </c>
      <c r="L138" s="59">
        <v>8053.77</v>
      </c>
      <c r="M138" s="59">
        <v>7769.81</v>
      </c>
      <c r="N138" s="202"/>
      <c r="O138" s="202"/>
      <c r="P138" s="202"/>
      <c r="Q138" s="202"/>
      <c r="R138" s="188">
        <f>IF((M139=""),"",MAX(E140:M140))</f>
        <v>6578.84</v>
      </c>
      <c r="S138" s="188">
        <f>IF((M139=""),"",MIN(E140:M140))</f>
        <v>5967.2799999999988</v>
      </c>
      <c r="T138" s="189">
        <f>IF((M140=""),"",AVERAGE(E140:M140))</f>
        <v>6275.0755555555552</v>
      </c>
      <c r="U138" s="189">
        <f>IF((M139=""),"",(R138-S138)/(R138+S138)*100)</f>
        <v>4.8744950630155088</v>
      </c>
      <c r="V138" s="66">
        <f>STDEV(E140:Q140)</f>
        <v>221.66023928030395</v>
      </c>
      <c r="W138" s="170" t="str">
        <f>IF(M139="","",IF(U138&lt;6.3,IF(T138&gt;5550,IF(T138&lt;6900,"Pass","Fail"),"Fail"),"Fail"))</f>
        <v>Pass</v>
      </c>
      <c r="X138" s="59" t="s">
        <v>52</v>
      </c>
      <c r="Y138" s="161" t="s">
        <v>127</v>
      </c>
      <c r="Z138" s="147"/>
      <c r="AA138" s="67">
        <v>5860</v>
      </c>
      <c r="AB138" s="67">
        <v>6770</v>
      </c>
      <c r="AC138" s="67">
        <v>5550</v>
      </c>
      <c r="AD138" s="67">
        <v>6900</v>
      </c>
      <c r="AE138" s="67">
        <v>20</v>
      </c>
      <c r="AF138" s="67">
        <v>6.3</v>
      </c>
    </row>
    <row r="139" spans="1:32">
      <c r="A139" s="149"/>
      <c r="B139" s="82"/>
      <c r="C139" s="82"/>
      <c r="D139" s="204" t="s">
        <v>115</v>
      </c>
      <c r="E139" s="59">
        <v>4694.09</v>
      </c>
      <c r="F139" s="59">
        <v>4741.97</v>
      </c>
      <c r="G139" s="59">
        <v>4785.6899999999996</v>
      </c>
      <c r="H139" s="59">
        <v>5068.67</v>
      </c>
      <c r="I139" s="59">
        <v>5107.93</v>
      </c>
      <c r="J139" s="59">
        <v>5019.9399999999996</v>
      </c>
      <c r="K139" s="59">
        <v>4839.41</v>
      </c>
      <c r="L139" s="59">
        <v>4990.04</v>
      </c>
      <c r="M139" s="59">
        <v>4626.8</v>
      </c>
      <c r="N139" s="205"/>
      <c r="O139" s="205"/>
      <c r="P139" s="205"/>
      <c r="Q139" s="205"/>
      <c r="R139" s="190"/>
      <c r="S139" s="190"/>
      <c r="T139" s="191"/>
      <c r="U139" s="191"/>
      <c r="W139" s="177"/>
      <c r="Y139" s="159"/>
      <c r="Z139" s="147"/>
    </row>
    <row r="140" spans="1:32" ht="48.75" thickBot="1">
      <c r="A140" s="149"/>
      <c r="B140" s="207"/>
      <c r="C140" s="207"/>
      <c r="D140" s="204" t="s">
        <v>116</v>
      </c>
      <c r="E140" s="51">
        <f t="shared" ref="E140:M140" si="40">IF(((E138="")*AND(E139="")),"",(E138-E139)*2)</f>
        <v>6455.5</v>
      </c>
      <c r="F140" s="51">
        <f t="shared" si="40"/>
        <v>6578.84</v>
      </c>
      <c r="G140" s="51">
        <f t="shared" si="40"/>
        <v>6516.2800000000007</v>
      </c>
      <c r="H140" s="51">
        <f t="shared" si="40"/>
        <v>6032.5399999999991</v>
      </c>
      <c r="I140" s="51">
        <f t="shared" si="40"/>
        <v>5967.2799999999988</v>
      </c>
      <c r="J140" s="51">
        <f t="shared" si="40"/>
        <v>6125.7800000000007</v>
      </c>
      <c r="K140" s="51">
        <f t="shared" si="40"/>
        <v>6385.98</v>
      </c>
      <c r="L140" s="51">
        <f t="shared" si="40"/>
        <v>6127.4600000000009</v>
      </c>
      <c r="M140" s="51">
        <f t="shared" si="40"/>
        <v>6286.02</v>
      </c>
      <c r="N140" s="51"/>
      <c r="O140" s="51"/>
      <c r="P140" s="51"/>
      <c r="Q140" s="51" t="str">
        <f>IF(((Q138="")*AND(Q139="")),"",(Q138-Q139)*2)</f>
        <v/>
      </c>
      <c r="R140" s="192"/>
      <c r="S140" s="192"/>
      <c r="T140" s="193"/>
      <c r="U140" s="193"/>
      <c r="W140" s="178"/>
      <c r="Y140" s="159"/>
      <c r="Z140" s="147"/>
    </row>
    <row r="141" spans="1:32">
      <c r="A141" s="149">
        <v>42305</v>
      </c>
      <c r="B141" s="81" t="s">
        <v>117</v>
      </c>
      <c r="C141" s="81" t="s">
        <v>118</v>
      </c>
      <c r="D141" s="204" t="s">
        <v>114</v>
      </c>
      <c r="E141" s="59">
        <v>2807.99</v>
      </c>
      <c r="F141" s="59">
        <v>2758.16</v>
      </c>
      <c r="G141" s="59">
        <v>2733.02</v>
      </c>
      <c r="H141" s="59">
        <v>2723.29</v>
      </c>
      <c r="I141" s="59">
        <v>2731.19</v>
      </c>
      <c r="J141" s="59">
        <v>2758.72</v>
      </c>
      <c r="K141" s="59">
        <v>2809.94</v>
      </c>
      <c r="L141" s="59">
        <v>2851</v>
      </c>
      <c r="M141" s="59">
        <v>2782.42</v>
      </c>
      <c r="N141" s="59">
        <v>2741.53</v>
      </c>
      <c r="O141" s="59">
        <v>2724.3</v>
      </c>
      <c r="P141" s="59">
        <v>2753.13</v>
      </c>
      <c r="Q141" s="59">
        <v>2820.03</v>
      </c>
      <c r="R141" s="194">
        <f>IF((Q142=""),"",MAX(E143:Q143))</f>
        <v>281.34999999999991</v>
      </c>
      <c r="S141" s="194">
        <f>IF(Q142="","",MIN(E143:Q143))</f>
        <v>256.69000000000005</v>
      </c>
      <c r="T141" s="195">
        <f>IF((Q143=""),"",AVERAGE(E143:Q143))</f>
        <v>269.64538461538461</v>
      </c>
      <c r="U141" s="195">
        <f>IF((Q142=""),"",(R141-S141)/(R141+S141)*100)</f>
        <v>4.5833023567020774</v>
      </c>
      <c r="V141" s="66">
        <f>STDEV(E143:Q143)</f>
        <v>8.4991642877255966</v>
      </c>
      <c r="W141" s="83" t="str">
        <f>IF(Q142="","",IF(T141&gt;242,IF(T141&lt;320,"Pass","Fail"),"Fail"))</f>
        <v>Pass</v>
      </c>
      <c r="X141" s="59" t="s">
        <v>52</v>
      </c>
      <c r="Y141" s="161" t="s">
        <v>127</v>
      </c>
      <c r="Z141" s="147"/>
      <c r="AA141" s="67">
        <v>240</v>
      </c>
      <c r="AB141" s="67">
        <v>320</v>
      </c>
      <c r="AC141" s="67">
        <v>190</v>
      </c>
      <c r="AD141" s="67">
        <v>360</v>
      </c>
      <c r="AE141" s="67">
        <v>20</v>
      </c>
      <c r="AF141" s="67">
        <v>11</v>
      </c>
    </row>
    <row r="142" spans="1:32">
      <c r="A142" s="149"/>
      <c r="B142" s="82"/>
      <c r="C142" s="82"/>
      <c r="D142" s="204" t="s">
        <v>115</v>
      </c>
      <c r="E142" s="59">
        <v>2526.64</v>
      </c>
      <c r="F142" s="59">
        <v>2488.4499999999998</v>
      </c>
      <c r="G142" s="59">
        <v>2458.31</v>
      </c>
      <c r="H142" s="59">
        <v>2442.11</v>
      </c>
      <c r="I142" s="59">
        <v>2457.0300000000002</v>
      </c>
      <c r="J142" s="59">
        <v>2492.7399999999998</v>
      </c>
      <c r="K142" s="59">
        <v>2529.3200000000002</v>
      </c>
      <c r="L142" s="59">
        <v>2586.36</v>
      </c>
      <c r="M142" s="59">
        <v>2524.4699999999998</v>
      </c>
      <c r="N142" s="59">
        <v>2472.1999999999998</v>
      </c>
      <c r="O142" s="59">
        <v>2455.59</v>
      </c>
      <c r="P142" s="59">
        <v>2492.77</v>
      </c>
      <c r="Q142" s="59">
        <v>2563.34</v>
      </c>
      <c r="R142" s="190"/>
      <c r="S142" s="190"/>
      <c r="T142" s="191"/>
      <c r="U142" s="191"/>
      <c r="W142" s="177"/>
      <c r="Y142" s="159"/>
      <c r="Z142" s="147"/>
    </row>
    <row r="143" spans="1:32" ht="48.75" thickBot="1">
      <c r="A143" s="149"/>
      <c r="B143" s="82"/>
      <c r="C143" s="82"/>
      <c r="D143" s="194" t="s">
        <v>116</v>
      </c>
      <c r="E143" s="85">
        <f t="shared" ref="E143:Q143" si="41">IF(((E141="")*AND(E142="")),"",(E141-E142))</f>
        <v>281.34999999999991</v>
      </c>
      <c r="F143" s="85">
        <f t="shared" si="41"/>
        <v>269.71000000000004</v>
      </c>
      <c r="G143" s="85">
        <f t="shared" si="41"/>
        <v>274.71000000000004</v>
      </c>
      <c r="H143" s="85">
        <f t="shared" si="41"/>
        <v>281.17999999999984</v>
      </c>
      <c r="I143" s="85">
        <f t="shared" si="41"/>
        <v>274.15999999999985</v>
      </c>
      <c r="J143" s="85">
        <f t="shared" si="41"/>
        <v>265.98</v>
      </c>
      <c r="K143" s="85">
        <f t="shared" si="41"/>
        <v>280.61999999999989</v>
      </c>
      <c r="L143" s="85">
        <f t="shared" si="41"/>
        <v>264.63999999999987</v>
      </c>
      <c r="M143" s="85">
        <f t="shared" si="41"/>
        <v>257.95000000000027</v>
      </c>
      <c r="N143" s="85">
        <f t="shared" si="41"/>
        <v>269.33000000000038</v>
      </c>
      <c r="O143" s="85">
        <f t="shared" si="41"/>
        <v>268.71000000000004</v>
      </c>
      <c r="P143" s="85">
        <f t="shared" si="41"/>
        <v>260.36000000000013</v>
      </c>
      <c r="Q143" s="85">
        <f t="shared" si="41"/>
        <v>256.69000000000005</v>
      </c>
      <c r="R143" s="190"/>
      <c r="S143" s="190"/>
      <c r="T143" s="191"/>
      <c r="U143" s="191"/>
      <c r="W143" s="177"/>
      <c r="Y143" s="159"/>
      <c r="Z143" s="147"/>
    </row>
    <row r="144" spans="1:32">
      <c r="A144" s="149">
        <v>42318</v>
      </c>
      <c r="B144" s="200" t="s">
        <v>112</v>
      </c>
      <c r="C144" s="200" t="s">
        <v>113</v>
      </c>
      <c r="D144" s="201" t="s">
        <v>114</v>
      </c>
      <c r="E144" s="59">
        <v>7911.64</v>
      </c>
      <c r="F144" s="59">
        <v>7955.34</v>
      </c>
      <c r="G144" s="59">
        <v>7992.28</v>
      </c>
      <c r="H144" s="59">
        <v>8078.4</v>
      </c>
      <c r="I144" s="59">
        <v>8088.02</v>
      </c>
      <c r="J144" s="59">
        <v>8065.94</v>
      </c>
      <c r="K144" s="59">
        <v>7993.22</v>
      </c>
      <c r="L144" s="59">
        <v>8080.31</v>
      </c>
      <c r="M144" s="59">
        <v>7924.24</v>
      </c>
      <c r="N144" s="202"/>
      <c r="O144" s="202"/>
      <c r="P144" s="202"/>
      <c r="Q144" s="202"/>
      <c r="R144" s="188">
        <f>IF((M145=""),"",MAX(E146:M146))</f>
        <v>6584.9</v>
      </c>
      <c r="S144" s="188">
        <f>IF((M145=""),"",MIN(E146:M146))</f>
        <v>5991.2400000000016</v>
      </c>
      <c r="T144" s="189">
        <f>IF((M146=""),"",AVERAGE(E146:M146))</f>
        <v>6283.420000000001</v>
      </c>
      <c r="U144" s="189">
        <f>IF((M145=""),"",(R144-S144)/(R144+S144)*100)</f>
        <v>4.7205263300185747</v>
      </c>
      <c r="V144" s="66">
        <f>STDEV(E146:Q146)</f>
        <v>206.34317992118062</v>
      </c>
      <c r="W144" s="170" t="str">
        <f>IF(M145="","",IF(U144&lt;6.3,IF(T144&gt;5550,IF(T144&lt;6900,"Pass","Fail"),"Fail"),"Fail"))</f>
        <v>Pass</v>
      </c>
      <c r="X144" s="59">
        <v>1428</v>
      </c>
      <c r="AA144" s="67">
        <v>5860</v>
      </c>
      <c r="AB144" s="67">
        <v>6770</v>
      </c>
      <c r="AC144" s="67">
        <v>5550</v>
      </c>
      <c r="AD144" s="67">
        <v>6900</v>
      </c>
      <c r="AE144" s="67">
        <v>20</v>
      </c>
      <c r="AF144" s="67">
        <v>6.3</v>
      </c>
    </row>
    <row r="145" spans="1:32">
      <c r="A145" s="149"/>
      <c r="B145" s="82"/>
      <c r="C145" s="82"/>
      <c r="D145" s="204" t="s">
        <v>115</v>
      </c>
      <c r="E145" s="59">
        <v>4690.43</v>
      </c>
      <c r="F145" s="59">
        <v>4726.28</v>
      </c>
      <c r="G145" s="59">
        <v>4788.63</v>
      </c>
      <c r="H145" s="59">
        <v>5056.7700000000004</v>
      </c>
      <c r="I145" s="59">
        <v>5092.3999999999996</v>
      </c>
      <c r="J145" s="59">
        <v>5007.71</v>
      </c>
      <c r="K145" s="59">
        <v>4839.3500000000004</v>
      </c>
      <c r="L145" s="59">
        <v>4980.6400000000003</v>
      </c>
      <c r="M145" s="59">
        <v>4631.79</v>
      </c>
      <c r="N145" s="205"/>
      <c r="O145" s="205"/>
      <c r="P145" s="205"/>
      <c r="Q145" s="205"/>
      <c r="R145" s="190"/>
      <c r="S145" s="190"/>
      <c r="T145" s="191"/>
      <c r="U145" s="191"/>
      <c r="W145" s="177"/>
    </row>
    <row r="146" spans="1:32" ht="48">
      <c r="A146" s="149"/>
      <c r="B146" s="207"/>
      <c r="C146" s="207"/>
      <c r="D146" s="204" t="s">
        <v>116</v>
      </c>
      <c r="E146" s="51">
        <f t="shared" ref="E146:M146" si="42">IF(((E144="")*AND(E145="")),"",(E144-E145)*2)</f>
        <v>6442.42</v>
      </c>
      <c r="F146" s="51">
        <f t="shared" si="42"/>
        <v>6458.1200000000008</v>
      </c>
      <c r="G146" s="51">
        <f t="shared" si="42"/>
        <v>6407.2999999999993</v>
      </c>
      <c r="H146" s="51">
        <f t="shared" si="42"/>
        <v>6043.2599999999984</v>
      </c>
      <c r="I146" s="51">
        <f t="shared" si="42"/>
        <v>5991.2400000000016</v>
      </c>
      <c r="J146" s="51">
        <f t="shared" si="42"/>
        <v>6116.4599999999991</v>
      </c>
      <c r="K146" s="51">
        <f t="shared" si="42"/>
        <v>6307.74</v>
      </c>
      <c r="L146" s="51">
        <f t="shared" si="42"/>
        <v>6199.34</v>
      </c>
      <c r="M146" s="51">
        <f t="shared" si="42"/>
        <v>6584.9</v>
      </c>
      <c r="N146" s="51"/>
      <c r="O146" s="51"/>
      <c r="P146" s="51"/>
      <c r="Q146" s="51" t="str">
        <f>IF(((Q144="")*AND(Q145="")),"",(Q144-Q145)*2)</f>
        <v/>
      </c>
      <c r="R146" s="192"/>
      <c r="S146" s="192"/>
      <c r="T146" s="193"/>
      <c r="U146" s="193"/>
      <c r="W146" s="178"/>
    </row>
    <row r="147" spans="1:32">
      <c r="A147" s="149">
        <v>42318</v>
      </c>
      <c r="B147" s="81" t="s">
        <v>117</v>
      </c>
      <c r="C147" s="81" t="s">
        <v>118</v>
      </c>
      <c r="D147" s="204" t="s">
        <v>114</v>
      </c>
      <c r="E147" s="59">
        <v>2531.36</v>
      </c>
      <c r="F147" s="59">
        <v>2488.58</v>
      </c>
      <c r="G147" s="59">
        <v>2466.96</v>
      </c>
      <c r="H147" s="59">
        <v>2445.25</v>
      </c>
      <c r="I147" s="59">
        <v>2465.0100000000002</v>
      </c>
      <c r="J147" s="59">
        <v>2492.4299999999998</v>
      </c>
      <c r="K147" s="59">
        <v>2531.42</v>
      </c>
      <c r="L147" s="59">
        <v>2592.6799999999998</v>
      </c>
      <c r="M147" s="59">
        <v>2485.6799999999998</v>
      </c>
      <c r="N147" s="59">
        <v>2475.7800000000002</v>
      </c>
      <c r="O147" s="59">
        <v>2453.39</v>
      </c>
      <c r="P147" s="59">
        <v>2500.19</v>
      </c>
      <c r="Q147" s="59">
        <v>2559.38</v>
      </c>
      <c r="R147" s="194">
        <f>IF((Q148=""),"",MAX(E149:Q149))</f>
        <v>468.98000000000025</v>
      </c>
      <c r="S147" s="194">
        <f>IF(Q148="","",MIN(E149:Q149))</f>
        <v>305.11999999999989</v>
      </c>
      <c r="T147" s="195">
        <f>IF((Q149=""),"",AVERAGE(E149:Q149))</f>
        <v>371.07538461538456</v>
      </c>
      <c r="U147" s="195">
        <f>IF((Q148=""),"",(R147-S147)/(R147+S147)*100)</f>
        <v>21.167807776773067</v>
      </c>
      <c r="V147" s="66">
        <f>STDEV(E149:Q149)</f>
        <v>50.339902432594045</v>
      </c>
      <c r="W147" s="83" t="str">
        <f>IF(Q148="","",IF(T147&gt;242,IF(T147&lt;320,"Pass","Fail"),"Fail"))</f>
        <v>Fail</v>
      </c>
      <c r="X147" s="59">
        <v>1428</v>
      </c>
      <c r="AA147" s="67">
        <v>240</v>
      </c>
      <c r="AB147" s="67">
        <v>320</v>
      </c>
      <c r="AC147" s="67">
        <v>190</v>
      </c>
      <c r="AD147" s="67">
        <v>360</v>
      </c>
      <c r="AE147" s="67">
        <v>20</v>
      </c>
      <c r="AF147" s="67">
        <v>11</v>
      </c>
    </row>
    <row r="148" spans="1:32">
      <c r="A148" s="149"/>
      <c r="B148" s="82"/>
      <c r="C148" s="82"/>
      <c r="D148" s="204" t="s">
        <v>115</v>
      </c>
      <c r="E148" s="59">
        <v>2193.66</v>
      </c>
      <c r="F148" s="59">
        <v>2109.25</v>
      </c>
      <c r="G148" s="59">
        <v>2079.5500000000002</v>
      </c>
      <c r="H148" s="59">
        <v>1978.17</v>
      </c>
      <c r="I148" s="59">
        <v>1996.03</v>
      </c>
      <c r="J148" s="59">
        <v>2129.3000000000002</v>
      </c>
      <c r="K148" s="59">
        <v>2200.16</v>
      </c>
      <c r="L148" s="59">
        <v>2252.8000000000002</v>
      </c>
      <c r="M148" s="59">
        <v>2180.56</v>
      </c>
      <c r="N148" s="59">
        <v>2082.33</v>
      </c>
      <c r="O148" s="59">
        <v>2080.73</v>
      </c>
      <c r="P148" s="59">
        <v>2143.5300000000002</v>
      </c>
      <c r="Q148" s="59">
        <v>2238.06</v>
      </c>
      <c r="R148" s="190"/>
      <c r="S148" s="190"/>
      <c r="T148" s="191"/>
      <c r="U148" s="191"/>
      <c r="W148" s="177"/>
    </row>
    <row r="149" spans="1:32" ht="48">
      <c r="A149" s="149"/>
      <c r="B149" s="207"/>
      <c r="C149" s="207"/>
      <c r="D149" s="204" t="s">
        <v>116</v>
      </c>
      <c r="E149" s="51">
        <f t="shared" ref="E149:Q149" si="43">IF(((E147="")*AND(E148="")),"",(E147-E148))</f>
        <v>337.70000000000027</v>
      </c>
      <c r="F149" s="51">
        <f t="shared" si="43"/>
        <v>379.32999999999993</v>
      </c>
      <c r="G149" s="51">
        <f t="shared" si="43"/>
        <v>387.40999999999985</v>
      </c>
      <c r="H149" s="51">
        <f t="shared" si="43"/>
        <v>467.07999999999993</v>
      </c>
      <c r="I149" s="51">
        <f t="shared" si="43"/>
        <v>468.98000000000025</v>
      </c>
      <c r="J149" s="51">
        <f t="shared" si="43"/>
        <v>363.12999999999965</v>
      </c>
      <c r="K149" s="51">
        <f t="shared" si="43"/>
        <v>331.26000000000022</v>
      </c>
      <c r="L149" s="51">
        <f t="shared" si="43"/>
        <v>339.87999999999965</v>
      </c>
      <c r="M149" s="51">
        <f t="shared" si="43"/>
        <v>305.11999999999989</v>
      </c>
      <c r="N149" s="85">
        <f t="shared" si="43"/>
        <v>393.45000000000027</v>
      </c>
      <c r="O149" s="85">
        <f t="shared" si="43"/>
        <v>372.65999999999985</v>
      </c>
      <c r="P149" s="85">
        <f t="shared" si="43"/>
        <v>356.65999999999985</v>
      </c>
      <c r="Q149" s="85">
        <f t="shared" si="43"/>
        <v>321.32000000000016</v>
      </c>
      <c r="R149" s="192"/>
      <c r="S149" s="192"/>
      <c r="T149" s="193"/>
      <c r="U149" s="193"/>
      <c r="W149" s="178"/>
    </row>
    <row r="150" spans="1:32">
      <c r="A150" s="149">
        <v>42318</v>
      </c>
      <c r="B150" s="81" t="s">
        <v>119</v>
      </c>
      <c r="C150" s="81" t="s">
        <v>120</v>
      </c>
      <c r="D150" s="204" t="s">
        <v>114</v>
      </c>
      <c r="E150" s="59">
        <v>4705.01</v>
      </c>
      <c r="F150" s="59">
        <v>4811.84</v>
      </c>
      <c r="G150" s="59">
        <v>4932.72</v>
      </c>
      <c r="H150" s="59">
        <v>4867.74</v>
      </c>
      <c r="I150" s="59">
        <v>4908.42</v>
      </c>
      <c r="J150" s="59">
        <v>5091.16</v>
      </c>
      <c r="K150" s="59">
        <v>4841.7299999999996</v>
      </c>
      <c r="L150" s="59">
        <v>4928.5</v>
      </c>
      <c r="M150" s="59">
        <v>4955.37</v>
      </c>
      <c r="N150" s="210"/>
      <c r="O150" s="210"/>
      <c r="P150" s="210"/>
      <c r="Q150" s="210"/>
      <c r="R150" s="196">
        <f>IF((M151=""),"",MAX(E152:M152))</f>
        <v>4607.6400000000003</v>
      </c>
      <c r="S150" s="194">
        <f>IF(M151="","",MIN(E152:M152))</f>
        <v>4192.46</v>
      </c>
      <c r="T150" s="195">
        <f>IF((M152=""),"",AVERAGE(E152:M152))</f>
        <v>4347.7977777777778</v>
      </c>
      <c r="U150" s="195">
        <f>IF((M151=""),"",(R150-S150)/(R150+S150)*100)</f>
        <v>4.7179009329439472</v>
      </c>
      <c r="V150" s="66">
        <f>STDEV(E152:Q152)</f>
        <v>153.01062134518193</v>
      </c>
      <c r="W150" s="83" t="str">
        <f>IF(M151="","",IF(T150&gt;3650,IF(T150&lt;4450,"Pass","Fail"),"Fail"))</f>
        <v>Pass</v>
      </c>
      <c r="X150" s="59">
        <v>1428</v>
      </c>
      <c r="AA150" s="86">
        <v>3650</v>
      </c>
      <c r="AB150" s="86">
        <v>4450</v>
      </c>
      <c r="AC150" s="86">
        <v>3700</v>
      </c>
      <c r="AD150" s="86">
        <v>4250</v>
      </c>
      <c r="AE150" s="86">
        <v>7.2</v>
      </c>
      <c r="AF150" s="86">
        <v>3</v>
      </c>
    </row>
    <row r="151" spans="1:32">
      <c r="A151" s="149"/>
      <c r="B151" s="82"/>
      <c r="C151" s="82"/>
      <c r="D151" s="204" t="s">
        <v>115</v>
      </c>
      <c r="E151" s="59">
        <v>2401.19</v>
      </c>
      <c r="F151" s="59">
        <v>2663.09</v>
      </c>
      <c r="G151" s="59">
        <v>2824.86</v>
      </c>
      <c r="H151" s="59">
        <v>2714.03</v>
      </c>
      <c r="I151" s="59">
        <v>2625.1</v>
      </c>
      <c r="J151" s="59">
        <v>2994.93</v>
      </c>
      <c r="K151" s="59">
        <v>2673.25</v>
      </c>
      <c r="L151" s="59">
        <v>2829.49</v>
      </c>
      <c r="M151" s="59">
        <v>2751.46</v>
      </c>
      <c r="N151" s="205"/>
      <c r="O151" s="205"/>
      <c r="P151" s="205"/>
      <c r="Q151" s="205"/>
      <c r="R151" s="190"/>
      <c r="S151" s="190"/>
      <c r="T151" s="191"/>
      <c r="U151" s="191"/>
      <c r="W151" s="177"/>
    </row>
    <row r="152" spans="1:32" ht="48">
      <c r="A152" s="149"/>
      <c r="B152" s="207"/>
      <c r="C152" s="207"/>
      <c r="D152" s="204" t="s">
        <v>116</v>
      </c>
      <c r="E152" s="51">
        <f t="shared" ref="E152:M152" si="44">IF(((E150="")*AND(E151="")),"",(E150-E151)*2)</f>
        <v>4607.6400000000003</v>
      </c>
      <c r="F152" s="51">
        <f t="shared" si="44"/>
        <v>4297.5</v>
      </c>
      <c r="G152" s="51">
        <f t="shared" si="44"/>
        <v>4215.72</v>
      </c>
      <c r="H152" s="51">
        <f t="shared" si="44"/>
        <v>4307.4199999999992</v>
      </c>
      <c r="I152" s="51">
        <f t="shared" si="44"/>
        <v>4566.6400000000003</v>
      </c>
      <c r="J152" s="51">
        <f t="shared" si="44"/>
        <v>4192.46</v>
      </c>
      <c r="K152" s="51">
        <f t="shared" si="44"/>
        <v>4336.9599999999991</v>
      </c>
      <c r="L152" s="51">
        <f t="shared" si="44"/>
        <v>4198.0200000000004</v>
      </c>
      <c r="M152" s="51">
        <f t="shared" si="44"/>
        <v>4407.82</v>
      </c>
      <c r="N152" s="51"/>
      <c r="O152" s="51"/>
      <c r="P152" s="51"/>
      <c r="Q152" s="51"/>
      <c r="R152" s="192"/>
      <c r="S152" s="192"/>
      <c r="T152" s="193"/>
      <c r="U152" s="193"/>
      <c r="W152" s="178"/>
    </row>
    <row r="153" spans="1:32">
      <c r="A153" s="149">
        <v>42318</v>
      </c>
      <c r="B153" s="81" t="s">
        <v>121</v>
      </c>
      <c r="C153" s="81" t="s">
        <v>121</v>
      </c>
      <c r="D153" s="204" t="s">
        <v>114</v>
      </c>
      <c r="E153" s="59">
        <v>1254.75</v>
      </c>
      <c r="F153" s="59">
        <v>1257.3900000000001</v>
      </c>
      <c r="G153" s="59">
        <v>1268.8800000000001</v>
      </c>
      <c r="H153" s="59">
        <v>1252.5999999999999</v>
      </c>
      <c r="I153" s="59">
        <v>1249.0899999999999</v>
      </c>
      <c r="J153" s="59">
        <v>1234.17</v>
      </c>
      <c r="K153" s="59">
        <v>1246.99</v>
      </c>
      <c r="L153" s="59">
        <v>1264</v>
      </c>
      <c r="M153" s="59">
        <v>1267.55</v>
      </c>
      <c r="N153" s="205"/>
      <c r="O153" s="205"/>
      <c r="P153" s="205"/>
      <c r="Q153" s="205"/>
      <c r="R153" s="194">
        <f>IF((M154=""),"",MAX(E155:M155))</f>
        <v>2477.64</v>
      </c>
      <c r="S153" s="194">
        <f>IF((M154=""),"",MIN(E155:M155))</f>
        <v>2386.0399999999995</v>
      </c>
      <c r="T153" s="195">
        <f>IF((M155=""),"",AVERAGE(E155:M155))</f>
        <v>2430.6177777777775</v>
      </c>
      <c r="U153" s="195">
        <f>IF((M154=""),"",(R153-S153)/(R153+S153)*100)</f>
        <v>1.8833475886571562</v>
      </c>
      <c r="V153" s="66">
        <f>STDEV(E155:Q155)</f>
        <v>30.886101153212085</v>
      </c>
      <c r="W153" s="174" t="str">
        <f>IF(M154="","",IF(U153&lt;5.5,IF(T153&gt;2200,IF(T153&lt;2900,"Pass","Fail"),"Fail"),"Fail"))</f>
        <v>Pass</v>
      </c>
      <c r="X153" s="59">
        <v>1428</v>
      </c>
      <c r="AA153" s="67">
        <v>2000</v>
      </c>
      <c r="AB153" s="67">
        <v>3000</v>
      </c>
      <c r="AC153" s="67">
        <v>2200</v>
      </c>
      <c r="AD153" s="67">
        <v>2900</v>
      </c>
      <c r="AE153" s="67">
        <v>7</v>
      </c>
      <c r="AF153" s="67">
        <v>5.5</v>
      </c>
    </row>
    <row r="154" spans="1:32">
      <c r="A154" s="149"/>
      <c r="B154" s="82"/>
      <c r="C154" s="82"/>
      <c r="D154" s="204" t="s">
        <v>115</v>
      </c>
      <c r="E154" s="59">
        <v>647.04</v>
      </c>
      <c r="F154" s="59">
        <v>641.62</v>
      </c>
      <c r="G154" s="59">
        <v>668.18</v>
      </c>
      <c r="H154" s="59">
        <v>644.49</v>
      </c>
      <c r="I154" s="59">
        <v>652.58000000000004</v>
      </c>
      <c r="J154" s="59">
        <v>620.95000000000005</v>
      </c>
      <c r="K154" s="59">
        <v>627.58000000000004</v>
      </c>
      <c r="L154" s="59">
        <v>655.89</v>
      </c>
      <c r="M154" s="59">
        <v>668.2</v>
      </c>
      <c r="N154" s="205"/>
      <c r="O154" s="205"/>
      <c r="P154" s="205"/>
      <c r="Q154" s="205"/>
      <c r="R154" s="190"/>
      <c r="S154" s="190"/>
      <c r="T154" s="191"/>
      <c r="U154" s="191"/>
      <c r="W154" s="179"/>
    </row>
    <row r="155" spans="1:32" ht="48.75" thickBot="1">
      <c r="A155" s="149"/>
      <c r="B155" s="211"/>
      <c r="C155" s="211"/>
      <c r="D155" s="212" t="s">
        <v>116</v>
      </c>
      <c r="E155" s="87">
        <f t="shared" ref="E155:M155" si="45">IF(((E153="")*AND(E154="")),"",(E153-E154)*4)</f>
        <v>2430.84</v>
      </c>
      <c r="F155" s="87">
        <f t="shared" si="45"/>
        <v>2463.0800000000004</v>
      </c>
      <c r="G155" s="87">
        <f t="shared" si="45"/>
        <v>2402.8000000000006</v>
      </c>
      <c r="H155" s="87">
        <f t="shared" si="45"/>
        <v>2432.4399999999996</v>
      </c>
      <c r="I155" s="87">
        <f t="shared" si="45"/>
        <v>2386.0399999999995</v>
      </c>
      <c r="J155" s="87">
        <f t="shared" si="45"/>
        <v>2452.88</v>
      </c>
      <c r="K155" s="87">
        <f t="shared" si="45"/>
        <v>2477.64</v>
      </c>
      <c r="L155" s="87">
        <f t="shared" si="45"/>
        <v>2432.44</v>
      </c>
      <c r="M155" s="87">
        <f t="shared" si="45"/>
        <v>2397.3999999999996</v>
      </c>
      <c r="N155" s="87"/>
      <c r="O155" s="87"/>
      <c r="P155" s="87"/>
      <c r="Q155" s="87" t="str">
        <f>IF(((Q153="")*AND(Q154="")),"",(Q153-Q154)*4)</f>
        <v/>
      </c>
      <c r="R155" s="197"/>
      <c r="S155" s="197"/>
      <c r="T155" s="198"/>
      <c r="U155" s="198"/>
      <c r="W155" s="180"/>
    </row>
    <row r="156" spans="1:32">
      <c r="A156" s="149">
        <v>42318</v>
      </c>
      <c r="B156" s="81" t="s">
        <v>117</v>
      </c>
      <c r="C156" s="81" t="s">
        <v>118</v>
      </c>
      <c r="D156" s="201" t="s">
        <v>114</v>
      </c>
      <c r="E156" s="59">
        <v>2812.57</v>
      </c>
      <c r="F156" s="59">
        <v>2769</v>
      </c>
      <c r="G156" s="59">
        <v>2739.86</v>
      </c>
      <c r="H156" s="59">
        <v>2729.37</v>
      </c>
      <c r="I156" s="59">
        <v>2744.73</v>
      </c>
      <c r="J156" s="59">
        <v>2766.3</v>
      </c>
      <c r="K156" s="59">
        <v>2805.31</v>
      </c>
      <c r="L156" s="59">
        <v>2865.41</v>
      </c>
      <c r="M156" s="59">
        <v>2788.04</v>
      </c>
      <c r="N156" s="59">
        <v>2747.03</v>
      </c>
      <c r="O156" s="59">
        <v>2731.06</v>
      </c>
      <c r="P156" s="59">
        <v>2758.09</v>
      </c>
      <c r="Q156" s="59">
        <v>2823.28</v>
      </c>
      <c r="R156" s="188">
        <f>IF((Q157=""),"",MAX(E158:Q158))</f>
        <v>270.5300000000002</v>
      </c>
      <c r="S156" s="188">
        <f>IF(Q157="","",MIN(E158:Q158))</f>
        <v>234.01000000000022</v>
      </c>
      <c r="T156" s="189">
        <f>IF((Q158=""),"",AVERAGE(E158:Q158))</f>
        <v>256.5553846153847</v>
      </c>
      <c r="U156" s="189">
        <f>IF((Q157=""),"",(R156-S156)/(R156+S156)*100)</f>
        <v>7.2382764498354843</v>
      </c>
      <c r="V156" s="66">
        <f>STDEV(E158:Q158)</f>
        <v>10.212639730080223</v>
      </c>
      <c r="W156" s="181" t="str">
        <f>IF(Q157="","",IF(T156&gt;242,IF(T156&lt;320,"Pass","Fail"),"Fail"))</f>
        <v>Pass</v>
      </c>
      <c r="X156" s="59">
        <v>1159</v>
      </c>
      <c r="AA156" s="67">
        <v>240</v>
      </c>
      <c r="AB156" s="67">
        <v>320</v>
      </c>
      <c r="AC156" s="67">
        <v>190</v>
      </c>
      <c r="AD156" s="67">
        <v>360</v>
      </c>
      <c r="AE156" s="67">
        <v>20</v>
      </c>
      <c r="AF156" s="67">
        <v>11</v>
      </c>
    </row>
    <row r="157" spans="1:32">
      <c r="A157" s="149"/>
      <c r="B157" s="82"/>
      <c r="C157" s="82"/>
      <c r="D157" s="204" t="s">
        <v>115</v>
      </c>
      <c r="E157" s="59">
        <v>2569.04</v>
      </c>
      <c r="F157" s="59">
        <v>2508.02</v>
      </c>
      <c r="G157" s="59">
        <v>2473.5</v>
      </c>
      <c r="H157" s="59">
        <v>2464.0300000000002</v>
      </c>
      <c r="I157" s="59">
        <v>2474.1999999999998</v>
      </c>
      <c r="J157" s="59">
        <v>2505.56</v>
      </c>
      <c r="K157" s="59">
        <v>2547.69</v>
      </c>
      <c r="L157" s="59">
        <v>2615.0300000000002</v>
      </c>
      <c r="M157" s="59">
        <v>2538.4499999999998</v>
      </c>
      <c r="N157" s="59">
        <v>2485.5500000000002</v>
      </c>
      <c r="O157" s="59">
        <v>2468.5</v>
      </c>
      <c r="P157" s="59">
        <v>2505.9899999999998</v>
      </c>
      <c r="Q157" s="59">
        <v>2589.27</v>
      </c>
      <c r="R157" s="190"/>
      <c r="S157" s="190"/>
      <c r="T157" s="191"/>
      <c r="U157" s="191"/>
      <c r="W157" s="177"/>
    </row>
    <row r="158" spans="1:32" ht="48.75" thickBot="1">
      <c r="A158" s="149"/>
      <c r="B158" s="82"/>
      <c r="C158" s="82"/>
      <c r="D158" s="194" t="s">
        <v>116</v>
      </c>
      <c r="E158" s="85">
        <f>IF(((E156="")*AND(E157="")),"",(E156-E157))</f>
        <v>243.5300000000002</v>
      </c>
      <c r="F158" s="85">
        <f t="shared" ref="F158:Q158" si="46">IF(((F156="")*AND(F157="")),"",(F156-F157))</f>
        <v>260.98</v>
      </c>
      <c r="G158" s="85">
        <f t="shared" si="46"/>
        <v>266.36000000000013</v>
      </c>
      <c r="H158" s="85">
        <f t="shared" si="46"/>
        <v>265.33999999999969</v>
      </c>
      <c r="I158" s="85">
        <f t="shared" si="46"/>
        <v>270.5300000000002</v>
      </c>
      <c r="J158" s="85">
        <f t="shared" si="46"/>
        <v>260.74000000000024</v>
      </c>
      <c r="K158" s="85">
        <f t="shared" si="46"/>
        <v>257.61999999999989</v>
      </c>
      <c r="L158" s="85">
        <f t="shared" si="46"/>
        <v>250.37999999999965</v>
      </c>
      <c r="M158" s="85">
        <f t="shared" si="46"/>
        <v>249.59000000000015</v>
      </c>
      <c r="N158" s="85">
        <f t="shared" si="46"/>
        <v>261.48</v>
      </c>
      <c r="O158" s="85">
        <f t="shared" si="46"/>
        <v>262.55999999999995</v>
      </c>
      <c r="P158" s="85">
        <f t="shared" si="46"/>
        <v>252.10000000000036</v>
      </c>
      <c r="Q158" s="85">
        <f t="shared" si="46"/>
        <v>234.01000000000022</v>
      </c>
      <c r="R158" s="190"/>
      <c r="S158" s="190"/>
      <c r="T158" s="191"/>
      <c r="U158" s="191"/>
      <c r="W158" s="177"/>
    </row>
    <row r="159" spans="1:32">
      <c r="A159" s="149">
        <v>42417</v>
      </c>
      <c r="B159" s="200" t="s">
        <v>112</v>
      </c>
      <c r="C159" s="200" t="s">
        <v>113</v>
      </c>
      <c r="D159" s="201" t="s">
        <v>114</v>
      </c>
      <c r="E159" s="59">
        <v>7919.65</v>
      </c>
      <c r="F159" s="59">
        <v>7965.18</v>
      </c>
      <c r="G159" s="59">
        <v>8002.72</v>
      </c>
      <c r="H159" s="59">
        <v>8093.28</v>
      </c>
      <c r="I159" s="59">
        <v>8100.63</v>
      </c>
      <c r="J159" s="59">
        <v>8076.36</v>
      </c>
      <c r="K159" s="59">
        <v>8006.36</v>
      </c>
      <c r="L159" s="59">
        <v>8091.3</v>
      </c>
      <c r="M159" s="59">
        <v>7934.51</v>
      </c>
      <c r="N159" s="202"/>
      <c r="O159" s="202"/>
      <c r="P159" s="202"/>
      <c r="Q159" s="202"/>
      <c r="R159" s="188">
        <f>IF((M160=""),"",MAX(E161:M161))</f>
        <v>6683.68</v>
      </c>
      <c r="S159" s="188">
        <f>IF((M160=""),"",MIN(E161:M161))</f>
        <v>6051.5599999999995</v>
      </c>
      <c r="T159" s="189">
        <f>IF((M161=""),"",AVERAGE(E161:M161))</f>
        <v>6363.3555555555549</v>
      </c>
      <c r="U159" s="189">
        <f>IF((M160=""),"",(R159-S159)/(R159+S159)*100)</f>
        <v>4.9635499605818252</v>
      </c>
      <c r="V159" s="66">
        <f>STDEV(E161:Q161)</f>
        <v>217.22197374524663</v>
      </c>
      <c r="W159" s="170" t="str">
        <f>IF(M160="","",IF(U159&lt;6.3,IF(T159&gt;5550,IF(T159&lt;6900,"Pass","Fail"),"Fail"),"Fail"))</f>
        <v>Pass</v>
      </c>
      <c r="X159" s="91">
        <v>1159</v>
      </c>
      <c r="AA159" s="67">
        <v>5860</v>
      </c>
      <c r="AB159" s="67">
        <v>6770</v>
      </c>
      <c r="AC159" s="67">
        <v>5550</v>
      </c>
      <c r="AD159" s="67">
        <v>6900</v>
      </c>
      <c r="AE159" s="67">
        <v>20</v>
      </c>
      <c r="AF159" s="67">
        <v>6.3</v>
      </c>
    </row>
    <row r="160" spans="1:32">
      <c r="A160" s="149"/>
      <c r="B160" s="82"/>
      <c r="C160" s="82"/>
      <c r="D160" s="204" t="s">
        <v>115</v>
      </c>
      <c r="E160" s="59">
        <v>4654.26</v>
      </c>
      <c r="F160" s="59">
        <v>4700.92</v>
      </c>
      <c r="G160" s="59">
        <v>4749.34</v>
      </c>
      <c r="H160" s="59">
        <v>5034.9399999999996</v>
      </c>
      <c r="I160" s="59">
        <v>5074.8500000000004</v>
      </c>
      <c r="J160" s="59">
        <v>4983.84</v>
      </c>
      <c r="K160" s="59">
        <v>4809.22</v>
      </c>
      <c r="L160" s="59">
        <v>4954.8500000000004</v>
      </c>
      <c r="M160" s="59">
        <v>4592.67</v>
      </c>
      <c r="N160" s="205"/>
      <c r="O160" s="205"/>
      <c r="P160" s="205"/>
      <c r="Q160" s="205"/>
      <c r="R160" s="190"/>
      <c r="S160" s="190"/>
      <c r="T160" s="191"/>
      <c r="U160" s="191"/>
      <c r="W160" s="177"/>
      <c r="X160" s="92"/>
    </row>
    <row r="161" spans="1:32" ht="48">
      <c r="A161" s="149"/>
      <c r="B161" s="207"/>
      <c r="C161" s="207"/>
      <c r="D161" s="204" t="s">
        <v>116</v>
      </c>
      <c r="E161" s="51">
        <f t="shared" ref="E161:M161" si="47">IF(((E159="")*AND(E160="")),"",(E159-E160)*2)</f>
        <v>6530.7799999999988</v>
      </c>
      <c r="F161" s="51">
        <f t="shared" si="47"/>
        <v>6528.52</v>
      </c>
      <c r="G161" s="51">
        <f t="shared" si="47"/>
        <v>6506.76</v>
      </c>
      <c r="H161" s="51">
        <f t="shared" si="47"/>
        <v>6116.68</v>
      </c>
      <c r="I161" s="51">
        <f t="shared" si="47"/>
        <v>6051.5599999999995</v>
      </c>
      <c r="J161" s="51">
        <f t="shared" si="47"/>
        <v>6185.0399999999991</v>
      </c>
      <c r="K161" s="51">
        <f t="shared" si="47"/>
        <v>6394.2799999999988</v>
      </c>
      <c r="L161" s="51">
        <f t="shared" si="47"/>
        <v>6272.9</v>
      </c>
      <c r="M161" s="51">
        <f t="shared" si="47"/>
        <v>6683.68</v>
      </c>
      <c r="N161" s="51"/>
      <c r="O161" s="51"/>
      <c r="P161" s="51"/>
      <c r="Q161" s="51" t="str">
        <f>IF(((Q159="")*AND(Q160="")),"",(Q159-Q160)*2)</f>
        <v/>
      </c>
      <c r="R161" s="192"/>
      <c r="S161" s="192"/>
      <c r="T161" s="193"/>
      <c r="U161" s="193"/>
      <c r="W161" s="178"/>
      <c r="X161" s="92"/>
    </row>
    <row r="162" spans="1:32">
      <c r="A162" s="149">
        <v>42417</v>
      </c>
      <c r="B162" s="81" t="s">
        <v>117</v>
      </c>
      <c r="C162" s="81" t="s">
        <v>118</v>
      </c>
      <c r="D162" s="204" t="s">
        <v>114</v>
      </c>
      <c r="E162" s="59">
        <v>2853.04</v>
      </c>
      <c r="F162" s="59">
        <v>2785.35</v>
      </c>
      <c r="G162" s="59">
        <v>2744.55</v>
      </c>
      <c r="H162" s="59">
        <v>2726.46</v>
      </c>
      <c r="I162" s="59">
        <v>2729.31</v>
      </c>
      <c r="J162" s="59">
        <v>2757.58</v>
      </c>
      <c r="K162" s="59">
        <v>2815.98</v>
      </c>
      <c r="L162" s="59">
        <v>2814.17</v>
      </c>
      <c r="M162" s="59">
        <v>2761.72</v>
      </c>
      <c r="N162" s="59">
        <v>2735.05</v>
      </c>
      <c r="O162" s="59">
        <v>2734.36</v>
      </c>
      <c r="P162" s="59">
        <v>2760.1</v>
      </c>
      <c r="Q162" s="59">
        <v>2803.03</v>
      </c>
      <c r="R162" s="194">
        <f>IF((Q163=""),"",MAX(E164:Q164))</f>
        <v>293.63000000000011</v>
      </c>
      <c r="S162" s="194">
        <f>IF(Q163="","",MIN(E164:Q164))</f>
        <v>272.88000000000011</v>
      </c>
      <c r="T162" s="195">
        <f>IF((Q164=""),"",AVERAGE(E164:Q164))</f>
        <v>278.40230769230777</v>
      </c>
      <c r="U162" s="195">
        <f>IF((Q163=""),"",(R162-S162)/(R162+S162)*100)</f>
        <v>3.6627773560925654</v>
      </c>
      <c r="V162" s="66">
        <f>STDEV(E164:Q164)</f>
        <v>7.0389892193965702</v>
      </c>
      <c r="W162" s="83" t="str">
        <f>IF(Q163="","",IF(T162&gt;242,IF(T162&lt;320,"Pass","Fail"),"Fail"))</f>
        <v>Pass</v>
      </c>
      <c r="X162" s="92">
        <v>1159</v>
      </c>
      <c r="AA162" s="67">
        <v>240</v>
      </c>
      <c r="AB162" s="67">
        <v>320</v>
      </c>
      <c r="AC162" s="67">
        <v>190</v>
      </c>
      <c r="AD162" s="67">
        <v>360</v>
      </c>
      <c r="AE162" s="67">
        <v>20</v>
      </c>
      <c r="AF162" s="67">
        <v>11</v>
      </c>
    </row>
    <row r="163" spans="1:32">
      <c r="A163" s="149"/>
      <c r="B163" s="82"/>
      <c r="C163" s="82"/>
      <c r="D163" s="204" t="s">
        <v>115</v>
      </c>
      <c r="E163" s="59">
        <v>2568.4499999999998</v>
      </c>
      <c r="F163" s="59">
        <v>2510.21</v>
      </c>
      <c r="G163" s="59">
        <v>2471.2199999999998</v>
      </c>
      <c r="H163" s="59">
        <v>2452.62</v>
      </c>
      <c r="I163" s="59">
        <v>2455.09</v>
      </c>
      <c r="J163" s="59">
        <v>2480.5500000000002</v>
      </c>
      <c r="K163" s="59">
        <v>2524.38</v>
      </c>
      <c r="L163" s="59">
        <v>2520.54</v>
      </c>
      <c r="M163" s="59">
        <v>2484.1799999999998</v>
      </c>
      <c r="N163" s="59">
        <v>2460.12</v>
      </c>
      <c r="O163" s="59">
        <v>2461.48</v>
      </c>
      <c r="P163" s="59">
        <v>2487.14</v>
      </c>
      <c r="Q163" s="59">
        <v>2525.4899999999998</v>
      </c>
      <c r="R163" s="190"/>
      <c r="S163" s="190"/>
      <c r="T163" s="191"/>
      <c r="U163" s="191"/>
      <c r="W163" s="177"/>
      <c r="X163" s="92"/>
    </row>
    <row r="164" spans="1:32" ht="48">
      <c r="A164" s="149"/>
      <c r="B164" s="207"/>
      <c r="C164" s="207"/>
      <c r="D164" s="204" t="s">
        <v>116</v>
      </c>
      <c r="E164" s="51">
        <f t="shared" ref="E164:Q164" si="48">IF(((E162="")*AND(E163="")),"",(E162-E163))</f>
        <v>284.59000000000015</v>
      </c>
      <c r="F164" s="51">
        <f t="shared" si="48"/>
        <v>275.13999999999987</v>
      </c>
      <c r="G164" s="51">
        <f t="shared" si="48"/>
        <v>273.33000000000038</v>
      </c>
      <c r="H164" s="51">
        <f t="shared" si="48"/>
        <v>273.84000000000015</v>
      </c>
      <c r="I164" s="51">
        <f t="shared" si="48"/>
        <v>274.2199999999998</v>
      </c>
      <c r="J164" s="51">
        <f t="shared" si="48"/>
        <v>277.02999999999975</v>
      </c>
      <c r="K164" s="51">
        <f t="shared" si="48"/>
        <v>291.59999999999991</v>
      </c>
      <c r="L164" s="51">
        <f t="shared" si="48"/>
        <v>293.63000000000011</v>
      </c>
      <c r="M164" s="51">
        <f t="shared" si="48"/>
        <v>277.53999999999996</v>
      </c>
      <c r="N164" s="85">
        <f t="shared" si="48"/>
        <v>274.93000000000029</v>
      </c>
      <c r="O164" s="85">
        <f t="shared" si="48"/>
        <v>272.88000000000011</v>
      </c>
      <c r="P164" s="85">
        <f t="shared" si="48"/>
        <v>272.96000000000004</v>
      </c>
      <c r="Q164" s="85">
        <f t="shared" si="48"/>
        <v>277.54000000000042</v>
      </c>
      <c r="R164" s="192"/>
      <c r="S164" s="192"/>
      <c r="T164" s="193"/>
      <c r="U164" s="193"/>
      <c r="W164" s="178"/>
      <c r="X164" s="92"/>
    </row>
    <row r="165" spans="1:32">
      <c r="A165" s="149">
        <v>42417</v>
      </c>
      <c r="B165" s="81" t="s">
        <v>119</v>
      </c>
      <c r="C165" s="81" t="s">
        <v>120</v>
      </c>
      <c r="D165" s="204" t="s">
        <v>114</v>
      </c>
      <c r="E165" s="59">
        <v>7086.24</v>
      </c>
      <c r="F165" s="59">
        <v>6954.98</v>
      </c>
      <c r="G165" s="59">
        <v>7014.3</v>
      </c>
      <c r="H165" s="59">
        <v>7045.46</v>
      </c>
      <c r="I165" s="59">
        <v>7233.19</v>
      </c>
      <c r="J165" s="59">
        <v>7265.83</v>
      </c>
      <c r="K165" s="59">
        <v>7026.65</v>
      </c>
      <c r="L165" s="59">
        <v>7071.98</v>
      </c>
      <c r="M165" s="59">
        <v>7291.8</v>
      </c>
      <c r="N165" s="210"/>
      <c r="O165" s="210"/>
      <c r="P165" s="210"/>
      <c r="Q165" s="210"/>
      <c r="R165" s="196">
        <f>IF((M166=""),"",MAX(E167:M167))</f>
        <v>3522.1999999999989</v>
      </c>
      <c r="S165" s="194">
        <f>IF(M166="","",MIN(E167:M167))</f>
        <v>3238.76</v>
      </c>
      <c r="T165" s="195">
        <f>IF((M167=""),"",AVERAGE(E167:M167))</f>
        <v>3366.0199999999991</v>
      </c>
      <c r="U165" s="195">
        <f>IF((M166=""),"",(R165-S165)/(R165+S165)*100)</f>
        <v>4.1923040514956265</v>
      </c>
      <c r="V165" s="66">
        <f>STDEV(E167:Q167)</f>
        <v>108.04826838039835</v>
      </c>
      <c r="W165" s="83" t="str">
        <f>IF(M166="","",IF(T165&gt;3650,IF(T165&lt;4450,"Pass","Fail"),"Fail"))</f>
        <v>Fail</v>
      </c>
      <c r="X165" s="92">
        <v>1159</v>
      </c>
      <c r="AA165" s="86">
        <v>3650</v>
      </c>
      <c r="AB165" s="86">
        <v>4450</v>
      </c>
      <c r="AC165" s="86">
        <v>3700</v>
      </c>
      <c r="AD165" s="86">
        <v>4250</v>
      </c>
      <c r="AE165" s="86">
        <v>7.2</v>
      </c>
      <c r="AF165" s="86">
        <v>3</v>
      </c>
    </row>
    <row r="166" spans="1:32">
      <c r="A166" s="149"/>
      <c r="B166" s="82"/>
      <c r="C166" s="82"/>
      <c r="D166" s="204" t="s">
        <v>115</v>
      </c>
      <c r="E166" s="59">
        <v>5343.58</v>
      </c>
      <c r="F166" s="59">
        <v>5304.47</v>
      </c>
      <c r="G166" s="59">
        <v>5394.92</v>
      </c>
      <c r="H166" s="59">
        <v>5390.75</v>
      </c>
      <c r="I166" s="59">
        <v>5472.09</v>
      </c>
      <c r="J166" s="59">
        <v>5561.51</v>
      </c>
      <c r="K166" s="59">
        <v>5386.17</v>
      </c>
      <c r="L166" s="59">
        <v>5437.42</v>
      </c>
      <c r="M166" s="59">
        <v>5552.43</v>
      </c>
      <c r="N166" s="205"/>
      <c r="O166" s="205"/>
      <c r="P166" s="205"/>
      <c r="Q166" s="205"/>
      <c r="R166" s="190"/>
      <c r="S166" s="190"/>
      <c r="T166" s="191"/>
      <c r="U166" s="191"/>
      <c r="W166" s="177"/>
      <c r="X166" s="92"/>
    </row>
    <row r="167" spans="1:32" ht="48">
      <c r="A167" s="149"/>
      <c r="B167" s="207"/>
      <c r="C167" s="207"/>
      <c r="D167" s="204" t="s">
        <v>116</v>
      </c>
      <c r="E167" s="51">
        <f t="shared" ref="E167:M167" si="49">IF(((E165="")*AND(E166="")),"",(E165-E166)*2)</f>
        <v>3485.3199999999997</v>
      </c>
      <c r="F167" s="51">
        <f t="shared" si="49"/>
        <v>3301.0199999999986</v>
      </c>
      <c r="G167" s="51">
        <f t="shared" si="49"/>
        <v>3238.76</v>
      </c>
      <c r="H167" s="51">
        <f t="shared" si="49"/>
        <v>3309.42</v>
      </c>
      <c r="I167" s="51">
        <f t="shared" si="49"/>
        <v>3522.1999999999989</v>
      </c>
      <c r="J167" s="51">
        <f t="shared" si="49"/>
        <v>3408.6399999999994</v>
      </c>
      <c r="K167" s="51">
        <f t="shared" si="49"/>
        <v>3280.9599999999991</v>
      </c>
      <c r="L167" s="51">
        <f t="shared" si="49"/>
        <v>3269.119999999999</v>
      </c>
      <c r="M167" s="51">
        <f t="shared" si="49"/>
        <v>3478.74</v>
      </c>
      <c r="N167" s="51"/>
      <c r="O167" s="51"/>
      <c r="P167" s="51"/>
      <c r="Q167" s="51"/>
      <c r="R167" s="192"/>
      <c r="S167" s="192"/>
      <c r="T167" s="193"/>
      <c r="U167" s="193"/>
      <c r="W167" s="178"/>
      <c r="X167" s="92"/>
    </row>
    <row r="168" spans="1:32">
      <c r="A168" s="149">
        <v>42417</v>
      </c>
      <c r="B168" s="81" t="s">
        <v>121</v>
      </c>
      <c r="C168" s="81" t="s">
        <v>121</v>
      </c>
      <c r="D168" s="204" t="s">
        <v>114</v>
      </c>
      <c r="E168" s="59">
        <v>1373.36</v>
      </c>
      <c r="F168" s="59">
        <v>1379.82</v>
      </c>
      <c r="G168" s="59">
        <v>1348.55</v>
      </c>
      <c r="H168" s="59">
        <v>1377.39</v>
      </c>
      <c r="I168" s="59">
        <v>1372.63</v>
      </c>
      <c r="J168" s="59">
        <v>1382.66</v>
      </c>
      <c r="K168" s="59">
        <v>1375.26</v>
      </c>
      <c r="L168" s="59">
        <v>1373.61</v>
      </c>
      <c r="M168" s="59">
        <v>1367.31</v>
      </c>
      <c r="N168" s="205"/>
      <c r="O168" s="205"/>
      <c r="P168" s="205"/>
      <c r="Q168" s="205"/>
      <c r="R168" s="194">
        <f>IF((M169=""),"",MAX(E170:M170))</f>
        <v>2603.1200000000003</v>
      </c>
      <c r="S168" s="194">
        <f>IF((M169=""),"",MIN(E170:M170))</f>
        <v>2456.2799999999997</v>
      </c>
      <c r="T168" s="195">
        <f>IF((M170=""),"",AVERAGE(E170:M170))</f>
        <v>2519.9066666666668</v>
      </c>
      <c r="U168" s="195">
        <f>IF((M169=""),"",(R168-S168)/(R168+S168)*100)</f>
        <v>2.9023204332529673</v>
      </c>
      <c r="V168" s="66">
        <f t="shared" ref="V168" si="50">STDEV(E170:Q170)</f>
        <v>46.471625751641859</v>
      </c>
      <c r="W168" s="174" t="str">
        <f>IF(M169="","",IF(U168&lt;5.5,IF(T168&gt;2200,IF(T168&lt;2900,"Pass","Fail"),"Fail"),"Fail"))</f>
        <v>Pass</v>
      </c>
      <c r="X168" s="92">
        <v>1159</v>
      </c>
      <c r="AA168" s="67">
        <v>2000</v>
      </c>
      <c r="AB168" s="67">
        <v>3000</v>
      </c>
      <c r="AC168" s="67">
        <v>2200</v>
      </c>
      <c r="AD168" s="67">
        <v>2900</v>
      </c>
      <c r="AE168" s="67">
        <v>7</v>
      </c>
      <c r="AF168" s="67">
        <v>5.5</v>
      </c>
    </row>
    <row r="169" spans="1:32">
      <c r="A169" s="149"/>
      <c r="B169" s="82"/>
      <c r="C169" s="82"/>
      <c r="D169" s="204" t="s">
        <v>115</v>
      </c>
      <c r="E169" s="59">
        <v>743.5</v>
      </c>
      <c r="F169" s="59">
        <v>750.17</v>
      </c>
      <c r="G169" s="59">
        <v>734.48</v>
      </c>
      <c r="H169" s="59">
        <v>744.86</v>
      </c>
      <c r="I169" s="59">
        <v>737.89</v>
      </c>
      <c r="J169" s="59">
        <v>731.88</v>
      </c>
      <c r="K169" s="59">
        <v>734.69</v>
      </c>
      <c r="L169" s="59">
        <v>753.72</v>
      </c>
      <c r="M169" s="59">
        <v>749.61</v>
      </c>
      <c r="N169" s="205"/>
      <c r="O169" s="205"/>
      <c r="P169" s="205"/>
      <c r="Q169" s="205"/>
      <c r="R169" s="190"/>
      <c r="S169" s="190"/>
      <c r="T169" s="191"/>
      <c r="U169" s="191"/>
      <c r="W169" s="179"/>
      <c r="X169" s="92"/>
    </row>
    <row r="170" spans="1:32" ht="48.75" thickBot="1">
      <c r="A170" s="149"/>
      <c r="B170" s="211"/>
      <c r="C170" s="211"/>
      <c r="D170" s="212" t="s">
        <v>116</v>
      </c>
      <c r="E170" s="87">
        <f t="shared" ref="E170:M170" si="51">IF(((E168="")*AND(E169="")),"",(E168-E169)*4)</f>
        <v>2519.4399999999996</v>
      </c>
      <c r="F170" s="87">
        <f t="shared" si="51"/>
        <v>2518.6</v>
      </c>
      <c r="G170" s="87">
        <f t="shared" si="51"/>
        <v>2456.2799999999997</v>
      </c>
      <c r="H170" s="87">
        <f t="shared" si="51"/>
        <v>2530.1200000000003</v>
      </c>
      <c r="I170" s="87">
        <f t="shared" si="51"/>
        <v>2538.9600000000005</v>
      </c>
      <c r="J170" s="87">
        <f t="shared" si="51"/>
        <v>2603.1200000000003</v>
      </c>
      <c r="K170" s="87">
        <f t="shared" si="51"/>
        <v>2562.2799999999997</v>
      </c>
      <c r="L170" s="87">
        <f t="shared" si="51"/>
        <v>2479.5599999999995</v>
      </c>
      <c r="M170" s="87">
        <f t="shared" si="51"/>
        <v>2470.7999999999997</v>
      </c>
      <c r="N170" s="87"/>
      <c r="O170" s="87"/>
      <c r="P170" s="87"/>
      <c r="Q170" s="87" t="str">
        <f>IF(((Q168="")*AND(Q169="")),"",(Q168-Q169)*4)</f>
        <v/>
      </c>
      <c r="R170" s="197"/>
      <c r="S170" s="197"/>
      <c r="T170" s="198"/>
      <c r="U170" s="198"/>
      <c r="W170" s="180"/>
      <c r="X170" s="93"/>
    </row>
    <row r="171" spans="1:32">
      <c r="A171" s="149">
        <v>42447</v>
      </c>
      <c r="B171" s="200" t="s">
        <v>112</v>
      </c>
      <c r="C171" s="200" t="s">
        <v>113</v>
      </c>
      <c r="D171" s="201" t="s">
        <v>114</v>
      </c>
      <c r="E171" s="59">
        <v>7935.27</v>
      </c>
      <c r="F171" s="59">
        <v>7976.61</v>
      </c>
      <c r="G171" s="59">
        <v>8016.07</v>
      </c>
      <c r="H171" s="59">
        <v>8106.64</v>
      </c>
      <c r="I171" s="59">
        <v>8116.71</v>
      </c>
      <c r="J171" s="59">
        <v>8089.61</v>
      </c>
      <c r="K171" s="59">
        <v>8019.29</v>
      </c>
      <c r="L171" s="59">
        <v>8105.21</v>
      </c>
      <c r="M171" s="59">
        <v>7947.04</v>
      </c>
      <c r="N171" s="202"/>
      <c r="O171" s="202"/>
      <c r="P171" s="202"/>
      <c r="Q171" s="202"/>
      <c r="R171" s="188">
        <f>IF((M172=""),"",MAX(E173:M173))</f>
        <v>6553.68</v>
      </c>
      <c r="S171" s="188">
        <f>IF((M172=""),"",MIN(E173:M173))</f>
        <v>5957.58</v>
      </c>
      <c r="T171" s="189">
        <f>IF((M173=""),"",AVERAGE(E173:M173))</f>
        <v>6243.0955555555556</v>
      </c>
      <c r="U171" s="189">
        <f>IF((M172=""),"",(R171-S171)/(R171+S171)*100)</f>
        <v>4.7645081310755302</v>
      </c>
      <c r="V171" s="66">
        <f t="shared" ref="V171" si="52">STDEV(E173:Q173)</f>
        <v>200.14652052377158</v>
      </c>
      <c r="W171" s="170" t="str">
        <f>IF(M172="","",IF(U171&lt;6.3,IF(T171&gt;5550,IF(T171&lt;6900,"Pass","Fail"),"Fail"),"Fail"))</f>
        <v>Pass</v>
      </c>
      <c r="X171" s="91">
        <v>1335</v>
      </c>
      <c r="AA171" s="67">
        <v>5860</v>
      </c>
      <c r="AB171" s="67">
        <v>6770</v>
      </c>
      <c r="AC171" s="67">
        <v>5550</v>
      </c>
      <c r="AD171" s="67">
        <v>6900</v>
      </c>
      <c r="AE171" s="67">
        <v>20</v>
      </c>
      <c r="AF171" s="67">
        <v>6.3</v>
      </c>
    </row>
    <row r="172" spans="1:32">
      <c r="A172" s="149"/>
      <c r="B172" s="82"/>
      <c r="C172" s="82"/>
      <c r="D172" s="204" t="s">
        <v>115</v>
      </c>
      <c r="E172" s="59">
        <v>4730.7700000000004</v>
      </c>
      <c r="F172" s="59">
        <v>4798.97</v>
      </c>
      <c r="G172" s="59">
        <v>4828.29</v>
      </c>
      <c r="H172" s="59">
        <v>5097.28</v>
      </c>
      <c r="I172" s="59">
        <v>5137.92</v>
      </c>
      <c r="J172" s="59">
        <v>5052.54</v>
      </c>
      <c r="K172" s="59">
        <v>4883.2</v>
      </c>
      <c r="L172" s="59">
        <v>5019.3500000000004</v>
      </c>
      <c r="M172" s="59">
        <v>4670.2</v>
      </c>
      <c r="N172" s="205"/>
      <c r="O172" s="205"/>
      <c r="P172" s="205"/>
      <c r="Q172" s="205"/>
      <c r="R172" s="190"/>
      <c r="S172" s="190"/>
      <c r="T172" s="191"/>
      <c r="U172" s="191"/>
      <c r="W172" s="177"/>
      <c r="X172" s="92"/>
    </row>
    <row r="173" spans="1:32" ht="48">
      <c r="A173" s="149"/>
      <c r="B173" s="207"/>
      <c r="C173" s="207"/>
      <c r="D173" s="204" t="s">
        <v>116</v>
      </c>
      <c r="E173" s="51">
        <f t="shared" ref="E173:M173" si="53">IF(((E171="")*AND(E172="")),"",(E171-E172)*2)</f>
        <v>6409</v>
      </c>
      <c r="F173" s="51">
        <f t="shared" si="53"/>
        <v>6355.2799999999988</v>
      </c>
      <c r="G173" s="51">
        <f t="shared" si="53"/>
        <v>6375.5599999999995</v>
      </c>
      <c r="H173" s="51">
        <f t="shared" si="53"/>
        <v>6018.7200000000012</v>
      </c>
      <c r="I173" s="51">
        <f t="shared" si="53"/>
        <v>5957.58</v>
      </c>
      <c r="J173" s="51">
        <f t="shared" si="53"/>
        <v>6074.1399999999994</v>
      </c>
      <c r="K173" s="51">
        <f t="shared" si="53"/>
        <v>6272.18</v>
      </c>
      <c r="L173" s="51">
        <f t="shared" si="53"/>
        <v>6171.7199999999993</v>
      </c>
      <c r="M173" s="51">
        <f t="shared" si="53"/>
        <v>6553.68</v>
      </c>
      <c r="N173" s="51"/>
      <c r="O173" s="51"/>
      <c r="P173" s="51"/>
      <c r="Q173" s="51" t="str">
        <f>IF(((Q171="")*AND(Q172="")),"",(Q171-Q172)*2)</f>
        <v/>
      </c>
      <c r="R173" s="192"/>
      <c r="S173" s="192"/>
      <c r="T173" s="193"/>
      <c r="U173" s="193"/>
      <c r="W173" s="178"/>
      <c r="X173" s="92"/>
    </row>
    <row r="174" spans="1:32">
      <c r="A174" s="149">
        <v>42447</v>
      </c>
      <c r="B174" s="81" t="s">
        <v>117</v>
      </c>
      <c r="C174" s="81" t="s">
        <v>118</v>
      </c>
      <c r="D174" s="204" t="s">
        <v>114</v>
      </c>
      <c r="E174" s="59">
        <v>2851.89</v>
      </c>
      <c r="F174" s="59">
        <v>2784.77</v>
      </c>
      <c r="G174" s="59">
        <v>2744.45</v>
      </c>
      <c r="H174" s="59">
        <v>2726.52</v>
      </c>
      <c r="I174" s="59">
        <v>2729.49</v>
      </c>
      <c r="J174" s="59">
        <v>2754.73</v>
      </c>
      <c r="K174" s="59">
        <v>2807.96</v>
      </c>
      <c r="L174" s="59">
        <v>2810.37</v>
      </c>
      <c r="M174" s="59">
        <v>2758.62</v>
      </c>
      <c r="N174" s="59">
        <v>2733.35</v>
      </c>
      <c r="O174" s="59">
        <v>2736.55</v>
      </c>
      <c r="P174" s="59">
        <v>2765.66</v>
      </c>
      <c r="Q174" s="59">
        <v>2821.18</v>
      </c>
      <c r="R174" s="194">
        <f>IF((Q175=""),"",MAX(E176:Q176))</f>
        <v>268.88000000000011</v>
      </c>
      <c r="S174" s="194">
        <f>IF(Q175="","",MIN(E176:Q176))</f>
        <v>264.05999999999995</v>
      </c>
      <c r="T174" s="195">
        <f>IF((Q176=""),"",AVERAGE(E176:Q176))</f>
        <v>267.58923076923071</v>
      </c>
      <c r="U174" s="195">
        <f>IF((Q175=""),"",(R174-S174)/(R174+S174)*100)</f>
        <v>0.90441700754309362</v>
      </c>
      <c r="V174" s="66">
        <f t="shared" ref="V174" si="54">STDEV(E176:Q176)</f>
        <v>1.2833255077988694</v>
      </c>
      <c r="W174" s="83" t="str">
        <f>IF(Q175="","",IF(T174&gt;242,IF(T174&lt;320,"Pass","Fail"),"Fail"))</f>
        <v>Pass</v>
      </c>
      <c r="X174" s="92">
        <v>1335</v>
      </c>
      <c r="AA174" s="67">
        <v>240</v>
      </c>
      <c r="AB174" s="67">
        <v>320</v>
      </c>
      <c r="AC174" s="67">
        <v>190</v>
      </c>
      <c r="AD174" s="67">
        <v>360</v>
      </c>
      <c r="AE174" s="67">
        <v>20</v>
      </c>
      <c r="AF174" s="67">
        <v>11</v>
      </c>
    </row>
    <row r="175" spans="1:32">
      <c r="A175" s="149"/>
      <c r="B175" s="82"/>
      <c r="C175" s="82"/>
      <c r="D175" s="204" t="s">
        <v>115</v>
      </c>
      <c r="E175" s="59">
        <v>2583.7600000000002</v>
      </c>
      <c r="F175" s="59">
        <v>2516.34</v>
      </c>
      <c r="G175" s="59">
        <v>2476.4299999999998</v>
      </c>
      <c r="H175" s="59">
        <v>2458.48</v>
      </c>
      <c r="I175" s="59">
        <v>2461.3000000000002</v>
      </c>
      <c r="J175" s="59">
        <v>2486.7399999999998</v>
      </c>
      <c r="K175" s="59">
        <v>2539.08</v>
      </c>
      <c r="L175" s="59">
        <v>2541.91</v>
      </c>
      <c r="M175" s="59">
        <v>2491.19</v>
      </c>
      <c r="N175" s="59">
        <v>2466.14</v>
      </c>
      <c r="O175" s="59">
        <v>2468.67</v>
      </c>
      <c r="P175" s="59">
        <v>2499.7199999999998</v>
      </c>
      <c r="Q175" s="59">
        <v>2557.12</v>
      </c>
      <c r="R175" s="190"/>
      <c r="S175" s="190"/>
      <c r="T175" s="191"/>
      <c r="U175" s="191"/>
      <c r="W175" s="177"/>
      <c r="X175" s="92"/>
    </row>
    <row r="176" spans="1:32" ht="48">
      <c r="A176" s="149"/>
      <c r="B176" s="207"/>
      <c r="C176" s="207"/>
      <c r="D176" s="204" t="s">
        <v>116</v>
      </c>
      <c r="E176" s="51">
        <f t="shared" ref="E176:Q176" si="55">IF(((E174="")*AND(E175="")),"",(E174-E175))</f>
        <v>268.12999999999965</v>
      </c>
      <c r="F176" s="51">
        <f t="shared" si="55"/>
        <v>268.42999999999984</v>
      </c>
      <c r="G176" s="51">
        <f t="shared" si="55"/>
        <v>268.02</v>
      </c>
      <c r="H176" s="51">
        <f t="shared" si="55"/>
        <v>268.03999999999996</v>
      </c>
      <c r="I176" s="51">
        <f t="shared" si="55"/>
        <v>268.1899999999996</v>
      </c>
      <c r="J176" s="51">
        <f t="shared" si="55"/>
        <v>267.99000000000024</v>
      </c>
      <c r="K176" s="51">
        <f t="shared" si="55"/>
        <v>268.88000000000011</v>
      </c>
      <c r="L176" s="51">
        <f t="shared" si="55"/>
        <v>268.46000000000004</v>
      </c>
      <c r="M176" s="51">
        <f t="shared" si="55"/>
        <v>267.42999999999984</v>
      </c>
      <c r="N176" s="85">
        <f t="shared" si="55"/>
        <v>267.21000000000004</v>
      </c>
      <c r="O176" s="85">
        <f t="shared" si="55"/>
        <v>267.88000000000011</v>
      </c>
      <c r="P176" s="85">
        <f t="shared" si="55"/>
        <v>265.94000000000005</v>
      </c>
      <c r="Q176" s="85">
        <f t="shared" si="55"/>
        <v>264.05999999999995</v>
      </c>
      <c r="R176" s="192"/>
      <c r="S176" s="192"/>
      <c r="T176" s="193"/>
      <c r="U176" s="193"/>
      <c r="W176" s="178"/>
      <c r="X176" s="92"/>
    </row>
    <row r="177" spans="1:32">
      <c r="A177" s="149">
        <v>42447</v>
      </c>
      <c r="B177" s="81" t="s">
        <v>121</v>
      </c>
      <c r="C177" s="81" t="s">
        <v>121</v>
      </c>
      <c r="D177" s="204" t="s">
        <v>114</v>
      </c>
      <c r="E177" s="59">
        <v>1953.84</v>
      </c>
      <c r="F177" s="59">
        <v>1961.29</v>
      </c>
      <c r="G177" s="59">
        <v>1950.93</v>
      </c>
      <c r="H177" s="59">
        <v>1955.5</v>
      </c>
      <c r="I177" s="59">
        <v>1947.81</v>
      </c>
      <c r="J177" s="59">
        <v>1952.97</v>
      </c>
      <c r="K177" s="59">
        <v>1956.63</v>
      </c>
      <c r="L177" s="59">
        <v>1955.71</v>
      </c>
      <c r="M177" s="59">
        <v>1949.53</v>
      </c>
      <c r="N177" s="205"/>
      <c r="O177" s="205"/>
      <c r="P177" s="205"/>
      <c r="Q177" s="205"/>
      <c r="R177" s="194">
        <f>IF((M178=""),"",MAX(E179:M179))</f>
        <v>2589.0800000000008</v>
      </c>
      <c r="S177" s="194">
        <f>IF((M178=""),"",MIN(E179:M179))</f>
        <v>2454.92</v>
      </c>
      <c r="T177" s="195">
        <f>IF((M179=""),"",AVERAGE(E179:M179))</f>
        <v>2527.9022222222216</v>
      </c>
      <c r="U177" s="195">
        <f>IF((M178=""),"",(R177-S177)/(R177+S177)*100)</f>
        <v>2.6597938144330042</v>
      </c>
      <c r="V177" s="66">
        <f t="shared" ref="V177" si="56">STDEV(E179:Q179)</f>
        <v>46.769755659470654</v>
      </c>
      <c r="W177" s="174" t="str">
        <f>IF(M178="","",IF(U177&lt;5.5,IF(T177&gt;2200,IF(T177&lt;2900,"Pass","Fail"),"Fail"),"Fail"))</f>
        <v>Pass</v>
      </c>
      <c r="X177" s="92">
        <v>1335</v>
      </c>
      <c r="AA177" s="67">
        <v>2000</v>
      </c>
      <c r="AB177" s="67">
        <v>3000</v>
      </c>
      <c r="AC177" s="67">
        <v>2200</v>
      </c>
      <c r="AD177" s="67">
        <v>2900</v>
      </c>
      <c r="AE177" s="67">
        <v>7</v>
      </c>
      <c r="AF177" s="67">
        <v>5.5</v>
      </c>
    </row>
    <row r="178" spans="1:32">
      <c r="A178" s="149"/>
      <c r="B178" s="82"/>
      <c r="C178" s="82"/>
      <c r="D178" s="204" t="s">
        <v>115</v>
      </c>
      <c r="E178" s="59">
        <v>1322.16</v>
      </c>
      <c r="F178" s="59">
        <v>1319.89</v>
      </c>
      <c r="G178" s="59">
        <v>1328.66</v>
      </c>
      <c r="H178" s="59">
        <v>1318.17</v>
      </c>
      <c r="I178" s="59">
        <v>1325.63</v>
      </c>
      <c r="J178" s="59">
        <v>1307.33</v>
      </c>
      <c r="K178" s="59">
        <v>1309.3599999999999</v>
      </c>
      <c r="L178" s="59">
        <v>1329.43</v>
      </c>
      <c r="M178" s="59">
        <v>1335.8</v>
      </c>
      <c r="N178" s="205"/>
      <c r="O178" s="205"/>
      <c r="P178" s="205"/>
      <c r="Q178" s="205"/>
      <c r="R178" s="190"/>
      <c r="S178" s="190"/>
      <c r="T178" s="191"/>
      <c r="U178" s="191"/>
      <c r="W178" s="179"/>
      <c r="X178" s="92"/>
    </row>
    <row r="179" spans="1:32" ht="48.75" thickBot="1">
      <c r="A179" s="149"/>
      <c r="B179" s="211"/>
      <c r="C179" s="211"/>
      <c r="D179" s="212" t="s">
        <v>116</v>
      </c>
      <c r="E179" s="87">
        <f t="shared" ref="E179:M179" si="57">IF(((E177="")*AND(E178="")),"",(E177-E178)*4)</f>
        <v>2526.7199999999993</v>
      </c>
      <c r="F179" s="87">
        <f t="shared" si="57"/>
        <v>2565.5999999999995</v>
      </c>
      <c r="G179" s="87">
        <f t="shared" si="57"/>
        <v>2489.08</v>
      </c>
      <c r="H179" s="87">
        <f t="shared" si="57"/>
        <v>2549.3199999999997</v>
      </c>
      <c r="I179" s="87">
        <f t="shared" si="57"/>
        <v>2488.7199999999993</v>
      </c>
      <c r="J179" s="87">
        <f t="shared" si="57"/>
        <v>2582.5600000000004</v>
      </c>
      <c r="K179" s="87">
        <f t="shared" si="57"/>
        <v>2589.0800000000008</v>
      </c>
      <c r="L179" s="87">
        <f t="shared" si="57"/>
        <v>2505.12</v>
      </c>
      <c r="M179" s="87">
        <f t="shared" si="57"/>
        <v>2454.92</v>
      </c>
      <c r="N179" s="87"/>
      <c r="O179" s="87"/>
      <c r="P179" s="87"/>
      <c r="Q179" s="87" t="str">
        <f>IF(((Q177="")*AND(Q178="")),"",(Q177-Q178)*4)</f>
        <v/>
      </c>
      <c r="R179" s="197"/>
      <c r="S179" s="197"/>
      <c r="T179" s="198"/>
      <c r="U179" s="198"/>
      <c r="W179" s="180"/>
      <c r="X179" s="93"/>
    </row>
    <row r="180" spans="1:32">
      <c r="A180" s="149">
        <v>42555</v>
      </c>
      <c r="B180" s="200" t="s">
        <v>112</v>
      </c>
      <c r="C180" s="200" t="s">
        <v>113</v>
      </c>
      <c r="D180" s="201" t="s">
        <v>114</v>
      </c>
      <c r="E180" s="59">
        <v>7961.93</v>
      </c>
      <c r="F180" s="59">
        <v>7983.55</v>
      </c>
      <c r="G180" s="59">
        <v>8021.86</v>
      </c>
      <c r="H180" s="59">
        <v>8111.75</v>
      </c>
      <c r="I180" s="59">
        <v>8119.86</v>
      </c>
      <c r="J180" s="59">
        <v>8098.62</v>
      </c>
      <c r="K180" s="59">
        <v>8025.83</v>
      </c>
      <c r="L180" s="59">
        <v>8108.02</v>
      </c>
      <c r="M180" s="59">
        <v>7939.44</v>
      </c>
      <c r="N180" s="202"/>
      <c r="O180" s="202"/>
      <c r="P180" s="202"/>
      <c r="Q180" s="202"/>
      <c r="R180" s="188">
        <f>IF((M181=""),"",MAX(E182:M182))</f>
        <v>6827</v>
      </c>
      <c r="S180" s="188">
        <f>IF((M181=""),"",MIN(E182:M182))</f>
        <v>6130.82</v>
      </c>
      <c r="T180" s="189">
        <f>IF((M182=""),"",AVERAGE(E182:M182))</f>
        <v>6497.4777777777772</v>
      </c>
      <c r="U180" s="189">
        <f>IF((M181=""),"",(R180-S180)/(R180+S180)*100)</f>
        <v>5.3726629942382313</v>
      </c>
      <c r="V180" s="66">
        <f>STDEV(E182:Q182)</f>
        <v>230.78892899022199</v>
      </c>
      <c r="W180" s="170" t="str">
        <f>IF(M181="","",IF(U180&lt;6.3,IF(T180&gt;5550,IF(T180&lt;6900,"Pass","Fail"),"Fail"),"Fail"))</f>
        <v>Pass</v>
      </c>
      <c r="X180" s="91">
        <v>1400</v>
      </c>
      <c r="AA180" s="67">
        <v>5860</v>
      </c>
      <c r="AB180" s="67">
        <v>6770</v>
      </c>
      <c r="AC180" s="67">
        <v>5550</v>
      </c>
      <c r="AD180" s="67">
        <v>6900</v>
      </c>
      <c r="AE180" s="67">
        <v>20</v>
      </c>
      <c r="AF180" s="67">
        <v>6.3</v>
      </c>
    </row>
    <row r="181" spans="1:32">
      <c r="A181" s="149"/>
      <c r="B181" s="82"/>
      <c r="C181" s="82"/>
      <c r="D181" s="204" t="s">
        <v>115</v>
      </c>
      <c r="E181" s="59">
        <v>4654.2299999999996</v>
      </c>
      <c r="F181" s="59">
        <v>4646.66</v>
      </c>
      <c r="G181" s="59">
        <v>4696.34</v>
      </c>
      <c r="H181" s="59">
        <v>5046.34</v>
      </c>
      <c r="I181" s="59">
        <v>5009.1099999999997</v>
      </c>
      <c r="J181" s="59">
        <v>4916.5200000000004</v>
      </c>
      <c r="K181" s="59">
        <v>4726.71</v>
      </c>
      <c r="L181" s="59">
        <v>4910.3599999999997</v>
      </c>
      <c r="M181" s="59">
        <v>4525.9399999999996</v>
      </c>
      <c r="N181" s="205"/>
      <c r="O181" s="205"/>
      <c r="P181" s="205"/>
      <c r="Q181" s="205"/>
      <c r="R181" s="190"/>
      <c r="S181" s="190"/>
      <c r="T181" s="191"/>
      <c r="U181" s="191"/>
      <c r="W181" s="177"/>
      <c r="X181" s="92"/>
    </row>
    <row r="182" spans="1:32" ht="48">
      <c r="A182" s="149"/>
      <c r="B182" s="207"/>
      <c r="C182" s="207"/>
      <c r="D182" s="204" t="s">
        <v>116</v>
      </c>
      <c r="E182" s="51">
        <f t="shared" ref="E182:M182" si="58">IF(((E180="")*AND(E181="")),"",(E180-E181)*2)</f>
        <v>6615.4000000000015</v>
      </c>
      <c r="F182" s="51">
        <f t="shared" si="58"/>
        <v>6673.7800000000007</v>
      </c>
      <c r="G182" s="51">
        <f t="shared" si="58"/>
        <v>6651.0399999999991</v>
      </c>
      <c r="H182" s="51">
        <f t="shared" si="58"/>
        <v>6130.82</v>
      </c>
      <c r="I182" s="51">
        <f t="shared" si="58"/>
        <v>6221.5</v>
      </c>
      <c r="J182" s="51">
        <f t="shared" si="58"/>
        <v>6364.1999999999989</v>
      </c>
      <c r="K182" s="51">
        <f t="shared" si="58"/>
        <v>6598.24</v>
      </c>
      <c r="L182" s="51">
        <f t="shared" si="58"/>
        <v>6395.3200000000015</v>
      </c>
      <c r="M182" s="51">
        <f t="shared" si="58"/>
        <v>6827</v>
      </c>
      <c r="N182" s="51"/>
      <c r="O182" s="51"/>
      <c r="P182" s="51"/>
      <c r="Q182" s="51" t="str">
        <f>IF(((Q180="")*AND(Q181="")),"",(Q180-Q181)*2)</f>
        <v/>
      </c>
      <c r="R182" s="192"/>
      <c r="S182" s="192"/>
      <c r="T182" s="193"/>
      <c r="U182" s="193"/>
      <c r="W182" s="178"/>
      <c r="X182" s="92"/>
    </row>
    <row r="183" spans="1:32">
      <c r="A183" s="149">
        <v>42555</v>
      </c>
      <c r="B183" s="81" t="s">
        <v>117</v>
      </c>
      <c r="C183" s="81" t="s">
        <v>118</v>
      </c>
      <c r="D183" s="204" t="s">
        <v>114</v>
      </c>
      <c r="E183" s="59">
        <v>2770.28</v>
      </c>
      <c r="F183" s="59">
        <v>2722.29</v>
      </c>
      <c r="G183" s="59">
        <v>2699.89</v>
      </c>
      <c r="H183" s="59">
        <v>2688.39</v>
      </c>
      <c r="I183" s="59">
        <v>2706.85</v>
      </c>
      <c r="J183" s="59">
        <v>2742.29</v>
      </c>
      <c r="K183" s="59">
        <v>2810.81</v>
      </c>
      <c r="L183" s="59">
        <v>2816.33</v>
      </c>
      <c r="M183" s="59">
        <v>2748.2</v>
      </c>
      <c r="N183" s="59">
        <v>2707.9</v>
      </c>
      <c r="O183" s="59">
        <v>2695.11</v>
      </c>
      <c r="P183" s="59">
        <v>2729.86</v>
      </c>
      <c r="Q183" s="59">
        <v>2784.4</v>
      </c>
      <c r="R183" s="194">
        <f>IF((Q184=""),"",MAX(E185:Q185))</f>
        <v>291.65000000000009</v>
      </c>
      <c r="S183" s="194">
        <f>IF(Q184="","",MIN(E185:Q185))</f>
        <v>259.53999999999996</v>
      </c>
      <c r="T183" s="195">
        <f>IF((Q185=""),"",AVERAGE(E185:Q185))</f>
        <v>270.45769230769235</v>
      </c>
      <c r="U183" s="195">
        <f>IF((Q184=""),"",(R183-S183)/(R183+S183)*100)</f>
        <v>5.8255773871079164</v>
      </c>
      <c r="V183" s="66">
        <f t="shared" ref="V183" si="59">STDEV(E185:Q185)</f>
        <v>10.156984586846379</v>
      </c>
      <c r="W183" s="83" t="str">
        <f>IF(Q184="","",IF(T183&gt;242,IF(T183&lt;320,"Pass","Fail"),"Fail"))</f>
        <v>Pass</v>
      </c>
      <c r="X183" s="92">
        <v>1400</v>
      </c>
      <c r="AA183" s="67">
        <v>240</v>
      </c>
      <c r="AB183" s="67">
        <v>320</v>
      </c>
      <c r="AC183" s="67">
        <v>190</v>
      </c>
      <c r="AD183" s="67">
        <v>360</v>
      </c>
      <c r="AE183" s="67">
        <v>20</v>
      </c>
      <c r="AF183" s="67">
        <v>11</v>
      </c>
    </row>
    <row r="184" spans="1:32">
      <c r="A184" s="149"/>
      <c r="B184" s="82"/>
      <c r="C184" s="82"/>
      <c r="D184" s="204" t="s">
        <v>115</v>
      </c>
      <c r="E184" s="59">
        <v>2489.75</v>
      </c>
      <c r="F184" s="59">
        <v>2456.91</v>
      </c>
      <c r="G184" s="59">
        <v>2433.8000000000002</v>
      </c>
      <c r="H184" s="59">
        <v>2428.85</v>
      </c>
      <c r="I184" s="59">
        <v>2443.08</v>
      </c>
      <c r="J184" s="59">
        <v>2476.37</v>
      </c>
      <c r="K184" s="59">
        <v>2519.16</v>
      </c>
      <c r="L184" s="59">
        <v>2531.02</v>
      </c>
      <c r="M184" s="59">
        <v>2479.77</v>
      </c>
      <c r="N184" s="59">
        <v>2444.85</v>
      </c>
      <c r="O184" s="59">
        <v>2435.11</v>
      </c>
      <c r="P184" s="59">
        <v>2461.9499999999998</v>
      </c>
      <c r="Q184" s="59">
        <v>2506.0300000000002</v>
      </c>
      <c r="R184" s="190"/>
      <c r="S184" s="190"/>
      <c r="T184" s="191"/>
      <c r="U184" s="191"/>
      <c r="W184" s="177"/>
      <c r="X184" s="92"/>
    </row>
    <row r="185" spans="1:32" ht="48">
      <c r="A185" s="149"/>
      <c r="B185" s="207"/>
      <c r="C185" s="207"/>
      <c r="D185" s="204" t="s">
        <v>116</v>
      </c>
      <c r="E185" s="51">
        <f t="shared" ref="E185:Q185" si="60">IF(((E183="")*AND(E184="")),"",(E183-E184))</f>
        <v>280.5300000000002</v>
      </c>
      <c r="F185" s="51">
        <f t="shared" si="60"/>
        <v>265.38000000000011</v>
      </c>
      <c r="G185" s="51">
        <f t="shared" si="60"/>
        <v>266.08999999999969</v>
      </c>
      <c r="H185" s="51">
        <f t="shared" si="60"/>
        <v>259.53999999999996</v>
      </c>
      <c r="I185" s="51">
        <f t="shared" si="60"/>
        <v>263.77</v>
      </c>
      <c r="J185" s="51">
        <f t="shared" si="60"/>
        <v>265.92000000000007</v>
      </c>
      <c r="K185" s="51">
        <f t="shared" si="60"/>
        <v>291.65000000000009</v>
      </c>
      <c r="L185" s="51">
        <f t="shared" si="60"/>
        <v>285.30999999999995</v>
      </c>
      <c r="M185" s="51">
        <f t="shared" si="60"/>
        <v>268.42999999999984</v>
      </c>
      <c r="N185" s="85">
        <f t="shared" si="60"/>
        <v>263.05000000000018</v>
      </c>
      <c r="O185" s="85">
        <f t="shared" si="60"/>
        <v>260</v>
      </c>
      <c r="P185" s="85">
        <f t="shared" si="60"/>
        <v>267.91000000000031</v>
      </c>
      <c r="Q185" s="85">
        <f t="shared" si="60"/>
        <v>278.36999999999989</v>
      </c>
      <c r="R185" s="192"/>
      <c r="S185" s="192"/>
      <c r="T185" s="193"/>
      <c r="U185" s="193"/>
      <c r="W185" s="178"/>
      <c r="X185" s="92"/>
    </row>
    <row r="186" spans="1:32">
      <c r="A186" s="149">
        <v>42555</v>
      </c>
      <c r="B186" s="81" t="s">
        <v>119</v>
      </c>
      <c r="C186" s="81" t="s">
        <v>120</v>
      </c>
      <c r="D186" s="204" t="s">
        <v>114</v>
      </c>
      <c r="E186" s="59">
        <v>7061.49</v>
      </c>
      <c r="F186" s="59">
        <v>6922.36</v>
      </c>
      <c r="G186" s="59">
        <v>7003.2</v>
      </c>
      <c r="H186" s="59">
        <v>7031.92</v>
      </c>
      <c r="I186" s="59">
        <v>7276.71</v>
      </c>
      <c r="J186" s="59">
        <v>7167.71</v>
      </c>
      <c r="K186" s="59">
        <v>6994.48</v>
      </c>
      <c r="L186" s="59">
        <v>7045.96</v>
      </c>
      <c r="M186" s="59">
        <v>7330.63</v>
      </c>
      <c r="N186" s="210"/>
      <c r="O186" s="210"/>
      <c r="P186" s="210"/>
      <c r="Q186" s="210"/>
      <c r="R186" s="196">
        <f>IF((M187=""),"",MAX(E188:M188))</f>
        <v>3586.76</v>
      </c>
      <c r="S186" s="194">
        <f>IF(M187="","",MIN(E188:M188))</f>
        <v>3221.2199999999993</v>
      </c>
      <c r="T186" s="195">
        <f>IF((M188=""),"",AVERAGE(E188:M188))</f>
        <v>3389.6911111111108</v>
      </c>
      <c r="U186" s="195">
        <f>IF((M187=""),"",(R186-S186)/(R186+S186)*100)</f>
        <v>5.3692872188226302</v>
      </c>
      <c r="V186" s="66">
        <f t="shared" ref="V186" si="61">STDEV(E188:Q188)</f>
        <v>142.59256436123925</v>
      </c>
      <c r="W186" s="83" t="str">
        <f>IF(M187="","",IF(T186&gt;3650,IF(T186&lt;4450,"Pass","Fail"),"Fail"))</f>
        <v>Fail</v>
      </c>
      <c r="X186" s="92">
        <v>1400</v>
      </c>
      <c r="Z186" s="59" t="s">
        <v>128</v>
      </c>
      <c r="AA186" s="86">
        <v>3650</v>
      </c>
      <c r="AB186" s="86">
        <v>4450</v>
      </c>
      <c r="AC186" s="86">
        <v>3700</v>
      </c>
      <c r="AD186" s="86">
        <v>4250</v>
      </c>
      <c r="AE186" s="86">
        <v>7.2</v>
      </c>
      <c r="AF186" s="86">
        <v>3</v>
      </c>
    </row>
    <row r="187" spans="1:32">
      <c r="A187" s="149"/>
      <c r="B187" s="82"/>
      <c r="C187" s="82"/>
      <c r="D187" s="204" t="s">
        <v>115</v>
      </c>
      <c r="E187" s="59">
        <v>5291.58</v>
      </c>
      <c r="F187" s="59">
        <v>5278.17</v>
      </c>
      <c r="G187" s="59">
        <v>5392.59</v>
      </c>
      <c r="H187" s="59">
        <v>5375.48</v>
      </c>
      <c r="I187" s="59">
        <v>5483.33</v>
      </c>
      <c r="J187" s="59">
        <v>5431.63</v>
      </c>
      <c r="K187" s="59">
        <v>5358.86</v>
      </c>
      <c r="L187" s="59">
        <v>5408.68</v>
      </c>
      <c r="M187" s="59">
        <v>5560.53</v>
      </c>
      <c r="N187" s="205"/>
      <c r="O187" s="205"/>
      <c r="P187" s="205"/>
      <c r="Q187" s="205"/>
      <c r="R187" s="190"/>
      <c r="S187" s="190"/>
      <c r="T187" s="191"/>
      <c r="U187" s="191"/>
      <c r="W187" s="177"/>
      <c r="X187" s="92"/>
    </row>
    <row r="188" spans="1:32" ht="48">
      <c r="A188" s="149"/>
      <c r="B188" s="207"/>
      <c r="C188" s="207"/>
      <c r="D188" s="204" t="s">
        <v>116</v>
      </c>
      <c r="E188" s="51">
        <f t="shared" ref="E188:M188" si="62">IF(((E186="")*AND(E187="")),"",(E186-E187)*2)</f>
        <v>3539.8199999999997</v>
      </c>
      <c r="F188" s="51">
        <f t="shared" si="62"/>
        <v>3288.3799999999992</v>
      </c>
      <c r="G188" s="51">
        <f t="shared" si="62"/>
        <v>3221.2199999999993</v>
      </c>
      <c r="H188" s="51">
        <f t="shared" si="62"/>
        <v>3312.880000000001</v>
      </c>
      <c r="I188" s="51">
        <f t="shared" si="62"/>
        <v>3586.76</v>
      </c>
      <c r="J188" s="51">
        <f t="shared" si="62"/>
        <v>3472.16</v>
      </c>
      <c r="K188" s="51">
        <f t="shared" si="62"/>
        <v>3271.24</v>
      </c>
      <c r="L188" s="51">
        <f t="shared" si="62"/>
        <v>3274.5599999999995</v>
      </c>
      <c r="M188" s="51">
        <f t="shared" si="62"/>
        <v>3540.2000000000007</v>
      </c>
      <c r="N188" s="51"/>
      <c r="O188" s="51"/>
      <c r="P188" s="51"/>
      <c r="Q188" s="51"/>
      <c r="R188" s="192"/>
      <c r="S188" s="192"/>
      <c r="T188" s="193"/>
      <c r="U188" s="193"/>
      <c r="W188" s="178"/>
      <c r="X188" s="92"/>
    </row>
    <row r="189" spans="1:32">
      <c r="A189" s="149">
        <v>42555</v>
      </c>
      <c r="B189" s="81" t="s">
        <v>121</v>
      </c>
      <c r="C189" s="81" t="s">
        <v>121</v>
      </c>
      <c r="D189" s="204" t="s">
        <v>114</v>
      </c>
      <c r="E189" s="59">
        <v>1917.51</v>
      </c>
      <c r="F189" s="59">
        <v>1914.24</v>
      </c>
      <c r="G189" s="59">
        <v>1916.37</v>
      </c>
      <c r="H189" s="59">
        <v>1919.79</v>
      </c>
      <c r="I189" s="59">
        <v>1928.9</v>
      </c>
      <c r="J189" s="59">
        <v>1914.52</v>
      </c>
      <c r="K189" s="59">
        <v>1912.58</v>
      </c>
      <c r="L189" s="59">
        <v>1921.13</v>
      </c>
      <c r="M189" s="59">
        <v>1933.56</v>
      </c>
      <c r="N189" s="205"/>
      <c r="O189" s="205"/>
      <c r="P189" s="205"/>
      <c r="Q189" s="205"/>
      <c r="R189" s="194">
        <f>IF((M190=""),"",MAX(E191:M191))</f>
        <v>2688.3599999999997</v>
      </c>
      <c r="S189" s="194">
        <f>IF((M190=""),"",MIN(E191:M191))</f>
        <v>2500.12</v>
      </c>
      <c r="T189" s="195">
        <f>IF((M191=""),"",AVERAGE(E191:M191))</f>
        <v>2584.6311111111108</v>
      </c>
      <c r="U189" s="195">
        <f>IF((M190=""),"",(R189-S189)/(R189+S189)*100)</f>
        <v>3.6280374984581183</v>
      </c>
      <c r="V189" s="66">
        <f t="shared" ref="V189" si="63">STDEV(E191:Q191)</f>
        <v>60.049355626111868</v>
      </c>
      <c r="W189" s="174" t="str">
        <f>IF(M190="","",IF(U189&lt;5.5,IF(T189&gt;2200,IF(T189&lt;2900,"Pass","Fail"),"Fail"),"Fail"))</f>
        <v>Pass</v>
      </c>
      <c r="X189" s="92">
        <v>1400</v>
      </c>
      <c r="AA189" s="67">
        <v>2000</v>
      </c>
      <c r="AB189" s="67">
        <v>3000</v>
      </c>
      <c r="AC189" s="67">
        <v>2200</v>
      </c>
      <c r="AD189" s="67">
        <v>2900</v>
      </c>
      <c r="AE189" s="67">
        <v>7</v>
      </c>
      <c r="AF189" s="67">
        <v>5.5</v>
      </c>
    </row>
    <row r="190" spans="1:32">
      <c r="A190" s="149"/>
      <c r="B190" s="82"/>
      <c r="C190" s="82"/>
      <c r="D190" s="204" t="s">
        <v>115</v>
      </c>
      <c r="E190" s="59">
        <v>1269.3900000000001</v>
      </c>
      <c r="F190" s="59">
        <v>1276.6500000000001</v>
      </c>
      <c r="G190" s="59">
        <v>1291.3399999999999</v>
      </c>
      <c r="H190" s="59">
        <v>1272.03</v>
      </c>
      <c r="I190" s="59">
        <v>1265.1600000000001</v>
      </c>
      <c r="J190" s="59">
        <v>1242.43</v>
      </c>
      <c r="K190" s="59">
        <v>1261.3499999999999</v>
      </c>
      <c r="L190" s="59">
        <v>1289.1400000000001</v>
      </c>
      <c r="M190" s="59">
        <v>1295.69</v>
      </c>
      <c r="N190" s="205"/>
      <c r="O190" s="205"/>
      <c r="P190" s="205"/>
      <c r="Q190" s="205"/>
      <c r="R190" s="190"/>
      <c r="S190" s="190"/>
      <c r="T190" s="191"/>
      <c r="U190" s="191"/>
      <c r="W190" s="179"/>
      <c r="X190" s="92"/>
    </row>
    <row r="191" spans="1:32" ht="48.75" thickBot="1">
      <c r="A191" s="149"/>
      <c r="B191" s="211"/>
      <c r="C191" s="211"/>
      <c r="D191" s="212" t="s">
        <v>116</v>
      </c>
      <c r="E191" s="87">
        <f t="shared" ref="E191:M191" si="64">IF(((E189="")*AND(E190="")),"",(E189-E190)*4)</f>
        <v>2592.4799999999996</v>
      </c>
      <c r="F191" s="87">
        <f t="shared" si="64"/>
        <v>2550.3599999999997</v>
      </c>
      <c r="G191" s="87">
        <f t="shared" si="64"/>
        <v>2500.12</v>
      </c>
      <c r="H191" s="87">
        <f t="shared" si="64"/>
        <v>2591.04</v>
      </c>
      <c r="I191" s="87">
        <f t="shared" si="64"/>
        <v>2654.96</v>
      </c>
      <c r="J191" s="87">
        <f t="shared" si="64"/>
        <v>2688.3599999999997</v>
      </c>
      <c r="K191" s="87">
        <f t="shared" si="64"/>
        <v>2604.92</v>
      </c>
      <c r="L191" s="87">
        <f t="shared" si="64"/>
        <v>2527.96</v>
      </c>
      <c r="M191" s="87">
        <f t="shared" si="64"/>
        <v>2551.4799999999996</v>
      </c>
      <c r="N191" s="87"/>
      <c r="O191" s="87"/>
      <c r="P191" s="87"/>
      <c r="Q191" s="87" t="str">
        <f>IF(((Q189="")*AND(Q190="")),"",(Q189-Q190)*4)</f>
        <v/>
      </c>
      <c r="R191" s="197"/>
      <c r="S191" s="197"/>
      <c r="T191" s="198"/>
      <c r="U191" s="198"/>
      <c r="W191" s="180"/>
      <c r="X191" s="93"/>
    </row>
    <row r="192" spans="1:32">
      <c r="A192" s="149">
        <v>42564</v>
      </c>
      <c r="B192" s="81" t="s">
        <v>117</v>
      </c>
      <c r="C192" s="81" t="s">
        <v>118</v>
      </c>
      <c r="D192" s="204" t="s">
        <v>114</v>
      </c>
      <c r="E192" s="59">
        <v>2767.39</v>
      </c>
      <c r="F192" s="59">
        <v>2714.84</v>
      </c>
      <c r="G192" s="59">
        <v>2688.66</v>
      </c>
      <c r="H192" s="59">
        <v>2683.26</v>
      </c>
      <c r="I192" s="59">
        <v>2697.15</v>
      </c>
      <c r="J192" s="59">
        <v>2729.89</v>
      </c>
      <c r="K192" s="59">
        <v>2794.32</v>
      </c>
      <c r="L192" s="59">
        <v>2809.52</v>
      </c>
      <c r="M192" s="59">
        <v>2740.8</v>
      </c>
      <c r="N192" s="59">
        <v>2703.07</v>
      </c>
      <c r="O192" s="59">
        <v>2690.67</v>
      </c>
      <c r="P192" s="59">
        <v>2716.16</v>
      </c>
      <c r="Q192" s="59">
        <v>2776.33</v>
      </c>
      <c r="R192" s="194">
        <f>IF((Q193=""),"",MAX(E194:Q194))</f>
        <v>280.15000000000009</v>
      </c>
      <c r="S192" s="194">
        <f>IF(Q193="","",MIN(E194:Q194))</f>
        <v>257.90999999999985</v>
      </c>
      <c r="T192" s="195">
        <f>IF((Q194=""),"",AVERAGE(E194:Q194))</f>
        <v>264.65538461538466</v>
      </c>
      <c r="U192" s="195">
        <f>IF((Q193=""),"",(R192-S192)/(R192+S192)*100)</f>
        <v>4.133368025870765</v>
      </c>
      <c r="V192" s="66">
        <f t="shared" ref="V192:V198" si="65">STDEV(E194:Q194)</f>
        <v>6.0189597874620997</v>
      </c>
      <c r="W192" s="83" t="str">
        <f>IF(Q193="","",IF(T192&gt;242,IF(T192&lt;320,"Pass","Fail"),"Fail"))</f>
        <v>Pass</v>
      </c>
      <c r="X192" s="92">
        <v>1159</v>
      </c>
      <c r="AA192" s="67">
        <v>240</v>
      </c>
      <c r="AB192" s="67">
        <v>320</v>
      </c>
      <c r="AC192" s="67">
        <v>190</v>
      </c>
      <c r="AD192" s="67">
        <v>360</v>
      </c>
      <c r="AE192" s="67">
        <v>20</v>
      </c>
      <c r="AF192" s="67">
        <v>11</v>
      </c>
    </row>
    <row r="193" spans="1:32">
      <c r="A193" s="149"/>
      <c r="B193" s="82"/>
      <c r="C193" s="82"/>
      <c r="D193" s="204" t="s">
        <v>115</v>
      </c>
      <c r="E193" s="59">
        <v>2502.7399999999998</v>
      </c>
      <c r="F193" s="59">
        <v>2454.94</v>
      </c>
      <c r="G193" s="59">
        <v>2430.75</v>
      </c>
      <c r="H193" s="59">
        <v>2420.87</v>
      </c>
      <c r="I193" s="59">
        <v>2433.16</v>
      </c>
      <c r="J193" s="59">
        <v>2465.2199999999998</v>
      </c>
      <c r="K193" s="59">
        <v>2514.17</v>
      </c>
      <c r="L193" s="59">
        <v>2539.94</v>
      </c>
      <c r="M193" s="59">
        <v>2480.2399999999998</v>
      </c>
      <c r="N193" s="59">
        <v>2439.58</v>
      </c>
      <c r="O193" s="59">
        <v>2428.63</v>
      </c>
      <c r="P193" s="59">
        <v>2456.48</v>
      </c>
      <c r="Q193" s="59">
        <v>2504.8200000000002</v>
      </c>
      <c r="R193" s="190"/>
      <c r="S193" s="190"/>
      <c r="T193" s="191"/>
      <c r="U193" s="191"/>
      <c r="W193" s="177"/>
      <c r="X193" s="92"/>
    </row>
    <row r="194" spans="1:32" ht="48">
      <c r="A194" s="149"/>
      <c r="B194" s="207"/>
      <c r="C194" s="207"/>
      <c r="D194" s="204" t="s">
        <v>116</v>
      </c>
      <c r="E194" s="51">
        <f t="shared" ref="E194:Q194" si="66">IF(((E192="")*AND(E193="")),"",(E192-E193))</f>
        <v>264.65000000000009</v>
      </c>
      <c r="F194" s="51">
        <f t="shared" si="66"/>
        <v>259.90000000000009</v>
      </c>
      <c r="G194" s="51">
        <f t="shared" si="66"/>
        <v>257.90999999999985</v>
      </c>
      <c r="H194" s="51">
        <f t="shared" si="66"/>
        <v>262.39000000000033</v>
      </c>
      <c r="I194" s="51">
        <f t="shared" si="66"/>
        <v>263.99000000000024</v>
      </c>
      <c r="J194" s="51">
        <f t="shared" si="66"/>
        <v>264.67000000000007</v>
      </c>
      <c r="K194" s="51">
        <f t="shared" si="66"/>
        <v>280.15000000000009</v>
      </c>
      <c r="L194" s="51">
        <f t="shared" si="66"/>
        <v>269.57999999999993</v>
      </c>
      <c r="M194" s="51">
        <f t="shared" si="66"/>
        <v>260.5600000000004</v>
      </c>
      <c r="N194" s="85">
        <f t="shared" si="66"/>
        <v>263.49000000000024</v>
      </c>
      <c r="O194" s="85">
        <f t="shared" si="66"/>
        <v>262.03999999999996</v>
      </c>
      <c r="P194" s="85">
        <f t="shared" si="66"/>
        <v>259.67999999999984</v>
      </c>
      <c r="Q194" s="85">
        <f t="shared" si="66"/>
        <v>271.50999999999976</v>
      </c>
      <c r="R194" s="192"/>
      <c r="S194" s="192"/>
      <c r="T194" s="193"/>
      <c r="U194" s="193"/>
      <c r="W194" s="178"/>
      <c r="X194" s="92"/>
    </row>
    <row r="195" spans="1:32">
      <c r="A195" s="149">
        <v>42564</v>
      </c>
      <c r="B195" s="81" t="s">
        <v>119</v>
      </c>
      <c r="C195" s="81" t="s">
        <v>120</v>
      </c>
      <c r="D195" s="204" t="s">
        <v>114</v>
      </c>
      <c r="E195" s="59">
        <v>7118.86</v>
      </c>
      <c r="F195" s="59">
        <v>6947.08</v>
      </c>
      <c r="G195" s="59">
        <v>6886.52</v>
      </c>
      <c r="H195" s="59">
        <v>6907.06</v>
      </c>
      <c r="I195" s="59">
        <v>7021.35</v>
      </c>
      <c r="J195" s="59">
        <v>7101.84</v>
      </c>
      <c r="K195" s="59">
        <v>6936.88</v>
      </c>
      <c r="L195" s="59">
        <v>6912.16</v>
      </c>
      <c r="M195" s="59">
        <v>7006.92</v>
      </c>
      <c r="N195" s="210"/>
      <c r="O195" s="210"/>
      <c r="P195" s="210"/>
      <c r="Q195" s="210"/>
      <c r="R195" s="196">
        <f>IF((M196=""),"",MAX(E197:M197))</f>
        <v>3690.26</v>
      </c>
      <c r="S195" s="194">
        <f>IF(M196="","",MIN(E197:M197))</f>
        <v>3243.2000000000007</v>
      </c>
      <c r="T195" s="195">
        <f>IF((M197=""),"",AVERAGE(E197:M197))</f>
        <v>3447.8088888888888</v>
      </c>
      <c r="U195" s="195">
        <f>IF((M196=""),"",(R195-S195)/(R195+S195)*100)</f>
        <v>6.4478629717341622</v>
      </c>
      <c r="V195" s="66">
        <f t="shared" si="65"/>
        <v>173.58270481562982</v>
      </c>
      <c r="W195" s="83" t="str">
        <f>IF(M196="","",IF(T195&gt;3650,IF(T195&lt;4450,"Pass","Fail"),"Fail"))</f>
        <v>Fail</v>
      </c>
      <c r="X195" s="92">
        <v>1159</v>
      </c>
      <c r="AA195" s="86">
        <v>3650</v>
      </c>
      <c r="AB195" s="86">
        <v>4450</v>
      </c>
      <c r="AC195" s="86">
        <v>3700</v>
      </c>
      <c r="AD195" s="86">
        <v>4250</v>
      </c>
      <c r="AE195" s="86">
        <v>7.2</v>
      </c>
      <c r="AF195" s="86">
        <v>3</v>
      </c>
    </row>
    <row r="196" spans="1:32">
      <c r="A196" s="149"/>
      <c r="B196" s="82"/>
      <c r="C196" s="82"/>
      <c r="D196" s="204" t="s">
        <v>115</v>
      </c>
      <c r="E196" s="59">
        <v>5301.75</v>
      </c>
      <c r="F196" s="59">
        <v>5282.67</v>
      </c>
      <c r="G196" s="59">
        <v>5264.92</v>
      </c>
      <c r="H196" s="59">
        <v>5236.3900000000003</v>
      </c>
      <c r="I196" s="59">
        <v>5176.22</v>
      </c>
      <c r="J196" s="59">
        <v>5316.3</v>
      </c>
      <c r="K196" s="59">
        <v>5282.4</v>
      </c>
      <c r="L196" s="59">
        <v>5259.51</v>
      </c>
      <c r="M196" s="59">
        <v>5203.37</v>
      </c>
      <c r="N196" s="205"/>
      <c r="O196" s="205"/>
      <c r="P196" s="205"/>
      <c r="Q196" s="205"/>
      <c r="R196" s="190"/>
      <c r="S196" s="190"/>
      <c r="T196" s="191"/>
      <c r="U196" s="191"/>
      <c r="W196" s="177"/>
      <c r="X196" s="92"/>
    </row>
    <row r="197" spans="1:32" ht="48">
      <c r="A197" s="149"/>
      <c r="B197" s="207"/>
      <c r="C197" s="207"/>
      <c r="D197" s="204" t="s">
        <v>116</v>
      </c>
      <c r="E197" s="51">
        <f t="shared" ref="E197:M197" si="67">IF(((E195="")*AND(E196="")),"",(E195-E196)*2)</f>
        <v>3634.2199999999993</v>
      </c>
      <c r="F197" s="51">
        <f t="shared" si="67"/>
        <v>3328.8199999999997</v>
      </c>
      <c r="G197" s="51">
        <f t="shared" si="67"/>
        <v>3243.2000000000007</v>
      </c>
      <c r="H197" s="51">
        <f t="shared" si="67"/>
        <v>3341.34</v>
      </c>
      <c r="I197" s="51">
        <f t="shared" si="67"/>
        <v>3690.26</v>
      </c>
      <c r="J197" s="51">
        <f t="shared" si="67"/>
        <v>3571.08</v>
      </c>
      <c r="K197" s="51">
        <f t="shared" si="67"/>
        <v>3308.9600000000009</v>
      </c>
      <c r="L197" s="51">
        <f t="shared" si="67"/>
        <v>3305.2999999999993</v>
      </c>
      <c r="M197" s="51">
        <f t="shared" si="67"/>
        <v>3607.1000000000004</v>
      </c>
      <c r="N197" s="51"/>
      <c r="O197" s="51"/>
      <c r="P197" s="51"/>
      <c r="Q197" s="51"/>
      <c r="R197" s="192"/>
      <c r="S197" s="192"/>
      <c r="T197" s="193"/>
      <c r="U197" s="193"/>
      <c r="W197" s="178"/>
      <c r="X197" s="92"/>
    </row>
    <row r="198" spans="1:32">
      <c r="A198" s="149">
        <v>42564</v>
      </c>
      <c r="B198" s="81" t="s">
        <v>121</v>
      </c>
      <c r="C198" s="81" t="s">
        <v>121</v>
      </c>
      <c r="D198" s="204" t="s">
        <v>114</v>
      </c>
      <c r="E198" s="59">
        <v>1912.43</v>
      </c>
      <c r="F198" s="59">
        <v>1905.71</v>
      </c>
      <c r="G198" s="59">
        <v>1894.64</v>
      </c>
      <c r="H198" s="59">
        <v>1906.28</v>
      </c>
      <c r="I198" s="59">
        <v>1916.94</v>
      </c>
      <c r="J198" s="59">
        <v>1914.04</v>
      </c>
      <c r="K198" s="59">
        <v>1905.36</v>
      </c>
      <c r="L198" s="59">
        <v>1907.74</v>
      </c>
      <c r="M198" s="59">
        <v>1920.01</v>
      </c>
      <c r="N198" s="205"/>
      <c r="O198" s="205"/>
      <c r="P198" s="205"/>
      <c r="Q198" s="205"/>
      <c r="R198" s="194">
        <f>IF((M199=""),"",MAX(E200:M200))</f>
        <v>2600.5999999999995</v>
      </c>
      <c r="S198" s="194">
        <f>IF((M199=""),"",MIN(E200:M200))</f>
        <v>2490.88</v>
      </c>
      <c r="T198" s="195">
        <f>IF((M200=""),"",AVERAGE(E200:M200))</f>
        <v>2540.2533333333331</v>
      </c>
      <c r="U198" s="195">
        <f>IF((M199=""),"",(R198-S198)/(R198+S198)*100)</f>
        <v>2.1549726209274978</v>
      </c>
      <c r="V198" s="66">
        <f t="shared" si="65"/>
        <v>35.644034564006638</v>
      </c>
      <c r="W198" s="174" t="str">
        <f>IF(M199="","",IF(U198&lt;5.5,IF(T198&gt;2200,IF(T198&lt;2900,"Pass","Fail"),"Fail"),"Fail"))</f>
        <v>Pass</v>
      </c>
      <c r="X198" s="92">
        <v>1159</v>
      </c>
      <c r="AA198" s="67">
        <v>2000</v>
      </c>
      <c r="AB198" s="67">
        <v>3000</v>
      </c>
      <c r="AC198" s="67">
        <v>2200</v>
      </c>
      <c r="AD198" s="67">
        <v>2900</v>
      </c>
      <c r="AE198" s="67">
        <v>7</v>
      </c>
      <c r="AF198" s="67">
        <v>5.5</v>
      </c>
    </row>
    <row r="199" spans="1:32">
      <c r="A199" s="149"/>
      <c r="B199" s="82"/>
      <c r="C199" s="82"/>
      <c r="D199" s="204" t="s">
        <v>115</v>
      </c>
      <c r="E199" s="59">
        <v>1269.8800000000001</v>
      </c>
      <c r="F199" s="59">
        <v>1268.49</v>
      </c>
      <c r="G199" s="59">
        <v>1271.92</v>
      </c>
      <c r="H199" s="59">
        <v>1271.22</v>
      </c>
      <c r="I199" s="59">
        <v>1286.9000000000001</v>
      </c>
      <c r="J199" s="59">
        <v>1263.8900000000001</v>
      </c>
      <c r="K199" s="59">
        <v>1263.23</v>
      </c>
      <c r="L199" s="59">
        <v>1277.1199999999999</v>
      </c>
      <c r="M199" s="59">
        <v>1294.93</v>
      </c>
      <c r="N199" s="205"/>
      <c r="O199" s="205"/>
      <c r="P199" s="205"/>
      <c r="Q199" s="205"/>
      <c r="R199" s="190"/>
      <c r="S199" s="190"/>
      <c r="T199" s="191"/>
      <c r="U199" s="191"/>
      <c r="W199" s="179"/>
      <c r="X199" s="92"/>
    </row>
    <row r="200" spans="1:32" ht="48.75" thickBot="1">
      <c r="A200" s="149"/>
      <c r="B200" s="211"/>
      <c r="C200" s="211"/>
      <c r="D200" s="212" t="s">
        <v>116</v>
      </c>
      <c r="E200" s="87">
        <f t="shared" ref="E200:M200" si="68">IF(((E198="")*AND(E199="")),"",(E198-E199)*4)</f>
        <v>2570.1999999999998</v>
      </c>
      <c r="F200" s="87">
        <f t="shared" si="68"/>
        <v>2548.88</v>
      </c>
      <c r="G200" s="87">
        <f t="shared" si="68"/>
        <v>2490.88</v>
      </c>
      <c r="H200" s="87">
        <f t="shared" si="68"/>
        <v>2540.2399999999998</v>
      </c>
      <c r="I200" s="87">
        <f t="shared" si="68"/>
        <v>2520.16</v>
      </c>
      <c r="J200" s="87">
        <f t="shared" si="68"/>
        <v>2600.5999999999995</v>
      </c>
      <c r="K200" s="87">
        <f t="shared" si="68"/>
        <v>2568.5199999999995</v>
      </c>
      <c r="L200" s="87">
        <f t="shared" si="68"/>
        <v>2522.4800000000005</v>
      </c>
      <c r="M200" s="87">
        <f t="shared" si="68"/>
        <v>2500.3199999999997</v>
      </c>
      <c r="N200" s="87"/>
      <c r="O200" s="87"/>
      <c r="P200" s="87"/>
      <c r="Q200" s="87" t="str">
        <f>IF(((Q198="")*AND(Q199="")),"",(Q198-Q199)*4)</f>
        <v/>
      </c>
      <c r="R200" s="197"/>
      <c r="S200" s="197"/>
      <c r="T200" s="198"/>
      <c r="U200" s="198"/>
      <c r="W200" s="180"/>
      <c r="X200" s="93"/>
    </row>
    <row r="201" spans="1:32">
      <c r="A201" s="149">
        <v>42614</v>
      </c>
      <c r="B201" s="81" t="s">
        <v>121</v>
      </c>
      <c r="C201" s="81" t="s">
        <v>121</v>
      </c>
      <c r="D201" s="204" t="s">
        <v>114</v>
      </c>
      <c r="E201" s="59">
        <v>1951.23</v>
      </c>
      <c r="F201" s="59">
        <v>1947.15</v>
      </c>
      <c r="G201" s="59">
        <v>1945.91</v>
      </c>
      <c r="H201" s="59">
        <v>1946.45</v>
      </c>
      <c r="I201" s="59">
        <v>1953.28</v>
      </c>
      <c r="J201" s="59">
        <v>1954.25</v>
      </c>
      <c r="K201" s="59">
        <v>1944.08</v>
      </c>
      <c r="L201" s="59">
        <v>1946.74</v>
      </c>
      <c r="M201" s="59">
        <v>1958.7</v>
      </c>
      <c r="N201" s="205"/>
      <c r="O201" s="205"/>
      <c r="P201" s="205"/>
      <c r="Q201" s="205"/>
      <c r="R201" s="194">
        <f>IF((M202=""),"",MAX(E203:M203))</f>
        <v>2654.7199999999993</v>
      </c>
      <c r="S201" s="194">
        <f>IF((M202=""),"",MIN(E203:M203))</f>
        <v>2503.7600000000002</v>
      </c>
      <c r="T201" s="195">
        <f>IF((M203=""),"",AVERAGE(E203:M203))</f>
        <v>2588.7066666666669</v>
      </c>
      <c r="U201" s="195">
        <f>IF((M202=""),"",(R201-S201)/(R201+S201)*100)</f>
        <v>2.9264434484576687</v>
      </c>
      <c r="V201" s="66">
        <f t="shared" ref="V201:V210" si="69">STDEV(E203:Q203)</f>
        <v>50.303586353267995</v>
      </c>
      <c r="W201" s="174" t="str">
        <f>IF(M202="","",IF(U201&lt;5.5,IF(T201&gt;2200,IF(T201&lt;2900,"Pass","Fail"),"Fail"),"Fail"))</f>
        <v>Pass</v>
      </c>
      <c r="X201" s="94">
        <v>1400</v>
      </c>
      <c r="Y201" s="163" t="s">
        <v>129</v>
      </c>
      <c r="Z201" s="147"/>
      <c r="AA201" s="67">
        <v>2000</v>
      </c>
      <c r="AB201" s="67">
        <v>3000</v>
      </c>
      <c r="AC201" s="67">
        <v>2200</v>
      </c>
      <c r="AD201" s="67">
        <v>2900</v>
      </c>
      <c r="AE201" s="67">
        <v>7</v>
      </c>
      <c r="AF201" s="67">
        <v>5.5</v>
      </c>
    </row>
    <row r="202" spans="1:32">
      <c r="A202" s="149"/>
      <c r="B202" s="82"/>
      <c r="C202" s="82"/>
      <c r="D202" s="204" t="s">
        <v>115</v>
      </c>
      <c r="E202" s="59">
        <v>1313.33</v>
      </c>
      <c r="F202" s="59">
        <v>1293.77</v>
      </c>
      <c r="G202" s="59">
        <v>1304.6099999999999</v>
      </c>
      <c r="H202" s="59">
        <v>1287.98</v>
      </c>
      <c r="I202" s="59">
        <v>1316.54</v>
      </c>
      <c r="J202" s="59">
        <v>1295</v>
      </c>
      <c r="K202" s="59">
        <v>1280.4000000000001</v>
      </c>
      <c r="L202" s="59">
        <v>1298.81</v>
      </c>
      <c r="M202" s="59">
        <v>1332.76</v>
      </c>
      <c r="N202" s="205"/>
      <c r="O202" s="205"/>
      <c r="P202" s="205"/>
      <c r="Q202" s="205"/>
      <c r="R202" s="190"/>
      <c r="S202" s="190"/>
      <c r="T202" s="191"/>
      <c r="U202" s="191"/>
      <c r="W202" s="179"/>
      <c r="X202" s="94"/>
      <c r="Y202" s="164"/>
      <c r="Z202" s="147"/>
    </row>
    <row r="203" spans="1:32" ht="48.75" thickBot="1">
      <c r="A203" s="149"/>
      <c r="B203" s="211"/>
      <c r="C203" s="211"/>
      <c r="D203" s="212" t="s">
        <v>116</v>
      </c>
      <c r="E203" s="87">
        <f t="shared" ref="E203:M203" si="70">IF(((E201="")*AND(E202="")),"",(E201-E202)*4)</f>
        <v>2551.6000000000004</v>
      </c>
      <c r="F203" s="87">
        <f t="shared" si="70"/>
        <v>2613.5200000000004</v>
      </c>
      <c r="G203" s="87">
        <f t="shared" si="70"/>
        <v>2565.2000000000007</v>
      </c>
      <c r="H203" s="87">
        <f t="shared" si="70"/>
        <v>2633.88</v>
      </c>
      <c r="I203" s="87">
        <f t="shared" si="70"/>
        <v>2546.96</v>
      </c>
      <c r="J203" s="87">
        <f t="shared" si="70"/>
        <v>2637</v>
      </c>
      <c r="K203" s="87">
        <f t="shared" si="70"/>
        <v>2654.7199999999993</v>
      </c>
      <c r="L203" s="87">
        <f t="shared" si="70"/>
        <v>2591.7200000000003</v>
      </c>
      <c r="M203" s="87">
        <f t="shared" si="70"/>
        <v>2503.7600000000002</v>
      </c>
      <c r="N203" s="87"/>
      <c r="O203" s="87"/>
      <c r="P203" s="87"/>
      <c r="Q203" s="87" t="str">
        <f>IF(((Q201="")*AND(Q202="")),"",(Q201-Q202)*4)</f>
        <v/>
      </c>
      <c r="R203" s="197"/>
      <c r="S203" s="197"/>
      <c r="T203" s="198"/>
      <c r="U203" s="198"/>
      <c r="W203" s="180"/>
      <c r="X203" s="95"/>
      <c r="Y203" s="164"/>
      <c r="Z203" s="147"/>
    </row>
    <row r="204" spans="1:32">
      <c r="A204" s="149">
        <v>42614</v>
      </c>
      <c r="B204" s="200" t="s">
        <v>112</v>
      </c>
      <c r="C204" s="200" t="s">
        <v>113</v>
      </c>
      <c r="D204" s="201" t="s">
        <v>114</v>
      </c>
      <c r="E204" s="59">
        <v>7940.45</v>
      </c>
      <c r="F204" s="59">
        <v>7885.64</v>
      </c>
      <c r="G204" s="59">
        <v>7952.6</v>
      </c>
      <c r="H204" s="59">
        <v>8144.94</v>
      </c>
      <c r="I204" s="59">
        <v>8159.4</v>
      </c>
      <c r="J204" s="59">
        <v>8091.06</v>
      </c>
      <c r="K204" s="59">
        <v>8047.61</v>
      </c>
      <c r="L204" s="59">
        <v>8130.53</v>
      </c>
      <c r="M204" s="59">
        <v>7960.82</v>
      </c>
      <c r="N204" s="202"/>
      <c r="O204" s="202"/>
      <c r="P204" s="202"/>
      <c r="Q204" s="202"/>
      <c r="R204" s="188">
        <f>IF((M205=""),"",MAX(E206:M206))</f>
        <v>6780.0999999999985</v>
      </c>
      <c r="S204" s="188">
        <f>IF((M205=""),"",MIN(E206:M206))</f>
        <v>6055.2799999999988</v>
      </c>
      <c r="T204" s="189">
        <f>IF((M206=""),"",AVERAGE(E206:M206))</f>
        <v>6394.18</v>
      </c>
      <c r="U204" s="189">
        <f>IF((M205=""),"",(R204-S204)/(R204+S204)*100)</f>
        <v>5.647047457885936</v>
      </c>
      <c r="V204" s="66">
        <f t="shared" si="69"/>
        <v>259.12279232053845</v>
      </c>
      <c r="W204" s="170" t="str">
        <f>IF(M205="","",IF(U204&lt;6.3,IF(T204&gt;5550,IF(T204&lt;6900,"Pass","Fail"),"Fail"),"Fail"))</f>
        <v>Pass</v>
      </c>
      <c r="X204" s="96">
        <v>1400</v>
      </c>
      <c r="Y204" s="163" t="s">
        <v>129</v>
      </c>
      <c r="Z204" s="147"/>
      <c r="AA204" s="67">
        <v>5860</v>
      </c>
      <c r="AB204" s="67">
        <v>6770</v>
      </c>
      <c r="AC204" s="67">
        <v>5550</v>
      </c>
      <c r="AD204" s="67">
        <v>6900</v>
      </c>
      <c r="AE204" s="67">
        <v>20</v>
      </c>
      <c r="AF204" s="67">
        <v>6.3</v>
      </c>
    </row>
    <row r="205" spans="1:32">
      <c r="A205" s="149"/>
      <c r="B205" s="82"/>
      <c r="C205" s="82"/>
      <c r="D205" s="204" t="s">
        <v>115</v>
      </c>
      <c r="E205" s="59">
        <v>4692.41</v>
      </c>
      <c r="F205" s="59">
        <v>4540.37</v>
      </c>
      <c r="G205" s="59">
        <v>4676.3100000000004</v>
      </c>
      <c r="H205" s="59">
        <v>5117.3</v>
      </c>
      <c r="I205" s="59">
        <v>5123.7299999999996</v>
      </c>
      <c r="J205" s="59">
        <v>4992.1099999999997</v>
      </c>
      <c r="K205" s="59">
        <v>4850.04</v>
      </c>
      <c r="L205" s="59">
        <v>4976.2</v>
      </c>
      <c r="M205" s="59">
        <v>4570.7700000000004</v>
      </c>
      <c r="N205" s="205"/>
      <c r="O205" s="205"/>
      <c r="P205" s="205"/>
      <c r="Q205" s="205"/>
      <c r="R205" s="190"/>
      <c r="S205" s="190"/>
      <c r="T205" s="191"/>
      <c r="U205" s="191"/>
      <c r="W205" s="177"/>
      <c r="X205" s="94"/>
      <c r="Y205" s="164"/>
      <c r="Z205" s="147"/>
    </row>
    <row r="206" spans="1:32" ht="48">
      <c r="A206" s="149"/>
      <c r="B206" s="207"/>
      <c r="C206" s="207"/>
      <c r="D206" s="204" t="s">
        <v>116</v>
      </c>
      <c r="E206" s="51">
        <f t="shared" ref="E206:M206" si="71">IF(((E204="")*AND(E205="")),"",(E204-E205)*2)</f>
        <v>6496.08</v>
      </c>
      <c r="F206" s="51">
        <f t="shared" si="71"/>
        <v>6690.5400000000009</v>
      </c>
      <c r="G206" s="51">
        <f t="shared" si="71"/>
        <v>6552.58</v>
      </c>
      <c r="H206" s="51">
        <f t="shared" si="71"/>
        <v>6055.2799999999988</v>
      </c>
      <c r="I206" s="51">
        <f t="shared" si="71"/>
        <v>6071.34</v>
      </c>
      <c r="J206" s="51">
        <f t="shared" si="71"/>
        <v>6197.9000000000015</v>
      </c>
      <c r="K206" s="51">
        <f t="shared" si="71"/>
        <v>6395.1399999999994</v>
      </c>
      <c r="L206" s="51">
        <f t="shared" si="71"/>
        <v>6308.66</v>
      </c>
      <c r="M206" s="51">
        <f t="shared" si="71"/>
        <v>6780.0999999999985</v>
      </c>
      <c r="N206" s="51"/>
      <c r="O206" s="51"/>
      <c r="P206" s="51"/>
      <c r="Q206" s="51" t="str">
        <f>IF(((Q204="")*AND(Q205="")),"",(Q204-Q205)*2)</f>
        <v/>
      </c>
      <c r="R206" s="192"/>
      <c r="S206" s="192"/>
      <c r="T206" s="193"/>
      <c r="U206" s="193"/>
      <c r="W206" s="178"/>
      <c r="X206" s="94"/>
      <c r="Y206" s="164"/>
      <c r="Z206" s="147"/>
    </row>
    <row r="207" spans="1:32">
      <c r="A207" s="149">
        <v>42614</v>
      </c>
      <c r="B207" s="81" t="s">
        <v>117</v>
      </c>
      <c r="C207" s="81" t="s">
        <v>118</v>
      </c>
      <c r="D207" s="204" t="s">
        <v>114</v>
      </c>
      <c r="E207" s="59">
        <v>2501.9299999999998</v>
      </c>
      <c r="F207" s="59">
        <v>2454.41</v>
      </c>
      <c r="G207" s="59">
        <v>2428.87</v>
      </c>
      <c r="H207" s="59">
        <v>2422.0700000000002</v>
      </c>
      <c r="I207" s="59">
        <v>2435.33</v>
      </c>
      <c r="J207" s="59">
        <v>2467.85</v>
      </c>
      <c r="K207" s="59">
        <v>2518.15</v>
      </c>
      <c r="L207" s="59">
        <v>2540.4899999999998</v>
      </c>
      <c r="M207" s="59">
        <v>2479.56</v>
      </c>
      <c r="N207" s="59">
        <v>2439.21</v>
      </c>
      <c r="O207" s="59">
        <v>2429.92</v>
      </c>
      <c r="P207" s="59">
        <v>2458.25</v>
      </c>
      <c r="Q207" s="59">
        <v>2508.52</v>
      </c>
      <c r="R207" s="194">
        <f>IF((Q208=""),"",MAX(E209:Q209))</f>
        <v>302.73999999999978</v>
      </c>
      <c r="S207" s="194">
        <f>IF(Q208="","",MIN(E209:Q209))</f>
        <v>275.32000000000016</v>
      </c>
      <c r="T207" s="195">
        <f>IF((Q209=""),"",AVERAGE(E209:Q209))</f>
        <v>285.86769230769221</v>
      </c>
      <c r="U207" s="195">
        <f>IF((Q208=""),"",(R207-S207)/(R207+S207)*100)</f>
        <v>4.7434522367919634</v>
      </c>
      <c r="V207" s="66">
        <f t="shared" si="69"/>
        <v>8.983632481580285</v>
      </c>
      <c r="W207" s="83" t="str">
        <f>IF(Q208="","",IF(T207&gt;242,IF(T207&lt;320,"Pass","Fail"),"Fail"))</f>
        <v>Pass</v>
      </c>
      <c r="X207" s="94">
        <v>1400</v>
      </c>
      <c r="Y207" s="163" t="s">
        <v>129</v>
      </c>
      <c r="Z207" s="147"/>
      <c r="AA207" s="67">
        <v>240</v>
      </c>
      <c r="AB207" s="67">
        <v>320</v>
      </c>
      <c r="AC207" s="67">
        <v>190</v>
      </c>
      <c r="AD207" s="67">
        <v>360</v>
      </c>
      <c r="AE207" s="67">
        <v>20</v>
      </c>
      <c r="AF207" s="67">
        <v>11</v>
      </c>
    </row>
    <row r="208" spans="1:32">
      <c r="A208" s="149"/>
      <c r="B208" s="82"/>
      <c r="C208" s="82"/>
      <c r="D208" s="204" t="s">
        <v>115</v>
      </c>
      <c r="E208" s="59">
        <v>2220.17</v>
      </c>
      <c r="F208" s="59">
        <v>2174.7800000000002</v>
      </c>
      <c r="G208" s="59">
        <v>2143.58</v>
      </c>
      <c r="H208" s="59">
        <v>2130.34</v>
      </c>
      <c r="I208" s="59">
        <v>2143.3200000000002</v>
      </c>
      <c r="J208" s="59">
        <v>2186.62</v>
      </c>
      <c r="K208" s="59">
        <v>2216.69</v>
      </c>
      <c r="L208" s="59">
        <v>2237.75</v>
      </c>
      <c r="M208" s="59">
        <v>2201.3200000000002</v>
      </c>
      <c r="N208" s="59">
        <v>2156.31</v>
      </c>
      <c r="O208" s="59">
        <v>2154.6</v>
      </c>
      <c r="P208" s="59">
        <v>2182.69</v>
      </c>
      <c r="Q208" s="59">
        <v>2220.11</v>
      </c>
      <c r="R208" s="190"/>
      <c r="S208" s="190"/>
      <c r="T208" s="191"/>
      <c r="U208" s="191"/>
      <c r="W208" s="177"/>
      <c r="X208" s="94"/>
      <c r="Y208" s="164"/>
      <c r="Z208" s="147"/>
    </row>
    <row r="209" spans="1:32" ht="48">
      <c r="A209" s="149"/>
      <c r="B209" s="207"/>
      <c r="C209" s="207"/>
      <c r="D209" s="204" t="s">
        <v>116</v>
      </c>
      <c r="E209" s="51">
        <f t="shared" ref="E209:Q209" si="72">IF(((E207="")*AND(E208="")),"",(E207-E208))</f>
        <v>281.75999999999976</v>
      </c>
      <c r="F209" s="51">
        <f t="shared" si="72"/>
        <v>279.62999999999965</v>
      </c>
      <c r="G209" s="51">
        <f t="shared" si="72"/>
        <v>285.28999999999996</v>
      </c>
      <c r="H209" s="51">
        <f t="shared" si="72"/>
        <v>291.73</v>
      </c>
      <c r="I209" s="51">
        <f t="shared" si="72"/>
        <v>292.00999999999976</v>
      </c>
      <c r="J209" s="51">
        <f t="shared" si="72"/>
        <v>281.23</v>
      </c>
      <c r="K209" s="51">
        <f t="shared" si="72"/>
        <v>301.46000000000004</v>
      </c>
      <c r="L209" s="51">
        <f t="shared" si="72"/>
        <v>302.73999999999978</v>
      </c>
      <c r="M209" s="51">
        <f t="shared" si="72"/>
        <v>278.23999999999978</v>
      </c>
      <c r="N209" s="85">
        <f t="shared" si="72"/>
        <v>282.90000000000009</v>
      </c>
      <c r="O209" s="85">
        <f t="shared" si="72"/>
        <v>275.32000000000016</v>
      </c>
      <c r="P209" s="85">
        <f t="shared" si="72"/>
        <v>275.55999999999995</v>
      </c>
      <c r="Q209" s="85">
        <f t="shared" si="72"/>
        <v>288.40999999999985</v>
      </c>
      <c r="R209" s="192"/>
      <c r="S209" s="192"/>
      <c r="T209" s="193"/>
      <c r="U209" s="193"/>
      <c r="W209" s="178"/>
      <c r="X209" s="94"/>
      <c r="Y209" s="164"/>
      <c r="Z209" s="147"/>
    </row>
    <row r="210" spans="1:32">
      <c r="A210" s="149">
        <v>42614</v>
      </c>
      <c r="B210" s="81" t="s">
        <v>119</v>
      </c>
      <c r="C210" s="81" t="s">
        <v>120</v>
      </c>
      <c r="D210" s="204" t="s">
        <v>114</v>
      </c>
      <c r="E210" s="59">
        <v>6742.39</v>
      </c>
      <c r="F210" s="59">
        <v>6784.22</v>
      </c>
      <c r="G210" s="59">
        <v>6798.05</v>
      </c>
      <c r="H210" s="59">
        <v>6786.59</v>
      </c>
      <c r="I210" s="59">
        <v>6805.63</v>
      </c>
      <c r="J210" s="59">
        <v>6797.21</v>
      </c>
      <c r="K210" s="59">
        <v>6787.8</v>
      </c>
      <c r="L210" s="59">
        <v>6808.54</v>
      </c>
      <c r="M210" s="59">
        <v>6871.21</v>
      </c>
      <c r="N210" s="210"/>
      <c r="O210" s="210"/>
      <c r="P210" s="210"/>
      <c r="Q210" s="210"/>
      <c r="R210" s="196">
        <f>IF((M211=""),"",MAX(E212:M212))</f>
        <v>4465.2199999999993</v>
      </c>
      <c r="S210" s="194">
        <f>IF(M211="","",MIN(E212:M212))</f>
        <v>4079.1400000000012</v>
      </c>
      <c r="T210" s="195">
        <f>IF((M212=""),"",AVERAGE(E212:M212))</f>
        <v>4270.213333333334</v>
      </c>
      <c r="U210" s="195">
        <f>IF((M211=""),"",(R210-S210)/(R210+S210)*100)</f>
        <v>4.518536203998873</v>
      </c>
      <c r="V210" s="66">
        <f t="shared" si="69"/>
        <v>161.17631060424898</v>
      </c>
      <c r="W210" s="83" t="str">
        <f>IF(M211="","",IF(T210&gt;3650,IF(T210&lt;4450,"Pass","Fail"),"Fail"))</f>
        <v>Pass</v>
      </c>
      <c r="X210" s="94">
        <v>1400</v>
      </c>
      <c r="Y210" s="163" t="s">
        <v>129</v>
      </c>
      <c r="Z210" s="147"/>
      <c r="AA210" s="86">
        <v>3650</v>
      </c>
      <c r="AB210" s="86">
        <v>4450</v>
      </c>
      <c r="AC210" s="86">
        <v>3700</v>
      </c>
      <c r="AD210" s="86">
        <v>4250</v>
      </c>
      <c r="AE210" s="86">
        <v>7.2</v>
      </c>
      <c r="AF210" s="86">
        <v>3</v>
      </c>
    </row>
    <row r="211" spans="1:32">
      <c r="A211" s="149"/>
      <c r="B211" s="82"/>
      <c r="C211" s="82"/>
      <c r="D211" s="204" t="s">
        <v>115</v>
      </c>
      <c r="E211" s="59">
        <v>4527.08</v>
      </c>
      <c r="F211" s="59">
        <v>4690.53</v>
      </c>
      <c r="G211" s="59">
        <v>4758.4799999999996</v>
      </c>
      <c r="H211" s="59">
        <v>4721.99</v>
      </c>
      <c r="I211" s="59">
        <v>4573.0200000000004</v>
      </c>
      <c r="J211" s="59">
        <v>4594.6899999999996</v>
      </c>
      <c r="K211" s="59">
        <v>4718.95</v>
      </c>
      <c r="L211" s="59">
        <v>4732.82</v>
      </c>
      <c r="M211" s="59">
        <v>4648.12</v>
      </c>
      <c r="N211" s="205"/>
      <c r="O211" s="205"/>
      <c r="P211" s="205"/>
      <c r="Q211" s="205"/>
      <c r="R211" s="190"/>
      <c r="S211" s="190"/>
      <c r="T211" s="191"/>
      <c r="U211" s="191"/>
      <c r="W211" s="177"/>
      <c r="X211" s="94"/>
      <c r="Y211" s="164"/>
      <c r="Z211" s="147"/>
    </row>
    <row r="212" spans="1:32" ht="48.75" thickBot="1">
      <c r="A212" s="149"/>
      <c r="B212" s="207"/>
      <c r="C212" s="207"/>
      <c r="D212" s="204" t="s">
        <v>116</v>
      </c>
      <c r="E212" s="51">
        <f t="shared" ref="E212:M212" si="73">IF(((E210="")*AND(E211="")),"",(E210-E211)*2)</f>
        <v>4430.6200000000008</v>
      </c>
      <c r="F212" s="51">
        <f t="shared" si="73"/>
        <v>4187.380000000001</v>
      </c>
      <c r="G212" s="51">
        <f t="shared" si="73"/>
        <v>4079.1400000000012</v>
      </c>
      <c r="H212" s="51">
        <f t="shared" si="73"/>
        <v>4129.2000000000007</v>
      </c>
      <c r="I212" s="51">
        <f t="shared" si="73"/>
        <v>4465.2199999999993</v>
      </c>
      <c r="J212" s="51">
        <f t="shared" si="73"/>
        <v>4405.0400000000009</v>
      </c>
      <c r="K212" s="51">
        <f t="shared" si="73"/>
        <v>4137.7000000000007</v>
      </c>
      <c r="L212" s="51">
        <f t="shared" si="73"/>
        <v>4151.4400000000005</v>
      </c>
      <c r="M212" s="51">
        <f t="shared" si="73"/>
        <v>4446.18</v>
      </c>
      <c r="N212" s="51"/>
      <c r="O212" s="51"/>
      <c r="P212" s="51"/>
      <c r="Q212" s="51"/>
      <c r="R212" s="192"/>
      <c r="S212" s="192"/>
      <c r="T212" s="193"/>
      <c r="U212" s="193"/>
      <c r="W212" s="178"/>
      <c r="X212" s="94"/>
      <c r="Y212" s="164"/>
      <c r="Z212" s="147"/>
    </row>
    <row r="213" spans="1:32">
      <c r="A213" s="149">
        <v>42646</v>
      </c>
      <c r="B213" s="200" t="s">
        <v>112</v>
      </c>
      <c r="C213" s="200" t="s">
        <v>113</v>
      </c>
      <c r="D213" s="201" t="s">
        <v>114</v>
      </c>
      <c r="E213" s="59">
        <v>5426.79</v>
      </c>
      <c r="F213" s="59">
        <v>5432.77</v>
      </c>
      <c r="G213" s="59">
        <v>5474.38</v>
      </c>
      <c r="H213" s="59">
        <v>5635.41</v>
      </c>
      <c r="I213" s="59">
        <v>5701.09</v>
      </c>
      <c r="J213" s="59">
        <v>5610.79</v>
      </c>
      <c r="K213" s="59">
        <v>5583.51</v>
      </c>
      <c r="L213" s="59">
        <v>5679.58</v>
      </c>
      <c r="M213" s="59">
        <v>5464.82</v>
      </c>
      <c r="N213" s="202"/>
      <c r="O213" s="202"/>
      <c r="P213" s="202"/>
      <c r="Q213" s="202"/>
      <c r="R213" s="188">
        <f>IF((M214=""),"",MAX(E215:M215))</f>
        <v>6075.9600000000009</v>
      </c>
      <c r="S213" s="188">
        <f>IF((M214=""),"",MIN(E215:M215))</f>
        <v>4553.72</v>
      </c>
      <c r="T213" s="189">
        <f>IF((M215=""),"",AVERAGE(E215:M215))</f>
        <v>5336.713333333334</v>
      </c>
      <c r="U213" s="189">
        <f>IF((M214=""),"",(R213-S213)/(R213+S213)*100)</f>
        <v>14.320656877723511</v>
      </c>
      <c r="V213" s="66">
        <f t="shared" ref="V213:V222" si="74">STDEV(E215:Q215)</f>
        <v>514.99005436998391</v>
      </c>
      <c r="W213" s="170" t="str">
        <f>IF(M214="","",IF(U213&lt;6.3,IF(T213&gt;5550,IF(T213&lt;6900,"Pass","Fail"),"Fail"),"Fail"))</f>
        <v>Fail</v>
      </c>
      <c r="X213" s="91">
        <v>1400</v>
      </c>
      <c r="AA213" s="67">
        <v>5860</v>
      </c>
      <c r="AB213" s="67">
        <v>6770</v>
      </c>
      <c r="AC213" s="67">
        <v>5550</v>
      </c>
      <c r="AD213" s="67">
        <v>6900</v>
      </c>
      <c r="AE213" s="67">
        <v>20</v>
      </c>
      <c r="AF213" s="67">
        <v>6.3</v>
      </c>
    </row>
    <row r="214" spans="1:32">
      <c r="A214" s="149"/>
      <c r="B214" s="82"/>
      <c r="C214" s="82"/>
      <c r="D214" s="204" t="s">
        <v>115</v>
      </c>
      <c r="E214" s="59">
        <v>2576.85</v>
      </c>
      <c r="F214" s="59">
        <v>2394.79</v>
      </c>
      <c r="G214" s="59">
        <v>2622.01</v>
      </c>
      <c r="H214" s="59">
        <v>3153.88</v>
      </c>
      <c r="I214" s="59">
        <v>3424.23</v>
      </c>
      <c r="J214" s="59">
        <v>3138.97</v>
      </c>
      <c r="K214" s="59">
        <v>2921.68</v>
      </c>
      <c r="L214" s="59">
        <v>3210.7</v>
      </c>
      <c r="M214" s="59">
        <v>2550.8200000000002</v>
      </c>
      <c r="N214" s="205"/>
      <c r="O214" s="205"/>
      <c r="P214" s="205"/>
      <c r="Q214" s="205"/>
      <c r="R214" s="190"/>
      <c r="S214" s="190"/>
      <c r="T214" s="191"/>
      <c r="U214" s="191"/>
      <c r="W214" s="177"/>
      <c r="X214" s="92"/>
    </row>
    <row r="215" spans="1:32" ht="48">
      <c r="A215" s="149"/>
      <c r="B215" s="207"/>
      <c r="C215" s="207"/>
      <c r="D215" s="204" t="s">
        <v>116</v>
      </c>
      <c r="E215" s="51">
        <f t="shared" ref="E215:M215" si="75">IF(((E213="")*AND(E214="")),"",(E213-E214)*2)</f>
        <v>5699.88</v>
      </c>
      <c r="F215" s="51">
        <f t="shared" si="75"/>
        <v>6075.9600000000009</v>
      </c>
      <c r="G215" s="51">
        <f t="shared" si="75"/>
        <v>5704.74</v>
      </c>
      <c r="H215" s="51">
        <f t="shared" si="75"/>
        <v>4963.0599999999995</v>
      </c>
      <c r="I215" s="51">
        <f t="shared" si="75"/>
        <v>4553.72</v>
      </c>
      <c r="J215" s="51">
        <f t="shared" si="75"/>
        <v>4943.6400000000003</v>
      </c>
      <c r="K215" s="51">
        <f t="shared" si="75"/>
        <v>5323.6600000000008</v>
      </c>
      <c r="L215" s="51">
        <f t="shared" si="75"/>
        <v>4937.76</v>
      </c>
      <c r="M215" s="51">
        <f t="shared" si="75"/>
        <v>5827.9999999999991</v>
      </c>
      <c r="N215" s="51"/>
      <c r="O215" s="51"/>
      <c r="P215" s="51"/>
      <c r="Q215" s="51" t="str">
        <f>IF(((Q213="")*AND(Q214="")),"",(Q213-Q214)*2)</f>
        <v/>
      </c>
      <c r="R215" s="192"/>
      <c r="S215" s="192"/>
      <c r="T215" s="193"/>
      <c r="U215" s="193"/>
      <c r="W215" s="178"/>
      <c r="X215" s="92"/>
    </row>
    <row r="216" spans="1:32">
      <c r="A216" s="149">
        <v>42646</v>
      </c>
      <c r="B216" s="81" t="s">
        <v>117</v>
      </c>
      <c r="C216" s="81" t="s">
        <v>118</v>
      </c>
      <c r="D216" s="204" t="s">
        <v>114</v>
      </c>
      <c r="E216" s="59">
        <v>2222.89</v>
      </c>
      <c r="F216" s="59">
        <v>2174.09</v>
      </c>
      <c r="G216" s="59">
        <v>2135.66</v>
      </c>
      <c r="H216" s="59">
        <v>2123.69</v>
      </c>
      <c r="I216" s="59">
        <v>2135.9899999999998</v>
      </c>
      <c r="J216" s="59">
        <v>2184.14</v>
      </c>
      <c r="K216" s="59">
        <v>2221.58</v>
      </c>
      <c r="L216" s="59">
        <v>2239.7800000000002</v>
      </c>
      <c r="M216" s="59">
        <v>2194.12</v>
      </c>
      <c r="N216" s="59">
        <v>2145.59</v>
      </c>
      <c r="O216" s="59">
        <v>2141.2600000000002</v>
      </c>
      <c r="P216" s="59">
        <v>2182.7199999999998</v>
      </c>
      <c r="Q216" s="59">
        <v>2219.54</v>
      </c>
      <c r="R216" s="194">
        <f>IF((Q217=""),"",MAX(E218:Q218))</f>
        <v>246.9699999999998</v>
      </c>
      <c r="S216" s="194">
        <f>IF(Q217="","",MIN(E218:Q218))</f>
        <v>230.11999999999989</v>
      </c>
      <c r="T216" s="195">
        <f>IF((Q218=""),"",AVERAGE(E218:Q218))</f>
        <v>238.71461538461534</v>
      </c>
      <c r="U216" s="195">
        <f>IF((Q217=""),"",(R216-S216)/(R216+S216)*100)</f>
        <v>3.5318283761973461</v>
      </c>
      <c r="V216" s="66">
        <f t="shared" si="74"/>
        <v>6.0695010989170539</v>
      </c>
      <c r="W216" s="83" t="str">
        <f>IF(Q217="","",IF(T216&gt;242,IF(T216&lt;320,"Pass","Fail"),"Fail"))</f>
        <v>Fail</v>
      </c>
      <c r="X216" s="92">
        <v>1400</v>
      </c>
      <c r="AA216" s="67">
        <v>240</v>
      </c>
      <c r="AB216" s="67">
        <v>320</v>
      </c>
      <c r="AC216" s="67">
        <v>190</v>
      </c>
      <c r="AD216" s="67">
        <v>360</v>
      </c>
      <c r="AE216" s="67">
        <v>20</v>
      </c>
      <c r="AF216" s="67">
        <v>11</v>
      </c>
    </row>
    <row r="217" spans="1:32">
      <c r="A217" s="149"/>
      <c r="B217" s="82"/>
      <c r="C217" s="82"/>
      <c r="D217" s="204" t="s">
        <v>115</v>
      </c>
      <c r="E217" s="59">
        <v>1982.37</v>
      </c>
      <c r="F217" s="59">
        <v>1928.82</v>
      </c>
      <c r="G217" s="59">
        <v>1899.21</v>
      </c>
      <c r="H217" s="59">
        <v>1893.09</v>
      </c>
      <c r="I217" s="59">
        <v>1905.87</v>
      </c>
      <c r="J217" s="59">
        <v>1938.64</v>
      </c>
      <c r="K217" s="59">
        <v>1981.02</v>
      </c>
      <c r="L217" s="59">
        <v>2005.11</v>
      </c>
      <c r="M217" s="59">
        <v>1948.7</v>
      </c>
      <c r="N217" s="59">
        <v>1909.16</v>
      </c>
      <c r="O217" s="59">
        <v>1901.14</v>
      </c>
      <c r="P217" s="59">
        <v>1935.75</v>
      </c>
      <c r="Q217" s="59">
        <v>1988.88</v>
      </c>
      <c r="R217" s="190"/>
      <c r="S217" s="190"/>
      <c r="T217" s="191"/>
      <c r="U217" s="191"/>
      <c r="W217" s="177"/>
      <c r="X217" s="92"/>
    </row>
    <row r="218" spans="1:32" ht="48">
      <c r="A218" s="149"/>
      <c r="B218" s="207"/>
      <c r="C218" s="207"/>
      <c r="D218" s="204" t="s">
        <v>116</v>
      </c>
      <c r="E218" s="51">
        <f t="shared" ref="E218:Q218" si="76">IF(((E216="")*AND(E217="")),"",(E216-E217))</f>
        <v>240.51999999999998</v>
      </c>
      <c r="F218" s="51">
        <f t="shared" si="76"/>
        <v>245.27000000000021</v>
      </c>
      <c r="G218" s="51">
        <f t="shared" si="76"/>
        <v>236.44999999999982</v>
      </c>
      <c r="H218" s="51">
        <f t="shared" si="76"/>
        <v>230.60000000000014</v>
      </c>
      <c r="I218" s="51">
        <f t="shared" si="76"/>
        <v>230.11999999999989</v>
      </c>
      <c r="J218" s="51">
        <f t="shared" si="76"/>
        <v>245.49999999999977</v>
      </c>
      <c r="K218" s="51">
        <f t="shared" si="76"/>
        <v>240.55999999999995</v>
      </c>
      <c r="L218" s="51">
        <f t="shared" si="76"/>
        <v>234.6700000000003</v>
      </c>
      <c r="M218" s="51">
        <f t="shared" si="76"/>
        <v>245.41999999999985</v>
      </c>
      <c r="N218" s="85">
        <f t="shared" si="76"/>
        <v>236.43000000000006</v>
      </c>
      <c r="O218" s="85">
        <f t="shared" si="76"/>
        <v>240.12000000000012</v>
      </c>
      <c r="P218" s="85">
        <f t="shared" si="76"/>
        <v>246.9699999999998</v>
      </c>
      <c r="Q218" s="85">
        <f t="shared" si="76"/>
        <v>230.65999999999985</v>
      </c>
      <c r="R218" s="192"/>
      <c r="S218" s="192"/>
      <c r="T218" s="193"/>
      <c r="U218" s="193"/>
      <c r="W218" s="178"/>
      <c r="X218" s="92"/>
    </row>
    <row r="219" spans="1:32">
      <c r="A219" s="149">
        <v>42646</v>
      </c>
      <c r="B219" s="81" t="s">
        <v>119</v>
      </c>
      <c r="C219" s="81" t="s">
        <v>120</v>
      </c>
      <c r="D219" s="204" t="s">
        <v>114</v>
      </c>
      <c r="E219" s="59">
        <v>6783.75</v>
      </c>
      <c r="F219" s="59">
        <v>6818</v>
      </c>
      <c r="G219" s="59">
        <v>6825.08</v>
      </c>
      <c r="H219" s="59">
        <v>6772.1</v>
      </c>
      <c r="I219" s="59">
        <v>6816.08</v>
      </c>
      <c r="J219" s="59">
        <v>6775.32</v>
      </c>
      <c r="K219" s="59">
        <v>6784.43</v>
      </c>
      <c r="L219" s="59">
        <v>6824.57</v>
      </c>
      <c r="M219" s="59">
        <v>6891.18</v>
      </c>
      <c r="N219" s="210"/>
      <c r="O219" s="210"/>
      <c r="P219" s="210"/>
      <c r="Q219" s="210"/>
      <c r="R219" s="196">
        <f>IF((M220=""),"",MAX(E221:M221))</f>
        <v>4513.7000000000007</v>
      </c>
      <c r="S219" s="194">
        <f>IF(M220="","",MIN(E221:M221))</f>
        <v>4127.8799999999992</v>
      </c>
      <c r="T219" s="195">
        <f>IF((M221=""),"",AVERAGE(E221:M221))</f>
        <v>4273.3066666666664</v>
      </c>
      <c r="U219" s="195">
        <f>IF((M220=""),"",(R219-S219)/(R219+S219)*100)</f>
        <v>4.4646927992334913</v>
      </c>
      <c r="V219" s="66">
        <f t="shared" si="74"/>
        <v>148.17194471291742</v>
      </c>
      <c r="W219" s="83" t="str">
        <f>IF(M220="","",IF(T219&gt;3650,IF(T219&lt;4450,"Pass","Fail"),"Fail"))</f>
        <v>Pass</v>
      </c>
      <c r="X219" s="92">
        <v>1400</v>
      </c>
      <c r="AA219" s="86">
        <v>3650</v>
      </c>
      <c r="AB219" s="86">
        <v>4450</v>
      </c>
      <c r="AC219" s="86">
        <v>3700</v>
      </c>
      <c r="AD219" s="86">
        <v>4250</v>
      </c>
      <c r="AE219" s="86">
        <v>7.2</v>
      </c>
      <c r="AF219" s="86">
        <v>3</v>
      </c>
    </row>
    <row r="220" spans="1:32">
      <c r="A220" s="149"/>
      <c r="B220" s="82"/>
      <c r="C220" s="82"/>
      <c r="D220" s="204" t="s">
        <v>115</v>
      </c>
      <c r="E220" s="59">
        <v>4540.97</v>
      </c>
      <c r="F220" s="59">
        <v>4722</v>
      </c>
      <c r="G220" s="59">
        <v>4757.24</v>
      </c>
      <c r="H220" s="59">
        <v>4662.3900000000003</v>
      </c>
      <c r="I220" s="59">
        <v>4559.2299999999996</v>
      </c>
      <c r="J220" s="59">
        <v>4691.3100000000004</v>
      </c>
      <c r="K220" s="59">
        <v>4664.6899999999996</v>
      </c>
      <c r="L220" s="59">
        <v>4760.63</v>
      </c>
      <c r="M220" s="59">
        <v>4702.17</v>
      </c>
      <c r="N220" s="205"/>
      <c r="O220" s="205"/>
      <c r="P220" s="205"/>
      <c r="Q220" s="205"/>
      <c r="R220" s="190"/>
      <c r="S220" s="190"/>
      <c r="T220" s="191"/>
      <c r="U220" s="191"/>
      <c r="W220" s="177"/>
      <c r="X220" s="92"/>
    </row>
    <row r="221" spans="1:32" ht="48">
      <c r="A221" s="149"/>
      <c r="B221" s="207"/>
      <c r="C221" s="207"/>
      <c r="D221" s="204" t="s">
        <v>116</v>
      </c>
      <c r="E221" s="51">
        <f t="shared" ref="E221:M221" si="77">IF(((E219="")*AND(E220="")),"",(E219-E220)*2)</f>
        <v>4485.5599999999995</v>
      </c>
      <c r="F221" s="51">
        <f t="shared" si="77"/>
        <v>4192</v>
      </c>
      <c r="G221" s="51">
        <f t="shared" si="77"/>
        <v>4135.68</v>
      </c>
      <c r="H221" s="51">
        <f t="shared" si="77"/>
        <v>4219.42</v>
      </c>
      <c r="I221" s="51">
        <f t="shared" si="77"/>
        <v>4513.7000000000007</v>
      </c>
      <c r="J221" s="51">
        <f t="shared" si="77"/>
        <v>4168.0199999999986</v>
      </c>
      <c r="K221" s="51">
        <f t="shared" si="77"/>
        <v>4239.4800000000014</v>
      </c>
      <c r="L221" s="51">
        <f t="shared" si="77"/>
        <v>4127.8799999999992</v>
      </c>
      <c r="M221" s="51">
        <f t="shared" si="77"/>
        <v>4378.0200000000004</v>
      </c>
      <c r="N221" s="51"/>
      <c r="O221" s="51"/>
      <c r="P221" s="51"/>
      <c r="Q221" s="51"/>
      <c r="R221" s="192"/>
      <c r="S221" s="192"/>
      <c r="T221" s="193"/>
      <c r="U221" s="193"/>
      <c r="W221" s="178"/>
      <c r="X221" s="92"/>
    </row>
    <row r="222" spans="1:32">
      <c r="A222" s="149">
        <v>42646</v>
      </c>
      <c r="B222" s="81" t="s">
        <v>121</v>
      </c>
      <c r="C222" s="81" t="s">
        <v>121</v>
      </c>
      <c r="D222" s="204" t="s">
        <v>114</v>
      </c>
      <c r="E222" s="59">
        <v>1976.68</v>
      </c>
      <c r="F222" s="59">
        <v>1967.38</v>
      </c>
      <c r="G222" s="59">
        <v>1967.57</v>
      </c>
      <c r="H222" s="59">
        <v>1962.93</v>
      </c>
      <c r="I222" s="59">
        <v>1982.25</v>
      </c>
      <c r="J222" s="59">
        <v>1980.97</v>
      </c>
      <c r="K222" s="59">
        <v>1970.12</v>
      </c>
      <c r="L222" s="59">
        <v>1963.95</v>
      </c>
      <c r="M222" s="59">
        <v>1984.61</v>
      </c>
      <c r="N222" s="205"/>
      <c r="O222" s="205"/>
      <c r="P222" s="205"/>
      <c r="Q222" s="205"/>
      <c r="R222" s="194">
        <f>IF((M223=""),"",MAX(E224:M224))</f>
        <v>2762.4000000000005</v>
      </c>
      <c r="S222" s="194">
        <f>IF((M223=""),"",MIN(E224:M224))</f>
        <v>2620.9199999999992</v>
      </c>
      <c r="T222" s="195">
        <f>IF((M224=""),"",AVERAGE(E224:M224))</f>
        <v>2686.5511111111114</v>
      </c>
      <c r="U222" s="195">
        <f>IF((M223=""),"",(R222-S222)/(R222+S222)*100)</f>
        <v>2.6281179643788852</v>
      </c>
      <c r="V222" s="66">
        <f t="shared" si="74"/>
        <v>45.830059034551645</v>
      </c>
      <c r="W222" s="174" t="str">
        <f>IF(M223="","",IF(U222&lt;5.5,IF(T222&gt;2200,IF(T222&lt;2900,"Pass","Fail"),"Fail"),"Fail"))</f>
        <v>Pass</v>
      </c>
      <c r="X222" s="92">
        <v>1400</v>
      </c>
      <c r="AA222" s="67">
        <v>2000</v>
      </c>
      <c r="AB222" s="67">
        <v>3000</v>
      </c>
      <c r="AC222" s="67">
        <v>2200</v>
      </c>
      <c r="AD222" s="67">
        <v>2900</v>
      </c>
      <c r="AE222" s="67">
        <v>7</v>
      </c>
      <c r="AF222" s="67">
        <v>5.5</v>
      </c>
    </row>
    <row r="223" spans="1:32">
      <c r="A223" s="149"/>
      <c r="B223" s="82"/>
      <c r="C223" s="82"/>
      <c r="D223" s="204" t="s">
        <v>115</v>
      </c>
      <c r="E223" s="59">
        <v>1309.0999999999999</v>
      </c>
      <c r="F223" s="59">
        <v>1295.8900000000001</v>
      </c>
      <c r="G223" s="59">
        <v>1308.3599999999999</v>
      </c>
      <c r="H223" s="59">
        <v>1285.2</v>
      </c>
      <c r="I223" s="59">
        <v>1309.99</v>
      </c>
      <c r="J223" s="59">
        <v>1290.3699999999999</v>
      </c>
      <c r="K223" s="59">
        <v>1285.1600000000001</v>
      </c>
      <c r="L223" s="59">
        <v>1298.27</v>
      </c>
      <c r="M223" s="59">
        <v>1329.38</v>
      </c>
      <c r="N223" s="205"/>
      <c r="O223" s="205"/>
      <c r="P223" s="205"/>
      <c r="Q223" s="205"/>
      <c r="R223" s="190"/>
      <c r="S223" s="190"/>
      <c r="T223" s="191"/>
      <c r="U223" s="191"/>
      <c r="W223" s="179"/>
      <c r="X223" s="92"/>
    </row>
    <row r="224" spans="1:32" ht="48.75" thickBot="1">
      <c r="A224" s="149"/>
      <c r="B224" s="211"/>
      <c r="C224" s="211"/>
      <c r="D224" s="212" t="s">
        <v>116</v>
      </c>
      <c r="E224" s="87">
        <f t="shared" ref="E224:M224" si="78">IF(((E222="")*AND(E223="")),"",(E222-E223)*4)</f>
        <v>2670.3200000000006</v>
      </c>
      <c r="F224" s="87">
        <f t="shared" si="78"/>
        <v>2685.96</v>
      </c>
      <c r="G224" s="87">
        <f t="shared" si="78"/>
        <v>2636.84</v>
      </c>
      <c r="H224" s="87">
        <f t="shared" si="78"/>
        <v>2710.92</v>
      </c>
      <c r="I224" s="87">
        <f t="shared" si="78"/>
        <v>2689.04</v>
      </c>
      <c r="J224" s="87">
        <f t="shared" si="78"/>
        <v>2762.4000000000005</v>
      </c>
      <c r="K224" s="87">
        <f t="shared" si="78"/>
        <v>2739.8399999999992</v>
      </c>
      <c r="L224" s="87">
        <f t="shared" si="78"/>
        <v>2662.7200000000003</v>
      </c>
      <c r="M224" s="87">
        <f t="shared" si="78"/>
        <v>2620.9199999999992</v>
      </c>
      <c r="N224" s="87"/>
      <c r="O224" s="87"/>
      <c r="P224" s="87"/>
      <c r="Q224" s="87" t="str">
        <f>IF(((Q222="")*AND(Q223="")),"",(Q222-Q223)*4)</f>
        <v/>
      </c>
      <c r="R224" s="197"/>
      <c r="S224" s="197"/>
      <c r="T224" s="198"/>
      <c r="U224" s="198"/>
      <c r="W224" s="180"/>
      <c r="X224" s="93"/>
    </row>
    <row r="225" spans="1:32" ht="12.75" customHeight="1">
      <c r="A225" s="149">
        <v>42760</v>
      </c>
      <c r="B225" s="200" t="s">
        <v>112</v>
      </c>
      <c r="C225" s="200" t="s">
        <v>113</v>
      </c>
      <c r="D225" s="201" t="s">
        <v>114</v>
      </c>
      <c r="E225" s="59">
        <v>7984.54</v>
      </c>
      <c r="F225" s="59">
        <v>7930.37</v>
      </c>
      <c r="G225" s="59">
        <v>7998.44</v>
      </c>
      <c r="H225" s="59">
        <v>8194.7999999999993</v>
      </c>
      <c r="I225" s="59">
        <v>8208.07</v>
      </c>
      <c r="J225" s="59">
        <v>8141.57</v>
      </c>
      <c r="K225" s="59">
        <v>8093.33</v>
      </c>
      <c r="L225" s="59">
        <v>8180.26</v>
      </c>
      <c r="M225" s="59">
        <v>8004.83</v>
      </c>
      <c r="N225" s="202"/>
      <c r="O225" s="202"/>
      <c r="P225" s="202"/>
      <c r="Q225" s="202"/>
      <c r="R225" s="188">
        <f>IF((M226=""),"",MAX(E227:M227))</f>
        <v>6698.24</v>
      </c>
      <c r="S225" s="188">
        <f>IF((M226=""),"",MIN(E227:M227))</f>
        <v>6004.3799999999992</v>
      </c>
      <c r="T225" s="189">
        <f>IF((M227=""),"",AVERAGE(E227:M227))</f>
        <v>6372.4622222222206</v>
      </c>
      <c r="U225" s="189">
        <f>IF((M226=""),"",(R225-S225)/(R225+S225)*100)</f>
        <v>5.4623376909645467</v>
      </c>
      <c r="V225" s="66">
        <f t="shared" ref="V225:V234" si="79">STDEV(E227:Q227)</f>
        <v>237.91326496112225</v>
      </c>
      <c r="W225" s="170" t="str">
        <f>IF(M226="","",IF(U225&lt;6.3,IF(T225&gt;5550,IF(T225&lt;6900,"Pass","Fail"),"Fail"),"Fail"))</f>
        <v>Pass</v>
      </c>
      <c r="X225" s="91">
        <v>1400</v>
      </c>
      <c r="Y225" s="165" t="s">
        <v>153</v>
      </c>
      <c r="Z225" s="166" t="s">
        <v>154</v>
      </c>
      <c r="AA225" s="67">
        <v>5860</v>
      </c>
      <c r="AB225" s="67">
        <v>6770</v>
      </c>
      <c r="AC225" s="67">
        <v>5550</v>
      </c>
      <c r="AD225" s="67">
        <v>6900</v>
      </c>
      <c r="AE225" s="67">
        <v>20</v>
      </c>
      <c r="AF225" s="67">
        <v>6.3</v>
      </c>
    </row>
    <row r="226" spans="1:32">
      <c r="A226" s="149"/>
      <c r="B226" s="82"/>
      <c r="C226" s="82"/>
      <c r="D226" s="204" t="s">
        <v>115</v>
      </c>
      <c r="E226" s="59">
        <v>4751.53</v>
      </c>
      <c r="F226" s="59">
        <v>4603.1499999999996</v>
      </c>
      <c r="G226" s="59">
        <v>4756.1499999999996</v>
      </c>
      <c r="H226" s="59">
        <v>5192.6099999999997</v>
      </c>
      <c r="I226" s="59">
        <v>5153.7</v>
      </c>
      <c r="J226" s="59">
        <v>5018.21</v>
      </c>
      <c r="K226" s="59">
        <v>4866.93</v>
      </c>
      <c r="L226" s="59">
        <v>5062.1400000000003</v>
      </c>
      <c r="M226" s="59">
        <v>4655.71</v>
      </c>
      <c r="N226" s="205"/>
      <c r="O226" s="205"/>
      <c r="P226" s="205"/>
      <c r="Q226" s="205"/>
      <c r="R226" s="190"/>
      <c r="S226" s="190"/>
      <c r="T226" s="191"/>
      <c r="U226" s="191"/>
      <c r="W226" s="177"/>
      <c r="X226" s="92"/>
      <c r="Y226" s="167"/>
      <c r="Z226" s="147"/>
    </row>
    <row r="227" spans="1:32" ht="48">
      <c r="A227" s="149"/>
      <c r="B227" s="207"/>
      <c r="C227" s="207"/>
      <c r="D227" s="204" t="s">
        <v>116</v>
      </c>
      <c r="E227" s="51">
        <f t="shared" ref="E227:M227" si="80">IF(((E225="")*AND(E226="")),"",(E225-E226)*2)</f>
        <v>6466.02</v>
      </c>
      <c r="F227" s="51">
        <f t="shared" si="80"/>
        <v>6654.4400000000005</v>
      </c>
      <c r="G227" s="51">
        <f t="shared" si="80"/>
        <v>6484.58</v>
      </c>
      <c r="H227" s="51">
        <f t="shared" si="80"/>
        <v>6004.3799999999992</v>
      </c>
      <c r="I227" s="51">
        <f t="shared" si="80"/>
        <v>6108.74</v>
      </c>
      <c r="J227" s="51">
        <f t="shared" si="80"/>
        <v>6246.7199999999993</v>
      </c>
      <c r="K227" s="51">
        <f t="shared" si="80"/>
        <v>6452.7999999999993</v>
      </c>
      <c r="L227" s="51">
        <f t="shared" si="80"/>
        <v>6236.24</v>
      </c>
      <c r="M227" s="51">
        <f t="shared" si="80"/>
        <v>6698.24</v>
      </c>
      <c r="N227" s="51"/>
      <c r="O227" s="51"/>
      <c r="P227" s="51"/>
      <c r="Q227" s="51" t="str">
        <f>IF(((Q225="")*AND(Q226="")),"",(Q225-Q226)*2)</f>
        <v/>
      </c>
      <c r="R227" s="192"/>
      <c r="S227" s="192"/>
      <c r="T227" s="193"/>
      <c r="U227" s="193"/>
      <c r="W227" s="178"/>
      <c r="X227" s="92"/>
      <c r="Y227" s="167"/>
      <c r="Z227" s="147"/>
    </row>
    <row r="228" spans="1:32">
      <c r="A228" s="149">
        <v>42760</v>
      </c>
      <c r="B228" s="81" t="s">
        <v>117</v>
      </c>
      <c r="C228" s="81" t="s">
        <v>118</v>
      </c>
      <c r="D228" s="204" t="s">
        <v>114</v>
      </c>
      <c r="E228" s="59">
        <v>2797.11</v>
      </c>
      <c r="F228" s="59">
        <v>2744.6</v>
      </c>
      <c r="G228" s="59">
        <v>2720.22</v>
      </c>
      <c r="H228" s="59">
        <v>2716.95</v>
      </c>
      <c r="I228" s="59">
        <v>2731.54</v>
      </c>
      <c r="J228" s="59">
        <v>2771.96</v>
      </c>
      <c r="K228" s="59">
        <v>2836.44</v>
      </c>
      <c r="L228" s="59">
        <v>2803.43</v>
      </c>
      <c r="M228" s="59">
        <v>2743.19</v>
      </c>
      <c r="N228" s="59">
        <v>2718.3</v>
      </c>
      <c r="O228" s="59">
        <v>2737.69</v>
      </c>
      <c r="P228" s="59">
        <v>2785.09</v>
      </c>
      <c r="Q228" s="59">
        <v>2866.83</v>
      </c>
      <c r="R228" s="194">
        <f>IF((Q229=""),"",MAX(E230:Q230))</f>
        <v>276.88999999999987</v>
      </c>
      <c r="S228" s="194">
        <f>IF(Q229="","",MIN(E230:Q230))</f>
        <v>257.5300000000002</v>
      </c>
      <c r="T228" s="195">
        <f>IF((Q230=""),"",AVERAGE(E230:Q230))</f>
        <v>264.82538461538456</v>
      </c>
      <c r="U228" s="195">
        <f>IF((Q229=""),"",(R228-S228)/(R228+S228)*100)</f>
        <v>3.6226189139627394</v>
      </c>
      <c r="V228" s="66">
        <f t="shared" si="79"/>
        <v>5.3206744800886323</v>
      </c>
      <c r="W228" s="83" t="str">
        <f>IF(Q229="","",IF(T228&gt;242,IF(T228&lt;320,"Pass","Fail"),"Fail"))</f>
        <v>Pass</v>
      </c>
      <c r="X228" s="92">
        <v>1400</v>
      </c>
      <c r="Y228" s="165" t="s">
        <v>153</v>
      </c>
      <c r="Z228" s="166" t="s">
        <v>154</v>
      </c>
      <c r="AA228" s="67">
        <v>240</v>
      </c>
      <c r="AB228" s="67">
        <v>320</v>
      </c>
      <c r="AC228" s="67">
        <v>190</v>
      </c>
      <c r="AD228" s="67">
        <v>360</v>
      </c>
      <c r="AE228" s="67">
        <v>20</v>
      </c>
      <c r="AF228" s="67">
        <v>11</v>
      </c>
    </row>
    <row r="229" spans="1:32">
      <c r="A229" s="149"/>
      <c r="B229" s="82"/>
      <c r="C229" s="82"/>
      <c r="D229" s="204" t="s">
        <v>115</v>
      </c>
      <c r="E229" s="59">
        <v>2530.06</v>
      </c>
      <c r="F229" s="59">
        <v>2483.5700000000002</v>
      </c>
      <c r="G229" s="59">
        <v>2459.2800000000002</v>
      </c>
      <c r="H229" s="59">
        <v>2455.16</v>
      </c>
      <c r="I229" s="59">
        <v>2469.21</v>
      </c>
      <c r="J229" s="59">
        <v>2506.3000000000002</v>
      </c>
      <c r="K229" s="59">
        <v>2559.5500000000002</v>
      </c>
      <c r="L229" s="59">
        <v>2530.71</v>
      </c>
      <c r="M229" s="59">
        <v>2479.38</v>
      </c>
      <c r="N229" s="59">
        <v>2454.65</v>
      </c>
      <c r="O229" s="59">
        <v>2476.6</v>
      </c>
      <c r="P229" s="59">
        <v>2527.56</v>
      </c>
      <c r="Q229" s="59">
        <v>2598.59</v>
      </c>
      <c r="R229" s="190"/>
      <c r="S229" s="190"/>
      <c r="T229" s="191"/>
      <c r="U229" s="191"/>
      <c r="W229" s="177"/>
      <c r="X229" s="92"/>
      <c r="Y229" s="167"/>
      <c r="Z229" s="147"/>
    </row>
    <row r="230" spans="1:32" ht="48">
      <c r="A230" s="149"/>
      <c r="B230" s="207"/>
      <c r="C230" s="207"/>
      <c r="D230" s="204" t="s">
        <v>116</v>
      </c>
      <c r="E230" s="51">
        <f t="shared" ref="E230:Q230" si="81">IF(((E228="")*AND(E229="")),"",(E228-E229))</f>
        <v>267.05000000000018</v>
      </c>
      <c r="F230" s="51">
        <f t="shared" si="81"/>
        <v>261.02999999999975</v>
      </c>
      <c r="G230" s="51">
        <f t="shared" si="81"/>
        <v>260.9399999999996</v>
      </c>
      <c r="H230" s="51">
        <f t="shared" si="81"/>
        <v>261.78999999999996</v>
      </c>
      <c r="I230" s="51">
        <f t="shared" si="81"/>
        <v>262.32999999999993</v>
      </c>
      <c r="J230" s="51">
        <f t="shared" si="81"/>
        <v>265.65999999999985</v>
      </c>
      <c r="K230" s="51">
        <f t="shared" si="81"/>
        <v>276.88999999999987</v>
      </c>
      <c r="L230" s="51">
        <f t="shared" si="81"/>
        <v>272.7199999999998</v>
      </c>
      <c r="M230" s="51">
        <f t="shared" si="81"/>
        <v>263.80999999999995</v>
      </c>
      <c r="N230" s="85">
        <f t="shared" si="81"/>
        <v>263.65000000000009</v>
      </c>
      <c r="O230" s="85">
        <f t="shared" si="81"/>
        <v>261.09000000000015</v>
      </c>
      <c r="P230" s="85">
        <f t="shared" si="81"/>
        <v>257.5300000000002</v>
      </c>
      <c r="Q230" s="85">
        <f t="shared" si="81"/>
        <v>268.23999999999978</v>
      </c>
      <c r="R230" s="192"/>
      <c r="S230" s="192"/>
      <c r="T230" s="193"/>
      <c r="U230" s="193"/>
      <c r="W230" s="178"/>
      <c r="X230" s="92"/>
      <c r="Y230" s="167"/>
      <c r="Z230" s="147"/>
    </row>
    <row r="231" spans="1:32">
      <c r="A231" s="149">
        <v>42760</v>
      </c>
      <c r="B231" s="81" t="s">
        <v>119</v>
      </c>
      <c r="C231" s="81" t="s">
        <v>120</v>
      </c>
      <c r="D231" s="204" t="s">
        <v>114</v>
      </c>
      <c r="E231" s="59">
        <v>6848.08</v>
      </c>
      <c r="F231" s="59">
        <v>6849.56</v>
      </c>
      <c r="G231" s="59">
        <v>6869.78</v>
      </c>
      <c r="H231" s="59">
        <v>6815.8</v>
      </c>
      <c r="I231" s="59">
        <v>6854.46</v>
      </c>
      <c r="J231" s="59">
        <v>6806.51</v>
      </c>
      <c r="K231" s="59">
        <v>6817.4</v>
      </c>
      <c r="L231" s="59">
        <v>6860.27</v>
      </c>
      <c r="M231" s="59">
        <v>6917.93</v>
      </c>
      <c r="N231" s="210"/>
      <c r="O231" s="210"/>
      <c r="P231" s="210"/>
      <c r="Q231" s="210"/>
      <c r="R231" s="196">
        <f>IF((M232=""),"",MAX(E233:M233))</f>
        <v>4718.5200000000004</v>
      </c>
      <c r="S231" s="194">
        <f>IF(M232="","",MIN(E233:M233))</f>
        <v>4207.7799999999988</v>
      </c>
      <c r="T231" s="195">
        <f>IF((M233=""),"",AVERAGE(E233:M233))</f>
        <v>4400.1044444444451</v>
      </c>
      <c r="U231" s="195">
        <f>IF((M232=""),"",(R231-S231)/(R231+S231)*100)</f>
        <v>5.7217436115748033</v>
      </c>
      <c r="V231" s="66">
        <f t="shared" si="79"/>
        <v>187.82410302668436</v>
      </c>
      <c r="W231" s="83" t="str">
        <f>IF(M232="","",IF(T231&gt;3650,IF(T231&lt;4450,"Pass","Fail"),"Fail"))</f>
        <v>Pass</v>
      </c>
      <c r="X231" s="92">
        <v>1400</v>
      </c>
      <c r="Y231" s="165" t="s">
        <v>153</v>
      </c>
      <c r="Z231" s="166" t="s">
        <v>154</v>
      </c>
      <c r="AA231" s="86">
        <v>3650</v>
      </c>
      <c r="AB231" s="86">
        <v>4450</v>
      </c>
      <c r="AC231" s="86">
        <v>3700</v>
      </c>
      <c r="AD231" s="86">
        <v>4250</v>
      </c>
      <c r="AE231" s="86">
        <v>7.2</v>
      </c>
      <c r="AF231" s="86">
        <v>3</v>
      </c>
    </row>
    <row r="232" spans="1:32">
      <c r="A232" s="149"/>
      <c r="B232" s="82"/>
      <c r="C232" s="82"/>
      <c r="D232" s="204" t="s">
        <v>115</v>
      </c>
      <c r="E232" s="59">
        <v>4538.1499999999996</v>
      </c>
      <c r="F232" s="59">
        <v>4720.91</v>
      </c>
      <c r="G232" s="59">
        <v>4765.8900000000003</v>
      </c>
      <c r="H232" s="59">
        <v>4668.75</v>
      </c>
      <c r="I232" s="59">
        <v>4495.2</v>
      </c>
      <c r="J232" s="59">
        <v>4545.5600000000004</v>
      </c>
      <c r="K232" s="59">
        <v>4663.8100000000004</v>
      </c>
      <c r="L232" s="59">
        <v>4755.46</v>
      </c>
      <c r="M232" s="59">
        <v>4685.59</v>
      </c>
      <c r="N232" s="205"/>
      <c r="O232" s="205"/>
      <c r="P232" s="205"/>
      <c r="Q232" s="205"/>
      <c r="R232" s="190"/>
      <c r="S232" s="190"/>
      <c r="T232" s="191"/>
      <c r="U232" s="191"/>
      <c r="W232" s="177"/>
      <c r="X232" s="92"/>
      <c r="Y232" s="167"/>
      <c r="Z232" s="147"/>
    </row>
    <row r="233" spans="1:32" ht="48">
      <c r="A233" s="149"/>
      <c r="B233" s="207"/>
      <c r="C233" s="207"/>
      <c r="D233" s="204" t="s">
        <v>116</v>
      </c>
      <c r="E233" s="51">
        <f t="shared" ref="E233:M233" si="82">IF(((E231="")*AND(E232="")),"",(E231-E232)*2)</f>
        <v>4619.8600000000006</v>
      </c>
      <c r="F233" s="51">
        <f t="shared" si="82"/>
        <v>4257.3000000000011</v>
      </c>
      <c r="G233" s="51">
        <f t="shared" si="82"/>
        <v>4207.7799999999988</v>
      </c>
      <c r="H233" s="51">
        <f t="shared" si="82"/>
        <v>4294.1000000000004</v>
      </c>
      <c r="I233" s="51">
        <f t="shared" si="82"/>
        <v>4718.5200000000004</v>
      </c>
      <c r="J233" s="51">
        <f t="shared" si="82"/>
        <v>4521.8999999999996</v>
      </c>
      <c r="K233" s="51">
        <f t="shared" si="82"/>
        <v>4307.1799999999985</v>
      </c>
      <c r="L233" s="51">
        <f t="shared" si="82"/>
        <v>4209.6200000000008</v>
      </c>
      <c r="M233" s="51">
        <f t="shared" si="82"/>
        <v>4464.68</v>
      </c>
      <c r="N233" s="51"/>
      <c r="O233" s="51"/>
      <c r="P233" s="51"/>
      <c r="Q233" s="51"/>
      <c r="R233" s="192"/>
      <c r="S233" s="192"/>
      <c r="T233" s="193"/>
      <c r="U233" s="193"/>
      <c r="W233" s="178"/>
      <c r="X233" s="92"/>
      <c r="Y233" s="167"/>
      <c r="Z233" s="147"/>
    </row>
    <row r="234" spans="1:32">
      <c r="A234" s="149">
        <v>42760</v>
      </c>
      <c r="B234" s="81" t="s">
        <v>121</v>
      </c>
      <c r="C234" s="81" t="s">
        <v>121</v>
      </c>
      <c r="D234" s="204" t="s">
        <v>114</v>
      </c>
      <c r="E234" s="59">
        <v>1915.14</v>
      </c>
      <c r="F234" s="59">
        <v>1904.17</v>
      </c>
      <c r="G234" s="59">
        <v>1908.97</v>
      </c>
      <c r="H234" s="59">
        <v>1907.31</v>
      </c>
      <c r="I234" s="59">
        <v>1909.22</v>
      </c>
      <c r="J234" s="59">
        <v>1909.35</v>
      </c>
      <c r="K234" s="59">
        <v>1905.95</v>
      </c>
      <c r="L234" s="59">
        <v>1908.33</v>
      </c>
      <c r="M234" s="59">
        <v>1913.69</v>
      </c>
      <c r="N234" s="205"/>
      <c r="O234" s="205"/>
      <c r="P234" s="205"/>
      <c r="Q234" s="205"/>
      <c r="R234" s="194">
        <f>IF((M235=""),"",MAX(E236:M236))</f>
        <v>2614.4799999999996</v>
      </c>
      <c r="S234" s="194">
        <f>IF((M235=""),"",MIN(E236:M236))</f>
        <v>2494.16</v>
      </c>
      <c r="T234" s="195">
        <f>IF((M236=""),"",AVERAGE(E236:M236))</f>
        <v>2545.12</v>
      </c>
      <c r="U234" s="195">
        <f>IF((M235=""),"",(R234-S234)/(R234+S234)*100)</f>
        <v>2.3552256569262999</v>
      </c>
      <c r="V234" s="66">
        <f t="shared" si="79"/>
        <v>40.637839509517349</v>
      </c>
      <c r="W234" s="174" t="str">
        <f>IF(M235="","",IF(U234&lt;5.5,IF(T234&gt;2200,IF(T234&lt;2900,"Pass","Fail"),"Fail"),"Fail"))</f>
        <v>Pass</v>
      </c>
      <c r="X234" s="92">
        <v>1400</v>
      </c>
      <c r="Y234" s="165" t="s">
        <v>153</v>
      </c>
      <c r="Z234" s="166" t="s">
        <v>154</v>
      </c>
      <c r="AA234" s="67">
        <v>2000</v>
      </c>
      <c r="AB234" s="67">
        <v>3000</v>
      </c>
      <c r="AC234" s="67">
        <v>2200</v>
      </c>
      <c r="AD234" s="67">
        <v>2900</v>
      </c>
      <c r="AE234" s="67">
        <v>7</v>
      </c>
      <c r="AF234" s="67">
        <v>5.5</v>
      </c>
    </row>
    <row r="235" spans="1:32">
      <c r="A235" s="149"/>
      <c r="B235" s="82"/>
      <c r="C235" s="82"/>
      <c r="D235" s="204" t="s">
        <v>115</v>
      </c>
      <c r="E235" s="59">
        <v>1282.97</v>
      </c>
      <c r="F235" s="59">
        <v>1267.8900000000001</v>
      </c>
      <c r="G235" s="59">
        <v>1284.97</v>
      </c>
      <c r="H235" s="59">
        <v>1265.19</v>
      </c>
      <c r="I235" s="59">
        <v>1274.58</v>
      </c>
      <c r="J235" s="59">
        <v>1255.73</v>
      </c>
      <c r="K235" s="59">
        <v>1257.83</v>
      </c>
      <c r="L235" s="59">
        <v>1276.3</v>
      </c>
      <c r="M235" s="59">
        <v>1290.1500000000001</v>
      </c>
      <c r="N235" s="205"/>
      <c r="O235" s="205"/>
      <c r="P235" s="205"/>
      <c r="Q235" s="205"/>
      <c r="R235" s="190"/>
      <c r="S235" s="190"/>
      <c r="T235" s="191"/>
      <c r="U235" s="191"/>
      <c r="W235" s="179"/>
      <c r="X235" s="92"/>
      <c r="Y235" s="167"/>
      <c r="Z235" s="147"/>
    </row>
    <row r="236" spans="1:32" ht="48.75" thickBot="1">
      <c r="A236" s="149"/>
      <c r="B236" s="211"/>
      <c r="C236" s="211"/>
      <c r="D236" s="212" t="s">
        <v>116</v>
      </c>
      <c r="E236" s="87">
        <f t="shared" ref="E236:M236" si="83">IF(((E234="")*AND(E235="")),"",(E234-E235)*4)</f>
        <v>2528.6800000000003</v>
      </c>
      <c r="F236" s="87">
        <f t="shared" si="83"/>
        <v>2545.12</v>
      </c>
      <c r="G236" s="87">
        <f t="shared" si="83"/>
        <v>2496</v>
      </c>
      <c r="H236" s="87">
        <f t="shared" si="83"/>
        <v>2568.4799999999996</v>
      </c>
      <c r="I236" s="87">
        <f t="shared" si="83"/>
        <v>2538.5600000000004</v>
      </c>
      <c r="J236" s="87">
        <f t="shared" si="83"/>
        <v>2614.4799999999996</v>
      </c>
      <c r="K236" s="87">
        <f t="shared" si="83"/>
        <v>2592.4800000000005</v>
      </c>
      <c r="L236" s="87">
        <f t="shared" si="83"/>
        <v>2528.12</v>
      </c>
      <c r="M236" s="87">
        <f t="shared" si="83"/>
        <v>2494.16</v>
      </c>
      <c r="N236" s="87"/>
      <c r="O236" s="87"/>
      <c r="P236" s="87"/>
      <c r="Q236" s="87" t="str">
        <f>IF(((Q234="")*AND(Q235="")),"",(Q234-Q235)*4)</f>
        <v/>
      </c>
      <c r="R236" s="197"/>
      <c r="S236" s="197"/>
      <c r="T236" s="198"/>
      <c r="U236" s="198"/>
      <c r="W236" s="180"/>
      <c r="X236" s="93"/>
      <c r="Y236" s="167"/>
      <c r="Z236" s="147"/>
    </row>
    <row r="237" spans="1:32">
      <c r="A237" s="149">
        <v>42772</v>
      </c>
      <c r="B237" s="200" t="s">
        <v>112</v>
      </c>
      <c r="C237" s="200" t="s">
        <v>113</v>
      </c>
      <c r="D237" s="201" t="s">
        <v>114</v>
      </c>
      <c r="E237" s="59">
        <v>7968.86</v>
      </c>
      <c r="F237" s="59">
        <v>7915.33</v>
      </c>
      <c r="G237" s="59">
        <v>7983.45</v>
      </c>
      <c r="H237" s="59">
        <v>8177.09</v>
      </c>
      <c r="I237" s="59">
        <v>8190.71</v>
      </c>
      <c r="J237" s="59">
        <v>8123.33</v>
      </c>
      <c r="K237" s="59">
        <v>8076.75</v>
      </c>
      <c r="L237" s="59">
        <v>8164.64</v>
      </c>
      <c r="M237" s="59">
        <v>7991.59</v>
      </c>
      <c r="N237" s="202"/>
      <c r="O237" s="202"/>
      <c r="P237" s="202"/>
      <c r="Q237" s="202"/>
      <c r="R237" s="188">
        <f>IF((M238=""),"",MAX(E239:M239))</f>
        <v>6752.9400000000005</v>
      </c>
      <c r="S237" s="188">
        <f>IF((M238=""),"",MIN(E239:M239))</f>
        <v>6015.26</v>
      </c>
      <c r="T237" s="189">
        <f>IF((M239=""),"",AVERAGE(E239:M239))</f>
        <v>6357.7800000000007</v>
      </c>
      <c r="U237" s="189">
        <f>IF((M238=""),"",(R237-S237)/(R237+S237)*100)</f>
        <v>5.777478422957036</v>
      </c>
      <c r="V237" s="66">
        <f t="shared" ref="V237:V246" si="84">STDEV(E239:Q239)</f>
        <v>263.01059940615966</v>
      </c>
      <c r="W237" s="170" t="str">
        <f>IF(M238="","",IF(U237&lt;6.3,IF(T237&gt;5550,IF(T237&lt;6900,"Pass","Fail"),"Fail"),"Fail"))</f>
        <v>Pass</v>
      </c>
      <c r="X237" s="92">
        <v>1400</v>
      </c>
      <c r="Y237" s="168" t="s">
        <v>130</v>
      </c>
      <c r="Z237" s="166"/>
      <c r="AA237" s="67">
        <v>5860</v>
      </c>
      <c r="AB237" s="67">
        <v>6770</v>
      </c>
      <c r="AC237" s="67">
        <v>5550</v>
      </c>
      <c r="AD237" s="67">
        <v>6900</v>
      </c>
      <c r="AE237" s="67">
        <v>20</v>
      </c>
      <c r="AF237" s="67">
        <v>6.3</v>
      </c>
    </row>
    <row r="238" spans="1:32">
      <c r="A238" s="149"/>
      <c r="B238" s="82"/>
      <c r="C238" s="82"/>
      <c r="D238" s="204" t="s">
        <v>115</v>
      </c>
      <c r="E238" s="59">
        <v>4737.99</v>
      </c>
      <c r="F238" s="59">
        <v>4587.54</v>
      </c>
      <c r="G238" s="59">
        <v>4718.57</v>
      </c>
      <c r="H238" s="59">
        <v>5154.17</v>
      </c>
      <c r="I238" s="59">
        <v>5183.08</v>
      </c>
      <c r="J238" s="59">
        <v>5053.29</v>
      </c>
      <c r="K238" s="59">
        <v>4908.46</v>
      </c>
      <c r="L238" s="59">
        <v>5023.5200000000004</v>
      </c>
      <c r="M238" s="59">
        <v>4615.12</v>
      </c>
      <c r="N238" s="205"/>
      <c r="O238" s="205"/>
      <c r="P238" s="205"/>
      <c r="Q238" s="205"/>
      <c r="R238" s="190"/>
      <c r="S238" s="190"/>
      <c r="T238" s="191"/>
      <c r="U238" s="191"/>
      <c r="W238" s="177"/>
      <c r="X238" s="92"/>
      <c r="Y238" s="167"/>
      <c r="Z238" s="147"/>
    </row>
    <row r="239" spans="1:32" ht="48">
      <c r="A239" s="149"/>
      <c r="B239" s="207"/>
      <c r="C239" s="207"/>
      <c r="D239" s="204" t="s">
        <v>116</v>
      </c>
      <c r="E239" s="51">
        <f t="shared" ref="E239:M239" si="85">IF(((E237="")*AND(E238="")),"",(E237-E238)*2)</f>
        <v>6461.74</v>
      </c>
      <c r="F239" s="51">
        <f t="shared" si="85"/>
        <v>6655.58</v>
      </c>
      <c r="G239" s="51">
        <f t="shared" si="85"/>
        <v>6529.76</v>
      </c>
      <c r="H239" s="51">
        <f t="shared" si="85"/>
        <v>6045.84</v>
      </c>
      <c r="I239" s="51">
        <f t="shared" si="85"/>
        <v>6015.26</v>
      </c>
      <c r="J239" s="51">
        <f t="shared" si="85"/>
        <v>6140.08</v>
      </c>
      <c r="K239" s="51">
        <f t="shared" si="85"/>
        <v>6336.58</v>
      </c>
      <c r="L239" s="51">
        <f t="shared" si="85"/>
        <v>6282.24</v>
      </c>
      <c r="M239" s="51">
        <f t="shared" si="85"/>
        <v>6752.9400000000005</v>
      </c>
      <c r="N239" s="51"/>
      <c r="O239" s="51"/>
      <c r="P239" s="51"/>
      <c r="Q239" s="51" t="str">
        <f>IF(((Q237="")*AND(Q238="")),"",(Q237-Q238)*2)</f>
        <v/>
      </c>
      <c r="R239" s="192"/>
      <c r="S239" s="192"/>
      <c r="T239" s="193"/>
      <c r="U239" s="193"/>
      <c r="W239" s="178"/>
      <c r="X239" s="92"/>
      <c r="Y239" s="167"/>
      <c r="Z239" s="147"/>
    </row>
    <row r="240" spans="1:32">
      <c r="A240" s="149">
        <v>42772</v>
      </c>
      <c r="B240" s="81" t="s">
        <v>117</v>
      </c>
      <c r="C240" s="81" t="s">
        <v>118</v>
      </c>
      <c r="D240" s="204" t="s">
        <v>114</v>
      </c>
      <c r="E240" s="59">
        <v>2535.75</v>
      </c>
      <c r="F240" s="59">
        <v>2482.9</v>
      </c>
      <c r="G240" s="59">
        <v>2455.44</v>
      </c>
      <c r="H240" s="59">
        <v>2477.11</v>
      </c>
      <c r="I240" s="59">
        <v>2469.21</v>
      </c>
      <c r="J240" s="59">
        <v>2506.71</v>
      </c>
      <c r="K240" s="59">
        <v>2562.9699999999998</v>
      </c>
      <c r="L240" s="59">
        <v>2542.9899999999998</v>
      </c>
      <c r="M240" s="59">
        <v>2496.2399999999998</v>
      </c>
      <c r="N240" s="59">
        <v>2451.7399999999998</v>
      </c>
      <c r="O240" s="59">
        <v>2476.08</v>
      </c>
      <c r="P240" s="59">
        <v>2533.83</v>
      </c>
      <c r="Q240" s="59">
        <v>2595.83</v>
      </c>
      <c r="R240" s="194">
        <f>IF((Q241=""),"",MAX(E242:Q242))</f>
        <v>347.17999999999984</v>
      </c>
      <c r="S240" s="194">
        <f>IF(Q241="","",MIN(E242:Q242))</f>
        <v>276.28999999999996</v>
      </c>
      <c r="T240" s="195">
        <f>IF((Q242=""),"",AVERAGE(E242:Q242))</f>
        <v>300.22615384615381</v>
      </c>
      <c r="U240" s="195">
        <f>IF((Q241=""),"",(R240-S240)/(R240+S240)*100)</f>
        <v>11.370234333648757</v>
      </c>
      <c r="V240" s="66">
        <f t="shared" si="84"/>
        <v>20.033166473984007</v>
      </c>
      <c r="W240" s="83" t="str">
        <f>IF(Q241="","",IF(T240&gt;242,IF(T240&lt;320,"Pass","Fail"),"Fail"))</f>
        <v>Pass</v>
      </c>
      <c r="X240" s="92">
        <v>1400</v>
      </c>
      <c r="Y240" s="168" t="s">
        <v>130</v>
      </c>
      <c r="Z240" s="147"/>
      <c r="AA240" s="67">
        <v>240</v>
      </c>
      <c r="AB240" s="67">
        <v>320</v>
      </c>
      <c r="AC240" s="67">
        <v>190</v>
      </c>
      <c r="AD240" s="67">
        <v>360</v>
      </c>
      <c r="AE240" s="67">
        <v>20</v>
      </c>
      <c r="AF240" s="67">
        <v>11</v>
      </c>
    </row>
    <row r="241" spans="1:32">
      <c r="A241" s="149"/>
      <c r="B241" s="82"/>
      <c r="C241" s="82"/>
      <c r="D241" s="204" t="s">
        <v>115</v>
      </c>
      <c r="E241" s="59">
        <v>2228.71</v>
      </c>
      <c r="F241" s="59">
        <v>2195.48</v>
      </c>
      <c r="G241" s="59">
        <v>2179.15</v>
      </c>
      <c r="H241" s="59">
        <v>2162.9899999999998</v>
      </c>
      <c r="I241" s="59">
        <v>2184.06</v>
      </c>
      <c r="J241" s="59">
        <v>2215.4499999999998</v>
      </c>
      <c r="K241" s="59">
        <v>2245.29</v>
      </c>
      <c r="L241" s="59">
        <v>2195.81</v>
      </c>
      <c r="M241" s="59">
        <v>2195.81</v>
      </c>
      <c r="N241" s="59">
        <v>2166</v>
      </c>
      <c r="O241" s="59">
        <v>2197.44</v>
      </c>
      <c r="P241" s="59">
        <v>2216</v>
      </c>
      <c r="Q241" s="59">
        <v>2301.67</v>
      </c>
      <c r="R241" s="190"/>
      <c r="S241" s="190"/>
      <c r="T241" s="191"/>
      <c r="U241" s="191"/>
      <c r="W241" s="177"/>
      <c r="X241" s="92"/>
      <c r="Y241" s="167"/>
      <c r="Z241" s="147"/>
    </row>
    <row r="242" spans="1:32" ht="48">
      <c r="A242" s="149"/>
      <c r="B242" s="207"/>
      <c r="C242" s="207"/>
      <c r="D242" s="204" t="s">
        <v>116</v>
      </c>
      <c r="E242" s="51">
        <f t="shared" ref="E242:Q242" si="86">IF(((E240="")*AND(E241="")),"",(E240-E241))</f>
        <v>307.03999999999996</v>
      </c>
      <c r="F242" s="51">
        <f t="shared" si="86"/>
        <v>287.42000000000007</v>
      </c>
      <c r="G242" s="51">
        <f t="shared" si="86"/>
        <v>276.28999999999996</v>
      </c>
      <c r="H242" s="51">
        <f t="shared" si="86"/>
        <v>314.12000000000035</v>
      </c>
      <c r="I242" s="51">
        <f t="shared" si="86"/>
        <v>285.15000000000009</v>
      </c>
      <c r="J242" s="51">
        <f t="shared" si="86"/>
        <v>291.26000000000022</v>
      </c>
      <c r="K242" s="51">
        <f t="shared" si="86"/>
        <v>317.67999999999984</v>
      </c>
      <c r="L242" s="51">
        <f t="shared" si="86"/>
        <v>347.17999999999984</v>
      </c>
      <c r="M242" s="51">
        <f t="shared" si="86"/>
        <v>300.42999999999984</v>
      </c>
      <c r="N242" s="85">
        <f t="shared" si="86"/>
        <v>285.73999999999978</v>
      </c>
      <c r="O242" s="85">
        <f t="shared" si="86"/>
        <v>278.63999999999987</v>
      </c>
      <c r="P242" s="85">
        <f t="shared" si="86"/>
        <v>317.82999999999993</v>
      </c>
      <c r="Q242" s="85">
        <f t="shared" si="86"/>
        <v>294.15999999999985</v>
      </c>
      <c r="R242" s="192"/>
      <c r="S242" s="192"/>
      <c r="T242" s="193"/>
      <c r="U242" s="193"/>
      <c r="W242" s="178"/>
      <c r="X242" s="92"/>
      <c r="Y242" s="167"/>
      <c r="Z242" s="147"/>
    </row>
    <row r="243" spans="1:32">
      <c r="A243" s="149">
        <v>42772</v>
      </c>
      <c r="B243" s="81" t="s">
        <v>119</v>
      </c>
      <c r="C243" s="81" t="s">
        <v>120</v>
      </c>
      <c r="D243" s="204" t="s">
        <v>114</v>
      </c>
      <c r="E243" s="59">
        <v>4559.68</v>
      </c>
      <c r="F243" s="59">
        <v>4741.66</v>
      </c>
      <c r="G243" s="59">
        <v>4785.72</v>
      </c>
      <c r="H243" s="59">
        <v>4689.32</v>
      </c>
      <c r="I243" s="59">
        <v>4514.71</v>
      </c>
      <c r="J243" s="59">
        <v>4564.8500000000004</v>
      </c>
      <c r="K243" s="59">
        <v>4684.67</v>
      </c>
      <c r="L243" s="59">
        <v>4775.33</v>
      </c>
      <c r="M243" s="59">
        <v>4706.53</v>
      </c>
      <c r="N243" s="210"/>
      <c r="O243" s="210"/>
      <c r="P243" s="210"/>
      <c r="Q243" s="210"/>
      <c r="R243" s="196">
        <f>IF((M244=""),"",MAX(E245:M245))</f>
        <v>4727.12</v>
      </c>
      <c r="S243" s="194">
        <f>IF(M244="","",MIN(E245:M245))</f>
        <v>4228.0600000000004</v>
      </c>
      <c r="T243" s="195">
        <f>IF((M245=""),"",AVERAGE(E245:M245))</f>
        <v>4422.6822222222218</v>
      </c>
      <c r="U243" s="195">
        <f>IF((M244=""),"",(R243-S243)/(R243+S243)*100)</f>
        <v>5.572863973700132</v>
      </c>
      <c r="V243" s="66">
        <f t="shared" si="84"/>
        <v>178.89771112132502</v>
      </c>
      <c r="W243" s="83" t="str">
        <f>IF(M244="","",IF(T243&gt;3650,IF(T243&lt;4450,"Pass","Fail"),"Fail"))</f>
        <v>Pass</v>
      </c>
      <c r="X243" s="92">
        <v>1400</v>
      </c>
      <c r="Y243" s="168" t="s">
        <v>130</v>
      </c>
      <c r="Z243" s="147"/>
      <c r="AA243" s="86">
        <v>3650</v>
      </c>
      <c r="AB243" s="86">
        <v>4450</v>
      </c>
      <c r="AC243" s="86">
        <v>3700</v>
      </c>
      <c r="AD243" s="86">
        <v>4250</v>
      </c>
      <c r="AE243" s="86">
        <v>7.2</v>
      </c>
      <c r="AF243" s="86">
        <v>3</v>
      </c>
    </row>
    <row r="244" spans="1:32">
      <c r="A244" s="149"/>
      <c r="B244" s="82"/>
      <c r="C244" s="82"/>
      <c r="D244" s="204" t="s">
        <v>115</v>
      </c>
      <c r="E244" s="59">
        <v>2287.59</v>
      </c>
      <c r="F244" s="59">
        <v>2619.2600000000002</v>
      </c>
      <c r="G244" s="59">
        <v>2671.69</v>
      </c>
      <c r="H244" s="59">
        <v>2509.5700000000002</v>
      </c>
      <c r="I244" s="59">
        <v>2151.15</v>
      </c>
      <c r="J244" s="59">
        <v>2263.94</v>
      </c>
      <c r="K244" s="59">
        <v>2519.21</v>
      </c>
      <c r="L244" s="59">
        <v>2646.2</v>
      </c>
      <c r="M244" s="59">
        <v>2451.79</v>
      </c>
      <c r="N244" s="205"/>
      <c r="O244" s="205"/>
      <c r="P244" s="205"/>
      <c r="Q244" s="205"/>
      <c r="R244" s="190"/>
      <c r="S244" s="190"/>
      <c r="T244" s="191"/>
      <c r="U244" s="191"/>
      <c r="W244" s="177"/>
      <c r="X244" s="92"/>
      <c r="Y244" s="167"/>
      <c r="Z244" s="147"/>
    </row>
    <row r="245" spans="1:32" ht="48">
      <c r="A245" s="149"/>
      <c r="B245" s="207"/>
      <c r="C245" s="207"/>
      <c r="D245" s="204" t="s">
        <v>116</v>
      </c>
      <c r="E245" s="51">
        <f t="shared" ref="E245:M245" si="87">IF(((E243="")*AND(E244="")),"",(E243-E244)*2)</f>
        <v>4544.18</v>
      </c>
      <c r="F245" s="51">
        <f t="shared" si="87"/>
        <v>4244.7999999999993</v>
      </c>
      <c r="G245" s="51">
        <f t="shared" si="87"/>
        <v>4228.0600000000004</v>
      </c>
      <c r="H245" s="51">
        <f t="shared" si="87"/>
        <v>4359.4999999999991</v>
      </c>
      <c r="I245" s="51">
        <f t="shared" si="87"/>
        <v>4727.12</v>
      </c>
      <c r="J245" s="51">
        <f t="shared" si="87"/>
        <v>4601.8200000000006</v>
      </c>
      <c r="K245" s="51">
        <f t="shared" si="87"/>
        <v>4330.92</v>
      </c>
      <c r="L245" s="51">
        <f t="shared" si="87"/>
        <v>4258.26</v>
      </c>
      <c r="M245" s="51">
        <f t="shared" si="87"/>
        <v>4509.4799999999996</v>
      </c>
      <c r="N245" s="51"/>
      <c r="O245" s="51"/>
      <c r="P245" s="51"/>
      <c r="Q245" s="51"/>
      <c r="R245" s="192"/>
      <c r="S245" s="192"/>
      <c r="T245" s="193"/>
      <c r="U245" s="193"/>
      <c r="W245" s="178"/>
      <c r="X245" s="92"/>
      <c r="Y245" s="167"/>
      <c r="Z245" s="147"/>
    </row>
    <row r="246" spans="1:32">
      <c r="A246" s="149">
        <v>42772</v>
      </c>
      <c r="B246" s="81" t="s">
        <v>121</v>
      </c>
      <c r="C246" s="81" t="s">
        <v>121</v>
      </c>
      <c r="D246" s="204" t="s">
        <v>114</v>
      </c>
      <c r="E246" s="59">
        <v>1926.14</v>
      </c>
      <c r="F246" s="59">
        <v>1918.49</v>
      </c>
      <c r="G246" s="59">
        <v>1907.43</v>
      </c>
      <c r="H246" s="59">
        <v>1921.35</v>
      </c>
      <c r="I246" s="59">
        <v>1926.97</v>
      </c>
      <c r="J246" s="59">
        <v>1927.74</v>
      </c>
      <c r="K246" s="59">
        <v>1922.08</v>
      </c>
      <c r="L246" s="59">
        <v>1918.6</v>
      </c>
      <c r="M246" s="59">
        <v>1927.61</v>
      </c>
      <c r="N246" s="205"/>
      <c r="O246" s="205"/>
      <c r="P246" s="205"/>
      <c r="Q246" s="205"/>
      <c r="R246" s="194">
        <f>IF((M247=""),"",MAX(E248:M248))</f>
        <v>2582.7199999999993</v>
      </c>
      <c r="S246" s="194">
        <f>IF((M247=""),"",MIN(E248:M248))</f>
        <v>2431.2799999999997</v>
      </c>
      <c r="T246" s="195">
        <f>IF((M248=""),"",AVERAGE(E248:M248))</f>
        <v>2512.7955555555554</v>
      </c>
      <c r="U246" s="195">
        <f>IF((M247=""),"",(R246-S246)/(R246+S246)*100)</f>
        <v>3.020343039489422</v>
      </c>
      <c r="V246" s="66">
        <f t="shared" si="84"/>
        <v>51.35948770945798</v>
      </c>
      <c r="W246" s="174" t="str">
        <f>IF(M247="","",IF(U246&lt;5.5,IF(T246&gt;2200,IF(T246&lt;2900,"Pass","Fail"),"Fail"),"Fail"))</f>
        <v>Pass</v>
      </c>
      <c r="X246" s="92">
        <v>1400</v>
      </c>
      <c r="Y246" s="168" t="s">
        <v>130</v>
      </c>
      <c r="Z246" s="147"/>
      <c r="AA246" s="67">
        <v>2000</v>
      </c>
      <c r="AB246" s="67">
        <v>3000</v>
      </c>
      <c r="AC246" s="67">
        <v>2200</v>
      </c>
      <c r="AD246" s="67">
        <v>2900</v>
      </c>
      <c r="AE246" s="67">
        <v>7</v>
      </c>
      <c r="AF246" s="67">
        <v>5.5</v>
      </c>
    </row>
    <row r="247" spans="1:32">
      <c r="A247" s="149"/>
      <c r="B247" s="82"/>
      <c r="C247" s="82"/>
      <c r="D247" s="204" t="s">
        <v>115</v>
      </c>
      <c r="E247" s="59">
        <v>1306.53</v>
      </c>
      <c r="F247" s="59">
        <v>1280.26</v>
      </c>
      <c r="G247" s="59">
        <v>1279.01</v>
      </c>
      <c r="H247" s="59">
        <v>1284.78</v>
      </c>
      <c r="I247" s="59">
        <v>1316.04</v>
      </c>
      <c r="J247" s="59">
        <v>1293.07</v>
      </c>
      <c r="K247" s="59">
        <v>1276.4000000000001</v>
      </c>
      <c r="L247" s="59">
        <v>1286.74</v>
      </c>
      <c r="M247" s="59">
        <v>1319.79</v>
      </c>
      <c r="N247" s="205"/>
      <c r="O247" s="205"/>
      <c r="P247" s="205"/>
      <c r="Q247" s="205"/>
      <c r="R247" s="190"/>
      <c r="S247" s="190"/>
      <c r="T247" s="191"/>
      <c r="U247" s="191"/>
      <c r="W247" s="179"/>
      <c r="X247" s="92"/>
      <c r="Y247" s="167"/>
      <c r="Z247" s="147"/>
    </row>
    <row r="248" spans="1:32" ht="48.75" thickBot="1">
      <c r="A248" s="149"/>
      <c r="B248" s="211"/>
      <c r="C248" s="211"/>
      <c r="D248" s="212" t="s">
        <v>116</v>
      </c>
      <c r="E248" s="87">
        <f t="shared" ref="E248:M248" si="88">IF(((E246="")*AND(E247="")),"",(E246-E247)*4)</f>
        <v>2478.4400000000005</v>
      </c>
      <c r="F248" s="87">
        <f t="shared" si="88"/>
        <v>2552.92</v>
      </c>
      <c r="G248" s="87">
        <f t="shared" si="88"/>
        <v>2513.6800000000003</v>
      </c>
      <c r="H248" s="87">
        <f t="shared" si="88"/>
        <v>2546.2799999999997</v>
      </c>
      <c r="I248" s="87">
        <f t="shared" si="88"/>
        <v>2443.7200000000003</v>
      </c>
      <c r="J248" s="87">
        <f t="shared" si="88"/>
        <v>2538.6800000000003</v>
      </c>
      <c r="K248" s="87">
        <f t="shared" si="88"/>
        <v>2582.7199999999993</v>
      </c>
      <c r="L248" s="87">
        <f t="shared" si="88"/>
        <v>2527.4399999999996</v>
      </c>
      <c r="M248" s="87">
        <f t="shared" si="88"/>
        <v>2431.2799999999997</v>
      </c>
      <c r="N248" s="87"/>
      <c r="O248" s="87"/>
      <c r="P248" s="87"/>
      <c r="Q248" s="87" t="str">
        <f>IF(((Q246="")*AND(Q247="")),"",(Q246-Q247)*4)</f>
        <v/>
      </c>
      <c r="R248" s="197"/>
      <c r="S248" s="197"/>
      <c r="T248" s="198"/>
      <c r="U248" s="198"/>
      <c r="W248" s="180"/>
      <c r="X248" s="93"/>
      <c r="Y248" s="167"/>
      <c r="Z248" s="147"/>
    </row>
    <row r="249" spans="1:32">
      <c r="A249" s="149">
        <v>42814</v>
      </c>
      <c r="B249" s="200" t="s">
        <v>112</v>
      </c>
      <c r="C249" s="200" t="s">
        <v>113</v>
      </c>
      <c r="D249" s="201" t="s">
        <v>114</v>
      </c>
      <c r="E249" s="59">
        <v>7964.31</v>
      </c>
      <c r="F249" s="59">
        <v>7938.65</v>
      </c>
      <c r="G249" s="59">
        <v>7998.87</v>
      </c>
      <c r="H249" s="59">
        <v>8191.76</v>
      </c>
      <c r="I249" s="59">
        <v>8205.0499999999993</v>
      </c>
      <c r="J249" s="59">
        <v>8133.42</v>
      </c>
      <c r="K249" s="59">
        <v>8089.08</v>
      </c>
      <c r="L249" s="59">
        <v>8183.65</v>
      </c>
      <c r="M249" s="59">
        <v>8017.57</v>
      </c>
      <c r="N249" s="202"/>
      <c r="O249" s="202"/>
      <c r="P249" s="202"/>
      <c r="Q249" s="202"/>
      <c r="R249" s="188">
        <f>IF((M250=""),"",MAX(E251:M251))</f>
        <v>6574.68</v>
      </c>
      <c r="S249" s="188">
        <f>IF((M250=""),"",MIN(E251:M251))</f>
        <v>5968.1399999999994</v>
      </c>
      <c r="T249" s="189">
        <f>IF((M251=""),"",AVERAGE(E251:M251))</f>
        <v>6250.4533333333329</v>
      </c>
      <c r="U249" s="189">
        <f>IF((M250=""),"",(R249-S249)/(R249+S249)*100)</f>
        <v>4.835754638908961</v>
      </c>
      <c r="V249" s="66">
        <f t="shared" ref="V249:V258" si="89">STDEV(E251:Q251)</f>
        <v>214.10714981057848</v>
      </c>
      <c r="W249" s="170" t="str">
        <f>IF(M250="","",IF(U249&lt;6.3,IF(T249&gt;5550,IF(T249&lt;6900,"Pass","Fail"),"Fail"),"Fail"))</f>
        <v>Pass</v>
      </c>
      <c r="X249" s="92">
        <v>1400</v>
      </c>
      <c r="Y249" s="168" t="s">
        <v>131</v>
      </c>
      <c r="Z249" s="166"/>
      <c r="AA249" s="67">
        <v>5860</v>
      </c>
      <c r="AB249" s="67">
        <v>6770</v>
      </c>
      <c r="AC249" s="67">
        <v>5550</v>
      </c>
      <c r="AD249" s="67">
        <v>6900</v>
      </c>
      <c r="AE249" s="67">
        <v>20</v>
      </c>
      <c r="AF249" s="67">
        <v>6.3</v>
      </c>
    </row>
    <row r="250" spans="1:32">
      <c r="A250" s="149"/>
      <c r="B250" s="82"/>
      <c r="C250" s="82"/>
      <c r="D250" s="204" t="s">
        <v>115</v>
      </c>
      <c r="E250" s="59">
        <v>4774.63</v>
      </c>
      <c r="F250" s="59">
        <v>4699.91</v>
      </c>
      <c r="G250" s="59">
        <v>4820.3599999999997</v>
      </c>
      <c r="H250" s="59">
        <v>5191.8900000000003</v>
      </c>
      <c r="I250" s="59">
        <v>5220.9799999999996</v>
      </c>
      <c r="J250" s="59">
        <v>5094.01</v>
      </c>
      <c r="K250" s="59">
        <v>4955.3999999999996</v>
      </c>
      <c r="L250" s="59">
        <v>5107.91</v>
      </c>
      <c r="M250" s="59">
        <v>4730.2299999999996</v>
      </c>
      <c r="N250" s="205"/>
      <c r="O250" s="205"/>
      <c r="P250" s="205"/>
      <c r="Q250" s="205"/>
      <c r="R250" s="190"/>
      <c r="S250" s="190"/>
      <c r="T250" s="191"/>
      <c r="U250" s="191"/>
      <c r="W250" s="177"/>
      <c r="X250" s="92"/>
      <c r="Y250" s="167"/>
      <c r="Z250" s="147"/>
    </row>
    <row r="251" spans="1:32" ht="48">
      <c r="A251" s="149"/>
      <c r="B251" s="207"/>
      <c r="C251" s="207"/>
      <c r="D251" s="204" t="s">
        <v>116</v>
      </c>
      <c r="E251" s="51">
        <f t="shared" ref="E251:M251" si="90">IF(((E249="")*AND(E250="")),"",(E249-E250)*2)</f>
        <v>6379.3600000000006</v>
      </c>
      <c r="F251" s="51">
        <f t="shared" si="90"/>
        <v>6477.48</v>
      </c>
      <c r="G251" s="51">
        <f t="shared" si="90"/>
        <v>6357.02</v>
      </c>
      <c r="H251" s="51">
        <f t="shared" si="90"/>
        <v>5999.74</v>
      </c>
      <c r="I251" s="51">
        <f t="shared" si="90"/>
        <v>5968.1399999999994</v>
      </c>
      <c r="J251" s="51">
        <f t="shared" si="90"/>
        <v>6078.82</v>
      </c>
      <c r="K251" s="51">
        <f t="shared" si="90"/>
        <v>6267.3600000000006</v>
      </c>
      <c r="L251" s="51">
        <f t="shared" si="90"/>
        <v>6151.48</v>
      </c>
      <c r="M251" s="51">
        <f t="shared" si="90"/>
        <v>6574.68</v>
      </c>
      <c r="N251" s="51"/>
      <c r="O251" s="51"/>
      <c r="P251" s="51"/>
      <c r="Q251" s="51" t="str">
        <f>IF(((Q249="")*AND(Q250="")),"",(Q249-Q250)*2)</f>
        <v/>
      </c>
      <c r="R251" s="192"/>
      <c r="S251" s="192"/>
      <c r="T251" s="193"/>
      <c r="U251" s="193"/>
      <c r="W251" s="178"/>
      <c r="X251" s="92"/>
      <c r="Y251" s="167"/>
      <c r="Z251" s="147"/>
    </row>
    <row r="252" spans="1:32">
      <c r="A252" s="149">
        <v>42814</v>
      </c>
      <c r="B252" s="81" t="s">
        <v>117</v>
      </c>
      <c r="C252" s="81" t="s">
        <v>118</v>
      </c>
      <c r="D252" s="204" t="s">
        <v>114</v>
      </c>
      <c r="E252" s="59">
        <v>2824.8</v>
      </c>
      <c r="F252" s="59">
        <v>2779.16</v>
      </c>
      <c r="G252" s="59">
        <v>2758.61</v>
      </c>
      <c r="H252" s="59">
        <v>2750.88</v>
      </c>
      <c r="I252" s="59">
        <v>2761.73</v>
      </c>
      <c r="J252" s="59">
        <v>2786.7</v>
      </c>
      <c r="K252" s="59">
        <v>2830.76</v>
      </c>
      <c r="L252" s="59">
        <v>2818.47</v>
      </c>
      <c r="M252" s="59">
        <v>2766.9</v>
      </c>
      <c r="N252" s="59">
        <v>2749.95</v>
      </c>
      <c r="O252" s="59">
        <v>2778.79</v>
      </c>
      <c r="P252" s="59">
        <v>2821.14</v>
      </c>
      <c r="Q252" s="59">
        <v>2893.81</v>
      </c>
      <c r="R252" s="194">
        <f>IF((Q253=""),"",MAX(E254:Q254))</f>
        <v>284.04999999999973</v>
      </c>
      <c r="S252" s="194">
        <f>IF(Q253="","",MIN(E254:Q254))</f>
        <v>252.84000000000015</v>
      </c>
      <c r="T252" s="195">
        <f>IF((Q254=""),"",AVERAGE(E254:Q254))</f>
        <v>261.20461538461541</v>
      </c>
      <c r="U252" s="195">
        <f>IF((Q253=""),"",(R252-S252)/(R252+S252)*100)</f>
        <v>5.8131088304866152</v>
      </c>
      <c r="V252" s="66">
        <f t="shared" si="89"/>
        <v>7.6699637280590611</v>
      </c>
      <c r="W252" s="83" t="str">
        <f>IF(Q253="","",IF(T252&gt;242,IF(T252&lt;320,"Pass","Fail"),"Fail"))</f>
        <v>Pass</v>
      </c>
      <c r="X252" s="92">
        <v>1400</v>
      </c>
      <c r="Y252" s="168" t="s">
        <v>131</v>
      </c>
      <c r="Z252" s="147"/>
      <c r="AA252" s="67">
        <v>240</v>
      </c>
      <c r="AB252" s="67">
        <v>320</v>
      </c>
      <c r="AC252" s="67">
        <v>190</v>
      </c>
      <c r="AD252" s="67">
        <v>360</v>
      </c>
      <c r="AE252" s="67">
        <v>20</v>
      </c>
      <c r="AF252" s="67">
        <v>11</v>
      </c>
    </row>
    <row r="253" spans="1:32">
      <c r="A253" s="149"/>
      <c r="B253" s="82"/>
      <c r="C253" s="82"/>
      <c r="D253" s="204" t="s">
        <v>115</v>
      </c>
      <c r="E253" s="59">
        <v>2568.41</v>
      </c>
      <c r="F253" s="59">
        <v>2522.44</v>
      </c>
      <c r="G253" s="59">
        <v>2500.44</v>
      </c>
      <c r="H253" s="59">
        <v>2491.19</v>
      </c>
      <c r="I253" s="59">
        <v>2501.83</v>
      </c>
      <c r="J253" s="59">
        <v>2525.7399999999998</v>
      </c>
      <c r="K253" s="59">
        <v>2565.56</v>
      </c>
      <c r="L253" s="59">
        <v>2534.42</v>
      </c>
      <c r="M253" s="59">
        <v>2503.67</v>
      </c>
      <c r="N253" s="59">
        <v>2487.42</v>
      </c>
      <c r="O253" s="59">
        <v>2518.06</v>
      </c>
      <c r="P253" s="59">
        <v>2565.89</v>
      </c>
      <c r="Q253" s="59">
        <v>2640.97</v>
      </c>
      <c r="R253" s="190"/>
      <c r="S253" s="190"/>
      <c r="T253" s="191"/>
      <c r="U253" s="191"/>
      <c r="W253" s="177"/>
      <c r="X253" s="92"/>
      <c r="Y253" s="167"/>
      <c r="Z253" s="147"/>
    </row>
    <row r="254" spans="1:32" ht="48">
      <c r="A254" s="149"/>
      <c r="B254" s="207"/>
      <c r="C254" s="207"/>
      <c r="D254" s="204" t="s">
        <v>116</v>
      </c>
      <c r="E254" s="51">
        <f t="shared" ref="E254:Q254" si="91">IF(((E252="")*AND(E253="")),"",(E252-E253))</f>
        <v>256.39000000000033</v>
      </c>
      <c r="F254" s="51">
        <f t="shared" si="91"/>
        <v>256.7199999999998</v>
      </c>
      <c r="G254" s="51">
        <f t="shared" si="91"/>
        <v>258.17000000000007</v>
      </c>
      <c r="H254" s="51">
        <f t="shared" si="91"/>
        <v>259.69000000000005</v>
      </c>
      <c r="I254" s="51">
        <f t="shared" si="91"/>
        <v>259.90000000000009</v>
      </c>
      <c r="J254" s="51">
        <f t="shared" si="91"/>
        <v>260.96000000000004</v>
      </c>
      <c r="K254" s="51">
        <f t="shared" si="91"/>
        <v>265.20000000000027</v>
      </c>
      <c r="L254" s="51">
        <f t="shared" si="91"/>
        <v>284.04999999999973</v>
      </c>
      <c r="M254" s="51">
        <f t="shared" si="91"/>
        <v>263.23</v>
      </c>
      <c r="N254" s="85">
        <f t="shared" si="91"/>
        <v>262.52999999999975</v>
      </c>
      <c r="O254" s="85">
        <f t="shared" si="91"/>
        <v>260.73</v>
      </c>
      <c r="P254" s="85">
        <f t="shared" si="91"/>
        <v>255.25</v>
      </c>
      <c r="Q254" s="85">
        <f t="shared" si="91"/>
        <v>252.84000000000015</v>
      </c>
      <c r="R254" s="192"/>
      <c r="S254" s="192"/>
      <c r="T254" s="193"/>
      <c r="U254" s="193"/>
      <c r="W254" s="178"/>
      <c r="X254" s="92"/>
      <c r="Y254" s="167"/>
      <c r="Z254" s="147"/>
    </row>
    <row r="255" spans="1:32">
      <c r="A255" s="149">
        <v>42814</v>
      </c>
      <c r="B255" s="81" t="s">
        <v>119</v>
      </c>
      <c r="C255" s="81" t="s">
        <v>120</v>
      </c>
      <c r="D255" s="204" t="s">
        <v>114</v>
      </c>
      <c r="E255" s="59">
        <v>6838.67</v>
      </c>
      <c r="F255" s="59">
        <v>6853.84</v>
      </c>
      <c r="G255" s="59">
        <v>6894.24</v>
      </c>
      <c r="H255" s="59">
        <v>6846.67</v>
      </c>
      <c r="I255" s="59">
        <v>6874.98</v>
      </c>
      <c r="J255" s="59">
        <v>6854.16</v>
      </c>
      <c r="K255" s="59">
        <v>6861.96</v>
      </c>
      <c r="L255" s="59">
        <v>6880.78</v>
      </c>
      <c r="M255" s="59">
        <v>6917.85</v>
      </c>
      <c r="N255" s="210"/>
      <c r="O255" s="210"/>
      <c r="P255" s="210"/>
      <c r="Q255" s="210"/>
      <c r="R255" s="196">
        <f>IF((M256=""),"",MAX(E257:M257))</f>
        <v>4532.8399999999983</v>
      </c>
      <c r="S255" s="194">
        <f>IF(M256="","",MIN(E257:M257))</f>
        <v>4044.1999999999989</v>
      </c>
      <c r="T255" s="195">
        <f>IF((M257=""),"",AVERAGE(E257:M257))</f>
        <v>4232.8444444444431</v>
      </c>
      <c r="U255" s="195">
        <f>IF((M256=""),"",(R255-S255)/(R255+S255)*100)</f>
        <v>5.6970703179651672</v>
      </c>
      <c r="V255" s="66">
        <f t="shared" si="89"/>
        <v>181.56111719688033</v>
      </c>
      <c r="W255" s="83" t="str">
        <f>IF(M256="","",IF(T255&gt;3650,IF(T255&lt;4450,"Pass","Fail"),"Fail"))</f>
        <v>Pass</v>
      </c>
      <c r="X255" s="92">
        <v>1400</v>
      </c>
      <c r="Y255" s="168" t="s">
        <v>131</v>
      </c>
      <c r="Z255" s="147"/>
      <c r="AA255" s="86">
        <v>3650</v>
      </c>
      <c r="AB255" s="86">
        <v>4450</v>
      </c>
      <c r="AC255" s="86">
        <v>3700</v>
      </c>
      <c r="AD255" s="86">
        <v>4250</v>
      </c>
      <c r="AE255" s="86">
        <v>7.2</v>
      </c>
      <c r="AF255" s="86">
        <v>3</v>
      </c>
    </row>
    <row r="256" spans="1:32">
      <c r="A256" s="149"/>
      <c r="B256" s="82"/>
      <c r="C256" s="82"/>
      <c r="D256" s="204" t="s">
        <v>115</v>
      </c>
      <c r="E256" s="59">
        <v>4603.49</v>
      </c>
      <c r="F256" s="59">
        <v>4802.87</v>
      </c>
      <c r="G256" s="59">
        <v>4866.5600000000004</v>
      </c>
      <c r="H256" s="59">
        <v>4782.13</v>
      </c>
      <c r="I256" s="59">
        <v>4608.5600000000004</v>
      </c>
      <c r="J256" s="59">
        <v>4679.3100000000004</v>
      </c>
      <c r="K256" s="59">
        <v>4788.9799999999996</v>
      </c>
      <c r="L256" s="59">
        <v>4858.68</v>
      </c>
      <c r="M256" s="59">
        <v>4784.7700000000004</v>
      </c>
      <c r="N256" s="205"/>
      <c r="O256" s="205"/>
      <c r="P256" s="205"/>
      <c r="Q256" s="205"/>
      <c r="R256" s="190"/>
      <c r="S256" s="190"/>
      <c r="T256" s="191"/>
      <c r="U256" s="191"/>
      <c r="W256" s="177"/>
      <c r="X256" s="92"/>
      <c r="Y256" s="167"/>
      <c r="Z256" s="147"/>
    </row>
    <row r="257" spans="1:32" ht="48">
      <c r="A257" s="149"/>
      <c r="B257" s="207"/>
      <c r="C257" s="207"/>
      <c r="D257" s="204" t="s">
        <v>116</v>
      </c>
      <c r="E257" s="51">
        <f t="shared" ref="E257:M257" si="92">IF(((E255="")*AND(E256="")),"",(E255-E256)*2)</f>
        <v>4470.3600000000006</v>
      </c>
      <c r="F257" s="51">
        <f t="shared" si="92"/>
        <v>4101.9400000000005</v>
      </c>
      <c r="G257" s="51">
        <f t="shared" si="92"/>
        <v>4055.3599999999988</v>
      </c>
      <c r="H257" s="51">
        <f t="shared" si="92"/>
        <v>4129.08</v>
      </c>
      <c r="I257" s="51">
        <f t="shared" si="92"/>
        <v>4532.8399999999983</v>
      </c>
      <c r="J257" s="51">
        <f t="shared" si="92"/>
        <v>4349.6999999999989</v>
      </c>
      <c r="K257" s="51">
        <f t="shared" si="92"/>
        <v>4145.9600000000009</v>
      </c>
      <c r="L257" s="51">
        <f t="shared" si="92"/>
        <v>4044.1999999999989</v>
      </c>
      <c r="M257" s="51">
        <f t="shared" si="92"/>
        <v>4266.16</v>
      </c>
      <c r="N257" s="51"/>
      <c r="O257" s="51"/>
      <c r="P257" s="51"/>
      <c r="Q257" s="51"/>
      <c r="R257" s="192"/>
      <c r="S257" s="192"/>
      <c r="T257" s="193"/>
      <c r="U257" s="193"/>
      <c r="W257" s="178"/>
      <c r="X257" s="92"/>
      <c r="Y257" s="167"/>
      <c r="Z257" s="147"/>
    </row>
    <row r="258" spans="1:32">
      <c r="A258" s="149">
        <v>42814</v>
      </c>
      <c r="B258" s="81" t="s">
        <v>121</v>
      </c>
      <c r="C258" s="81" t="s">
        <v>121</v>
      </c>
      <c r="D258" s="204" t="s">
        <v>114</v>
      </c>
      <c r="E258" s="59">
        <v>1931.86</v>
      </c>
      <c r="F258" s="59">
        <v>1924.84</v>
      </c>
      <c r="G258" s="59">
        <v>1926.4</v>
      </c>
      <c r="H258" s="59">
        <v>1923.91</v>
      </c>
      <c r="I258" s="59">
        <v>1930.58</v>
      </c>
      <c r="J258" s="59">
        <v>1929.27</v>
      </c>
      <c r="K258" s="59">
        <v>1923.96</v>
      </c>
      <c r="L258" s="59">
        <v>1927.68</v>
      </c>
      <c r="M258" s="59">
        <v>1931.69</v>
      </c>
      <c r="N258" s="205"/>
      <c r="O258" s="205"/>
      <c r="P258" s="205"/>
      <c r="Q258" s="205"/>
      <c r="R258" s="194">
        <f>IF((M259=""),"",MAX(E260:M260))</f>
        <v>2556.96</v>
      </c>
      <c r="S258" s="194">
        <f>IF((M259=""),"",MIN(E260:M260))</f>
        <v>2395.6400000000003</v>
      </c>
      <c r="T258" s="195">
        <f>IF((M260=""),"",AVERAGE(E260:M260))</f>
        <v>2488.4355555555553</v>
      </c>
      <c r="U258" s="195">
        <f>IF((M259=""),"",(R258-S258)/(R258+S258)*100)</f>
        <v>3.2572790049670819</v>
      </c>
      <c r="V258" s="66">
        <f t="shared" si="89"/>
        <v>52.417929926498694</v>
      </c>
      <c r="W258" s="174" t="str">
        <f>IF(M259="","",IF(U258&lt;5.5,IF(T258&gt;2200,IF(T258&lt;2900,"Pass","Fail"),"Fail"),"Fail"))</f>
        <v>Pass</v>
      </c>
      <c r="X258" s="92">
        <v>1400</v>
      </c>
      <c r="Y258" s="168" t="s">
        <v>131</v>
      </c>
      <c r="Z258" s="147"/>
      <c r="AA258" s="67">
        <v>2000</v>
      </c>
      <c r="AB258" s="67">
        <v>3000</v>
      </c>
      <c r="AC258" s="67">
        <v>2200</v>
      </c>
      <c r="AD258" s="67">
        <v>2900</v>
      </c>
      <c r="AE258" s="67">
        <v>7</v>
      </c>
      <c r="AF258" s="67">
        <v>5.5</v>
      </c>
    </row>
    <row r="259" spans="1:32">
      <c r="A259" s="149"/>
      <c r="B259" s="82"/>
      <c r="C259" s="82"/>
      <c r="D259" s="204" t="s">
        <v>115</v>
      </c>
      <c r="E259" s="59">
        <v>1312.32</v>
      </c>
      <c r="F259" s="59">
        <v>1294.0899999999999</v>
      </c>
      <c r="G259" s="59">
        <v>1309.3599999999999</v>
      </c>
      <c r="H259" s="59">
        <v>1292.68</v>
      </c>
      <c r="I259" s="59">
        <v>1324.76</v>
      </c>
      <c r="J259" s="59">
        <v>1298.6099999999999</v>
      </c>
      <c r="K259" s="59">
        <v>1284.72</v>
      </c>
      <c r="L259" s="59">
        <v>1301.8900000000001</v>
      </c>
      <c r="M259" s="59">
        <v>1332.78</v>
      </c>
      <c r="N259" s="205"/>
      <c r="O259" s="205"/>
      <c r="P259" s="205"/>
      <c r="Q259" s="205"/>
      <c r="R259" s="190"/>
      <c r="S259" s="190"/>
      <c r="T259" s="191"/>
      <c r="U259" s="191"/>
      <c r="W259" s="179"/>
      <c r="X259" s="92"/>
      <c r="Y259" s="167"/>
      <c r="Z259" s="147"/>
    </row>
    <row r="260" spans="1:32" ht="48.75" thickBot="1">
      <c r="A260" s="149"/>
      <c r="B260" s="211"/>
      <c r="C260" s="211"/>
      <c r="D260" s="212" t="s">
        <v>116</v>
      </c>
      <c r="E260" s="87">
        <f t="shared" ref="E260:M260" si="93">IF(((E258="")*AND(E259="")),"",(E258-E259)*4)</f>
        <v>2478.16</v>
      </c>
      <c r="F260" s="87">
        <f t="shared" si="93"/>
        <v>2523</v>
      </c>
      <c r="G260" s="87">
        <f t="shared" si="93"/>
        <v>2468.1600000000008</v>
      </c>
      <c r="H260" s="87">
        <f t="shared" si="93"/>
        <v>2524.92</v>
      </c>
      <c r="I260" s="87">
        <f t="shared" si="93"/>
        <v>2423.2799999999997</v>
      </c>
      <c r="J260" s="87">
        <f t="shared" si="93"/>
        <v>2522.6400000000003</v>
      </c>
      <c r="K260" s="87">
        <f t="shared" si="93"/>
        <v>2556.96</v>
      </c>
      <c r="L260" s="87">
        <f t="shared" si="93"/>
        <v>2503.16</v>
      </c>
      <c r="M260" s="87">
        <f t="shared" si="93"/>
        <v>2395.6400000000003</v>
      </c>
      <c r="N260" s="87"/>
      <c r="O260" s="87"/>
      <c r="P260" s="87"/>
      <c r="Q260" s="87" t="str">
        <f>IF(((Q258="")*AND(Q259="")),"",(Q258-Q259)*4)</f>
        <v/>
      </c>
      <c r="R260" s="197"/>
      <c r="S260" s="197"/>
      <c r="T260" s="198"/>
      <c r="U260" s="198"/>
      <c r="W260" s="180"/>
      <c r="X260" s="93"/>
      <c r="Y260" s="167"/>
      <c r="Z260" s="147"/>
    </row>
    <row r="261" spans="1:32">
      <c r="A261" s="149">
        <v>42821</v>
      </c>
      <c r="B261" s="200" t="s">
        <v>112</v>
      </c>
      <c r="C261" s="200" t="s">
        <v>113</v>
      </c>
      <c r="D261" s="201" t="s">
        <v>114</v>
      </c>
      <c r="E261" s="59">
        <v>7966.16</v>
      </c>
      <c r="F261" s="59">
        <v>7906.97</v>
      </c>
      <c r="G261" s="59">
        <v>7976.72</v>
      </c>
      <c r="H261" s="59">
        <v>8171.86</v>
      </c>
      <c r="I261" s="59">
        <v>8188.73</v>
      </c>
      <c r="J261" s="59">
        <v>8124.8</v>
      </c>
      <c r="K261" s="59">
        <v>8074.4</v>
      </c>
      <c r="L261" s="59">
        <v>8156.94</v>
      </c>
      <c r="M261" s="59">
        <v>7980.31</v>
      </c>
      <c r="N261" s="202"/>
      <c r="O261" s="202"/>
      <c r="P261" s="202"/>
      <c r="Q261" s="202"/>
      <c r="R261" s="188">
        <f>IF((M262=""),"",MAX(E263:M263))</f>
        <v>6705.2400000000016</v>
      </c>
      <c r="S261" s="188">
        <f>IF((M262=""),"",MIN(E263:M263))</f>
        <v>6004.1799999999985</v>
      </c>
      <c r="T261" s="189">
        <f>IF((M263=""),"",AVERAGE(E263:M263))</f>
        <v>6369.05111111111</v>
      </c>
      <c r="U261" s="189">
        <f>IF((M262=""),"",(R261-S261)/(R261+S261)*100)</f>
        <v>5.5160660360583185</v>
      </c>
      <c r="V261" s="66">
        <f t="shared" ref="V261:V270" si="94">STDEV(E263:Q263)</f>
        <v>228.03577813826726</v>
      </c>
      <c r="W261" s="170" t="str">
        <f>IF(M262="","",IF(U261&lt;6.3,IF(T261&gt;5550,IF(T261&lt;6900,"Pass","Fail"),"Fail"),"Fail"))</f>
        <v>Pass</v>
      </c>
      <c r="X261" s="91">
        <v>1159</v>
      </c>
      <c r="AA261" s="67">
        <v>5860</v>
      </c>
      <c r="AB261" s="67">
        <v>6770</v>
      </c>
      <c r="AC261" s="67">
        <v>5550</v>
      </c>
      <c r="AD261" s="67">
        <v>6900</v>
      </c>
      <c r="AE261" s="67">
        <v>20</v>
      </c>
      <c r="AF261" s="67">
        <v>6.3</v>
      </c>
    </row>
    <row r="262" spans="1:32">
      <c r="A262" s="149"/>
      <c r="B262" s="82"/>
      <c r="C262" s="82"/>
      <c r="D262" s="204" t="s">
        <v>115</v>
      </c>
      <c r="E262" s="59">
        <v>4746.83</v>
      </c>
      <c r="F262" s="59">
        <v>4609.24</v>
      </c>
      <c r="G262" s="59">
        <v>4733.3</v>
      </c>
      <c r="H262" s="59">
        <v>5169.7700000000004</v>
      </c>
      <c r="I262" s="59">
        <v>5130.09</v>
      </c>
      <c r="J262" s="59">
        <v>4993.7299999999996</v>
      </c>
      <c r="K262" s="59">
        <v>4840.92</v>
      </c>
      <c r="L262" s="59">
        <v>5034.59</v>
      </c>
      <c r="M262" s="59">
        <v>4627.6899999999996</v>
      </c>
      <c r="N262" s="205"/>
      <c r="O262" s="205"/>
      <c r="P262" s="205"/>
      <c r="Q262" s="205"/>
      <c r="R262" s="190"/>
      <c r="S262" s="190"/>
      <c r="T262" s="191"/>
      <c r="U262" s="191"/>
      <c r="W262" s="177"/>
      <c r="X262" s="92"/>
    </row>
    <row r="263" spans="1:32" ht="48">
      <c r="A263" s="149"/>
      <c r="B263" s="207"/>
      <c r="C263" s="207"/>
      <c r="D263" s="204" t="s">
        <v>116</v>
      </c>
      <c r="E263" s="51">
        <f t="shared" ref="E263:M263" si="95">IF(((E261="")*AND(E262="")),"",(E261-E262)*2)</f>
        <v>6438.66</v>
      </c>
      <c r="F263" s="51">
        <f t="shared" si="95"/>
        <v>6595.4600000000009</v>
      </c>
      <c r="G263" s="51">
        <f t="shared" si="95"/>
        <v>6486.84</v>
      </c>
      <c r="H263" s="51">
        <f t="shared" si="95"/>
        <v>6004.1799999999985</v>
      </c>
      <c r="I263" s="51">
        <f t="shared" si="95"/>
        <v>6117.2799999999988</v>
      </c>
      <c r="J263" s="51">
        <f t="shared" si="95"/>
        <v>6262.1400000000012</v>
      </c>
      <c r="K263" s="51">
        <f t="shared" si="95"/>
        <v>6466.9599999999991</v>
      </c>
      <c r="L263" s="51">
        <f t="shared" si="95"/>
        <v>6244.6999999999989</v>
      </c>
      <c r="M263" s="51">
        <f t="shared" si="95"/>
        <v>6705.2400000000016</v>
      </c>
      <c r="N263" s="51"/>
      <c r="O263" s="51"/>
      <c r="P263" s="51"/>
      <c r="Q263" s="51" t="str">
        <f>IF(((Q261="")*AND(Q262="")),"",(Q261-Q262)*2)</f>
        <v/>
      </c>
      <c r="R263" s="192"/>
      <c r="S263" s="192"/>
      <c r="T263" s="193"/>
      <c r="U263" s="193"/>
      <c r="W263" s="178"/>
      <c r="X263" s="92"/>
    </row>
    <row r="264" spans="1:32">
      <c r="A264" s="149">
        <v>42821</v>
      </c>
      <c r="B264" s="81" t="s">
        <v>117</v>
      </c>
      <c r="C264" s="81" t="s">
        <v>118</v>
      </c>
      <c r="D264" s="204" t="s">
        <v>114</v>
      </c>
      <c r="E264" s="59">
        <v>2894.98</v>
      </c>
      <c r="F264" s="59">
        <v>2825.27</v>
      </c>
      <c r="G264" s="59">
        <v>2782.79</v>
      </c>
      <c r="H264" s="59">
        <v>2763.36</v>
      </c>
      <c r="I264" s="59">
        <v>2763.23</v>
      </c>
      <c r="J264" s="59">
        <v>2790.32</v>
      </c>
      <c r="K264" s="59">
        <v>2844.71</v>
      </c>
      <c r="L264" s="59">
        <v>2839.6</v>
      </c>
      <c r="M264" s="59">
        <v>2796.68</v>
      </c>
      <c r="N264" s="59">
        <v>2772.33</v>
      </c>
      <c r="O264" s="59">
        <v>2770.07</v>
      </c>
      <c r="P264" s="59">
        <v>2797.23</v>
      </c>
      <c r="Q264" s="59">
        <v>2852.32</v>
      </c>
      <c r="R264" s="194">
        <f>IF((Q265=""),"",MAX(E266:Q266))</f>
        <v>279.80999999999995</v>
      </c>
      <c r="S264" s="194">
        <f>IF(Q265="","",MIN(E266:Q266))</f>
        <v>254.7800000000002</v>
      </c>
      <c r="T264" s="195">
        <f>IF((Q266=""),"",AVERAGE(E266:Q266))</f>
        <v>261.54384615384618</v>
      </c>
      <c r="U264" s="195">
        <f>IF((Q265=""),"",(R264-S264)/(R264+S264)*100)</f>
        <v>4.6820928187956632</v>
      </c>
      <c r="V264" s="66">
        <f t="shared" si="94"/>
        <v>7.5002617048365865</v>
      </c>
      <c r="W264" s="83" t="str">
        <f>IF(Q265="","",IF(T264&gt;242,IF(T264&lt;320,"Pass","Fail"),"Fail"))</f>
        <v>Pass</v>
      </c>
      <c r="X264" s="92">
        <v>1159</v>
      </c>
      <c r="AA264" s="67">
        <v>240</v>
      </c>
      <c r="AB264" s="67">
        <v>320</v>
      </c>
      <c r="AC264" s="67">
        <v>190</v>
      </c>
      <c r="AD264" s="67">
        <v>360</v>
      </c>
      <c r="AE264" s="67">
        <v>20</v>
      </c>
      <c r="AF264" s="67">
        <v>11</v>
      </c>
    </row>
    <row r="265" spans="1:32">
      <c r="A265" s="149"/>
      <c r="B265" s="82"/>
      <c r="C265" s="82"/>
      <c r="D265" s="204" t="s">
        <v>115</v>
      </c>
      <c r="E265" s="59">
        <v>2627.51</v>
      </c>
      <c r="F265" s="59">
        <v>2565.48</v>
      </c>
      <c r="G265" s="59">
        <v>2527.1799999999998</v>
      </c>
      <c r="H265" s="59">
        <v>2504.92</v>
      </c>
      <c r="I265" s="59">
        <v>2507.2800000000002</v>
      </c>
      <c r="J265" s="59">
        <v>2527.7199999999998</v>
      </c>
      <c r="K265" s="59">
        <v>2564.9</v>
      </c>
      <c r="L265" s="59">
        <v>2576.9299999999998</v>
      </c>
      <c r="M265" s="59">
        <v>2539.75</v>
      </c>
      <c r="N265" s="59">
        <v>2514.39</v>
      </c>
      <c r="O265" s="59">
        <v>2515.29</v>
      </c>
      <c r="P265" s="59">
        <v>2541.3200000000002</v>
      </c>
      <c r="Q265" s="59">
        <v>2580.15</v>
      </c>
      <c r="R265" s="190"/>
      <c r="S265" s="190"/>
      <c r="T265" s="191"/>
      <c r="U265" s="191"/>
      <c r="W265" s="177"/>
      <c r="X265" s="92"/>
    </row>
    <row r="266" spans="1:32" ht="48">
      <c r="A266" s="149"/>
      <c r="B266" s="207"/>
      <c r="C266" s="207"/>
      <c r="D266" s="204" t="s">
        <v>116</v>
      </c>
      <c r="E266" s="51">
        <f t="shared" ref="E266:Q266" si="96">IF(((E264="")*AND(E265="")),"",(E264-E265))</f>
        <v>267.4699999999998</v>
      </c>
      <c r="F266" s="51">
        <f t="shared" si="96"/>
        <v>259.78999999999996</v>
      </c>
      <c r="G266" s="51">
        <f t="shared" si="96"/>
        <v>255.61000000000013</v>
      </c>
      <c r="H266" s="51">
        <f t="shared" si="96"/>
        <v>258.44000000000005</v>
      </c>
      <c r="I266" s="51">
        <f t="shared" si="96"/>
        <v>255.94999999999982</v>
      </c>
      <c r="J266" s="51">
        <f t="shared" si="96"/>
        <v>262.60000000000036</v>
      </c>
      <c r="K266" s="51">
        <f t="shared" si="96"/>
        <v>279.80999999999995</v>
      </c>
      <c r="L266" s="51">
        <f t="shared" si="96"/>
        <v>262.67000000000007</v>
      </c>
      <c r="M266" s="51">
        <f t="shared" si="96"/>
        <v>256.92999999999984</v>
      </c>
      <c r="N266" s="85">
        <f t="shared" si="96"/>
        <v>257.94000000000005</v>
      </c>
      <c r="O266" s="85">
        <f t="shared" si="96"/>
        <v>254.7800000000002</v>
      </c>
      <c r="P266" s="85">
        <f t="shared" si="96"/>
        <v>255.90999999999985</v>
      </c>
      <c r="Q266" s="85">
        <f t="shared" si="96"/>
        <v>272.17000000000007</v>
      </c>
      <c r="R266" s="192"/>
      <c r="S266" s="192"/>
      <c r="T266" s="193"/>
      <c r="U266" s="193"/>
      <c r="W266" s="178"/>
      <c r="X266" s="92"/>
    </row>
    <row r="267" spans="1:32">
      <c r="A267" s="149">
        <v>42821</v>
      </c>
      <c r="B267" s="81" t="s">
        <v>119</v>
      </c>
      <c r="C267" s="81" t="s">
        <v>120</v>
      </c>
      <c r="D267" s="204" t="s">
        <v>114</v>
      </c>
      <c r="E267" s="59">
        <v>6854.79</v>
      </c>
      <c r="F267" s="59">
        <v>6869.15</v>
      </c>
      <c r="G267" s="59">
        <v>6906.93</v>
      </c>
      <c r="H267" s="59">
        <v>6859.75</v>
      </c>
      <c r="I267" s="59">
        <v>6888.07</v>
      </c>
      <c r="J267" s="59">
        <v>6868.77</v>
      </c>
      <c r="K267" s="59">
        <v>6875.82</v>
      </c>
      <c r="L267" s="59">
        <v>6894.21</v>
      </c>
      <c r="M267" s="59">
        <v>6932.88</v>
      </c>
      <c r="N267" s="210"/>
      <c r="O267" s="210"/>
      <c r="P267" s="210"/>
      <c r="Q267" s="210"/>
      <c r="R267" s="196">
        <f>IF((M268=""),"",MAX(E269:M269))</f>
        <v>4648.76</v>
      </c>
      <c r="S267" s="194">
        <f>IF(M268="","",MIN(E269:M269))</f>
        <v>4110.4600000000009</v>
      </c>
      <c r="T267" s="195">
        <f>IF((M269=""),"",AVERAGE(E269:M269))</f>
        <v>4304.3577777777782</v>
      </c>
      <c r="U267" s="195">
        <f>IF((M268=""),"",(R267-S267)/(R267+S267)*100)</f>
        <v>6.1455243731747711</v>
      </c>
      <c r="V267" s="66">
        <f t="shared" si="94"/>
        <v>196.4540756626003</v>
      </c>
      <c r="W267" s="83" t="str">
        <f>IF(M268="","",IF(T267&gt;3650,IF(T267&lt;4450,"Pass","Fail"),"Fail"))</f>
        <v>Pass</v>
      </c>
      <c r="X267" s="92">
        <v>1159</v>
      </c>
      <c r="AA267" s="86">
        <v>3650</v>
      </c>
      <c r="AB267" s="86">
        <v>4450</v>
      </c>
      <c r="AC267" s="86">
        <v>3700</v>
      </c>
      <c r="AD267" s="86">
        <v>4250</v>
      </c>
      <c r="AE267" s="86">
        <v>7.2</v>
      </c>
      <c r="AF267" s="86">
        <v>3</v>
      </c>
    </row>
    <row r="268" spans="1:32">
      <c r="A268" s="149"/>
      <c r="B268" s="82"/>
      <c r="C268" s="82"/>
      <c r="D268" s="204" t="s">
        <v>115</v>
      </c>
      <c r="E268" s="59">
        <v>4567.25</v>
      </c>
      <c r="F268" s="59">
        <v>4786.97</v>
      </c>
      <c r="G268" s="59">
        <v>4848.76</v>
      </c>
      <c r="H268" s="59">
        <v>4759.6400000000003</v>
      </c>
      <c r="I268" s="59">
        <v>4563.6899999999996</v>
      </c>
      <c r="J268" s="59">
        <v>4694</v>
      </c>
      <c r="K268" s="59">
        <v>4769</v>
      </c>
      <c r="L268" s="59">
        <v>4838.9799999999996</v>
      </c>
      <c r="M268" s="59">
        <v>4752.47</v>
      </c>
      <c r="N268" s="205"/>
      <c r="O268" s="205"/>
      <c r="P268" s="205"/>
      <c r="Q268" s="205"/>
      <c r="R268" s="190"/>
      <c r="S268" s="190"/>
      <c r="T268" s="191"/>
      <c r="U268" s="191"/>
      <c r="W268" s="177"/>
      <c r="X268" s="92"/>
    </row>
    <row r="269" spans="1:32" ht="48">
      <c r="A269" s="149"/>
      <c r="B269" s="207"/>
      <c r="C269" s="207"/>
      <c r="D269" s="204" t="s">
        <v>116</v>
      </c>
      <c r="E269" s="51">
        <f t="shared" ref="E269:M269" si="97">IF(((E267="")*AND(E268="")),"",(E267-E268)*2)</f>
        <v>4575.08</v>
      </c>
      <c r="F269" s="51">
        <f t="shared" si="97"/>
        <v>4164.3599999999988</v>
      </c>
      <c r="G269" s="51">
        <f t="shared" si="97"/>
        <v>4116.34</v>
      </c>
      <c r="H269" s="51">
        <f t="shared" si="97"/>
        <v>4200.2199999999993</v>
      </c>
      <c r="I269" s="51">
        <f t="shared" si="97"/>
        <v>4648.76</v>
      </c>
      <c r="J269" s="51">
        <f t="shared" si="97"/>
        <v>4349.5400000000009</v>
      </c>
      <c r="K269" s="51">
        <f t="shared" si="97"/>
        <v>4213.6399999999994</v>
      </c>
      <c r="L269" s="51">
        <f t="shared" si="97"/>
        <v>4110.4600000000009</v>
      </c>
      <c r="M269" s="51">
        <f t="shared" si="97"/>
        <v>4360.82</v>
      </c>
      <c r="N269" s="51"/>
      <c r="O269" s="51"/>
      <c r="P269" s="51"/>
      <c r="Q269" s="51"/>
      <c r="R269" s="192"/>
      <c r="S269" s="192"/>
      <c r="T269" s="193"/>
      <c r="U269" s="193"/>
      <c r="W269" s="178"/>
      <c r="X269" s="92"/>
    </row>
    <row r="270" spans="1:32">
      <c r="A270" s="149">
        <v>42821</v>
      </c>
      <c r="B270" s="81" t="s">
        <v>121</v>
      </c>
      <c r="C270" s="81" t="s">
        <v>121</v>
      </c>
      <c r="D270" s="204" t="s">
        <v>114</v>
      </c>
      <c r="E270" s="59">
        <v>1918.3</v>
      </c>
      <c r="F270" s="59">
        <v>1916.35</v>
      </c>
      <c r="G270" s="59">
        <v>1903.72</v>
      </c>
      <c r="H270" s="59">
        <v>1913.68</v>
      </c>
      <c r="I270" s="59">
        <v>1921.72</v>
      </c>
      <c r="J270" s="59">
        <v>1916.9</v>
      </c>
      <c r="K270" s="59">
        <v>1912.37</v>
      </c>
      <c r="L270" s="59">
        <v>1915.84</v>
      </c>
      <c r="M270" s="59">
        <v>1926.22</v>
      </c>
      <c r="N270" s="205"/>
      <c r="O270" s="205"/>
      <c r="P270" s="205"/>
      <c r="Q270" s="205"/>
      <c r="R270" s="194">
        <f>IF((M271=""),"",MAX(E272:M272))</f>
        <v>2619.04</v>
      </c>
      <c r="S270" s="194">
        <f>IF((M271=""),"",MIN(E272:M272))</f>
        <v>2436.16</v>
      </c>
      <c r="T270" s="195">
        <f>IF((M272=""),"",AVERAGE(E272:M272))</f>
        <v>2501.6088888888894</v>
      </c>
      <c r="U270" s="195">
        <f>IF((M271=""),"",(R270-S270)/(R270+S270)*100)</f>
        <v>3.6176610223136598</v>
      </c>
      <c r="V270" s="66">
        <f t="shared" si="94"/>
        <v>54.380135261964909</v>
      </c>
      <c r="W270" s="174" t="str">
        <f>IF(M271="","",IF(U270&lt;5.5,IF(T270&gt;2200,IF(T270&lt;2900,"Pass","Fail"),"Fail"),"Fail"))</f>
        <v>Pass</v>
      </c>
      <c r="X270" s="92">
        <v>1159</v>
      </c>
      <c r="AA270" s="67">
        <v>2000</v>
      </c>
      <c r="AB270" s="67">
        <v>3000</v>
      </c>
      <c r="AC270" s="67">
        <v>2200</v>
      </c>
      <c r="AD270" s="67">
        <v>2900</v>
      </c>
      <c r="AE270" s="67">
        <v>7</v>
      </c>
      <c r="AF270" s="67">
        <v>5.5</v>
      </c>
    </row>
    <row r="271" spans="1:32">
      <c r="A271" s="149"/>
      <c r="B271" s="82"/>
      <c r="C271" s="82"/>
      <c r="D271" s="204" t="s">
        <v>115</v>
      </c>
      <c r="E271" s="59">
        <v>1294.4100000000001</v>
      </c>
      <c r="F271" s="59">
        <v>1290.98</v>
      </c>
      <c r="G271" s="59">
        <v>1294.68</v>
      </c>
      <c r="H271" s="59">
        <v>1285.52</v>
      </c>
      <c r="I271" s="59">
        <v>1295.8900000000001</v>
      </c>
      <c r="J271" s="59">
        <v>1262.1400000000001</v>
      </c>
      <c r="K271" s="59">
        <v>1279.07</v>
      </c>
      <c r="L271" s="59">
        <v>1298.3399999999999</v>
      </c>
      <c r="M271" s="59">
        <v>1315.45</v>
      </c>
      <c r="N271" s="205"/>
      <c r="O271" s="205"/>
      <c r="P271" s="205"/>
      <c r="Q271" s="205"/>
      <c r="R271" s="190"/>
      <c r="S271" s="190"/>
      <c r="T271" s="191"/>
      <c r="U271" s="191"/>
      <c r="W271" s="179"/>
      <c r="X271" s="92"/>
    </row>
    <row r="272" spans="1:32" ht="48.75" thickBot="1">
      <c r="A272" s="149"/>
      <c r="B272" s="211"/>
      <c r="C272" s="211"/>
      <c r="D272" s="212" t="s">
        <v>116</v>
      </c>
      <c r="E272" s="87">
        <f t="shared" ref="E272:M272" si="98">IF(((E270="")*AND(E271="")),"",(E270-E271)*4)</f>
        <v>2495.5599999999995</v>
      </c>
      <c r="F272" s="87">
        <f t="shared" si="98"/>
        <v>2501.4799999999996</v>
      </c>
      <c r="G272" s="87">
        <f t="shared" si="98"/>
        <v>2436.16</v>
      </c>
      <c r="H272" s="87">
        <f t="shared" si="98"/>
        <v>2512.6400000000003</v>
      </c>
      <c r="I272" s="87">
        <f t="shared" si="98"/>
        <v>2503.3199999999997</v>
      </c>
      <c r="J272" s="87">
        <f t="shared" si="98"/>
        <v>2619.04</v>
      </c>
      <c r="K272" s="87">
        <f t="shared" si="98"/>
        <v>2533.1999999999998</v>
      </c>
      <c r="L272" s="87">
        <f t="shared" si="98"/>
        <v>2470</v>
      </c>
      <c r="M272" s="87">
        <f t="shared" si="98"/>
        <v>2443.08</v>
      </c>
      <c r="N272" s="87"/>
      <c r="O272" s="87"/>
      <c r="P272" s="87"/>
      <c r="Q272" s="87" t="str">
        <f>IF(((Q270="")*AND(Q271="")),"",(Q270-Q271)*4)</f>
        <v/>
      </c>
      <c r="R272" s="197"/>
      <c r="S272" s="197"/>
      <c r="T272" s="198"/>
      <c r="U272" s="198"/>
      <c r="W272" s="180"/>
      <c r="X272" s="93"/>
    </row>
    <row r="273" spans="1:32">
      <c r="A273" s="149">
        <v>42836</v>
      </c>
      <c r="B273" s="200" t="s">
        <v>112</v>
      </c>
      <c r="C273" s="200" t="s">
        <v>113</v>
      </c>
      <c r="D273" s="201" t="s">
        <v>114</v>
      </c>
      <c r="E273" s="59">
        <v>7946.37</v>
      </c>
      <c r="F273" s="59">
        <v>7887.21</v>
      </c>
      <c r="G273" s="59">
        <v>7955.82</v>
      </c>
      <c r="H273" s="59">
        <v>8152.04</v>
      </c>
      <c r="I273" s="59">
        <v>8167.38</v>
      </c>
      <c r="J273" s="59">
        <v>8105.85</v>
      </c>
      <c r="K273" s="59">
        <v>8056.29</v>
      </c>
      <c r="L273" s="59">
        <v>8135.53</v>
      </c>
      <c r="M273" s="59">
        <v>7962.89</v>
      </c>
      <c r="N273" s="202"/>
      <c r="O273" s="202"/>
      <c r="P273" s="202"/>
      <c r="Q273" s="202"/>
      <c r="R273" s="188">
        <f>IF((M274=""),"",MAX(E275:M275))</f>
        <v>6637.9600000000009</v>
      </c>
      <c r="S273" s="188">
        <f>IF((M274=""),"",MIN(E275:M275))</f>
        <v>5956.2000000000007</v>
      </c>
      <c r="T273" s="189">
        <f>IF((M275=""),"",AVERAGE(E275:M275))</f>
        <v>6318.0444444444447</v>
      </c>
      <c r="U273" s="189">
        <f>IF((M274=""),"",(R273-S273)/(R273+S273)*100)</f>
        <v>5.413302673620155</v>
      </c>
      <c r="V273" s="66">
        <f t="shared" ref="V273:V303" si="99">STDEV(E275:Q275)</f>
        <v>226.10529931379415</v>
      </c>
      <c r="W273" s="170" t="str">
        <f>IF(M274="","",IF(U273&lt;6.3,IF(T273&gt;5550,IF(T273&lt;6900,"Pass","Fail"),"Fail"),"Fail"))</f>
        <v>Pass</v>
      </c>
      <c r="X273" s="91"/>
      <c r="AA273" s="67">
        <v>5860</v>
      </c>
      <c r="AB273" s="67">
        <v>6770</v>
      </c>
      <c r="AC273" s="67">
        <v>5550</v>
      </c>
      <c r="AD273" s="67">
        <v>6900</v>
      </c>
      <c r="AE273" s="67">
        <v>20</v>
      </c>
      <c r="AF273" s="67">
        <v>6.3</v>
      </c>
    </row>
    <row r="274" spans="1:32">
      <c r="A274" s="149"/>
      <c r="B274" s="82"/>
      <c r="C274" s="82"/>
      <c r="D274" s="204" t="s">
        <v>115</v>
      </c>
      <c r="E274" s="59">
        <v>4751.8599999999997</v>
      </c>
      <c r="F274" s="59">
        <v>4609.75</v>
      </c>
      <c r="G274" s="59">
        <v>4738.9799999999996</v>
      </c>
      <c r="H274" s="59">
        <v>5173.9399999999996</v>
      </c>
      <c r="I274" s="59">
        <v>5135.63</v>
      </c>
      <c r="J274" s="59">
        <v>5001.2</v>
      </c>
      <c r="K274" s="59">
        <v>4846.6000000000004</v>
      </c>
      <c r="L274" s="59">
        <v>5036.3100000000004</v>
      </c>
      <c r="M274" s="59">
        <v>4643.91</v>
      </c>
      <c r="N274" s="205"/>
      <c r="O274" s="205"/>
      <c r="P274" s="205"/>
      <c r="Q274" s="205"/>
      <c r="R274" s="190"/>
      <c r="S274" s="190"/>
      <c r="T274" s="191"/>
      <c r="U274" s="191"/>
      <c r="W274" s="177"/>
      <c r="X274" s="92"/>
    </row>
    <row r="275" spans="1:32" ht="48">
      <c r="A275" s="149"/>
      <c r="B275" s="207"/>
      <c r="C275" s="207"/>
      <c r="D275" s="204" t="s">
        <v>116</v>
      </c>
      <c r="E275" s="51">
        <f t="shared" ref="E275:M275" si="100">IF(((E273="")*AND(E274="")),"",(E273-E274)*2)</f>
        <v>6389.02</v>
      </c>
      <c r="F275" s="51">
        <f t="shared" si="100"/>
        <v>6554.92</v>
      </c>
      <c r="G275" s="51">
        <f t="shared" si="100"/>
        <v>6433.68</v>
      </c>
      <c r="H275" s="51">
        <f t="shared" si="100"/>
        <v>5956.2000000000007</v>
      </c>
      <c r="I275" s="51">
        <f t="shared" si="100"/>
        <v>6063.5</v>
      </c>
      <c r="J275" s="51">
        <f t="shared" si="100"/>
        <v>6209.3000000000011</v>
      </c>
      <c r="K275" s="51">
        <f t="shared" si="100"/>
        <v>6419.3799999999992</v>
      </c>
      <c r="L275" s="51">
        <f t="shared" si="100"/>
        <v>6198.4399999999987</v>
      </c>
      <c r="M275" s="51">
        <f t="shared" si="100"/>
        <v>6637.9600000000009</v>
      </c>
      <c r="N275" s="51"/>
      <c r="O275" s="51"/>
      <c r="P275" s="51"/>
      <c r="Q275" s="51" t="str">
        <f>IF(((Q273="")*AND(Q274="")),"",(Q273-Q274)*2)</f>
        <v/>
      </c>
      <c r="R275" s="192"/>
      <c r="S275" s="192"/>
      <c r="T275" s="193"/>
      <c r="U275" s="193"/>
      <c r="W275" s="178"/>
      <c r="X275" s="92"/>
    </row>
    <row r="276" spans="1:32">
      <c r="A276" s="149">
        <v>42836</v>
      </c>
      <c r="B276" s="81" t="s">
        <v>117</v>
      </c>
      <c r="C276" s="81" t="s">
        <v>118</v>
      </c>
      <c r="D276" s="204" t="s">
        <v>114</v>
      </c>
      <c r="E276" s="59">
        <v>2894.2</v>
      </c>
      <c r="F276" s="59">
        <v>2826.35</v>
      </c>
      <c r="G276" s="59">
        <v>2784.13</v>
      </c>
      <c r="H276" s="59">
        <v>2765.08</v>
      </c>
      <c r="I276" s="59">
        <v>2767.68</v>
      </c>
      <c r="J276" s="59">
        <v>2794.98</v>
      </c>
      <c r="K276" s="59">
        <v>2851.5</v>
      </c>
      <c r="L276" s="59">
        <v>2836.74</v>
      </c>
      <c r="M276" s="59">
        <v>2793.44</v>
      </c>
      <c r="N276" s="59">
        <v>2769.59</v>
      </c>
      <c r="O276" s="59">
        <v>2775.67</v>
      </c>
      <c r="P276" s="59">
        <v>2801.49</v>
      </c>
      <c r="Q276" s="59">
        <v>2849.49</v>
      </c>
      <c r="R276" s="194">
        <f>IF((Q277=""),"",MAX(E278:Q278))</f>
        <v>265.19999999999982</v>
      </c>
      <c r="S276" s="194">
        <f>IF(Q277="","",MIN(E278:Q278))</f>
        <v>247.38999999999987</v>
      </c>
      <c r="T276" s="195">
        <f>IF((Q278=""),"",AVERAGE(E278:Q278))</f>
        <v>254.01999999999995</v>
      </c>
      <c r="U276" s="195">
        <f>IF((Q277=""),"",(R276-S276)/(R276+S276)*100)</f>
        <v>3.4745117930509677</v>
      </c>
      <c r="V276" s="66">
        <f t="shared" ref="V276:V300" si="101">STDEV(E278:Q278)</f>
        <v>4.6047385014413216</v>
      </c>
      <c r="W276" s="83" t="str">
        <f>IF(Q277="","",IF(T276&gt;242,IF(T276&lt;320,"Pass","Fail"),"Fail"))</f>
        <v>Pass</v>
      </c>
      <c r="X276" s="92"/>
      <c r="AA276" s="67">
        <v>240</v>
      </c>
      <c r="AB276" s="67">
        <v>320</v>
      </c>
      <c r="AC276" s="67">
        <v>190</v>
      </c>
      <c r="AD276" s="67">
        <v>360</v>
      </c>
      <c r="AE276" s="67">
        <v>20</v>
      </c>
      <c r="AF276" s="67">
        <v>11</v>
      </c>
    </row>
    <row r="277" spans="1:32">
      <c r="A277" s="149"/>
      <c r="B277" s="82"/>
      <c r="C277" s="82"/>
      <c r="D277" s="204" t="s">
        <v>115</v>
      </c>
      <c r="E277" s="59">
        <v>2640.35</v>
      </c>
      <c r="F277" s="59">
        <v>2576.65</v>
      </c>
      <c r="G277" s="59">
        <v>2532.0500000000002</v>
      </c>
      <c r="H277" s="59">
        <v>2513.67</v>
      </c>
      <c r="I277" s="59">
        <v>2515.1799999999998</v>
      </c>
      <c r="J277" s="59">
        <v>2541.69</v>
      </c>
      <c r="K277" s="59">
        <v>2586.3000000000002</v>
      </c>
      <c r="L277" s="59">
        <v>2577.17</v>
      </c>
      <c r="M277" s="59">
        <v>2539.16</v>
      </c>
      <c r="N277" s="59">
        <v>2517.64</v>
      </c>
      <c r="O277" s="59">
        <v>2522.77</v>
      </c>
      <c r="P277" s="59">
        <v>2554.1</v>
      </c>
      <c r="Q277" s="59">
        <v>2591.35</v>
      </c>
      <c r="R277" s="190"/>
      <c r="S277" s="190"/>
      <c r="T277" s="191"/>
      <c r="U277" s="191"/>
      <c r="W277" s="177"/>
      <c r="X277" s="92"/>
    </row>
    <row r="278" spans="1:32" ht="48">
      <c r="A278" s="149"/>
      <c r="B278" s="207"/>
      <c r="C278" s="207"/>
      <c r="D278" s="204" t="s">
        <v>116</v>
      </c>
      <c r="E278" s="51">
        <f t="shared" ref="E278:Q278" si="102">IF(((E276="")*AND(E277="")),"",(E276-E277))</f>
        <v>253.84999999999991</v>
      </c>
      <c r="F278" s="51">
        <f t="shared" si="102"/>
        <v>249.69999999999982</v>
      </c>
      <c r="G278" s="51">
        <f t="shared" si="102"/>
        <v>252.07999999999993</v>
      </c>
      <c r="H278" s="51">
        <f t="shared" si="102"/>
        <v>251.40999999999985</v>
      </c>
      <c r="I278" s="51">
        <f t="shared" si="102"/>
        <v>252.5</v>
      </c>
      <c r="J278" s="51">
        <f t="shared" si="102"/>
        <v>253.28999999999996</v>
      </c>
      <c r="K278" s="51">
        <f t="shared" si="102"/>
        <v>265.19999999999982</v>
      </c>
      <c r="L278" s="51">
        <f t="shared" si="102"/>
        <v>259.56999999999971</v>
      </c>
      <c r="M278" s="51">
        <f t="shared" si="102"/>
        <v>254.2800000000002</v>
      </c>
      <c r="N278" s="85">
        <f t="shared" si="102"/>
        <v>251.95000000000027</v>
      </c>
      <c r="O278" s="85">
        <f t="shared" si="102"/>
        <v>252.90000000000009</v>
      </c>
      <c r="P278" s="85">
        <f t="shared" si="102"/>
        <v>247.38999999999987</v>
      </c>
      <c r="Q278" s="85">
        <f t="shared" si="102"/>
        <v>258.13999999999987</v>
      </c>
      <c r="R278" s="192"/>
      <c r="S278" s="192"/>
      <c r="T278" s="193"/>
      <c r="U278" s="193"/>
      <c r="W278" s="178"/>
      <c r="X278" s="92"/>
    </row>
    <row r="279" spans="1:32">
      <c r="A279" s="149">
        <v>42836</v>
      </c>
      <c r="B279" s="81" t="s">
        <v>119</v>
      </c>
      <c r="C279" s="81" t="s">
        <v>120</v>
      </c>
      <c r="D279" s="204" t="s">
        <v>114</v>
      </c>
      <c r="E279" s="59">
        <v>6862.16</v>
      </c>
      <c r="F279" s="59">
        <v>6867.93</v>
      </c>
      <c r="G279" s="59">
        <v>6898.32</v>
      </c>
      <c r="H279" s="59">
        <v>6853.04</v>
      </c>
      <c r="I279" s="59">
        <v>6915.96</v>
      </c>
      <c r="J279" s="59">
        <v>6904.51</v>
      </c>
      <c r="K279" s="59">
        <v>6879.16</v>
      </c>
      <c r="L279" s="59">
        <v>6888.91</v>
      </c>
      <c r="M279" s="59">
        <v>6966.07</v>
      </c>
      <c r="N279" s="210"/>
      <c r="O279" s="210"/>
      <c r="P279" s="210"/>
      <c r="Q279" s="210"/>
      <c r="R279" s="196">
        <f>IF((M280=""),"",MAX(E281:M281))</f>
        <v>4575.0599999999995</v>
      </c>
      <c r="S279" s="194">
        <f>IF(M280="","",MIN(E281:M281))</f>
        <v>4064.5</v>
      </c>
      <c r="T279" s="195">
        <f>IF((M281=""),"",AVERAGE(E281:M281))</f>
        <v>4248.9644444444439</v>
      </c>
      <c r="U279" s="195">
        <f>IF((M280=""),"",(R279-S279)/(R279+S279)*100)</f>
        <v>5.9095602090847157</v>
      </c>
      <c r="V279" s="66">
        <f t="shared" si="101"/>
        <v>180.19441161641674</v>
      </c>
      <c r="W279" s="83" t="str">
        <f>IF(M280="","",IF(T279&gt;3650,IF(T279&lt;4450,"Pass","Fail"),"Fail"))</f>
        <v>Pass</v>
      </c>
      <c r="X279" s="92"/>
      <c r="AA279" s="86">
        <v>3650</v>
      </c>
      <c r="AB279" s="86">
        <v>4450</v>
      </c>
      <c r="AC279" s="86">
        <v>3700</v>
      </c>
      <c r="AD279" s="86">
        <v>4250</v>
      </c>
      <c r="AE279" s="86">
        <v>7.2</v>
      </c>
      <c r="AF279" s="86">
        <v>3</v>
      </c>
    </row>
    <row r="280" spans="1:32">
      <c r="A280" s="149"/>
      <c r="B280" s="82"/>
      <c r="C280" s="82"/>
      <c r="D280" s="204" t="s">
        <v>115</v>
      </c>
      <c r="E280" s="59">
        <v>4652.32</v>
      </c>
      <c r="F280" s="59">
        <v>4824.7</v>
      </c>
      <c r="G280" s="59">
        <v>4863.5</v>
      </c>
      <c r="H280" s="59">
        <v>4766.66</v>
      </c>
      <c r="I280" s="59">
        <v>4628.43</v>
      </c>
      <c r="J280" s="59">
        <v>4719.1499999999996</v>
      </c>
      <c r="K280" s="59">
        <v>4795.6499999999996</v>
      </c>
      <c r="L280" s="59">
        <v>4856.66</v>
      </c>
      <c r="M280" s="59">
        <v>4808.6499999999996</v>
      </c>
      <c r="N280" s="205"/>
      <c r="O280" s="205"/>
      <c r="P280" s="205"/>
      <c r="Q280" s="205"/>
      <c r="R280" s="190"/>
      <c r="S280" s="190"/>
      <c r="T280" s="191"/>
      <c r="U280" s="191"/>
      <c r="W280" s="177"/>
      <c r="X280" s="92"/>
    </row>
    <row r="281" spans="1:32" ht="48">
      <c r="A281" s="149"/>
      <c r="B281" s="207"/>
      <c r="C281" s="207"/>
      <c r="D281" s="204" t="s">
        <v>116</v>
      </c>
      <c r="E281" s="51">
        <f t="shared" ref="E281:M281" si="103">IF(((E279="")*AND(E280="")),"",(E279-E280)*2)</f>
        <v>4419.68</v>
      </c>
      <c r="F281" s="51">
        <f t="shared" si="103"/>
        <v>4086.4600000000009</v>
      </c>
      <c r="G281" s="51">
        <f t="shared" si="103"/>
        <v>4069.6399999999994</v>
      </c>
      <c r="H281" s="51">
        <f t="shared" si="103"/>
        <v>4172.76</v>
      </c>
      <c r="I281" s="51">
        <f t="shared" si="103"/>
        <v>4575.0599999999995</v>
      </c>
      <c r="J281" s="51">
        <f t="shared" si="103"/>
        <v>4370.7200000000012</v>
      </c>
      <c r="K281" s="51">
        <f t="shared" si="103"/>
        <v>4167.0200000000004</v>
      </c>
      <c r="L281" s="51">
        <f t="shared" si="103"/>
        <v>4064.5</v>
      </c>
      <c r="M281" s="51">
        <f t="shared" si="103"/>
        <v>4314.84</v>
      </c>
      <c r="N281" s="51"/>
      <c r="O281" s="51"/>
      <c r="P281" s="51"/>
      <c r="Q281" s="51"/>
      <c r="R281" s="192"/>
      <c r="S281" s="192"/>
      <c r="T281" s="193"/>
      <c r="U281" s="193"/>
      <c r="W281" s="178"/>
      <c r="X281" s="92"/>
    </row>
    <row r="282" spans="1:32">
      <c r="A282" s="149">
        <v>42836</v>
      </c>
      <c r="B282" s="81" t="s">
        <v>121</v>
      </c>
      <c r="C282" s="81" t="s">
        <v>121</v>
      </c>
      <c r="D282" s="204" t="s">
        <v>114</v>
      </c>
      <c r="E282" s="59">
        <v>1965.08</v>
      </c>
      <c r="F282" s="59">
        <v>1961.76</v>
      </c>
      <c r="G282" s="59">
        <v>1957.34</v>
      </c>
      <c r="H282" s="59">
        <v>1962.06</v>
      </c>
      <c r="I282" s="59">
        <v>1967.54</v>
      </c>
      <c r="J282" s="59">
        <v>1979.78</v>
      </c>
      <c r="K282" s="59">
        <v>1962.75</v>
      </c>
      <c r="L282" s="59">
        <v>1962.15</v>
      </c>
      <c r="M282" s="59">
        <v>1971.41</v>
      </c>
      <c r="N282" s="205"/>
      <c r="O282" s="205"/>
      <c r="P282" s="205"/>
      <c r="Q282" s="205"/>
      <c r="R282" s="194">
        <f>IF((M283=""),"",MAX(E284:M284))</f>
        <v>2607.04</v>
      </c>
      <c r="S282" s="194">
        <f>IF((M283=""),"",MIN(E284:M284))</f>
        <v>2445.4000000000005</v>
      </c>
      <c r="T282" s="195">
        <f>IF((M284=""),"",AVERAGE(E284:M284))</f>
        <v>2508.6444444444442</v>
      </c>
      <c r="U282" s="195">
        <f>IF((M283=""),"",(R282-S282)/(R282+S282)*100)</f>
        <v>3.1992463047557105</v>
      </c>
      <c r="V282" s="66">
        <f t="shared" si="101"/>
        <v>50.480683214288405</v>
      </c>
      <c r="W282" s="174" t="str">
        <f>IF(M283="","",IF(U282&lt;5.5,IF(T282&gt;2200,IF(T282&lt;2900,"Pass","Fail"),"Fail"),"Fail"))</f>
        <v>Pass</v>
      </c>
      <c r="X282" s="92"/>
      <c r="AA282" s="67">
        <v>2000</v>
      </c>
      <c r="AB282" s="67">
        <v>3000</v>
      </c>
      <c r="AC282" s="67">
        <v>2200</v>
      </c>
      <c r="AD282" s="67">
        <v>2900</v>
      </c>
      <c r="AE282" s="67">
        <v>7</v>
      </c>
      <c r="AF282" s="67">
        <v>5.5</v>
      </c>
    </row>
    <row r="283" spans="1:32">
      <c r="A283" s="149"/>
      <c r="B283" s="82"/>
      <c r="C283" s="82"/>
      <c r="D283" s="204" t="s">
        <v>115</v>
      </c>
      <c r="E283" s="59">
        <v>1339.03</v>
      </c>
      <c r="F283" s="59">
        <v>1328.86</v>
      </c>
      <c r="G283" s="59">
        <v>1342.97</v>
      </c>
      <c r="H283" s="59">
        <v>1331.9</v>
      </c>
      <c r="I283" s="59">
        <v>1351.02</v>
      </c>
      <c r="J283" s="59">
        <v>1328.02</v>
      </c>
      <c r="K283" s="59">
        <v>1325.98</v>
      </c>
      <c r="L283" s="59">
        <v>1337.58</v>
      </c>
      <c r="M283" s="59">
        <v>1360.06</v>
      </c>
      <c r="N283" s="205"/>
      <c r="O283" s="205"/>
      <c r="P283" s="205"/>
      <c r="Q283" s="205"/>
      <c r="R283" s="190"/>
      <c r="S283" s="190"/>
      <c r="T283" s="191"/>
      <c r="U283" s="191"/>
      <c r="W283" s="179"/>
      <c r="X283" s="92"/>
    </row>
    <row r="284" spans="1:32" ht="48.75" thickBot="1">
      <c r="A284" s="149"/>
      <c r="B284" s="211"/>
      <c r="C284" s="211"/>
      <c r="D284" s="212" t="s">
        <v>116</v>
      </c>
      <c r="E284" s="87">
        <f t="shared" ref="E284:M284" si="104">IF(((E282="")*AND(E283="")),"",(E282-E283)*4)</f>
        <v>2504.1999999999998</v>
      </c>
      <c r="F284" s="87">
        <f t="shared" si="104"/>
        <v>2531.6000000000004</v>
      </c>
      <c r="G284" s="87">
        <f t="shared" si="104"/>
        <v>2457.4799999999996</v>
      </c>
      <c r="H284" s="87">
        <f t="shared" si="104"/>
        <v>2520.6399999999994</v>
      </c>
      <c r="I284" s="87">
        <f t="shared" si="104"/>
        <v>2466.08</v>
      </c>
      <c r="J284" s="87">
        <f t="shared" si="104"/>
        <v>2607.04</v>
      </c>
      <c r="K284" s="87">
        <f t="shared" si="104"/>
        <v>2547.08</v>
      </c>
      <c r="L284" s="87">
        <f t="shared" si="104"/>
        <v>2498.2800000000007</v>
      </c>
      <c r="M284" s="87">
        <f t="shared" si="104"/>
        <v>2445.4000000000005</v>
      </c>
      <c r="N284" s="87"/>
      <c r="O284" s="87"/>
      <c r="P284" s="87"/>
      <c r="Q284" s="87" t="str">
        <f>IF(((Q282="")*AND(Q283="")),"",(Q282-Q283)*4)</f>
        <v/>
      </c>
      <c r="R284" s="197"/>
      <c r="S284" s="197"/>
      <c r="T284" s="198"/>
      <c r="U284" s="198"/>
      <c r="W284" s="180"/>
      <c r="X284" s="93"/>
    </row>
    <row r="285" spans="1:32">
      <c r="A285" s="149">
        <v>42845</v>
      </c>
      <c r="B285" s="81" t="s">
        <v>117</v>
      </c>
      <c r="C285" s="81" t="s">
        <v>118</v>
      </c>
      <c r="D285" s="204" t="s">
        <v>114</v>
      </c>
      <c r="E285" s="59">
        <v>2895.74</v>
      </c>
      <c r="F285" s="59">
        <v>2828.43</v>
      </c>
      <c r="G285" s="59">
        <v>2786.15</v>
      </c>
      <c r="H285" s="59">
        <v>2765.59</v>
      </c>
      <c r="I285" s="59">
        <v>2768.24</v>
      </c>
      <c r="J285" s="59">
        <v>2799.61</v>
      </c>
      <c r="K285" s="59">
        <v>2856.17</v>
      </c>
      <c r="L285" s="59">
        <v>2844.05</v>
      </c>
      <c r="M285" s="59">
        <v>2793.64</v>
      </c>
      <c r="N285" s="59">
        <v>2772.1</v>
      </c>
      <c r="O285" s="59">
        <v>2779.89</v>
      </c>
      <c r="P285" s="59">
        <v>2808.17</v>
      </c>
      <c r="Q285" s="59">
        <v>2851.28</v>
      </c>
      <c r="R285" s="194">
        <f>IF((Q286=""),"",MAX(E287:Q287))</f>
        <v>276.73</v>
      </c>
      <c r="S285" s="194">
        <f>IF(Q286="","",MIN(E287:Q287))</f>
        <v>251.76999999999998</v>
      </c>
      <c r="T285" s="195">
        <f>IF((Q287=""),"",AVERAGE(E287:Q287))</f>
        <v>259.48384615384617</v>
      </c>
      <c r="U285" s="195">
        <f>IF((Q286=""),"",(R285-S285)/(R285+S285)*100)</f>
        <v>4.7228003784295245</v>
      </c>
      <c r="V285" s="66">
        <f t="shared" si="101"/>
        <v>7.3541117053218361</v>
      </c>
      <c r="W285" s="83" t="str">
        <f>IF(Q286="","",IF(T285&gt;242,IF(T285&lt;320,"Pass","Fail"),"Fail"))</f>
        <v>Pass</v>
      </c>
      <c r="X285" s="92">
        <v>1335</v>
      </c>
      <c r="AA285" s="67">
        <v>240</v>
      </c>
      <c r="AB285" s="67">
        <v>320</v>
      </c>
      <c r="AC285" s="67">
        <v>190</v>
      </c>
      <c r="AD285" s="67">
        <v>360</v>
      </c>
      <c r="AE285" s="67">
        <v>20</v>
      </c>
      <c r="AF285" s="67">
        <v>11</v>
      </c>
    </row>
    <row r="286" spans="1:32">
      <c r="A286" s="149"/>
      <c r="B286" s="82"/>
      <c r="C286" s="82"/>
      <c r="D286" s="204" t="s">
        <v>115</v>
      </c>
      <c r="E286" s="59">
        <v>2636.75</v>
      </c>
      <c r="F286" s="59">
        <v>2572.11</v>
      </c>
      <c r="G286" s="59">
        <v>2532.6</v>
      </c>
      <c r="H286" s="59">
        <v>2513.8200000000002</v>
      </c>
      <c r="I286" s="59">
        <v>2512.83</v>
      </c>
      <c r="J286" s="59">
        <v>2538.0500000000002</v>
      </c>
      <c r="K286" s="59">
        <v>2579.44</v>
      </c>
      <c r="L286" s="59">
        <v>2572.91</v>
      </c>
      <c r="M286" s="59">
        <v>2536.75</v>
      </c>
      <c r="N286" s="59">
        <v>2515.4699999999998</v>
      </c>
      <c r="O286" s="59">
        <v>2523.62</v>
      </c>
      <c r="P286" s="59">
        <v>2554.8200000000002</v>
      </c>
      <c r="Q286" s="59">
        <v>2586.6</v>
      </c>
      <c r="R286" s="190"/>
      <c r="S286" s="190"/>
      <c r="T286" s="191"/>
      <c r="U286" s="191"/>
      <c r="W286" s="177"/>
      <c r="X286" s="92"/>
    </row>
    <row r="287" spans="1:32" ht="48">
      <c r="A287" s="149"/>
      <c r="B287" s="207"/>
      <c r="C287" s="207"/>
      <c r="D287" s="204" t="s">
        <v>116</v>
      </c>
      <c r="E287" s="51">
        <f t="shared" ref="E287:Q287" si="105">IF(((E285="")*AND(E286="")),"",(E285-E286))</f>
        <v>258.98999999999978</v>
      </c>
      <c r="F287" s="51">
        <f t="shared" si="105"/>
        <v>256.31999999999971</v>
      </c>
      <c r="G287" s="51">
        <f t="shared" si="105"/>
        <v>253.55000000000018</v>
      </c>
      <c r="H287" s="51">
        <f t="shared" si="105"/>
        <v>251.76999999999998</v>
      </c>
      <c r="I287" s="51">
        <f t="shared" si="105"/>
        <v>255.40999999999985</v>
      </c>
      <c r="J287" s="51">
        <f t="shared" si="105"/>
        <v>261.55999999999995</v>
      </c>
      <c r="K287" s="51">
        <f t="shared" si="105"/>
        <v>276.73</v>
      </c>
      <c r="L287" s="51">
        <f t="shared" si="105"/>
        <v>271.14000000000033</v>
      </c>
      <c r="M287" s="51">
        <f t="shared" si="105"/>
        <v>256.88999999999987</v>
      </c>
      <c r="N287" s="85">
        <f t="shared" si="105"/>
        <v>256.63000000000011</v>
      </c>
      <c r="O287" s="85">
        <f t="shared" si="105"/>
        <v>256.27</v>
      </c>
      <c r="P287" s="85">
        <f t="shared" si="105"/>
        <v>253.34999999999991</v>
      </c>
      <c r="Q287" s="85">
        <f t="shared" si="105"/>
        <v>264.68000000000029</v>
      </c>
      <c r="R287" s="192"/>
      <c r="S287" s="192"/>
      <c r="T287" s="193"/>
      <c r="U287" s="193"/>
      <c r="W287" s="178"/>
      <c r="X287" s="92"/>
    </row>
    <row r="288" spans="1:32">
      <c r="A288" s="149">
        <v>42845</v>
      </c>
      <c r="B288" s="81" t="s">
        <v>119</v>
      </c>
      <c r="C288" s="81" t="s">
        <v>120</v>
      </c>
      <c r="D288" s="204" t="s">
        <v>114</v>
      </c>
      <c r="E288" s="59">
        <v>1941.89</v>
      </c>
      <c r="F288" s="59">
        <v>1934.34</v>
      </c>
      <c r="G288" s="59">
        <v>1927.86</v>
      </c>
      <c r="H288" s="59">
        <v>1931.83</v>
      </c>
      <c r="I288" s="59">
        <v>1939.34</v>
      </c>
      <c r="J288" s="59">
        <v>1940.62</v>
      </c>
      <c r="K288" s="59">
        <v>1932.46</v>
      </c>
      <c r="L288" s="59">
        <v>1935.18</v>
      </c>
      <c r="M288" s="59">
        <v>1942.98</v>
      </c>
      <c r="N288" s="210"/>
      <c r="O288" s="210"/>
      <c r="P288" s="210"/>
      <c r="Q288" s="210"/>
      <c r="R288" s="196">
        <f>IF((M289=""),"",MAX(E290:M290))</f>
        <v>1333.2199999999998</v>
      </c>
      <c r="S288" s="194">
        <f>IF(M289="","",MIN(E290:M290))</f>
        <v>1235.6999999999998</v>
      </c>
      <c r="T288" s="195">
        <f>IF((M290=""),"",AVERAGE(E290:M290))</f>
        <v>1278.2422222222222</v>
      </c>
      <c r="U288" s="195">
        <f>IF((M289=""),"",(R288-S288)/(R288+S288)*100)</f>
        <v>3.7961477975180227</v>
      </c>
      <c r="V288" s="66">
        <f t="shared" si="99"/>
        <v>30.739712823075401</v>
      </c>
      <c r="W288" s="83" t="str">
        <f>IF(M289="","",IF(T288&gt;3650,IF(T288&lt;4450,"Pass","Fail"),"Fail"))</f>
        <v>Fail</v>
      </c>
      <c r="X288" s="92">
        <v>1335</v>
      </c>
      <c r="AA288" s="86">
        <v>3650</v>
      </c>
      <c r="AB288" s="86">
        <v>4450</v>
      </c>
      <c r="AC288" s="86">
        <v>3700</v>
      </c>
      <c r="AD288" s="86">
        <v>4250</v>
      </c>
      <c r="AE288" s="86">
        <v>7.2</v>
      </c>
      <c r="AF288" s="86">
        <v>3</v>
      </c>
    </row>
    <row r="289" spans="1:32">
      <c r="A289" s="149"/>
      <c r="B289" s="82"/>
      <c r="C289" s="82"/>
      <c r="D289" s="204" t="s">
        <v>115</v>
      </c>
      <c r="E289" s="59">
        <v>1310.78</v>
      </c>
      <c r="F289" s="59">
        <v>1309.45</v>
      </c>
      <c r="G289" s="59">
        <v>1310.01</v>
      </c>
      <c r="H289" s="59">
        <v>1290.08</v>
      </c>
      <c r="I289" s="59">
        <v>1272.73</v>
      </c>
      <c r="J289" s="59">
        <v>1291.79</v>
      </c>
      <c r="K289" s="59">
        <v>1301.52</v>
      </c>
      <c r="L289" s="59">
        <v>1299.52</v>
      </c>
      <c r="M289" s="59">
        <v>1288.53</v>
      </c>
      <c r="N289" s="205"/>
      <c r="O289" s="205"/>
      <c r="P289" s="205"/>
      <c r="Q289" s="205"/>
      <c r="R289" s="190"/>
      <c r="S289" s="190"/>
      <c r="T289" s="191"/>
      <c r="U289" s="191"/>
      <c r="W289" s="177"/>
      <c r="X289" s="92"/>
    </row>
    <row r="290" spans="1:32" ht="48">
      <c r="A290" s="149"/>
      <c r="B290" s="207"/>
      <c r="C290" s="207"/>
      <c r="D290" s="204" t="s">
        <v>116</v>
      </c>
      <c r="E290" s="51">
        <f t="shared" ref="E290:M290" si="106">IF(((E288="")*AND(E289="")),"",(E288-E289)*2)</f>
        <v>1262.2200000000003</v>
      </c>
      <c r="F290" s="51">
        <f t="shared" si="106"/>
        <v>1249.7799999999997</v>
      </c>
      <c r="G290" s="51">
        <f t="shared" si="106"/>
        <v>1235.6999999999998</v>
      </c>
      <c r="H290" s="51">
        <f t="shared" si="106"/>
        <v>1283.5</v>
      </c>
      <c r="I290" s="51">
        <f t="shared" si="106"/>
        <v>1333.2199999999998</v>
      </c>
      <c r="J290" s="51">
        <f t="shared" si="106"/>
        <v>1297.6599999999999</v>
      </c>
      <c r="K290" s="51">
        <f t="shared" si="106"/>
        <v>1261.8800000000001</v>
      </c>
      <c r="L290" s="51">
        <f t="shared" si="106"/>
        <v>1271.3200000000002</v>
      </c>
      <c r="M290" s="51">
        <f t="shared" si="106"/>
        <v>1308.9000000000001</v>
      </c>
      <c r="N290" s="51"/>
      <c r="O290" s="51"/>
      <c r="P290" s="51"/>
      <c r="Q290" s="51"/>
      <c r="R290" s="192"/>
      <c r="S290" s="192"/>
      <c r="T290" s="193"/>
      <c r="U290" s="193"/>
      <c r="W290" s="178"/>
      <c r="X290" s="92"/>
    </row>
    <row r="291" spans="1:32">
      <c r="A291" s="149">
        <v>42845</v>
      </c>
      <c r="B291" s="81" t="s">
        <v>121</v>
      </c>
      <c r="C291" s="81" t="s">
        <v>121</v>
      </c>
      <c r="D291" s="204" t="s">
        <v>114</v>
      </c>
      <c r="E291" s="59">
        <v>1928.42</v>
      </c>
      <c r="F291" s="59">
        <v>1923.59</v>
      </c>
      <c r="G291" s="59">
        <v>1921.34</v>
      </c>
      <c r="H291" s="59">
        <v>1922.55</v>
      </c>
      <c r="I291" s="59">
        <v>1929.03</v>
      </c>
      <c r="J291" s="59">
        <v>1929.74</v>
      </c>
      <c r="K291" s="59">
        <v>1922.05</v>
      </c>
      <c r="L291" s="59">
        <v>1922.44</v>
      </c>
      <c r="M291" s="59">
        <v>1934.24</v>
      </c>
      <c r="N291" s="205"/>
      <c r="O291" s="205"/>
      <c r="P291" s="205"/>
      <c r="Q291" s="205"/>
      <c r="R291" s="194">
        <f>IF((M292=""),"",MAX(E293:M293))</f>
        <v>2589.92</v>
      </c>
      <c r="S291" s="194">
        <f>IF((M292=""),"",MIN(E293:M293))</f>
        <v>2410.12</v>
      </c>
      <c r="T291" s="195">
        <f>IF((M293=""),"",AVERAGE(E293:M293))</f>
        <v>2485.9288888888891</v>
      </c>
      <c r="U291" s="195">
        <f>IF((M292=""),"",(R291-S291)/(R291+S291)*100)</f>
        <v>3.5959712322301463</v>
      </c>
      <c r="V291" s="66">
        <f t="shared" si="101"/>
        <v>54.139001755760638</v>
      </c>
      <c r="W291" s="174" t="str">
        <f>IF(M292="","",IF(U291&lt;5.5,IF(T291&gt;2200,IF(T291&lt;2900,"Pass","Fail"),"Fail"),"Fail"))</f>
        <v>Pass</v>
      </c>
      <c r="X291" s="92">
        <v>1335</v>
      </c>
      <c r="AA291" s="67">
        <v>2000</v>
      </c>
      <c r="AB291" s="67">
        <v>3000</v>
      </c>
      <c r="AC291" s="67">
        <v>2200</v>
      </c>
      <c r="AD291" s="67">
        <v>2900</v>
      </c>
      <c r="AE291" s="67">
        <v>7</v>
      </c>
      <c r="AF291" s="67">
        <v>5.5</v>
      </c>
    </row>
    <row r="292" spans="1:32">
      <c r="A292" s="149"/>
      <c r="B292" s="82"/>
      <c r="C292" s="82"/>
      <c r="D292" s="204" t="s">
        <v>115</v>
      </c>
      <c r="E292" s="59">
        <v>1305.93</v>
      </c>
      <c r="F292" s="59">
        <v>1302.6600000000001</v>
      </c>
      <c r="G292" s="59">
        <v>1318.81</v>
      </c>
      <c r="H292" s="59">
        <v>1298.25</v>
      </c>
      <c r="I292" s="59">
        <v>1301.82</v>
      </c>
      <c r="J292" s="59">
        <v>1282.26</v>
      </c>
      <c r="K292" s="59">
        <v>1291.8599999999999</v>
      </c>
      <c r="L292" s="59">
        <v>1311.58</v>
      </c>
      <c r="M292" s="59">
        <v>1326.89</v>
      </c>
      <c r="N292" s="205"/>
      <c r="O292" s="205"/>
      <c r="P292" s="205"/>
      <c r="Q292" s="205"/>
      <c r="R292" s="190"/>
      <c r="S292" s="190"/>
      <c r="T292" s="191"/>
      <c r="U292" s="191"/>
      <c r="W292" s="179"/>
      <c r="X292" s="92"/>
    </row>
    <row r="293" spans="1:32" ht="48.75" thickBot="1">
      <c r="A293" s="149"/>
      <c r="B293" s="211"/>
      <c r="C293" s="211"/>
      <c r="D293" s="212" t="s">
        <v>116</v>
      </c>
      <c r="E293" s="87">
        <f t="shared" ref="E293:M293" si="107">IF(((E291="")*AND(E292="")),"",(E291-E292)*4)</f>
        <v>2489.96</v>
      </c>
      <c r="F293" s="87">
        <f t="shared" si="107"/>
        <v>2483.7199999999993</v>
      </c>
      <c r="G293" s="87">
        <f t="shared" si="107"/>
        <v>2410.12</v>
      </c>
      <c r="H293" s="87">
        <f t="shared" si="107"/>
        <v>2497.1999999999998</v>
      </c>
      <c r="I293" s="87">
        <f t="shared" si="107"/>
        <v>2508.84</v>
      </c>
      <c r="J293" s="87">
        <f t="shared" si="107"/>
        <v>2589.92</v>
      </c>
      <c r="K293" s="87">
        <f t="shared" si="107"/>
        <v>2520.7600000000002</v>
      </c>
      <c r="L293" s="87">
        <f t="shared" si="107"/>
        <v>2443.4400000000005</v>
      </c>
      <c r="M293" s="87">
        <f t="shared" si="107"/>
        <v>2429.3999999999996</v>
      </c>
      <c r="N293" s="87"/>
      <c r="O293" s="87"/>
      <c r="P293" s="87"/>
      <c r="Q293" s="87" t="str">
        <f>IF(((Q291="")*AND(Q292="")),"",(Q291-Q292)*4)</f>
        <v/>
      </c>
      <c r="R293" s="197"/>
      <c r="S293" s="197"/>
      <c r="T293" s="198"/>
      <c r="U293" s="198"/>
      <c r="W293" s="180"/>
      <c r="X293" s="93"/>
    </row>
    <row r="294" spans="1:32">
      <c r="A294" s="149">
        <v>42862</v>
      </c>
      <c r="B294" s="200" t="s">
        <v>112</v>
      </c>
      <c r="C294" s="200" t="s">
        <v>113</v>
      </c>
      <c r="D294" s="201" t="s">
        <v>114</v>
      </c>
      <c r="E294" s="96">
        <v>7985.36</v>
      </c>
      <c r="F294" s="96">
        <v>7923</v>
      </c>
      <c r="G294" s="96">
        <v>7994</v>
      </c>
      <c r="H294" s="96">
        <v>8189</v>
      </c>
      <c r="I294" s="96">
        <v>8206</v>
      </c>
      <c r="J294" s="96">
        <v>8142</v>
      </c>
      <c r="K294" s="96">
        <v>8095</v>
      </c>
      <c r="L294" s="96">
        <v>8174</v>
      </c>
      <c r="M294" s="96">
        <v>8006</v>
      </c>
      <c r="N294" s="202"/>
      <c r="O294" s="202"/>
      <c r="P294" s="202"/>
      <c r="Q294" s="202"/>
      <c r="R294" s="188">
        <f>IF((M295=""),"",MAX(E296:M296))</f>
        <v>6608.76</v>
      </c>
      <c r="S294" s="188">
        <f>IF((M295=""),"",MIN(E296:M296))</f>
        <v>5922.48</v>
      </c>
      <c r="T294" s="189">
        <f>IF((M296=""),"",AVERAGE(E296:M296))</f>
        <v>6295.6422222222218</v>
      </c>
      <c r="U294" s="189">
        <f>IF((M295=""),"",(R294-S294)/(R294+S294)*100)</f>
        <v>5.4765529987455404</v>
      </c>
      <c r="V294" s="66">
        <f t="shared" si="101"/>
        <v>234.03680126094423</v>
      </c>
      <c r="W294" s="170" t="str">
        <f>IF(M295="","",IF(U294&lt;6.3,IF(T294&gt;5550,IF(T294&lt;6900,"Pass","Fail"),"Fail"),"Fail"))</f>
        <v>Pass</v>
      </c>
      <c r="X294" s="91">
        <v>1428</v>
      </c>
      <c r="AA294" s="67">
        <v>5860</v>
      </c>
      <c r="AB294" s="67">
        <v>6770</v>
      </c>
      <c r="AC294" s="67">
        <v>5550</v>
      </c>
      <c r="AD294" s="67">
        <v>6900</v>
      </c>
      <c r="AE294" s="67">
        <v>20</v>
      </c>
      <c r="AF294" s="67">
        <v>6.3</v>
      </c>
    </row>
    <row r="295" spans="1:32">
      <c r="A295" s="149"/>
      <c r="B295" s="82"/>
      <c r="C295" s="82"/>
      <c r="D295" s="204" t="s">
        <v>115</v>
      </c>
      <c r="E295" s="94">
        <v>4791.38</v>
      </c>
      <c r="F295" s="94">
        <v>4645.25</v>
      </c>
      <c r="G295" s="94">
        <v>4788.42</v>
      </c>
      <c r="H295" s="94">
        <v>5227.76</v>
      </c>
      <c r="I295" s="94">
        <v>5188.74</v>
      </c>
      <c r="J295" s="214">
        <v>5051.57</v>
      </c>
      <c r="K295" s="214">
        <v>4894.25</v>
      </c>
      <c r="L295" s="214">
        <v>5094.9799999999996</v>
      </c>
      <c r="M295" s="214">
        <v>4701.62</v>
      </c>
      <c r="N295" s="205"/>
      <c r="O295" s="205"/>
      <c r="P295" s="205"/>
      <c r="Q295" s="205"/>
      <c r="R295" s="190"/>
      <c r="S295" s="190"/>
      <c r="T295" s="191"/>
      <c r="U295" s="191"/>
      <c r="W295" s="177"/>
      <c r="X295" s="92"/>
    </row>
    <row r="296" spans="1:32" ht="48">
      <c r="A296" s="149"/>
      <c r="B296" s="207"/>
      <c r="C296" s="207"/>
      <c r="D296" s="204" t="s">
        <v>116</v>
      </c>
      <c r="E296" s="51">
        <f t="shared" ref="E296:M296" si="108">IF(((E294="")*AND(E295="")),"",(E294-E295)*2)</f>
        <v>6387.9599999999991</v>
      </c>
      <c r="F296" s="51">
        <f t="shared" si="108"/>
        <v>6555.5</v>
      </c>
      <c r="G296" s="51">
        <f t="shared" si="108"/>
        <v>6411.16</v>
      </c>
      <c r="H296" s="51">
        <f t="shared" si="108"/>
        <v>5922.48</v>
      </c>
      <c r="I296" s="51">
        <f t="shared" si="108"/>
        <v>6034.52</v>
      </c>
      <c r="J296" s="51">
        <f t="shared" si="108"/>
        <v>6180.8600000000006</v>
      </c>
      <c r="K296" s="51">
        <f t="shared" si="108"/>
        <v>6401.5</v>
      </c>
      <c r="L296" s="51">
        <f t="shared" si="108"/>
        <v>6158.0400000000009</v>
      </c>
      <c r="M296" s="51">
        <f t="shared" si="108"/>
        <v>6608.76</v>
      </c>
      <c r="N296" s="51"/>
      <c r="O296" s="51"/>
      <c r="P296" s="51"/>
      <c r="Q296" s="51" t="str">
        <f>IF(((Q294="")*AND(Q295="")),"",(Q294-Q295)*2)</f>
        <v/>
      </c>
      <c r="R296" s="192"/>
      <c r="S296" s="192"/>
      <c r="T296" s="193"/>
      <c r="U296" s="193"/>
      <c r="W296" s="178"/>
      <c r="X296" s="92"/>
    </row>
    <row r="297" spans="1:32">
      <c r="A297" s="149">
        <v>42862</v>
      </c>
      <c r="B297" s="81" t="s">
        <v>117</v>
      </c>
      <c r="C297" s="81" t="s">
        <v>118</v>
      </c>
      <c r="D297" s="204" t="s">
        <v>114</v>
      </c>
      <c r="E297" s="94">
        <v>2535.4499999999998</v>
      </c>
      <c r="F297" s="94">
        <v>2499.9</v>
      </c>
      <c r="G297" s="94">
        <v>2479.65</v>
      </c>
      <c r="H297" s="94">
        <v>2479.08</v>
      </c>
      <c r="I297" s="94">
        <v>2487.06</v>
      </c>
      <c r="J297" s="94">
        <v>2517.02</v>
      </c>
      <c r="K297" s="94">
        <v>2539.84</v>
      </c>
      <c r="L297" s="94">
        <v>2540.85</v>
      </c>
      <c r="M297" s="94">
        <v>2500.17</v>
      </c>
      <c r="N297" s="94">
        <v>2477.9699999999998</v>
      </c>
      <c r="O297" s="94">
        <v>2500.7600000000002</v>
      </c>
      <c r="P297" s="94">
        <v>2545.33</v>
      </c>
      <c r="Q297" s="94">
        <v>2597.84</v>
      </c>
      <c r="R297" s="194">
        <f>IF((Q298=""),"",MAX(E299:Q299))</f>
        <v>318.4699999999998</v>
      </c>
      <c r="S297" s="194">
        <f>IF(Q298="","",MIN(E299:Q299))</f>
        <v>293.01000000000022</v>
      </c>
      <c r="T297" s="195">
        <f>IF((Q299=""),"",AVERAGE(E299:Q299))</f>
        <v>304.83230769230767</v>
      </c>
      <c r="U297" s="195">
        <f>IF((Q298=""),"",(R297-S297)/(R297+S297)*100)</f>
        <v>4.1636684764832177</v>
      </c>
      <c r="V297" s="66">
        <f t="shared" si="101"/>
        <v>9.4530375663468149</v>
      </c>
      <c r="W297" s="83" t="str">
        <f>IF(Q298="","",IF(T297&gt;242,IF(T297&lt;320,"Pass","Fail"),"Fail"))</f>
        <v>Pass</v>
      </c>
      <c r="X297" s="92">
        <v>1428</v>
      </c>
      <c r="AA297" s="67">
        <v>240</v>
      </c>
      <c r="AB297" s="67">
        <v>320</v>
      </c>
      <c r="AC297" s="67">
        <v>190</v>
      </c>
      <c r="AD297" s="67">
        <v>360</v>
      </c>
      <c r="AE297" s="67">
        <v>20</v>
      </c>
      <c r="AF297" s="67">
        <v>11</v>
      </c>
    </row>
    <row r="298" spans="1:32">
      <c r="A298" s="149"/>
      <c r="B298" s="82"/>
      <c r="C298" s="82"/>
      <c r="D298" s="204" t="s">
        <v>115</v>
      </c>
      <c r="E298" s="94">
        <v>2219.42</v>
      </c>
      <c r="F298" s="94">
        <v>2206.39</v>
      </c>
      <c r="G298" s="94">
        <v>2186.64</v>
      </c>
      <c r="H298" s="94">
        <v>2173.37</v>
      </c>
      <c r="I298" s="94">
        <v>2191.0100000000002</v>
      </c>
      <c r="J298" s="94">
        <v>2214.3000000000002</v>
      </c>
      <c r="K298" s="94">
        <v>2222.5700000000002</v>
      </c>
      <c r="L298" s="94">
        <v>2227.0500000000002</v>
      </c>
      <c r="M298" s="94">
        <v>2201.62</v>
      </c>
      <c r="N298" s="94">
        <v>2180.91</v>
      </c>
      <c r="O298" s="94">
        <v>2201.5700000000002</v>
      </c>
      <c r="P298" s="94">
        <v>2226.86</v>
      </c>
      <c r="Q298" s="94">
        <v>2286.39</v>
      </c>
      <c r="R298" s="190"/>
      <c r="S298" s="190"/>
      <c r="T298" s="191"/>
      <c r="U298" s="191"/>
      <c r="W298" s="177"/>
      <c r="X298" s="92"/>
    </row>
    <row r="299" spans="1:32" ht="48">
      <c r="A299" s="149"/>
      <c r="B299" s="207"/>
      <c r="C299" s="207"/>
      <c r="D299" s="204" t="s">
        <v>116</v>
      </c>
      <c r="E299" s="51">
        <f t="shared" ref="E299:Q299" si="109">IF(((E297="")*AND(E298="")),"",(E297-E298))</f>
        <v>316.02999999999975</v>
      </c>
      <c r="F299" s="51">
        <f t="shared" si="109"/>
        <v>293.51000000000022</v>
      </c>
      <c r="G299" s="51">
        <f t="shared" si="109"/>
        <v>293.01000000000022</v>
      </c>
      <c r="H299" s="51">
        <f t="shared" si="109"/>
        <v>305.71000000000004</v>
      </c>
      <c r="I299" s="51">
        <f t="shared" si="109"/>
        <v>296.04999999999973</v>
      </c>
      <c r="J299" s="51">
        <f t="shared" si="109"/>
        <v>302.7199999999998</v>
      </c>
      <c r="K299" s="51">
        <f t="shared" si="109"/>
        <v>317.27</v>
      </c>
      <c r="L299" s="51">
        <f t="shared" si="109"/>
        <v>313.79999999999973</v>
      </c>
      <c r="M299" s="51">
        <f t="shared" si="109"/>
        <v>298.55000000000018</v>
      </c>
      <c r="N299" s="85">
        <f t="shared" si="109"/>
        <v>297.05999999999995</v>
      </c>
      <c r="O299" s="85">
        <f t="shared" si="109"/>
        <v>299.19000000000005</v>
      </c>
      <c r="P299" s="85">
        <f t="shared" si="109"/>
        <v>318.4699999999998</v>
      </c>
      <c r="Q299" s="85">
        <f t="shared" si="109"/>
        <v>311.45000000000027</v>
      </c>
      <c r="R299" s="192"/>
      <c r="S299" s="192"/>
      <c r="T299" s="193"/>
      <c r="U299" s="193"/>
      <c r="W299" s="178"/>
      <c r="X299" s="92"/>
    </row>
    <row r="300" spans="1:32">
      <c r="A300" s="149">
        <v>42862</v>
      </c>
      <c r="B300" s="81" t="s">
        <v>119</v>
      </c>
      <c r="C300" s="81" t="s">
        <v>120</v>
      </c>
      <c r="D300" s="204" t="s">
        <v>114</v>
      </c>
      <c r="E300" s="94">
        <v>4818.12</v>
      </c>
      <c r="F300" s="94">
        <v>4951.5600000000004</v>
      </c>
      <c r="G300" s="94">
        <v>5000.2</v>
      </c>
      <c r="H300" s="94">
        <v>4923.8999999999996</v>
      </c>
      <c r="I300" s="94">
        <v>4835.03</v>
      </c>
      <c r="J300" s="94">
        <v>4891.6000000000004</v>
      </c>
      <c r="K300" s="94">
        <v>4946.5200000000004</v>
      </c>
      <c r="L300" s="94">
        <v>4980.6899999999996</v>
      </c>
      <c r="M300" s="94">
        <v>4938.37</v>
      </c>
      <c r="N300" s="210"/>
      <c r="O300" s="210"/>
      <c r="P300" s="210"/>
      <c r="Q300" s="210"/>
      <c r="R300" s="196">
        <f>IF((M301=""),"",MAX(E302:M302))</f>
        <v>4550.4399999999996</v>
      </c>
      <c r="S300" s="194">
        <f>IF(M301="","",MIN(E302:M302))</f>
        <v>4118.24</v>
      </c>
      <c r="T300" s="195">
        <f>IF((M302=""),"",AVERAGE(E302:M302))</f>
        <v>4314.1111111111113</v>
      </c>
      <c r="U300" s="195">
        <f>IF((M301=""),"",(R300-S300)/(R300+S300)*100)</f>
        <v>4.9857648453974512</v>
      </c>
      <c r="V300" s="66">
        <f t="shared" si="101"/>
        <v>168.36453549102271</v>
      </c>
      <c r="W300" s="83" t="str">
        <f>IF(M301="","",IF(T300&gt;3650,IF(T300&lt;4450,"Pass","Fail"),"Fail"))</f>
        <v>Pass</v>
      </c>
      <c r="X300" s="92">
        <v>1428</v>
      </c>
      <c r="AA300" s="86">
        <v>3650</v>
      </c>
      <c r="AB300" s="86">
        <v>4450</v>
      </c>
      <c r="AC300" s="86">
        <v>3700</v>
      </c>
      <c r="AD300" s="86">
        <v>4250</v>
      </c>
      <c r="AE300" s="86">
        <v>7.2</v>
      </c>
      <c r="AF300" s="86">
        <v>3</v>
      </c>
    </row>
    <row r="301" spans="1:32">
      <c r="A301" s="149"/>
      <c r="B301" s="82"/>
      <c r="C301" s="82"/>
      <c r="D301" s="204" t="s">
        <v>115</v>
      </c>
      <c r="E301" s="94">
        <v>2542.9</v>
      </c>
      <c r="F301" s="94">
        <v>2852.41</v>
      </c>
      <c r="G301" s="94">
        <v>2941.08</v>
      </c>
      <c r="H301" s="94">
        <v>2832.3</v>
      </c>
      <c r="I301" s="94">
        <v>2587.63</v>
      </c>
      <c r="J301" s="214">
        <v>2665.51</v>
      </c>
      <c r="K301" s="214">
        <v>2846.82</v>
      </c>
      <c r="L301" s="214">
        <v>2891.21</v>
      </c>
      <c r="M301" s="214">
        <v>2712.63</v>
      </c>
      <c r="N301" s="205"/>
      <c r="O301" s="205"/>
      <c r="P301" s="205"/>
      <c r="Q301" s="205"/>
      <c r="R301" s="190"/>
      <c r="S301" s="190"/>
      <c r="T301" s="191"/>
      <c r="U301" s="191"/>
      <c r="W301" s="177"/>
      <c r="X301" s="92"/>
    </row>
    <row r="302" spans="1:32" ht="48">
      <c r="A302" s="149"/>
      <c r="B302" s="207"/>
      <c r="C302" s="207"/>
      <c r="D302" s="204" t="s">
        <v>116</v>
      </c>
      <c r="E302" s="51">
        <f t="shared" ref="E302:M302" si="110">IF(((E300="")*AND(E301="")),"",(E300-E301)*2)</f>
        <v>4550.4399999999996</v>
      </c>
      <c r="F302" s="51">
        <f t="shared" si="110"/>
        <v>4198.3000000000011</v>
      </c>
      <c r="G302" s="51">
        <f t="shared" si="110"/>
        <v>4118.24</v>
      </c>
      <c r="H302" s="51">
        <f t="shared" si="110"/>
        <v>4183.1999999999989</v>
      </c>
      <c r="I302" s="51">
        <f t="shared" si="110"/>
        <v>4494.7999999999993</v>
      </c>
      <c r="J302" s="51">
        <f t="shared" si="110"/>
        <v>4452.18</v>
      </c>
      <c r="K302" s="51">
        <f t="shared" si="110"/>
        <v>4199.4000000000005</v>
      </c>
      <c r="L302" s="51">
        <f t="shared" si="110"/>
        <v>4178.9599999999991</v>
      </c>
      <c r="M302" s="51">
        <f t="shared" si="110"/>
        <v>4451.4799999999996</v>
      </c>
      <c r="N302" s="51"/>
      <c r="O302" s="51"/>
      <c r="P302" s="51"/>
      <c r="Q302" s="51"/>
      <c r="R302" s="192"/>
      <c r="S302" s="192"/>
      <c r="T302" s="193"/>
      <c r="U302" s="193"/>
      <c r="W302" s="178"/>
      <c r="X302" s="92"/>
    </row>
    <row r="303" spans="1:32">
      <c r="A303" s="149">
        <v>42862</v>
      </c>
      <c r="B303" s="81" t="s">
        <v>121</v>
      </c>
      <c r="C303" s="81" t="s">
        <v>121</v>
      </c>
      <c r="D303" s="204" t="s">
        <v>114</v>
      </c>
      <c r="E303" s="94">
        <v>1305.93</v>
      </c>
      <c r="F303" s="94">
        <v>1302.6600000000001</v>
      </c>
      <c r="G303" s="94">
        <v>1318.81</v>
      </c>
      <c r="H303" s="94">
        <v>1298.25</v>
      </c>
      <c r="I303" s="94">
        <v>1301.82</v>
      </c>
      <c r="J303" s="94">
        <v>1282.26</v>
      </c>
      <c r="K303" s="94">
        <v>1291.8599999999999</v>
      </c>
      <c r="L303" s="94">
        <v>1311.58</v>
      </c>
      <c r="M303" s="94">
        <v>1326.89</v>
      </c>
      <c r="N303" s="205"/>
      <c r="O303" s="205"/>
      <c r="P303" s="205"/>
      <c r="Q303" s="205"/>
      <c r="R303" s="194">
        <f>IF((M304=""),"",MAX(E305:M305))</f>
        <v>2495.6799999999998</v>
      </c>
      <c r="S303" s="194">
        <f>IF((M304=""),"",MIN(E305:M305))</f>
        <v>2309.1999999999998</v>
      </c>
      <c r="T303" s="195">
        <f>IF((M305=""),"",AVERAGE(E305:M305))</f>
        <v>2384.0755555555556</v>
      </c>
      <c r="U303" s="195">
        <f>IF((M304=""),"",(R303-S303)/(R303+S303)*100)</f>
        <v>3.8810542615008083</v>
      </c>
      <c r="V303" s="66">
        <f t="shared" si="99"/>
        <v>63.875135833730589</v>
      </c>
      <c r="W303" s="174" t="str">
        <f>IF(M304="","",IF(U303&lt;5.5,IF(T303&gt;2200,IF(T303&lt;2900,"Pass","Fail"),"Fail"),"Fail"))</f>
        <v>Pass</v>
      </c>
      <c r="X303" s="92">
        <v>1428</v>
      </c>
      <c r="AA303" s="67">
        <v>2000</v>
      </c>
      <c r="AB303" s="67">
        <v>3000</v>
      </c>
      <c r="AC303" s="67">
        <v>2200</v>
      </c>
      <c r="AD303" s="67">
        <v>2900</v>
      </c>
      <c r="AE303" s="67">
        <v>7</v>
      </c>
      <c r="AF303" s="67">
        <v>5.5</v>
      </c>
    </row>
    <row r="304" spans="1:32">
      <c r="A304" s="149"/>
      <c r="B304" s="82"/>
      <c r="C304" s="82"/>
      <c r="D304" s="204" t="s">
        <v>115</v>
      </c>
      <c r="E304" s="94">
        <v>695.59</v>
      </c>
      <c r="F304" s="94">
        <v>717.39</v>
      </c>
      <c r="G304" s="94">
        <v>741.51</v>
      </c>
      <c r="H304" s="94">
        <v>715.19</v>
      </c>
      <c r="I304" s="94">
        <v>699.66</v>
      </c>
      <c r="J304" s="94">
        <v>658.34</v>
      </c>
      <c r="K304" s="94">
        <v>699.4</v>
      </c>
      <c r="L304" s="94">
        <v>730.34</v>
      </c>
      <c r="M304" s="94">
        <v>718.47</v>
      </c>
      <c r="N304" s="205"/>
      <c r="O304" s="205"/>
      <c r="P304" s="205"/>
      <c r="Q304" s="205"/>
      <c r="R304" s="190"/>
      <c r="S304" s="190"/>
      <c r="T304" s="191"/>
      <c r="U304" s="191"/>
      <c r="W304" s="179"/>
      <c r="X304" s="92"/>
    </row>
    <row r="305" spans="1:32" ht="48.75" thickBot="1">
      <c r="A305" s="149"/>
      <c r="B305" s="211"/>
      <c r="C305" s="211"/>
      <c r="D305" s="212" t="s">
        <v>116</v>
      </c>
      <c r="E305" s="87">
        <f t="shared" ref="E305:M305" si="111">IF(((E303="")*AND(E304="")),"",(E303-E304)*4)</f>
        <v>2441.36</v>
      </c>
      <c r="F305" s="87">
        <f t="shared" si="111"/>
        <v>2341.0800000000004</v>
      </c>
      <c r="G305" s="87">
        <f t="shared" si="111"/>
        <v>2309.1999999999998</v>
      </c>
      <c r="H305" s="87">
        <f t="shared" si="111"/>
        <v>2332.2399999999998</v>
      </c>
      <c r="I305" s="87">
        <f t="shared" si="111"/>
        <v>2408.64</v>
      </c>
      <c r="J305" s="87">
        <f t="shared" si="111"/>
        <v>2495.6799999999998</v>
      </c>
      <c r="K305" s="87">
        <f t="shared" si="111"/>
        <v>2369.8399999999997</v>
      </c>
      <c r="L305" s="87">
        <f t="shared" si="111"/>
        <v>2324.9599999999996</v>
      </c>
      <c r="M305" s="87">
        <f t="shared" si="111"/>
        <v>2433.6800000000003</v>
      </c>
      <c r="N305" s="87"/>
      <c r="O305" s="87"/>
      <c r="P305" s="87"/>
      <c r="Q305" s="87" t="str">
        <f>IF(((Q303="")*AND(Q304="")),"",(Q303-Q304)*4)</f>
        <v/>
      </c>
      <c r="R305" s="197"/>
      <c r="S305" s="197"/>
      <c r="T305" s="198"/>
      <c r="U305" s="198"/>
      <c r="W305" s="180"/>
      <c r="X305" s="93"/>
    </row>
    <row r="306" spans="1:32">
      <c r="A306" s="149">
        <v>42866</v>
      </c>
      <c r="B306" s="200" t="s">
        <v>112</v>
      </c>
      <c r="C306" s="200" t="s">
        <v>113</v>
      </c>
      <c r="D306" s="201" t="s">
        <v>114</v>
      </c>
      <c r="E306" s="96">
        <v>7959.72</v>
      </c>
      <c r="F306" s="96">
        <v>7921.25</v>
      </c>
      <c r="G306" s="96">
        <v>7988.67</v>
      </c>
      <c r="H306" s="96">
        <v>8181.66</v>
      </c>
      <c r="I306" s="96">
        <v>8194.36</v>
      </c>
      <c r="J306" s="215">
        <v>8122.36</v>
      </c>
      <c r="K306" s="215">
        <v>8080.48</v>
      </c>
      <c r="L306" s="215">
        <v>8172.7</v>
      </c>
      <c r="M306" s="215">
        <v>8010.76</v>
      </c>
      <c r="N306" s="202"/>
      <c r="O306" s="202"/>
      <c r="P306" s="202"/>
      <c r="Q306" s="202"/>
      <c r="R306" s="188">
        <f>IF((M307=""),"",MAX(E308:M308))</f>
        <v>6464.0600000000013</v>
      </c>
      <c r="S306" s="188">
        <f>IF((M307=""),"",MIN(E308:M308))</f>
        <v>5885.4600000000009</v>
      </c>
      <c r="T306" s="189">
        <f>IF((M308=""),"",AVERAGE(E308:M308))</f>
        <v>6171.6422222222218</v>
      </c>
      <c r="U306" s="189">
        <f>IF((M307=""),"",(R306-S306)/(R306+S306)*100)</f>
        <v>4.6852023398480283</v>
      </c>
      <c r="V306" s="66">
        <f t="shared" ref="V306" si="112">STDEV(E308:Q308)</f>
        <v>208.76114160555622</v>
      </c>
      <c r="W306" s="170" t="str">
        <f>IF(M307="","",IF(U306&lt;6.3,IF(T306&gt;5550,IF(T306&lt;6900,"Pass","Fail"),"Fail"),"Fail"))</f>
        <v>Pass</v>
      </c>
      <c r="X306" s="91">
        <v>1159</v>
      </c>
      <c r="AA306" s="67">
        <v>5860</v>
      </c>
      <c r="AB306" s="67">
        <v>6770</v>
      </c>
      <c r="AC306" s="67">
        <v>5550</v>
      </c>
      <c r="AD306" s="67">
        <v>6900</v>
      </c>
      <c r="AE306" s="67">
        <v>20</v>
      </c>
      <c r="AF306" s="67">
        <v>6.3</v>
      </c>
    </row>
    <row r="307" spans="1:32">
      <c r="A307" s="149"/>
      <c r="B307" s="82"/>
      <c r="C307" s="82"/>
      <c r="D307" s="204" t="s">
        <v>115</v>
      </c>
      <c r="E307" s="94">
        <v>4794.75</v>
      </c>
      <c r="F307" s="94">
        <v>4733.37</v>
      </c>
      <c r="G307" s="94">
        <v>4848.6000000000004</v>
      </c>
      <c r="H307" s="94">
        <v>5219.79</v>
      </c>
      <c r="I307" s="94">
        <v>5251.63</v>
      </c>
      <c r="J307" s="214">
        <v>5117.3</v>
      </c>
      <c r="K307" s="214">
        <v>4971.42</v>
      </c>
      <c r="L307" s="214">
        <v>5143.9799999999996</v>
      </c>
      <c r="M307" s="214">
        <v>4778.7299999999996</v>
      </c>
      <c r="N307" s="205"/>
      <c r="O307" s="205"/>
      <c r="P307" s="205"/>
      <c r="Q307" s="205"/>
      <c r="R307" s="190"/>
      <c r="S307" s="190"/>
      <c r="T307" s="191"/>
      <c r="U307" s="191"/>
      <c r="W307" s="177"/>
      <c r="X307" s="92"/>
    </row>
    <row r="308" spans="1:32" ht="48">
      <c r="A308" s="149"/>
      <c r="B308" s="207"/>
      <c r="C308" s="207"/>
      <c r="D308" s="204" t="s">
        <v>116</v>
      </c>
      <c r="E308" s="51">
        <f t="shared" ref="E308:M308" si="113">IF(((E306="")*AND(E307="")),"",(E306-E307)*2)</f>
        <v>6329.9400000000005</v>
      </c>
      <c r="F308" s="51">
        <f t="shared" si="113"/>
        <v>6375.76</v>
      </c>
      <c r="G308" s="51">
        <f t="shared" si="113"/>
        <v>6280.1399999999994</v>
      </c>
      <c r="H308" s="51">
        <f t="shared" si="113"/>
        <v>5923.74</v>
      </c>
      <c r="I308" s="51">
        <f t="shared" si="113"/>
        <v>5885.4600000000009</v>
      </c>
      <c r="J308" s="51">
        <f t="shared" si="113"/>
        <v>6010.119999999999</v>
      </c>
      <c r="K308" s="51">
        <f t="shared" si="113"/>
        <v>6218.119999999999</v>
      </c>
      <c r="L308" s="51">
        <f t="shared" si="113"/>
        <v>6057.4400000000005</v>
      </c>
      <c r="M308" s="51">
        <f t="shared" si="113"/>
        <v>6464.0600000000013</v>
      </c>
      <c r="N308" s="51"/>
      <c r="O308" s="51"/>
      <c r="P308" s="51"/>
      <c r="Q308" s="51" t="str">
        <f>IF(((Q306="")*AND(Q307="")),"",(Q306-Q307)*2)</f>
        <v/>
      </c>
      <c r="R308" s="192"/>
      <c r="S308" s="192"/>
      <c r="T308" s="193"/>
      <c r="U308" s="193"/>
      <c r="W308" s="178"/>
      <c r="X308" s="92"/>
    </row>
    <row r="309" spans="1:32">
      <c r="A309" s="149">
        <v>42866</v>
      </c>
      <c r="B309" s="81" t="s">
        <v>117</v>
      </c>
      <c r="C309" s="81" t="s">
        <v>118</v>
      </c>
      <c r="D309" s="204" t="s">
        <v>114</v>
      </c>
      <c r="E309" s="94">
        <v>2842.7</v>
      </c>
      <c r="F309" s="94">
        <v>2793.99</v>
      </c>
      <c r="G309" s="94">
        <v>2764.77</v>
      </c>
      <c r="H309" s="94">
        <v>2758.04</v>
      </c>
      <c r="I309" s="94">
        <v>2768.05</v>
      </c>
      <c r="J309" s="214">
        <v>2801.95</v>
      </c>
      <c r="K309" s="214">
        <v>2858.17</v>
      </c>
      <c r="L309" s="214">
        <v>2850.87</v>
      </c>
      <c r="M309" s="214">
        <v>2788.89</v>
      </c>
      <c r="N309" s="94">
        <v>2842.7</v>
      </c>
      <c r="O309" s="94">
        <v>2793.99</v>
      </c>
      <c r="P309" s="94">
        <v>2764.77</v>
      </c>
      <c r="Q309" s="94">
        <v>2758.04</v>
      </c>
      <c r="R309" s="194">
        <f>IF((Q310=""),"",MAX(E311:Q311))</f>
        <v>264.55999999999995</v>
      </c>
      <c r="S309" s="194">
        <f>IF(Q310="","",MIN(E311:Q311))</f>
        <v>254.9699999999998</v>
      </c>
      <c r="T309" s="195">
        <f>IF((Q311=""),"",AVERAGE(E311:Q311))</f>
        <v>259.2269230769229</v>
      </c>
      <c r="U309" s="195">
        <f>IF((Q310=""),"",(R309-S309)/(R309+S309)*100)</f>
        <v>1.8458991781033145</v>
      </c>
      <c r="V309" s="66">
        <f t="shared" ref="V309:V318" si="114">STDEV(E311:Q311)</f>
        <v>3.1125562501341437</v>
      </c>
      <c r="W309" s="83" t="str">
        <f>IF(Q310="","",IF(T309&gt;242,IF(T309&lt;320,"Pass","Fail"),"Fail"))</f>
        <v>Pass</v>
      </c>
      <c r="X309" s="92">
        <v>1159</v>
      </c>
      <c r="AA309" s="67">
        <v>240</v>
      </c>
      <c r="AB309" s="67">
        <v>320</v>
      </c>
      <c r="AC309" s="67">
        <v>190</v>
      </c>
      <c r="AD309" s="67">
        <v>360</v>
      </c>
      <c r="AE309" s="67">
        <v>20</v>
      </c>
      <c r="AF309" s="67">
        <v>11</v>
      </c>
    </row>
    <row r="310" spans="1:32">
      <c r="A310" s="149"/>
      <c r="B310" s="82"/>
      <c r="C310" s="82"/>
      <c r="D310" s="204" t="s">
        <v>115</v>
      </c>
      <c r="E310" s="94">
        <v>2587.73</v>
      </c>
      <c r="F310" s="94">
        <v>2529.4299999999998</v>
      </c>
      <c r="G310" s="94">
        <v>2504.2800000000002</v>
      </c>
      <c r="H310" s="94">
        <v>2497.48</v>
      </c>
      <c r="I310" s="94">
        <v>2510.63</v>
      </c>
      <c r="J310" s="214">
        <v>2543.61</v>
      </c>
      <c r="K310" s="214">
        <v>2602.2600000000002</v>
      </c>
      <c r="L310" s="214">
        <v>2592.7800000000002</v>
      </c>
      <c r="M310" s="214">
        <v>2529.86</v>
      </c>
      <c r="N310" s="94">
        <v>2587.73</v>
      </c>
      <c r="O310" s="94">
        <v>2529.4299999999998</v>
      </c>
      <c r="P310" s="94">
        <v>2504.2800000000002</v>
      </c>
      <c r="Q310" s="94">
        <v>2497.48</v>
      </c>
      <c r="R310" s="190"/>
      <c r="S310" s="190"/>
      <c r="T310" s="191"/>
      <c r="U310" s="191"/>
      <c r="W310" s="177"/>
      <c r="X310" s="92"/>
    </row>
    <row r="311" spans="1:32" ht="48">
      <c r="A311" s="149"/>
      <c r="B311" s="207"/>
      <c r="C311" s="207"/>
      <c r="D311" s="204" t="s">
        <v>116</v>
      </c>
      <c r="E311" s="51">
        <f t="shared" ref="E311:Q311" si="115">IF(((E309="")*AND(E310="")),"",(E309-E310))</f>
        <v>254.9699999999998</v>
      </c>
      <c r="F311" s="51">
        <f t="shared" si="115"/>
        <v>264.55999999999995</v>
      </c>
      <c r="G311" s="51">
        <f t="shared" si="115"/>
        <v>260.48999999999978</v>
      </c>
      <c r="H311" s="51">
        <f t="shared" si="115"/>
        <v>260.55999999999995</v>
      </c>
      <c r="I311" s="51">
        <f t="shared" si="115"/>
        <v>257.42000000000007</v>
      </c>
      <c r="J311" s="51">
        <f t="shared" si="115"/>
        <v>258.33999999999969</v>
      </c>
      <c r="K311" s="51">
        <f t="shared" si="115"/>
        <v>255.90999999999985</v>
      </c>
      <c r="L311" s="51">
        <f t="shared" si="115"/>
        <v>258.08999999999969</v>
      </c>
      <c r="M311" s="51">
        <f t="shared" si="115"/>
        <v>259.02999999999975</v>
      </c>
      <c r="N311" s="85">
        <f t="shared" si="115"/>
        <v>254.9699999999998</v>
      </c>
      <c r="O311" s="85">
        <f t="shared" si="115"/>
        <v>264.55999999999995</v>
      </c>
      <c r="P311" s="85">
        <f t="shared" si="115"/>
        <v>260.48999999999978</v>
      </c>
      <c r="Q311" s="85">
        <f t="shared" si="115"/>
        <v>260.55999999999995</v>
      </c>
      <c r="R311" s="192"/>
      <c r="S311" s="192"/>
      <c r="T311" s="193"/>
      <c r="U311" s="193"/>
      <c r="W311" s="178"/>
      <c r="X311" s="92"/>
    </row>
    <row r="312" spans="1:32">
      <c r="A312" s="149">
        <v>42866</v>
      </c>
      <c r="B312" s="81" t="s">
        <v>119</v>
      </c>
      <c r="C312" s="81" t="s">
        <v>120</v>
      </c>
      <c r="D312" s="204" t="s">
        <v>114</v>
      </c>
      <c r="E312" s="94">
        <v>6822.6</v>
      </c>
      <c r="F312" s="94">
        <v>6845.17</v>
      </c>
      <c r="G312" s="94">
        <v>6871.41</v>
      </c>
      <c r="H312" s="94">
        <v>6882.6</v>
      </c>
      <c r="I312" s="94">
        <v>6915.09</v>
      </c>
      <c r="J312" s="94">
        <v>6877.81</v>
      </c>
      <c r="K312" s="94">
        <v>6917.77</v>
      </c>
      <c r="L312" s="94">
        <v>6892.58</v>
      </c>
      <c r="M312" s="94">
        <v>6852.1</v>
      </c>
      <c r="N312" s="210"/>
      <c r="O312" s="210"/>
      <c r="P312" s="210"/>
      <c r="Q312" s="210"/>
      <c r="R312" s="196">
        <f>IF((M313=""),"",MAX(E314:M314))</f>
        <v>4455.3200000000015</v>
      </c>
      <c r="S312" s="194">
        <f>IF(M313="","",MIN(E314:M314))</f>
        <v>3999.5400000000009</v>
      </c>
      <c r="T312" s="195">
        <f>IF((M314=""),"",AVERAGE(E314:M314))</f>
        <v>4218.9666666666681</v>
      </c>
      <c r="U312" s="195">
        <f>IF((M313=""),"",(R312-S312)/(R312+S312)*100)</f>
        <v>5.3907456776339355</v>
      </c>
      <c r="V312" s="66">
        <f t="shared" si="114"/>
        <v>130.41878507329349</v>
      </c>
      <c r="W312" s="83" t="str">
        <f>IF(M313="","",IF(T312&gt;3650,IF(T312&lt;4450,"Pass","Fail"),"Fail"))</f>
        <v>Pass</v>
      </c>
      <c r="X312" s="92">
        <v>1159</v>
      </c>
      <c r="AA312" s="86">
        <v>3650</v>
      </c>
      <c r="AB312" s="86">
        <v>4450</v>
      </c>
      <c r="AC312" s="86">
        <v>3700</v>
      </c>
      <c r="AD312" s="86">
        <v>4250</v>
      </c>
      <c r="AE312" s="86">
        <v>7.2</v>
      </c>
      <c r="AF312" s="86">
        <v>3</v>
      </c>
    </row>
    <row r="313" spans="1:32">
      <c r="A313" s="149"/>
      <c r="B313" s="82"/>
      <c r="C313" s="82"/>
      <c r="D313" s="204" t="s">
        <v>115</v>
      </c>
      <c r="E313" s="94">
        <v>4594.9399999999996</v>
      </c>
      <c r="F313" s="94">
        <v>4845.3999999999996</v>
      </c>
      <c r="G313" s="94">
        <v>4717.96</v>
      </c>
      <c r="H313" s="94">
        <v>4751.83</v>
      </c>
      <c r="I313" s="94">
        <v>4764.3</v>
      </c>
      <c r="J313" s="94">
        <v>4794.04</v>
      </c>
      <c r="K313" s="94">
        <v>4843.32</v>
      </c>
      <c r="L313" s="94">
        <v>4826.99</v>
      </c>
      <c r="M313" s="94">
        <v>4753</v>
      </c>
      <c r="N313" s="205"/>
      <c r="O313" s="205"/>
      <c r="P313" s="205"/>
      <c r="Q313" s="205"/>
      <c r="R313" s="190"/>
      <c r="S313" s="190"/>
      <c r="T313" s="191"/>
      <c r="U313" s="191"/>
      <c r="W313" s="177"/>
      <c r="X313" s="92"/>
    </row>
    <row r="314" spans="1:32" ht="48">
      <c r="A314" s="149"/>
      <c r="B314" s="207"/>
      <c r="C314" s="207"/>
      <c r="D314" s="204" t="s">
        <v>116</v>
      </c>
      <c r="E314" s="51">
        <f t="shared" ref="E314:M314" si="116">IF(((E312="")*AND(E313="")),"",(E312-E313)*2)</f>
        <v>4455.3200000000015</v>
      </c>
      <c r="F314" s="51">
        <f t="shared" si="116"/>
        <v>3999.5400000000009</v>
      </c>
      <c r="G314" s="51">
        <f t="shared" si="116"/>
        <v>4306.8999999999996</v>
      </c>
      <c r="H314" s="51">
        <f t="shared" si="116"/>
        <v>4261.5400000000009</v>
      </c>
      <c r="I314" s="51">
        <f t="shared" si="116"/>
        <v>4301.58</v>
      </c>
      <c r="J314" s="51">
        <f t="shared" si="116"/>
        <v>4167.5400000000009</v>
      </c>
      <c r="K314" s="51">
        <f t="shared" si="116"/>
        <v>4148.9000000000015</v>
      </c>
      <c r="L314" s="51">
        <f t="shared" si="116"/>
        <v>4131.18</v>
      </c>
      <c r="M314" s="51">
        <f t="shared" si="116"/>
        <v>4198.2000000000007</v>
      </c>
      <c r="N314" s="51"/>
      <c r="O314" s="51"/>
      <c r="P314" s="51"/>
      <c r="Q314" s="51"/>
      <c r="R314" s="192"/>
      <c r="S314" s="192"/>
      <c r="T314" s="193"/>
      <c r="U314" s="193"/>
      <c r="W314" s="178"/>
      <c r="X314" s="92"/>
    </row>
    <row r="315" spans="1:32">
      <c r="A315" s="149">
        <v>42866</v>
      </c>
      <c r="B315" s="81" t="s">
        <v>121</v>
      </c>
      <c r="C315" s="81" t="s">
        <v>121</v>
      </c>
      <c r="D315" s="204" t="s">
        <v>114</v>
      </c>
      <c r="E315" s="94">
        <v>1933.04</v>
      </c>
      <c r="F315" s="94">
        <v>1927.86</v>
      </c>
      <c r="G315" s="94">
        <v>1915.94</v>
      </c>
      <c r="H315" s="94">
        <v>1925.76</v>
      </c>
      <c r="I315" s="94">
        <v>1935.05</v>
      </c>
      <c r="J315" s="94">
        <v>1929.96</v>
      </c>
      <c r="K315" s="94">
        <v>1927.25</v>
      </c>
      <c r="L315" s="94">
        <v>1925.37</v>
      </c>
      <c r="M315" s="94">
        <v>1937.75</v>
      </c>
      <c r="N315" s="205"/>
      <c r="O315" s="205"/>
      <c r="P315" s="205"/>
      <c r="Q315" s="205"/>
      <c r="R315" s="194">
        <f>IF((M316=""),"",MAX(E317:M317))</f>
        <v>2511.5200000000004</v>
      </c>
      <c r="S315" s="194">
        <f>IF((M316=""),"",MIN(E317:M317))</f>
        <v>2284.12</v>
      </c>
      <c r="T315" s="195">
        <f>IF((M317=""),"",AVERAGE(E317:M317))</f>
        <v>2409.431111111111</v>
      </c>
      <c r="U315" s="195">
        <f>IF((M316=""),"",(R315-S315)/(R315+S315)*100)</f>
        <v>4.7418071414868619</v>
      </c>
      <c r="V315" s="66">
        <f t="shared" si="114"/>
        <v>79.85590467278972</v>
      </c>
      <c r="W315" s="174" t="str">
        <f>IF(M316="","",IF(U315&lt;5.5,IF(T315&gt;2200,IF(T315&lt;2900,"Pass","Fail"),"Fail"),"Fail"))</f>
        <v>Pass</v>
      </c>
      <c r="X315" s="92">
        <v>1159</v>
      </c>
      <c r="AA315" s="67">
        <v>2000</v>
      </c>
      <c r="AB315" s="67">
        <v>3000</v>
      </c>
      <c r="AC315" s="67">
        <v>2200</v>
      </c>
      <c r="AD315" s="67">
        <v>2900</v>
      </c>
      <c r="AE315" s="67">
        <v>7</v>
      </c>
      <c r="AF315" s="67">
        <v>5.5</v>
      </c>
    </row>
    <row r="316" spans="1:32">
      <c r="A316" s="149"/>
      <c r="B316" s="82"/>
      <c r="C316" s="82"/>
      <c r="D316" s="204" t="s">
        <v>115</v>
      </c>
      <c r="E316" s="94">
        <v>1343.44</v>
      </c>
      <c r="F316" s="94">
        <v>1303.5999999999999</v>
      </c>
      <c r="G316" s="94">
        <v>1309.77</v>
      </c>
      <c r="H316" s="94">
        <v>1310.95</v>
      </c>
      <c r="I316" s="94">
        <v>1364.02</v>
      </c>
      <c r="J316" s="94">
        <v>1335.71</v>
      </c>
      <c r="K316" s="94">
        <v>1299.3699999999999</v>
      </c>
      <c r="L316" s="94">
        <v>1311.27</v>
      </c>
      <c r="M316" s="94">
        <v>1358.63</v>
      </c>
      <c r="N316" s="205"/>
      <c r="O316" s="205"/>
      <c r="P316" s="205"/>
      <c r="Q316" s="205"/>
      <c r="R316" s="190"/>
      <c r="S316" s="190"/>
      <c r="T316" s="191"/>
      <c r="U316" s="191"/>
      <c r="W316" s="179"/>
      <c r="X316" s="92"/>
    </row>
    <row r="317" spans="1:32" ht="48.75" thickBot="1">
      <c r="A317" s="149"/>
      <c r="B317" s="211"/>
      <c r="C317" s="211"/>
      <c r="D317" s="212" t="s">
        <v>116</v>
      </c>
      <c r="E317" s="87">
        <f t="shared" ref="E317:M317" si="117">IF(((E315="")*AND(E316="")),"",(E315-E316)*4)</f>
        <v>2358.3999999999996</v>
      </c>
      <c r="F317" s="87">
        <f t="shared" si="117"/>
        <v>2497.04</v>
      </c>
      <c r="G317" s="87">
        <f t="shared" si="117"/>
        <v>2424.6800000000003</v>
      </c>
      <c r="H317" s="87">
        <f t="shared" si="117"/>
        <v>2459.2399999999998</v>
      </c>
      <c r="I317" s="87">
        <f t="shared" si="117"/>
        <v>2284.12</v>
      </c>
      <c r="J317" s="87">
        <f t="shared" si="117"/>
        <v>2377</v>
      </c>
      <c r="K317" s="87">
        <f t="shared" si="117"/>
        <v>2511.5200000000004</v>
      </c>
      <c r="L317" s="87">
        <f t="shared" si="117"/>
        <v>2456.3999999999996</v>
      </c>
      <c r="M317" s="87">
        <f t="shared" si="117"/>
        <v>2316.4799999999996</v>
      </c>
      <c r="N317" s="87"/>
      <c r="O317" s="87"/>
      <c r="P317" s="87"/>
      <c r="Q317" s="87" t="str">
        <f>IF(((Q315="")*AND(Q316="")),"",(Q315-Q316)*4)</f>
        <v/>
      </c>
      <c r="R317" s="197"/>
      <c r="S317" s="197"/>
      <c r="T317" s="198"/>
      <c r="U317" s="198"/>
      <c r="W317" s="180"/>
      <c r="X317" s="93"/>
    </row>
    <row r="318" spans="1:32">
      <c r="A318" s="149">
        <v>43012</v>
      </c>
      <c r="B318" s="200" t="s">
        <v>112</v>
      </c>
      <c r="C318" s="200" t="s">
        <v>113</v>
      </c>
      <c r="D318" s="201" t="s">
        <v>114</v>
      </c>
      <c r="E318" s="96">
        <v>7980.47</v>
      </c>
      <c r="F318" s="96">
        <v>7912.37</v>
      </c>
      <c r="G318" s="96">
        <v>7982.77</v>
      </c>
      <c r="H318" s="96">
        <v>8182.38</v>
      </c>
      <c r="I318" s="96">
        <v>8198.58</v>
      </c>
      <c r="J318" s="96">
        <v>8134.27</v>
      </c>
      <c r="K318" s="96">
        <v>8084.02</v>
      </c>
      <c r="L318" s="96">
        <v>8167.05</v>
      </c>
      <c r="M318" s="96">
        <v>7994.35</v>
      </c>
      <c r="N318" s="202"/>
      <c r="O318" s="202"/>
      <c r="P318" s="202"/>
      <c r="Q318" s="202"/>
      <c r="R318" s="188">
        <f>IF((M319=""),"",MAX(E320:M320))</f>
        <v>6139.9000000000015</v>
      </c>
      <c r="S318" s="188">
        <f>IF((M319=""),"",MIN(E320:M320))</f>
        <v>5556.92</v>
      </c>
      <c r="T318" s="189">
        <f>IF((M320=""),"",AVERAGE(E320:M320))</f>
        <v>5883.7733333333344</v>
      </c>
      <c r="U318" s="189">
        <f>IF((M319=""),"",(R318-S318)/(R318+S318)*100)</f>
        <v>4.9840896927541101</v>
      </c>
      <c r="V318" s="66">
        <f t="shared" si="114"/>
        <v>190.51086793146274</v>
      </c>
      <c r="W318" s="170" t="str">
        <f>IF(M319="","",IF(U318&lt;6.3,IF(T318&gt;5550,IF(T318&lt;6900,"Pass","Fail"),"Fail"),"Fail"))</f>
        <v>Pass</v>
      </c>
      <c r="X318" s="91">
        <v>1159</v>
      </c>
      <c r="AA318" s="67">
        <v>5860</v>
      </c>
      <c r="AB318" s="67">
        <v>6770</v>
      </c>
      <c r="AC318" s="67">
        <v>5550</v>
      </c>
      <c r="AD318" s="67">
        <v>6900</v>
      </c>
      <c r="AE318" s="67">
        <v>20</v>
      </c>
      <c r="AF318" s="67">
        <v>6.3</v>
      </c>
    </row>
    <row r="319" spans="1:32">
      <c r="A319" s="149"/>
      <c r="B319" s="82"/>
      <c r="C319" s="82"/>
      <c r="D319" s="204" t="s">
        <v>115</v>
      </c>
      <c r="E319" s="94">
        <v>4989.92</v>
      </c>
      <c r="F319" s="94">
        <v>4876.55</v>
      </c>
      <c r="G319" s="94">
        <v>4999.88</v>
      </c>
      <c r="H319" s="94">
        <v>5403.92</v>
      </c>
      <c r="I319" s="94">
        <v>5359.84</v>
      </c>
      <c r="J319" s="94">
        <v>5235.08</v>
      </c>
      <c r="K319" s="94">
        <v>5097.82</v>
      </c>
      <c r="L319" s="94">
        <v>5271.87</v>
      </c>
      <c r="M319" s="94">
        <v>4924.3999999999996</v>
      </c>
      <c r="N319" s="205"/>
      <c r="O319" s="205"/>
      <c r="P319" s="205"/>
      <c r="Q319" s="205"/>
      <c r="R319" s="190"/>
      <c r="S319" s="190"/>
      <c r="T319" s="191"/>
      <c r="U319" s="191"/>
      <c r="W319" s="177"/>
      <c r="X319" s="92"/>
    </row>
    <row r="320" spans="1:32" ht="48">
      <c r="A320" s="149"/>
      <c r="B320" s="207"/>
      <c r="C320" s="207"/>
      <c r="D320" s="204" t="s">
        <v>116</v>
      </c>
      <c r="E320" s="51">
        <f t="shared" ref="E320:M320" si="118">IF(((E318="")*AND(E319="")),"",(E318-E319)*2)</f>
        <v>5981.1</v>
      </c>
      <c r="F320" s="51">
        <f t="shared" si="118"/>
        <v>6071.6399999999994</v>
      </c>
      <c r="G320" s="51">
        <f t="shared" si="118"/>
        <v>5965.7800000000007</v>
      </c>
      <c r="H320" s="51">
        <f t="shared" si="118"/>
        <v>5556.92</v>
      </c>
      <c r="I320" s="51">
        <f t="shared" si="118"/>
        <v>5677.48</v>
      </c>
      <c r="J320" s="51">
        <f t="shared" si="118"/>
        <v>5798.380000000001</v>
      </c>
      <c r="K320" s="51">
        <f t="shared" si="118"/>
        <v>5972.4000000000015</v>
      </c>
      <c r="L320" s="51">
        <f t="shared" si="118"/>
        <v>5790.3600000000006</v>
      </c>
      <c r="M320" s="51">
        <f t="shared" si="118"/>
        <v>6139.9000000000015</v>
      </c>
      <c r="N320" s="51"/>
      <c r="O320" s="51"/>
      <c r="P320" s="51"/>
      <c r="Q320" s="51" t="str">
        <f>IF(((Q318="")*AND(Q319="")),"",(Q318-Q319)*2)</f>
        <v/>
      </c>
      <c r="R320" s="192"/>
      <c r="S320" s="192"/>
      <c r="T320" s="193"/>
      <c r="U320" s="193"/>
      <c r="W320" s="178"/>
      <c r="X320" s="92"/>
    </row>
    <row r="321" spans="1:32">
      <c r="A321" s="149">
        <v>43012</v>
      </c>
      <c r="B321" s="81" t="s">
        <v>117</v>
      </c>
      <c r="C321" s="81" t="s">
        <v>118</v>
      </c>
      <c r="D321" s="204" t="s">
        <v>114</v>
      </c>
      <c r="E321" s="94">
        <v>2660.74</v>
      </c>
      <c r="F321" s="94">
        <v>2581.5</v>
      </c>
      <c r="G321" s="94">
        <v>2534.7399999999998</v>
      </c>
      <c r="H321" s="94">
        <v>2514.92</v>
      </c>
      <c r="I321" s="94">
        <v>2518.27</v>
      </c>
      <c r="J321" s="94">
        <v>2545.12</v>
      </c>
      <c r="K321" s="94">
        <v>2602.79</v>
      </c>
      <c r="L321" s="94">
        <v>2613.5700000000002</v>
      </c>
      <c r="M321" s="94">
        <v>2561.3200000000002</v>
      </c>
      <c r="N321" s="94">
        <v>2528.25</v>
      </c>
      <c r="O321" s="94">
        <v>2518.2600000000002</v>
      </c>
      <c r="P321" s="94">
        <v>2552.2800000000002</v>
      </c>
      <c r="Q321" s="94">
        <v>2608.06</v>
      </c>
      <c r="R321" s="194">
        <f>IF((Q322=""),"",MAX(E323:Q323))</f>
        <v>313.09999999999991</v>
      </c>
      <c r="S321" s="194">
        <f>IF(Q322="","",MIN(E323:Q323))</f>
        <v>263.08000000000038</v>
      </c>
      <c r="T321" s="195">
        <f>IF((Q323=""),"",AVERAGE(E323:Q323))</f>
        <v>289.00076923076927</v>
      </c>
      <c r="U321" s="195">
        <f>IF((Q322=""),"",(R321-S321)/(R321+S321)*100)</f>
        <v>8.6813148668817917</v>
      </c>
      <c r="V321" s="66">
        <f t="shared" ref="V321" si="119">STDEV(E323:Q323)</f>
        <v>16.187448564416215</v>
      </c>
      <c r="W321" s="83" t="str">
        <f>IF(Q322="","",IF(T321&gt;242,IF(T321&lt;320,"Pass","Fail"),"Fail"))</f>
        <v>Pass</v>
      </c>
      <c r="X321" s="92">
        <v>1159</v>
      </c>
      <c r="AA321" s="67">
        <v>240</v>
      </c>
      <c r="AB321" s="67">
        <v>320</v>
      </c>
      <c r="AC321" s="67">
        <v>190</v>
      </c>
      <c r="AD321" s="67">
        <v>360</v>
      </c>
      <c r="AE321" s="67">
        <v>20</v>
      </c>
      <c r="AF321" s="67">
        <v>11</v>
      </c>
    </row>
    <row r="322" spans="1:32">
      <c r="A322" s="149"/>
      <c r="B322" s="82"/>
      <c r="C322" s="82"/>
      <c r="D322" s="204" t="s">
        <v>115</v>
      </c>
      <c r="E322" s="94">
        <v>2390.39</v>
      </c>
      <c r="F322" s="94">
        <v>2304.0300000000002</v>
      </c>
      <c r="G322" s="94">
        <v>2238.71</v>
      </c>
      <c r="H322" s="94">
        <v>2208.79</v>
      </c>
      <c r="I322" s="94">
        <v>2218.0300000000002</v>
      </c>
      <c r="J322" s="94">
        <v>2249.4899999999998</v>
      </c>
      <c r="K322" s="94">
        <v>2321.34</v>
      </c>
      <c r="L322" s="94">
        <v>2350.4899999999998</v>
      </c>
      <c r="M322" s="94">
        <v>2270.46</v>
      </c>
      <c r="N322" s="94">
        <v>2215.15</v>
      </c>
      <c r="O322" s="94">
        <v>2212.36</v>
      </c>
      <c r="P322" s="94">
        <v>2261.12</v>
      </c>
      <c r="Q322" s="94">
        <v>2342.4499999999998</v>
      </c>
      <c r="R322" s="190"/>
      <c r="S322" s="190"/>
      <c r="T322" s="191"/>
      <c r="U322" s="191"/>
      <c r="W322" s="177"/>
      <c r="X322" s="92"/>
    </row>
    <row r="323" spans="1:32" ht="48">
      <c r="A323" s="149"/>
      <c r="B323" s="207"/>
      <c r="C323" s="207"/>
      <c r="D323" s="204" t="s">
        <v>116</v>
      </c>
      <c r="E323" s="51">
        <f t="shared" ref="E323:Q323" si="120">IF(((E321="")*AND(E322="")),"",(E321-E322))</f>
        <v>270.34999999999991</v>
      </c>
      <c r="F323" s="51">
        <f t="shared" si="120"/>
        <v>277.4699999999998</v>
      </c>
      <c r="G323" s="51">
        <f t="shared" si="120"/>
        <v>296.02999999999975</v>
      </c>
      <c r="H323" s="51">
        <f t="shared" si="120"/>
        <v>306.13000000000011</v>
      </c>
      <c r="I323" s="51">
        <f t="shared" si="120"/>
        <v>300.23999999999978</v>
      </c>
      <c r="J323" s="51">
        <f t="shared" si="120"/>
        <v>295.63000000000011</v>
      </c>
      <c r="K323" s="51">
        <f t="shared" si="120"/>
        <v>281.44999999999982</v>
      </c>
      <c r="L323" s="51">
        <f t="shared" si="120"/>
        <v>263.08000000000038</v>
      </c>
      <c r="M323" s="51">
        <f t="shared" si="120"/>
        <v>290.86000000000013</v>
      </c>
      <c r="N323" s="85">
        <f t="shared" si="120"/>
        <v>313.09999999999991</v>
      </c>
      <c r="O323" s="85">
        <f t="shared" si="120"/>
        <v>305.90000000000009</v>
      </c>
      <c r="P323" s="85">
        <f t="shared" si="120"/>
        <v>291.16000000000031</v>
      </c>
      <c r="Q323" s="85">
        <f t="shared" si="120"/>
        <v>265.61000000000013</v>
      </c>
      <c r="R323" s="192"/>
      <c r="S323" s="192"/>
      <c r="T323" s="193"/>
      <c r="U323" s="193"/>
      <c r="W323" s="178"/>
      <c r="X323" s="92"/>
    </row>
    <row r="324" spans="1:32">
      <c r="A324" s="149">
        <v>43012</v>
      </c>
      <c r="B324" s="81" t="s">
        <v>119</v>
      </c>
      <c r="C324" s="81" t="s">
        <v>120</v>
      </c>
      <c r="D324" s="204" t="s">
        <v>114</v>
      </c>
      <c r="E324" s="94">
        <v>3608.3</v>
      </c>
      <c r="F324" s="94">
        <v>3603.38</v>
      </c>
      <c r="G324" s="94">
        <v>3639.48</v>
      </c>
      <c r="H324" s="94">
        <v>3609.12</v>
      </c>
      <c r="I324" s="94">
        <v>3663.75</v>
      </c>
      <c r="J324" s="94">
        <v>3615.64</v>
      </c>
      <c r="K324" s="94">
        <v>3631.3</v>
      </c>
      <c r="L324" s="94">
        <v>3627.97</v>
      </c>
      <c r="M324" s="94">
        <v>3704.62</v>
      </c>
      <c r="N324" s="210"/>
      <c r="O324" s="210"/>
      <c r="P324" s="210"/>
      <c r="Q324" s="210"/>
      <c r="R324" s="196">
        <f>IF((M325=""),"",MAX(E326:M326))</f>
        <v>4120.0200000000004</v>
      </c>
      <c r="S324" s="194">
        <f>IF(M325="","",MIN(E326:M326))</f>
        <v>3792.62</v>
      </c>
      <c r="T324" s="195">
        <f>IF((M326=""),"",AVERAGE(E326:M326))</f>
        <v>3929.48</v>
      </c>
      <c r="U324" s="195">
        <f>IF((M325=""),"",(R324-S324)/(R324+S324)*100)</f>
        <v>4.1376835038621813</v>
      </c>
      <c r="V324" s="66">
        <f t="shared" ref="V324:V327" si="121">STDEV(E326:Q326)</f>
        <v>122.08199826346193</v>
      </c>
      <c r="W324" s="83" t="str">
        <f>IF(M325="","",IF(T324&gt;3650,IF(T324&lt;4450,"Pass","Fail"),"Fail"))</f>
        <v>Pass</v>
      </c>
      <c r="X324" s="92">
        <v>1159</v>
      </c>
      <c r="AA324" s="86">
        <v>3650</v>
      </c>
      <c r="AB324" s="86">
        <v>4450</v>
      </c>
      <c r="AC324" s="86">
        <v>3700</v>
      </c>
      <c r="AD324" s="86">
        <v>4250</v>
      </c>
      <c r="AE324" s="86">
        <v>7.2</v>
      </c>
      <c r="AF324" s="86">
        <v>3</v>
      </c>
    </row>
    <row r="325" spans="1:32">
      <c r="A325" s="149"/>
      <c r="B325" s="82"/>
      <c r="C325" s="82"/>
      <c r="D325" s="204" t="s">
        <v>115</v>
      </c>
      <c r="E325" s="94">
        <v>1566.76</v>
      </c>
      <c r="F325" s="94">
        <v>1681.96</v>
      </c>
      <c r="G325" s="94">
        <v>1743.17</v>
      </c>
      <c r="H325" s="94">
        <v>1680.17</v>
      </c>
      <c r="I325" s="94">
        <v>1603.74</v>
      </c>
      <c r="J325" s="94">
        <v>1625.49</v>
      </c>
      <c r="K325" s="94">
        <v>1708.39</v>
      </c>
      <c r="L325" s="94">
        <v>1715.06</v>
      </c>
      <c r="M325" s="94">
        <v>1696.16</v>
      </c>
      <c r="N325" s="205"/>
      <c r="O325" s="205"/>
      <c r="P325" s="205"/>
      <c r="Q325" s="205"/>
      <c r="R325" s="190"/>
      <c r="S325" s="190"/>
      <c r="T325" s="191"/>
      <c r="U325" s="191"/>
      <c r="W325" s="177"/>
      <c r="X325" s="92"/>
    </row>
    <row r="326" spans="1:32" ht="48">
      <c r="A326" s="149"/>
      <c r="B326" s="207"/>
      <c r="C326" s="207"/>
      <c r="D326" s="204" t="s">
        <v>116</v>
      </c>
      <c r="E326" s="51">
        <f t="shared" ref="E326:M326" si="122">IF(((E324="")*AND(E325="")),"",(E324-E325)*2)</f>
        <v>4083.0800000000004</v>
      </c>
      <c r="F326" s="51">
        <f t="shared" si="122"/>
        <v>3842.84</v>
      </c>
      <c r="G326" s="51">
        <f t="shared" si="122"/>
        <v>3792.62</v>
      </c>
      <c r="H326" s="51">
        <f t="shared" si="122"/>
        <v>3857.8999999999996</v>
      </c>
      <c r="I326" s="51">
        <f t="shared" si="122"/>
        <v>4120.0200000000004</v>
      </c>
      <c r="J326" s="51">
        <f t="shared" si="122"/>
        <v>3980.2999999999997</v>
      </c>
      <c r="K326" s="51">
        <f t="shared" si="122"/>
        <v>3845.82</v>
      </c>
      <c r="L326" s="51">
        <f t="shared" si="122"/>
        <v>3825.8199999999997</v>
      </c>
      <c r="M326" s="51">
        <f t="shared" si="122"/>
        <v>4016.9199999999996</v>
      </c>
      <c r="N326" s="51"/>
      <c r="O326" s="51"/>
      <c r="P326" s="51"/>
      <c r="Q326" s="51"/>
      <c r="R326" s="192"/>
      <c r="S326" s="192"/>
      <c r="T326" s="193"/>
      <c r="U326" s="193"/>
      <c r="W326" s="178"/>
      <c r="X326" s="92"/>
    </row>
    <row r="327" spans="1:32">
      <c r="A327" s="149">
        <v>43012</v>
      </c>
      <c r="B327" s="216" t="s">
        <v>121</v>
      </c>
      <c r="C327" s="81" t="s">
        <v>121</v>
      </c>
      <c r="D327" s="204" t="s">
        <v>114</v>
      </c>
      <c r="E327" s="94">
        <v>1974.64</v>
      </c>
      <c r="F327" s="94">
        <v>1968.16</v>
      </c>
      <c r="G327" s="94">
        <v>1961.67</v>
      </c>
      <c r="H327" s="94">
        <v>1968.93</v>
      </c>
      <c r="I327" s="94">
        <v>1978.04</v>
      </c>
      <c r="J327" s="94">
        <v>1983.34</v>
      </c>
      <c r="K327" s="94">
        <v>1965.87</v>
      </c>
      <c r="L327" s="94">
        <v>1970.21</v>
      </c>
      <c r="M327" s="94">
        <v>1977.59</v>
      </c>
      <c r="N327" s="205"/>
      <c r="O327" s="205"/>
      <c r="P327" s="205"/>
      <c r="Q327" s="205"/>
      <c r="R327" s="194">
        <f>IF((M328=""),"",MAX(E329:M329))</f>
        <v>2506.04</v>
      </c>
      <c r="S327" s="194">
        <f>IF((M328=""),"",MIN(E329:M329))</f>
        <v>2299.5599999999995</v>
      </c>
      <c r="T327" s="195">
        <f>IF((M329=""),"",AVERAGE(E329:M329))</f>
        <v>2406.2311111111112</v>
      </c>
      <c r="U327" s="195">
        <f>IF((M328=""),"",(R327-S327)/(R327+S327)*100)</f>
        <v>4.2966539037789344</v>
      </c>
      <c r="V327" s="66">
        <f t="shared" si="121"/>
        <v>78.827941182747352</v>
      </c>
      <c r="W327" s="174" t="str">
        <f>IF(M328="","",IF(U327&lt;5.5,IF(T327&gt;2200,IF(T327&lt;2900,"Pass","Fail"),"Fail"),"Fail"))</f>
        <v>Pass</v>
      </c>
      <c r="X327" s="92">
        <v>1159</v>
      </c>
      <c r="AA327" s="67">
        <v>2000</v>
      </c>
      <c r="AB327" s="67">
        <v>3000</v>
      </c>
      <c r="AC327" s="67">
        <v>2200</v>
      </c>
      <c r="AD327" s="67">
        <v>2900</v>
      </c>
      <c r="AE327" s="67">
        <v>7</v>
      </c>
      <c r="AF327" s="67">
        <v>5.5</v>
      </c>
    </row>
    <row r="328" spans="1:32">
      <c r="A328" s="149"/>
      <c r="B328" s="217"/>
      <c r="C328" s="82"/>
      <c r="D328" s="204" t="s">
        <v>115</v>
      </c>
      <c r="E328" s="94">
        <v>1397.09</v>
      </c>
      <c r="F328" s="94">
        <v>1349.84</v>
      </c>
      <c r="G328" s="94">
        <v>1355.8</v>
      </c>
      <c r="H328" s="94">
        <v>1348.7</v>
      </c>
      <c r="I328" s="94">
        <v>1403.15</v>
      </c>
      <c r="J328" s="94">
        <v>1401.76</v>
      </c>
      <c r="K328" s="94">
        <v>1353.22</v>
      </c>
      <c r="L328" s="94">
        <v>1343.7</v>
      </c>
      <c r="M328" s="94">
        <v>1381.17</v>
      </c>
      <c r="N328" s="205"/>
      <c r="O328" s="205"/>
      <c r="P328" s="205"/>
      <c r="Q328" s="205"/>
      <c r="R328" s="190"/>
      <c r="S328" s="190"/>
      <c r="T328" s="191"/>
      <c r="U328" s="191"/>
      <c r="W328" s="179"/>
      <c r="X328" s="92"/>
    </row>
    <row r="329" spans="1:32" ht="48.75" thickBot="1">
      <c r="A329" s="149"/>
      <c r="B329" s="218"/>
      <c r="C329" s="211"/>
      <c r="D329" s="212" t="s">
        <v>116</v>
      </c>
      <c r="E329" s="87">
        <f t="shared" ref="E329:M329" si="123">IF(((E327="")*AND(E328="")),"",(E327-E328)*4)</f>
        <v>2310.2000000000007</v>
      </c>
      <c r="F329" s="87">
        <f t="shared" si="123"/>
        <v>2473.2800000000007</v>
      </c>
      <c r="G329" s="87">
        <f t="shared" si="123"/>
        <v>2423.4800000000005</v>
      </c>
      <c r="H329" s="87">
        <f t="shared" si="123"/>
        <v>2480.92</v>
      </c>
      <c r="I329" s="87">
        <f t="shared" si="123"/>
        <v>2299.5599999999995</v>
      </c>
      <c r="J329" s="87">
        <f t="shared" si="123"/>
        <v>2326.3199999999997</v>
      </c>
      <c r="K329" s="87">
        <f t="shared" si="123"/>
        <v>2450.5999999999995</v>
      </c>
      <c r="L329" s="87">
        <f t="shared" si="123"/>
        <v>2506.04</v>
      </c>
      <c r="M329" s="87">
        <f t="shared" si="123"/>
        <v>2385.6799999999994</v>
      </c>
      <c r="N329" s="87"/>
      <c r="O329" s="87"/>
      <c r="P329" s="87"/>
      <c r="Q329" s="87" t="str">
        <f>IF(((Q327="")*AND(Q328="")),"",(Q327-Q328)*4)</f>
        <v/>
      </c>
      <c r="R329" s="197"/>
      <c r="S329" s="197"/>
      <c r="T329" s="198"/>
      <c r="U329" s="198"/>
      <c r="W329" s="180"/>
      <c r="X329" s="93"/>
    </row>
    <row r="330" spans="1:32">
      <c r="A330" s="149">
        <v>43080</v>
      </c>
      <c r="B330" s="81" t="s">
        <v>117</v>
      </c>
      <c r="C330" s="81" t="s">
        <v>118</v>
      </c>
      <c r="D330" s="204" t="s">
        <v>114</v>
      </c>
      <c r="E330" s="94">
        <v>2827.14</v>
      </c>
      <c r="F330" s="94">
        <v>2788.97</v>
      </c>
      <c r="G330" s="94">
        <v>2767.48</v>
      </c>
      <c r="H330" s="94">
        <v>2763.14</v>
      </c>
      <c r="I330" s="94">
        <v>2778.23</v>
      </c>
      <c r="J330" s="94">
        <v>2813.14</v>
      </c>
      <c r="K330" s="94">
        <v>2881.53</v>
      </c>
      <c r="L330" s="94">
        <v>2881.52</v>
      </c>
      <c r="M330" s="94">
        <v>2817.33</v>
      </c>
      <c r="N330" s="94">
        <v>2779.63</v>
      </c>
      <c r="O330" s="94">
        <v>2767.5</v>
      </c>
      <c r="P330" s="94">
        <v>2791.94</v>
      </c>
      <c r="Q330" s="94">
        <v>2833.61</v>
      </c>
      <c r="R330" s="194">
        <f>IF((Q331=""),"",MAX(E332:Q332))</f>
        <v>294.0300000000002</v>
      </c>
      <c r="S330" s="194">
        <f>IF(Q331="","",MIN(E332:Q332))</f>
        <v>255.71000000000004</v>
      </c>
      <c r="T330" s="195">
        <f>IF((Q332=""),"",AVERAGE(E332:Q332))</f>
        <v>265.13</v>
      </c>
      <c r="U330" s="195">
        <f>IF((Q331=""),"",(R330-S330)/(R330+S330)*100)</f>
        <v>6.9705679048277638</v>
      </c>
      <c r="V330" s="66">
        <f t="shared" ref="V330:V378" si="124">STDEV(E332:Q332)</f>
        <v>12.774394310494534</v>
      </c>
      <c r="W330" s="83" t="str">
        <f>IF(Q331="","",IF(T330&gt;242,IF(T330&lt;320,"Pass","Fail"),"Fail"))</f>
        <v>Pass</v>
      </c>
      <c r="X330" s="92">
        <v>1335</v>
      </c>
      <c r="AA330" s="67">
        <v>240</v>
      </c>
      <c r="AB330" s="67">
        <v>320</v>
      </c>
      <c r="AC330" s="67">
        <v>190</v>
      </c>
      <c r="AD330" s="67">
        <v>360</v>
      </c>
      <c r="AE330" s="67">
        <v>20</v>
      </c>
      <c r="AF330" s="67">
        <v>11</v>
      </c>
    </row>
    <row r="331" spans="1:32">
      <c r="A331" s="149"/>
      <c r="B331" s="82"/>
      <c r="C331" s="82"/>
      <c r="D331" s="204" t="s">
        <v>115</v>
      </c>
      <c r="E331" s="94">
        <v>2556.89</v>
      </c>
      <c r="F331" s="94">
        <v>2532.3000000000002</v>
      </c>
      <c r="G331" s="94">
        <v>2511.77</v>
      </c>
      <c r="H331" s="94">
        <v>2505.59</v>
      </c>
      <c r="I331" s="94">
        <v>2520.06</v>
      </c>
      <c r="J331" s="94">
        <v>2555.75</v>
      </c>
      <c r="K331" s="94">
        <v>2592.36</v>
      </c>
      <c r="L331" s="94">
        <v>2610.2199999999998</v>
      </c>
      <c r="M331" s="94">
        <v>2559.08</v>
      </c>
      <c r="N331" s="94">
        <v>2522.08</v>
      </c>
      <c r="O331" s="94">
        <v>2508.54</v>
      </c>
      <c r="P331" s="94">
        <v>2530.25</v>
      </c>
      <c r="Q331" s="94">
        <v>2539.58</v>
      </c>
      <c r="R331" s="190"/>
      <c r="S331" s="190"/>
      <c r="T331" s="191"/>
      <c r="U331" s="191"/>
      <c r="W331" s="177"/>
      <c r="X331" s="92"/>
    </row>
    <row r="332" spans="1:32" ht="48">
      <c r="A332" s="149"/>
      <c r="B332" s="207"/>
      <c r="C332" s="207"/>
      <c r="D332" s="204" t="s">
        <v>116</v>
      </c>
      <c r="E332" s="51">
        <f t="shared" ref="E332:Q332" si="125">IF(((E330="")*AND(E331="")),"",(E330-E331))</f>
        <v>270.25</v>
      </c>
      <c r="F332" s="51">
        <f t="shared" si="125"/>
        <v>256.66999999999962</v>
      </c>
      <c r="G332" s="51">
        <f t="shared" si="125"/>
        <v>255.71000000000004</v>
      </c>
      <c r="H332" s="51">
        <f t="shared" si="125"/>
        <v>257.54999999999973</v>
      </c>
      <c r="I332" s="51">
        <f t="shared" si="125"/>
        <v>258.17000000000007</v>
      </c>
      <c r="J332" s="51">
        <f t="shared" si="125"/>
        <v>257.38999999999987</v>
      </c>
      <c r="K332" s="51">
        <f t="shared" si="125"/>
        <v>289.17000000000007</v>
      </c>
      <c r="L332" s="51">
        <f t="shared" si="125"/>
        <v>271.30000000000018</v>
      </c>
      <c r="M332" s="51">
        <f t="shared" si="125"/>
        <v>258.25</v>
      </c>
      <c r="N332" s="85">
        <f t="shared" si="125"/>
        <v>257.55000000000018</v>
      </c>
      <c r="O332" s="85">
        <f t="shared" si="125"/>
        <v>258.96000000000004</v>
      </c>
      <c r="P332" s="85">
        <f t="shared" si="125"/>
        <v>261.69000000000005</v>
      </c>
      <c r="Q332" s="85">
        <f t="shared" si="125"/>
        <v>294.0300000000002</v>
      </c>
      <c r="R332" s="192"/>
      <c r="S332" s="192"/>
      <c r="T332" s="193"/>
      <c r="U332" s="193"/>
      <c r="W332" s="178"/>
      <c r="X332" s="92"/>
    </row>
    <row r="333" spans="1:32">
      <c r="A333" s="149">
        <v>43080</v>
      </c>
      <c r="B333" s="81" t="s">
        <v>119</v>
      </c>
      <c r="C333" s="81" t="s">
        <v>120</v>
      </c>
      <c r="D333" s="204" t="s">
        <v>114</v>
      </c>
      <c r="E333" s="94">
        <v>6882.53</v>
      </c>
      <c r="F333" s="94">
        <v>6877.23</v>
      </c>
      <c r="G333" s="94">
        <v>6895.9</v>
      </c>
      <c r="H333" s="94">
        <v>6861.35</v>
      </c>
      <c r="I333" s="94">
        <v>6864.14</v>
      </c>
      <c r="J333" s="94">
        <v>6881.18</v>
      </c>
      <c r="K333" s="94">
        <v>6905.35</v>
      </c>
      <c r="L333" s="94">
        <v>6881.7</v>
      </c>
      <c r="M333" s="94">
        <v>6858.78</v>
      </c>
      <c r="N333" s="210"/>
      <c r="O333" s="210"/>
      <c r="P333" s="210"/>
      <c r="Q333" s="210"/>
      <c r="R333" s="196">
        <f>IF((M334=""),"",MAX(E335:M335))</f>
        <v>4154.0599999999995</v>
      </c>
      <c r="S333" s="194">
        <f>IF(M334="","",MIN(E335:M335))</f>
        <v>3822.7199999999993</v>
      </c>
      <c r="T333" s="195">
        <f>IF((M335=""),"",AVERAGE(E335:M335))</f>
        <v>3948.4044444444444</v>
      </c>
      <c r="U333" s="195">
        <f>IF((M334=""),"",(R333-S333)/(R333+S333)*100)</f>
        <v>4.1538064231431759</v>
      </c>
      <c r="V333" s="66">
        <f t="shared" ref="V333:V381" si="126">STDEV(E335:Q335)</f>
        <v>117.5940163349199</v>
      </c>
      <c r="W333" s="83" t="str">
        <f>IF(M334="","",IF(T333&gt;3650,IF(T333&lt;4450,"Pass","Fail"),"Fail"))</f>
        <v>Pass</v>
      </c>
      <c r="X333" s="92">
        <v>1335</v>
      </c>
      <c r="AA333" s="86">
        <v>3650</v>
      </c>
      <c r="AB333" s="86">
        <v>4450</v>
      </c>
      <c r="AC333" s="86">
        <v>3700</v>
      </c>
      <c r="AD333" s="86">
        <v>4250</v>
      </c>
      <c r="AE333" s="86">
        <v>7.2</v>
      </c>
      <c r="AF333" s="86">
        <v>3</v>
      </c>
    </row>
    <row r="334" spans="1:32">
      <c r="A334" s="149"/>
      <c r="B334" s="82"/>
      <c r="C334" s="82"/>
      <c r="D334" s="204" t="s">
        <v>115</v>
      </c>
      <c r="E334" s="94">
        <v>4805.5</v>
      </c>
      <c r="F334" s="94">
        <v>4932.08</v>
      </c>
      <c r="G334" s="94">
        <v>4984.54</v>
      </c>
      <c r="H334" s="94">
        <v>4933.04</v>
      </c>
      <c r="I334" s="94">
        <v>4841.34</v>
      </c>
      <c r="J334" s="94">
        <v>4899.5</v>
      </c>
      <c r="K334" s="94">
        <v>4968.68</v>
      </c>
      <c r="L334" s="94">
        <v>4955.07</v>
      </c>
      <c r="M334" s="94">
        <v>4820.59</v>
      </c>
      <c r="N334" s="205"/>
      <c r="O334" s="205"/>
      <c r="P334" s="205"/>
      <c r="Q334" s="205"/>
      <c r="R334" s="190"/>
      <c r="S334" s="190"/>
      <c r="T334" s="191"/>
      <c r="U334" s="191"/>
      <c r="W334" s="177"/>
      <c r="X334" s="92"/>
    </row>
    <row r="335" spans="1:32" ht="48">
      <c r="A335" s="149"/>
      <c r="B335" s="207"/>
      <c r="C335" s="207"/>
      <c r="D335" s="204" t="s">
        <v>116</v>
      </c>
      <c r="E335" s="51">
        <f t="shared" ref="E335:M335" si="127">IF(((E333="")*AND(E334="")),"",(E333-E334)*2)</f>
        <v>4154.0599999999995</v>
      </c>
      <c r="F335" s="51">
        <f t="shared" si="127"/>
        <v>3890.2999999999993</v>
      </c>
      <c r="G335" s="51">
        <f t="shared" si="127"/>
        <v>3822.7199999999993</v>
      </c>
      <c r="H335" s="51">
        <f t="shared" si="127"/>
        <v>3856.6200000000008</v>
      </c>
      <c r="I335" s="51">
        <f t="shared" si="127"/>
        <v>4045.6000000000004</v>
      </c>
      <c r="J335" s="51">
        <f t="shared" si="127"/>
        <v>3963.3600000000006</v>
      </c>
      <c r="K335" s="51">
        <f t="shared" si="127"/>
        <v>3873.34</v>
      </c>
      <c r="L335" s="51">
        <f t="shared" si="127"/>
        <v>3853.26</v>
      </c>
      <c r="M335" s="51">
        <f t="shared" si="127"/>
        <v>4076.3799999999992</v>
      </c>
      <c r="N335" s="51"/>
      <c r="O335" s="51"/>
      <c r="P335" s="51"/>
      <c r="Q335" s="51"/>
      <c r="R335" s="192"/>
      <c r="S335" s="192"/>
      <c r="T335" s="193"/>
      <c r="U335" s="193"/>
      <c r="W335" s="178"/>
      <c r="X335" s="92"/>
    </row>
    <row r="336" spans="1:32">
      <c r="A336" s="149">
        <v>43080</v>
      </c>
      <c r="B336" s="81" t="s">
        <v>121</v>
      </c>
      <c r="C336" s="81" t="s">
        <v>121</v>
      </c>
      <c r="D336" s="204" t="s">
        <v>114</v>
      </c>
      <c r="E336" s="94">
        <v>1945.28</v>
      </c>
      <c r="F336" s="94">
        <v>1941.52</v>
      </c>
      <c r="G336" s="94">
        <v>1932.33</v>
      </c>
      <c r="H336" s="94">
        <v>1943.36</v>
      </c>
      <c r="I336" s="94">
        <v>1949.45</v>
      </c>
      <c r="J336" s="94">
        <v>1953.87</v>
      </c>
      <c r="K336" s="94">
        <v>1945.91</v>
      </c>
      <c r="L336" s="94">
        <v>1942.55</v>
      </c>
      <c r="M336" s="94">
        <v>1949.01</v>
      </c>
      <c r="N336" s="205"/>
      <c r="O336" s="205"/>
      <c r="P336" s="205"/>
      <c r="Q336" s="205"/>
      <c r="R336" s="194">
        <f>IF((M337=""),"",MAX(E338:M338))</f>
        <v>2678.12</v>
      </c>
      <c r="S336" s="194">
        <f>IF((M337=""),"",MIN(E338:M338))</f>
        <v>2461.16</v>
      </c>
      <c r="T336" s="195">
        <f>IF((M338=""),"",AVERAGE(E338:M338))</f>
        <v>2559.2488888888888</v>
      </c>
      <c r="U336" s="195">
        <f>IF((M337=""),"",(R336-S336)/(R336+S336)*100)</f>
        <v>4.221603026104825</v>
      </c>
      <c r="V336" s="66">
        <f t="shared" ref="V336:V384" si="128">STDEV(E338:Q338)</f>
        <v>65.523970507830313</v>
      </c>
      <c r="W336" s="174" t="str">
        <f>IF(M337="","",IF(U336&lt;5.5,IF(T336&gt;2200,IF(T336&lt;2900,"Pass","Fail"),"Fail"),"Fail"))</f>
        <v>Pass</v>
      </c>
      <c r="X336" s="92">
        <v>1335</v>
      </c>
      <c r="AA336" s="67">
        <v>2000</v>
      </c>
      <c r="AB336" s="67">
        <v>3000</v>
      </c>
      <c r="AC336" s="67">
        <v>2200</v>
      </c>
      <c r="AD336" s="67">
        <v>2900</v>
      </c>
      <c r="AE336" s="67">
        <v>7</v>
      </c>
      <c r="AF336" s="67">
        <v>5.5</v>
      </c>
    </row>
    <row r="337" spans="1:32">
      <c r="A337" s="149"/>
      <c r="B337" s="82"/>
      <c r="C337" s="82"/>
      <c r="D337" s="204" t="s">
        <v>115</v>
      </c>
      <c r="E337" s="94">
        <v>1293.27</v>
      </c>
      <c r="F337" s="94">
        <v>1308.67</v>
      </c>
      <c r="G337" s="94">
        <v>1317.04</v>
      </c>
      <c r="H337" s="94">
        <v>1314.83</v>
      </c>
      <c r="I337" s="94">
        <v>1303.8</v>
      </c>
      <c r="J337" s="94">
        <v>1284.3399999999999</v>
      </c>
      <c r="K337" s="94">
        <v>1310.27</v>
      </c>
      <c r="L337" s="94">
        <v>1315.1</v>
      </c>
      <c r="M337" s="94">
        <v>1297.6500000000001</v>
      </c>
      <c r="N337" s="205"/>
      <c r="O337" s="205"/>
      <c r="P337" s="205"/>
      <c r="Q337" s="205"/>
      <c r="R337" s="190"/>
      <c r="S337" s="190"/>
      <c r="T337" s="191"/>
      <c r="U337" s="191"/>
      <c r="W337" s="179"/>
      <c r="X337" s="92"/>
    </row>
    <row r="338" spans="1:32" ht="48.75" thickBot="1">
      <c r="A338" s="149"/>
      <c r="B338" s="211"/>
      <c r="C338" s="211"/>
      <c r="D338" s="212" t="s">
        <v>116</v>
      </c>
      <c r="E338" s="87">
        <f t="shared" ref="E338:M338" si="129">IF(((E336="")*AND(E337="")),"",(E336-E337)*4)</f>
        <v>2608.04</v>
      </c>
      <c r="F338" s="87">
        <f t="shared" si="129"/>
        <v>2531.3999999999996</v>
      </c>
      <c r="G338" s="87">
        <f t="shared" si="129"/>
        <v>2461.16</v>
      </c>
      <c r="H338" s="87">
        <f t="shared" si="129"/>
        <v>2514.12</v>
      </c>
      <c r="I338" s="87">
        <f t="shared" si="129"/>
        <v>2582.6000000000004</v>
      </c>
      <c r="J338" s="87">
        <f t="shared" si="129"/>
        <v>2678.12</v>
      </c>
      <c r="K338" s="87">
        <f t="shared" si="129"/>
        <v>2542.5600000000004</v>
      </c>
      <c r="L338" s="87">
        <f t="shared" si="129"/>
        <v>2509.8000000000002</v>
      </c>
      <c r="M338" s="87">
        <f t="shared" si="129"/>
        <v>2605.4399999999996</v>
      </c>
      <c r="N338" s="87"/>
      <c r="O338" s="87"/>
      <c r="P338" s="87"/>
      <c r="Q338" s="87" t="str">
        <f>IF(((Q336="")*AND(Q337="")),"",(Q336-Q337)*4)</f>
        <v/>
      </c>
      <c r="R338" s="197"/>
      <c r="S338" s="197"/>
      <c r="T338" s="198"/>
      <c r="U338" s="198"/>
      <c r="W338" s="180"/>
      <c r="X338" s="93"/>
    </row>
    <row r="339" spans="1:32">
      <c r="A339" s="149">
        <v>43195</v>
      </c>
      <c r="B339" s="200" t="s">
        <v>112</v>
      </c>
      <c r="C339" s="200" t="s">
        <v>113</v>
      </c>
      <c r="D339" s="201" t="s">
        <v>114</v>
      </c>
      <c r="E339" s="59">
        <v>7980.47</v>
      </c>
      <c r="F339" s="59">
        <v>7912.37</v>
      </c>
      <c r="G339" s="59">
        <v>7982.77</v>
      </c>
      <c r="H339" s="59">
        <v>8182.38</v>
      </c>
      <c r="I339" s="59">
        <v>8198.58</v>
      </c>
      <c r="J339" s="59">
        <v>8134.27</v>
      </c>
      <c r="K339" s="59">
        <v>8084.02</v>
      </c>
      <c r="L339" s="59">
        <v>8167.05</v>
      </c>
      <c r="M339" s="59">
        <v>7994.35</v>
      </c>
      <c r="N339" s="202"/>
      <c r="O339" s="202"/>
      <c r="P339" s="202"/>
      <c r="Q339" s="202"/>
      <c r="R339" s="188">
        <f>IF((M340=""),"",MAX(E341:M341))</f>
        <v>6240.92</v>
      </c>
      <c r="S339" s="188">
        <f>IF((M340=""),"",MIN(E341:M341))</f>
        <v>5643.9400000000005</v>
      </c>
      <c r="T339" s="189">
        <f>IF((M341=""),"",AVERAGE(E341:M341))</f>
        <v>5970.1555555555569</v>
      </c>
      <c r="U339" s="189">
        <f>IF((M340=""),"",(R339-S339)/(R339+S339)*100)</f>
        <v>5.0230292994616645</v>
      </c>
      <c r="V339" s="66">
        <f t="shared" si="128"/>
        <v>188.26363689720958</v>
      </c>
      <c r="W339" s="170" t="str">
        <f>IF(M340="","",IF(U339&lt;6.3,IF(T339&gt;5550,IF(T339&lt;6900,"Pass","Fail"),"Fail"),"Fail"))</f>
        <v>Pass</v>
      </c>
      <c r="X339" s="91" t="s">
        <v>70</v>
      </c>
      <c r="AA339" s="67">
        <v>5860</v>
      </c>
      <c r="AB339" s="67">
        <v>6770</v>
      </c>
      <c r="AC339" s="67">
        <v>5550</v>
      </c>
      <c r="AD339" s="67">
        <v>6900</v>
      </c>
      <c r="AE339" s="67">
        <v>20</v>
      </c>
      <c r="AF339" s="67">
        <v>6.3</v>
      </c>
    </row>
    <row r="340" spans="1:32">
      <c r="A340" s="149"/>
      <c r="B340" s="82"/>
      <c r="C340" s="82"/>
      <c r="D340" s="204" t="s">
        <v>115</v>
      </c>
      <c r="E340" s="59">
        <v>4950.97</v>
      </c>
      <c r="F340" s="59">
        <v>4842.3999999999996</v>
      </c>
      <c r="G340" s="59">
        <v>4964.16</v>
      </c>
      <c r="H340" s="59">
        <v>5360.41</v>
      </c>
      <c r="I340" s="59">
        <v>5315.46</v>
      </c>
      <c r="J340" s="59">
        <v>5188.13</v>
      </c>
      <c r="K340" s="59">
        <v>5052.92</v>
      </c>
      <c r="L340" s="59">
        <v>5222.22</v>
      </c>
      <c r="M340" s="59">
        <v>4873.8900000000003</v>
      </c>
      <c r="N340" s="205"/>
      <c r="O340" s="205"/>
      <c r="P340" s="205"/>
      <c r="Q340" s="205"/>
      <c r="R340" s="190"/>
      <c r="S340" s="190"/>
      <c r="T340" s="191"/>
      <c r="U340" s="191"/>
      <c r="W340" s="177"/>
      <c r="X340" s="92"/>
    </row>
    <row r="341" spans="1:32" ht="48">
      <c r="A341" s="149"/>
      <c r="B341" s="207"/>
      <c r="C341" s="207"/>
      <c r="D341" s="204" t="s">
        <v>116</v>
      </c>
      <c r="E341" s="51">
        <f t="shared" ref="E341:M341" si="130">IF(((E339="")*AND(E340="")),"",(E339-E340)*2)</f>
        <v>6059</v>
      </c>
      <c r="F341" s="51">
        <f t="shared" si="130"/>
        <v>6139.9400000000005</v>
      </c>
      <c r="G341" s="51">
        <f t="shared" si="130"/>
        <v>6037.2200000000012</v>
      </c>
      <c r="H341" s="51">
        <f t="shared" si="130"/>
        <v>5643.9400000000005</v>
      </c>
      <c r="I341" s="51">
        <f t="shared" si="130"/>
        <v>5766.24</v>
      </c>
      <c r="J341" s="51">
        <f t="shared" si="130"/>
        <v>5892.2800000000007</v>
      </c>
      <c r="K341" s="51">
        <f t="shared" si="130"/>
        <v>6062.2000000000007</v>
      </c>
      <c r="L341" s="51">
        <f t="shared" si="130"/>
        <v>5889.66</v>
      </c>
      <c r="M341" s="51">
        <f t="shared" si="130"/>
        <v>6240.92</v>
      </c>
      <c r="N341" s="51"/>
      <c r="O341" s="51"/>
      <c r="P341" s="51"/>
      <c r="Q341" s="51" t="str">
        <f>IF(((Q339="")*AND(Q340="")),"",(Q339-Q340)*2)</f>
        <v/>
      </c>
      <c r="R341" s="192"/>
      <c r="S341" s="192"/>
      <c r="T341" s="193"/>
      <c r="U341" s="193"/>
      <c r="W341" s="178"/>
      <c r="X341" s="92"/>
    </row>
    <row r="342" spans="1:32">
      <c r="A342" s="149">
        <v>43195</v>
      </c>
      <c r="B342" s="81" t="s">
        <v>117</v>
      </c>
      <c r="C342" s="81" t="s">
        <v>118</v>
      </c>
      <c r="D342" s="204" t="s">
        <v>114</v>
      </c>
      <c r="E342" s="59">
        <v>2852.03</v>
      </c>
      <c r="F342" s="59">
        <v>2793.73</v>
      </c>
      <c r="G342" s="59">
        <v>2770.92</v>
      </c>
      <c r="H342" s="59">
        <v>2764.58</v>
      </c>
      <c r="I342" s="59">
        <v>2786.91</v>
      </c>
      <c r="J342" s="59">
        <v>2827.3</v>
      </c>
      <c r="K342" s="59">
        <v>2899.17</v>
      </c>
      <c r="L342" s="59">
        <v>2837.03</v>
      </c>
      <c r="M342" s="59">
        <v>2794.49</v>
      </c>
      <c r="N342" s="59">
        <v>2772.17</v>
      </c>
      <c r="O342" s="59">
        <v>2775.63</v>
      </c>
      <c r="P342" s="59">
        <v>2803.53</v>
      </c>
      <c r="Q342" s="59">
        <v>2850.36</v>
      </c>
      <c r="R342" s="194">
        <f>IF((Q343=""),"",MAX(E344:Q344))</f>
        <v>261.84999999999991</v>
      </c>
      <c r="S342" s="194">
        <f>IF(Q343="","",MIN(E344:Q344))</f>
        <v>249.41000000000031</v>
      </c>
      <c r="T342" s="195">
        <f>IF((Q344=""),"",AVERAGE(E344:Q344))</f>
        <v>254.96769230769237</v>
      </c>
      <c r="U342" s="195">
        <f>IF((Q343=""),"",(R342-S342)/(R342+S342)*100)</f>
        <v>2.4332042405037737</v>
      </c>
      <c r="V342" s="66">
        <f t="shared" si="124"/>
        <v>3.7367078956531694</v>
      </c>
      <c r="W342" s="83" t="str">
        <f>IF(Q343="","",IF(T342&gt;242,IF(T342&lt;320,"Pass","Fail"),"Fail"))</f>
        <v>Pass</v>
      </c>
      <c r="X342" s="92" t="s">
        <v>70</v>
      </c>
      <c r="AA342" s="67">
        <v>240</v>
      </c>
      <c r="AB342" s="67">
        <v>320</v>
      </c>
      <c r="AC342" s="67">
        <v>190</v>
      </c>
      <c r="AD342" s="67">
        <v>360</v>
      </c>
      <c r="AE342" s="67">
        <v>20</v>
      </c>
      <c r="AF342" s="67">
        <v>11</v>
      </c>
    </row>
    <row r="343" spans="1:32">
      <c r="A343" s="149"/>
      <c r="B343" s="82"/>
      <c r="C343" s="82"/>
      <c r="D343" s="204" t="s">
        <v>115</v>
      </c>
      <c r="E343" s="59">
        <v>2599.12</v>
      </c>
      <c r="F343" s="59">
        <v>2540.35</v>
      </c>
      <c r="G343" s="59">
        <v>2514.54</v>
      </c>
      <c r="H343" s="59">
        <v>2512.0100000000002</v>
      </c>
      <c r="I343" s="59">
        <v>2531.13</v>
      </c>
      <c r="J343" s="59">
        <v>2577.89</v>
      </c>
      <c r="K343" s="59">
        <v>2637.71</v>
      </c>
      <c r="L343" s="59">
        <v>2578.48</v>
      </c>
      <c r="M343" s="59">
        <v>2542.29</v>
      </c>
      <c r="N343" s="59">
        <v>2519.81</v>
      </c>
      <c r="O343" s="59">
        <v>2520.6999999999998</v>
      </c>
      <c r="P343" s="59">
        <v>2550.73</v>
      </c>
      <c r="Q343" s="59">
        <v>2588.5100000000002</v>
      </c>
      <c r="R343" s="190"/>
      <c r="S343" s="190"/>
      <c r="T343" s="191"/>
      <c r="U343" s="191"/>
      <c r="W343" s="177"/>
      <c r="X343" s="92"/>
    </row>
    <row r="344" spans="1:32" ht="48">
      <c r="A344" s="149"/>
      <c r="B344" s="207"/>
      <c r="C344" s="207"/>
      <c r="D344" s="204" t="s">
        <v>116</v>
      </c>
      <c r="E344" s="51">
        <f t="shared" ref="E344:Q344" si="131">IF(((E342="")*AND(E343="")),"",(E342-E343))</f>
        <v>252.91000000000031</v>
      </c>
      <c r="F344" s="51">
        <f t="shared" si="131"/>
        <v>253.38000000000011</v>
      </c>
      <c r="G344" s="51">
        <f t="shared" si="131"/>
        <v>256.38000000000011</v>
      </c>
      <c r="H344" s="51">
        <f t="shared" si="131"/>
        <v>252.56999999999971</v>
      </c>
      <c r="I344" s="51">
        <f t="shared" si="131"/>
        <v>255.77999999999975</v>
      </c>
      <c r="J344" s="51">
        <f t="shared" si="131"/>
        <v>249.41000000000031</v>
      </c>
      <c r="K344" s="51">
        <f t="shared" si="131"/>
        <v>261.46000000000004</v>
      </c>
      <c r="L344" s="51">
        <f t="shared" si="131"/>
        <v>258.55000000000018</v>
      </c>
      <c r="M344" s="51">
        <f t="shared" si="131"/>
        <v>252.19999999999982</v>
      </c>
      <c r="N344" s="85">
        <f t="shared" si="131"/>
        <v>252.36000000000013</v>
      </c>
      <c r="O344" s="85">
        <f t="shared" si="131"/>
        <v>254.93000000000029</v>
      </c>
      <c r="P344" s="85">
        <f t="shared" si="131"/>
        <v>252.80000000000018</v>
      </c>
      <c r="Q344" s="85">
        <f t="shared" si="131"/>
        <v>261.84999999999991</v>
      </c>
      <c r="R344" s="192"/>
      <c r="S344" s="192"/>
      <c r="T344" s="193"/>
      <c r="U344" s="193"/>
      <c r="W344" s="178"/>
      <c r="X344" s="92"/>
    </row>
    <row r="345" spans="1:32">
      <c r="A345" s="149">
        <v>43195</v>
      </c>
      <c r="B345" s="81" t="s">
        <v>119</v>
      </c>
      <c r="C345" s="81" t="s">
        <v>120</v>
      </c>
      <c r="D345" s="204" t="s">
        <v>114</v>
      </c>
      <c r="E345" s="59">
        <v>6779.44</v>
      </c>
      <c r="F345" s="59">
        <v>6713.29</v>
      </c>
      <c r="G345" s="59">
        <v>6828.17</v>
      </c>
      <c r="H345" s="59">
        <v>6813.93</v>
      </c>
      <c r="I345" s="59">
        <v>7000</v>
      </c>
      <c r="J345" s="59">
        <v>6873.25</v>
      </c>
      <c r="K345" s="59">
        <v>6783.11</v>
      </c>
      <c r="L345" s="59">
        <v>6806.97</v>
      </c>
      <c r="M345" s="59">
        <v>6893.82</v>
      </c>
      <c r="N345" s="210"/>
      <c r="O345" s="210"/>
      <c r="P345" s="210"/>
      <c r="Q345" s="210"/>
      <c r="R345" s="196">
        <f>IF((M346=""),"",MAX(E347:M347))</f>
        <v>4124.1399999999994</v>
      </c>
      <c r="S345" s="194">
        <f>IF(M346="","",MIN(E347:M347))</f>
        <v>3719</v>
      </c>
      <c r="T345" s="195">
        <f>IF((M347=""),"",AVERAGE(E347:M347))</f>
        <v>3897.4177777777772</v>
      </c>
      <c r="U345" s="195">
        <f>IF((M346=""),"",(R345-S345)/(R345+S345)*100)</f>
        <v>5.1655331920633758</v>
      </c>
      <c r="V345" s="66">
        <f t="shared" si="126"/>
        <v>166.01287493578812</v>
      </c>
      <c r="W345" s="83" t="str">
        <f>IF(M346="","",IF(T345&gt;3650,IF(T345&lt;4450,"Pass","Fail"),"Fail"))</f>
        <v>Pass</v>
      </c>
      <c r="X345" s="92" t="s">
        <v>70</v>
      </c>
      <c r="AA345" s="86">
        <v>3650</v>
      </c>
      <c r="AB345" s="86">
        <v>4450</v>
      </c>
      <c r="AC345" s="86">
        <v>3700</v>
      </c>
      <c r="AD345" s="86">
        <v>4250</v>
      </c>
      <c r="AE345" s="86">
        <v>7.2</v>
      </c>
      <c r="AF345" s="86">
        <v>3</v>
      </c>
    </row>
    <row r="346" spans="1:32">
      <c r="A346" s="149"/>
      <c r="B346" s="82"/>
      <c r="C346" s="82"/>
      <c r="D346" s="204" t="s">
        <v>115</v>
      </c>
      <c r="E346" s="59">
        <v>4720.24</v>
      </c>
      <c r="F346" s="59">
        <v>4826.42</v>
      </c>
      <c r="G346" s="59">
        <v>4968.67</v>
      </c>
      <c r="H346" s="59">
        <v>4918.25</v>
      </c>
      <c r="I346" s="59">
        <v>4937.93</v>
      </c>
      <c r="J346" s="59">
        <v>4911.0600000000004</v>
      </c>
      <c r="K346" s="59">
        <v>4889.43</v>
      </c>
      <c r="L346" s="59">
        <v>4924.8999999999996</v>
      </c>
      <c r="M346" s="59">
        <v>4856.7</v>
      </c>
      <c r="N346" s="205"/>
      <c r="O346" s="205"/>
      <c r="P346" s="205"/>
      <c r="Q346" s="205"/>
      <c r="R346" s="190"/>
      <c r="S346" s="190"/>
      <c r="T346" s="191"/>
      <c r="U346" s="191"/>
      <c r="W346" s="177"/>
      <c r="X346" s="92"/>
    </row>
    <row r="347" spans="1:32" ht="48">
      <c r="A347" s="149"/>
      <c r="B347" s="207"/>
      <c r="C347" s="207"/>
      <c r="D347" s="204" t="s">
        <v>116</v>
      </c>
      <c r="E347" s="51">
        <f t="shared" ref="E347:M347" si="132">IF(((E345="")*AND(E346="")),"",(E345-E346)*2)</f>
        <v>4118.3999999999996</v>
      </c>
      <c r="F347" s="51">
        <f t="shared" si="132"/>
        <v>3773.74</v>
      </c>
      <c r="G347" s="51">
        <f t="shared" si="132"/>
        <v>3719</v>
      </c>
      <c r="H347" s="51">
        <f t="shared" si="132"/>
        <v>3791.3600000000006</v>
      </c>
      <c r="I347" s="51">
        <f t="shared" si="132"/>
        <v>4124.1399999999994</v>
      </c>
      <c r="J347" s="51">
        <f t="shared" si="132"/>
        <v>3924.3799999999992</v>
      </c>
      <c r="K347" s="51">
        <f t="shared" si="132"/>
        <v>3787.3599999999988</v>
      </c>
      <c r="L347" s="51">
        <f t="shared" si="132"/>
        <v>3764.1400000000012</v>
      </c>
      <c r="M347" s="51">
        <f t="shared" si="132"/>
        <v>4074.24</v>
      </c>
      <c r="N347" s="51"/>
      <c r="O347" s="51"/>
      <c r="P347" s="51"/>
      <c r="Q347" s="51"/>
      <c r="R347" s="192"/>
      <c r="S347" s="192"/>
      <c r="T347" s="193"/>
      <c r="U347" s="193"/>
      <c r="W347" s="178"/>
      <c r="X347" s="92"/>
    </row>
    <row r="348" spans="1:32">
      <c r="A348" s="149">
        <v>43195</v>
      </c>
      <c r="B348" s="81" t="s">
        <v>121</v>
      </c>
      <c r="C348" s="81" t="s">
        <v>121</v>
      </c>
      <c r="D348" s="204" t="s">
        <v>114</v>
      </c>
      <c r="E348" s="59">
        <v>1964.11</v>
      </c>
      <c r="F348" s="59">
        <v>1973.9</v>
      </c>
      <c r="G348" s="59">
        <v>1984.25</v>
      </c>
      <c r="H348" s="59">
        <v>1975.36</v>
      </c>
      <c r="I348" s="59">
        <v>1971.07</v>
      </c>
      <c r="J348" s="59">
        <v>1968.21</v>
      </c>
      <c r="K348" s="59">
        <v>1969.62</v>
      </c>
      <c r="L348" s="59">
        <v>1971.36</v>
      </c>
      <c r="M348" s="59">
        <v>1963.69</v>
      </c>
      <c r="N348" s="205"/>
      <c r="O348" s="205"/>
      <c r="P348" s="205"/>
      <c r="Q348" s="205"/>
      <c r="R348" s="194">
        <f>IF((M349=""),"",MAX(E350:M350))</f>
        <v>2592.8000000000002</v>
      </c>
      <c r="S348" s="194">
        <f>IF((M349=""),"",MIN(E350:M350))</f>
        <v>2478.96</v>
      </c>
      <c r="T348" s="195">
        <f>IF((M350=""),"",AVERAGE(E350:M350))</f>
        <v>2542.3955555555558</v>
      </c>
      <c r="U348" s="195">
        <f>IF((M349=""),"",(R348-S348)/(R348+S348)*100)</f>
        <v>2.2445857059482339</v>
      </c>
      <c r="V348" s="66">
        <f t="shared" si="128"/>
        <v>37.739620795350838</v>
      </c>
      <c r="W348" s="174" t="str">
        <f>IF(M349="","",IF(U348&lt;5.5,IF(T348&gt;2200,IF(T348&lt;2900,"Pass","Fail"),"Fail"),"Fail"))</f>
        <v>Pass</v>
      </c>
      <c r="X348" s="92" t="s">
        <v>70</v>
      </c>
      <c r="AA348" s="67">
        <v>2000</v>
      </c>
      <c r="AB348" s="67">
        <v>3000</v>
      </c>
      <c r="AC348" s="67">
        <v>2200</v>
      </c>
      <c r="AD348" s="67">
        <v>2900</v>
      </c>
      <c r="AE348" s="67">
        <v>7</v>
      </c>
      <c r="AF348" s="67">
        <v>5.5</v>
      </c>
    </row>
    <row r="349" spans="1:32">
      <c r="A349" s="149"/>
      <c r="B349" s="82"/>
      <c r="C349" s="82"/>
      <c r="D349" s="204" t="s">
        <v>115</v>
      </c>
      <c r="E349" s="59">
        <v>1344.37</v>
      </c>
      <c r="F349" s="59">
        <v>1340.69</v>
      </c>
      <c r="G349" s="59">
        <v>1358.03</v>
      </c>
      <c r="H349" s="59">
        <v>1327.68</v>
      </c>
      <c r="I349" s="59">
        <v>1322.87</v>
      </c>
      <c r="J349" s="59">
        <v>1336.62</v>
      </c>
      <c r="K349" s="59">
        <v>1336.14</v>
      </c>
      <c r="L349" s="59">
        <v>1330.72</v>
      </c>
      <c r="M349" s="59">
        <v>1324.06</v>
      </c>
      <c r="N349" s="205"/>
      <c r="O349" s="205"/>
      <c r="P349" s="205"/>
      <c r="Q349" s="205"/>
      <c r="R349" s="190"/>
      <c r="S349" s="190"/>
      <c r="T349" s="191"/>
      <c r="U349" s="191"/>
      <c r="W349" s="179"/>
      <c r="X349" s="92"/>
    </row>
    <row r="350" spans="1:32" ht="48.75" thickBot="1">
      <c r="A350" s="149"/>
      <c r="B350" s="211"/>
      <c r="C350" s="211"/>
      <c r="D350" s="212" t="s">
        <v>116</v>
      </c>
      <c r="E350" s="87">
        <f t="shared" ref="E350:M350" si="133">IF(((E348="")*AND(E349="")),"",(E348-E349)*4)</f>
        <v>2478.96</v>
      </c>
      <c r="F350" s="87">
        <f t="shared" si="133"/>
        <v>2532.84</v>
      </c>
      <c r="G350" s="87">
        <f t="shared" si="133"/>
        <v>2504.88</v>
      </c>
      <c r="H350" s="87">
        <f t="shared" si="133"/>
        <v>2590.7199999999993</v>
      </c>
      <c r="I350" s="87">
        <f t="shared" si="133"/>
        <v>2592.8000000000002</v>
      </c>
      <c r="J350" s="87">
        <f t="shared" si="133"/>
        <v>2526.3600000000006</v>
      </c>
      <c r="K350" s="87">
        <f t="shared" si="133"/>
        <v>2533.9199999999992</v>
      </c>
      <c r="L350" s="87">
        <f t="shared" si="133"/>
        <v>2562.5599999999995</v>
      </c>
      <c r="M350" s="87">
        <f t="shared" si="133"/>
        <v>2558.5200000000004</v>
      </c>
      <c r="N350" s="87"/>
      <c r="O350" s="87"/>
      <c r="P350" s="87"/>
      <c r="Q350" s="87" t="str">
        <f>IF(((Q348="")*AND(Q349="")),"",(Q348-Q349)*4)</f>
        <v/>
      </c>
      <c r="R350" s="197"/>
      <c r="S350" s="197"/>
      <c r="T350" s="198"/>
      <c r="U350" s="198"/>
      <c r="W350" s="180"/>
      <c r="X350" s="97"/>
    </row>
    <row r="351" spans="1:32">
      <c r="A351" s="149">
        <v>43217</v>
      </c>
      <c r="B351" s="200" t="s">
        <v>112</v>
      </c>
      <c r="C351" s="200" t="s">
        <v>113</v>
      </c>
      <c r="D351" s="201" t="s">
        <v>114</v>
      </c>
      <c r="E351" s="59">
        <v>4966.71</v>
      </c>
      <c r="F351" s="59">
        <v>4856.83</v>
      </c>
      <c r="G351" s="59">
        <v>4982.91</v>
      </c>
      <c r="H351" s="59">
        <v>5377.06</v>
      </c>
      <c r="I351" s="59">
        <v>5329.68</v>
      </c>
      <c r="J351" s="59">
        <v>5207.45</v>
      </c>
      <c r="K351" s="59">
        <v>5070.68</v>
      </c>
      <c r="L351" s="59">
        <v>5241.12</v>
      </c>
      <c r="M351" s="59">
        <v>4891.71</v>
      </c>
      <c r="N351" s="202"/>
      <c r="O351" s="202"/>
      <c r="P351" s="202"/>
      <c r="Q351" s="202"/>
      <c r="R351" s="188">
        <f>IF((M352=""),"",MAX(E353:M353))</f>
        <v>6346.22</v>
      </c>
      <c r="S351" s="188">
        <f>IF((M352=""),"",MIN(E353:M353))</f>
        <v>5789.8200000000006</v>
      </c>
      <c r="T351" s="189">
        <f>IF((M353=""),"",AVERAGE(E353:M353))</f>
        <v>6093.2155555555555</v>
      </c>
      <c r="U351" s="189">
        <f>IF((M352=""),"",(R351-S351)/(R351+S351)*100)</f>
        <v>4.5846915468307587</v>
      </c>
      <c r="V351" s="66">
        <f t="shared" si="128"/>
        <v>184.48959558133413</v>
      </c>
      <c r="W351" s="170" t="str">
        <f>IF(M352="","",IF(U351&lt;6.3,IF(T351&gt;5550,IF(T351&lt;6900,"Pass","Fail"),"Fail"),"Fail"))</f>
        <v>Pass</v>
      </c>
      <c r="X351" s="98">
        <v>74</v>
      </c>
      <c r="AA351" s="67">
        <v>5860</v>
      </c>
      <c r="AB351" s="67">
        <v>6770</v>
      </c>
      <c r="AC351" s="67">
        <v>5550</v>
      </c>
      <c r="AD351" s="67">
        <v>6900</v>
      </c>
      <c r="AE351" s="67">
        <v>20</v>
      </c>
      <c r="AF351" s="67">
        <v>6.3</v>
      </c>
    </row>
    <row r="352" spans="1:32">
      <c r="A352" s="149"/>
      <c r="B352" s="82"/>
      <c r="C352" s="82"/>
      <c r="D352" s="204" t="s">
        <v>115</v>
      </c>
      <c r="E352" s="59">
        <v>1811.01</v>
      </c>
      <c r="F352" s="59">
        <v>1744.48</v>
      </c>
      <c r="G352" s="59">
        <v>1906.26</v>
      </c>
      <c r="H352" s="59">
        <v>2389.13</v>
      </c>
      <c r="I352" s="59">
        <v>2434.77</v>
      </c>
      <c r="J352" s="59">
        <v>2247.63</v>
      </c>
      <c r="K352" s="59">
        <v>2027.55</v>
      </c>
      <c r="L352" s="59">
        <v>2225.25</v>
      </c>
      <c r="M352" s="59">
        <v>1718.6</v>
      </c>
      <c r="N352" s="205"/>
      <c r="O352" s="205"/>
      <c r="P352" s="205"/>
      <c r="Q352" s="205"/>
      <c r="R352" s="190"/>
      <c r="S352" s="190"/>
      <c r="T352" s="191"/>
      <c r="U352" s="191"/>
      <c r="W352" s="177"/>
      <c r="X352" s="99"/>
    </row>
    <row r="353" spans="1:32" ht="48">
      <c r="A353" s="149"/>
      <c r="B353" s="207"/>
      <c r="C353" s="207"/>
      <c r="D353" s="204" t="s">
        <v>116</v>
      </c>
      <c r="E353" s="51">
        <f t="shared" ref="E353:M353" si="134">IF(((E351="")*AND(E352="")),"",(E351-E352)*2)</f>
        <v>6311.4</v>
      </c>
      <c r="F353" s="51">
        <f t="shared" si="134"/>
        <v>6224.7</v>
      </c>
      <c r="G353" s="51">
        <f t="shared" si="134"/>
        <v>6153.2999999999993</v>
      </c>
      <c r="H353" s="51">
        <f t="shared" si="134"/>
        <v>5975.8600000000006</v>
      </c>
      <c r="I353" s="51">
        <f t="shared" si="134"/>
        <v>5789.8200000000006</v>
      </c>
      <c r="J353" s="51">
        <f t="shared" si="134"/>
        <v>5919.6399999999994</v>
      </c>
      <c r="K353" s="51">
        <f t="shared" si="134"/>
        <v>6086.26</v>
      </c>
      <c r="L353" s="51">
        <f t="shared" si="134"/>
        <v>6031.74</v>
      </c>
      <c r="M353" s="51">
        <f t="shared" si="134"/>
        <v>6346.22</v>
      </c>
      <c r="N353" s="51"/>
      <c r="O353" s="51"/>
      <c r="P353" s="51"/>
      <c r="Q353" s="51" t="str">
        <f>IF(((Q351="")*AND(Q352="")),"",(Q351-Q352)*2)</f>
        <v/>
      </c>
      <c r="R353" s="192"/>
      <c r="S353" s="192"/>
      <c r="T353" s="193"/>
      <c r="U353" s="193"/>
      <c r="W353" s="178"/>
      <c r="X353" s="100"/>
    </row>
    <row r="354" spans="1:32">
      <c r="A354" s="149">
        <v>43217</v>
      </c>
      <c r="B354" s="81" t="s">
        <v>117</v>
      </c>
      <c r="C354" s="81" t="s">
        <v>118</v>
      </c>
      <c r="D354" s="204" t="s">
        <v>114</v>
      </c>
      <c r="E354" s="59">
        <v>2599.12</v>
      </c>
      <c r="F354" s="59">
        <v>2540.35</v>
      </c>
      <c r="G354" s="59">
        <v>2514.54</v>
      </c>
      <c r="H354" s="59">
        <v>2512.0100000000002</v>
      </c>
      <c r="I354" s="59">
        <v>2531.13</v>
      </c>
      <c r="J354" s="59">
        <v>2577.89</v>
      </c>
      <c r="K354" s="59">
        <v>2637.71</v>
      </c>
      <c r="L354" s="59">
        <v>2578.48</v>
      </c>
      <c r="M354" s="59">
        <v>2542.29</v>
      </c>
      <c r="N354" s="59">
        <v>2519.81</v>
      </c>
      <c r="O354" s="59">
        <v>2520.6999999999998</v>
      </c>
      <c r="P354" s="59">
        <v>2550.73</v>
      </c>
      <c r="Q354" s="59">
        <v>2588.5100000000002</v>
      </c>
      <c r="R354" s="194">
        <f>IF((Q355=""),"",MAX(E356:Q356))</f>
        <v>326.90000000000009</v>
      </c>
      <c r="S354" s="194">
        <f>IF(Q355="","",MIN(E356:Q356))</f>
        <v>289.84999999999991</v>
      </c>
      <c r="T354" s="195">
        <f>IF((Q356=""),"",AVERAGE(E356:Q356))</f>
        <v>312.73307692307696</v>
      </c>
      <c r="U354" s="195">
        <f>IF((Q355=""),"",(R354-S354)/(R354+S354)*100)</f>
        <v>6.0072963113093119</v>
      </c>
      <c r="V354" s="66">
        <f t="shared" si="124"/>
        <v>12.503620398785417</v>
      </c>
      <c r="W354" s="83" t="str">
        <f>IF(Q355="","",IF(T354&gt;242,IF(T354&lt;320,"Pass","Fail"),"Fail"))</f>
        <v>Pass</v>
      </c>
      <c r="X354" s="101">
        <v>74</v>
      </c>
      <c r="Z354" s="59" t="s">
        <v>152</v>
      </c>
      <c r="AA354" s="67">
        <v>240</v>
      </c>
      <c r="AB354" s="67">
        <v>320</v>
      </c>
      <c r="AC354" s="67">
        <v>190</v>
      </c>
      <c r="AD354" s="67">
        <v>360</v>
      </c>
      <c r="AE354" s="67">
        <v>20</v>
      </c>
      <c r="AF354" s="67">
        <v>11</v>
      </c>
    </row>
    <row r="355" spans="1:32">
      <c r="A355" s="149"/>
      <c r="B355" s="82"/>
      <c r="C355" s="82"/>
      <c r="D355" s="204" t="s">
        <v>115</v>
      </c>
      <c r="E355" s="59">
        <v>2299.9</v>
      </c>
      <c r="F355" s="59">
        <v>2216.31</v>
      </c>
      <c r="G355" s="59">
        <v>2224.69</v>
      </c>
      <c r="H355" s="59">
        <v>2220.13</v>
      </c>
      <c r="I355" s="59">
        <v>2209.63</v>
      </c>
      <c r="J355" s="59">
        <v>2267.9499999999998</v>
      </c>
      <c r="K355" s="59">
        <v>2319.44</v>
      </c>
      <c r="L355" s="59">
        <v>2257.4499999999998</v>
      </c>
      <c r="M355" s="59">
        <v>2219.87</v>
      </c>
      <c r="N355" s="59">
        <v>2213.1999999999998</v>
      </c>
      <c r="O355" s="59">
        <v>2209.04</v>
      </c>
      <c r="P355" s="59">
        <v>2228.52</v>
      </c>
      <c r="Q355" s="59">
        <v>2261.61</v>
      </c>
      <c r="R355" s="190"/>
      <c r="S355" s="190"/>
      <c r="T355" s="191"/>
      <c r="U355" s="191"/>
      <c r="W355" s="177"/>
      <c r="X355" s="99"/>
    </row>
    <row r="356" spans="1:32" ht="48">
      <c r="A356" s="149"/>
      <c r="B356" s="207"/>
      <c r="C356" s="207"/>
      <c r="D356" s="204" t="s">
        <v>116</v>
      </c>
      <c r="E356" s="51">
        <f t="shared" ref="E356:Q356" si="135">IF(((E354="")*AND(E355="")),"",(E354-E355))</f>
        <v>299.2199999999998</v>
      </c>
      <c r="F356" s="51">
        <f t="shared" si="135"/>
        <v>324.03999999999996</v>
      </c>
      <c r="G356" s="51">
        <f t="shared" si="135"/>
        <v>289.84999999999991</v>
      </c>
      <c r="H356" s="51">
        <f t="shared" si="135"/>
        <v>291.88000000000011</v>
      </c>
      <c r="I356" s="51">
        <f>IF(((I354="")*AND(I355="")),"",(I354-I355))</f>
        <v>321.5</v>
      </c>
      <c r="J356" s="51">
        <f t="shared" si="135"/>
        <v>309.94000000000005</v>
      </c>
      <c r="K356" s="51">
        <f t="shared" si="135"/>
        <v>318.27</v>
      </c>
      <c r="L356" s="51">
        <f t="shared" si="135"/>
        <v>321.0300000000002</v>
      </c>
      <c r="M356" s="51">
        <f t="shared" si="135"/>
        <v>322.42000000000007</v>
      </c>
      <c r="N356" s="85">
        <f t="shared" si="135"/>
        <v>306.61000000000013</v>
      </c>
      <c r="O356" s="85">
        <f t="shared" si="135"/>
        <v>311.65999999999985</v>
      </c>
      <c r="P356" s="85">
        <f t="shared" si="135"/>
        <v>322.21000000000004</v>
      </c>
      <c r="Q356" s="85">
        <f t="shared" si="135"/>
        <v>326.90000000000009</v>
      </c>
      <c r="R356" s="192"/>
      <c r="S356" s="192"/>
      <c r="T356" s="193"/>
      <c r="U356" s="193"/>
      <c r="W356" s="178"/>
      <c r="X356" s="100"/>
    </row>
    <row r="357" spans="1:32">
      <c r="A357" s="149">
        <v>43217</v>
      </c>
      <c r="B357" s="81" t="s">
        <v>119</v>
      </c>
      <c r="C357" s="81" t="s">
        <v>120</v>
      </c>
      <c r="D357" s="204" t="s">
        <v>114</v>
      </c>
      <c r="E357" s="59">
        <v>4747.34</v>
      </c>
      <c r="F357" s="59">
        <v>4848.3100000000004</v>
      </c>
      <c r="G357" s="59">
        <v>4989.32</v>
      </c>
      <c r="H357" s="59">
        <v>4939.6000000000004</v>
      </c>
      <c r="I357" s="59">
        <v>4960.1899999999996</v>
      </c>
      <c r="J357" s="59">
        <v>4931.4799999999996</v>
      </c>
      <c r="K357" s="59">
        <v>4911.5600000000004</v>
      </c>
      <c r="L357" s="59">
        <v>4945.55</v>
      </c>
      <c r="M357" s="59">
        <v>4880.6899999999996</v>
      </c>
      <c r="N357" s="210"/>
      <c r="O357" s="210"/>
      <c r="P357" s="210"/>
      <c r="Q357" s="210"/>
      <c r="R357" s="196">
        <f>IF((M358=""),"",MAX(E359:M359))</f>
        <v>4214.6400000000003</v>
      </c>
      <c r="S357" s="194">
        <f>IF(M358="","",MIN(E359:M359))</f>
        <v>3767.8399999999992</v>
      </c>
      <c r="T357" s="195">
        <f>IF((M359=""),"",AVERAGE(E359:M359))</f>
        <v>3959.6533333333332</v>
      </c>
      <c r="U357" s="195">
        <f>IF((M358=""),"",(R357-S357)/(R357+S357)*100)</f>
        <v>5.5972579950090839</v>
      </c>
      <c r="V357" s="66">
        <f t="shared" si="126"/>
        <v>176.1656308705096</v>
      </c>
      <c r="W357" s="83" t="str">
        <f>IF(M358="","",IF(T357&gt;3650,IF(T357&lt;4450,"Pass","Fail"),"Fail"))</f>
        <v>Pass</v>
      </c>
      <c r="X357" s="101">
        <v>74</v>
      </c>
      <c r="AA357" s="86">
        <v>3650</v>
      </c>
      <c r="AB357" s="86">
        <v>4450</v>
      </c>
      <c r="AC357" s="86">
        <v>3700</v>
      </c>
      <c r="AD357" s="86">
        <v>4250</v>
      </c>
      <c r="AE357" s="86">
        <v>7.2</v>
      </c>
      <c r="AF357" s="86">
        <v>3</v>
      </c>
    </row>
    <row r="358" spans="1:32">
      <c r="A358" s="149"/>
      <c r="B358" s="82"/>
      <c r="C358" s="82"/>
      <c r="D358" s="204" t="s">
        <v>115</v>
      </c>
      <c r="E358" s="59">
        <v>2640.02</v>
      </c>
      <c r="F358" s="59">
        <v>2925.83</v>
      </c>
      <c r="G358" s="59">
        <v>3105.4</v>
      </c>
      <c r="H358" s="59">
        <v>3015.69</v>
      </c>
      <c r="I358" s="59">
        <v>2861.84</v>
      </c>
      <c r="J358" s="59">
        <v>2953.05</v>
      </c>
      <c r="K358" s="59">
        <v>2988.17</v>
      </c>
      <c r="L358" s="59">
        <v>3035.06</v>
      </c>
      <c r="M358" s="59">
        <v>2810.54</v>
      </c>
      <c r="N358" s="205"/>
      <c r="O358" s="205"/>
      <c r="P358" s="205"/>
      <c r="Q358" s="205"/>
      <c r="R358" s="190"/>
      <c r="S358" s="190"/>
      <c r="T358" s="191"/>
      <c r="U358" s="191"/>
      <c r="W358" s="177"/>
      <c r="X358" s="99"/>
    </row>
    <row r="359" spans="1:32" ht="48">
      <c r="A359" s="149"/>
      <c r="B359" s="207"/>
      <c r="C359" s="207"/>
      <c r="D359" s="204" t="s">
        <v>116</v>
      </c>
      <c r="E359" s="51">
        <f t="shared" ref="E359:M359" si="136">IF(((E357="")*AND(E358="")),"",(E357-E358)*2)</f>
        <v>4214.6400000000003</v>
      </c>
      <c r="F359" s="51">
        <f t="shared" si="136"/>
        <v>3844.9600000000009</v>
      </c>
      <c r="G359" s="51">
        <f t="shared" si="136"/>
        <v>3767.8399999999992</v>
      </c>
      <c r="H359" s="51">
        <f t="shared" si="136"/>
        <v>3847.8200000000006</v>
      </c>
      <c r="I359" s="51">
        <f t="shared" si="136"/>
        <v>4196.6999999999989</v>
      </c>
      <c r="J359" s="51">
        <f t="shared" si="136"/>
        <v>3956.8599999999988</v>
      </c>
      <c r="K359" s="51">
        <f t="shared" si="136"/>
        <v>3846.7800000000007</v>
      </c>
      <c r="L359" s="51">
        <f t="shared" si="136"/>
        <v>3820.9800000000005</v>
      </c>
      <c r="M359" s="51">
        <f t="shared" si="136"/>
        <v>4140.2999999999993</v>
      </c>
      <c r="N359" s="51"/>
      <c r="O359" s="51"/>
      <c r="P359" s="51"/>
      <c r="Q359" s="51"/>
      <c r="R359" s="192"/>
      <c r="S359" s="192"/>
      <c r="T359" s="193"/>
      <c r="U359" s="193"/>
      <c r="W359" s="178"/>
      <c r="X359" s="100"/>
    </row>
    <row r="360" spans="1:32">
      <c r="A360" s="149">
        <v>43217</v>
      </c>
      <c r="B360" s="81" t="s">
        <v>121</v>
      </c>
      <c r="C360" s="81" t="s">
        <v>121</v>
      </c>
      <c r="D360" s="204" t="s">
        <v>114</v>
      </c>
      <c r="E360" s="59">
        <v>1349.43</v>
      </c>
      <c r="F360" s="59">
        <v>1342.98</v>
      </c>
      <c r="G360" s="59">
        <v>1358.81</v>
      </c>
      <c r="H360" s="59">
        <v>1331.46</v>
      </c>
      <c r="I360" s="59">
        <v>1327.79</v>
      </c>
      <c r="J360" s="59">
        <v>1340.68</v>
      </c>
      <c r="K360" s="59">
        <v>1338.08</v>
      </c>
      <c r="L360" s="59">
        <v>1334.98</v>
      </c>
      <c r="M360" s="59">
        <v>1325.41</v>
      </c>
      <c r="N360" s="205"/>
      <c r="O360" s="205"/>
      <c r="P360" s="205"/>
      <c r="Q360" s="205"/>
      <c r="R360" s="194">
        <f>IF((M361=""),"",MAX(E362:M362))</f>
        <v>2596.52</v>
      </c>
      <c r="S360" s="194">
        <f>IF((M361=""),"",MIN(E362:M362))</f>
        <v>2425.4799999999996</v>
      </c>
      <c r="T360" s="195">
        <f>IF((M362=""),"",AVERAGE(E362:M362))</f>
        <v>2530.8933333333334</v>
      </c>
      <c r="U360" s="195">
        <f>IF((M361=""),"",(R360-S360)/(R360+S360)*100)</f>
        <v>3.4058144165671127</v>
      </c>
      <c r="V360" s="66">
        <f t="shared" si="128"/>
        <v>53.279136629636952</v>
      </c>
      <c r="W360" s="174" t="str">
        <f>IF(M361="","",IF(U360&lt;5.5,IF(T360&gt;2200,IF(T360&lt;2900,"Pass","Fail"),"Fail"),"Fail"))</f>
        <v>Pass</v>
      </c>
      <c r="X360" s="92">
        <v>74</v>
      </c>
      <c r="AA360" s="67">
        <v>2000</v>
      </c>
      <c r="AB360" s="67">
        <v>3000</v>
      </c>
      <c r="AC360" s="67">
        <v>2200</v>
      </c>
      <c r="AD360" s="67">
        <v>2900</v>
      </c>
      <c r="AE360" s="67">
        <v>7</v>
      </c>
      <c r="AF360" s="67">
        <v>5.5</v>
      </c>
    </row>
    <row r="361" spans="1:32">
      <c r="A361" s="149"/>
      <c r="B361" s="82"/>
      <c r="C361" s="82"/>
      <c r="D361" s="204" t="s">
        <v>115</v>
      </c>
      <c r="E361" s="59">
        <v>719.32</v>
      </c>
      <c r="F361" s="59">
        <v>717.63</v>
      </c>
      <c r="G361" s="59">
        <v>752.44</v>
      </c>
      <c r="H361" s="59">
        <v>697.24</v>
      </c>
      <c r="I361" s="59">
        <v>678.66</v>
      </c>
      <c r="J361" s="59">
        <v>697.12</v>
      </c>
      <c r="K361" s="59">
        <v>712.22</v>
      </c>
      <c r="L361" s="59">
        <v>702.87</v>
      </c>
      <c r="M361" s="59">
        <v>677.61</v>
      </c>
      <c r="N361" s="205"/>
      <c r="O361" s="205"/>
      <c r="P361" s="205"/>
      <c r="Q361" s="205"/>
      <c r="R361" s="190"/>
      <c r="S361" s="190"/>
      <c r="T361" s="191"/>
      <c r="U361" s="191"/>
      <c r="W361" s="179"/>
      <c r="X361" s="92"/>
    </row>
    <row r="362" spans="1:32" ht="48.75" thickBot="1">
      <c r="A362" s="149"/>
      <c r="B362" s="211"/>
      <c r="C362" s="211"/>
      <c r="D362" s="212" t="s">
        <v>116</v>
      </c>
      <c r="E362" s="87">
        <f t="shared" ref="E362:M362" si="137">IF(((E360="")*AND(E361="")),"",(E360-E361)*4)</f>
        <v>2520.44</v>
      </c>
      <c r="F362" s="87">
        <f t="shared" si="137"/>
        <v>2501.4</v>
      </c>
      <c r="G362" s="87">
        <f t="shared" si="137"/>
        <v>2425.4799999999996</v>
      </c>
      <c r="H362" s="87">
        <f t="shared" si="137"/>
        <v>2536.88</v>
      </c>
      <c r="I362" s="87">
        <f t="shared" si="137"/>
        <v>2596.52</v>
      </c>
      <c r="J362" s="87">
        <f t="shared" si="137"/>
        <v>2574.2400000000002</v>
      </c>
      <c r="K362" s="87">
        <f t="shared" si="137"/>
        <v>2503.4399999999996</v>
      </c>
      <c r="L362" s="87">
        <f t="shared" si="137"/>
        <v>2528.44</v>
      </c>
      <c r="M362" s="87">
        <f t="shared" si="137"/>
        <v>2591.2000000000003</v>
      </c>
      <c r="N362" s="87"/>
      <c r="O362" s="87"/>
      <c r="P362" s="87"/>
      <c r="Q362" s="87" t="str">
        <f>IF(((Q360="")*AND(Q361="")),"",(Q360-Q361)*4)</f>
        <v/>
      </c>
      <c r="R362" s="197"/>
      <c r="S362" s="197"/>
      <c r="T362" s="198"/>
      <c r="U362" s="198"/>
      <c r="W362" s="180"/>
      <c r="X362" s="93"/>
    </row>
    <row r="363" spans="1:32">
      <c r="A363" s="149">
        <v>43221</v>
      </c>
      <c r="B363" s="200" t="s">
        <v>112</v>
      </c>
      <c r="C363" s="200" t="s">
        <v>113</v>
      </c>
      <c r="D363" s="201" t="s">
        <v>114</v>
      </c>
      <c r="E363" s="59">
        <v>7997.15</v>
      </c>
      <c r="F363" s="59">
        <v>7930.34</v>
      </c>
      <c r="G363" s="59">
        <v>8005.33</v>
      </c>
      <c r="H363" s="59">
        <v>8192.86</v>
      </c>
      <c r="I363" s="59">
        <v>8191.76</v>
      </c>
      <c r="J363" s="59">
        <v>8125.38</v>
      </c>
      <c r="K363" s="59">
        <v>8082.5</v>
      </c>
      <c r="L363" s="59">
        <v>8179.62</v>
      </c>
      <c r="M363" s="59">
        <v>8023.78</v>
      </c>
      <c r="N363" s="202"/>
      <c r="O363" s="202"/>
      <c r="P363" s="202"/>
      <c r="Q363" s="202"/>
      <c r="R363" s="188">
        <f>IF((M364=""),"",MAX(E365:M365))</f>
        <v>6266.7999999999993</v>
      </c>
      <c r="S363" s="188">
        <f>IF((M364=""),"",MIN(E365:M365))</f>
        <v>5633.5800000000017</v>
      </c>
      <c r="T363" s="189">
        <f>IF((M365=""),"",AVERAGE(E365:M365))</f>
        <v>5964.0733333333337</v>
      </c>
      <c r="U363" s="189">
        <f>IF((M364=""),"",(R363-S363)/(R363+S363)*100)</f>
        <v>5.3210065560931454</v>
      </c>
      <c r="V363" s="66">
        <f t="shared" si="128"/>
        <v>208.75674216656074</v>
      </c>
      <c r="W363" s="170" t="str">
        <f>IF(M364="","",IF(U363&lt;6.3,IF(T363&gt;5550,IF(T363&lt;6900,"Pass","Fail"),"Fail"),"Fail"))</f>
        <v>Pass</v>
      </c>
      <c r="X363" s="98">
        <v>121</v>
      </c>
      <c r="AA363" s="67">
        <v>5860</v>
      </c>
      <c r="AB363" s="67">
        <v>6770</v>
      </c>
      <c r="AC363" s="67">
        <v>5550</v>
      </c>
      <c r="AD363" s="67">
        <v>6900</v>
      </c>
      <c r="AE363" s="67">
        <v>20</v>
      </c>
      <c r="AF363" s="67">
        <v>6.3</v>
      </c>
    </row>
    <row r="364" spans="1:32">
      <c r="A364" s="149"/>
      <c r="B364" s="82"/>
      <c r="C364" s="82"/>
      <c r="D364" s="204" t="s">
        <v>115</v>
      </c>
      <c r="E364" s="59">
        <v>4969.08</v>
      </c>
      <c r="F364" s="59">
        <v>4843.88</v>
      </c>
      <c r="G364" s="59">
        <v>4973.13</v>
      </c>
      <c r="H364" s="59">
        <v>5376.07</v>
      </c>
      <c r="I364" s="59">
        <v>5327.98</v>
      </c>
      <c r="J364" s="59">
        <v>5205.1899999999996</v>
      </c>
      <c r="K364" s="59">
        <v>5061.53</v>
      </c>
      <c r="L364" s="59">
        <v>5243.15</v>
      </c>
      <c r="M364" s="59">
        <v>4890.38</v>
      </c>
      <c r="N364" s="205"/>
      <c r="O364" s="205"/>
      <c r="P364" s="205"/>
      <c r="Q364" s="205"/>
      <c r="R364" s="190"/>
      <c r="S364" s="190"/>
      <c r="T364" s="191"/>
      <c r="U364" s="191"/>
      <c r="W364" s="177"/>
      <c r="X364" s="99"/>
    </row>
    <row r="365" spans="1:32" ht="48">
      <c r="A365" s="149"/>
      <c r="B365" s="207"/>
      <c r="C365" s="207"/>
      <c r="D365" s="204" t="s">
        <v>116</v>
      </c>
      <c r="E365" s="51">
        <f t="shared" ref="E365:M365" si="138">IF(((E363="")*AND(E364="")),"",(E363-E364)*2)</f>
        <v>6056.1399999999994</v>
      </c>
      <c r="F365" s="51">
        <f t="shared" si="138"/>
        <v>6172.92</v>
      </c>
      <c r="G365" s="51">
        <f t="shared" si="138"/>
        <v>6064.4</v>
      </c>
      <c r="H365" s="51">
        <f t="shared" si="138"/>
        <v>5633.5800000000017</v>
      </c>
      <c r="I365" s="51">
        <f t="shared" si="138"/>
        <v>5727.5600000000013</v>
      </c>
      <c r="J365" s="51">
        <f t="shared" si="138"/>
        <v>5840.380000000001</v>
      </c>
      <c r="K365" s="51">
        <f t="shared" si="138"/>
        <v>6041.9400000000005</v>
      </c>
      <c r="L365" s="51">
        <f t="shared" si="138"/>
        <v>5872.9400000000005</v>
      </c>
      <c r="M365" s="51">
        <f t="shared" si="138"/>
        <v>6266.7999999999993</v>
      </c>
      <c r="N365" s="51"/>
      <c r="O365" s="51"/>
      <c r="P365" s="51"/>
      <c r="Q365" s="51" t="str">
        <f>IF(((Q363="")*AND(Q364="")),"",(Q363-Q364)*2)</f>
        <v/>
      </c>
      <c r="R365" s="192"/>
      <c r="S365" s="192"/>
      <c r="T365" s="193"/>
      <c r="U365" s="193"/>
      <c r="W365" s="178"/>
      <c r="X365" s="100"/>
    </row>
    <row r="366" spans="1:32">
      <c r="A366" s="149">
        <v>43221</v>
      </c>
      <c r="B366" s="81" t="s">
        <v>117</v>
      </c>
      <c r="C366" s="81" t="s">
        <v>118</v>
      </c>
      <c r="D366" s="204" t="s">
        <v>114</v>
      </c>
      <c r="E366" s="59">
        <v>2299.9</v>
      </c>
      <c r="F366" s="59">
        <v>2216.31</v>
      </c>
      <c r="G366" s="59">
        <v>2224.69</v>
      </c>
      <c r="H366" s="59">
        <v>2220.13</v>
      </c>
      <c r="I366" s="59">
        <v>2209.63</v>
      </c>
      <c r="J366" s="59">
        <v>2267.9499999999998</v>
      </c>
      <c r="K366" s="59">
        <v>2319.44</v>
      </c>
      <c r="L366" s="59">
        <v>2257.4499999999998</v>
      </c>
      <c r="M366" s="59">
        <v>2219.87</v>
      </c>
      <c r="N366" s="59">
        <v>2213.1999999999998</v>
      </c>
      <c r="O366" s="59">
        <v>2209.04</v>
      </c>
      <c r="P366" s="59">
        <v>2228.52</v>
      </c>
      <c r="Q366" s="59">
        <v>2261.61</v>
      </c>
      <c r="R366" s="194">
        <f>IF((Q367=""),"",MAX(E368:Q368))</f>
        <v>286.24</v>
      </c>
      <c r="S366" s="194">
        <f>IF(Q367="","",MIN(E368:Q368))</f>
        <v>233.26</v>
      </c>
      <c r="T366" s="195">
        <f>IF((Q368=""),"",AVERAGE(E368:Q368))</f>
        <v>254.9592307692308</v>
      </c>
      <c r="U366" s="195">
        <f>IF((Q367=""),"",(R366-S366)/(R366+S366)*100)</f>
        <v>10.198267564966319</v>
      </c>
      <c r="V366" s="66">
        <f t="shared" si="124"/>
        <v>15.829005791866587</v>
      </c>
      <c r="W366" s="83" t="str">
        <f>IF(Q367="","",IF(T366&gt;242,IF(T366&lt;320,"Pass","Fail"),"Fail"))</f>
        <v>Pass</v>
      </c>
      <c r="X366" s="101">
        <v>121</v>
      </c>
      <c r="AA366" s="67">
        <v>240</v>
      </c>
      <c r="AB366" s="67">
        <v>320</v>
      </c>
      <c r="AC366" s="67">
        <v>190</v>
      </c>
      <c r="AD366" s="67">
        <v>360</v>
      </c>
      <c r="AE366" s="67">
        <v>20</v>
      </c>
      <c r="AF366" s="67">
        <v>11</v>
      </c>
    </row>
    <row r="367" spans="1:32">
      <c r="A367" s="149"/>
      <c r="B367" s="82"/>
      <c r="C367" s="82"/>
      <c r="D367" s="204" t="s">
        <v>115</v>
      </c>
      <c r="E367" s="59">
        <v>2032.09</v>
      </c>
      <c r="F367" s="59">
        <v>1983.05</v>
      </c>
      <c r="G367" s="59">
        <v>1959.27</v>
      </c>
      <c r="H367" s="59">
        <v>1955.55</v>
      </c>
      <c r="I367" s="59">
        <v>1971.38</v>
      </c>
      <c r="J367" s="59">
        <v>2005.92</v>
      </c>
      <c r="K367" s="59">
        <v>2033.2</v>
      </c>
      <c r="L367" s="59">
        <v>1997.27</v>
      </c>
      <c r="M367" s="59">
        <v>1981.17</v>
      </c>
      <c r="N367" s="59">
        <v>1963.15</v>
      </c>
      <c r="O367" s="59">
        <v>1965.99</v>
      </c>
      <c r="P367" s="59">
        <v>1990.05</v>
      </c>
      <c r="Q367" s="59">
        <v>1995.18</v>
      </c>
      <c r="R367" s="190"/>
      <c r="S367" s="190"/>
      <c r="T367" s="191"/>
      <c r="U367" s="191"/>
      <c r="W367" s="177"/>
      <c r="X367" s="99"/>
    </row>
    <row r="368" spans="1:32" ht="48">
      <c r="A368" s="149"/>
      <c r="B368" s="207"/>
      <c r="C368" s="207"/>
      <c r="D368" s="204" t="s">
        <v>116</v>
      </c>
      <c r="E368" s="51">
        <f t="shared" ref="E368:Q368" si="139">IF(((E366="")*AND(E367="")),"",(E366-E367))</f>
        <v>267.81000000000017</v>
      </c>
      <c r="F368" s="51">
        <f t="shared" si="139"/>
        <v>233.26</v>
      </c>
      <c r="G368" s="51">
        <f t="shared" si="139"/>
        <v>265.42000000000007</v>
      </c>
      <c r="H368" s="51">
        <f t="shared" si="139"/>
        <v>264.58000000000015</v>
      </c>
      <c r="I368" s="51">
        <f t="shared" si="139"/>
        <v>238.25</v>
      </c>
      <c r="J368" s="51">
        <f t="shared" si="139"/>
        <v>262.02999999999975</v>
      </c>
      <c r="K368" s="51">
        <f t="shared" si="139"/>
        <v>286.24</v>
      </c>
      <c r="L368" s="51">
        <f t="shared" si="139"/>
        <v>260.17999999999984</v>
      </c>
      <c r="M368" s="51">
        <f t="shared" si="139"/>
        <v>238.69999999999982</v>
      </c>
      <c r="N368" s="85">
        <f t="shared" si="139"/>
        <v>250.04999999999973</v>
      </c>
      <c r="O368" s="85">
        <f t="shared" si="139"/>
        <v>243.04999999999995</v>
      </c>
      <c r="P368" s="85">
        <f t="shared" si="139"/>
        <v>238.47000000000003</v>
      </c>
      <c r="Q368" s="85">
        <f t="shared" si="139"/>
        <v>266.43000000000006</v>
      </c>
      <c r="R368" s="192"/>
      <c r="S368" s="192"/>
      <c r="T368" s="193"/>
      <c r="U368" s="193"/>
      <c r="W368" s="178"/>
      <c r="X368" s="100"/>
    </row>
    <row r="369" spans="1:32">
      <c r="A369" s="149">
        <v>43221</v>
      </c>
      <c r="B369" s="81" t="s">
        <v>119</v>
      </c>
      <c r="C369" s="81" t="s">
        <v>120</v>
      </c>
      <c r="D369" s="204" t="s">
        <v>114</v>
      </c>
      <c r="E369" s="59">
        <v>6860.82</v>
      </c>
      <c r="F369" s="59">
        <v>6866.83</v>
      </c>
      <c r="G369" s="59">
        <v>6939.37</v>
      </c>
      <c r="H369" s="59">
        <v>6915.71</v>
      </c>
      <c r="I369" s="59">
        <v>6999.97</v>
      </c>
      <c r="J369" s="59">
        <v>6926.83</v>
      </c>
      <c r="K369" s="59">
        <v>6915.72</v>
      </c>
      <c r="L369" s="59">
        <v>6914.37</v>
      </c>
      <c r="M369" s="59">
        <v>6985.84</v>
      </c>
      <c r="N369" s="210"/>
      <c r="O369" s="210"/>
      <c r="P369" s="210"/>
      <c r="Q369" s="210"/>
      <c r="R369" s="196">
        <f>IF((M370=""),"",MAX(E371:M371))</f>
        <v>4243.2800000000007</v>
      </c>
      <c r="S369" s="194">
        <f>IF(M370="","",MIN(E371:M371))</f>
        <v>3960.66</v>
      </c>
      <c r="T369" s="195">
        <f>IF((M371=""),"",AVERAGE(E371:M371))</f>
        <v>4078.1666666666665</v>
      </c>
      <c r="U369" s="195">
        <f>IF((M370=""),"",(R369-S369)/(R369+S369)*100)</f>
        <v>3.4449301189428594</v>
      </c>
      <c r="V369" s="66">
        <f t="shared" si="126"/>
        <v>121.64680924709147</v>
      </c>
      <c r="W369" s="83" t="str">
        <f>IF(M370="","",IF(T369&gt;3650,IF(T369&lt;4450,"Pass","Fail"),"Fail"))</f>
        <v>Pass</v>
      </c>
      <c r="X369" s="101">
        <v>121</v>
      </c>
      <c r="AA369" s="86">
        <v>3650</v>
      </c>
      <c r="AB369" s="86">
        <v>4450</v>
      </c>
      <c r="AC369" s="86">
        <v>3700</v>
      </c>
      <c r="AD369" s="86">
        <v>4250</v>
      </c>
      <c r="AE369" s="86">
        <v>7.2</v>
      </c>
      <c r="AF369" s="86">
        <v>3</v>
      </c>
    </row>
    <row r="370" spans="1:32">
      <c r="A370" s="149"/>
      <c r="B370" s="82"/>
      <c r="C370" s="82"/>
      <c r="D370" s="204" t="s">
        <v>115</v>
      </c>
      <c r="E370" s="59">
        <v>4754.3900000000003</v>
      </c>
      <c r="F370" s="59">
        <v>4882.88</v>
      </c>
      <c r="G370" s="59">
        <v>4959.04</v>
      </c>
      <c r="H370" s="59">
        <v>4919.0200000000004</v>
      </c>
      <c r="I370" s="59">
        <v>4878.33</v>
      </c>
      <c r="J370" s="59">
        <v>4865.3500000000004</v>
      </c>
      <c r="K370" s="59">
        <v>4919.8</v>
      </c>
      <c r="L370" s="59">
        <v>4921.8100000000004</v>
      </c>
      <c r="M370" s="59">
        <v>4873.09</v>
      </c>
      <c r="N370" s="205"/>
      <c r="O370" s="205"/>
      <c r="P370" s="205"/>
      <c r="Q370" s="205"/>
      <c r="R370" s="190"/>
      <c r="S370" s="190"/>
      <c r="T370" s="191"/>
      <c r="U370" s="191"/>
      <c r="W370" s="177"/>
      <c r="X370" s="99"/>
    </row>
    <row r="371" spans="1:32" ht="48">
      <c r="A371" s="149"/>
      <c r="B371" s="207"/>
      <c r="C371" s="207"/>
      <c r="D371" s="204" t="s">
        <v>116</v>
      </c>
      <c r="E371" s="51">
        <f t="shared" ref="E371:M371" si="140">IF(((E369="")*AND(E370="")),"",(E369-E370)*2)</f>
        <v>4212.8599999999988</v>
      </c>
      <c r="F371" s="51">
        <f t="shared" si="140"/>
        <v>3967.8999999999996</v>
      </c>
      <c r="G371" s="51">
        <f t="shared" si="140"/>
        <v>3960.66</v>
      </c>
      <c r="H371" s="51">
        <f t="shared" si="140"/>
        <v>3993.3799999999992</v>
      </c>
      <c r="I371" s="51">
        <f t="shared" si="140"/>
        <v>4243.2800000000007</v>
      </c>
      <c r="J371" s="51">
        <f t="shared" si="140"/>
        <v>4122.9599999999991</v>
      </c>
      <c r="K371" s="51">
        <f t="shared" si="140"/>
        <v>3991.84</v>
      </c>
      <c r="L371" s="51">
        <f t="shared" si="140"/>
        <v>3985.119999999999</v>
      </c>
      <c r="M371" s="51">
        <f t="shared" si="140"/>
        <v>4225.5</v>
      </c>
      <c r="N371" s="51"/>
      <c r="O371" s="51"/>
      <c r="P371" s="51"/>
      <c r="Q371" s="51"/>
      <c r="R371" s="192"/>
      <c r="S371" s="192"/>
      <c r="T371" s="193"/>
      <c r="U371" s="193"/>
      <c r="W371" s="178"/>
      <c r="X371" s="100"/>
    </row>
    <row r="372" spans="1:32">
      <c r="A372" s="149">
        <v>43221</v>
      </c>
      <c r="B372" s="81" t="s">
        <v>121</v>
      </c>
      <c r="C372" s="81" t="s">
        <v>121</v>
      </c>
      <c r="D372" s="204" t="s">
        <v>114</v>
      </c>
      <c r="E372" s="59">
        <v>1929.08</v>
      </c>
      <c r="F372" s="59">
        <v>1931.01</v>
      </c>
      <c r="G372" s="59">
        <v>1922.05</v>
      </c>
      <c r="H372" s="59">
        <v>1930.35</v>
      </c>
      <c r="I372" s="59">
        <v>1937.7</v>
      </c>
      <c r="J372" s="59">
        <v>1933.86</v>
      </c>
      <c r="K372" s="59">
        <v>1925.55</v>
      </c>
      <c r="L372" s="59">
        <v>1929.39</v>
      </c>
      <c r="M372" s="59">
        <v>1932.78</v>
      </c>
      <c r="N372" s="205"/>
      <c r="O372" s="205"/>
      <c r="P372" s="205"/>
      <c r="Q372" s="205"/>
      <c r="R372" s="194">
        <f>IF((M373=""),"",MAX(E374:M374))</f>
        <v>2524.3200000000006</v>
      </c>
      <c r="S372" s="194">
        <f>IF((M373=""),"",MIN(E374:M374))</f>
        <v>2410.7999999999993</v>
      </c>
      <c r="T372" s="195">
        <f>IF((M374=""),"",AVERAGE(E374:M374))</f>
        <v>2475.008888888889</v>
      </c>
      <c r="U372" s="195">
        <f>IF((M373=""),"",(R372-S372)/(R372+S372)*100)</f>
        <v>2.3002480182852971</v>
      </c>
      <c r="V372" s="66">
        <f t="shared" si="128"/>
        <v>40.715475081459942</v>
      </c>
      <c r="W372" s="174" t="str">
        <f>IF(M373="","",IF(U372&lt;5.5,IF(T372&gt;2200,IF(T372&lt;2900,"Pass","Fail"),"Fail"),"Fail"))</f>
        <v>Pass</v>
      </c>
      <c r="X372" s="92">
        <v>121</v>
      </c>
      <c r="AA372" s="67">
        <v>2000</v>
      </c>
      <c r="AB372" s="67">
        <v>3000</v>
      </c>
      <c r="AC372" s="67">
        <v>2200</v>
      </c>
      <c r="AD372" s="67">
        <v>2900</v>
      </c>
      <c r="AE372" s="67">
        <v>7</v>
      </c>
      <c r="AF372" s="67">
        <v>5.5</v>
      </c>
    </row>
    <row r="373" spans="1:32">
      <c r="A373" s="149"/>
      <c r="B373" s="82"/>
      <c r="C373" s="82"/>
      <c r="D373" s="204" t="s">
        <v>115</v>
      </c>
      <c r="E373" s="59">
        <v>1326.38</v>
      </c>
      <c r="F373" s="59">
        <v>1302.45</v>
      </c>
      <c r="G373" s="59">
        <v>1308.94</v>
      </c>
      <c r="H373" s="59">
        <v>1301.57</v>
      </c>
      <c r="I373" s="59">
        <v>1323.98</v>
      </c>
      <c r="J373" s="59">
        <v>1326.94</v>
      </c>
      <c r="K373" s="59">
        <v>1302.04</v>
      </c>
      <c r="L373" s="59">
        <v>1298.31</v>
      </c>
      <c r="M373" s="59">
        <v>1312.39</v>
      </c>
      <c r="N373" s="205"/>
      <c r="O373" s="205"/>
      <c r="P373" s="205"/>
      <c r="Q373" s="205"/>
      <c r="R373" s="190"/>
      <c r="S373" s="190"/>
      <c r="T373" s="191"/>
      <c r="U373" s="191"/>
      <c r="W373" s="179"/>
      <c r="X373" s="92"/>
    </row>
    <row r="374" spans="1:32" ht="48.75" thickBot="1">
      <c r="A374" s="149"/>
      <c r="B374" s="211"/>
      <c r="C374" s="211"/>
      <c r="D374" s="212" t="s">
        <v>116</v>
      </c>
      <c r="E374" s="87">
        <f t="shared" ref="E374:M374" si="141">IF(((E372="")*AND(E373="")),"",(E372-E373)*4)</f>
        <v>2410.7999999999993</v>
      </c>
      <c r="F374" s="87">
        <f t="shared" si="141"/>
        <v>2514.2399999999998</v>
      </c>
      <c r="G374" s="87">
        <f t="shared" si="141"/>
        <v>2452.4399999999996</v>
      </c>
      <c r="H374" s="87">
        <f t="shared" si="141"/>
        <v>2515.12</v>
      </c>
      <c r="I374" s="87">
        <f t="shared" si="141"/>
        <v>2454.88</v>
      </c>
      <c r="J374" s="87">
        <f t="shared" si="141"/>
        <v>2427.6799999999994</v>
      </c>
      <c r="K374" s="87">
        <f t="shared" si="141"/>
        <v>2494.04</v>
      </c>
      <c r="L374" s="87">
        <f t="shared" si="141"/>
        <v>2524.3200000000006</v>
      </c>
      <c r="M374" s="87">
        <f t="shared" si="141"/>
        <v>2481.5599999999995</v>
      </c>
      <c r="N374" s="87"/>
      <c r="O374" s="87"/>
      <c r="P374" s="87"/>
      <c r="Q374" s="87" t="str">
        <f>IF(((Q372="")*AND(Q373="")),"",(Q372-Q373)*4)</f>
        <v/>
      </c>
      <c r="R374" s="197"/>
      <c r="S374" s="197"/>
      <c r="T374" s="198"/>
      <c r="U374" s="198"/>
      <c r="W374" s="180"/>
      <c r="X374" s="93"/>
    </row>
    <row r="375" spans="1:32">
      <c r="A375" s="149">
        <v>43230</v>
      </c>
      <c r="B375" s="200" t="s">
        <v>112</v>
      </c>
      <c r="C375" s="200" t="s">
        <v>113</v>
      </c>
      <c r="D375" s="201" t="s">
        <v>114</v>
      </c>
      <c r="E375" s="59">
        <v>7990.17</v>
      </c>
      <c r="F375" s="59">
        <v>7922.34</v>
      </c>
      <c r="G375" s="59">
        <v>7994.74</v>
      </c>
      <c r="H375" s="59">
        <v>8186.61</v>
      </c>
      <c r="I375" s="59">
        <v>8182.06</v>
      </c>
      <c r="J375" s="59">
        <v>8114.99</v>
      </c>
      <c r="K375" s="59">
        <v>8073.93</v>
      </c>
      <c r="L375" s="59">
        <v>8171.59</v>
      </c>
      <c r="M375" s="59">
        <v>8014.12</v>
      </c>
      <c r="N375" s="202"/>
      <c r="O375" s="202"/>
      <c r="P375" s="202"/>
      <c r="Q375" s="202"/>
      <c r="R375" s="188">
        <f>IF((M376=""),"",MAX(E377:M377))</f>
        <v>6274.58</v>
      </c>
      <c r="S375" s="188">
        <f>IF((M376=""),"",MIN(E377:M377))</f>
        <v>5620.82</v>
      </c>
      <c r="T375" s="189">
        <f>IF((M377=""),"",AVERAGE(E377:M377))</f>
        <v>5952.9466666666667</v>
      </c>
      <c r="U375" s="189">
        <f>IF((M376=""),"",(R375-S375)/(R375+S375)*100)</f>
        <v>5.4959059804630384</v>
      </c>
      <c r="V375" s="66">
        <f t="shared" si="128"/>
        <v>214.31042135182597</v>
      </c>
      <c r="W375" s="170" t="str">
        <f>IF(M376="","",IF(U375&lt;6.3,IF(T375&gt;5550,IF(T375&lt;6900,"Pass","Fail"),"Fail"),"Fail"))</f>
        <v>Pass</v>
      </c>
      <c r="X375" s="98">
        <v>74</v>
      </c>
      <c r="AA375" s="67">
        <v>5860</v>
      </c>
      <c r="AB375" s="67">
        <v>6770</v>
      </c>
      <c r="AC375" s="67">
        <v>5550</v>
      </c>
      <c r="AD375" s="67">
        <v>6900</v>
      </c>
      <c r="AE375" s="67">
        <v>20</v>
      </c>
      <c r="AF375" s="67">
        <v>6.3</v>
      </c>
    </row>
    <row r="376" spans="1:32">
      <c r="A376" s="149"/>
      <c r="B376" s="82"/>
      <c r="C376" s="82"/>
      <c r="D376" s="204" t="s">
        <v>115</v>
      </c>
      <c r="E376" s="59">
        <v>4974.5600000000004</v>
      </c>
      <c r="F376" s="59">
        <v>4835.58</v>
      </c>
      <c r="G376" s="59">
        <v>4973.6899999999996</v>
      </c>
      <c r="H376" s="59">
        <v>5376.2</v>
      </c>
      <c r="I376" s="59">
        <v>5326.99</v>
      </c>
      <c r="J376" s="59">
        <v>5201.46</v>
      </c>
      <c r="K376" s="59">
        <v>5054.79</v>
      </c>
      <c r="L376" s="59">
        <v>5242.1899999999996</v>
      </c>
      <c r="M376" s="59">
        <v>4876.83</v>
      </c>
      <c r="N376" s="205"/>
      <c r="O376" s="205"/>
      <c r="P376" s="205"/>
      <c r="Q376" s="205"/>
      <c r="R376" s="190"/>
      <c r="S376" s="190"/>
      <c r="T376" s="191"/>
      <c r="U376" s="191"/>
      <c r="W376" s="177"/>
      <c r="X376" s="99"/>
    </row>
    <row r="377" spans="1:32" ht="48">
      <c r="A377" s="149"/>
      <c r="B377" s="207"/>
      <c r="C377" s="207"/>
      <c r="D377" s="204" t="s">
        <v>116</v>
      </c>
      <c r="E377" s="51">
        <f t="shared" ref="E377:M377" si="142">IF(((E375="")*AND(E376="")),"",(E375-E376)*2)</f>
        <v>6031.2199999999993</v>
      </c>
      <c r="F377" s="51">
        <f t="shared" si="142"/>
        <v>6173.52</v>
      </c>
      <c r="G377" s="51">
        <f t="shared" si="142"/>
        <v>6042.1</v>
      </c>
      <c r="H377" s="51">
        <f t="shared" si="142"/>
        <v>5620.82</v>
      </c>
      <c r="I377" s="51">
        <f t="shared" si="142"/>
        <v>5710.1400000000012</v>
      </c>
      <c r="J377" s="51">
        <f t="shared" si="142"/>
        <v>5827.0599999999995</v>
      </c>
      <c r="K377" s="51">
        <f t="shared" si="142"/>
        <v>6038.2800000000007</v>
      </c>
      <c r="L377" s="51">
        <f t="shared" si="142"/>
        <v>5858.8000000000011</v>
      </c>
      <c r="M377" s="51">
        <f t="shared" si="142"/>
        <v>6274.58</v>
      </c>
      <c r="N377" s="51"/>
      <c r="O377" s="51"/>
      <c r="P377" s="51"/>
      <c r="Q377" s="51" t="str">
        <f>IF(((Q375="")*AND(Q376="")),"",(Q375-Q376)*2)</f>
        <v/>
      </c>
      <c r="R377" s="192"/>
      <c r="S377" s="192"/>
      <c r="T377" s="193"/>
      <c r="U377" s="193"/>
      <c r="W377" s="178"/>
      <c r="X377" s="100"/>
    </row>
    <row r="378" spans="1:32">
      <c r="A378" s="149">
        <v>43230</v>
      </c>
      <c r="B378" s="81" t="s">
        <v>117</v>
      </c>
      <c r="C378" s="81" t="s">
        <v>118</v>
      </c>
      <c r="D378" s="204" t="s">
        <v>114</v>
      </c>
      <c r="E378" s="59">
        <v>2013.59</v>
      </c>
      <c r="F378" s="59">
        <v>1974.5</v>
      </c>
      <c r="G378" s="59">
        <v>1951.02</v>
      </c>
      <c r="H378" s="59">
        <v>1946.22</v>
      </c>
      <c r="I378" s="59">
        <v>1962.02</v>
      </c>
      <c r="J378" s="59">
        <v>1996.06</v>
      </c>
      <c r="K378" s="59">
        <v>2021.68</v>
      </c>
      <c r="L378" s="59">
        <v>1987.26</v>
      </c>
      <c r="M378" s="59">
        <v>1972.24</v>
      </c>
      <c r="N378" s="59">
        <v>1956.59</v>
      </c>
      <c r="O378" s="59">
        <v>1953.47</v>
      </c>
      <c r="P378" s="59">
        <v>1979.1</v>
      </c>
      <c r="Q378" s="59">
        <v>1985.49</v>
      </c>
      <c r="R378" s="194">
        <f>IF((Q379=""),"",MAX(E380:Q380))</f>
        <v>286.73</v>
      </c>
      <c r="S378" s="194">
        <f>IF(Q379="","",MIN(E380:Q380))</f>
        <v>261.56999999999994</v>
      </c>
      <c r="T378" s="195">
        <f>IF((Q380=""),"",AVERAGE(E380:Q380))</f>
        <v>268.86538461538458</v>
      </c>
      <c r="U378" s="195">
        <f>IF((Q379=""),"",(R378-S378)/(R378+S378)*100)</f>
        <v>4.5887287981032436</v>
      </c>
      <c r="V378" s="66">
        <f t="shared" si="124"/>
        <v>8.3203982430568075</v>
      </c>
      <c r="W378" s="83" t="str">
        <f>IF(Q379="","",IF(T378&gt;242,IF(T378&lt;320,"Pass","Fail"),"Fail"))</f>
        <v>Pass</v>
      </c>
      <c r="X378" s="101">
        <v>74</v>
      </c>
      <c r="AA378" s="67">
        <v>240</v>
      </c>
      <c r="AB378" s="67">
        <v>320</v>
      </c>
      <c r="AC378" s="67">
        <v>190</v>
      </c>
      <c r="AD378" s="67">
        <v>360</v>
      </c>
      <c r="AE378" s="67">
        <v>20</v>
      </c>
      <c r="AF378" s="67">
        <v>11</v>
      </c>
    </row>
    <row r="379" spans="1:32">
      <c r="A379" s="149"/>
      <c r="B379" s="82"/>
      <c r="C379" s="82"/>
      <c r="D379" s="204" t="s">
        <v>115</v>
      </c>
      <c r="E379" s="59">
        <v>1745.17</v>
      </c>
      <c r="F379" s="59">
        <v>1707.93</v>
      </c>
      <c r="G379" s="59">
        <v>1685.76</v>
      </c>
      <c r="H379" s="59">
        <v>1683.78</v>
      </c>
      <c r="I379" s="59">
        <v>1700.45</v>
      </c>
      <c r="J379" s="59">
        <v>1732.42</v>
      </c>
      <c r="K379" s="59">
        <v>1736.97</v>
      </c>
      <c r="L379" s="59">
        <v>1711.38</v>
      </c>
      <c r="M379" s="59">
        <v>1708.23</v>
      </c>
      <c r="N379" s="59">
        <v>1690.91</v>
      </c>
      <c r="O379" s="59">
        <v>1690.54</v>
      </c>
      <c r="P379" s="59">
        <v>1711.69</v>
      </c>
      <c r="Q379" s="59">
        <v>1698.76</v>
      </c>
      <c r="R379" s="190"/>
      <c r="S379" s="190"/>
      <c r="T379" s="191"/>
      <c r="U379" s="191"/>
      <c r="W379" s="177"/>
      <c r="X379" s="99"/>
    </row>
    <row r="380" spans="1:32" ht="48">
      <c r="A380" s="149"/>
      <c r="B380" s="207"/>
      <c r="C380" s="207"/>
      <c r="D380" s="204" t="s">
        <v>116</v>
      </c>
      <c r="E380" s="51">
        <f t="shared" ref="E380:Q380" si="143">IF(((E378="")*AND(E379="")),"",(E378-E379))</f>
        <v>268.41999999999985</v>
      </c>
      <c r="F380" s="51">
        <f t="shared" si="143"/>
        <v>266.56999999999994</v>
      </c>
      <c r="G380" s="51">
        <f t="shared" si="143"/>
        <v>265.26</v>
      </c>
      <c r="H380" s="51">
        <f t="shared" si="143"/>
        <v>262.44000000000005</v>
      </c>
      <c r="I380" s="51">
        <f t="shared" si="143"/>
        <v>261.56999999999994</v>
      </c>
      <c r="J380" s="51">
        <f t="shared" si="143"/>
        <v>263.63999999999987</v>
      </c>
      <c r="K380" s="51">
        <f t="shared" si="143"/>
        <v>284.71000000000004</v>
      </c>
      <c r="L380" s="51">
        <f t="shared" si="143"/>
        <v>275.87999999999988</v>
      </c>
      <c r="M380" s="51">
        <f t="shared" si="143"/>
        <v>264.01</v>
      </c>
      <c r="N380" s="85">
        <f t="shared" si="143"/>
        <v>265.67999999999984</v>
      </c>
      <c r="O380" s="85">
        <f t="shared" si="143"/>
        <v>262.93000000000006</v>
      </c>
      <c r="P380" s="85">
        <f t="shared" si="143"/>
        <v>267.40999999999985</v>
      </c>
      <c r="Q380" s="85">
        <f t="shared" si="143"/>
        <v>286.73</v>
      </c>
      <c r="R380" s="192"/>
      <c r="S380" s="192"/>
      <c r="T380" s="193"/>
      <c r="U380" s="193"/>
      <c r="W380" s="178"/>
      <c r="X380" s="100"/>
    </row>
    <row r="381" spans="1:32">
      <c r="A381" s="149">
        <v>43230</v>
      </c>
      <c r="B381" s="81" t="s">
        <v>119</v>
      </c>
      <c r="C381" s="81" t="s">
        <v>120</v>
      </c>
      <c r="D381" s="204" t="s">
        <v>114</v>
      </c>
      <c r="E381" s="59">
        <v>6934.87</v>
      </c>
      <c r="F381" s="59">
        <v>6930.92</v>
      </c>
      <c r="G381" s="59">
        <v>6999.99</v>
      </c>
      <c r="H381" s="59">
        <v>6976.82</v>
      </c>
      <c r="I381" s="59">
        <v>7000</v>
      </c>
      <c r="J381" s="59">
        <v>7000</v>
      </c>
      <c r="K381" s="59">
        <v>6979.24</v>
      </c>
      <c r="L381" s="59">
        <v>6975.04</v>
      </c>
      <c r="M381" s="59">
        <v>7000</v>
      </c>
      <c r="N381" s="210"/>
      <c r="O381" s="210"/>
      <c r="P381" s="210"/>
      <c r="Q381" s="210"/>
      <c r="R381" s="196">
        <f>IF((M382=""),"",MAX(E383:M383))</f>
        <v>4207.5200000000004</v>
      </c>
      <c r="S381" s="194">
        <f>IF(M382="","",MIN(E383:M383))</f>
        <v>3795.8599999999988</v>
      </c>
      <c r="T381" s="195">
        <f>IF((M383=""),"",AVERAGE(E383:M383))</f>
        <v>3945.5533333333328</v>
      </c>
      <c r="U381" s="195">
        <f>IF((M382=""),"",(R381-S381)/(R381+S381)*100)</f>
        <v>5.1435768387856342</v>
      </c>
      <c r="V381" s="66">
        <f t="shared" si="126"/>
        <v>124.63255473593689</v>
      </c>
      <c r="W381" s="83" t="str">
        <f>IF(M382="","",IF(T381&gt;3650,IF(T381&lt;4450,"Pass","Fail"),"Fail"))</f>
        <v>Pass</v>
      </c>
      <c r="X381" s="101">
        <v>74</v>
      </c>
      <c r="AA381" s="86">
        <v>3650</v>
      </c>
      <c r="AB381" s="86">
        <v>4450</v>
      </c>
      <c r="AC381" s="86">
        <v>3700</v>
      </c>
      <c r="AD381" s="86">
        <v>4250</v>
      </c>
      <c r="AE381" s="86">
        <v>7.2</v>
      </c>
      <c r="AF381" s="86">
        <v>3</v>
      </c>
    </row>
    <row r="382" spans="1:32">
      <c r="A382" s="149"/>
      <c r="B382" s="82"/>
      <c r="C382" s="82"/>
      <c r="D382" s="204" t="s">
        <v>115</v>
      </c>
      <c r="E382" s="59">
        <v>4831.1099999999997</v>
      </c>
      <c r="F382" s="59">
        <v>4989.03</v>
      </c>
      <c r="G382" s="59">
        <v>5102.0600000000004</v>
      </c>
      <c r="H382" s="59">
        <v>5032.8100000000004</v>
      </c>
      <c r="I382" s="59">
        <v>5004.96</v>
      </c>
      <c r="J382" s="59">
        <v>5024.8</v>
      </c>
      <c r="K382" s="59">
        <v>5033.24</v>
      </c>
      <c r="L382" s="59">
        <v>5050.8999999999996</v>
      </c>
      <c r="M382" s="59">
        <v>4972.9799999999996</v>
      </c>
      <c r="N382" s="205"/>
      <c r="O382" s="205"/>
      <c r="P382" s="205"/>
      <c r="Q382" s="205"/>
      <c r="R382" s="190"/>
      <c r="S382" s="190"/>
      <c r="T382" s="191"/>
      <c r="U382" s="191"/>
      <c r="W382" s="177"/>
      <c r="X382" s="99"/>
    </row>
    <row r="383" spans="1:32" ht="48">
      <c r="A383" s="149"/>
      <c r="B383" s="207"/>
      <c r="C383" s="207"/>
      <c r="D383" s="204" t="s">
        <v>116</v>
      </c>
      <c r="E383" s="51">
        <f t="shared" ref="E383:M383" si="144">IF(((E381="")*AND(E382="")),"",(E381-E382)*2)</f>
        <v>4207.5200000000004</v>
      </c>
      <c r="F383" s="51">
        <f t="shared" si="144"/>
        <v>3883.7800000000007</v>
      </c>
      <c r="G383" s="51">
        <f t="shared" si="144"/>
        <v>3795.8599999999988</v>
      </c>
      <c r="H383" s="51">
        <f t="shared" si="144"/>
        <v>3888.0199999999986</v>
      </c>
      <c r="I383" s="51">
        <f t="shared" si="144"/>
        <v>3990.08</v>
      </c>
      <c r="J383" s="51">
        <f t="shared" si="144"/>
        <v>3950.3999999999996</v>
      </c>
      <c r="K383" s="51">
        <f t="shared" si="144"/>
        <v>3892</v>
      </c>
      <c r="L383" s="51">
        <f t="shared" si="144"/>
        <v>3848.2800000000007</v>
      </c>
      <c r="M383" s="51">
        <f t="shared" si="144"/>
        <v>4054.0400000000009</v>
      </c>
      <c r="N383" s="51"/>
      <c r="O383" s="51"/>
      <c r="P383" s="51"/>
      <c r="Q383" s="51"/>
      <c r="R383" s="192"/>
      <c r="S383" s="192"/>
      <c r="T383" s="193"/>
      <c r="U383" s="193"/>
      <c r="W383" s="178"/>
      <c r="X383" s="100"/>
    </row>
    <row r="384" spans="1:32">
      <c r="A384" s="149">
        <v>43230</v>
      </c>
      <c r="B384" s="81" t="s">
        <v>121</v>
      </c>
      <c r="C384" s="81" t="s">
        <v>121</v>
      </c>
      <c r="D384" s="204" t="s">
        <v>114</v>
      </c>
      <c r="E384" s="59">
        <v>1910.2</v>
      </c>
      <c r="F384" s="59">
        <v>1917.46</v>
      </c>
      <c r="G384" s="59">
        <v>1923.32</v>
      </c>
      <c r="H384" s="59">
        <v>1920.57</v>
      </c>
      <c r="I384" s="59">
        <v>1915.46</v>
      </c>
      <c r="J384" s="59">
        <v>1916.2</v>
      </c>
      <c r="K384" s="59">
        <v>1919.07</v>
      </c>
      <c r="L384" s="59">
        <v>1921.45</v>
      </c>
      <c r="M384" s="59">
        <v>1913.43</v>
      </c>
      <c r="N384" s="205"/>
      <c r="O384" s="205"/>
      <c r="P384" s="205"/>
      <c r="Q384" s="205"/>
      <c r="R384" s="194">
        <f>IF((M385=""),"",MAX(E386:M386))</f>
        <v>2517.16</v>
      </c>
      <c r="S384" s="194">
        <f>IF((M385=""),"",MIN(E386:M386))</f>
        <v>2403.08</v>
      </c>
      <c r="T384" s="195">
        <f>IF((M386=""),"",AVERAGE(E386:M386))</f>
        <v>2479.8977777777777</v>
      </c>
      <c r="U384" s="195">
        <f>IF((M385=""),"",(R384-S384)/(R384+S384)*100)</f>
        <v>2.3185860852316131</v>
      </c>
      <c r="V384" s="66">
        <f t="shared" si="128"/>
        <v>33.719093173542703</v>
      </c>
      <c r="W384" s="174" t="str">
        <f>IF(M385="","",IF(U384&lt;5.5,IF(T384&gt;2200,IF(T384&lt;2900,"Pass","Fail"),"Fail"),"Fail"))</f>
        <v>Pass</v>
      </c>
      <c r="X384" s="92">
        <v>74</v>
      </c>
      <c r="AA384" s="67">
        <v>2000</v>
      </c>
      <c r="AB384" s="67">
        <v>3000</v>
      </c>
      <c r="AC384" s="67">
        <v>2200</v>
      </c>
      <c r="AD384" s="67">
        <v>2900</v>
      </c>
      <c r="AE384" s="67">
        <v>7</v>
      </c>
      <c r="AF384" s="67">
        <v>5.5</v>
      </c>
    </row>
    <row r="385" spans="1:32">
      <c r="A385" s="149"/>
      <c r="B385" s="82"/>
      <c r="C385" s="82"/>
      <c r="D385" s="204" t="s">
        <v>115</v>
      </c>
      <c r="E385" s="59">
        <v>1285.73</v>
      </c>
      <c r="F385" s="59">
        <v>1299.77</v>
      </c>
      <c r="G385" s="59">
        <v>1322.55</v>
      </c>
      <c r="H385" s="59">
        <v>1302.92</v>
      </c>
      <c r="I385" s="59">
        <v>1290.44</v>
      </c>
      <c r="J385" s="59">
        <v>1288.96</v>
      </c>
      <c r="K385" s="59">
        <v>1301.01</v>
      </c>
      <c r="L385" s="59">
        <v>1301.8699999999999</v>
      </c>
      <c r="M385" s="59">
        <v>1284.1400000000001</v>
      </c>
      <c r="N385" s="205"/>
      <c r="O385" s="205"/>
      <c r="P385" s="205"/>
      <c r="Q385" s="205"/>
      <c r="R385" s="190"/>
      <c r="S385" s="190"/>
      <c r="T385" s="191"/>
      <c r="U385" s="191"/>
      <c r="W385" s="179"/>
      <c r="X385" s="92"/>
    </row>
    <row r="386" spans="1:32" ht="48.75" thickBot="1">
      <c r="A386" s="149"/>
      <c r="B386" s="211"/>
      <c r="C386" s="211"/>
      <c r="D386" s="212" t="s">
        <v>116</v>
      </c>
      <c r="E386" s="87">
        <f t="shared" ref="E386:M386" si="145">IF(((E384="")*AND(E385="")),"",(E384-E385)*4)</f>
        <v>2497.88</v>
      </c>
      <c r="F386" s="87">
        <f t="shared" si="145"/>
        <v>2470.7600000000002</v>
      </c>
      <c r="G386" s="87">
        <f t="shared" si="145"/>
        <v>2403.08</v>
      </c>
      <c r="H386" s="87">
        <f t="shared" si="145"/>
        <v>2470.5999999999995</v>
      </c>
      <c r="I386" s="87">
        <f t="shared" si="145"/>
        <v>2500.08</v>
      </c>
      <c r="J386" s="87">
        <f t="shared" si="145"/>
        <v>2508.96</v>
      </c>
      <c r="K386" s="87">
        <f t="shared" si="145"/>
        <v>2472.2399999999998</v>
      </c>
      <c r="L386" s="87">
        <f t="shared" si="145"/>
        <v>2478.3200000000006</v>
      </c>
      <c r="M386" s="87">
        <f t="shared" si="145"/>
        <v>2517.16</v>
      </c>
      <c r="N386" s="87"/>
      <c r="O386" s="87"/>
      <c r="P386" s="87"/>
      <c r="Q386" s="87" t="str">
        <f>IF(((Q384="")*AND(Q385="")),"",(Q384-Q385)*4)</f>
        <v/>
      </c>
      <c r="R386" s="197"/>
      <c r="S386" s="197"/>
      <c r="T386" s="198"/>
      <c r="U386" s="198"/>
      <c r="W386" s="180"/>
      <c r="X386" s="93"/>
    </row>
    <row r="387" spans="1:32">
      <c r="A387" s="149">
        <v>43237</v>
      </c>
      <c r="B387" s="200" t="s">
        <v>112</v>
      </c>
      <c r="C387" s="200" t="s">
        <v>113</v>
      </c>
      <c r="D387" s="201" t="s">
        <v>114</v>
      </c>
      <c r="E387" s="59">
        <v>7990.17</v>
      </c>
      <c r="F387" s="59">
        <v>7922.34</v>
      </c>
      <c r="G387" s="59">
        <v>7994.74</v>
      </c>
      <c r="H387" s="59">
        <v>8186.61</v>
      </c>
      <c r="I387" s="59">
        <v>8182.06</v>
      </c>
      <c r="J387" s="59">
        <v>8114.99</v>
      </c>
      <c r="K387" s="59">
        <v>8073.93</v>
      </c>
      <c r="L387" s="59">
        <v>8171.59</v>
      </c>
      <c r="M387" s="59">
        <v>8014.12</v>
      </c>
      <c r="N387" s="202"/>
      <c r="O387" s="202"/>
      <c r="P387" s="202"/>
      <c r="Q387" s="202"/>
      <c r="R387" s="188">
        <f>IF((M388=""),"",MAX(E389:M389))</f>
        <v>6274.58</v>
      </c>
      <c r="S387" s="188">
        <f>IF((M388=""),"",MIN(E389:M389))</f>
        <v>5620.82</v>
      </c>
      <c r="T387" s="189">
        <f>IF((M389=""),"",AVERAGE(E389:M389))</f>
        <v>5952.9466666666667</v>
      </c>
      <c r="U387" s="189">
        <f>IF((M388=""),"",(R387-S387)/(R387+S387)*100)</f>
        <v>5.4959059804630384</v>
      </c>
      <c r="V387" s="66">
        <f t="shared" ref="V387" si="146">STDEV(E389:Q389)</f>
        <v>214.31042135182597</v>
      </c>
      <c r="W387" s="170" t="str">
        <f>IF(M388="","",IF(U387&lt;6.3,IF(T387&gt;5550,IF(T387&lt;6900,"Pass","Fail"),"Fail"),"Fail"))</f>
        <v>Pass</v>
      </c>
      <c r="X387" s="98">
        <v>74</v>
      </c>
      <c r="AA387" s="67">
        <v>5860</v>
      </c>
      <c r="AB387" s="67">
        <v>6770</v>
      </c>
      <c r="AC387" s="67">
        <v>5550</v>
      </c>
      <c r="AD387" s="67">
        <v>6900</v>
      </c>
      <c r="AE387" s="67">
        <v>20</v>
      </c>
      <c r="AF387" s="67">
        <v>6.3</v>
      </c>
    </row>
    <row r="388" spans="1:32">
      <c r="A388" s="149"/>
      <c r="B388" s="82"/>
      <c r="C388" s="82"/>
      <c r="D388" s="204" t="s">
        <v>115</v>
      </c>
      <c r="E388" s="59">
        <v>4974.5600000000004</v>
      </c>
      <c r="F388" s="59">
        <v>4835.58</v>
      </c>
      <c r="G388" s="59">
        <v>4973.6899999999996</v>
      </c>
      <c r="H388" s="59">
        <v>5376.2</v>
      </c>
      <c r="I388" s="59">
        <v>5326.99</v>
      </c>
      <c r="J388" s="59">
        <v>5201.46</v>
      </c>
      <c r="K388" s="59">
        <v>5054.79</v>
      </c>
      <c r="L388" s="59">
        <v>5242.1899999999996</v>
      </c>
      <c r="M388" s="59">
        <v>4876.83</v>
      </c>
      <c r="N388" s="205"/>
      <c r="O388" s="205"/>
      <c r="P388" s="205"/>
      <c r="Q388" s="205"/>
      <c r="R388" s="190"/>
      <c r="S388" s="190"/>
      <c r="T388" s="191"/>
      <c r="U388" s="191"/>
      <c r="W388" s="177"/>
      <c r="X388" s="99"/>
    </row>
    <row r="389" spans="1:32" ht="48">
      <c r="A389" s="149"/>
      <c r="B389" s="207"/>
      <c r="C389" s="207"/>
      <c r="D389" s="204" t="s">
        <v>116</v>
      </c>
      <c r="E389" s="51">
        <f t="shared" ref="E389:M389" si="147">IF(((E387="")*AND(E388="")),"",(E387-E388)*2)</f>
        <v>6031.2199999999993</v>
      </c>
      <c r="F389" s="51">
        <f t="shared" si="147"/>
        <v>6173.52</v>
      </c>
      <c r="G389" s="51">
        <f t="shared" si="147"/>
        <v>6042.1</v>
      </c>
      <c r="H389" s="51">
        <f t="shared" si="147"/>
        <v>5620.82</v>
      </c>
      <c r="I389" s="51">
        <f t="shared" si="147"/>
        <v>5710.1400000000012</v>
      </c>
      <c r="J389" s="51">
        <f t="shared" si="147"/>
        <v>5827.0599999999995</v>
      </c>
      <c r="K389" s="51">
        <f t="shared" si="147"/>
        <v>6038.2800000000007</v>
      </c>
      <c r="L389" s="51">
        <f t="shared" si="147"/>
        <v>5858.8000000000011</v>
      </c>
      <c r="M389" s="51">
        <f t="shared" si="147"/>
        <v>6274.58</v>
      </c>
      <c r="N389" s="51"/>
      <c r="O389" s="51"/>
      <c r="P389" s="51"/>
      <c r="Q389" s="51" t="str">
        <f>IF(((Q387="")*AND(Q388="")),"",(Q387-Q388)*2)</f>
        <v/>
      </c>
      <c r="R389" s="192"/>
      <c r="S389" s="192"/>
      <c r="T389" s="193"/>
      <c r="U389" s="193"/>
      <c r="W389" s="178"/>
      <c r="X389" s="100"/>
    </row>
    <row r="390" spans="1:32">
      <c r="A390" s="149">
        <v>43237</v>
      </c>
      <c r="B390" s="81" t="s">
        <v>117</v>
      </c>
      <c r="C390" s="81" t="s">
        <v>118</v>
      </c>
      <c r="D390" s="204" t="s">
        <v>114</v>
      </c>
      <c r="E390" s="59">
        <v>2013.59</v>
      </c>
      <c r="F390" s="59">
        <v>1974.5</v>
      </c>
      <c r="G390" s="59">
        <v>1951.02</v>
      </c>
      <c r="H390" s="59">
        <v>1946.22</v>
      </c>
      <c r="I390" s="59">
        <v>1962.02</v>
      </c>
      <c r="J390" s="59">
        <v>1996.06</v>
      </c>
      <c r="K390" s="59">
        <v>2021.68</v>
      </c>
      <c r="L390" s="59">
        <v>1987.26</v>
      </c>
      <c r="M390" s="59">
        <v>1972.24</v>
      </c>
      <c r="N390" s="59">
        <v>1956.59</v>
      </c>
      <c r="O390" s="59">
        <v>1953.47</v>
      </c>
      <c r="P390" s="59">
        <v>1979.1</v>
      </c>
      <c r="Q390" s="59">
        <v>1985.49</v>
      </c>
      <c r="R390" s="194">
        <f>IF((Q391=""),"",MAX(E392:Q392))</f>
        <v>286.73</v>
      </c>
      <c r="S390" s="194">
        <f>IF(Q391="","",MIN(E392:Q392))</f>
        <v>261.56999999999994</v>
      </c>
      <c r="T390" s="195">
        <f>IF((Q392=""),"",AVERAGE(E392:Q392))</f>
        <v>268.86538461538458</v>
      </c>
      <c r="U390" s="195">
        <f>IF((Q391=""),"",(R390-S390)/(R390+S390)*100)</f>
        <v>4.5887287981032436</v>
      </c>
      <c r="V390" s="66">
        <f t="shared" ref="V390" si="148">STDEV(E392:Q392)</f>
        <v>8.3203982430568075</v>
      </c>
      <c r="W390" s="83" t="str">
        <f>IF(Q391="","",IF(T390&gt;242,IF(T390&lt;320,"Pass","Fail"),"Fail"))</f>
        <v>Pass</v>
      </c>
      <c r="X390" s="101">
        <v>74</v>
      </c>
      <c r="AA390" s="67">
        <v>240</v>
      </c>
      <c r="AB390" s="67">
        <v>320</v>
      </c>
      <c r="AC390" s="67">
        <v>190</v>
      </c>
      <c r="AD390" s="67">
        <v>360</v>
      </c>
      <c r="AE390" s="67">
        <v>20</v>
      </c>
      <c r="AF390" s="67">
        <v>11</v>
      </c>
    </row>
    <row r="391" spans="1:32">
      <c r="A391" s="149"/>
      <c r="B391" s="82"/>
      <c r="C391" s="82"/>
      <c r="D391" s="204" t="s">
        <v>115</v>
      </c>
      <c r="E391" s="59">
        <v>1745.17</v>
      </c>
      <c r="F391" s="59">
        <v>1707.93</v>
      </c>
      <c r="G391" s="59">
        <v>1685.76</v>
      </c>
      <c r="H391" s="59">
        <v>1683.78</v>
      </c>
      <c r="I391" s="59">
        <v>1700.45</v>
      </c>
      <c r="J391" s="59">
        <v>1732.42</v>
      </c>
      <c r="K391" s="59">
        <v>1736.97</v>
      </c>
      <c r="L391" s="59">
        <v>1711.38</v>
      </c>
      <c r="M391" s="59">
        <v>1708.23</v>
      </c>
      <c r="N391" s="59">
        <v>1690.91</v>
      </c>
      <c r="O391" s="59">
        <v>1690.54</v>
      </c>
      <c r="P391" s="59">
        <v>1711.69</v>
      </c>
      <c r="Q391" s="59">
        <v>1698.76</v>
      </c>
      <c r="R391" s="190"/>
      <c r="S391" s="190"/>
      <c r="T391" s="191"/>
      <c r="U391" s="191"/>
      <c r="W391" s="177"/>
      <c r="X391" s="99"/>
    </row>
    <row r="392" spans="1:32" ht="48">
      <c r="A392" s="149"/>
      <c r="B392" s="207"/>
      <c r="C392" s="207"/>
      <c r="D392" s="204" t="s">
        <v>116</v>
      </c>
      <c r="E392" s="51">
        <f t="shared" ref="E392:Q392" si="149">IF(((E390="")*AND(E391="")),"",(E390-E391))</f>
        <v>268.41999999999985</v>
      </c>
      <c r="F392" s="51">
        <f t="shared" si="149"/>
        <v>266.56999999999994</v>
      </c>
      <c r="G392" s="51">
        <f t="shared" si="149"/>
        <v>265.26</v>
      </c>
      <c r="H392" s="51">
        <f t="shared" si="149"/>
        <v>262.44000000000005</v>
      </c>
      <c r="I392" s="51">
        <f t="shared" si="149"/>
        <v>261.56999999999994</v>
      </c>
      <c r="J392" s="51">
        <f t="shared" si="149"/>
        <v>263.63999999999987</v>
      </c>
      <c r="K392" s="51">
        <f t="shared" si="149"/>
        <v>284.71000000000004</v>
      </c>
      <c r="L392" s="51">
        <f t="shared" si="149"/>
        <v>275.87999999999988</v>
      </c>
      <c r="M392" s="51">
        <f t="shared" si="149"/>
        <v>264.01</v>
      </c>
      <c r="N392" s="85">
        <f t="shared" si="149"/>
        <v>265.67999999999984</v>
      </c>
      <c r="O392" s="85">
        <f t="shared" si="149"/>
        <v>262.93000000000006</v>
      </c>
      <c r="P392" s="85">
        <f t="shared" si="149"/>
        <v>267.40999999999985</v>
      </c>
      <c r="Q392" s="85">
        <f t="shared" si="149"/>
        <v>286.73</v>
      </c>
      <c r="R392" s="192"/>
      <c r="S392" s="192"/>
      <c r="T392" s="193"/>
      <c r="U392" s="193"/>
      <c r="W392" s="178"/>
      <c r="X392" s="100"/>
    </row>
    <row r="393" spans="1:32">
      <c r="A393" s="149">
        <v>43237</v>
      </c>
      <c r="B393" s="81" t="s">
        <v>119</v>
      </c>
      <c r="C393" s="81" t="s">
        <v>120</v>
      </c>
      <c r="D393" s="204" t="s">
        <v>114</v>
      </c>
      <c r="E393" s="59">
        <v>6934.87</v>
      </c>
      <c r="F393" s="59">
        <v>6930.92</v>
      </c>
      <c r="G393" s="59">
        <v>6999.99</v>
      </c>
      <c r="H393" s="59">
        <v>6976.82</v>
      </c>
      <c r="I393" s="59">
        <v>7000</v>
      </c>
      <c r="J393" s="59">
        <v>7000</v>
      </c>
      <c r="K393" s="59">
        <v>6979.24</v>
      </c>
      <c r="L393" s="59">
        <v>6975.04</v>
      </c>
      <c r="M393" s="59">
        <v>7000</v>
      </c>
      <c r="N393" s="210"/>
      <c r="O393" s="210"/>
      <c r="P393" s="210"/>
      <c r="Q393" s="210"/>
      <c r="R393" s="196">
        <f>IF((M394=""),"",MAX(E395:M395))</f>
        <v>4207.5200000000004</v>
      </c>
      <c r="S393" s="194">
        <f>IF(M394="","",MIN(E395:M395))</f>
        <v>3795.8599999999988</v>
      </c>
      <c r="T393" s="195">
        <f>IF((M395=""),"",AVERAGE(E395:M395))</f>
        <v>3945.5533333333328</v>
      </c>
      <c r="U393" s="195">
        <f>IF((M394=""),"",(R393-S393)/(R393+S393)*100)</f>
        <v>5.1435768387856342</v>
      </c>
      <c r="V393" s="66">
        <f t="shared" ref="V393:V396" si="150">STDEV(E395:Q395)</f>
        <v>124.63255473593689</v>
      </c>
      <c r="W393" s="83" t="str">
        <f>IF(M394="","",IF(T393&gt;3650,IF(T393&lt;4450,"Pass","Fail"),"Fail"))</f>
        <v>Pass</v>
      </c>
      <c r="X393" s="101">
        <v>74</v>
      </c>
      <c r="AA393" s="86">
        <v>3650</v>
      </c>
      <c r="AB393" s="86">
        <v>4450</v>
      </c>
      <c r="AC393" s="86">
        <v>3700</v>
      </c>
      <c r="AD393" s="86">
        <v>4250</v>
      </c>
      <c r="AE393" s="86">
        <v>7.2</v>
      </c>
      <c r="AF393" s="86">
        <v>3</v>
      </c>
    </row>
    <row r="394" spans="1:32">
      <c r="A394" s="149"/>
      <c r="B394" s="82"/>
      <c r="C394" s="82"/>
      <c r="D394" s="204" t="s">
        <v>115</v>
      </c>
      <c r="E394" s="59">
        <v>4831.1099999999997</v>
      </c>
      <c r="F394" s="59">
        <v>4989.03</v>
      </c>
      <c r="G394" s="59">
        <v>5102.0600000000004</v>
      </c>
      <c r="H394" s="59">
        <v>5032.8100000000004</v>
      </c>
      <c r="I394" s="59">
        <v>5004.96</v>
      </c>
      <c r="J394" s="59">
        <v>5024.8</v>
      </c>
      <c r="K394" s="59">
        <v>5033.24</v>
      </c>
      <c r="L394" s="59">
        <v>5050.8999999999996</v>
      </c>
      <c r="M394" s="59">
        <v>4972.9799999999996</v>
      </c>
      <c r="N394" s="205"/>
      <c r="O394" s="205"/>
      <c r="P394" s="205"/>
      <c r="Q394" s="205"/>
      <c r="R394" s="190"/>
      <c r="S394" s="190"/>
      <c r="T394" s="191"/>
      <c r="U394" s="191"/>
      <c r="W394" s="177"/>
      <c r="X394" s="99"/>
    </row>
    <row r="395" spans="1:32" ht="48">
      <c r="A395" s="149"/>
      <c r="B395" s="207"/>
      <c r="C395" s="207"/>
      <c r="D395" s="204" t="s">
        <v>116</v>
      </c>
      <c r="E395" s="51">
        <f t="shared" ref="E395:M395" si="151">IF(((E393="")*AND(E394="")),"",(E393-E394)*2)</f>
        <v>4207.5200000000004</v>
      </c>
      <c r="F395" s="51">
        <f t="shared" si="151"/>
        <v>3883.7800000000007</v>
      </c>
      <c r="G395" s="51">
        <f t="shared" si="151"/>
        <v>3795.8599999999988</v>
      </c>
      <c r="H395" s="51">
        <f t="shared" si="151"/>
        <v>3888.0199999999986</v>
      </c>
      <c r="I395" s="51">
        <f t="shared" si="151"/>
        <v>3990.08</v>
      </c>
      <c r="J395" s="51">
        <f t="shared" si="151"/>
        <v>3950.3999999999996</v>
      </c>
      <c r="K395" s="51">
        <f t="shared" si="151"/>
        <v>3892</v>
      </c>
      <c r="L395" s="51">
        <f t="shared" si="151"/>
        <v>3848.2800000000007</v>
      </c>
      <c r="M395" s="51">
        <f t="shared" si="151"/>
        <v>4054.0400000000009</v>
      </c>
      <c r="N395" s="51"/>
      <c r="O395" s="51"/>
      <c r="P395" s="51"/>
      <c r="Q395" s="51"/>
      <c r="R395" s="192"/>
      <c r="S395" s="192"/>
      <c r="T395" s="193"/>
      <c r="U395" s="193"/>
      <c r="W395" s="178"/>
      <c r="X395" s="100"/>
    </row>
    <row r="396" spans="1:32">
      <c r="A396" s="149">
        <v>43237</v>
      </c>
      <c r="B396" s="81" t="s">
        <v>121</v>
      </c>
      <c r="C396" s="81" t="s">
        <v>121</v>
      </c>
      <c r="D396" s="204" t="s">
        <v>114</v>
      </c>
      <c r="E396" s="59">
        <v>1910.2</v>
      </c>
      <c r="F396" s="59">
        <v>1917.46</v>
      </c>
      <c r="G396" s="59">
        <v>1923.32</v>
      </c>
      <c r="H396" s="59">
        <v>1920.57</v>
      </c>
      <c r="I396" s="59">
        <v>1915.46</v>
      </c>
      <c r="J396" s="59">
        <v>1916.2</v>
      </c>
      <c r="K396" s="59">
        <v>1919.07</v>
      </c>
      <c r="L396" s="59">
        <v>1921.45</v>
      </c>
      <c r="M396" s="59">
        <v>1913.43</v>
      </c>
      <c r="N396" s="205"/>
      <c r="O396" s="205"/>
      <c r="P396" s="205"/>
      <c r="Q396" s="205"/>
      <c r="R396" s="194">
        <f>IF((M397=""),"",MAX(E398:M398))</f>
        <v>2517.16</v>
      </c>
      <c r="S396" s="194">
        <f>IF((M397=""),"",MIN(E398:M398))</f>
        <v>2403.08</v>
      </c>
      <c r="T396" s="195">
        <f>IF((M398=""),"",AVERAGE(E398:M398))</f>
        <v>2479.8977777777777</v>
      </c>
      <c r="U396" s="195">
        <f>IF((M397=""),"",(R396-S396)/(R396+S396)*100)</f>
        <v>2.3185860852316131</v>
      </c>
      <c r="V396" s="66">
        <f t="shared" si="150"/>
        <v>33.719093173542703</v>
      </c>
      <c r="W396" s="174" t="str">
        <f>IF(M397="","",IF(U396&lt;5.5,IF(T396&gt;2200,IF(T396&lt;2900,"Pass","Fail"),"Fail"),"Fail"))</f>
        <v>Pass</v>
      </c>
      <c r="X396" s="92">
        <v>74</v>
      </c>
      <c r="AA396" s="67">
        <v>2000</v>
      </c>
      <c r="AB396" s="67">
        <v>3000</v>
      </c>
      <c r="AC396" s="67">
        <v>2200</v>
      </c>
      <c r="AD396" s="67">
        <v>2900</v>
      </c>
      <c r="AE396" s="67">
        <v>7</v>
      </c>
      <c r="AF396" s="67">
        <v>5.5</v>
      </c>
    </row>
    <row r="397" spans="1:32">
      <c r="A397" s="149"/>
      <c r="B397" s="82"/>
      <c r="C397" s="82"/>
      <c r="D397" s="204" t="s">
        <v>115</v>
      </c>
      <c r="E397" s="59">
        <v>1285.73</v>
      </c>
      <c r="F397" s="59">
        <v>1299.77</v>
      </c>
      <c r="G397" s="59">
        <v>1322.55</v>
      </c>
      <c r="H397" s="59">
        <v>1302.92</v>
      </c>
      <c r="I397" s="59">
        <v>1290.44</v>
      </c>
      <c r="J397" s="59">
        <v>1288.96</v>
      </c>
      <c r="K397" s="59">
        <v>1301.01</v>
      </c>
      <c r="L397" s="59">
        <v>1301.8699999999999</v>
      </c>
      <c r="M397" s="59">
        <v>1284.1400000000001</v>
      </c>
      <c r="N397" s="205"/>
      <c r="O397" s="205"/>
      <c r="P397" s="205"/>
      <c r="Q397" s="205"/>
      <c r="R397" s="190"/>
      <c r="S397" s="190"/>
      <c r="T397" s="191"/>
      <c r="U397" s="191"/>
      <c r="W397" s="179"/>
      <c r="X397" s="92"/>
    </row>
    <row r="398" spans="1:32" ht="48.75" thickBot="1">
      <c r="A398" s="149"/>
      <c r="B398" s="211"/>
      <c r="C398" s="211"/>
      <c r="D398" s="212" t="s">
        <v>116</v>
      </c>
      <c r="E398" s="87">
        <f t="shared" ref="E398:M398" si="152">IF(((E396="")*AND(E397="")),"",(E396-E397)*4)</f>
        <v>2497.88</v>
      </c>
      <c r="F398" s="87">
        <f t="shared" si="152"/>
        <v>2470.7600000000002</v>
      </c>
      <c r="G398" s="87">
        <f t="shared" si="152"/>
        <v>2403.08</v>
      </c>
      <c r="H398" s="87">
        <f t="shared" si="152"/>
        <v>2470.5999999999995</v>
      </c>
      <c r="I398" s="87">
        <f t="shared" si="152"/>
        <v>2500.08</v>
      </c>
      <c r="J398" s="87">
        <f t="shared" si="152"/>
        <v>2508.96</v>
      </c>
      <c r="K398" s="87">
        <f t="shared" si="152"/>
        <v>2472.2399999999998</v>
      </c>
      <c r="L398" s="87">
        <f t="shared" si="152"/>
        <v>2478.3200000000006</v>
      </c>
      <c r="M398" s="87">
        <f t="shared" si="152"/>
        <v>2517.16</v>
      </c>
      <c r="N398" s="87"/>
      <c r="O398" s="87"/>
      <c r="P398" s="87"/>
      <c r="Q398" s="87" t="str">
        <f>IF(((Q396="")*AND(Q397="")),"",(Q396-Q397)*4)</f>
        <v/>
      </c>
      <c r="R398" s="197"/>
      <c r="S398" s="197"/>
      <c r="T398" s="198"/>
      <c r="U398" s="198"/>
      <c r="W398" s="180"/>
      <c r="X398" s="93"/>
    </row>
    <row r="399" spans="1:32">
      <c r="A399" s="149">
        <v>43242</v>
      </c>
      <c r="B399" s="200" t="s">
        <v>112</v>
      </c>
      <c r="C399" s="200" t="s">
        <v>113</v>
      </c>
      <c r="D399" s="201" t="s">
        <v>114</v>
      </c>
      <c r="E399" s="59">
        <v>8000.54</v>
      </c>
      <c r="F399" s="59">
        <v>7933.26</v>
      </c>
      <c r="G399" s="59">
        <v>8006.7</v>
      </c>
      <c r="H399" s="59">
        <v>8201.91</v>
      </c>
      <c r="I399" s="59">
        <v>8197.2800000000007</v>
      </c>
      <c r="J399" s="59">
        <v>8131.74</v>
      </c>
      <c r="K399" s="59">
        <v>8089.42</v>
      </c>
      <c r="L399" s="59">
        <v>8185.48</v>
      </c>
      <c r="M399" s="59">
        <v>8026.29</v>
      </c>
      <c r="N399" s="202"/>
      <c r="O399" s="202"/>
      <c r="P399" s="202"/>
      <c r="Q399" s="202"/>
      <c r="R399" s="188">
        <f>IF((M400=""),"",MAX(E401:M401))</f>
        <v>6183.3799999999992</v>
      </c>
      <c r="S399" s="188">
        <f>IF((M400=""),"",MIN(E401:M401))</f>
        <v>5560.32</v>
      </c>
      <c r="T399" s="189">
        <f>IF((M401=""),"",AVERAGE(E401:M401))</f>
        <v>5886.7533333333331</v>
      </c>
      <c r="U399" s="189">
        <f>IF((M400=""),"",(R399-S399)/(R399+S399)*100)</f>
        <v>5.3054829397889893</v>
      </c>
      <c r="V399" s="66">
        <f t="shared" ref="V399" si="153">STDEV(E401:Q401)</f>
        <v>207.77324755608501</v>
      </c>
      <c r="W399" s="170" t="str">
        <f>IF(M400="","",IF(U399&lt;6.3,IF(T399&gt;5550,IF(T399&lt;6900,"Pass","Fail"),"Fail"),"Fail"))</f>
        <v>Pass</v>
      </c>
      <c r="X399" s="98">
        <v>1159</v>
      </c>
      <c r="Y399" s="59" t="s">
        <v>132</v>
      </c>
      <c r="AA399" s="67">
        <v>5860</v>
      </c>
      <c r="AB399" s="67">
        <v>6770</v>
      </c>
      <c r="AC399" s="67">
        <v>5550</v>
      </c>
      <c r="AD399" s="67">
        <v>6900</v>
      </c>
      <c r="AE399" s="67">
        <v>20</v>
      </c>
      <c r="AF399" s="67">
        <v>6.3</v>
      </c>
    </row>
    <row r="400" spans="1:32">
      <c r="A400" s="149"/>
      <c r="B400" s="82"/>
      <c r="C400" s="82"/>
      <c r="D400" s="204" t="s">
        <v>115</v>
      </c>
      <c r="E400" s="59">
        <v>5010.37</v>
      </c>
      <c r="F400" s="59">
        <v>4884.32</v>
      </c>
      <c r="G400" s="59">
        <v>5019.3900000000003</v>
      </c>
      <c r="H400" s="59">
        <v>5421.75</v>
      </c>
      <c r="I400" s="59">
        <v>5374.72</v>
      </c>
      <c r="J400" s="59">
        <v>5246.23</v>
      </c>
      <c r="K400" s="59">
        <v>5100.01</v>
      </c>
      <c r="L400" s="59">
        <v>5290.84</v>
      </c>
      <c r="M400" s="59">
        <v>4934.6000000000004</v>
      </c>
      <c r="N400" s="205"/>
      <c r="O400" s="205"/>
      <c r="P400" s="205"/>
      <c r="Q400" s="205"/>
      <c r="R400" s="190"/>
      <c r="S400" s="190"/>
      <c r="T400" s="191"/>
      <c r="U400" s="191"/>
      <c r="W400" s="177"/>
      <c r="X400" s="99"/>
    </row>
    <row r="401" spans="1:32" ht="48">
      <c r="A401" s="149"/>
      <c r="B401" s="207"/>
      <c r="C401" s="207"/>
      <c r="D401" s="204" t="s">
        <v>116</v>
      </c>
      <c r="E401" s="51">
        <f t="shared" ref="E401:M401" si="154">IF(((E399="")*AND(E400="")),"",(E399-E400)*2)</f>
        <v>5980.34</v>
      </c>
      <c r="F401" s="51">
        <f t="shared" si="154"/>
        <v>6097.880000000001</v>
      </c>
      <c r="G401" s="51">
        <f t="shared" si="154"/>
        <v>5974.619999999999</v>
      </c>
      <c r="H401" s="51">
        <f t="shared" si="154"/>
        <v>5560.32</v>
      </c>
      <c r="I401" s="51">
        <f t="shared" si="154"/>
        <v>5645.1200000000008</v>
      </c>
      <c r="J401" s="51">
        <f t="shared" si="154"/>
        <v>5771.02</v>
      </c>
      <c r="K401" s="51">
        <f t="shared" si="154"/>
        <v>5978.82</v>
      </c>
      <c r="L401" s="51">
        <f t="shared" si="154"/>
        <v>5789.2799999999988</v>
      </c>
      <c r="M401" s="51">
        <f t="shared" si="154"/>
        <v>6183.3799999999992</v>
      </c>
      <c r="N401" s="51"/>
      <c r="O401" s="51"/>
      <c r="P401" s="51"/>
      <c r="Q401" s="51" t="str">
        <f>IF(((Q399="")*AND(Q400="")),"",(Q399-Q400)*2)</f>
        <v/>
      </c>
      <c r="R401" s="192"/>
      <c r="S401" s="192"/>
      <c r="T401" s="193"/>
      <c r="U401" s="193"/>
      <c r="W401" s="178"/>
      <c r="X401" s="100"/>
    </row>
    <row r="402" spans="1:32">
      <c r="A402" s="149">
        <v>43242</v>
      </c>
      <c r="B402" s="81" t="s">
        <v>117</v>
      </c>
      <c r="C402" s="81" t="s">
        <v>118</v>
      </c>
      <c r="D402" s="204" t="s">
        <v>114</v>
      </c>
      <c r="E402" s="59">
        <v>2817.46</v>
      </c>
      <c r="F402" s="59">
        <v>2760.06</v>
      </c>
      <c r="G402" s="59">
        <v>2735.78</v>
      </c>
      <c r="H402" s="59">
        <v>2730.32</v>
      </c>
      <c r="I402" s="59">
        <v>2740.38</v>
      </c>
      <c r="J402" s="59">
        <v>2776.46</v>
      </c>
      <c r="K402" s="59">
        <v>2836.83</v>
      </c>
      <c r="L402" s="59">
        <v>2809.13</v>
      </c>
      <c r="M402" s="59">
        <v>2756.22</v>
      </c>
      <c r="N402" s="59">
        <v>2729.74</v>
      </c>
      <c r="O402" s="59">
        <v>2750.53</v>
      </c>
      <c r="P402" s="59">
        <v>2792.27</v>
      </c>
      <c r="Q402" s="59">
        <v>2870.47</v>
      </c>
      <c r="R402" s="194">
        <f>IF((Q403=""),"",MAX(E404:Q404))</f>
        <v>258.03999999999996</v>
      </c>
      <c r="S402" s="194">
        <f>IF(Q403="","",MIN(E404:Q404))</f>
        <v>241.00999999999976</v>
      </c>
      <c r="T402" s="195">
        <f>IF((Q404=""),"",AVERAGE(E404:Q404))</f>
        <v>248.59769230769231</v>
      </c>
      <c r="U402" s="195">
        <f>IF((Q403=""),"",(R402-S402)/(R402+S402)*100)</f>
        <v>3.4124837190662678</v>
      </c>
      <c r="V402" s="66">
        <f t="shared" ref="V402" si="155">STDEV(E404:Q404)</f>
        <v>4.0522178163036227</v>
      </c>
      <c r="W402" s="83" t="str">
        <f>IF(Q403="","",IF(T402&gt;242,IF(T402&lt;320,"Pass","Fail"),"Fail"))</f>
        <v>Pass</v>
      </c>
      <c r="X402" s="101">
        <v>1159</v>
      </c>
      <c r="Y402" s="59" t="s">
        <v>132</v>
      </c>
      <c r="AA402" s="67">
        <v>240</v>
      </c>
      <c r="AB402" s="67">
        <v>320</v>
      </c>
      <c r="AC402" s="67">
        <v>190</v>
      </c>
      <c r="AD402" s="67">
        <v>360</v>
      </c>
      <c r="AE402" s="67">
        <v>20</v>
      </c>
      <c r="AF402" s="67">
        <v>11</v>
      </c>
    </row>
    <row r="403" spans="1:32">
      <c r="A403" s="149"/>
      <c r="B403" s="82"/>
      <c r="C403" s="82"/>
      <c r="D403" s="204" t="s">
        <v>115</v>
      </c>
      <c r="E403" s="59">
        <v>2568.4499999999998</v>
      </c>
      <c r="F403" s="59">
        <v>2511.85</v>
      </c>
      <c r="G403" s="59">
        <v>2487.17</v>
      </c>
      <c r="H403" s="59">
        <v>2477.37</v>
      </c>
      <c r="I403" s="59">
        <v>2493.17</v>
      </c>
      <c r="J403" s="59">
        <v>2531.2399999999998</v>
      </c>
      <c r="K403" s="59">
        <v>2578.79</v>
      </c>
      <c r="L403" s="59">
        <v>2560.02</v>
      </c>
      <c r="M403" s="59">
        <v>2505.5300000000002</v>
      </c>
      <c r="N403" s="59">
        <v>2482.89</v>
      </c>
      <c r="O403" s="59">
        <v>2505.0100000000002</v>
      </c>
      <c r="P403" s="59">
        <v>2551.2600000000002</v>
      </c>
      <c r="Q403" s="59">
        <v>2621.13</v>
      </c>
      <c r="R403" s="190"/>
      <c r="S403" s="190"/>
      <c r="T403" s="191"/>
      <c r="U403" s="191"/>
      <c r="W403" s="177"/>
      <c r="X403" s="99"/>
    </row>
    <row r="404" spans="1:32" ht="48">
      <c r="A404" s="149"/>
      <c r="B404" s="207"/>
      <c r="C404" s="207"/>
      <c r="D404" s="204" t="s">
        <v>116</v>
      </c>
      <c r="E404" s="51">
        <f t="shared" ref="E404:Q404" si="156">IF(((E402="")*AND(E403="")),"",(E402-E403))</f>
        <v>249.01000000000022</v>
      </c>
      <c r="F404" s="51">
        <f t="shared" si="156"/>
        <v>248.21000000000004</v>
      </c>
      <c r="G404" s="51">
        <f t="shared" si="156"/>
        <v>248.61000000000013</v>
      </c>
      <c r="H404" s="51">
        <f t="shared" si="156"/>
        <v>252.95000000000027</v>
      </c>
      <c r="I404" s="51">
        <f t="shared" si="156"/>
        <v>247.21000000000004</v>
      </c>
      <c r="J404" s="51">
        <f t="shared" si="156"/>
        <v>245.22000000000025</v>
      </c>
      <c r="K404" s="51">
        <f t="shared" si="156"/>
        <v>258.03999999999996</v>
      </c>
      <c r="L404" s="51">
        <f t="shared" si="156"/>
        <v>249.11000000000013</v>
      </c>
      <c r="M404" s="51">
        <f t="shared" si="156"/>
        <v>250.6899999999996</v>
      </c>
      <c r="N404" s="85">
        <f t="shared" si="156"/>
        <v>246.84999999999991</v>
      </c>
      <c r="O404" s="85">
        <f t="shared" si="156"/>
        <v>245.51999999999998</v>
      </c>
      <c r="P404" s="85">
        <f t="shared" si="156"/>
        <v>241.00999999999976</v>
      </c>
      <c r="Q404" s="85">
        <f t="shared" si="156"/>
        <v>249.33999999999969</v>
      </c>
      <c r="R404" s="192"/>
      <c r="S404" s="192"/>
      <c r="T404" s="193"/>
      <c r="U404" s="193"/>
      <c r="W404" s="178"/>
      <c r="X404" s="100"/>
    </row>
    <row r="405" spans="1:32">
      <c r="A405" s="149">
        <v>43242</v>
      </c>
      <c r="B405" s="81" t="s">
        <v>119</v>
      </c>
      <c r="C405" s="81" t="s">
        <v>120</v>
      </c>
      <c r="D405" s="204" t="s">
        <v>114</v>
      </c>
      <c r="E405" s="59">
        <v>6871.92</v>
      </c>
      <c r="F405" s="59">
        <v>6886.65</v>
      </c>
      <c r="G405" s="59">
        <v>6957.62</v>
      </c>
      <c r="H405" s="59">
        <v>6922.45</v>
      </c>
      <c r="I405" s="59">
        <v>7000</v>
      </c>
      <c r="J405" s="59">
        <v>6936.17</v>
      </c>
      <c r="K405" s="59">
        <v>6924.59</v>
      </c>
      <c r="L405" s="59">
        <v>6926.54</v>
      </c>
      <c r="M405" s="59">
        <v>6985.84</v>
      </c>
      <c r="N405" s="210"/>
      <c r="O405" s="210"/>
      <c r="P405" s="210"/>
      <c r="Q405" s="210"/>
      <c r="R405" s="196">
        <f>IF((M406=""),"",MAX(E407:M407))</f>
        <v>4148.2000000000007</v>
      </c>
      <c r="S405" s="194">
        <f>IF(M406="","",MIN(E407:M407))</f>
        <v>3736.619999999999</v>
      </c>
      <c r="T405" s="195">
        <f>IF((M407=""),"",AVERAGE(E407:M407))</f>
        <v>3923.4466666666672</v>
      </c>
      <c r="U405" s="195">
        <f>IF((M406=""),"",(R405-S405)/(R405+S405)*100)</f>
        <v>5.2199035615271088</v>
      </c>
      <c r="V405" s="66">
        <f t="shared" ref="V405:V408" si="157">STDEV(E407:Q407)</f>
        <v>169.48388330456498</v>
      </c>
      <c r="W405" s="83" t="str">
        <f>IF(M406="","",IF(T405&gt;3650,IF(T405&lt;4450,"Pass","Fail"),"Fail"))</f>
        <v>Pass</v>
      </c>
      <c r="X405" s="101">
        <v>1159</v>
      </c>
      <c r="Y405" s="59" t="s">
        <v>132</v>
      </c>
      <c r="AA405" s="86">
        <v>3650</v>
      </c>
      <c r="AB405" s="86">
        <v>4450</v>
      </c>
      <c r="AC405" s="86">
        <v>3700</v>
      </c>
      <c r="AD405" s="86">
        <v>4250</v>
      </c>
      <c r="AE405" s="86">
        <v>7.2</v>
      </c>
      <c r="AF405" s="86">
        <v>3</v>
      </c>
    </row>
    <row r="406" spans="1:32">
      <c r="A406" s="149"/>
      <c r="B406" s="82"/>
      <c r="C406" s="82"/>
      <c r="D406" s="204" t="s">
        <v>115</v>
      </c>
      <c r="E406" s="59">
        <v>4797.82</v>
      </c>
      <c r="F406" s="59">
        <v>4988.3999999999996</v>
      </c>
      <c r="G406" s="59">
        <v>5089.3100000000004</v>
      </c>
      <c r="H406" s="59">
        <v>5022.8</v>
      </c>
      <c r="I406" s="59">
        <v>4938.51</v>
      </c>
      <c r="J406" s="59">
        <v>4925.9799999999996</v>
      </c>
      <c r="K406" s="59">
        <v>5026.76</v>
      </c>
      <c r="L406" s="59">
        <v>5029.79</v>
      </c>
      <c r="M406" s="59">
        <v>4936.8999999999996</v>
      </c>
      <c r="N406" s="205"/>
      <c r="O406" s="205"/>
      <c r="P406" s="205"/>
      <c r="Q406" s="205"/>
      <c r="R406" s="190"/>
      <c r="S406" s="190"/>
      <c r="T406" s="191"/>
      <c r="U406" s="191"/>
      <c r="W406" s="177"/>
      <c r="X406" s="99"/>
    </row>
    <row r="407" spans="1:32" ht="48">
      <c r="A407" s="149"/>
      <c r="B407" s="207"/>
      <c r="C407" s="207"/>
      <c r="D407" s="204" t="s">
        <v>116</v>
      </c>
      <c r="E407" s="51">
        <f t="shared" ref="E407:M407" si="158">IF(((E405="")*AND(E406="")),"",(E405-E406)*2)</f>
        <v>4148.2000000000007</v>
      </c>
      <c r="F407" s="51">
        <f t="shared" si="158"/>
        <v>3796.5</v>
      </c>
      <c r="G407" s="51">
        <f t="shared" si="158"/>
        <v>3736.619999999999</v>
      </c>
      <c r="H407" s="51">
        <f t="shared" si="158"/>
        <v>3799.2999999999993</v>
      </c>
      <c r="I407" s="51">
        <f t="shared" si="158"/>
        <v>4122.9799999999996</v>
      </c>
      <c r="J407" s="51">
        <f t="shared" si="158"/>
        <v>4020.380000000001</v>
      </c>
      <c r="K407" s="51">
        <f t="shared" si="158"/>
        <v>3795.66</v>
      </c>
      <c r="L407" s="51">
        <f t="shared" si="158"/>
        <v>3793.5</v>
      </c>
      <c r="M407" s="51">
        <f t="shared" si="158"/>
        <v>4097.880000000001</v>
      </c>
      <c r="N407" s="51"/>
      <c r="O407" s="51"/>
      <c r="P407" s="51"/>
      <c r="Q407" s="51"/>
      <c r="R407" s="192"/>
      <c r="S407" s="192"/>
      <c r="T407" s="193"/>
      <c r="U407" s="193"/>
      <c r="W407" s="178"/>
      <c r="X407" s="100"/>
    </row>
    <row r="408" spans="1:32">
      <c r="A408" s="149">
        <v>43242</v>
      </c>
      <c r="B408" s="81" t="s">
        <v>121</v>
      </c>
      <c r="C408" s="81" t="s">
        <v>121</v>
      </c>
      <c r="D408" s="204" t="s">
        <v>114</v>
      </c>
      <c r="E408" s="59">
        <v>1953.58</v>
      </c>
      <c r="F408" s="59">
        <v>1940.37</v>
      </c>
      <c r="G408" s="59">
        <v>1886.84</v>
      </c>
      <c r="H408" s="59">
        <v>1890.58</v>
      </c>
      <c r="I408" s="59">
        <v>1959.82</v>
      </c>
      <c r="J408" s="59">
        <v>1956.08</v>
      </c>
      <c r="K408" s="59">
        <v>1946.58</v>
      </c>
      <c r="L408" s="59">
        <v>1893.4</v>
      </c>
      <c r="M408" s="59">
        <v>1950.82</v>
      </c>
      <c r="N408" s="205"/>
      <c r="O408" s="205"/>
      <c r="P408" s="205"/>
      <c r="Q408" s="205"/>
      <c r="R408" s="194">
        <f>IF((M409=""),"",MAX(E410:M410))</f>
        <v>2438.6399999999994</v>
      </c>
      <c r="S408" s="194">
        <f>IF((M409=""),"",MIN(E410:M410))</f>
        <v>2222.16</v>
      </c>
      <c r="T408" s="195">
        <f>IF((M410=""),"",AVERAGE(E410:M410))</f>
        <v>2350.2577777777774</v>
      </c>
      <c r="U408" s="195">
        <f>IF((M409=""),"",(R408-S408)/(R408+S408)*100)</f>
        <v>4.6446961894953569</v>
      </c>
      <c r="V408" s="66">
        <f t="shared" si="157"/>
        <v>79.537495839664771</v>
      </c>
      <c r="W408" s="174" t="str">
        <f>IF(M409="","",IF(U408&lt;5.5,IF(T408&gt;2200,IF(T408&lt;2900,"Pass","Fail"),"Fail"),"Fail"))</f>
        <v>Pass</v>
      </c>
      <c r="X408" s="92">
        <v>1159</v>
      </c>
      <c r="Y408" s="59" t="s">
        <v>132</v>
      </c>
      <c r="AA408" s="67">
        <v>2000</v>
      </c>
      <c r="AB408" s="67">
        <v>3000</v>
      </c>
      <c r="AC408" s="67">
        <v>2200</v>
      </c>
      <c r="AD408" s="67">
        <v>2900</v>
      </c>
      <c r="AE408" s="67">
        <v>7</v>
      </c>
      <c r="AF408" s="67">
        <v>5.5</v>
      </c>
    </row>
    <row r="409" spans="1:32">
      <c r="A409" s="149"/>
      <c r="B409" s="82"/>
      <c r="C409" s="82"/>
      <c r="D409" s="204" t="s">
        <v>115</v>
      </c>
      <c r="E409" s="59">
        <v>1361.9</v>
      </c>
      <c r="F409" s="59">
        <v>1339.31</v>
      </c>
      <c r="G409" s="59">
        <v>1324.19</v>
      </c>
      <c r="H409" s="59">
        <v>1335.04</v>
      </c>
      <c r="I409" s="59">
        <v>1355.65</v>
      </c>
      <c r="J409" s="59">
        <v>1360.03</v>
      </c>
      <c r="K409" s="59">
        <v>1336.92</v>
      </c>
      <c r="L409" s="59">
        <v>1324.78</v>
      </c>
      <c r="M409" s="59">
        <v>1352.17</v>
      </c>
      <c r="N409" s="205"/>
      <c r="O409" s="205"/>
      <c r="P409" s="205"/>
      <c r="Q409" s="205"/>
      <c r="R409" s="190"/>
      <c r="S409" s="190"/>
      <c r="T409" s="191"/>
      <c r="U409" s="191"/>
      <c r="W409" s="179"/>
      <c r="X409" s="92"/>
    </row>
    <row r="410" spans="1:32" ht="48.75" thickBot="1">
      <c r="A410" s="149"/>
      <c r="B410" s="211"/>
      <c r="C410" s="211"/>
      <c r="D410" s="212" t="s">
        <v>116</v>
      </c>
      <c r="E410" s="87">
        <f t="shared" ref="E410:M410" si="159">IF(((E408="")*AND(E409="")),"",(E408-E409)*4)</f>
        <v>2366.7199999999993</v>
      </c>
      <c r="F410" s="87">
        <f t="shared" si="159"/>
        <v>2404.2399999999998</v>
      </c>
      <c r="G410" s="87">
        <f t="shared" si="159"/>
        <v>2250.5999999999995</v>
      </c>
      <c r="H410" s="87">
        <f t="shared" si="159"/>
        <v>2222.16</v>
      </c>
      <c r="I410" s="87">
        <f t="shared" si="159"/>
        <v>2416.6799999999994</v>
      </c>
      <c r="J410" s="87">
        <f t="shared" si="159"/>
        <v>2384.1999999999998</v>
      </c>
      <c r="K410" s="87">
        <f t="shared" si="159"/>
        <v>2438.6399999999994</v>
      </c>
      <c r="L410" s="87">
        <f t="shared" si="159"/>
        <v>2274.4800000000005</v>
      </c>
      <c r="M410" s="87">
        <f t="shared" si="159"/>
        <v>2394.5999999999995</v>
      </c>
      <c r="N410" s="87"/>
      <c r="O410" s="87"/>
      <c r="P410" s="87"/>
      <c r="Q410" s="87" t="str">
        <f>IF(((Q408="")*AND(Q409="")),"",(Q408-Q409)*4)</f>
        <v/>
      </c>
      <c r="R410" s="197"/>
      <c r="S410" s="197"/>
      <c r="T410" s="198"/>
      <c r="U410" s="198"/>
      <c r="W410" s="180"/>
      <c r="X410" s="93"/>
    </row>
    <row r="411" spans="1:32">
      <c r="A411" s="149">
        <v>43248</v>
      </c>
      <c r="B411" s="200" t="s">
        <v>112</v>
      </c>
      <c r="C411" s="200" t="s">
        <v>113</v>
      </c>
      <c r="D411" s="201" t="s">
        <v>114</v>
      </c>
      <c r="E411" s="59">
        <v>5018.92</v>
      </c>
      <c r="F411" s="59">
        <v>4891.42</v>
      </c>
      <c r="G411" s="59">
        <v>5029.1000000000004</v>
      </c>
      <c r="H411" s="59">
        <v>5428.33</v>
      </c>
      <c r="I411" s="59">
        <v>5380.81</v>
      </c>
      <c r="J411" s="59">
        <v>5254.97</v>
      </c>
      <c r="K411" s="59">
        <v>5109.16</v>
      </c>
      <c r="L411" s="59">
        <v>5297.99</v>
      </c>
      <c r="M411" s="59">
        <v>4942.03</v>
      </c>
      <c r="N411" s="202"/>
      <c r="O411" s="202"/>
      <c r="P411" s="202"/>
      <c r="Q411" s="202"/>
      <c r="R411" s="188">
        <f>IF((M412=""),"",MAX(E413:M413))</f>
        <v>6306.4</v>
      </c>
      <c r="S411" s="188">
        <f>IF((M412=""),"",MIN(E413:M413))</f>
        <v>5659.34</v>
      </c>
      <c r="T411" s="189">
        <f>IF((M413=""),"",AVERAGE(E413:M413))</f>
        <v>6014.8688888888901</v>
      </c>
      <c r="U411" s="189">
        <f>IF((M412=""),"",(R411-S411)/(R411+S411)*100)</f>
        <v>5.4076053800266388</v>
      </c>
      <c r="V411" s="66">
        <f t="shared" ref="V411" si="160">STDEV(E413:Q413)</f>
        <v>217.5889877983185</v>
      </c>
      <c r="W411" s="170" t="str">
        <f>IF(M412="","",IF(U411&lt;6.3,IF(T411&gt;5550,IF(T411&lt;6900,"Pass","Fail"),"Fail"),"Fail"))</f>
        <v>Pass</v>
      </c>
      <c r="X411" s="98">
        <v>1428</v>
      </c>
      <c r="AA411" s="67">
        <v>5860</v>
      </c>
      <c r="AB411" s="67">
        <v>6770</v>
      </c>
      <c r="AC411" s="67">
        <v>5550</v>
      </c>
      <c r="AD411" s="67">
        <v>6900</v>
      </c>
      <c r="AE411" s="67">
        <v>20</v>
      </c>
      <c r="AF411" s="67">
        <v>6.3</v>
      </c>
    </row>
    <row r="412" spans="1:32">
      <c r="A412" s="149"/>
      <c r="B412" s="82"/>
      <c r="C412" s="82"/>
      <c r="D412" s="204" t="s">
        <v>115</v>
      </c>
      <c r="E412" s="59">
        <v>1960.04</v>
      </c>
      <c r="F412" s="59">
        <v>1777.04</v>
      </c>
      <c r="G412" s="59">
        <v>1970.48</v>
      </c>
      <c r="H412" s="59">
        <v>2598.66</v>
      </c>
      <c r="I412" s="59">
        <v>2503.4299999999998</v>
      </c>
      <c r="J412" s="59">
        <v>2301.5</v>
      </c>
      <c r="K412" s="59">
        <v>2047.07</v>
      </c>
      <c r="L412" s="59">
        <v>2338.77</v>
      </c>
      <c r="M412" s="59">
        <v>1788.83</v>
      </c>
      <c r="N412" s="205"/>
      <c r="O412" s="205"/>
      <c r="P412" s="205"/>
      <c r="Q412" s="205"/>
      <c r="R412" s="190"/>
      <c r="S412" s="190"/>
      <c r="T412" s="191"/>
      <c r="U412" s="191"/>
      <c r="W412" s="177"/>
      <c r="X412" s="99"/>
    </row>
    <row r="413" spans="1:32" ht="48">
      <c r="A413" s="149"/>
      <c r="B413" s="207"/>
      <c r="C413" s="207"/>
      <c r="D413" s="204" t="s">
        <v>116</v>
      </c>
      <c r="E413" s="51">
        <f t="shared" ref="E413:M413" si="161">IF(((E411="")*AND(E412="")),"",(E411-E412)*2)</f>
        <v>6117.76</v>
      </c>
      <c r="F413" s="51">
        <f t="shared" si="161"/>
        <v>6228.76</v>
      </c>
      <c r="G413" s="51">
        <f t="shared" si="161"/>
        <v>6117.2400000000007</v>
      </c>
      <c r="H413" s="51">
        <f t="shared" si="161"/>
        <v>5659.34</v>
      </c>
      <c r="I413" s="51">
        <f t="shared" si="161"/>
        <v>5754.7600000000011</v>
      </c>
      <c r="J413" s="51">
        <f t="shared" si="161"/>
        <v>5906.9400000000005</v>
      </c>
      <c r="K413" s="51">
        <f t="shared" si="161"/>
        <v>6124.18</v>
      </c>
      <c r="L413" s="51">
        <f t="shared" si="161"/>
        <v>5918.44</v>
      </c>
      <c r="M413" s="51">
        <f t="shared" si="161"/>
        <v>6306.4</v>
      </c>
      <c r="N413" s="51"/>
      <c r="O413" s="51"/>
      <c r="P413" s="51"/>
      <c r="Q413" s="51" t="str">
        <f>IF(((Q411="")*AND(Q412="")),"",(Q411-Q412)*2)</f>
        <v/>
      </c>
      <c r="R413" s="192"/>
      <c r="S413" s="192"/>
      <c r="T413" s="193"/>
      <c r="U413" s="193"/>
      <c r="W413" s="178"/>
      <c r="X413" s="100"/>
    </row>
    <row r="414" spans="1:32">
      <c r="A414" s="149">
        <v>43248</v>
      </c>
      <c r="B414" s="81" t="s">
        <v>117</v>
      </c>
      <c r="C414" s="81" t="s">
        <v>118</v>
      </c>
      <c r="D414" s="204" t="s">
        <v>114</v>
      </c>
      <c r="E414" s="59">
        <v>2573.2199999999998</v>
      </c>
      <c r="F414" s="59">
        <v>2495.86</v>
      </c>
      <c r="G414" s="59">
        <v>2492.15</v>
      </c>
      <c r="H414" s="59">
        <v>2489.3200000000002</v>
      </c>
      <c r="I414" s="59">
        <v>2500.35</v>
      </c>
      <c r="J414" s="59">
        <v>2533.9499999999998</v>
      </c>
      <c r="K414" s="59">
        <v>2606.2199999999998</v>
      </c>
      <c r="L414" s="59">
        <v>2561.27</v>
      </c>
      <c r="M414" s="59">
        <v>2514.71</v>
      </c>
      <c r="N414" s="59">
        <v>2482.81</v>
      </c>
      <c r="O414" s="59">
        <v>2505.1</v>
      </c>
      <c r="P414" s="59">
        <v>2556.4699999999998</v>
      </c>
      <c r="Q414" s="59">
        <v>2623.9</v>
      </c>
      <c r="R414" s="194">
        <f>IF((Q415=""),"",MAX(E416:Q416))</f>
        <v>314.82999999999993</v>
      </c>
      <c r="S414" s="194">
        <f>IF(Q415="","",MIN(E416:Q416))</f>
        <v>259.57000000000016</v>
      </c>
      <c r="T414" s="195">
        <f>IF((Q416=""),"",AVERAGE(E416:Q416))</f>
        <v>286.42692307692312</v>
      </c>
      <c r="U414" s="195">
        <f>IF((Q415=""),"",(R414-S414)/(R414+S414)*100)</f>
        <v>9.6204735376044148</v>
      </c>
      <c r="V414" s="66">
        <f t="shared" ref="V414" si="162">STDEV(E416:Q416)</f>
        <v>11.586401788745933</v>
      </c>
      <c r="W414" s="83" t="str">
        <f>IF(Q415="","",IF(T414&gt;242,IF(T414&lt;320,"Pass","Fail"),"Fail"))</f>
        <v>Pass</v>
      </c>
      <c r="X414" s="101">
        <v>1428</v>
      </c>
      <c r="AA414" s="67">
        <v>240</v>
      </c>
      <c r="AB414" s="67">
        <v>320</v>
      </c>
      <c r="AC414" s="67">
        <v>190</v>
      </c>
      <c r="AD414" s="67">
        <v>360</v>
      </c>
      <c r="AE414" s="67">
        <v>20</v>
      </c>
      <c r="AF414" s="67">
        <v>11</v>
      </c>
    </row>
    <row r="415" spans="1:32">
      <c r="A415" s="149"/>
      <c r="B415" s="82"/>
      <c r="C415" s="82"/>
      <c r="D415" s="204" t="s">
        <v>115</v>
      </c>
      <c r="E415" s="59">
        <v>2287.89</v>
      </c>
      <c r="F415" s="59">
        <v>2236.29</v>
      </c>
      <c r="G415" s="59">
        <v>2203.16</v>
      </c>
      <c r="H415" s="59">
        <v>2199.79</v>
      </c>
      <c r="I415" s="59">
        <v>2216.09</v>
      </c>
      <c r="J415" s="59">
        <v>2249.6799999999998</v>
      </c>
      <c r="K415" s="59">
        <v>2291.39</v>
      </c>
      <c r="L415" s="59">
        <v>2276.0700000000002</v>
      </c>
      <c r="M415" s="59">
        <v>2224.73</v>
      </c>
      <c r="N415" s="59">
        <v>2198.4299999999998</v>
      </c>
      <c r="O415" s="59">
        <v>2224.14</v>
      </c>
      <c r="P415" s="59">
        <v>2269.39</v>
      </c>
      <c r="Q415" s="59">
        <v>2334.73</v>
      </c>
      <c r="R415" s="190"/>
      <c r="S415" s="190"/>
      <c r="T415" s="191"/>
      <c r="U415" s="191"/>
      <c r="W415" s="177"/>
      <c r="X415" s="99"/>
    </row>
    <row r="416" spans="1:32" ht="48">
      <c r="A416" s="149"/>
      <c r="B416" s="207"/>
      <c r="C416" s="207"/>
      <c r="D416" s="204" t="s">
        <v>116</v>
      </c>
      <c r="E416" s="51">
        <f t="shared" ref="E416:Q416" si="163">IF(((E414="")*AND(E415="")),"",(E414-E415))</f>
        <v>285.32999999999993</v>
      </c>
      <c r="F416" s="51">
        <f t="shared" si="163"/>
        <v>259.57000000000016</v>
      </c>
      <c r="G416" s="51">
        <f t="shared" si="163"/>
        <v>288.99000000000024</v>
      </c>
      <c r="H416" s="51">
        <f t="shared" si="163"/>
        <v>289.5300000000002</v>
      </c>
      <c r="I416" s="51">
        <f t="shared" si="163"/>
        <v>284.25999999999976</v>
      </c>
      <c r="J416" s="51">
        <f t="shared" si="163"/>
        <v>284.27</v>
      </c>
      <c r="K416" s="51">
        <f t="shared" si="163"/>
        <v>314.82999999999993</v>
      </c>
      <c r="L416" s="51">
        <f t="shared" si="163"/>
        <v>285.19999999999982</v>
      </c>
      <c r="M416" s="51">
        <f t="shared" si="163"/>
        <v>289.98</v>
      </c>
      <c r="N416" s="85">
        <f t="shared" si="163"/>
        <v>284.38000000000011</v>
      </c>
      <c r="O416" s="85">
        <f t="shared" si="163"/>
        <v>280.96000000000004</v>
      </c>
      <c r="P416" s="85">
        <f t="shared" si="163"/>
        <v>287.07999999999993</v>
      </c>
      <c r="Q416" s="85">
        <f t="shared" si="163"/>
        <v>289.17000000000007</v>
      </c>
      <c r="R416" s="192"/>
      <c r="S416" s="192"/>
      <c r="T416" s="193"/>
      <c r="U416" s="193"/>
      <c r="W416" s="178"/>
      <c r="X416" s="100"/>
    </row>
    <row r="417" spans="1:32">
      <c r="A417" s="149">
        <v>43248</v>
      </c>
      <c r="B417" s="81" t="s">
        <v>119</v>
      </c>
      <c r="C417" s="81" t="s">
        <v>120</v>
      </c>
      <c r="D417" s="204" t="s">
        <v>114</v>
      </c>
      <c r="E417" s="59">
        <v>4810.53</v>
      </c>
      <c r="F417" s="59">
        <v>4995</v>
      </c>
      <c r="G417" s="59">
        <v>5095.72</v>
      </c>
      <c r="H417" s="59">
        <v>5026.62</v>
      </c>
      <c r="I417" s="59">
        <v>4944.08</v>
      </c>
      <c r="J417" s="59">
        <v>4933.51</v>
      </c>
      <c r="K417" s="59">
        <v>5032.33</v>
      </c>
      <c r="L417" s="59">
        <v>5036.0600000000004</v>
      </c>
      <c r="M417" s="59">
        <v>4944.97</v>
      </c>
      <c r="N417" s="210"/>
      <c r="O417" s="210"/>
      <c r="P417" s="210"/>
      <c r="Q417" s="210"/>
      <c r="R417" s="196">
        <f>IF((M418=""),"",MAX(E419:M419))</f>
        <v>4252.6399999999994</v>
      </c>
      <c r="S417" s="194">
        <f>IF(M418="","",MIN(E419:M419))</f>
        <v>3779.2200000000003</v>
      </c>
      <c r="T417" s="195">
        <f>IF((M419=""),"",AVERAGE(E419:M419))</f>
        <v>3989.5799999999995</v>
      </c>
      <c r="U417" s="195">
        <f>IF((M418=""),"",(R417-S417)/(R417+S417)*100)</f>
        <v>5.894276045648196</v>
      </c>
      <c r="V417" s="66">
        <f t="shared" ref="V417:V420" si="164">STDEV(E419:Q419)</f>
        <v>194.04947461925551</v>
      </c>
      <c r="W417" s="83" t="str">
        <f>IF(M418="","",IF(T417&gt;3650,IF(T417&lt;4450,"Pass","Fail"),"Fail"))</f>
        <v>Pass</v>
      </c>
      <c r="X417" s="101">
        <v>1428</v>
      </c>
      <c r="AA417" s="86">
        <v>3650</v>
      </c>
      <c r="AB417" s="86">
        <v>4450</v>
      </c>
      <c r="AC417" s="86">
        <v>3700</v>
      </c>
      <c r="AD417" s="86">
        <v>4250</v>
      </c>
      <c r="AE417" s="86">
        <v>7.2</v>
      </c>
      <c r="AF417" s="86">
        <v>3</v>
      </c>
    </row>
    <row r="418" spans="1:32">
      <c r="A418" s="149"/>
      <c r="B418" s="82"/>
      <c r="C418" s="82"/>
      <c r="D418" s="204" t="s">
        <v>115</v>
      </c>
      <c r="E418" s="59">
        <v>2684.21</v>
      </c>
      <c r="F418" s="59">
        <v>3071.13</v>
      </c>
      <c r="G418" s="59">
        <v>3206.11</v>
      </c>
      <c r="H418" s="59">
        <v>3101.11</v>
      </c>
      <c r="I418" s="59">
        <v>2821.93</v>
      </c>
      <c r="J418" s="59">
        <v>2889.62</v>
      </c>
      <c r="K418" s="59">
        <v>3111.71</v>
      </c>
      <c r="L418" s="59">
        <v>3115.86</v>
      </c>
      <c r="M418" s="59">
        <v>2864.03</v>
      </c>
      <c r="N418" s="205"/>
      <c r="O418" s="205"/>
      <c r="P418" s="205"/>
      <c r="Q418" s="205"/>
      <c r="R418" s="190"/>
      <c r="S418" s="190"/>
      <c r="T418" s="191"/>
      <c r="U418" s="191"/>
      <c r="W418" s="177"/>
      <c r="X418" s="99"/>
    </row>
    <row r="419" spans="1:32" ht="48">
      <c r="A419" s="149"/>
      <c r="B419" s="207"/>
      <c r="C419" s="207"/>
      <c r="D419" s="204" t="s">
        <v>116</v>
      </c>
      <c r="E419" s="51">
        <f t="shared" ref="E419:M419" si="165">IF(((E417="")*AND(E418="")),"",(E417-E418)*2)</f>
        <v>4252.6399999999994</v>
      </c>
      <c r="F419" s="51">
        <f t="shared" si="165"/>
        <v>3847.74</v>
      </c>
      <c r="G419" s="51">
        <f t="shared" si="165"/>
        <v>3779.2200000000003</v>
      </c>
      <c r="H419" s="51">
        <f t="shared" si="165"/>
        <v>3851.0199999999995</v>
      </c>
      <c r="I419" s="51">
        <f t="shared" si="165"/>
        <v>4244.3</v>
      </c>
      <c r="J419" s="51">
        <f t="shared" si="165"/>
        <v>4087.7800000000007</v>
      </c>
      <c r="K419" s="51">
        <f t="shared" si="165"/>
        <v>3841.24</v>
      </c>
      <c r="L419" s="51">
        <f t="shared" si="165"/>
        <v>3840.4000000000005</v>
      </c>
      <c r="M419" s="51">
        <f t="shared" si="165"/>
        <v>4161.88</v>
      </c>
      <c r="N419" s="51"/>
      <c r="O419" s="51"/>
      <c r="P419" s="51"/>
      <c r="Q419" s="51"/>
      <c r="R419" s="192"/>
      <c r="S419" s="192"/>
      <c r="T419" s="193"/>
      <c r="U419" s="193"/>
      <c r="W419" s="178"/>
      <c r="X419" s="100"/>
    </row>
    <row r="420" spans="1:32">
      <c r="A420" s="149">
        <v>43248</v>
      </c>
      <c r="B420" s="81" t="s">
        <v>121</v>
      </c>
      <c r="C420" s="81" t="s">
        <v>121</v>
      </c>
      <c r="D420" s="204" t="s">
        <v>114</v>
      </c>
      <c r="E420" s="59">
        <v>1360.11</v>
      </c>
      <c r="F420" s="59">
        <v>1337</v>
      </c>
      <c r="G420" s="59">
        <v>1322.71</v>
      </c>
      <c r="H420" s="59">
        <v>1332.84</v>
      </c>
      <c r="I420" s="59">
        <v>1354.94</v>
      </c>
      <c r="J420" s="59">
        <v>1357.24</v>
      </c>
      <c r="K420" s="59">
        <v>1335.43</v>
      </c>
      <c r="L420" s="59">
        <v>1320.12</v>
      </c>
      <c r="M420" s="59">
        <v>1353.22</v>
      </c>
      <c r="N420" s="205"/>
      <c r="O420" s="205"/>
      <c r="P420" s="205"/>
      <c r="Q420" s="205"/>
      <c r="R420" s="194">
        <f>IF((M421=""),"",MAX(E422:M422))</f>
        <v>2404.7199999999998</v>
      </c>
      <c r="S420" s="194">
        <f>IF((M421=""),"",MIN(E422:M422))</f>
        <v>2286.6800000000003</v>
      </c>
      <c r="T420" s="195">
        <f>IF((M422=""),"",AVERAGE(E422:M422))</f>
        <v>2357.6488888888889</v>
      </c>
      <c r="U420" s="195">
        <f>IF((M421=""),"",(R420-S420)/(R420+S420)*100)</f>
        <v>2.5160932770601425</v>
      </c>
      <c r="V420" s="66">
        <f t="shared" si="164"/>
        <v>37.32489130741898</v>
      </c>
      <c r="W420" s="174" t="str">
        <f>IF(M421="","",IF(U420&lt;5.5,IF(T420&gt;2200,IF(T420&lt;2900,"Pass","Fail"),"Fail"),"Fail"))</f>
        <v>Pass</v>
      </c>
      <c r="X420" s="92">
        <v>1428</v>
      </c>
      <c r="AA420" s="67">
        <v>2000</v>
      </c>
      <c r="AB420" s="67">
        <v>3000</v>
      </c>
      <c r="AC420" s="67">
        <v>2200</v>
      </c>
      <c r="AD420" s="67">
        <v>2900</v>
      </c>
      <c r="AE420" s="67">
        <v>7</v>
      </c>
      <c r="AF420" s="67">
        <v>5.5</v>
      </c>
    </row>
    <row r="421" spans="1:32">
      <c r="A421" s="149"/>
      <c r="B421" s="82"/>
      <c r="C421" s="82"/>
      <c r="D421" s="204" t="s">
        <v>115</v>
      </c>
      <c r="E421" s="59">
        <v>777.37</v>
      </c>
      <c r="F421" s="59">
        <v>747.83</v>
      </c>
      <c r="G421" s="59">
        <v>751.04</v>
      </c>
      <c r="H421" s="59">
        <v>731.66</v>
      </c>
      <c r="I421" s="59">
        <v>762.43</v>
      </c>
      <c r="J421" s="59">
        <v>767.85</v>
      </c>
      <c r="K421" s="59">
        <v>735.54</v>
      </c>
      <c r="L421" s="59">
        <v>737.33</v>
      </c>
      <c r="M421" s="59">
        <v>757.85</v>
      </c>
      <c r="N421" s="205"/>
      <c r="O421" s="205"/>
      <c r="P421" s="205"/>
      <c r="Q421" s="205"/>
      <c r="R421" s="190"/>
      <c r="S421" s="190"/>
      <c r="T421" s="191"/>
      <c r="U421" s="191"/>
      <c r="W421" s="179"/>
      <c r="X421" s="92"/>
    </row>
    <row r="422" spans="1:32" ht="48.75" thickBot="1">
      <c r="A422" s="149"/>
      <c r="B422" s="211"/>
      <c r="C422" s="211"/>
      <c r="D422" s="212" t="s">
        <v>116</v>
      </c>
      <c r="E422" s="87">
        <f t="shared" ref="E422:M422" si="166">IF(((E420="")*AND(E421="")),"",(E420-E421)*4)</f>
        <v>2330.9599999999996</v>
      </c>
      <c r="F422" s="87">
        <f t="shared" si="166"/>
        <v>2356.6799999999998</v>
      </c>
      <c r="G422" s="87">
        <f t="shared" si="166"/>
        <v>2286.6800000000003</v>
      </c>
      <c r="H422" s="87">
        <f t="shared" si="166"/>
        <v>2404.7199999999998</v>
      </c>
      <c r="I422" s="87">
        <f t="shared" si="166"/>
        <v>2370.0400000000004</v>
      </c>
      <c r="J422" s="87">
        <f t="shared" si="166"/>
        <v>2357.56</v>
      </c>
      <c r="K422" s="87">
        <f t="shared" si="166"/>
        <v>2399.5600000000004</v>
      </c>
      <c r="L422" s="87">
        <f t="shared" si="166"/>
        <v>2331.1599999999994</v>
      </c>
      <c r="M422" s="87">
        <f t="shared" si="166"/>
        <v>2381.48</v>
      </c>
      <c r="N422" s="87"/>
      <c r="O422" s="87"/>
      <c r="P422" s="87"/>
      <c r="Q422" s="87" t="str">
        <f>IF(((Q420="")*AND(Q421="")),"",(Q420-Q421)*4)</f>
        <v/>
      </c>
      <c r="R422" s="197"/>
      <c r="S422" s="197"/>
      <c r="T422" s="198"/>
      <c r="U422" s="198"/>
      <c r="W422" s="180"/>
      <c r="X422" s="93"/>
    </row>
    <row r="423" spans="1:32">
      <c r="A423" s="149">
        <v>43251</v>
      </c>
      <c r="B423" s="200" t="s">
        <v>112</v>
      </c>
      <c r="C423" s="200" t="s">
        <v>113</v>
      </c>
      <c r="D423" s="201" t="s">
        <v>114</v>
      </c>
      <c r="E423" s="59">
        <v>7995.48</v>
      </c>
      <c r="F423" s="59">
        <v>7929.77</v>
      </c>
      <c r="G423" s="59">
        <v>8003.14</v>
      </c>
      <c r="H423" s="59">
        <v>8195.2800000000007</v>
      </c>
      <c r="I423" s="59">
        <v>8192.43</v>
      </c>
      <c r="J423" s="59">
        <v>8124.23</v>
      </c>
      <c r="K423" s="59">
        <v>8082.8</v>
      </c>
      <c r="L423" s="59">
        <v>8181.17</v>
      </c>
      <c r="M423" s="59">
        <v>8022.22</v>
      </c>
      <c r="N423" s="202"/>
      <c r="O423" s="202"/>
      <c r="P423" s="202"/>
      <c r="Q423" s="202"/>
      <c r="R423" s="188">
        <f>IF((M424=""),"",MAX(E425:M425))</f>
        <v>6089.9400000000014</v>
      </c>
      <c r="S423" s="188">
        <f>IF((M424=""),"",MIN(E425:M425))</f>
        <v>5432.4900000000025</v>
      </c>
      <c r="T423" s="189">
        <f>IF((M425=""),"",AVERAGE(E425:M425))</f>
        <v>5768.4466666666676</v>
      </c>
      <c r="U423" s="189">
        <f>IF((M424=""),"",(R423-S423)/(R423+S423)*100)</f>
        <v>5.7058276769743763</v>
      </c>
      <c r="V423" s="66">
        <f t="shared" ref="V423" si="167">STDEV(E425:Q425)</f>
        <v>205.75380099768262</v>
      </c>
      <c r="W423" s="170" t="str">
        <f>IF(M424="","",IF(U423&lt;6.3,IF(T423&gt;5550,IF(T423&lt;6900,"Pass","Fail"),"Fail"),"Fail"))</f>
        <v>Pass</v>
      </c>
      <c r="X423" s="98">
        <v>121</v>
      </c>
      <c r="Z423" s="59" t="s">
        <v>133</v>
      </c>
      <c r="AA423" s="67">
        <v>5860</v>
      </c>
      <c r="AB423" s="67">
        <v>6770</v>
      </c>
      <c r="AC423" s="67">
        <v>5550</v>
      </c>
      <c r="AD423" s="67">
        <v>6900</v>
      </c>
      <c r="AE423" s="67">
        <v>20</v>
      </c>
      <c r="AF423" s="67">
        <v>6.3</v>
      </c>
    </row>
    <row r="424" spans="1:32">
      <c r="A424" s="149"/>
      <c r="B424" s="82"/>
      <c r="C424" s="82"/>
      <c r="D424" s="204" t="s">
        <v>115</v>
      </c>
      <c r="E424" s="59">
        <v>6051.77</v>
      </c>
      <c r="F424" s="59">
        <v>5949.36</v>
      </c>
      <c r="G424" s="59">
        <v>6056.61</v>
      </c>
      <c r="H424" s="59">
        <v>6384.45</v>
      </c>
      <c r="I424" s="59">
        <v>6347.61</v>
      </c>
      <c r="J424" s="59">
        <v>6235.07</v>
      </c>
      <c r="K424" s="59">
        <v>6121.45</v>
      </c>
      <c r="L424" s="59">
        <v>6282.62</v>
      </c>
      <c r="M424" s="59">
        <v>5992.24</v>
      </c>
      <c r="N424" s="205"/>
      <c r="O424" s="205"/>
      <c r="P424" s="205"/>
      <c r="Q424" s="205"/>
      <c r="R424" s="190"/>
      <c r="S424" s="190"/>
      <c r="T424" s="191"/>
      <c r="U424" s="191"/>
      <c r="W424" s="177"/>
      <c r="X424" s="99"/>
    </row>
    <row r="425" spans="1:32" ht="48">
      <c r="A425" s="149"/>
      <c r="B425" s="207"/>
      <c r="C425" s="207"/>
      <c r="D425" s="204" t="s">
        <v>116</v>
      </c>
      <c r="E425" s="51">
        <f>IF(((E423="")*AND(E424="")),"",(E423-E424)*3)</f>
        <v>5831.1299999999974</v>
      </c>
      <c r="F425" s="51">
        <f t="shared" ref="F425:M425" si="168">IF(((F423="")*AND(F424="")),"",(F423-F424)*3)</f>
        <v>5941.2300000000023</v>
      </c>
      <c r="G425" s="51">
        <f t="shared" si="168"/>
        <v>5839.590000000002</v>
      </c>
      <c r="H425" s="51">
        <f t="shared" si="168"/>
        <v>5432.4900000000025</v>
      </c>
      <c r="I425" s="51">
        <f t="shared" si="168"/>
        <v>5534.4600000000019</v>
      </c>
      <c r="J425" s="51">
        <f t="shared" si="168"/>
        <v>5667.48</v>
      </c>
      <c r="K425" s="51">
        <f t="shared" si="168"/>
        <v>5884.0500000000011</v>
      </c>
      <c r="L425" s="51">
        <f t="shared" si="168"/>
        <v>5695.6500000000005</v>
      </c>
      <c r="M425" s="51">
        <f t="shared" si="168"/>
        <v>6089.9400000000014</v>
      </c>
      <c r="N425" s="51"/>
      <c r="O425" s="51"/>
      <c r="P425" s="51"/>
      <c r="Q425" s="51" t="str">
        <f>IF(((Q423="")*AND(Q424="")),"",(Q423-Q424)*2)</f>
        <v/>
      </c>
      <c r="R425" s="192"/>
      <c r="S425" s="192"/>
      <c r="T425" s="193"/>
      <c r="U425" s="193"/>
      <c r="W425" s="178"/>
      <c r="X425" s="100"/>
    </row>
    <row r="426" spans="1:32">
      <c r="A426" s="149">
        <v>43251</v>
      </c>
      <c r="B426" s="81" t="s">
        <v>117</v>
      </c>
      <c r="C426" s="81" t="s">
        <v>118</v>
      </c>
      <c r="D426" s="204" t="s">
        <v>114</v>
      </c>
      <c r="E426" s="59">
        <v>2282.4899999999998</v>
      </c>
      <c r="F426" s="59">
        <v>2229.2600000000002</v>
      </c>
      <c r="G426" s="59">
        <v>2195.9699999999998</v>
      </c>
      <c r="H426" s="59">
        <v>2187.2199999999998</v>
      </c>
      <c r="I426" s="59">
        <v>2211.4299999999998</v>
      </c>
      <c r="J426" s="59">
        <v>2258.19</v>
      </c>
      <c r="K426" s="59">
        <v>2286.5700000000002</v>
      </c>
      <c r="L426" s="59">
        <v>2269.7800000000002</v>
      </c>
      <c r="M426" s="59">
        <v>2212.84</v>
      </c>
      <c r="N426" s="59">
        <v>2190.4299999999998</v>
      </c>
      <c r="O426" s="59">
        <v>2219.6</v>
      </c>
      <c r="P426" s="59">
        <v>2268.56</v>
      </c>
      <c r="Q426" s="59">
        <v>2329.58</v>
      </c>
      <c r="R426" s="194">
        <f>IF((Q427=""),"",MAX(E428:Q428))</f>
        <v>345.04999999999995</v>
      </c>
      <c r="S426" s="194">
        <f>IF(Q427="","",MIN(E428:Q428))</f>
        <v>270.20999999999981</v>
      </c>
      <c r="T426" s="195">
        <f>IF((Q428=""),"",AVERAGE(E428:Q428))</f>
        <v>304.33692307692309</v>
      </c>
      <c r="U426" s="195">
        <f>IF((Q427=""),"",(R426-S426)/(R426+S426)*100)</f>
        <v>12.163963202548544</v>
      </c>
      <c r="V426" s="66">
        <f t="shared" ref="V426" si="169">STDEV(E428:Q428)</f>
        <v>26.477669013911378</v>
      </c>
      <c r="W426" s="83" t="str">
        <f>IF(Q427="","",IF(T426&gt;242,IF(T426&lt;320,"Pass","Fail"),"Fail"))</f>
        <v>Pass</v>
      </c>
      <c r="X426" s="101">
        <v>121</v>
      </c>
      <c r="AA426" s="67">
        <v>240</v>
      </c>
      <c r="AB426" s="67">
        <v>320</v>
      </c>
      <c r="AC426" s="67">
        <v>190</v>
      </c>
      <c r="AD426" s="67">
        <v>360</v>
      </c>
      <c r="AE426" s="67">
        <v>20</v>
      </c>
      <c r="AF426" s="67">
        <v>11</v>
      </c>
    </row>
    <row r="427" spans="1:32">
      <c r="A427" s="149"/>
      <c r="B427" s="82"/>
      <c r="C427" s="82"/>
      <c r="D427" s="204" t="s">
        <v>115</v>
      </c>
      <c r="E427" s="59">
        <v>1960.77</v>
      </c>
      <c r="F427" s="59">
        <v>1937.73</v>
      </c>
      <c r="G427" s="59">
        <v>1922.91</v>
      </c>
      <c r="H427" s="59">
        <v>1917.01</v>
      </c>
      <c r="I427" s="59">
        <v>1920.54</v>
      </c>
      <c r="J427" s="59">
        <v>1933.33</v>
      </c>
      <c r="K427" s="59">
        <v>1944.03</v>
      </c>
      <c r="L427" s="59">
        <v>1944.33</v>
      </c>
      <c r="M427" s="59">
        <v>1922.38</v>
      </c>
      <c r="N427" s="59">
        <v>1918.02</v>
      </c>
      <c r="O427" s="59">
        <v>1930.11</v>
      </c>
      <c r="P427" s="59">
        <v>1949.85</v>
      </c>
      <c r="Q427" s="59">
        <v>1984.53</v>
      </c>
      <c r="R427" s="190"/>
      <c r="S427" s="190"/>
      <c r="T427" s="191"/>
      <c r="U427" s="191"/>
      <c r="W427" s="177"/>
      <c r="X427" s="99"/>
    </row>
    <row r="428" spans="1:32" ht="48">
      <c r="A428" s="149"/>
      <c r="B428" s="207"/>
      <c r="C428" s="207"/>
      <c r="D428" s="204" t="s">
        <v>116</v>
      </c>
      <c r="E428" s="51">
        <f t="shared" ref="E428:Q428" si="170">IF(((E426="")*AND(E427="")),"",(E426-E427))</f>
        <v>321.7199999999998</v>
      </c>
      <c r="F428" s="51">
        <f t="shared" si="170"/>
        <v>291.5300000000002</v>
      </c>
      <c r="G428" s="51">
        <f t="shared" si="170"/>
        <v>273.05999999999972</v>
      </c>
      <c r="H428" s="51">
        <f t="shared" si="170"/>
        <v>270.20999999999981</v>
      </c>
      <c r="I428" s="51">
        <f t="shared" si="170"/>
        <v>290.88999999999987</v>
      </c>
      <c r="J428" s="51">
        <f t="shared" si="170"/>
        <v>324.86000000000013</v>
      </c>
      <c r="K428" s="51">
        <f t="shared" si="170"/>
        <v>342.54000000000019</v>
      </c>
      <c r="L428" s="51">
        <f t="shared" si="170"/>
        <v>325.45000000000027</v>
      </c>
      <c r="M428" s="51">
        <f t="shared" si="170"/>
        <v>290.46000000000004</v>
      </c>
      <c r="N428" s="85">
        <f t="shared" si="170"/>
        <v>272.40999999999985</v>
      </c>
      <c r="O428" s="85">
        <f t="shared" si="170"/>
        <v>289.49</v>
      </c>
      <c r="P428" s="85">
        <f t="shared" si="170"/>
        <v>318.71000000000004</v>
      </c>
      <c r="Q428" s="85">
        <f t="shared" si="170"/>
        <v>345.04999999999995</v>
      </c>
      <c r="R428" s="192"/>
      <c r="S428" s="192"/>
      <c r="T428" s="193"/>
      <c r="U428" s="193"/>
      <c r="W428" s="178"/>
      <c r="X428" s="100"/>
    </row>
    <row r="429" spans="1:32">
      <c r="A429" s="149">
        <v>43251</v>
      </c>
      <c r="B429" s="81" t="s">
        <v>119</v>
      </c>
      <c r="C429" s="81" t="s">
        <v>120</v>
      </c>
      <c r="D429" s="204" t="s">
        <v>114</v>
      </c>
      <c r="E429" s="59">
        <v>2695.51</v>
      </c>
      <c r="F429" s="59">
        <v>3085.37</v>
      </c>
      <c r="G429" s="59">
        <v>3221.3</v>
      </c>
      <c r="H429" s="59">
        <v>3115.36</v>
      </c>
      <c r="I429" s="59">
        <v>2832.44</v>
      </c>
      <c r="J429" s="59">
        <v>2898.39</v>
      </c>
      <c r="K429" s="59">
        <v>3126.08</v>
      </c>
      <c r="L429" s="59">
        <v>3130.5</v>
      </c>
      <c r="M429" s="59">
        <v>2877.67</v>
      </c>
      <c r="N429" s="210"/>
      <c r="O429" s="210"/>
      <c r="P429" s="210"/>
      <c r="Q429" s="210"/>
      <c r="R429" s="196">
        <f>IF((M430=""),"",MAX(E431:M431))</f>
        <v>4202.84</v>
      </c>
      <c r="S429" s="194">
        <f>IF(M430="","",MIN(E431:M431))</f>
        <v>3782.9600000000005</v>
      </c>
      <c r="T429" s="195">
        <f>IF((M431=""),"",AVERAGE(E431:M431))</f>
        <v>3956.0777777777776</v>
      </c>
      <c r="U429" s="195">
        <f>IF((M430=""),"",(R429-S429)/(R429+S429)*100)</f>
        <v>5.2578326529589967</v>
      </c>
      <c r="V429" s="66">
        <f t="shared" ref="V429:V432" si="171">STDEV(E431:Q431)</f>
        <v>171.67925979700939</v>
      </c>
      <c r="W429" s="83" t="str">
        <f>IF(M430="","",IF(T429&gt;3650,IF(T429&lt;4450,"Pass","Fail"),"Fail"))</f>
        <v>Pass</v>
      </c>
      <c r="X429" s="101">
        <v>121</v>
      </c>
      <c r="AA429" s="86">
        <v>3650</v>
      </c>
      <c r="AB429" s="86">
        <v>4450</v>
      </c>
      <c r="AC429" s="86">
        <v>3700</v>
      </c>
      <c r="AD429" s="86">
        <v>4250</v>
      </c>
      <c r="AE429" s="86">
        <v>7.2</v>
      </c>
      <c r="AF429" s="86">
        <v>3</v>
      </c>
    </row>
    <row r="430" spans="1:32">
      <c r="A430" s="149"/>
      <c r="B430" s="82"/>
      <c r="C430" s="82"/>
      <c r="D430" s="204" t="s">
        <v>115</v>
      </c>
      <c r="E430" s="59">
        <v>613.13</v>
      </c>
      <c r="F430" s="59">
        <v>1175.69</v>
      </c>
      <c r="G430" s="59">
        <v>1329.82</v>
      </c>
      <c r="H430" s="59">
        <v>1198.99</v>
      </c>
      <c r="I430" s="59">
        <v>731.02</v>
      </c>
      <c r="J430" s="59">
        <v>881.38</v>
      </c>
      <c r="K430" s="59">
        <v>1215.23</v>
      </c>
      <c r="L430" s="59">
        <v>1217.03</v>
      </c>
      <c r="M430" s="59">
        <v>817.98</v>
      </c>
      <c r="N430" s="205"/>
      <c r="O430" s="205"/>
      <c r="P430" s="205"/>
      <c r="Q430" s="205"/>
      <c r="R430" s="190"/>
      <c r="S430" s="190"/>
      <c r="T430" s="191"/>
      <c r="U430" s="191"/>
      <c r="W430" s="177"/>
      <c r="X430" s="99"/>
    </row>
    <row r="431" spans="1:32" ht="48">
      <c r="A431" s="149"/>
      <c r="B431" s="207"/>
      <c r="C431" s="207"/>
      <c r="D431" s="204" t="s">
        <v>116</v>
      </c>
      <c r="E431" s="51">
        <f t="shared" ref="E431:M431" si="172">IF(((E429="")*AND(E430="")),"",(E429-E430)*2)</f>
        <v>4164.76</v>
      </c>
      <c r="F431" s="51">
        <f t="shared" si="172"/>
        <v>3819.3599999999997</v>
      </c>
      <c r="G431" s="51">
        <f t="shared" si="172"/>
        <v>3782.9600000000005</v>
      </c>
      <c r="H431" s="51">
        <f t="shared" si="172"/>
        <v>3832.7400000000002</v>
      </c>
      <c r="I431" s="51">
        <f t="shared" si="172"/>
        <v>4202.84</v>
      </c>
      <c r="J431" s="51">
        <f t="shared" si="172"/>
        <v>4034.0199999999995</v>
      </c>
      <c r="K431" s="51">
        <f t="shared" si="172"/>
        <v>3821.7</v>
      </c>
      <c r="L431" s="51">
        <f t="shared" si="172"/>
        <v>3826.94</v>
      </c>
      <c r="M431" s="51">
        <f t="shared" si="172"/>
        <v>4119.38</v>
      </c>
      <c r="N431" s="51"/>
      <c r="O431" s="51"/>
      <c r="P431" s="51"/>
      <c r="Q431" s="51"/>
      <c r="R431" s="192"/>
      <c r="S431" s="192"/>
      <c r="T431" s="193"/>
      <c r="U431" s="193"/>
      <c r="W431" s="178"/>
      <c r="X431" s="100"/>
    </row>
    <row r="432" spans="1:32">
      <c r="A432" s="149">
        <v>43251</v>
      </c>
      <c r="B432" s="81" t="s">
        <v>121</v>
      </c>
      <c r="C432" s="81" t="s">
        <v>121</v>
      </c>
      <c r="D432" s="204" t="s">
        <v>114</v>
      </c>
      <c r="E432" s="59">
        <v>1845.97</v>
      </c>
      <c r="F432" s="59">
        <v>1843.5</v>
      </c>
      <c r="G432" s="59">
        <v>1860.48</v>
      </c>
      <c r="H432" s="59">
        <v>1796.15</v>
      </c>
      <c r="I432" s="59">
        <v>1819.18</v>
      </c>
      <c r="J432" s="59">
        <v>1856.55</v>
      </c>
      <c r="K432" s="59">
        <v>1855.97</v>
      </c>
      <c r="L432" s="59">
        <v>1787.76</v>
      </c>
      <c r="M432" s="59">
        <v>1855.73</v>
      </c>
      <c r="N432" s="205"/>
      <c r="O432" s="205"/>
      <c r="P432" s="205"/>
      <c r="Q432" s="205"/>
      <c r="R432" s="194">
        <f>IF((M433=""),"",MAX(E434:M434))</f>
        <v>2201.2799999999997</v>
      </c>
      <c r="S432" s="194">
        <f>IF((M433=""),"",MIN(E434:M434))</f>
        <v>1891.8000000000002</v>
      </c>
      <c r="T432" s="195">
        <f>IF((M434=""),"",AVERAGE(E434:M434))</f>
        <v>2046.7822222222219</v>
      </c>
      <c r="U432" s="195">
        <f>IF((M433=""),"",(R432-S432)/(R432+S432)*100)</f>
        <v>7.5610542672021941</v>
      </c>
      <c r="V432" s="66">
        <f t="shared" si="171"/>
        <v>96.147617986328129</v>
      </c>
      <c r="W432" s="182" t="str">
        <f>IF(M433="","",IF(T432&gt;2000,IF(T432&lt;3000,"Pass","Fail"),"Fail"))</f>
        <v>Pass</v>
      </c>
      <c r="X432" s="92">
        <v>121</v>
      </c>
      <c r="AA432" s="67">
        <v>2000</v>
      </c>
      <c r="AB432" s="67">
        <v>3000</v>
      </c>
      <c r="AC432" s="67">
        <v>2200</v>
      </c>
      <c r="AD432" s="67">
        <v>2900</v>
      </c>
      <c r="AE432" s="67">
        <v>7</v>
      </c>
      <c r="AF432" s="67">
        <v>5.5</v>
      </c>
    </row>
    <row r="433" spans="1:32">
      <c r="A433" s="149"/>
      <c r="B433" s="82"/>
      <c r="C433" s="82"/>
      <c r="D433" s="204" t="s">
        <v>115</v>
      </c>
      <c r="E433" s="59">
        <v>1336.9</v>
      </c>
      <c r="F433" s="59">
        <v>1324.71</v>
      </c>
      <c r="G433" s="59">
        <v>1327.4</v>
      </c>
      <c r="H433" s="59">
        <v>1306.27</v>
      </c>
      <c r="I433" s="59">
        <v>1346.23</v>
      </c>
      <c r="J433" s="59">
        <v>1340.54</v>
      </c>
      <c r="K433" s="59">
        <v>1305.6500000000001</v>
      </c>
      <c r="L433" s="59">
        <v>1297.3</v>
      </c>
      <c r="M433" s="59">
        <v>1331.03</v>
      </c>
      <c r="N433" s="205"/>
      <c r="O433" s="205"/>
      <c r="P433" s="205"/>
      <c r="Q433" s="205"/>
      <c r="R433" s="190"/>
      <c r="S433" s="190"/>
      <c r="T433" s="191"/>
      <c r="U433" s="191"/>
      <c r="W433" s="179"/>
      <c r="X433" s="92"/>
    </row>
    <row r="434" spans="1:32" ht="48.75" thickBot="1">
      <c r="A434" s="149"/>
      <c r="B434" s="211"/>
      <c r="C434" s="211"/>
      <c r="D434" s="212" t="s">
        <v>116</v>
      </c>
      <c r="E434" s="87">
        <f t="shared" ref="E434:M434" si="173">IF(((E432="")*AND(E433="")),"",(E432-E433)*4)</f>
        <v>2036.2799999999997</v>
      </c>
      <c r="F434" s="87">
        <f t="shared" si="173"/>
        <v>2075.16</v>
      </c>
      <c r="G434" s="87">
        <f t="shared" si="173"/>
        <v>2132.3199999999997</v>
      </c>
      <c r="H434" s="87">
        <f t="shared" si="173"/>
        <v>1959.5200000000004</v>
      </c>
      <c r="I434" s="87">
        <f t="shared" si="173"/>
        <v>1891.8000000000002</v>
      </c>
      <c r="J434" s="87">
        <f t="shared" si="173"/>
        <v>2064.04</v>
      </c>
      <c r="K434" s="87">
        <f t="shared" si="173"/>
        <v>2201.2799999999997</v>
      </c>
      <c r="L434" s="87">
        <f t="shared" si="173"/>
        <v>1961.8400000000001</v>
      </c>
      <c r="M434" s="87">
        <f t="shared" si="173"/>
        <v>2098.8000000000002</v>
      </c>
      <c r="N434" s="87"/>
      <c r="O434" s="87"/>
      <c r="P434" s="87"/>
      <c r="Q434" s="87" t="str">
        <f>IF(((Q432="")*AND(Q433="")),"",(Q432-Q433)*4)</f>
        <v/>
      </c>
      <c r="R434" s="197"/>
      <c r="S434" s="197"/>
      <c r="T434" s="198"/>
      <c r="U434" s="198"/>
      <c r="W434" s="180"/>
      <c r="X434" s="93"/>
    </row>
    <row r="435" spans="1:32">
      <c r="A435" s="149">
        <v>43255</v>
      </c>
      <c r="B435" s="200" t="s">
        <v>112</v>
      </c>
      <c r="C435" s="200" t="s">
        <v>113</v>
      </c>
      <c r="D435" s="201" t="s">
        <v>114</v>
      </c>
      <c r="E435" s="59">
        <v>6061.67</v>
      </c>
      <c r="F435" s="59">
        <v>5958.43</v>
      </c>
      <c r="G435" s="59">
        <v>6066.38</v>
      </c>
      <c r="H435" s="59">
        <v>6393.72</v>
      </c>
      <c r="I435" s="59">
        <v>6356.62</v>
      </c>
      <c r="J435" s="59">
        <v>6245.02</v>
      </c>
      <c r="K435" s="59">
        <v>6131.03</v>
      </c>
      <c r="L435" s="59">
        <v>6292.47</v>
      </c>
      <c r="M435" s="59">
        <v>6001.76</v>
      </c>
      <c r="N435" s="202"/>
      <c r="O435" s="202"/>
      <c r="P435" s="202"/>
      <c r="Q435" s="202"/>
      <c r="R435" s="188">
        <f>IF((M436=""),"",MAX(E437:M437))</f>
        <v>6390.1200000000008</v>
      </c>
      <c r="S435" s="188">
        <f>IF((M436=""),"",MIN(E437:M437))</f>
        <v>5736.090000000002</v>
      </c>
      <c r="T435" s="189">
        <f>IF((M437=""),"",AVERAGE(E437:M437))</f>
        <v>6073.8766666666688</v>
      </c>
      <c r="U435" s="189">
        <f>IF((M436=""),"",(R435-S435)/(R435+S435)*100)</f>
        <v>5.3935236153752797</v>
      </c>
      <c r="V435" s="66">
        <f t="shared" ref="V435" si="174">STDEV(E437:Q437)</f>
        <v>208.85765589267825</v>
      </c>
      <c r="W435" s="170" t="str">
        <f>IF(M436="","",IF(U435&lt;6.3,IF(T435&gt;5550,IF(T435&lt;6900,"Pass","Fail"),"Fail"),"Fail"))</f>
        <v>Pass</v>
      </c>
      <c r="X435" s="98"/>
      <c r="AA435" s="67">
        <v>5860</v>
      </c>
      <c r="AB435" s="67">
        <v>6770</v>
      </c>
      <c r="AC435" s="67">
        <v>5550</v>
      </c>
      <c r="AD435" s="67">
        <v>6900</v>
      </c>
      <c r="AE435" s="67">
        <v>20</v>
      </c>
      <c r="AF435" s="67">
        <v>6.3</v>
      </c>
    </row>
    <row r="436" spans="1:32">
      <c r="A436" s="149"/>
      <c r="B436" s="82"/>
      <c r="C436" s="82"/>
      <c r="D436" s="204" t="s">
        <v>115</v>
      </c>
      <c r="E436" s="59">
        <v>4016.43</v>
      </c>
      <c r="F436" s="59">
        <v>3866.49</v>
      </c>
      <c r="G436" s="59">
        <v>4018.54</v>
      </c>
      <c r="H436" s="59">
        <v>4481.6899999999996</v>
      </c>
      <c r="I436" s="59">
        <v>4408.9399999999996</v>
      </c>
      <c r="J436" s="59">
        <v>4255.37</v>
      </c>
      <c r="K436" s="59">
        <v>4068.41</v>
      </c>
      <c r="L436" s="59">
        <v>4297.88</v>
      </c>
      <c r="M436" s="59">
        <v>3871.72</v>
      </c>
      <c r="N436" s="205"/>
      <c r="O436" s="205"/>
      <c r="P436" s="205"/>
      <c r="Q436" s="205"/>
      <c r="R436" s="190"/>
      <c r="S436" s="190"/>
      <c r="T436" s="191"/>
      <c r="U436" s="191"/>
      <c r="W436" s="177"/>
      <c r="X436" s="99"/>
    </row>
    <row r="437" spans="1:32" ht="48">
      <c r="A437" s="149"/>
      <c r="B437" s="207"/>
      <c r="C437" s="207"/>
      <c r="D437" s="204" t="s">
        <v>116</v>
      </c>
      <c r="E437" s="51">
        <f>IF(((E435="")*AND(E436="")),"",(E435-E436)*3)</f>
        <v>6135.7200000000012</v>
      </c>
      <c r="F437" s="51">
        <f t="shared" ref="F437:M437" si="175">IF(((F435="")*AND(F436="")),"",(F435-F436)*3)</f>
        <v>6275.8200000000015</v>
      </c>
      <c r="G437" s="51">
        <f t="shared" si="175"/>
        <v>6143.52</v>
      </c>
      <c r="H437" s="51">
        <f t="shared" si="175"/>
        <v>5736.090000000002</v>
      </c>
      <c r="I437" s="51">
        <f t="shared" si="175"/>
        <v>5843.0400000000009</v>
      </c>
      <c r="J437" s="51">
        <f t="shared" si="175"/>
        <v>5968.9500000000016</v>
      </c>
      <c r="K437" s="51">
        <f t="shared" si="175"/>
        <v>6187.86</v>
      </c>
      <c r="L437" s="51">
        <f t="shared" si="175"/>
        <v>5983.77</v>
      </c>
      <c r="M437" s="51">
        <f t="shared" si="175"/>
        <v>6390.1200000000008</v>
      </c>
      <c r="N437" s="51"/>
      <c r="O437" s="51"/>
      <c r="P437" s="51"/>
      <c r="Q437" s="51" t="str">
        <f>IF(((Q435="")*AND(Q436="")),"",(Q435-Q436)*2)</f>
        <v/>
      </c>
      <c r="R437" s="192"/>
      <c r="S437" s="192"/>
      <c r="T437" s="193"/>
      <c r="U437" s="193"/>
      <c r="W437" s="178"/>
      <c r="X437" s="100"/>
    </row>
    <row r="438" spans="1:32">
      <c r="A438" s="149">
        <v>43255</v>
      </c>
      <c r="B438" s="81" t="s">
        <v>117</v>
      </c>
      <c r="C438" s="81" t="s">
        <v>118</v>
      </c>
      <c r="D438" s="204" t="s">
        <v>114</v>
      </c>
      <c r="E438" s="59">
        <v>1945.13</v>
      </c>
      <c r="F438" s="59">
        <v>1917.92</v>
      </c>
      <c r="G438" s="59">
        <v>1913.63</v>
      </c>
      <c r="H438" s="59">
        <v>1905.69</v>
      </c>
      <c r="I438" s="59">
        <v>1907.67</v>
      </c>
      <c r="J438" s="59">
        <v>1926.78</v>
      </c>
      <c r="K438" s="59">
        <v>1910.88</v>
      </c>
      <c r="L438" s="59">
        <v>1926.06</v>
      </c>
      <c r="M438" s="59">
        <v>1883.37</v>
      </c>
      <c r="N438" s="59">
        <v>1896.88</v>
      </c>
      <c r="O438" s="59">
        <v>1910.77</v>
      </c>
      <c r="P438" s="59">
        <v>1930.01</v>
      </c>
      <c r="Q438" s="59">
        <v>1949.8</v>
      </c>
      <c r="R438" s="194">
        <f>IF((Q439=""),"",MAX(E440:Q440))</f>
        <v>256.80999999999995</v>
      </c>
      <c r="S438" s="194">
        <f>IF(Q439="","",MIN(E440:Q440))</f>
        <v>217.73999999999978</v>
      </c>
      <c r="T438" s="195">
        <f>IF((Q440=""),"",AVERAGE(E440:Q440))</f>
        <v>239.74307692307687</v>
      </c>
      <c r="U438" s="195">
        <f>IF((Q439=""),"",(R438-S438)/(R438+S438)*100)</f>
        <v>8.2330629016963837</v>
      </c>
      <c r="V438" s="66">
        <f t="shared" ref="V438" si="176">STDEV(E440:Q440)</f>
        <v>9.9547780693630941</v>
      </c>
      <c r="W438" s="83" t="str">
        <f>IF(Q439="","",IF(T438&gt;242,IF(T438&lt;320,"Pass","Fail"),"Fail"))</f>
        <v>Fail</v>
      </c>
      <c r="X438" s="101"/>
      <c r="AA438" s="67">
        <v>240</v>
      </c>
      <c r="AB438" s="67">
        <v>320</v>
      </c>
      <c r="AC438" s="67">
        <v>190</v>
      </c>
      <c r="AD438" s="67">
        <v>360</v>
      </c>
      <c r="AE438" s="67">
        <v>20</v>
      </c>
      <c r="AF438" s="67">
        <v>11</v>
      </c>
    </row>
    <row r="439" spans="1:32">
      <c r="A439" s="149"/>
      <c r="B439" s="82"/>
      <c r="C439" s="82"/>
      <c r="D439" s="204" t="s">
        <v>115</v>
      </c>
      <c r="E439" s="59">
        <v>1703.69</v>
      </c>
      <c r="F439" s="59">
        <v>1680.55</v>
      </c>
      <c r="G439" s="59">
        <v>1670.31</v>
      </c>
      <c r="H439" s="59">
        <v>1648.88</v>
      </c>
      <c r="I439" s="59">
        <v>1659.49</v>
      </c>
      <c r="J439" s="59">
        <v>1682.71</v>
      </c>
      <c r="K439" s="59">
        <v>1668.4</v>
      </c>
      <c r="L439" s="59">
        <v>1682.06</v>
      </c>
      <c r="M439" s="59">
        <v>1665.63</v>
      </c>
      <c r="N439" s="59">
        <v>1656.93</v>
      </c>
      <c r="O439" s="59">
        <v>1666.41</v>
      </c>
      <c r="P439" s="59">
        <v>1702.38</v>
      </c>
      <c r="Q439" s="59">
        <v>1720.49</v>
      </c>
      <c r="R439" s="190"/>
      <c r="S439" s="190"/>
      <c r="T439" s="191"/>
      <c r="U439" s="191"/>
      <c r="W439" s="177"/>
      <c r="X439" s="99"/>
    </row>
    <row r="440" spans="1:32" ht="48">
      <c r="A440" s="149"/>
      <c r="B440" s="207"/>
      <c r="C440" s="207"/>
      <c r="D440" s="204" t="s">
        <v>116</v>
      </c>
      <c r="E440" s="51">
        <f t="shared" ref="E440:Q440" si="177">IF(((E438="")*AND(E439="")),"",(E438-E439))</f>
        <v>241.44000000000005</v>
      </c>
      <c r="F440" s="51">
        <f t="shared" si="177"/>
        <v>237.37000000000012</v>
      </c>
      <c r="G440" s="51">
        <f t="shared" si="177"/>
        <v>243.32000000000016</v>
      </c>
      <c r="H440" s="51">
        <f t="shared" si="177"/>
        <v>256.80999999999995</v>
      </c>
      <c r="I440" s="51">
        <f t="shared" si="177"/>
        <v>248.18000000000006</v>
      </c>
      <c r="J440" s="51">
        <f t="shared" si="177"/>
        <v>244.06999999999994</v>
      </c>
      <c r="K440" s="51">
        <f t="shared" si="177"/>
        <v>242.48000000000002</v>
      </c>
      <c r="L440" s="51">
        <f t="shared" si="177"/>
        <v>244</v>
      </c>
      <c r="M440" s="51">
        <f t="shared" si="177"/>
        <v>217.73999999999978</v>
      </c>
      <c r="N440" s="85">
        <f t="shared" si="177"/>
        <v>239.95000000000005</v>
      </c>
      <c r="O440" s="85">
        <f t="shared" si="177"/>
        <v>244.3599999999999</v>
      </c>
      <c r="P440" s="85">
        <f t="shared" si="177"/>
        <v>227.62999999999988</v>
      </c>
      <c r="Q440" s="85">
        <f t="shared" si="177"/>
        <v>229.30999999999995</v>
      </c>
      <c r="R440" s="192"/>
      <c r="S440" s="192"/>
      <c r="T440" s="193"/>
      <c r="U440" s="193"/>
      <c r="W440" s="178"/>
      <c r="X440" s="100"/>
    </row>
    <row r="441" spans="1:32">
      <c r="A441" s="149">
        <v>43255</v>
      </c>
      <c r="B441" s="81" t="s">
        <v>119</v>
      </c>
      <c r="C441" s="81" t="s">
        <v>120</v>
      </c>
      <c r="D441" s="204" t="s">
        <v>114</v>
      </c>
      <c r="E441" s="59">
        <v>6866.87</v>
      </c>
      <c r="F441" s="59">
        <v>6878.47</v>
      </c>
      <c r="G441" s="59">
        <v>6953.42</v>
      </c>
      <c r="H441" s="59">
        <v>6920.34</v>
      </c>
      <c r="I441" s="59">
        <v>7021.15</v>
      </c>
      <c r="J441" s="59">
        <v>6929.64</v>
      </c>
      <c r="K441" s="59">
        <v>6920.55</v>
      </c>
      <c r="L441" s="59">
        <v>6925.46</v>
      </c>
      <c r="M441" s="59">
        <v>6986.34</v>
      </c>
      <c r="N441" s="210"/>
      <c r="O441" s="210"/>
      <c r="P441" s="210"/>
      <c r="Q441" s="210"/>
      <c r="R441" s="196">
        <f>IF((M442=""),"",MAX(E443:M443))</f>
        <v>4187.2799999999988</v>
      </c>
      <c r="S441" s="194">
        <f>IF(M442="","",MIN(E443:M443))</f>
        <v>3764.92</v>
      </c>
      <c r="T441" s="195">
        <f>IF((M443=""),"",AVERAGE(E443:M443))</f>
        <v>3946.6733333333332</v>
      </c>
      <c r="U441" s="195">
        <f>IF((M442=""),"",(R441-S441)/(R441+S441)*100)</f>
        <v>5.3112346268956871</v>
      </c>
      <c r="V441" s="66">
        <f t="shared" ref="V441" si="178">STDEV(E443:Q443)</f>
        <v>167.56073287021292</v>
      </c>
      <c r="W441" s="83" t="str">
        <f>IF(M442="","",IF(T441&gt;3650,IF(T441&lt;4450,"Pass","Fail"),"Fail"))</f>
        <v>Pass</v>
      </c>
      <c r="X441" s="101"/>
      <c r="AA441" s="86">
        <v>3650</v>
      </c>
      <c r="AB441" s="86">
        <v>4450</v>
      </c>
      <c r="AC441" s="86">
        <v>3700</v>
      </c>
      <c r="AD441" s="86">
        <v>4250</v>
      </c>
      <c r="AE441" s="86">
        <v>7.2</v>
      </c>
      <c r="AF441" s="86">
        <v>3</v>
      </c>
    </row>
    <row r="442" spans="1:32">
      <c r="A442" s="149"/>
      <c r="B442" s="82"/>
      <c r="C442" s="82"/>
      <c r="D442" s="204" t="s">
        <v>115</v>
      </c>
      <c r="E442" s="59">
        <v>4793.3500000000004</v>
      </c>
      <c r="F442" s="59">
        <v>4968.25</v>
      </c>
      <c r="G442" s="59">
        <v>5070.96</v>
      </c>
      <c r="H442" s="59">
        <v>5005.71</v>
      </c>
      <c r="I442" s="59">
        <v>4927.51</v>
      </c>
      <c r="J442" s="59">
        <v>4922.74</v>
      </c>
      <c r="K442" s="59">
        <v>5006.51</v>
      </c>
      <c r="L442" s="59">
        <v>5017.82</v>
      </c>
      <c r="M442" s="59">
        <v>4929.3599999999997</v>
      </c>
      <c r="N442" s="205"/>
      <c r="O442" s="205"/>
      <c r="P442" s="205"/>
      <c r="Q442" s="205"/>
      <c r="R442" s="190"/>
      <c r="S442" s="190"/>
      <c r="T442" s="191"/>
      <c r="U442" s="191"/>
      <c r="W442" s="177"/>
      <c r="X442" s="99"/>
    </row>
    <row r="443" spans="1:32" ht="48">
      <c r="A443" s="149"/>
      <c r="B443" s="207"/>
      <c r="C443" s="207"/>
      <c r="D443" s="204" t="s">
        <v>116</v>
      </c>
      <c r="E443" s="51">
        <f t="shared" ref="E443:M443" si="179">IF(((E441="")*AND(E442="")),"",(E441-E442)*2)</f>
        <v>4147.0399999999991</v>
      </c>
      <c r="F443" s="51">
        <f t="shared" si="179"/>
        <v>3820.4400000000005</v>
      </c>
      <c r="G443" s="51">
        <f t="shared" si="179"/>
        <v>3764.92</v>
      </c>
      <c r="H443" s="51">
        <f t="shared" si="179"/>
        <v>3829.26</v>
      </c>
      <c r="I443" s="51">
        <f t="shared" si="179"/>
        <v>4187.2799999999988</v>
      </c>
      <c r="J443" s="51">
        <f t="shared" si="179"/>
        <v>4013.8000000000011</v>
      </c>
      <c r="K443" s="51">
        <f t="shared" si="179"/>
        <v>3828.08</v>
      </c>
      <c r="L443" s="51">
        <f t="shared" si="179"/>
        <v>3815.2800000000007</v>
      </c>
      <c r="M443" s="51">
        <f t="shared" si="179"/>
        <v>4113.9600000000009</v>
      </c>
      <c r="N443" s="51"/>
      <c r="O443" s="51"/>
      <c r="P443" s="51"/>
      <c r="Q443" s="51"/>
      <c r="R443" s="192"/>
      <c r="S443" s="192"/>
      <c r="T443" s="193"/>
      <c r="U443" s="193"/>
      <c r="W443" s="178"/>
      <c r="X443" s="100"/>
    </row>
    <row r="444" spans="1:32">
      <c r="A444" s="149">
        <v>43255</v>
      </c>
      <c r="B444" s="81" t="s">
        <v>121</v>
      </c>
      <c r="C444" s="81" t="s">
        <v>121</v>
      </c>
      <c r="D444" s="204" t="s">
        <v>114</v>
      </c>
      <c r="E444" s="59">
        <v>1341.7</v>
      </c>
      <c r="F444" s="59">
        <v>1318.46</v>
      </c>
      <c r="G444" s="59">
        <v>1318.84</v>
      </c>
      <c r="H444" s="59">
        <v>1303.45</v>
      </c>
      <c r="I444" s="59">
        <v>1332.62</v>
      </c>
      <c r="J444" s="59">
        <v>1344.04</v>
      </c>
      <c r="K444" s="59">
        <v>1310.05</v>
      </c>
      <c r="L444" s="59">
        <v>1308.1400000000001</v>
      </c>
      <c r="M444" s="59">
        <v>1354.28</v>
      </c>
      <c r="N444" s="205"/>
      <c r="O444" s="205"/>
      <c r="P444" s="205"/>
      <c r="Q444" s="205"/>
      <c r="R444" s="194">
        <f>IF((M445=""),"",MAX(E446:M446))</f>
        <v>2575.48</v>
      </c>
      <c r="S444" s="194">
        <f>IF((M445=""),"",MIN(E446:M446))</f>
        <v>2323.2399999999998</v>
      </c>
      <c r="T444" s="195">
        <f>IF((M446=""),"",AVERAGE(E446:M446))</f>
        <v>2456.1333333333332</v>
      </c>
      <c r="U444" s="195">
        <f>IF((M445=""),"",(R444-S444)/(R444+S444)*100)</f>
        <v>5.1491001731064499</v>
      </c>
      <c r="V444" s="66">
        <f t="shared" ref="V444" si="180">STDEV(E446:Q446)</f>
        <v>81.001266656749706</v>
      </c>
      <c r="W444" s="182" t="str">
        <f>IF(M445="","",IF(T444&gt;2000,IF(T444&lt;3000,"Pass","Fail"),"Fail"))</f>
        <v>Pass</v>
      </c>
      <c r="X444" s="92"/>
      <c r="AA444" s="67">
        <v>2000</v>
      </c>
      <c r="AB444" s="67">
        <v>3000</v>
      </c>
      <c r="AC444" s="67">
        <v>2200</v>
      </c>
      <c r="AD444" s="67">
        <v>2900</v>
      </c>
      <c r="AE444" s="67">
        <v>7</v>
      </c>
      <c r="AF444" s="67">
        <v>5.5</v>
      </c>
    </row>
    <row r="445" spans="1:32">
      <c r="A445" s="149"/>
      <c r="B445" s="82"/>
      <c r="C445" s="82"/>
      <c r="D445" s="204" t="s">
        <v>115</v>
      </c>
      <c r="E445" s="59">
        <v>724.69</v>
      </c>
      <c r="F445" s="59">
        <v>706.39</v>
      </c>
      <c r="G445" s="59">
        <v>738.03</v>
      </c>
      <c r="H445" s="59">
        <v>702</v>
      </c>
      <c r="I445" s="59">
        <v>716.1</v>
      </c>
      <c r="J445" s="59">
        <v>700.17</v>
      </c>
      <c r="K445" s="59">
        <v>688.24</v>
      </c>
      <c r="L445" s="59">
        <v>714.54</v>
      </c>
      <c r="M445" s="59">
        <v>715.12</v>
      </c>
      <c r="N445" s="205"/>
      <c r="O445" s="205"/>
      <c r="P445" s="205"/>
      <c r="Q445" s="205"/>
      <c r="R445" s="190"/>
      <c r="S445" s="190"/>
      <c r="T445" s="191"/>
      <c r="U445" s="191"/>
      <c r="W445" s="179"/>
      <c r="X445" s="92"/>
    </row>
    <row r="446" spans="1:32" ht="48.75" thickBot="1">
      <c r="A446" s="149"/>
      <c r="B446" s="211"/>
      <c r="C446" s="211"/>
      <c r="D446" s="212" t="s">
        <v>116</v>
      </c>
      <c r="E446" s="87">
        <f t="shared" ref="E446:M446" si="181">IF(((E444="")*AND(E445="")),"",(E444-E445)*4)</f>
        <v>2468.04</v>
      </c>
      <c r="F446" s="87">
        <f t="shared" si="181"/>
        <v>2448.2800000000002</v>
      </c>
      <c r="G446" s="87">
        <f t="shared" si="181"/>
        <v>2323.2399999999998</v>
      </c>
      <c r="H446" s="87">
        <f t="shared" si="181"/>
        <v>2405.8000000000002</v>
      </c>
      <c r="I446" s="87">
        <f t="shared" si="181"/>
        <v>2466.0799999999995</v>
      </c>
      <c r="J446" s="87">
        <f t="shared" si="181"/>
        <v>2575.48</v>
      </c>
      <c r="K446" s="87">
        <f t="shared" si="181"/>
        <v>2487.2399999999998</v>
      </c>
      <c r="L446" s="87">
        <f t="shared" si="181"/>
        <v>2374.4000000000005</v>
      </c>
      <c r="M446" s="87">
        <f t="shared" si="181"/>
        <v>2556.64</v>
      </c>
      <c r="N446" s="87"/>
      <c r="O446" s="87"/>
      <c r="P446" s="87"/>
      <c r="Q446" s="87" t="str">
        <f>IF(((Q444="")*AND(Q445="")),"",(Q444-Q445)*4)</f>
        <v/>
      </c>
      <c r="R446" s="197"/>
      <c r="S446" s="197"/>
      <c r="T446" s="198"/>
      <c r="U446" s="198"/>
      <c r="W446" s="180"/>
      <c r="X446" s="93"/>
    </row>
    <row r="447" spans="1:32">
      <c r="A447" s="149">
        <v>43258</v>
      </c>
      <c r="B447" s="200" t="s">
        <v>112</v>
      </c>
      <c r="C447" s="200" t="s">
        <v>113</v>
      </c>
      <c r="D447" s="201" t="s">
        <v>114</v>
      </c>
      <c r="E447" s="59">
        <v>4029.02</v>
      </c>
      <c r="F447" s="59">
        <v>3878.5</v>
      </c>
      <c r="G447" s="59">
        <v>4030.58</v>
      </c>
      <c r="H447" s="59">
        <v>4486.5200000000004</v>
      </c>
      <c r="I447" s="59">
        <v>4417.0600000000004</v>
      </c>
      <c r="J447" s="59">
        <v>4262.58</v>
      </c>
      <c r="K447" s="59">
        <v>4079.82</v>
      </c>
      <c r="L447" s="59">
        <v>4306.37</v>
      </c>
      <c r="M447" s="59">
        <v>3882.36</v>
      </c>
      <c r="N447" s="202"/>
      <c r="O447" s="202"/>
      <c r="P447" s="202"/>
      <c r="Q447" s="202"/>
      <c r="R447" s="188">
        <f>IF((M448=""),"",MAX(E449:M449))</f>
        <v>6408.7800000000007</v>
      </c>
      <c r="S447" s="188">
        <f>IF((M448=""),"",MIN(E449:M449))</f>
        <v>5706.8700000000008</v>
      </c>
      <c r="T447" s="189">
        <f>IF((M449=""),"",AVERAGE(E449:M449))</f>
        <v>6078.2599999999993</v>
      </c>
      <c r="U447" s="189">
        <f>IF((M448=""),"",(R447-S447)/(R447+S447)*100)</f>
        <v>5.7934159537457735</v>
      </c>
      <c r="V447" s="66">
        <f t="shared" ref="V447" si="182">STDEV(E449:Q449)</f>
        <v>230.16674520878743</v>
      </c>
      <c r="W447" s="170" t="str">
        <f>IF(M448="","",IF(U447&lt;6.3,IF(T447&gt;5550,IF(T447&lt;6900,"Pass","Fail"),"Fail"),"Fail"))</f>
        <v>Pass</v>
      </c>
      <c r="X447" s="98">
        <v>1335</v>
      </c>
      <c r="Y447" s="59" t="s">
        <v>134</v>
      </c>
      <c r="AA447" s="67">
        <v>5860</v>
      </c>
      <c r="AB447" s="67">
        <v>6770</v>
      </c>
      <c r="AC447" s="67">
        <v>5550</v>
      </c>
      <c r="AD447" s="67">
        <v>6900</v>
      </c>
      <c r="AE447" s="67">
        <v>20</v>
      </c>
      <c r="AF447" s="67">
        <v>6.3</v>
      </c>
    </row>
    <row r="448" spans="1:32">
      <c r="A448" s="149"/>
      <c r="B448" s="82"/>
      <c r="C448" s="82"/>
      <c r="D448" s="204" t="s">
        <v>115</v>
      </c>
      <c r="E448" s="59">
        <v>1973.08</v>
      </c>
      <c r="F448" s="59">
        <v>1782.88</v>
      </c>
      <c r="G448" s="59">
        <v>1969.97</v>
      </c>
      <c r="H448" s="59">
        <v>2584.23</v>
      </c>
      <c r="I448" s="59">
        <v>2481.36</v>
      </c>
      <c r="J448" s="59">
        <v>2274.86</v>
      </c>
      <c r="K448" s="59">
        <v>2010.57</v>
      </c>
      <c r="L448" s="59">
        <v>2314.98</v>
      </c>
      <c r="M448" s="59">
        <v>1746.1</v>
      </c>
      <c r="N448" s="205"/>
      <c r="O448" s="205"/>
      <c r="P448" s="205"/>
      <c r="Q448" s="205"/>
      <c r="R448" s="190"/>
      <c r="S448" s="190"/>
      <c r="T448" s="191"/>
      <c r="U448" s="191"/>
      <c r="W448" s="177"/>
      <c r="X448" s="99"/>
    </row>
    <row r="449" spans="1:32" ht="48">
      <c r="A449" s="149"/>
      <c r="B449" s="207"/>
      <c r="C449" s="207"/>
      <c r="D449" s="204" t="s">
        <v>116</v>
      </c>
      <c r="E449" s="51">
        <f>IF(((E447="")*AND(E448="")),"",(E447-E448)*3)</f>
        <v>6167.82</v>
      </c>
      <c r="F449" s="51">
        <f t="shared" ref="F449:Q449" si="183">IF(((F447="")*AND(F448="")),"",(F447-F448)*3)</f>
        <v>6286.86</v>
      </c>
      <c r="G449" s="51">
        <f t="shared" si="183"/>
        <v>6181.829999999999</v>
      </c>
      <c r="H449" s="51">
        <f t="shared" si="183"/>
        <v>5706.8700000000008</v>
      </c>
      <c r="I449" s="51">
        <f t="shared" si="183"/>
        <v>5807.1</v>
      </c>
      <c r="J449" s="51">
        <f t="shared" si="183"/>
        <v>5963.16</v>
      </c>
      <c r="K449" s="51">
        <f t="shared" si="183"/>
        <v>6207.75</v>
      </c>
      <c r="L449" s="51">
        <f t="shared" si="183"/>
        <v>5974.17</v>
      </c>
      <c r="M449" s="51">
        <f t="shared" si="183"/>
        <v>6408.7800000000007</v>
      </c>
      <c r="N449" s="51" t="str">
        <f t="shared" si="183"/>
        <v/>
      </c>
      <c r="O449" s="51" t="str">
        <f t="shared" si="183"/>
        <v/>
      </c>
      <c r="P449" s="51" t="str">
        <f t="shared" si="183"/>
        <v/>
      </c>
      <c r="Q449" s="51" t="str">
        <f t="shared" si="183"/>
        <v/>
      </c>
      <c r="R449" s="192"/>
      <c r="S449" s="192"/>
      <c r="T449" s="193"/>
      <c r="U449" s="193"/>
      <c r="W449" s="178"/>
      <c r="X449" s="100"/>
    </row>
    <row r="450" spans="1:32">
      <c r="A450" s="149">
        <v>43258</v>
      </c>
      <c r="B450" s="81" t="s">
        <v>117</v>
      </c>
      <c r="C450" s="81" t="s">
        <v>118</v>
      </c>
      <c r="D450" s="204" t="s">
        <v>114</v>
      </c>
      <c r="E450" s="59">
        <v>1601.2</v>
      </c>
      <c r="F450" s="59">
        <v>1678.15</v>
      </c>
      <c r="G450" s="59">
        <v>1638.99</v>
      </c>
      <c r="H450" s="59">
        <v>1652.53</v>
      </c>
      <c r="I450" s="59">
        <v>1634.63</v>
      </c>
      <c r="J450" s="59">
        <v>1697.49</v>
      </c>
      <c r="K450" s="59">
        <v>1540.78</v>
      </c>
      <c r="L450" s="59">
        <v>1653.86</v>
      </c>
      <c r="M450" s="59">
        <v>1662.55</v>
      </c>
      <c r="N450" s="59">
        <v>1623.74</v>
      </c>
      <c r="O450" s="59">
        <v>1640.63</v>
      </c>
      <c r="P450" s="59">
        <v>1678.73</v>
      </c>
      <c r="Q450" s="59">
        <v>1725.08</v>
      </c>
      <c r="R450" s="194">
        <f>IF((Q451=""),"",MAX(E452:Q452))</f>
        <v>298.12999999999988</v>
      </c>
      <c r="S450" s="194">
        <f>IF(Q451="","",MIN(E452:Q452))</f>
        <v>165.86999999999989</v>
      </c>
      <c r="T450" s="195">
        <f>IF((Q452=""),"",AVERAGE(E452:Q452))</f>
        <v>242.70615384615388</v>
      </c>
      <c r="U450" s="195">
        <f>IF((Q451=""),"",(R450-S450)/(R450+S450)*100)</f>
        <v>28.504310344827598</v>
      </c>
      <c r="V450" s="66">
        <f t="shared" ref="V450:V453" si="184">STDEV(E452:Q452)</f>
        <v>37.957455029383802</v>
      </c>
      <c r="W450" s="83" t="str">
        <f>IF(Q451="","",IF(T450&gt;242,IF(T450&lt;320,"Pass","Fail"),"Fail"))</f>
        <v>Pass</v>
      </c>
      <c r="X450" s="101">
        <v>1335</v>
      </c>
      <c r="Y450" s="59" t="s">
        <v>134</v>
      </c>
      <c r="AA450" s="67">
        <v>240</v>
      </c>
      <c r="AB450" s="67">
        <v>320</v>
      </c>
      <c r="AC450" s="67">
        <v>190</v>
      </c>
      <c r="AD450" s="67">
        <v>360</v>
      </c>
      <c r="AE450" s="67">
        <v>20</v>
      </c>
      <c r="AF450" s="67">
        <v>11</v>
      </c>
    </row>
    <row r="451" spans="1:32">
      <c r="A451" s="149"/>
      <c r="B451" s="82"/>
      <c r="C451" s="82"/>
      <c r="D451" s="204" t="s">
        <v>115</v>
      </c>
      <c r="E451" s="59">
        <v>1427.69</v>
      </c>
      <c r="F451" s="59">
        <v>1410.99</v>
      </c>
      <c r="G451" s="59">
        <v>1394.96</v>
      </c>
      <c r="H451" s="59">
        <v>1388.32</v>
      </c>
      <c r="I451" s="59">
        <v>1398.07</v>
      </c>
      <c r="J451" s="59">
        <v>1412.96</v>
      </c>
      <c r="K451" s="59">
        <v>1374.91</v>
      </c>
      <c r="L451" s="59">
        <v>1399.33</v>
      </c>
      <c r="M451" s="59">
        <v>1402.33</v>
      </c>
      <c r="N451" s="59">
        <v>1394.82</v>
      </c>
      <c r="O451" s="59">
        <v>1403.94</v>
      </c>
      <c r="P451" s="59">
        <v>1437.91</v>
      </c>
      <c r="Q451" s="59">
        <v>1426.95</v>
      </c>
      <c r="R451" s="190"/>
      <c r="S451" s="190"/>
      <c r="T451" s="191"/>
      <c r="U451" s="191"/>
      <c r="W451" s="177"/>
      <c r="X451" s="99"/>
    </row>
    <row r="452" spans="1:32" ht="48">
      <c r="A452" s="149"/>
      <c r="B452" s="207"/>
      <c r="C452" s="207"/>
      <c r="D452" s="204" t="s">
        <v>116</v>
      </c>
      <c r="E452" s="51">
        <f t="shared" ref="E452:Q452" si="185">IF(((E450="")*AND(E451="")),"",(E450-E451))</f>
        <v>173.51</v>
      </c>
      <c r="F452" s="51">
        <f t="shared" si="185"/>
        <v>267.16000000000008</v>
      </c>
      <c r="G452" s="51">
        <f t="shared" si="185"/>
        <v>244.02999999999997</v>
      </c>
      <c r="H452" s="51">
        <f t="shared" si="185"/>
        <v>264.21000000000004</v>
      </c>
      <c r="I452" s="51">
        <f t="shared" si="185"/>
        <v>236.56000000000017</v>
      </c>
      <c r="J452" s="51">
        <f t="shared" si="185"/>
        <v>284.52999999999997</v>
      </c>
      <c r="K452" s="51">
        <f t="shared" si="185"/>
        <v>165.86999999999989</v>
      </c>
      <c r="L452" s="51">
        <f t="shared" si="185"/>
        <v>254.52999999999997</v>
      </c>
      <c r="M452" s="51">
        <f t="shared" si="185"/>
        <v>260.22000000000003</v>
      </c>
      <c r="N452" s="85">
        <f t="shared" si="185"/>
        <v>228.92000000000007</v>
      </c>
      <c r="O452" s="85">
        <f t="shared" si="185"/>
        <v>236.69000000000005</v>
      </c>
      <c r="P452" s="85">
        <f t="shared" si="185"/>
        <v>240.81999999999994</v>
      </c>
      <c r="Q452" s="85">
        <f t="shared" si="185"/>
        <v>298.12999999999988</v>
      </c>
      <c r="R452" s="192"/>
      <c r="S452" s="192"/>
      <c r="T452" s="193"/>
      <c r="U452" s="193"/>
      <c r="W452" s="178"/>
      <c r="X452" s="100"/>
    </row>
    <row r="453" spans="1:32">
      <c r="A453" s="149">
        <v>43258</v>
      </c>
      <c r="B453" s="81" t="s">
        <v>119</v>
      </c>
      <c r="C453" s="81" t="s">
        <v>120</v>
      </c>
      <c r="D453" s="204" t="s">
        <v>114</v>
      </c>
      <c r="E453" s="59">
        <v>4808.51</v>
      </c>
      <c r="F453" s="59">
        <v>4977.09</v>
      </c>
      <c r="G453" s="59">
        <v>5078.0200000000004</v>
      </c>
      <c r="H453" s="59">
        <v>5013.3900000000003</v>
      </c>
      <c r="I453" s="59">
        <v>4937.95</v>
      </c>
      <c r="J453" s="59">
        <v>4932.37</v>
      </c>
      <c r="K453" s="59">
        <v>5014.5600000000004</v>
      </c>
      <c r="L453" s="59">
        <v>5025.4799999999996</v>
      </c>
      <c r="M453" s="59">
        <v>4939.1099999999997</v>
      </c>
      <c r="N453" s="210"/>
      <c r="O453" s="210"/>
      <c r="P453" s="210"/>
      <c r="Q453" s="210"/>
      <c r="R453" s="196">
        <f>IF((M454=""),"",MAX(E455:M455))</f>
        <v>4247.3399999999992</v>
      </c>
      <c r="S453" s="194">
        <f>IF(M454="","",MIN(E455:M455))</f>
        <v>3819.1200000000008</v>
      </c>
      <c r="T453" s="195">
        <f>IF((M455=""),"",AVERAGE(E455:M455))</f>
        <v>4008.6266666666666</v>
      </c>
      <c r="U453" s="195">
        <f>IF((M454=""),"",(R453-S453)/(R453+S453)*100)</f>
        <v>5.3086484033888279</v>
      </c>
      <c r="V453" s="66">
        <f t="shared" si="184"/>
        <v>174.13028340871506</v>
      </c>
      <c r="W453" s="83" t="str">
        <f>IF(M454="","",IF(T453&gt;3650,IF(T453&lt;4450,"Pass","Fail"),"Fail"))</f>
        <v>Pass</v>
      </c>
      <c r="X453" s="101">
        <v>1335</v>
      </c>
      <c r="Y453" s="59" t="s">
        <v>134</v>
      </c>
      <c r="AA453" s="86">
        <v>3650</v>
      </c>
      <c r="AB453" s="86">
        <v>4450</v>
      </c>
      <c r="AC453" s="86">
        <v>3700</v>
      </c>
      <c r="AD453" s="86">
        <v>4250</v>
      </c>
      <c r="AE453" s="86">
        <v>7.2</v>
      </c>
      <c r="AF453" s="86">
        <v>3</v>
      </c>
    </row>
    <row r="454" spans="1:32">
      <c r="A454" s="149"/>
      <c r="B454" s="82"/>
      <c r="C454" s="82"/>
      <c r="D454" s="204" t="s">
        <v>115</v>
      </c>
      <c r="E454" s="59">
        <v>2689.86</v>
      </c>
      <c r="F454" s="59">
        <v>3035.68</v>
      </c>
      <c r="G454" s="59">
        <v>3168.46</v>
      </c>
      <c r="H454" s="59">
        <v>3070.37</v>
      </c>
      <c r="I454" s="59">
        <v>2814.28</v>
      </c>
      <c r="J454" s="59">
        <v>2895.51</v>
      </c>
      <c r="K454" s="59">
        <v>3073.51</v>
      </c>
      <c r="L454" s="59">
        <v>3088.82</v>
      </c>
      <c r="M454" s="59">
        <v>2851.17</v>
      </c>
      <c r="N454" s="205"/>
      <c r="O454" s="205"/>
      <c r="P454" s="205"/>
      <c r="Q454" s="205"/>
      <c r="R454" s="190"/>
      <c r="S454" s="190"/>
      <c r="T454" s="191"/>
      <c r="U454" s="191"/>
      <c r="W454" s="177"/>
      <c r="X454" s="99"/>
    </row>
    <row r="455" spans="1:32" ht="48">
      <c r="A455" s="149"/>
      <c r="B455" s="207"/>
      <c r="C455" s="207"/>
      <c r="D455" s="204" t="s">
        <v>116</v>
      </c>
      <c r="E455" s="51">
        <f t="shared" ref="E455:M455" si="186">IF(((E453="")*AND(E454="")),"",(E453-E454)*2)</f>
        <v>4237.3</v>
      </c>
      <c r="F455" s="51">
        <f t="shared" si="186"/>
        <v>3882.8200000000006</v>
      </c>
      <c r="G455" s="51">
        <f t="shared" si="186"/>
        <v>3819.1200000000008</v>
      </c>
      <c r="H455" s="51">
        <f t="shared" si="186"/>
        <v>3886.0400000000009</v>
      </c>
      <c r="I455" s="51">
        <f t="shared" si="186"/>
        <v>4247.3399999999992</v>
      </c>
      <c r="J455" s="51">
        <f t="shared" si="186"/>
        <v>4073.7199999999993</v>
      </c>
      <c r="K455" s="51">
        <f t="shared" si="186"/>
        <v>3882.1000000000004</v>
      </c>
      <c r="L455" s="51">
        <f t="shared" si="186"/>
        <v>3873.3199999999988</v>
      </c>
      <c r="M455" s="51">
        <f t="shared" si="186"/>
        <v>4175.8799999999992</v>
      </c>
      <c r="N455" s="51"/>
      <c r="O455" s="51"/>
      <c r="P455" s="51"/>
      <c r="Q455" s="51"/>
      <c r="R455" s="192"/>
      <c r="S455" s="192"/>
      <c r="T455" s="193"/>
      <c r="U455" s="193"/>
      <c r="W455" s="178"/>
      <c r="X455" s="100"/>
    </row>
    <row r="456" spans="1:32">
      <c r="A456" s="149">
        <v>43258</v>
      </c>
      <c r="B456" s="81" t="s">
        <v>121</v>
      </c>
      <c r="C456" s="81" t="s">
        <v>121</v>
      </c>
      <c r="D456" s="204" t="s">
        <v>114</v>
      </c>
      <c r="E456" s="59">
        <v>1946.47</v>
      </c>
      <c r="F456" s="59">
        <v>1939.9</v>
      </c>
      <c r="G456" s="59">
        <v>1945.19</v>
      </c>
      <c r="H456" s="59">
        <v>1941.89</v>
      </c>
      <c r="I456" s="59">
        <v>1950.71</v>
      </c>
      <c r="J456" s="59">
        <v>1947.93</v>
      </c>
      <c r="K456" s="59">
        <v>1937.26</v>
      </c>
      <c r="L456" s="59">
        <v>1939.21</v>
      </c>
      <c r="M456" s="59">
        <v>1948.7</v>
      </c>
      <c r="N456" s="205"/>
      <c r="O456" s="205"/>
      <c r="P456" s="205"/>
      <c r="Q456" s="205"/>
      <c r="R456" s="194">
        <f>IF((M457=""),"",MAX(E458:M458))</f>
        <v>2547.88</v>
      </c>
      <c r="S456" s="194">
        <f>IF((M457=""),"",MIN(E458:M458))</f>
        <v>2432.4400000000005</v>
      </c>
      <c r="T456" s="195">
        <f>IF((M458=""),"",AVERAGE(E458:M458))</f>
        <v>2495.5555555555561</v>
      </c>
      <c r="U456" s="195">
        <f>IF((M457=""),"",(R456-S456)/(R456+S456)*100)</f>
        <v>2.3179233462909932</v>
      </c>
      <c r="V456" s="66">
        <f t="shared" ref="V456" si="187">STDEV(E458:Q458)</f>
        <v>38.297098816696113</v>
      </c>
      <c r="W456" s="182" t="str">
        <f>IF(M457="","",IF(T456&gt;2000,IF(T456&lt;3000,"Pass","Fail"),"Fail"))</f>
        <v>Pass</v>
      </c>
      <c r="X456" s="92">
        <v>1335</v>
      </c>
      <c r="Y456" s="59" t="s">
        <v>134</v>
      </c>
      <c r="AA456" s="67">
        <v>2000</v>
      </c>
      <c r="AB456" s="67">
        <v>3000</v>
      </c>
      <c r="AC456" s="67">
        <v>2200</v>
      </c>
      <c r="AD456" s="67">
        <v>2900</v>
      </c>
      <c r="AE456" s="67">
        <v>7</v>
      </c>
      <c r="AF456" s="67">
        <v>5.5</v>
      </c>
    </row>
    <row r="457" spans="1:32">
      <c r="A457" s="149"/>
      <c r="B457" s="82"/>
      <c r="C457" s="82"/>
      <c r="D457" s="204" t="s">
        <v>115</v>
      </c>
      <c r="E457" s="59">
        <v>1309.8499999999999</v>
      </c>
      <c r="F457" s="59">
        <v>1316.15</v>
      </c>
      <c r="G457" s="59">
        <v>1337.08</v>
      </c>
      <c r="H457" s="59">
        <v>1324.74</v>
      </c>
      <c r="I457" s="59">
        <v>1327.88</v>
      </c>
      <c r="J457" s="59">
        <v>1310.96</v>
      </c>
      <c r="K457" s="59">
        <v>1317.04</v>
      </c>
      <c r="L457" s="59">
        <v>1321.24</v>
      </c>
      <c r="M457" s="59">
        <v>1317.32</v>
      </c>
      <c r="N457" s="205"/>
      <c r="O457" s="205"/>
      <c r="P457" s="205"/>
      <c r="Q457" s="205"/>
      <c r="R457" s="190"/>
      <c r="S457" s="190"/>
      <c r="T457" s="191"/>
      <c r="U457" s="191"/>
      <c r="W457" s="179"/>
      <c r="X457" s="92"/>
    </row>
    <row r="458" spans="1:32" ht="48.75" thickBot="1">
      <c r="A458" s="149"/>
      <c r="B458" s="211"/>
      <c r="C458" s="211"/>
      <c r="D458" s="212" t="s">
        <v>116</v>
      </c>
      <c r="E458" s="87">
        <f t="shared" ref="E458:M458" si="188">IF(((E456="")*AND(E457="")),"",(E456-E457)*4)</f>
        <v>2546.4800000000005</v>
      </c>
      <c r="F458" s="87">
        <f t="shared" si="188"/>
        <v>2495</v>
      </c>
      <c r="G458" s="87">
        <f t="shared" si="188"/>
        <v>2432.4400000000005</v>
      </c>
      <c r="H458" s="87">
        <f t="shared" si="188"/>
        <v>2468.6000000000004</v>
      </c>
      <c r="I458" s="87">
        <f t="shared" si="188"/>
        <v>2491.3199999999997</v>
      </c>
      <c r="J458" s="87">
        <f t="shared" si="188"/>
        <v>2547.88</v>
      </c>
      <c r="K458" s="87">
        <f t="shared" si="188"/>
        <v>2480.88</v>
      </c>
      <c r="L458" s="87">
        <f t="shared" si="188"/>
        <v>2471.88</v>
      </c>
      <c r="M458" s="87">
        <f t="shared" si="188"/>
        <v>2525.5200000000004</v>
      </c>
      <c r="N458" s="87"/>
      <c r="O458" s="87"/>
      <c r="P458" s="87"/>
      <c r="Q458" s="87" t="str">
        <f>IF(((Q456="")*AND(Q457="")),"",(Q456-Q457)*4)</f>
        <v/>
      </c>
      <c r="R458" s="197"/>
      <c r="S458" s="197"/>
      <c r="T458" s="198"/>
      <c r="U458" s="198"/>
      <c r="W458" s="180"/>
      <c r="X458" s="93"/>
    </row>
    <row r="459" spans="1:32">
      <c r="A459" s="149">
        <v>43278</v>
      </c>
      <c r="B459" s="200" t="s">
        <v>112</v>
      </c>
      <c r="C459" s="200" t="s">
        <v>113</v>
      </c>
      <c r="D459" s="201" t="s">
        <v>114</v>
      </c>
      <c r="E459" s="59">
        <v>8005.87</v>
      </c>
      <c r="F459" s="59">
        <v>7937.45</v>
      </c>
      <c r="G459" s="59">
        <v>8012.19</v>
      </c>
      <c r="H459" s="59">
        <v>8204.9</v>
      </c>
      <c r="I459" s="59">
        <v>8201.0400000000009</v>
      </c>
      <c r="J459" s="59">
        <v>8133.31</v>
      </c>
      <c r="K459" s="59">
        <v>8089.33</v>
      </c>
      <c r="L459" s="59">
        <v>8190.57</v>
      </c>
      <c r="M459" s="59">
        <v>8027.29</v>
      </c>
      <c r="N459" s="202"/>
      <c r="O459" s="202"/>
      <c r="P459" s="202"/>
      <c r="Q459" s="202"/>
      <c r="R459" s="188">
        <f>IF((M460=""),"",MAX(E461:M461))</f>
        <v>6137.1899999999987</v>
      </c>
      <c r="S459" s="188">
        <f>IF((M460=""),"",MIN(E461:M461))</f>
        <v>5464.8899999999976</v>
      </c>
      <c r="T459" s="189">
        <f>IF((M461=""),"",AVERAGE(E461:M461))</f>
        <v>5812.6399999999994</v>
      </c>
      <c r="U459" s="189">
        <f>IF((M460=""),"",(R459-S459)/(R459+S459)*100)</f>
        <v>5.7946506143726069</v>
      </c>
      <c r="V459" s="66">
        <f t="shared" ref="V459" si="189">STDEV(E461:Q461)</f>
        <v>215.40763200267855</v>
      </c>
      <c r="W459" s="170" t="str">
        <f>IF(M460="","",IF(U459&lt;6.3,IF(T459&gt;5550,IF(T459&lt;6900,"Pass","Fail"),"Fail"),"Fail"))</f>
        <v>Pass</v>
      </c>
      <c r="X459" s="98">
        <v>121</v>
      </c>
      <c r="AA459" s="67">
        <v>5860</v>
      </c>
      <c r="AB459" s="67">
        <v>6770</v>
      </c>
      <c r="AC459" s="67">
        <v>5550</v>
      </c>
      <c r="AD459" s="67">
        <v>6900</v>
      </c>
      <c r="AE459" s="67">
        <v>20</v>
      </c>
      <c r="AF459" s="67">
        <v>6.3</v>
      </c>
    </row>
    <row r="460" spans="1:32">
      <c r="A460" s="149"/>
      <c r="B460" s="82"/>
      <c r="C460" s="82"/>
      <c r="D460" s="204" t="s">
        <v>115</v>
      </c>
      <c r="E460" s="59">
        <v>6044.84</v>
      </c>
      <c r="F460" s="59">
        <v>5930.1</v>
      </c>
      <c r="G460" s="59">
        <v>6043.55</v>
      </c>
      <c r="H460" s="59">
        <v>6383.27</v>
      </c>
      <c r="I460" s="59">
        <v>6344.46</v>
      </c>
      <c r="J460" s="59">
        <v>6233.82</v>
      </c>
      <c r="K460" s="59">
        <v>6121.38</v>
      </c>
      <c r="L460" s="59">
        <v>6281.05</v>
      </c>
      <c r="M460" s="59">
        <v>5981.56</v>
      </c>
      <c r="N460" s="205"/>
      <c r="O460" s="205"/>
      <c r="P460" s="205"/>
      <c r="Q460" s="205"/>
      <c r="R460" s="190"/>
      <c r="S460" s="190"/>
      <c r="T460" s="191"/>
      <c r="U460" s="191"/>
      <c r="W460" s="177"/>
      <c r="X460" s="99"/>
    </row>
    <row r="461" spans="1:32" ht="48">
      <c r="A461" s="149"/>
      <c r="B461" s="207"/>
      <c r="C461" s="207"/>
      <c r="D461" s="204" t="s">
        <v>116</v>
      </c>
      <c r="E461" s="51">
        <f>IF(((E459="")*AND(E460="")),"",(E459-E460)*3)</f>
        <v>5883.0899999999992</v>
      </c>
      <c r="F461" s="51">
        <f t="shared" ref="F461:Q461" si="190">IF(((F459="")*AND(F460="")),"",(F459-F460)*3)</f>
        <v>6022.0499999999984</v>
      </c>
      <c r="G461" s="51">
        <f t="shared" si="190"/>
        <v>5905.9199999999983</v>
      </c>
      <c r="H461" s="51">
        <f t="shared" si="190"/>
        <v>5464.8899999999976</v>
      </c>
      <c r="I461" s="51">
        <f t="shared" si="190"/>
        <v>5569.7400000000025</v>
      </c>
      <c r="J461" s="51">
        <f t="shared" si="190"/>
        <v>5698.4700000000021</v>
      </c>
      <c r="K461" s="51">
        <f t="shared" si="190"/>
        <v>5903.8499999999995</v>
      </c>
      <c r="L461" s="51">
        <f t="shared" si="190"/>
        <v>5728.5599999999986</v>
      </c>
      <c r="M461" s="51">
        <f t="shared" si="190"/>
        <v>6137.1899999999987</v>
      </c>
      <c r="N461" s="51" t="str">
        <f t="shared" si="190"/>
        <v/>
      </c>
      <c r="O461" s="51" t="str">
        <f t="shared" si="190"/>
        <v/>
      </c>
      <c r="P461" s="51" t="str">
        <f t="shared" si="190"/>
        <v/>
      </c>
      <c r="Q461" s="51" t="str">
        <f t="shared" si="190"/>
        <v/>
      </c>
      <c r="R461" s="192"/>
      <c r="S461" s="192"/>
      <c r="T461" s="193"/>
      <c r="U461" s="193"/>
      <c r="W461" s="178"/>
      <c r="X461" s="100"/>
    </row>
    <row r="462" spans="1:32">
      <c r="A462" s="149">
        <v>43278</v>
      </c>
      <c r="B462" s="81" t="s">
        <v>117</v>
      </c>
      <c r="C462" s="81" t="s">
        <v>118</v>
      </c>
      <c r="D462" s="204" t="s">
        <v>114</v>
      </c>
      <c r="E462" s="59">
        <v>1427.69</v>
      </c>
      <c r="F462" s="59">
        <v>1410.99</v>
      </c>
      <c r="G462" s="59">
        <v>1394.96</v>
      </c>
      <c r="H462" s="59">
        <v>1388.32</v>
      </c>
      <c r="I462" s="59">
        <v>1398.07</v>
      </c>
      <c r="J462" s="59">
        <v>1412.96</v>
      </c>
      <c r="K462" s="59">
        <v>1374.91</v>
      </c>
      <c r="L462" s="59">
        <v>1399.33</v>
      </c>
      <c r="M462" s="59">
        <v>1402.33</v>
      </c>
      <c r="N462" s="59">
        <v>1394.82</v>
      </c>
      <c r="O462" s="59">
        <v>1403.94</v>
      </c>
      <c r="P462" s="59">
        <v>1437.91</v>
      </c>
      <c r="Q462" s="59">
        <v>1426.95</v>
      </c>
      <c r="R462" s="194">
        <f>IF((Q463=""),"",MAX(E464:Q464))</f>
        <v>285.25</v>
      </c>
      <c r="S462" s="194">
        <f>IF(Q463="","",MIN(E464:Q464))</f>
        <v>253.04999999999995</v>
      </c>
      <c r="T462" s="195">
        <f>IF((Q464=""),"",AVERAGE(E464:Q464))</f>
        <v>268.81384615384616</v>
      </c>
      <c r="U462" s="195">
        <f>IF((Q463=""),"",(R462-S462)/(R462+S462)*100)</f>
        <v>5.981794538361517</v>
      </c>
      <c r="V462" s="66">
        <f t="shared" ref="V462" si="191">STDEV(E464:Q464)</f>
        <v>9.4388245546961951</v>
      </c>
      <c r="W462" s="83" t="str">
        <f>IF(Q463="","",IF(T462&gt;242,IF(T462&lt;320,"Pass","Fail"),"Fail"))</f>
        <v>Pass</v>
      </c>
      <c r="X462" s="99">
        <v>121</v>
      </c>
      <c r="AA462" s="67">
        <v>240</v>
      </c>
      <c r="AB462" s="67">
        <v>320</v>
      </c>
      <c r="AC462" s="67">
        <v>190</v>
      </c>
      <c r="AD462" s="67">
        <v>360</v>
      </c>
      <c r="AE462" s="67">
        <v>20</v>
      </c>
      <c r="AF462" s="67">
        <v>11</v>
      </c>
    </row>
    <row r="463" spans="1:32">
      <c r="A463" s="149"/>
      <c r="B463" s="82"/>
      <c r="C463" s="82"/>
      <c r="D463" s="204" t="s">
        <v>115</v>
      </c>
      <c r="E463" s="59">
        <v>1157.6500000000001</v>
      </c>
      <c r="F463" s="59">
        <v>1147.42</v>
      </c>
      <c r="G463" s="59">
        <v>1131.33</v>
      </c>
      <c r="H463" s="59">
        <v>1127.21</v>
      </c>
      <c r="I463" s="59">
        <v>1127.43</v>
      </c>
      <c r="J463" s="59">
        <v>1141.1300000000001</v>
      </c>
      <c r="K463" s="59">
        <v>1089.6600000000001</v>
      </c>
      <c r="L463" s="59">
        <v>1129.82</v>
      </c>
      <c r="M463" s="59">
        <v>1126.44</v>
      </c>
      <c r="N463" s="59">
        <v>1126.3</v>
      </c>
      <c r="O463" s="59">
        <v>1150.8900000000001</v>
      </c>
      <c r="P463" s="59">
        <v>1180.6400000000001</v>
      </c>
      <c r="Q463" s="59">
        <v>1142.68</v>
      </c>
      <c r="R463" s="190"/>
      <c r="S463" s="190"/>
      <c r="T463" s="191"/>
      <c r="U463" s="191"/>
      <c r="W463" s="177"/>
    </row>
    <row r="464" spans="1:32" ht="48">
      <c r="A464" s="149"/>
      <c r="B464" s="207"/>
      <c r="C464" s="207"/>
      <c r="D464" s="204" t="s">
        <v>116</v>
      </c>
      <c r="E464" s="51">
        <f t="shared" ref="E464:Q464" si="192">IF(((E462="")*AND(E463="")),"",(E462-E463))</f>
        <v>270.03999999999996</v>
      </c>
      <c r="F464" s="51">
        <f t="shared" si="192"/>
        <v>263.56999999999994</v>
      </c>
      <c r="G464" s="51">
        <f t="shared" si="192"/>
        <v>263.63000000000011</v>
      </c>
      <c r="H464" s="51">
        <f t="shared" si="192"/>
        <v>261.1099999999999</v>
      </c>
      <c r="I464" s="51">
        <f t="shared" si="192"/>
        <v>270.63999999999987</v>
      </c>
      <c r="J464" s="51">
        <f t="shared" si="192"/>
        <v>271.82999999999993</v>
      </c>
      <c r="K464" s="51">
        <f t="shared" si="192"/>
        <v>285.25</v>
      </c>
      <c r="L464" s="51">
        <f t="shared" si="192"/>
        <v>269.51</v>
      </c>
      <c r="M464" s="51">
        <f t="shared" si="192"/>
        <v>275.88999999999987</v>
      </c>
      <c r="N464" s="85">
        <f t="shared" si="192"/>
        <v>268.52</v>
      </c>
      <c r="O464" s="85">
        <f t="shared" si="192"/>
        <v>253.04999999999995</v>
      </c>
      <c r="P464" s="85">
        <f t="shared" si="192"/>
        <v>257.27</v>
      </c>
      <c r="Q464" s="85">
        <f t="shared" si="192"/>
        <v>284.27</v>
      </c>
      <c r="R464" s="192"/>
      <c r="S464" s="192"/>
      <c r="T464" s="193"/>
      <c r="U464" s="193"/>
      <c r="W464" s="178"/>
      <c r="X464" s="100"/>
    </row>
    <row r="465" spans="1:32">
      <c r="A465" s="149">
        <v>43278</v>
      </c>
      <c r="B465" s="81" t="s">
        <v>119</v>
      </c>
      <c r="C465" s="81" t="s">
        <v>120</v>
      </c>
      <c r="D465" s="204" t="s">
        <v>114</v>
      </c>
      <c r="E465" s="59">
        <v>2689.86</v>
      </c>
      <c r="F465" s="59">
        <v>3035.68</v>
      </c>
      <c r="G465" s="59">
        <v>3168.46</v>
      </c>
      <c r="H465" s="59">
        <v>3070.37</v>
      </c>
      <c r="I465" s="59">
        <v>2814.28</v>
      </c>
      <c r="J465" s="59">
        <v>2895.51</v>
      </c>
      <c r="K465" s="59">
        <v>3073.51</v>
      </c>
      <c r="L465" s="59">
        <v>3088.82</v>
      </c>
      <c r="M465" s="59">
        <v>2851.17</v>
      </c>
      <c r="N465" s="210"/>
      <c r="O465" s="210"/>
      <c r="P465" s="210"/>
      <c r="Q465" s="210"/>
      <c r="R465" s="196">
        <f>IF((M466=""),"",MAX(E467:M467))</f>
        <v>4095.2800000000007</v>
      </c>
      <c r="S465" s="194">
        <f>IF(M466="","",MIN(E467:M467))</f>
        <v>3754.46</v>
      </c>
      <c r="T465" s="195">
        <f>IF((M467=""),"",AVERAGE(E467:M467))</f>
        <v>3886.3311111111116</v>
      </c>
      <c r="U465" s="195">
        <f>IF((M466=""),"",(R465-S465)/(R465+S465)*100)</f>
        <v>4.3417998557914093</v>
      </c>
      <c r="V465" s="66">
        <f t="shared" ref="V465:V468" si="193">STDEV(E467:Q467)</f>
        <v>150.51063255169984</v>
      </c>
      <c r="W465" s="83" t="str">
        <f>IF(M466="","",IF(T465&gt;3650,IF(T465&lt;4450,"Pass","Fail"),"Fail"))</f>
        <v>Pass</v>
      </c>
      <c r="X465" s="101">
        <v>121</v>
      </c>
      <c r="AA465" s="86">
        <v>3650</v>
      </c>
      <c r="AB465" s="86">
        <v>4450</v>
      </c>
      <c r="AC465" s="86">
        <v>3700</v>
      </c>
      <c r="AD465" s="86">
        <v>4250</v>
      </c>
      <c r="AE465" s="86">
        <v>7.2</v>
      </c>
      <c r="AF465" s="86">
        <v>3</v>
      </c>
    </row>
    <row r="466" spans="1:32">
      <c r="A466" s="149"/>
      <c r="B466" s="82"/>
      <c r="C466" s="82"/>
      <c r="D466" s="204" t="s">
        <v>115</v>
      </c>
      <c r="E466" s="59">
        <v>649.57000000000005</v>
      </c>
      <c r="F466" s="59">
        <v>1152.01</v>
      </c>
      <c r="G466" s="59">
        <v>1291.23</v>
      </c>
      <c r="H466" s="59">
        <v>1183.57</v>
      </c>
      <c r="I466" s="59">
        <v>766.64</v>
      </c>
      <c r="J466" s="59">
        <v>938.04</v>
      </c>
      <c r="K466" s="59">
        <v>1191.3599999999999</v>
      </c>
      <c r="L466" s="59">
        <v>1201.5</v>
      </c>
      <c r="M466" s="59">
        <v>825.25</v>
      </c>
      <c r="N466" s="205"/>
      <c r="O466" s="205"/>
      <c r="P466" s="205"/>
      <c r="Q466" s="205"/>
      <c r="R466" s="190"/>
      <c r="S466" s="190"/>
      <c r="T466" s="191"/>
      <c r="U466" s="191"/>
      <c r="W466" s="177"/>
      <c r="X466" s="99"/>
    </row>
    <row r="467" spans="1:32" ht="48">
      <c r="A467" s="149"/>
      <c r="B467" s="207"/>
      <c r="C467" s="207"/>
      <c r="D467" s="204" t="s">
        <v>116</v>
      </c>
      <c r="E467" s="51">
        <f t="shared" ref="E467:M467" si="194">IF(((E465="")*AND(E466="")),"",(E465-E466)*2)</f>
        <v>4080.58</v>
      </c>
      <c r="F467" s="51">
        <f t="shared" si="194"/>
        <v>3767.3399999999997</v>
      </c>
      <c r="G467" s="51">
        <f t="shared" si="194"/>
        <v>3754.46</v>
      </c>
      <c r="H467" s="51">
        <f t="shared" si="194"/>
        <v>3773.6</v>
      </c>
      <c r="I467" s="51">
        <f t="shared" si="194"/>
        <v>4095.2800000000007</v>
      </c>
      <c r="J467" s="51">
        <f t="shared" si="194"/>
        <v>3914.9400000000005</v>
      </c>
      <c r="K467" s="51">
        <f t="shared" si="194"/>
        <v>3764.3000000000006</v>
      </c>
      <c r="L467" s="51">
        <f t="shared" si="194"/>
        <v>3774.6400000000003</v>
      </c>
      <c r="M467" s="51">
        <f t="shared" si="194"/>
        <v>4051.84</v>
      </c>
      <c r="N467" s="51"/>
      <c r="O467" s="51"/>
      <c r="P467" s="51"/>
      <c r="Q467" s="51"/>
      <c r="R467" s="192"/>
      <c r="S467" s="192"/>
      <c r="T467" s="193"/>
      <c r="U467" s="193"/>
      <c r="W467" s="178"/>
      <c r="X467" s="100"/>
    </row>
    <row r="468" spans="1:32">
      <c r="A468" s="149">
        <v>43278</v>
      </c>
      <c r="B468" s="81" t="s">
        <v>121</v>
      </c>
      <c r="C468" s="81" t="s">
        <v>121</v>
      </c>
      <c r="D468" s="204" t="s">
        <v>114</v>
      </c>
      <c r="E468" s="59">
        <v>1309.8499999999999</v>
      </c>
      <c r="F468" s="59">
        <v>1316.15</v>
      </c>
      <c r="G468" s="59">
        <v>1337.08</v>
      </c>
      <c r="H468" s="59">
        <v>1324.74</v>
      </c>
      <c r="I468" s="59">
        <v>1327.88</v>
      </c>
      <c r="J468" s="59">
        <v>1310.96</v>
      </c>
      <c r="K468" s="59">
        <v>1317.04</v>
      </c>
      <c r="L468" s="59">
        <v>1321.24</v>
      </c>
      <c r="M468" s="59">
        <v>1317.32</v>
      </c>
      <c r="N468" s="205"/>
      <c r="O468" s="205"/>
      <c r="P468" s="205"/>
      <c r="Q468" s="205"/>
      <c r="R468" s="194">
        <f>IF((M469=""),"",MAX(E470:M470))</f>
        <v>2402.6799999999998</v>
      </c>
      <c r="S468" s="194">
        <f>IF((M469=""),"",MIN(E470:M470))</f>
        <v>2343.7199999999998</v>
      </c>
      <c r="T468" s="195">
        <f>IF((M470=""),"",AVERAGE(E470:M470))</f>
        <v>2373.56</v>
      </c>
      <c r="U468" s="195">
        <f>IF((M469=""),"",(R468-S468)/(R468+S468)*100)</f>
        <v>1.2422046182369804</v>
      </c>
      <c r="V468" s="66">
        <f t="shared" si="193"/>
        <v>20.786178099883347</v>
      </c>
      <c r="W468" s="182" t="str">
        <f>IF(M469="","",IF(T468&gt;2000,IF(T468&lt;3000,"Pass","Fail"),"Fail"))</f>
        <v>Pass</v>
      </c>
      <c r="X468" s="92">
        <v>121</v>
      </c>
      <c r="AA468" s="67">
        <v>2000</v>
      </c>
      <c r="AB468" s="67">
        <v>3000</v>
      </c>
      <c r="AC468" s="67">
        <v>2200</v>
      </c>
      <c r="AD468" s="67">
        <v>2900</v>
      </c>
      <c r="AE468" s="67">
        <v>7</v>
      </c>
      <c r="AF468" s="67">
        <v>5.5</v>
      </c>
    </row>
    <row r="469" spans="1:32">
      <c r="A469" s="149"/>
      <c r="B469" s="82"/>
      <c r="C469" s="82"/>
      <c r="D469" s="204" t="s">
        <v>115</v>
      </c>
      <c r="E469" s="59">
        <v>723.76</v>
      </c>
      <c r="F469" s="59">
        <v>721.72</v>
      </c>
      <c r="G469" s="59">
        <v>751.15</v>
      </c>
      <c r="H469" s="59">
        <v>724.07</v>
      </c>
      <c r="I469" s="59">
        <v>733.44</v>
      </c>
      <c r="J469" s="59">
        <v>719.31</v>
      </c>
      <c r="K469" s="59">
        <v>718.01</v>
      </c>
      <c r="L469" s="59">
        <v>724.28</v>
      </c>
      <c r="M469" s="59">
        <v>726.01</v>
      </c>
      <c r="N469" s="205"/>
      <c r="O469" s="205"/>
      <c r="P469" s="205"/>
      <c r="Q469" s="205"/>
      <c r="R469" s="190"/>
      <c r="S469" s="190"/>
      <c r="T469" s="191"/>
      <c r="U469" s="191"/>
      <c r="W469" s="179"/>
      <c r="X469" s="92"/>
    </row>
    <row r="470" spans="1:32" ht="48.75" thickBot="1">
      <c r="A470" s="149"/>
      <c r="B470" s="211"/>
      <c r="C470" s="211"/>
      <c r="D470" s="212" t="s">
        <v>116</v>
      </c>
      <c r="E470" s="87">
        <f t="shared" ref="E470:M470" si="195">IF(((E468="")*AND(E469="")),"",(E468-E469)*4)</f>
        <v>2344.3599999999997</v>
      </c>
      <c r="F470" s="87">
        <f t="shared" si="195"/>
        <v>2377.7200000000003</v>
      </c>
      <c r="G470" s="87">
        <f t="shared" si="195"/>
        <v>2343.7199999999998</v>
      </c>
      <c r="H470" s="87">
        <f t="shared" si="195"/>
        <v>2402.6799999999998</v>
      </c>
      <c r="I470" s="87">
        <f t="shared" si="195"/>
        <v>2377.7600000000002</v>
      </c>
      <c r="J470" s="87">
        <f t="shared" si="195"/>
        <v>2366.6000000000004</v>
      </c>
      <c r="K470" s="87">
        <f t="shared" si="195"/>
        <v>2396.12</v>
      </c>
      <c r="L470" s="87">
        <f t="shared" si="195"/>
        <v>2387.84</v>
      </c>
      <c r="M470" s="87">
        <f t="shared" si="195"/>
        <v>2365.2399999999998</v>
      </c>
      <c r="N470" s="87"/>
      <c r="O470" s="87"/>
      <c r="P470" s="87"/>
      <c r="Q470" s="87" t="str">
        <f>IF(((Q468="")*AND(Q469="")),"",(Q468-Q469)*4)</f>
        <v/>
      </c>
      <c r="R470" s="197"/>
      <c r="S470" s="197"/>
      <c r="T470" s="198"/>
      <c r="U470" s="198"/>
      <c r="W470" s="180"/>
      <c r="X470" s="93"/>
    </row>
    <row r="471" spans="1:32">
      <c r="A471" s="149">
        <v>43502</v>
      </c>
      <c r="B471" s="200" t="s">
        <v>112</v>
      </c>
      <c r="C471" s="200" t="s">
        <v>113</v>
      </c>
      <c r="D471" s="201" t="s">
        <v>114</v>
      </c>
      <c r="E471" s="59">
        <v>4859.5200000000004</v>
      </c>
      <c r="F471" s="59">
        <v>4725.9399999999996</v>
      </c>
      <c r="G471" s="59">
        <v>4866.46</v>
      </c>
      <c r="H471" s="59">
        <v>5289.75</v>
      </c>
      <c r="I471" s="59">
        <v>5245.92</v>
      </c>
      <c r="J471" s="59">
        <v>5108.1499999999996</v>
      </c>
      <c r="K471" s="59">
        <v>4953.63</v>
      </c>
      <c r="L471" s="59">
        <v>5161.42</v>
      </c>
      <c r="M471" s="59">
        <v>4777.7</v>
      </c>
      <c r="N471" s="202"/>
      <c r="O471" s="202"/>
      <c r="P471" s="202"/>
      <c r="Q471" s="202"/>
      <c r="R471" s="188">
        <f>IF((M472=""),"",MAX(E473:M473))</f>
        <v>2455.5600000000013</v>
      </c>
      <c r="S471" s="188">
        <f>IF((M472=""),"",MIN(E473:M473))</f>
        <v>2350.8599999999983</v>
      </c>
      <c r="T471" s="189">
        <f>IF((M473=""),"",AVERAGE(E473:M473))</f>
        <v>2397.9433333333332</v>
      </c>
      <c r="U471" s="189">
        <f>IF((M472=""),"",(R471-S471)/(R471+S471)*100)</f>
        <v>2.1783364749647971</v>
      </c>
      <c r="V471" s="66">
        <f t="shared" ref="V471" si="196">STDEV(E473:Q473)</f>
        <v>41.602615903358654</v>
      </c>
      <c r="W471" s="170" t="str">
        <f>IF(M472="","",IF(U471&lt;6.3,IF(T471&gt;5550,IF(T471&lt;6900,"Pass","Fail"),"Fail"),"Fail"))</f>
        <v>Fail</v>
      </c>
      <c r="X471" s="98">
        <v>1340</v>
      </c>
      <c r="Y471" s="102" t="s">
        <v>135</v>
      </c>
      <c r="Z471" s="147"/>
      <c r="AA471" s="67">
        <v>5860</v>
      </c>
      <c r="AB471" s="67">
        <v>6770</v>
      </c>
      <c r="AC471" s="67">
        <v>5550</v>
      </c>
      <c r="AD471" s="67">
        <v>6900</v>
      </c>
      <c r="AE471" s="67">
        <v>20</v>
      </c>
      <c r="AF471" s="67">
        <v>6.3</v>
      </c>
    </row>
    <row r="472" spans="1:32">
      <c r="A472" s="149"/>
      <c r="B472" s="82"/>
      <c r="C472" s="82"/>
      <c r="D472" s="204" t="s">
        <v>115</v>
      </c>
      <c r="E472" s="59">
        <v>4065.39</v>
      </c>
      <c r="F472" s="59">
        <v>3942.32</v>
      </c>
      <c r="G472" s="59">
        <v>4077.41</v>
      </c>
      <c r="H472" s="59">
        <v>4481.3</v>
      </c>
      <c r="I472" s="59">
        <v>4427.3999999999996</v>
      </c>
      <c r="J472" s="59">
        <v>4301.16</v>
      </c>
      <c r="K472" s="59">
        <v>4165.51</v>
      </c>
      <c r="L472" s="59">
        <v>4343.08</v>
      </c>
      <c r="M472" s="59">
        <v>3991.09</v>
      </c>
      <c r="N472" s="205"/>
      <c r="O472" s="205"/>
      <c r="P472" s="205"/>
      <c r="Q472" s="205"/>
      <c r="R472" s="190"/>
      <c r="S472" s="190"/>
      <c r="T472" s="191"/>
      <c r="U472" s="191"/>
      <c r="W472" s="177"/>
      <c r="X472" s="99"/>
      <c r="Y472" s="102"/>
      <c r="Z472" s="147"/>
    </row>
    <row r="473" spans="1:32" ht="48">
      <c r="A473" s="149"/>
      <c r="B473" s="207"/>
      <c r="C473" s="207"/>
      <c r="D473" s="204" t="s">
        <v>116</v>
      </c>
      <c r="E473" s="51">
        <f>IF(((E471="")*AND(E472="")),"",(E471-E472)*3)</f>
        <v>2382.3900000000017</v>
      </c>
      <c r="F473" s="51">
        <f t="shared" ref="F473:Q473" si="197">IF(((F471="")*AND(F472="")),"",(F471-F472)*3)</f>
        <v>2350.8599999999983</v>
      </c>
      <c r="G473" s="51">
        <f t="shared" si="197"/>
        <v>2367.1500000000005</v>
      </c>
      <c r="H473" s="51">
        <f t="shared" si="197"/>
        <v>2425.3499999999995</v>
      </c>
      <c r="I473" s="51">
        <f t="shared" si="197"/>
        <v>2455.5600000000013</v>
      </c>
      <c r="J473" s="51">
        <f t="shared" si="197"/>
        <v>2420.9699999999993</v>
      </c>
      <c r="K473" s="51">
        <f t="shared" si="197"/>
        <v>2364.3599999999997</v>
      </c>
      <c r="L473" s="51">
        <f t="shared" si="197"/>
        <v>2455.0200000000004</v>
      </c>
      <c r="M473" s="51">
        <f t="shared" si="197"/>
        <v>2359.829999999999</v>
      </c>
      <c r="N473" s="51" t="str">
        <f t="shared" si="197"/>
        <v/>
      </c>
      <c r="O473" s="51" t="str">
        <f t="shared" si="197"/>
        <v/>
      </c>
      <c r="P473" s="51" t="str">
        <f t="shared" si="197"/>
        <v/>
      </c>
      <c r="Q473" s="51" t="str">
        <f t="shared" si="197"/>
        <v/>
      </c>
      <c r="R473" s="192"/>
      <c r="S473" s="192"/>
      <c r="T473" s="193"/>
      <c r="U473" s="193"/>
      <c r="W473" s="178"/>
      <c r="X473" s="100"/>
      <c r="Y473" s="102"/>
      <c r="Z473" s="147"/>
    </row>
    <row r="474" spans="1:32">
      <c r="A474" s="149">
        <v>43502</v>
      </c>
      <c r="B474" s="81" t="s">
        <v>117</v>
      </c>
      <c r="C474" s="81" t="s">
        <v>118</v>
      </c>
      <c r="D474" s="204" t="s">
        <v>114</v>
      </c>
      <c r="E474" s="59">
        <v>2852.44</v>
      </c>
      <c r="F474" s="59">
        <v>2760.35</v>
      </c>
      <c r="G474" s="59">
        <v>2750.01</v>
      </c>
      <c r="H474" s="59">
        <v>2771.14</v>
      </c>
      <c r="I474" s="59">
        <v>2890.67</v>
      </c>
      <c r="J474" s="59">
        <v>2834.5</v>
      </c>
      <c r="K474" s="59">
        <v>2758.26</v>
      </c>
      <c r="L474" s="59">
        <v>2761.5</v>
      </c>
      <c r="M474" s="59">
        <v>2839.19</v>
      </c>
      <c r="N474" s="59">
        <v>2760.59</v>
      </c>
      <c r="O474" s="59">
        <v>2783.85</v>
      </c>
      <c r="P474" s="59">
        <v>2778.64</v>
      </c>
      <c r="Q474" s="59">
        <v>2764.3</v>
      </c>
      <c r="R474" s="194">
        <f>IF((Q475=""),"",MAX(E476:Q476))</f>
        <v>442.03999999999996</v>
      </c>
      <c r="S474" s="194">
        <f>IF(Q475="","",MIN(E476:Q476))</f>
        <v>297.64000000000033</v>
      </c>
      <c r="T474" s="195">
        <f>IF((Q476=""),"",AVERAGE(E476:Q476))</f>
        <v>339.11692307692311</v>
      </c>
      <c r="U474" s="195">
        <f>IF((Q475=""),"",(R474-S474)/(R474+S474)*100)</f>
        <v>19.521955440190293</v>
      </c>
      <c r="V474" s="66">
        <f t="shared" ref="V474" si="198">STDEV(E476:Q476)</f>
        <v>39.770738905342505</v>
      </c>
      <c r="W474" s="83" t="str">
        <f>IF(Q475="","",IF(T474&gt;242,IF(T474&lt;320,"Pass","Fail"),"Fail"))</f>
        <v>Fail</v>
      </c>
      <c r="X474" s="101">
        <v>1340</v>
      </c>
      <c r="Y474" s="102" t="s">
        <v>135</v>
      </c>
      <c r="Z474" s="147"/>
      <c r="AA474" s="67">
        <v>240</v>
      </c>
      <c r="AB474" s="67">
        <v>320</v>
      </c>
      <c r="AC474" s="67">
        <v>190</v>
      </c>
      <c r="AD474" s="67">
        <v>360</v>
      </c>
      <c r="AE474" s="67">
        <v>20</v>
      </c>
      <c r="AF474" s="67">
        <v>11</v>
      </c>
    </row>
    <row r="475" spans="1:32">
      <c r="A475" s="149"/>
      <c r="B475" s="82"/>
      <c r="C475" s="82"/>
      <c r="D475" s="204" t="s">
        <v>115</v>
      </c>
      <c r="E475" s="59">
        <v>2513.08</v>
      </c>
      <c r="F475" s="59">
        <v>2451.41</v>
      </c>
      <c r="G475" s="59">
        <v>2437.17</v>
      </c>
      <c r="H475" s="59">
        <v>2430.87</v>
      </c>
      <c r="I475" s="59">
        <v>2448.63</v>
      </c>
      <c r="J475" s="59">
        <v>2450.8000000000002</v>
      </c>
      <c r="K475" s="59">
        <v>2439.35</v>
      </c>
      <c r="L475" s="59">
        <v>2450.11</v>
      </c>
      <c r="M475" s="59">
        <v>2472.12</v>
      </c>
      <c r="N475" s="59">
        <v>2454.7800000000002</v>
      </c>
      <c r="O475" s="59">
        <v>2445.36</v>
      </c>
      <c r="P475" s="59">
        <v>2436.58</v>
      </c>
      <c r="Q475" s="59">
        <v>2466.66</v>
      </c>
      <c r="R475" s="190"/>
      <c r="S475" s="190"/>
      <c r="T475" s="191"/>
      <c r="U475" s="191"/>
      <c r="W475" s="177"/>
      <c r="X475" s="99"/>
      <c r="Y475" s="102"/>
      <c r="Z475" s="147"/>
    </row>
    <row r="476" spans="1:32" ht="48">
      <c r="A476" s="149"/>
      <c r="B476" s="207"/>
      <c r="C476" s="207"/>
      <c r="D476" s="204" t="s">
        <v>116</v>
      </c>
      <c r="E476" s="51">
        <f t="shared" ref="E476:Q476" si="199">IF(((E474="")*AND(E475="")),"",(E474-E475))</f>
        <v>339.36000000000013</v>
      </c>
      <c r="F476" s="51">
        <f t="shared" si="199"/>
        <v>308.94000000000005</v>
      </c>
      <c r="G476" s="51">
        <f t="shared" si="199"/>
        <v>312.84000000000015</v>
      </c>
      <c r="H476" s="51">
        <f t="shared" si="199"/>
        <v>340.27</v>
      </c>
      <c r="I476" s="51">
        <f t="shared" si="199"/>
        <v>442.03999999999996</v>
      </c>
      <c r="J476" s="51">
        <f t="shared" si="199"/>
        <v>383.69999999999982</v>
      </c>
      <c r="K476" s="51">
        <f t="shared" si="199"/>
        <v>318.91000000000031</v>
      </c>
      <c r="L476" s="51">
        <f t="shared" si="199"/>
        <v>311.38999999999987</v>
      </c>
      <c r="M476" s="51">
        <f t="shared" si="199"/>
        <v>367.07000000000016</v>
      </c>
      <c r="N476" s="85">
        <f t="shared" si="199"/>
        <v>305.80999999999995</v>
      </c>
      <c r="O476" s="85">
        <f t="shared" si="199"/>
        <v>338.48999999999978</v>
      </c>
      <c r="P476" s="85">
        <f t="shared" si="199"/>
        <v>342.05999999999995</v>
      </c>
      <c r="Q476" s="85">
        <f t="shared" si="199"/>
        <v>297.64000000000033</v>
      </c>
      <c r="R476" s="192"/>
      <c r="S476" s="192"/>
      <c r="T476" s="193"/>
      <c r="U476" s="193"/>
      <c r="W476" s="178"/>
      <c r="X476" s="100"/>
      <c r="Y476" s="102"/>
      <c r="Z476" s="147"/>
    </row>
    <row r="477" spans="1:32">
      <c r="A477" s="149">
        <v>43502</v>
      </c>
      <c r="B477" s="81" t="s">
        <v>119</v>
      </c>
      <c r="C477" s="81" t="s">
        <v>120</v>
      </c>
      <c r="D477" s="204" t="s">
        <v>114</v>
      </c>
      <c r="E477" s="59">
        <v>6852.44</v>
      </c>
      <c r="F477" s="59">
        <v>6839.32</v>
      </c>
      <c r="G477" s="59">
        <v>6877.73</v>
      </c>
      <c r="H477" s="59">
        <v>6835.9</v>
      </c>
      <c r="I477" s="59">
        <v>6882.79</v>
      </c>
      <c r="J477" s="59">
        <v>6865.29</v>
      </c>
      <c r="K477" s="59">
        <v>6865.03</v>
      </c>
      <c r="L477" s="59">
        <v>6866.99</v>
      </c>
      <c r="M477" s="59">
        <v>6943.03</v>
      </c>
      <c r="N477" s="210"/>
      <c r="O477" s="210"/>
      <c r="P477" s="210"/>
      <c r="Q477" s="210"/>
      <c r="R477" s="196">
        <f>IF((M478=""),"",MAX(E479:M479))</f>
        <v>4207.8799999999992</v>
      </c>
      <c r="S477" s="194">
        <f>IF(M478="","",MIN(E479:M479))</f>
        <v>3893.4799999999996</v>
      </c>
      <c r="T477" s="195">
        <f>IF((M479=""),"",AVERAGE(E479:M479))</f>
        <v>4024.1622222222222</v>
      </c>
      <c r="U477" s="195">
        <f>IF((M478=""),"",(R477-S477)/(R477+S477)*100)</f>
        <v>3.8808298853525791</v>
      </c>
      <c r="V477" s="66">
        <f t="shared" ref="V477:V480" si="200">STDEV(E479:Q479)</f>
        <v>123.17918754581</v>
      </c>
      <c r="W477" s="83" t="str">
        <f>IF(M478="","",IF(T477&gt;3650,IF(T477&lt;4450,"Pass","Fail"),"Fail"))</f>
        <v>Pass</v>
      </c>
      <c r="X477" s="101">
        <v>1340</v>
      </c>
      <c r="Y477" s="102" t="s">
        <v>135</v>
      </c>
      <c r="Z477" s="147"/>
      <c r="AA477" s="86">
        <v>3650</v>
      </c>
      <c r="AB477" s="86">
        <v>4450</v>
      </c>
      <c r="AC477" s="86">
        <v>3700</v>
      </c>
      <c r="AD477" s="86">
        <v>4250</v>
      </c>
      <c r="AE477" s="86">
        <v>7.2</v>
      </c>
      <c r="AF477" s="86">
        <v>3</v>
      </c>
    </row>
    <row r="478" spans="1:32">
      <c r="A478" s="149"/>
      <c r="B478" s="82"/>
      <c r="C478" s="82"/>
      <c r="D478" s="204" t="s">
        <v>115</v>
      </c>
      <c r="E478" s="59">
        <v>4748.5</v>
      </c>
      <c r="F478" s="59">
        <v>4861.78</v>
      </c>
      <c r="G478" s="59">
        <v>4930.99</v>
      </c>
      <c r="H478" s="59">
        <v>4871.28</v>
      </c>
      <c r="I478" s="59">
        <v>4795.3999999999996</v>
      </c>
      <c r="J478" s="59">
        <v>4802.8599999999997</v>
      </c>
      <c r="K478" s="59">
        <v>4887.38</v>
      </c>
      <c r="L478" s="59">
        <v>4918.3999999999996</v>
      </c>
      <c r="M478" s="59">
        <v>4903.2</v>
      </c>
      <c r="N478" s="205"/>
      <c r="O478" s="205"/>
      <c r="P478" s="205"/>
      <c r="Q478" s="205"/>
      <c r="R478" s="190"/>
      <c r="S478" s="190"/>
      <c r="T478" s="191"/>
      <c r="U478" s="191"/>
      <c r="W478" s="177"/>
      <c r="X478" s="99"/>
      <c r="Y478" s="102"/>
      <c r="Z478" s="147"/>
    </row>
    <row r="479" spans="1:32" ht="48">
      <c r="A479" s="149"/>
      <c r="B479" s="207"/>
      <c r="C479" s="207"/>
      <c r="D479" s="204" t="s">
        <v>116</v>
      </c>
      <c r="E479" s="51">
        <f t="shared" ref="E479:M479" si="201">IF(((E477="")*AND(E478="")),"",(E477-E478)*2)</f>
        <v>4207.8799999999992</v>
      </c>
      <c r="F479" s="51">
        <f t="shared" si="201"/>
        <v>3955.08</v>
      </c>
      <c r="G479" s="51">
        <f t="shared" si="201"/>
        <v>3893.4799999999996</v>
      </c>
      <c r="H479" s="51">
        <f t="shared" si="201"/>
        <v>3929.24</v>
      </c>
      <c r="I479" s="51">
        <f t="shared" si="201"/>
        <v>4174.7800000000007</v>
      </c>
      <c r="J479" s="51">
        <f t="shared" si="201"/>
        <v>4124.8600000000006</v>
      </c>
      <c r="K479" s="51">
        <f t="shared" si="201"/>
        <v>3955.2999999999993</v>
      </c>
      <c r="L479" s="51">
        <f t="shared" si="201"/>
        <v>3897.1800000000003</v>
      </c>
      <c r="M479" s="51">
        <f t="shared" si="201"/>
        <v>4079.66</v>
      </c>
      <c r="N479" s="51"/>
      <c r="O479" s="51"/>
      <c r="P479" s="51"/>
      <c r="Q479" s="51"/>
      <c r="R479" s="192"/>
      <c r="S479" s="192"/>
      <c r="T479" s="193"/>
      <c r="U479" s="193"/>
      <c r="W479" s="178"/>
      <c r="X479" s="100"/>
      <c r="Y479" s="102"/>
      <c r="Z479" s="147"/>
    </row>
    <row r="480" spans="1:32">
      <c r="A480" s="149">
        <v>43502</v>
      </c>
      <c r="B480" s="81" t="s">
        <v>121</v>
      </c>
      <c r="C480" s="81" t="s">
        <v>121</v>
      </c>
      <c r="D480" s="204" t="s">
        <v>114</v>
      </c>
      <c r="E480" s="59">
        <v>1929.93</v>
      </c>
      <c r="F480" s="59">
        <v>1922.36</v>
      </c>
      <c r="G480" s="59">
        <v>1919.52</v>
      </c>
      <c r="H480" s="59">
        <v>1920.92</v>
      </c>
      <c r="I480" s="59">
        <v>1930.24</v>
      </c>
      <c r="J480" s="59">
        <v>1931.05</v>
      </c>
      <c r="K480" s="59">
        <v>1923.49</v>
      </c>
      <c r="L480" s="59">
        <v>1926.11</v>
      </c>
      <c r="M480" s="59">
        <v>1931.85</v>
      </c>
      <c r="N480" s="205"/>
      <c r="O480" s="205"/>
      <c r="P480" s="205"/>
      <c r="Q480" s="205"/>
      <c r="R480" s="194">
        <f>IF((M481=""),"",MAX(E482:M482))</f>
        <v>3113.08</v>
      </c>
      <c r="S480" s="194">
        <f>IF((M481=""),"",MIN(E482:M482))</f>
        <v>2765.4799999999996</v>
      </c>
      <c r="T480" s="195">
        <f>IF((M482=""),"",AVERAGE(E482:M482))</f>
        <v>2937.1911111111112</v>
      </c>
      <c r="U480" s="195">
        <f>IF((M481=""),"",(R480-S480)/(R480+S480)*100)</f>
        <v>5.9130127105957992</v>
      </c>
      <c r="V480" s="66">
        <f t="shared" si="200"/>
        <v>119.59479048481973</v>
      </c>
      <c r="W480" s="182" t="str">
        <f>IF(M481="","",IF(T480&gt;2000,IF(T480&lt;3000,"Pass","Fail"),"Fail"))</f>
        <v>Pass</v>
      </c>
      <c r="X480" s="92">
        <v>1340</v>
      </c>
      <c r="Y480" s="102" t="s">
        <v>135</v>
      </c>
      <c r="Z480" s="147"/>
      <c r="AA480" s="67">
        <v>2000</v>
      </c>
      <c r="AB480" s="67">
        <v>3000</v>
      </c>
      <c r="AC480" s="67">
        <v>2200</v>
      </c>
      <c r="AD480" s="67">
        <v>2900</v>
      </c>
      <c r="AE480" s="67">
        <v>7</v>
      </c>
      <c r="AF480" s="67">
        <v>5.5</v>
      </c>
    </row>
    <row r="481" spans="1:32">
      <c r="A481" s="149"/>
      <c r="B481" s="82"/>
      <c r="C481" s="82"/>
      <c r="D481" s="204" t="s">
        <v>115</v>
      </c>
      <c r="E481" s="59">
        <v>1167.93</v>
      </c>
      <c r="F481" s="59">
        <v>1204.1400000000001</v>
      </c>
      <c r="G481" s="59">
        <v>1228.1500000000001</v>
      </c>
      <c r="H481" s="59">
        <v>1211.7</v>
      </c>
      <c r="I481" s="59">
        <v>1176.51</v>
      </c>
      <c r="J481" s="59">
        <v>1169.8599999999999</v>
      </c>
      <c r="K481" s="59">
        <v>1210.8599999999999</v>
      </c>
      <c r="L481" s="59">
        <v>1204.06</v>
      </c>
      <c r="M481" s="59">
        <v>1153.58</v>
      </c>
      <c r="N481" s="205"/>
      <c r="O481" s="205"/>
      <c r="P481" s="205"/>
      <c r="Q481" s="205"/>
      <c r="R481" s="190"/>
      <c r="S481" s="190"/>
      <c r="T481" s="191"/>
      <c r="U481" s="191"/>
      <c r="W481" s="179"/>
      <c r="X481" s="92"/>
      <c r="Y481" s="102"/>
      <c r="Z481" s="147"/>
    </row>
    <row r="482" spans="1:32" ht="48.75" thickBot="1">
      <c r="A482" s="149"/>
      <c r="B482" s="211"/>
      <c r="C482" s="211"/>
      <c r="D482" s="212" t="s">
        <v>116</v>
      </c>
      <c r="E482" s="87">
        <f t="shared" ref="E482:M482" si="202">IF(((E480="")*AND(E481="")),"",(E480-E481)*4)</f>
        <v>3048</v>
      </c>
      <c r="F482" s="87">
        <f t="shared" si="202"/>
        <v>2872.8799999999992</v>
      </c>
      <c r="G482" s="87">
        <f t="shared" si="202"/>
        <v>2765.4799999999996</v>
      </c>
      <c r="H482" s="87">
        <f t="shared" si="202"/>
        <v>2836.88</v>
      </c>
      <c r="I482" s="87">
        <f t="shared" si="202"/>
        <v>3014.92</v>
      </c>
      <c r="J482" s="87">
        <f t="shared" si="202"/>
        <v>3044.76</v>
      </c>
      <c r="K482" s="87">
        <f t="shared" si="202"/>
        <v>2850.5200000000004</v>
      </c>
      <c r="L482" s="87">
        <f t="shared" si="202"/>
        <v>2888.2</v>
      </c>
      <c r="M482" s="87">
        <f t="shared" si="202"/>
        <v>3113.08</v>
      </c>
      <c r="N482" s="87"/>
      <c r="O482" s="87"/>
      <c r="P482" s="87"/>
      <c r="Q482" s="87" t="str">
        <f>IF(((Q480="")*AND(Q481="")),"",(Q480-Q481)*4)</f>
        <v/>
      </c>
      <c r="R482" s="197"/>
      <c r="S482" s="197"/>
      <c r="T482" s="198"/>
      <c r="U482" s="198"/>
      <c r="W482" s="180"/>
      <c r="X482" s="93"/>
      <c r="Y482" s="102"/>
      <c r="Z482" s="147"/>
    </row>
    <row r="483" spans="1:32">
      <c r="A483" s="149">
        <v>43503</v>
      </c>
      <c r="B483" s="200" t="s">
        <v>112</v>
      </c>
      <c r="C483" s="200" t="s">
        <v>113</v>
      </c>
      <c r="D483" s="201" t="s">
        <v>114</v>
      </c>
      <c r="E483" s="59">
        <v>4065.39</v>
      </c>
      <c r="F483" s="59">
        <v>3942.32</v>
      </c>
      <c r="G483" s="59">
        <v>4077.41</v>
      </c>
      <c r="H483" s="59">
        <v>4481.3</v>
      </c>
      <c r="I483" s="59">
        <v>4427.3999999999996</v>
      </c>
      <c r="J483" s="59">
        <v>4301.16</v>
      </c>
      <c r="K483" s="59">
        <v>4165.51</v>
      </c>
      <c r="L483" s="59">
        <v>4343.08</v>
      </c>
      <c r="M483" s="59">
        <v>3991.09</v>
      </c>
      <c r="N483" s="202"/>
      <c r="O483" s="202"/>
      <c r="P483" s="202"/>
      <c r="Q483" s="202"/>
      <c r="R483" s="188">
        <f>IF((M484=""),"",MAX(E485:M485))</f>
        <v>6062.2500000000009</v>
      </c>
      <c r="S483" s="188">
        <f>IF((M484=""),"",MIN(E485:M485))</f>
        <v>5544.0599999999986</v>
      </c>
      <c r="T483" s="189">
        <f>IF((M485=""),"",AVERAGE(E485:M485))</f>
        <v>5813.23</v>
      </c>
      <c r="U483" s="189">
        <f>IF((M484=""),"",(R483-S483)/(R483+S483)*100)</f>
        <v>4.464726515145661</v>
      </c>
      <c r="V483" s="66">
        <f t="shared" ref="V483" si="203">STDEV(E485:Q485)</f>
        <v>195.17473978465034</v>
      </c>
      <c r="W483" s="170" t="str">
        <f>IF(M484="","",IF(U483&lt;6.3,IF(T483&gt;5550,IF(T483&lt;6900,"Pass","Fail"),"Fail"),"Fail"))</f>
        <v>Pass</v>
      </c>
      <c r="X483" s="98" t="s">
        <v>82</v>
      </c>
      <c r="Y483" s="102" t="s">
        <v>136</v>
      </c>
      <c r="Z483" s="147"/>
      <c r="AA483" s="67">
        <v>5860</v>
      </c>
      <c r="AB483" s="67">
        <v>6770</v>
      </c>
      <c r="AC483" s="67">
        <v>5550</v>
      </c>
      <c r="AD483" s="67">
        <v>6900</v>
      </c>
      <c r="AE483" s="67">
        <v>20</v>
      </c>
      <c r="AF483" s="67">
        <v>6.3</v>
      </c>
    </row>
    <row r="484" spans="1:32">
      <c r="A484" s="149"/>
      <c r="B484" s="82"/>
      <c r="C484" s="82"/>
      <c r="D484" s="204" t="s">
        <v>115</v>
      </c>
      <c r="E484" s="59">
        <v>2061.3200000000002</v>
      </c>
      <c r="F484" s="59">
        <v>1953.08</v>
      </c>
      <c r="G484" s="59">
        <v>2110.5</v>
      </c>
      <c r="H484" s="59">
        <v>2631.71</v>
      </c>
      <c r="I484" s="59">
        <v>2579.38</v>
      </c>
      <c r="J484" s="59">
        <v>2403.1799999999998</v>
      </c>
      <c r="K484" s="59">
        <v>2205.75</v>
      </c>
      <c r="L484" s="59">
        <v>2439.71</v>
      </c>
      <c r="M484" s="59">
        <v>1970.34</v>
      </c>
      <c r="N484" s="205"/>
      <c r="O484" s="205"/>
      <c r="P484" s="205"/>
      <c r="Q484" s="205"/>
      <c r="R484" s="190"/>
      <c r="S484" s="190"/>
      <c r="T484" s="191"/>
      <c r="U484" s="191"/>
      <c r="W484" s="177"/>
      <c r="X484" s="99"/>
      <c r="Y484" s="102"/>
      <c r="Z484" s="147"/>
    </row>
    <row r="485" spans="1:32" ht="48">
      <c r="A485" s="149"/>
      <c r="B485" s="207"/>
      <c r="C485" s="207"/>
      <c r="D485" s="204" t="s">
        <v>116</v>
      </c>
      <c r="E485" s="51">
        <f>IF(((E483="")*AND(E484="")),"",(E483-E484)*3)</f>
        <v>6012.2099999999991</v>
      </c>
      <c r="F485" s="51">
        <f t="shared" ref="F485:Q485" si="204">IF(((F483="")*AND(F484="")),"",(F483-F484)*3)</f>
        <v>5967.7200000000012</v>
      </c>
      <c r="G485" s="51">
        <f t="shared" si="204"/>
        <v>5900.73</v>
      </c>
      <c r="H485" s="51">
        <f t="shared" si="204"/>
        <v>5548.77</v>
      </c>
      <c r="I485" s="51">
        <f t="shared" si="204"/>
        <v>5544.0599999999986</v>
      </c>
      <c r="J485" s="51">
        <f t="shared" si="204"/>
        <v>5693.9400000000005</v>
      </c>
      <c r="K485" s="51">
        <f t="shared" si="204"/>
        <v>5879.2800000000007</v>
      </c>
      <c r="L485" s="51">
        <f t="shared" si="204"/>
        <v>5710.11</v>
      </c>
      <c r="M485" s="51">
        <f t="shared" si="204"/>
        <v>6062.2500000000009</v>
      </c>
      <c r="N485" s="51" t="str">
        <f t="shared" si="204"/>
        <v/>
      </c>
      <c r="O485" s="51" t="str">
        <f t="shared" si="204"/>
        <v/>
      </c>
      <c r="P485" s="51" t="str">
        <f t="shared" si="204"/>
        <v/>
      </c>
      <c r="Q485" s="51" t="str">
        <f t="shared" si="204"/>
        <v/>
      </c>
      <c r="R485" s="192"/>
      <c r="S485" s="192"/>
      <c r="T485" s="193"/>
      <c r="U485" s="193"/>
      <c r="W485" s="178"/>
      <c r="X485" s="100"/>
      <c r="Y485" s="102"/>
      <c r="Z485" s="147"/>
    </row>
    <row r="486" spans="1:32">
      <c r="A486" s="149">
        <v>43503</v>
      </c>
      <c r="B486" s="81" t="s">
        <v>117</v>
      </c>
      <c r="C486" s="81" t="s">
        <v>118</v>
      </c>
      <c r="D486" s="204" t="s">
        <v>114</v>
      </c>
      <c r="E486" s="59">
        <v>2513.08</v>
      </c>
      <c r="F486" s="59">
        <v>2451.41</v>
      </c>
      <c r="G486" s="59">
        <v>2437.17</v>
      </c>
      <c r="H486" s="59">
        <v>2430.87</v>
      </c>
      <c r="I486" s="59">
        <v>2448.63</v>
      </c>
      <c r="J486" s="59">
        <v>2450.8000000000002</v>
      </c>
      <c r="K486" s="59">
        <v>2439.35</v>
      </c>
      <c r="L486" s="59">
        <v>2450.11</v>
      </c>
      <c r="M486" s="59">
        <v>2472.12</v>
      </c>
      <c r="N486" s="59">
        <v>2454.7800000000002</v>
      </c>
      <c r="O486" s="59">
        <v>2445.36</v>
      </c>
      <c r="P486" s="59">
        <v>2436.58</v>
      </c>
      <c r="Q486" s="59">
        <v>2466.66</v>
      </c>
      <c r="R486" s="194">
        <f>IF((Q487=""),"",MAX(E488:Q488))</f>
        <v>306.92999999999984</v>
      </c>
      <c r="S486" s="194">
        <f>IF(Q487="","",MIN(E488:Q488))</f>
        <v>246.42999999999984</v>
      </c>
      <c r="T486" s="195">
        <f>IF((Q488=""),"",AVERAGE(E488:Q488))</f>
        <v>266.5707692307692</v>
      </c>
      <c r="U486" s="195">
        <f>IF((Q487=""),"",(R486-S486)/(R486+S486)*100)</f>
        <v>10.933208038166843</v>
      </c>
      <c r="V486" s="66">
        <f t="shared" ref="V486" si="205">STDEV(E488:Q488)</f>
        <v>23.001021521350765</v>
      </c>
      <c r="W486" s="83" t="str">
        <f>IF(Q487="","",IF(T486&gt;242,IF(T486&lt;320,"Pass","Fail"),"Fail"))</f>
        <v>Pass</v>
      </c>
      <c r="X486" s="101" t="s">
        <v>82</v>
      </c>
      <c r="Y486" s="102" t="s">
        <v>136</v>
      </c>
      <c r="Z486" s="147"/>
      <c r="AA486" s="67">
        <v>240</v>
      </c>
      <c r="AB486" s="67">
        <v>320</v>
      </c>
      <c r="AC486" s="67">
        <v>190</v>
      </c>
      <c r="AD486" s="67">
        <v>360</v>
      </c>
      <c r="AE486" s="67">
        <v>20</v>
      </c>
      <c r="AF486" s="67">
        <v>11</v>
      </c>
    </row>
    <row r="487" spans="1:32">
      <c r="A487" s="149"/>
      <c r="B487" s="82"/>
      <c r="C487" s="82"/>
      <c r="D487" s="204" t="s">
        <v>115</v>
      </c>
      <c r="E487" s="59">
        <v>2206.15</v>
      </c>
      <c r="F487" s="59">
        <v>2203.48</v>
      </c>
      <c r="G487" s="59">
        <v>2189.36</v>
      </c>
      <c r="H487" s="59">
        <v>2184.44</v>
      </c>
      <c r="I487" s="59">
        <v>2144.1999999999998</v>
      </c>
      <c r="J487" s="59">
        <v>2153.5300000000002</v>
      </c>
      <c r="K487" s="59">
        <v>2188.64</v>
      </c>
      <c r="L487" s="59">
        <v>2197.0300000000002</v>
      </c>
      <c r="M487" s="59">
        <v>2187</v>
      </c>
      <c r="N487" s="59">
        <v>2201.2399999999998</v>
      </c>
      <c r="O487" s="59">
        <v>2188.73</v>
      </c>
      <c r="P487" s="59">
        <v>2183.15</v>
      </c>
      <c r="Q487" s="59">
        <v>2204.5500000000002</v>
      </c>
      <c r="R487" s="190"/>
      <c r="S487" s="190"/>
      <c r="T487" s="191"/>
      <c r="U487" s="191"/>
      <c r="W487" s="177"/>
      <c r="X487" s="99"/>
      <c r="Y487" s="102"/>
      <c r="Z487" s="147"/>
    </row>
    <row r="488" spans="1:32" ht="48.75" thickBot="1">
      <c r="A488" s="149"/>
      <c r="B488" s="207"/>
      <c r="C488" s="207"/>
      <c r="D488" s="204" t="s">
        <v>116</v>
      </c>
      <c r="E488" s="51">
        <f t="shared" ref="E488:Q488" si="206">IF(((E486="")*AND(E487="")),"",(E486-E487))</f>
        <v>306.92999999999984</v>
      </c>
      <c r="F488" s="51">
        <f t="shared" si="206"/>
        <v>247.92999999999984</v>
      </c>
      <c r="G488" s="51">
        <f t="shared" si="206"/>
        <v>247.80999999999995</v>
      </c>
      <c r="H488" s="51">
        <f t="shared" si="206"/>
        <v>246.42999999999984</v>
      </c>
      <c r="I488" s="51">
        <f t="shared" si="206"/>
        <v>304.43000000000029</v>
      </c>
      <c r="J488" s="51">
        <f t="shared" si="206"/>
        <v>297.27</v>
      </c>
      <c r="K488" s="51">
        <f t="shared" si="206"/>
        <v>250.71000000000004</v>
      </c>
      <c r="L488" s="51">
        <f t="shared" si="206"/>
        <v>253.07999999999993</v>
      </c>
      <c r="M488" s="51">
        <f t="shared" si="206"/>
        <v>285.11999999999989</v>
      </c>
      <c r="N488" s="85">
        <f t="shared" si="206"/>
        <v>253.54000000000042</v>
      </c>
      <c r="O488" s="85">
        <f t="shared" si="206"/>
        <v>256.63000000000011</v>
      </c>
      <c r="P488" s="85">
        <f t="shared" si="206"/>
        <v>253.42999999999984</v>
      </c>
      <c r="Q488" s="85">
        <f t="shared" si="206"/>
        <v>262.10999999999967</v>
      </c>
      <c r="R488" s="192"/>
      <c r="S488" s="192"/>
      <c r="T488" s="193"/>
      <c r="U488" s="193"/>
      <c r="W488" s="178"/>
      <c r="X488" s="100"/>
      <c r="Y488" s="102"/>
      <c r="Z488" s="147"/>
    </row>
    <row r="489" spans="1:32">
      <c r="A489" s="149">
        <v>43507</v>
      </c>
      <c r="B489" s="200" t="s">
        <v>112</v>
      </c>
      <c r="C489" s="200" t="s">
        <v>113</v>
      </c>
      <c r="D489" s="201" t="s">
        <v>114</v>
      </c>
      <c r="E489" s="59">
        <v>5361.91</v>
      </c>
      <c r="F489" s="59">
        <v>5343.34</v>
      </c>
      <c r="G489" s="59">
        <v>5377.11</v>
      </c>
      <c r="H489" s="59">
        <v>5489.01</v>
      </c>
      <c r="I489" s="59">
        <v>5477.6</v>
      </c>
      <c r="J489" s="59">
        <v>5434.16</v>
      </c>
      <c r="K489" s="59">
        <v>5428.96</v>
      </c>
      <c r="L489" s="59">
        <v>5481.19</v>
      </c>
      <c r="M489" s="59">
        <v>5372.9</v>
      </c>
      <c r="N489" s="202"/>
      <c r="O489" s="202"/>
      <c r="P489" s="202"/>
      <c r="Q489" s="202"/>
      <c r="R489" s="188">
        <f>IF((M490=""),"",MAX(E491:M491))</f>
        <v>5726.01</v>
      </c>
      <c r="S489" s="188">
        <f>IF((M490=""),"",MIN(E491:M491))</f>
        <v>5014.5899999999992</v>
      </c>
      <c r="T489" s="189">
        <f>IF((M491=""),"",AVERAGE(E491:M491))</f>
        <v>5389.1</v>
      </c>
      <c r="U489" s="189">
        <f>IF((M490=""),"",(R489-S489)/(R489+S489)*100)</f>
        <v>6.623652309926829</v>
      </c>
      <c r="V489" s="66">
        <f t="shared" ref="V489:V492" si="207">STDEV(E491:Q491)</f>
        <v>288.36664786343476</v>
      </c>
      <c r="W489" s="170" t="str">
        <f>IF(M490="","",IF(U489&lt;6.3,IF(T489&gt;5550,IF(T489&lt;6900,"Pass","Fail"),"Fail"),"Fail"))</f>
        <v>Fail</v>
      </c>
      <c r="X489" s="98">
        <v>1335</v>
      </c>
      <c r="Y489" s="59" t="s">
        <v>137</v>
      </c>
      <c r="AA489" s="67">
        <v>5860</v>
      </c>
      <c r="AB489" s="67">
        <v>6770</v>
      </c>
      <c r="AC489" s="67">
        <v>5550</v>
      </c>
      <c r="AD489" s="67">
        <v>6900</v>
      </c>
      <c r="AE489" s="67">
        <v>20</v>
      </c>
      <c r="AF489" s="67">
        <v>6.3</v>
      </c>
    </row>
    <row r="490" spans="1:32">
      <c r="A490" s="149"/>
      <c r="B490" s="82"/>
      <c r="C490" s="82"/>
      <c r="D490" s="204" t="s">
        <v>115</v>
      </c>
      <c r="E490" s="59">
        <v>3647.87</v>
      </c>
      <c r="F490" s="59">
        <v>3473.87</v>
      </c>
      <c r="G490" s="59">
        <v>3659.43</v>
      </c>
      <c r="H490" s="59">
        <v>3797.89</v>
      </c>
      <c r="I490" s="59">
        <v>3599.56</v>
      </c>
      <c r="J490" s="59">
        <v>3544.41</v>
      </c>
      <c r="K490" s="59">
        <v>3520.29</v>
      </c>
      <c r="L490" s="59">
        <v>3809.66</v>
      </c>
      <c r="M490" s="59">
        <v>3545.9</v>
      </c>
      <c r="N490" s="205"/>
      <c r="O490" s="205"/>
      <c r="P490" s="205"/>
      <c r="Q490" s="205"/>
      <c r="R490" s="190"/>
      <c r="S490" s="190"/>
      <c r="T490" s="191"/>
      <c r="U490" s="191"/>
      <c r="W490" s="177"/>
      <c r="X490" s="99"/>
    </row>
    <row r="491" spans="1:32" ht="48">
      <c r="A491" s="149"/>
      <c r="B491" s="207"/>
      <c r="C491" s="207"/>
      <c r="D491" s="204" t="s">
        <v>116</v>
      </c>
      <c r="E491" s="51">
        <f>IF(((E489="")*AND(E490="")),"",(E489-E490)*3)</f>
        <v>5142.12</v>
      </c>
      <c r="F491" s="51">
        <f t="shared" ref="F491:Q491" si="208">IF(((F489="")*AND(F490="")),"",(F489-F490)*3)</f>
        <v>5608.4100000000008</v>
      </c>
      <c r="G491" s="51">
        <f t="shared" si="208"/>
        <v>5153.0399999999991</v>
      </c>
      <c r="H491" s="51">
        <f t="shared" si="208"/>
        <v>5073.3600000000006</v>
      </c>
      <c r="I491" s="51">
        <f t="shared" si="208"/>
        <v>5634.1200000000008</v>
      </c>
      <c r="J491" s="51">
        <f t="shared" si="208"/>
        <v>5669.25</v>
      </c>
      <c r="K491" s="51">
        <f t="shared" si="208"/>
        <v>5726.01</v>
      </c>
      <c r="L491" s="51">
        <f t="shared" si="208"/>
        <v>5014.5899999999992</v>
      </c>
      <c r="M491" s="51">
        <f t="shared" si="208"/>
        <v>5480.9999999999982</v>
      </c>
      <c r="N491" s="51" t="str">
        <f t="shared" si="208"/>
        <v/>
      </c>
      <c r="O491" s="51" t="str">
        <f t="shared" si="208"/>
        <v/>
      </c>
      <c r="P491" s="51" t="str">
        <f t="shared" si="208"/>
        <v/>
      </c>
      <c r="Q491" s="51" t="str">
        <f t="shared" si="208"/>
        <v/>
      </c>
      <c r="R491" s="192"/>
      <c r="S491" s="192"/>
      <c r="T491" s="193"/>
      <c r="U491" s="193"/>
      <c r="W491" s="178"/>
      <c r="X491" s="100"/>
    </row>
    <row r="492" spans="1:32">
      <c r="A492" s="149">
        <v>43507</v>
      </c>
      <c r="B492" s="81" t="s">
        <v>117</v>
      </c>
      <c r="C492" s="81" t="s">
        <v>118</v>
      </c>
      <c r="D492" s="204" t="s">
        <v>114</v>
      </c>
      <c r="E492" s="59">
        <v>2850.53</v>
      </c>
      <c r="F492" s="59">
        <v>2759.98</v>
      </c>
      <c r="G492" s="59">
        <v>2755.36</v>
      </c>
      <c r="H492" s="59">
        <v>2774.76</v>
      </c>
      <c r="I492" s="59">
        <v>2888.66</v>
      </c>
      <c r="J492" s="59">
        <v>2835.08</v>
      </c>
      <c r="K492" s="59">
        <v>2763.62</v>
      </c>
      <c r="L492" s="59">
        <v>2768.16</v>
      </c>
      <c r="M492" s="59">
        <v>2843.93</v>
      </c>
      <c r="N492" s="59">
        <v>2765.43</v>
      </c>
      <c r="O492" s="59">
        <v>2786.93</v>
      </c>
      <c r="P492" s="59">
        <v>2781.82</v>
      </c>
      <c r="Q492" s="59">
        <v>2767.95</v>
      </c>
      <c r="R492" s="194">
        <f>IF((Q493=""),"",MAX(E494:Q494))</f>
        <v>374.44999999999982</v>
      </c>
      <c r="S492" s="194">
        <f>IF(Q493="","",MIN(E494:Q494))</f>
        <v>309.19000000000005</v>
      </c>
      <c r="T492" s="195">
        <f>IF((Q494=""),"",AVERAGE(E494:Q494))</f>
        <v>330.33076923076919</v>
      </c>
      <c r="U492" s="195">
        <f>IF((Q493=""),"",(R492-S492)/(R492+S492)*100)</f>
        <v>9.5459598619155948</v>
      </c>
      <c r="V492" s="66">
        <f t="shared" si="207"/>
        <v>26.61669509334854</v>
      </c>
      <c r="W492" s="83" t="str">
        <f>IF(Q493="","",IF(T492&gt;242,IF(T492&lt;320,"Pass","Fail"),"Fail"))</f>
        <v>Fail</v>
      </c>
      <c r="X492" s="101">
        <v>1335</v>
      </c>
      <c r="Y492" s="59" t="s">
        <v>137</v>
      </c>
      <c r="AA492" s="67">
        <v>240</v>
      </c>
      <c r="AB492" s="67">
        <v>320</v>
      </c>
      <c r="AC492" s="67">
        <v>190</v>
      </c>
      <c r="AD492" s="67">
        <v>360</v>
      </c>
      <c r="AE492" s="67">
        <v>20</v>
      </c>
      <c r="AF492" s="67">
        <v>11</v>
      </c>
    </row>
    <row r="493" spans="1:32">
      <c r="A493" s="149"/>
      <c r="B493" s="82"/>
      <c r="C493" s="82"/>
      <c r="D493" s="204" t="s">
        <v>115</v>
      </c>
      <c r="E493" s="59">
        <v>2490.36</v>
      </c>
      <c r="F493" s="59">
        <v>2448.36</v>
      </c>
      <c r="G493" s="59">
        <v>2446.17</v>
      </c>
      <c r="H493" s="59">
        <v>2460.6799999999998</v>
      </c>
      <c r="I493" s="59">
        <v>2514.21</v>
      </c>
      <c r="J493" s="59">
        <v>2468.4</v>
      </c>
      <c r="K493" s="59">
        <v>2451.02</v>
      </c>
      <c r="L493" s="59">
        <v>2453.91</v>
      </c>
      <c r="M493" s="59">
        <v>2472.25</v>
      </c>
      <c r="N493" s="59">
        <v>2450.7800000000002</v>
      </c>
      <c r="O493" s="59">
        <v>2467.66</v>
      </c>
      <c r="P493" s="59">
        <v>2465.94</v>
      </c>
      <c r="Q493" s="59">
        <v>2458.17</v>
      </c>
      <c r="R493" s="190"/>
      <c r="S493" s="190"/>
      <c r="T493" s="191"/>
      <c r="U493" s="191"/>
      <c r="W493" s="177"/>
      <c r="X493" s="99"/>
      <c r="Y493" s="103"/>
      <c r="Z493" s="103"/>
    </row>
    <row r="494" spans="1:32" ht="48">
      <c r="A494" s="149"/>
      <c r="B494" s="207"/>
      <c r="C494" s="207"/>
      <c r="D494" s="204" t="s">
        <v>116</v>
      </c>
      <c r="E494" s="51">
        <f t="shared" ref="E494:Q494" si="209">IF(((E492="")*AND(E493="")),"",(E492-E493))</f>
        <v>360.17000000000007</v>
      </c>
      <c r="F494" s="51">
        <f t="shared" si="209"/>
        <v>311.61999999999989</v>
      </c>
      <c r="G494" s="51">
        <f t="shared" si="209"/>
        <v>309.19000000000005</v>
      </c>
      <c r="H494" s="51">
        <f t="shared" si="209"/>
        <v>314.08000000000038</v>
      </c>
      <c r="I494" s="51">
        <f t="shared" si="209"/>
        <v>374.44999999999982</v>
      </c>
      <c r="J494" s="51">
        <f t="shared" si="209"/>
        <v>366.67999999999984</v>
      </c>
      <c r="K494" s="51">
        <f t="shared" si="209"/>
        <v>312.59999999999991</v>
      </c>
      <c r="L494" s="51">
        <f t="shared" si="209"/>
        <v>314.25</v>
      </c>
      <c r="M494" s="51">
        <f t="shared" si="209"/>
        <v>371.67999999999984</v>
      </c>
      <c r="N494" s="85">
        <f t="shared" si="209"/>
        <v>314.64999999999964</v>
      </c>
      <c r="O494" s="85">
        <f t="shared" si="209"/>
        <v>319.27</v>
      </c>
      <c r="P494" s="85">
        <f t="shared" si="209"/>
        <v>315.88000000000011</v>
      </c>
      <c r="Q494" s="85">
        <f t="shared" si="209"/>
        <v>309.77999999999975</v>
      </c>
      <c r="R494" s="192"/>
      <c r="S494" s="192"/>
      <c r="T494" s="193"/>
      <c r="U494" s="193"/>
      <c r="W494" s="178"/>
      <c r="X494" s="100"/>
    </row>
    <row r="495" spans="1:32">
      <c r="A495" s="149">
        <v>43507</v>
      </c>
      <c r="B495" s="81" t="s">
        <v>119</v>
      </c>
      <c r="C495" s="81" t="s">
        <v>120</v>
      </c>
      <c r="D495" s="204" t="s">
        <v>114</v>
      </c>
      <c r="E495" s="59">
        <v>6850.95</v>
      </c>
      <c r="F495" s="59">
        <v>6833.44</v>
      </c>
      <c r="G495" s="59">
        <v>6879.38</v>
      </c>
      <c r="H495" s="59">
        <v>6839.81</v>
      </c>
      <c r="I495" s="59">
        <v>6899.42</v>
      </c>
      <c r="J495" s="59">
        <v>6875.67</v>
      </c>
      <c r="K495" s="59">
        <v>6868.2</v>
      </c>
      <c r="L495" s="59">
        <v>6868.66</v>
      </c>
      <c r="M495" s="59">
        <v>6950.31</v>
      </c>
      <c r="N495" s="210"/>
      <c r="O495" s="210"/>
      <c r="P495" s="210"/>
      <c r="Q495" s="210"/>
      <c r="R495" s="196">
        <f>IF((M496=""),"",MAX(E497:M497))</f>
        <v>4190.9799999999996</v>
      </c>
      <c r="S495" s="194">
        <f>IF(M496="","",MIN(E497:M497))</f>
        <v>3857.5200000000004</v>
      </c>
      <c r="T495" s="195">
        <f>IF((M497=""),"",AVERAGE(E497:M497))</f>
        <v>4001.8511111111115</v>
      </c>
      <c r="U495" s="195">
        <f>IF((M496=""),"",(R495-S495)/(R495+S495)*100)</f>
        <v>4.1431322606696792</v>
      </c>
      <c r="V495" s="66">
        <f t="shared" ref="V495" si="210">STDEV(E497:Q497)</f>
        <v>138.26481262818808</v>
      </c>
      <c r="W495" s="83" t="str">
        <f>IF(M496="","",IF(T495&gt;3650,IF(T495&lt;4450,"Pass","Fail"),"Fail"))</f>
        <v>Pass</v>
      </c>
      <c r="X495" s="101">
        <v>1335</v>
      </c>
      <c r="Y495" s="59" t="s">
        <v>137</v>
      </c>
      <c r="AA495" s="86">
        <v>3650</v>
      </c>
      <c r="AB495" s="86">
        <v>4450</v>
      </c>
      <c r="AC495" s="86">
        <v>3700</v>
      </c>
      <c r="AD495" s="86">
        <v>4250</v>
      </c>
      <c r="AE495" s="86">
        <v>7.2</v>
      </c>
      <c r="AF495" s="86">
        <v>3</v>
      </c>
    </row>
    <row r="496" spans="1:32">
      <c r="A496" s="149"/>
      <c r="B496" s="82"/>
      <c r="C496" s="82"/>
      <c r="D496" s="204" t="s">
        <v>115</v>
      </c>
      <c r="E496" s="59">
        <v>4755.46</v>
      </c>
      <c r="F496" s="59">
        <v>4877.76</v>
      </c>
      <c r="G496" s="59">
        <v>4950.62</v>
      </c>
      <c r="H496" s="59">
        <v>4891.1899999999996</v>
      </c>
      <c r="I496" s="59">
        <v>4807.91</v>
      </c>
      <c r="J496" s="59">
        <v>4813.01</v>
      </c>
      <c r="K496" s="59">
        <v>4907.03</v>
      </c>
      <c r="L496" s="59">
        <v>4936.46</v>
      </c>
      <c r="M496" s="59">
        <v>4918.07</v>
      </c>
      <c r="N496" s="205"/>
      <c r="O496" s="205"/>
      <c r="P496" s="205"/>
      <c r="Q496" s="205"/>
      <c r="R496" s="190"/>
      <c r="S496" s="190"/>
      <c r="T496" s="191"/>
      <c r="U496" s="191"/>
      <c r="W496" s="177"/>
      <c r="X496" s="99"/>
    </row>
    <row r="497" spans="1:32" ht="48">
      <c r="A497" s="149"/>
      <c r="B497" s="207"/>
      <c r="C497" s="207"/>
      <c r="D497" s="204" t="s">
        <v>116</v>
      </c>
      <c r="E497" s="51">
        <f t="shared" ref="E497:M497" si="211">IF(((E495="")*AND(E496="")),"",(E495-E496)*2)</f>
        <v>4190.9799999999996</v>
      </c>
      <c r="F497" s="51">
        <f t="shared" si="211"/>
        <v>3911.3599999999988</v>
      </c>
      <c r="G497" s="51">
        <f t="shared" si="211"/>
        <v>3857.5200000000004</v>
      </c>
      <c r="H497" s="51">
        <f t="shared" si="211"/>
        <v>3897.2400000000016</v>
      </c>
      <c r="I497" s="51">
        <f t="shared" si="211"/>
        <v>4183.0200000000004</v>
      </c>
      <c r="J497" s="51">
        <f t="shared" si="211"/>
        <v>4125.32</v>
      </c>
      <c r="K497" s="51">
        <f t="shared" si="211"/>
        <v>3922.34</v>
      </c>
      <c r="L497" s="51">
        <f t="shared" si="211"/>
        <v>3864.3999999999996</v>
      </c>
      <c r="M497" s="51">
        <f t="shared" si="211"/>
        <v>4064.4800000000014</v>
      </c>
      <c r="N497" s="51"/>
      <c r="O497" s="51"/>
      <c r="P497" s="51"/>
      <c r="Q497" s="51"/>
      <c r="R497" s="192"/>
      <c r="S497" s="192"/>
      <c r="T497" s="193"/>
      <c r="U497" s="193"/>
      <c r="W497" s="178"/>
      <c r="X497" s="100"/>
    </row>
    <row r="498" spans="1:32">
      <c r="A498" s="149">
        <v>43507</v>
      </c>
      <c r="B498" s="81" t="s">
        <v>121</v>
      </c>
      <c r="C498" s="81" t="s">
        <v>121</v>
      </c>
      <c r="D498" s="204" t="s">
        <v>114</v>
      </c>
      <c r="E498" s="59">
        <v>1952.7</v>
      </c>
      <c r="F498" s="59">
        <v>1953.78</v>
      </c>
      <c r="G498" s="59">
        <v>1957.12</v>
      </c>
      <c r="H498" s="59">
        <v>1957.09</v>
      </c>
      <c r="I498" s="59">
        <v>1954.95</v>
      </c>
      <c r="J498" s="59">
        <v>1954.23</v>
      </c>
      <c r="K498" s="59">
        <v>1956.88</v>
      </c>
      <c r="L498" s="59">
        <v>1957.47</v>
      </c>
      <c r="M498" s="59">
        <v>1957.27</v>
      </c>
      <c r="N498" s="205"/>
      <c r="O498" s="205"/>
      <c r="P498" s="205"/>
      <c r="Q498" s="205"/>
      <c r="R498" s="194">
        <f>IF((M499=""),"",MAX(E500:M500))</f>
        <v>3174.6400000000003</v>
      </c>
      <c r="S498" s="194">
        <f>IF((M499=""),"",MIN(E500:M500))</f>
        <v>2757.7199999999993</v>
      </c>
      <c r="T498" s="195">
        <f>IF((M500=""),"",AVERAGE(E500:M500))</f>
        <v>2927.8844444444444</v>
      </c>
      <c r="U498" s="195">
        <f>IF((M499=""),"",(R498-S498)/(R498+S498)*100)</f>
        <v>7.0278944635861773</v>
      </c>
      <c r="V498" s="66">
        <f t="shared" ref="V498" si="212">STDEV(E500:Q500)</f>
        <v>137.26469239312036</v>
      </c>
      <c r="W498" s="182" t="str">
        <f>IF(M499="","",IF(T498&gt;2000,IF(T498&lt;3000,"Pass","Fail"),"Fail"))</f>
        <v>Pass</v>
      </c>
      <c r="X498" s="92">
        <v>1335</v>
      </c>
      <c r="Y498" s="59" t="s">
        <v>137</v>
      </c>
      <c r="AA498" s="67">
        <v>2000</v>
      </c>
      <c r="AB498" s="67">
        <v>3000</v>
      </c>
      <c r="AC498" s="67">
        <v>2200</v>
      </c>
      <c r="AD498" s="67">
        <v>2900</v>
      </c>
      <c r="AE498" s="67">
        <v>7</v>
      </c>
      <c r="AF498" s="67">
        <v>5.5</v>
      </c>
    </row>
    <row r="499" spans="1:32">
      <c r="A499" s="149"/>
      <c r="B499" s="82"/>
      <c r="C499" s="82"/>
      <c r="D499" s="204" t="s">
        <v>115</v>
      </c>
      <c r="E499" s="59">
        <v>1194.58</v>
      </c>
      <c r="F499" s="59">
        <v>1244</v>
      </c>
      <c r="G499" s="59">
        <v>1267.69</v>
      </c>
      <c r="H499" s="59">
        <v>1248.54</v>
      </c>
      <c r="I499" s="59">
        <v>1195.6600000000001</v>
      </c>
      <c r="J499" s="59">
        <v>1208.48</v>
      </c>
      <c r="K499" s="59">
        <v>1257.81</v>
      </c>
      <c r="L499" s="59">
        <v>1233.3800000000001</v>
      </c>
      <c r="M499" s="59">
        <v>1163.6099999999999</v>
      </c>
      <c r="N499" s="205"/>
      <c r="O499" s="205"/>
      <c r="P499" s="205"/>
      <c r="Q499" s="205"/>
      <c r="R499" s="190"/>
      <c r="S499" s="190"/>
      <c r="T499" s="191"/>
      <c r="U499" s="191"/>
      <c r="W499" s="179"/>
      <c r="X499" s="92"/>
    </row>
    <row r="500" spans="1:32" ht="48.75" thickBot="1">
      <c r="A500" s="149"/>
      <c r="B500" s="211"/>
      <c r="C500" s="211"/>
      <c r="D500" s="212" t="s">
        <v>116</v>
      </c>
      <c r="E500" s="87">
        <f t="shared" ref="E500:M500" si="213">IF(((E498="")*AND(E499="")),"",(E498-E499)*4)</f>
        <v>3032.4800000000005</v>
      </c>
      <c r="F500" s="87">
        <f t="shared" si="213"/>
        <v>2839.12</v>
      </c>
      <c r="G500" s="87">
        <f t="shared" si="213"/>
        <v>2757.7199999999993</v>
      </c>
      <c r="H500" s="87">
        <f t="shared" si="213"/>
        <v>2834.2</v>
      </c>
      <c r="I500" s="87">
        <f t="shared" si="213"/>
        <v>3037.16</v>
      </c>
      <c r="J500" s="87">
        <f t="shared" si="213"/>
        <v>2983</v>
      </c>
      <c r="K500" s="87">
        <f t="shared" si="213"/>
        <v>2796.2800000000007</v>
      </c>
      <c r="L500" s="87">
        <f t="shared" si="213"/>
        <v>2896.3599999999997</v>
      </c>
      <c r="M500" s="87">
        <f t="shared" si="213"/>
        <v>3174.6400000000003</v>
      </c>
      <c r="N500" s="87"/>
      <c r="O500" s="87"/>
      <c r="P500" s="87"/>
      <c r="Q500" s="87" t="str">
        <f>IF(((Q498="")*AND(Q499="")),"",(Q498-Q499)*4)</f>
        <v/>
      </c>
      <c r="R500" s="197"/>
      <c r="S500" s="197"/>
      <c r="T500" s="198"/>
      <c r="U500" s="198"/>
      <c r="W500" s="180"/>
      <c r="X500" s="93"/>
    </row>
    <row r="501" spans="1:32">
      <c r="A501" s="149">
        <v>43518</v>
      </c>
      <c r="B501" s="200" t="s">
        <v>112</v>
      </c>
      <c r="C501" s="200" t="s">
        <v>113</v>
      </c>
      <c r="D501" s="201" t="s">
        <v>114</v>
      </c>
      <c r="E501" s="59">
        <v>4808.38</v>
      </c>
      <c r="F501" s="59">
        <v>4654.79</v>
      </c>
      <c r="G501" s="59">
        <v>4806.17</v>
      </c>
      <c r="H501" s="59">
        <v>5239.29</v>
      </c>
      <c r="I501" s="59">
        <v>5195.82</v>
      </c>
      <c r="J501" s="59">
        <v>5058.78</v>
      </c>
      <c r="K501" s="59">
        <v>4902.7</v>
      </c>
      <c r="L501" s="59">
        <v>5110.7</v>
      </c>
      <c r="M501" s="59">
        <v>4720.59</v>
      </c>
      <c r="N501" s="202"/>
      <c r="O501" s="202"/>
      <c r="P501" s="202"/>
      <c r="Q501" s="202"/>
      <c r="R501" s="188">
        <f>IF((M502=""),"",MAX(E503:M503))</f>
        <v>6142.4100000000008</v>
      </c>
      <c r="S501" s="188">
        <f>IF((M502=""),"",MIN(E503:M503))</f>
        <v>5789.5199999999986</v>
      </c>
      <c r="T501" s="189">
        <f>IF((M503=""),"",AVERAGE(E503:M503))</f>
        <v>5959.9466666666667</v>
      </c>
      <c r="U501" s="189">
        <f>IF((M502=""),"",(R501-S501)/(R501+S501)*100)</f>
        <v>2.9575265694653097</v>
      </c>
      <c r="V501" s="66">
        <f t="shared" ref="V501" si="214">STDEV(E503:Q503)</f>
        <v>129.21002128319944</v>
      </c>
      <c r="W501" s="170" t="str">
        <f>IF(M502="","",IF(U501&lt;6.3,IF(T501&gt;5550,IF(T501&lt;6900,"Pass","Fail"),"Fail"),"Fail"))</f>
        <v>Pass</v>
      </c>
      <c r="X501" s="98">
        <v>1340</v>
      </c>
      <c r="AA501" s="67">
        <v>5860</v>
      </c>
      <c r="AB501" s="67">
        <v>6770</v>
      </c>
      <c r="AC501" s="67">
        <v>5550</v>
      </c>
      <c r="AD501" s="67">
        <v>6900</v>
      </c>
      <c r="AE501" s="67">
        <v>20</v>
      </c>
      <c r="AF501" s="67">
        <v>6.3</v>
      </c>
    </row>
    <row r="502" spans="1:32">
      <c r="A502" s="149"/>
      <c r="B502" s="82"/>
      <c r="C502" s="82"/>
      <c r="D502" s="204" t="s">
        <v>115</v>
      </c>
      <c r="E502" s="59">
        <v>2778.87</v>
      </c>
      <c r="F502" s="59">
        <v>2624.29</v>
      </c>
      <c r="G502" s="59">
        <v>2810.87</v>
      </c>
      <c r="H502" s="59">
        <v>3307.15</v>
      </c>
      <c r="I502" s="59">
        <v>3265.98</v>
      </c>
      <c r="J502" s="59">
        <v>3101.98</v>
      </c>
      <c r="K502" s="59">
        <v>2916.35</v>
      </c>
      <c r="L502" s="59">
        <v>3138.77</v>
      </c>
      <c r="M502" s="59">
        <v>2673.12</v>
      </c>
      <c r="N502" s="205"/>
      <c r="O502" s="205"/>
      <c r="P502" s="205"/>
      <c r="Q502" s="205"/>
      <c r="R502" s="190"/>
      <c r="S502" s="190"/>
      <c r="T502" s="191"/>
      <c r="U502" s="191"/>
      <c r="W502" s="177"/>
      <c r="X502" s="99"/>
    </row>
    <row r="503" spans="1:32" ht="48">
      <c r="A503" s="149"/>
      <c r="B503" s="207"/>
      <c r="C503" s="207"/>
      <c r="D503" s="204" t="s">
        <v>116</v>
      </c>
      <c r="E503" s="51">
        <f>IF(((E501="")*AND(E502="")),"",(E501-E502)*3)</f>
        <v>6088.5300000000007</v>
      </c>
      <c r="F503" s="51">
        <f t="shared" ref="F503:Q503" si="215">IF(((F501="")*AND(F502="")),"",(F501-F502)*3)</f>
        <v>6091.5</v>
      </c>
      <c r="G503" s="51">
        <f t="shared" si="215"/>
        <v>5985.9000000000005</v>
      </c>
      <c r="H503" s="51">
        <f t="shared" si="215"/>
        <v>5796.42</v>
      </c>
      <c r="I503" s="51">
        <f t="shared" si="215"/>
        <v>5789.5199999999986</v>
      </c>
      <c r="J503" s="51">
        <f t="shared" si="215"/>
        <v>5870.4</v>
      </c>
      <c r="K503" s="51">
        <f t="shared" si="215"/>
        <v>5959.0499999999993</v>
      </c>
      <c r="L503" s="51">
        <f t="shared" si="215"/>
        <v>5915.7899999999991</v>
      </c>
      <c r="M503" s="51">
        <f t="shared" si="215"/>
        <v>6142.4100000000008</v>
      </c>
      <c r="N503" s="51" t="str">
        <f t="shared" si="215"/>
        <v/>
      </c>
      <c r="O503" s="51" t="str">
        <f t="shared" si="215"/>
        <v/>
      </c>
      <c r="P503" s="51" t="str">
        <f t="shared" si="215"/>
        <v/>
      </c>
      <c r="Q503" s="51" t="str">
        <f t="shared" si="215"/>
        <v/>
      </c>
      <c r="R503" s="192"/>
      <c r="S503" s="192"/>
      <c r="T503" s="193"/>
      <c r="U503" s="193"/>
      <c r="W503" s="178"/>
      <c r="X503" s="100"/>
    </row>
    <row r="504" spans="1:32">
      <c r="A504" s="149">
        <v>43518</v>
      </c>
      <c r="B504" s="81" t="s">
        <v>117</v>
      </c>
      <c r="C504" s="81" t="s">
        <v>118</v>
      </c>
      <c r="D504" s="204" t="s">
        <v>114</v>
      </c>
      <c r="E504" s="59">
        <v>2856.36</v>
      </c>
      <c r="F504" s="59">
        <v>2768.64</v>
      </c>
      <c r="G504" s="59">
        <v>2770.34</v>
      </c>
      <c r="H504" s="59">
        <v>2784.66</v>
      </c>
      <c r="I504" s="59">
        <v>2893.81</v>
      </c>
      <c r="J504" s="59">
        <v>2846.01</v>
      </c>
      <c r="K504" s="59">
        <v>2774.24</v>
      </c>
      <c r="L504" s="59">
        <v>2774.78</v>
      </c>
      <c r="M504" s="59">
        <v>2848.87</v>
      </c>
      <c r="N504" s="59">
        <v>2774.07</v>
      </c>
      <c r="O504" s="59">
        <v>2794.33</v>
      </c>
      <c r="P504" s="59">
        <v>2795.56</v>
      </c>
      <c r="Q504" s="59">
        <v>2777.15</v>
      </c>
      <c r="R504" s="194">
        <f>IF((Q505=""),"",MAX(E506:Q506))</f>
        <v>359.69000000000005</v>
      </c>
      <c r="S504" s="194">
        <f>IF(Q505="","",MIN(E506:Q506))</f>
        <v>294.67999999999984</v>
      </c>
      <c r="T504" s="195">
        <f>IF((Q506=""),"",AVERAGE(E506:Q506))</f>
        <v>319.99230769230769</v>
      </c>
      <c r="U504" s="195">
        <f>IF((Q505=""),"",(R504-S504)/(R504+S504)*100)</f>
        <v>9.9347463972982002</v>
      </c>
      <c r="V504" s="66">
        <f t="shared" ref="V504:V507" si="216">STDEV(E506:Q506)</f>
        <v>21.896550395685839</v>
      </c>
      <c r="W504" s="83" t="str">
        <f>IF(Q505="","",IF(T504&gt;242,IF(T504&lt;320,"Pass","Fail"),"Fail"))</f>
        <v>Pass</v>
      </c>
      <c r="X504" s="101">
        <v>1340</v>
      </c>
      <c r="AA504" s="67">
        <v>240</v>
      </c>
      <c r="AB504" s="67">
        <v>320</v>
      </c>
      <c r="AC504" s="67">
        <v>190</v>
      </c>
      <c r="AD504" s="67">
        <v>360</v>
      </c>
      <c r="AE504" s="67">
        <v>20</v>
      </c>
      <c r="AF504" s="67">
        <v>11</v>
      </c>
    </row>
    <row r="505" spans="1:32">
      <c r="A505" s="149"/>
      <c r="B505" s="82"/>
      <c r="C505" s="82"/>
      <c r="D505" s="204" t="s">
        <v>115</v>
      </c>
      <c r="E505" s="59">
        <v>2507.1999999999998</v>
      </c>
      <c r="F505" s="59">
        <v>2473.96</v>
      </c>
      <c r="G505" s="59">
        <v>2460.9</v>
      </c>
      <c r="H505" s="59">
        <v>2477.2199999999998</v>
      </c>
      <c r="I505" s="59">
        <v>2564.1</v>
      </c>
      <c r="J505" s="59">
        <v>2486.3200000000002</v>
      </c>
      <c r="K505" s="59">
        <v>2468.35</v>
      </c>
      <c r="L505" s="59">
        <v>2467.8000000000002</v>
      </c>
      <c r="M505" s="59">
        <v>2490.4499999999998</v>
      </c>
      <c r="N505" s="59">
        <v>2467.46</v>
      </c>
      <c r="O505" s="59">
        <v>2481.25</v>
      </c>
      <c r="P505" s="59">
        <v>2482.5100000000002</v>
      </c>
      <c r="Q505" s="59">
        <v>2471.4</v>
      </c>
      <c r="R505" s="190"/>
      <c r="S505" s="190"/>
      <c r="T505" s="191"/>
      <c r="U505" s="191"/>
      <c r="W505" s="177"/>
      <c r="X505" s="99"/>
    </row>
    <row r="506" spans="1:32" ht="48">
      <c r="A506" s="149"/>
      <c r="B506" s="207"/>
      <c r="C506" s="207"/>
      <c r="D506" s="204" t="s">
        <v>116</v>
      </c>
      <c r="E506" s="51">
        <f t="shared" ref="E506:Q506" si="217">IF(((E504="")*AND(E505="")),"",(E504-E505))</f>
        <v>349.16000000000031</v>
      </c>
      <c r="F506" s="51">
        <f t="shared" si="217"/>
        <v>294.67999999999984</v>
      </c>
      <c r="G506" s="51">
        <f t="shared" si="217"/>
        <v>309.44000000000005</v>
      </c>
      <c r="H506" s="51">
        <f t="shared" si="217"/>
        <v>307.44000000000005</v>
      </c>
      <c r="I506" s="51">
        <f t="shared" si="217"/>
        <v>329.71000000000004</v>
      </c>
      <c r="J506" s="51">
        <f t="shared" si="217"/>
        <v>359.69000000000005</v>
      </c>
      <c r="K506" s="51">
        <f t="shared" si="217"/>
        <v>305.88999999999987</v>
      </c>
      <c r="L506" s="51">
        <f t="shared" si="217"/>
        <v>306.98</v>
      </c>
      <c r="M506" s="51">
        <f t="shared" si="217"/>
        <v>358.42000000000007</v>
      </c>
      <c r="N506" s="85">
        <f t="shared" si="217"/>
        <v>306.61000000000013</v>
      </c>
      <c r="O506" s="85">
        <f t="shared" si="217"/>
        <v>313.07999999999993</v>
      </c>
      <c r="P506" s="85">
        <f t="shared" si="217"/>
        <v>313.04999999999973</v>
      </c>
      <c r="Q506" s="85">
        <f t="shared" si="217"/>
        <v>305.75</v>
      </c>
      <c r="R506" s="192"/>
      <c r="S506" s="192"/>
      <c r="T506" s="193"/>
      <c r="U506" s="193"/>
      <c r="W506" s="178"/>
      <c r="X506" s="100"/>
    </row>
    <row r="507" spans="1:32">
      <c r="A507" s="149">
        <v>43518</v>
      </c>
      <c r="B507" s="81" t="s">
        <v>119</v>
      </c>
      <c r="C507" s="81" t="s">
        <v>120</v>
      </c>
      <c r="D507" s="204" t="s">
        <v>114</v>
      </c>
      <c r="E507" s="59">
        <v>4772</v>
      </c>
      <c r="F507" s="59">
        <v>4889.93</v>
      </c>
      <c r="G507" s="59">
        <v>4960.63</v>
      </c>
      <c r="H507" s="59">
        <v>4902.54</v>
      </c>
      <c r="I507" s="59">
        <v>4823.6400000000003</v>
      </c>
      <c r="J507" s="59">
        <v>4828.55</v>
      </c>
      <c r="K507" s="59">
        <v>4919.26</v>
      </c>
      <c r="L507" s="59">
        <v>4946.21</v>
      </c>
      <c r="M507" s="59">
        <v>4930.12</v>
      </c>
      <c r="N507" s="210"/>
      <c r="O507" s="210"/>
      <c r="P507" s="210"/>
      <c r="Q507" s="210"/>
      <c r="R507" s="196">
        <f>IF((M508=""),"",MAX(E509:M509))</f>
        <v>4290.2400000000007</v>
      </c>
      <c r="S507" s="194">
        <f>IF(M508="","",MIN(E509:M509))</f>
        <v>3934.42</v>
      </c>
      <c r="T507" s="195">
        <f>IF((M509=""),"",AVERAGE(E509:M509))</f>
        <v>4085.7777777777787</v>
      </c>
      <c r="U507" s="195">
        <f>IF((M508=""),"",(R507-S507)/(R507+S507)*100)</f>
        <v>4.3262578635469504</v>
      </c>
      <c r="V507" s="66">
        <f t="shared" si="216"/>
        <v>142.49924050478242</v>
      </c>
      <c r="W507" s="83" t="str">
        <f>IF(M508="","",IF(T507&gt;3650,IF(T507&lt;4450,"Pass","Fail"),"Fail"))</f>
        <v>Pass</v>
      </c>
      <c r="X507" s="101">
        <v>1340</v>
      </c>
      <c r="AA507" s="86">
        <v>3650</v>
      </c>
      <c r="AB507" s="86">
        <v>4450</v>
      </c>
      <c r="AC507" s="86">
        <v>3700</v>
      </c>
      <c r="AD507" s="86">
        <v>4250</v>
      </c>
      <c r="AE507" s="86">
        <v>7.2</v>
      </c>
      <c r="AF507" s="86">
        <v>3</v>
      </c>
    </row>
    <row r="508" spans="1:32">
      <c r="A508" s="149"/>
      <c r="B508" s="82"/>
      <c r="C508" s="82"/>
      <c r="D508" s="204" t="s">
        <v>115</v>
      </c>
      <c r="E508" s="59">
        <v>2636.19</v>
      </c>
      <c r="F508" s="59">
        <v>2892.32</v>
      </c>
      <c r="G508" s="59">
        <v>2993.42</v>
      </c>
      <c r="H508" s="59">
        <v>2908.99</v>
      </c>
      <c r="I508" s="59">
        <v>2678.52</v>
      </c>
      <c r="J508" s="59">
        <v>2725.63</v>
      </c>
      <c r="K508" s="59">
        <v>2917.47</v>
      </c>
      <c r="L508" s="59">
        <v>2975.53</v>
      </c>
      <c r="M508" s="59">
        <v>2858.81</v>
      </c>
      <c r="N508" s="205"/>
      <c r="O508" s="205"/>
      <c r="P508" s="205"/>
      <c r="Q508" s="205"/>
      <c r="R508" s="190"/>
      <c r="S508" s="190"/>
      <c r="T508" s="191"/>
      <c r="U508" s="191"/>
      <c r="W508" s="177"/>
      <c r="X508" s="99"/>
    </row>
    <row r="509" spans="1:32" ht="48">
      <c r="A509" s="149"/>
      <c r="B509" s="207"/>
      <c r="C509" s="207"/>
      <c r="D509" s="204" t="s">
        <v>116</v>
      </c>
      <c r="E509" s="51">
        <f t="shared" ref="E509:M509" si="218">IF(((E507="")*AND(E508="")),"",(E507-E508)*2)</f>
        <v>4271.62</v>
      </c>
      <c r="F509" s="51">
        <f t="shared" si="218"/>
        <v>3995.2200000000003</v>
      </c>
      <c r="G509" s="51">
        <f t="shared" si="218"/>
        <v>3934.42</v>
      </c>
      <c r="H509" s="51">
        <f t="shared" si="218"/>
        <v>3987.1000000000004</v>
      </c>
      <c r="I509" s="51">
        <f t="shared" si="218"/>
        <v>4290.2400000000007</v>
      </c>
      <c r="J509" s="51">
        <f t="shared" si="218"/>
        <v>4205.84</v>
      </c>
      <c r="K509" s="51">
        <f t="shared" si="218"/>
        <v>4003.5800000000008</v>
      </c>
      <c r="L509" s="51">
        <f t="shared" si="218"/>
        <v>3941.3599999999997</v>
      </c>
      <c r="M509" s="51">
        <f t="shared" si="218"/>
        <v>4142.62</v>
      </c>
      <c r="N509" s="51"/>
      <c r="O509" s="51"/>
      <c r="P509" s="51"/>
      <c r="Q509" s="51"/>
      <c r="R509" s="192"/>
      <c r="S509" s="192"/>
      <c r="T509" s="193"/>
      <c r="U509" s="193"/>
      <c r="W509" s="178"/>
      <c r="X509" s="100"/>
    </row>
    <row r="510" spans="1:32">
      <c r="A510" s="149">
        <v>43518</v>
      </c>
      <c r="B510" s="81" t="s">
        <v>121</v>
      </c>
      <c r="C510" s="81" t="s">
        <v>121</v>
      </c>
      <c r="D510" s="204" t="s">
        <v>114</v>
      </c>
      <c r="E510" s="59">
        <v>1197.1199999999999</v>
      </c>
      <c r="F510" s="59">
        <v>1249.19</v>
      </c>
      <c r="G510" s="59">
        <v>1274.71</v>
      </c>
      <c r="H510" s="59">
        <v>1246.27</v>
      </c>
      <c r="I510" s="59">
        <v>1201.28</v>
      </c>
      <c r="J510" s="59">
        <v>1171.04</v>
      </c>
      <c r="K510" s="59">
        <v>1235.92</v>
      </c>
      <c r="L510" s="59">
        <v>1261.68</v>
      </c>
      <c r="M510" s="59">
        <v>1208.22</v>
      </c>
      <c r="N510" s="205"/>
      <c r="O510" s="205"/>
      <c r="P510" s="205"/>
      <c r="Q510" s="205"/>
      <c r="R510" s="194">
        <f>IF((M511=""),"",MAX(E512:M512))</f>
        <v>3352.6800000000003</v>
      </c>
      <c r="S510" s="194">
        <f>IF((M511=""),"",MIN(E512:M512))</f>
        <v>2728.6000000000004</v>
      </c>
      <c r="T510" s="195">
        <f>IF((M512=""),"",AVERAGE(E512:M512))</f>
        <v>2956.7111111111112</v>
      </c>
      <c r="U510" s="195">
        <f>IF((M511=""),"",(R510-S510)/(R510+S510)*100)</f>
        <v>10.262313197221635</v>
      </c>
      <c r="V510" s="66">
        <f t="shared" ref="V510" si="219">STDEV(E512:Q512)</f>
        <v>193.42695342457213</v>
      </c>
      <c r="W510" s="182" t="str">
        <f>IF(M511="","",IF(T510&gt;2000,IF(T510&lt;3000,"Pass","Fail"),"Fail"))</f>
        <v>Pass</v>
      </c>
      <c r="X510" s="92">
        <v>1340</v>
      </c>
      <c r="AA510" s="67">
        <v>2000</v>
      </c>
      <c r="AB510" s="67">
        <v>3000</v>
      </c>
      <c r="AC510" s="67">
        <v>2200</v>
      </c>
      <c r="AD510" s="67">
        <v>2900</v>
      </c>
      <c r="AE510" s="67">
        <v>7</v>
      </c>
      <c r="AF510" s="67">
        <v>5.5</v>
      </c>
    </row>
    <row r="511" spans="1:32">
      <c r="A511" s="149"/>
      <c r="B511" s="82"/>
      <c r="C511" s="82"/>
      <c r="D511" s="204" t="s">
        <v>115</v>
      </c>
      <c r="E511" s="59">
        <v>433.75</v>
      </c>
      <c r="F511" s="59">
        <v>533.57000000000005</v>
      </c>
      <c r="G511" s="59">
        <v>579.57000000000005</v>
      </c>
      <c r="H511" s="59">
        <v>535.99</v>
      </c>
      <c r="I511" s="59">
        <v>427.07</v>
      </c>
      <c r="J511" s="59">
        <v>450.06</v>
      </c>
      <c r="K511" s="59">
        <v>553.77</v>
      </c>
      <c r="L511" s="59">
        <v>509</v>
      </c>
      <c r="M511" s="59">
        <v>370.05</v>
      </c>
      <c r="N511" s="205"/>
      <c r="O511" s="205"/>
      <c r="P511" s="205"/>
      <c r="Q511" s="205"/>
      <c r="R511" s="190"/>
      <c r="S511" s="190"/>
      <c r="T511" s="191"/>
      <c r="U511" s="191"/>
      <c r="W511" s="179"/>
      <c r="X511" s="92"/>
    </row>
    <row r="512" spans="1:32" ht="48.75" thickBot="1">
      <c r="A512" s="149"/>
      <c r="B512" s="211"/>
      <c r="C512" s="211"/>
      <c r="D512" s="212" t="s">
        <v>116</v>
      </c>
      <c r="E512" s="87">
        <f t="shared" ref="E512:M512" si="220">IF(((E510="")*AND(E511="")),"",(E510-E511)*4)</f>
        <v>3053.4799999999996</v>
      </c>
      <c r="F512" s="87">
        <f t="shared" si="220"/>
        <v>2862.48</v>
      </c>
      <c r="G512" s="87">
        <f t="shared" si="220"/>
        <v>2780.56</v>
      </c>
      <c r="H512" s="87">
        <f t="shared" si="220"/>
        <v>2841.12</v>
      </c>
      <c r="I512" s="87">
        <f t="shared" si="220"/>
        <v>3096.84</v>
      </c>
      <c r="J512" s="87">
        <f t="shared" si="220"/>
        <v>2883.92</v>
      </c>
      <c r="K512" s="87">
        <f t="shared" si="220"/>
        <v>2728.6000000000004</v>
      </c>
      <c r="L512" s="87">
        <f t="shared" si="220"/>
        <v>3010.7200000000003</v>
      </c>
      <c r="M512" s="87">
        <f t="shared" si="220"/>
        <v>3352.6800000000003</v>
      </c>
      <c r="N512" s="85"/>
      <c r="O512" s="85"/>
      <c r="P512" s="85"/>
      <c r="Q512" s="85" t="str">
        <f>IF(((Q510="")*AND(Q511="")),"",(Q510-Q511)*4)</f>
        <v/>
      </c>
      <c r="R512" s="197"/>
      <c r="S512" s="197"/>
      <c r="T512" s="198"/>
      <c r="U512" s="198"/>
      <c r="W512" s="180"/>
      <c r="X512" s="93"/>
    </row>
    <row r="513" spans="1:32">
      <c r="A513" s="149"/>
      <c r="B513" s="200" t="s">
        <v>112</v>
      </c>
      <c r="C513" s="200" t="s">
        <v>113</v>
      </c>
      <c r="D513" s="201" t="s">
        <v>114</v>
      </c>
      <c r="E513" s="59"/>
      <c r="F513" s="59"/>
      <c r="G513" s="59"/>
      <c r="H513" s="59"/>
      <c r="I513" s="59"/>
      <c r="J513" s="59"/>
      <c r="K513" s="59"/>
      <c r="L513" s="59"/>
      <c r="M513" s="59"/>
      <c r="N513" s="202"/>
      <c r="O513" s="202"/>
      <c r="P513" s="202"/>
      <c r="Q513" s="202"/>
      <c r="R513" s="188" t="str">
        <f>IF((M514=""),"",MAX(E515:M515))</f>
        <v/>
      </c>
      <c r="S513" s="188" t="str">
        <f>IF((M514=""),"",MIN(E515:M515))</f>
        <v/>
      </c>
      <c r="T513" s="189" t="str">
        <f>IF((M515=""),"",AVERAGE(E515:M515))</f>
        <v/>
      </c>
      <c r="U513" s="189" t="str">
        <f>IF((M514=""),"",(R513-S513)/(R513+S513)*100)</f>
        <v/>
      </c>
      <c r="V513" s="66" t="e">
        <f t="shared" ref="V513" si="221">STDEV(E515:Q515)</f>
        <v>#DIV/0!</v>
      </c>
      <c r="W513" s="170" t="str">
        <f>IF(M514="","",IF(U513&lt;6.3,IF(T513&gt;5550,IF(T513&lt;6900,"Pass","Fail"),"Fail"),"Fail"))</f>
        <v/>
      </c>
      <c r="X513" s="98">
        <v>1340</v>
      </c>
      <c r="AA513" s="67">
        <v>5860</v>
      </c>
      <c r="AB513" s="67">
        <v>6770</v>
      </c>
      <c r="AC513" s="67">
        <v>5550</v>
      </c>
      <c r="AD513" s="67">
        <v>6900</v>
      </c>
      <c r="AE513" s="67">
        <v>20</v>
      </c>
      <c r="AF513" s="67">
        <v>6.3</v>
      </c>
    </row>
    <row r="514" spans="1:32">
      <c r="A514" s="149"/>
      <c r="B514" s="82"/>
      <c r="C514" s="82"/>
      <c r="D514" s="204" t="s">
        <v>115</v>
      </c>
      <c r="E514" s="59"/>
      <c r="F514" s="59"/>
      <c r="G514" s="59"/>
      <c r="H514" s="59"/>
      <c r="I514" s="59"/>
      <c r="J514" s="59"/>
      <c r="K514" s="59"/>
      <c r="L514" s="59"/>
      <c r="M514" s="59"/>
      <c r="N514" s="205"/>
      <c r="O514" s="205"/>
      <c r="P514" s="205"/>
      <c r="Q514" s="205"/>
      <c r="R514" s="190"/>
      <c r="S514" s="190"/>
      <c r="T514" s="191"/>
      <c r="U514" s="191"/>
      <c r="W514" s="177"/>
      <c r="X514" s="99"/>
    </row>
    <row r="515" spans="1:32" ht="48">
      <c r="A515" s="149"/>
      <c r="B515" s="207"/>
      <c r="C515" s="207"/>
      <c r="D515" s="204" t="s">
        <v>116</v>
      </c>
      <c r="E515" s="51" t="str">
        <f>IF(((E513="")*AND(E514="")),"",(E513-E514)*3)</f>
        <v/>
      </c>
      <c r="F515" s="51" t="str">
        <f t="shared" ref="F515:Q515" si="222">IF(((F513="")*AND(F514="")),"",(F513-F514)*3)</f>
        <v/>
      </c>
      <c r="G515" s="51" t="str">
        <f t="shared" si="222"/>
        <v/>
      </c>
      <c r="H515" s="51" t="str">
        <f t="shared" si="222"/>
        <v/>
      </c>
      <c r="I515" s="51" t="str">
        <f t="shared" si="222"/>
        <v/>
      </c>
      <c r="J515" s="51" t="str">
        <f t="shared" si="222"/>
        <v/>
      </c>
      <c r="K515" s="51" t="str">
        <f t="shared" si="222"/>
        <v/>
      </c>
      <c r="L515" s="51" t="str">
        <f t="shared" si="222"/>
        <v/>
      </c>
      <c r="M515" s="51" t="str">
        <f t="shared" si="222"/>
        <v/>
      </c>
      <c r="N515" s="51" t="str">
        <f t="shared" si="222"/>
        <v/>
      </c>
      <c r="O515" s="51" t="str">
        <f t="shared" si="222"/>
        <v/>
      </c>
      <c r="P515" s="51" t="str">
        <f t="shared" si="222"/>
        <v/>
      </c>
      <c r="Q515" s="51" t="str">
        <f t="shared" si="222"/>
        <v/>
      </c>
      <c r="R515" s="192"/>
      <c r="S515" s="192"/>
      <c r="T515" s="193"/>
      <c r="U515" s="193"/>
      <c r="W515" s="178"/>
      <c r="X515" s="100"/>
    </row>
    <row r="516" spans="1:32" ht="15.75">
      <c r="A516" s="149">
        <v>43622</v>
      </c>
      <c r="B516" s="81" t="s">
        <v>117</v>
      </c>
      <c r="C516" s="81" t="s">
        <v>118</v>
      </c>
      <c r="D516" s="204" t="s">
        <v>114</v>
      </c>
      <c r="E516">
        <v>2823.2</v>
      </c>
      <c r="F516">
        <v>2764.01</v>
      </c>
      <c r="G516">
        <v>2759.15</v>
      </c>
      <c r="H516">
        <v>2770.56</v>
      </c>
      <c r="I516">
        <v>2859.34</v>
      </c>
      <c r="J516">
        <v>2822.19</v>
      </c>
      <c r="K516">
        <v>2765.98</v>
      </c>
      <c r="L516">
        <v>2769.98</v>
      </c>
      <c r="M516">
        <v>2847.64</v>
      </c>
      <c r="N516">
        <v>2766.81</v>
      </c>
      <c r="O516">
        <v>2784.3</v>
      </c>
      <c r="P516">
        <v>2773.55</v>
      </c>
      <c r="Q516">
        <v>2769.23</v>
      </c>
      <c r="R516" s="194">
        <f>IF((Q517=""),"",MAX(E518:Q518))</f>
        <v>389.76000000000022</v>
      </c>
      <c r="S516" s="194">
        <f>IF(Q517="","",MIN(E518:Q518))</f>
        <v>200.41000000000031</v>
      </c>
      <c r="T516" s="195">
        <f>IF((Q518=""),"",AVERAGE(E518:Q518))</f>
        <v>267.34692307692313</v>
      </c>
      <c r="U516" s="195">
        <f>IF((Q517=""),"",(R516-S516)/(R516+S516)*100)</f>
        <v>32.083975803581978</v>
      </c>
      <c r="V516" s="66">
        <f t="shared" ref="V516" si="223">STDEV(E518:Q518)</f>
        <v>80.13665343072995</v>
      </c>
      <c r="W516" s="83" t="str">
        <f>IF(Q517="","",IF(T516&gt;242,IF(T516&lt;320,"Pass","Fail"),"Fail"))</f>
        <v>Pass</v>
      </c>
      <c r="X516" s="101">
        <v>1340</v>
      </c>
      <c r="AA516" s="67">
        <v>240</v>
      </c>
      <c r="AB516" s="67">
        <v>320</v>
      </c>
      <c r="AC516" s="67">
        <v>190</v>
      </c>
      <c r="AD516" s="67">
        <v>360</v>
      </c>
      <c r="AE516" s="67">
        <v>20</v>
      </c>
      <c r="AF516" s="67">
        <v>11</v>
      </c>
    </row>
    <row r="517" spans="1:32" ht="15.75">
      <c r="A517" s="149"/>
      <c r="B517" s="82"/>
      <c r="C517" s="82"/>
      <c r="D517" s="204" t="s">
        <v>115</v>
      </c>
      <c r="E517">
        <v>2454.27</v>
      </c>
      <c r="F517">
        <v>2553.06</v>
      </c>
      <c r="G517">
        <v>2558.7399999999998</v>
      </c>
      <c r="H517">
        <v>2558.17</v>
      </c>
      <c r="I517">
        <v>2472.44</v>
      </c>
      <c r="J517">
        <v>2432.4299999999998</v>
      </c>
      <c r="K517">
        <v>2551.5700000000002</v>
      </c>
      <c r="L517">
        <v>2557.9</v>
      </c>
      <c r="M517">
        <v>2464.42</v>
      </c>
      <c r="N517">
        <v>2543.59</v>
      </c>
      <c r="O517">
        <v>2555.98</v>
      </c>
      <c r="P517">
        <v>2550.4299999999998</v>
      </c>
      <c r="Q517">
        <v>2547.4299999999998</v>
      </c>
      <c r="R517" s="190"/>
      <c r="S517" s="190"/>
      <c r="T517" s="191"/>
      <c r="U517" s="191"/>
      <c r="W517" s="177"/>
      <c r="X517" s="99"/>
    </row>
    <row r="518" spans="1:32" ht="48">
      <c r="A518" s="149"/>
      <c r="B518" s="207"/>
      <c r="C518" s="207"/>
      <c r="D518" s="204" t="s">
        <v>116</v>
      </c>
      <c r="E518" s="51">
        <f t="shared" ref="E518:Q518" si="224">IF(((E516="")*AND(E517="")),"",(E516-E517))</f>
        <v>368.92999999999984</v>
      </c>
      <c r="F518" s="51">
        <f t="shared" si="224"/>
        <v>210.95000000000027</v>
      </c>
      <c r="G518" s="51">
        <f t="shared" si="224"/>
        <v>200.41000000000031</v>
      </c>
      <c r="H518" s="51">
        <f t="shared" si="224"/>
        <v>212.38999999999987</v>
      </c>
      <c r="I518" s="51">
        <f t="shared" si="224"/>
        <v>386.90000000000009</v>
      </c>
      <c r="J518" s="51">
        <f t="shared" si="224"/>
        <v>389.76000000000022</v>
      </c>
      <c r="K518" s="51">
        <f t="shared" si="224"/>
        <v>214.40999999999985</v>
      </c>
      <c r="L518" s="51">
        <f t="shared" si="224"/>
        <v>212.07999999999993</v>
      </c>
      <c r="M518" s="51">
        <f t="shared" si="224"/>
        <v>383.2199999999998</v>
      </c>
      <c r="N518" s="85">
        <f t="shared" si="224"/>
        <v>223.2199999999998</v>
      </c>
      <c r="O518" s="85">
        <f t="shared" si="224"/>
        <v>228.32000000000016</v>
      </c>
      <c r="P518" s="85">
        <f t="shared" si="224"/>
        <v>223.12000000000035</v>
      </c>
      <c r="Q518" s="85">
        <f t="shared" si="224"/>
        <v>221.80000000000018</v>
      </c>
      <c r="R518" s="192"/>
      <c r="S518" s="192"/>
      <c r="T518" s="193"/>
      <c r="U518" s="193"/>
      <c r="W518" s="178"/>
      <c r="X518" s="100"/>
    </row>
    <row r="519" spans="1:32" ht="15.75">
      <c r="A519" s="149">
        <v>43622</v>
      </c>
      <c r="B519" s="81" t="s">
        <v>119</v>
      </c>
      <c r="C519" s="81" t="s">
        <v>120</v>
      </c>
      <c r="D519" s="204" t="s">
        <v>114</v>
      </c>
      <c r="E519">
        <v>6950.17</v>
      </c>
      <c r="F519">
        <v>6948.76</v>
      </c>
      <c r="G519">
        <v>6968.41</v>
      </c>
      <c r="H519">
        <v>6934.72</v>
      </c>
      <c r="I519">
        <v>6848.09</v>
      </c>
      <c r="J519">
        <v>6856.34</v>
      </c>
      <c r="K519">
        <v>6924.95</v>
      </c>
      <c r="L519">
        <v>6990.44</v>
      </c>
      <c r="M519">
        <v>6991.25</v>
      </c>
      <c r="N519" s="210"/>
      <c r="O519" s="210"/>
      <c r="P519" s="210"/>
      <c r="Q519" s="210"/>
      <c r="R519" s="196">
        <f>IF((M520=""),"",MAX(E521:M521))</f>
        <v>4371.2800000000007</v>
      </c>
      <c r="S519" s="194">
        <f>IF(M520="","",MIN(E521:M521))</f>
        <v>3925.4400000000005</v>
      </c>
      <c r="T519" s="195">
        <f>IF((M521=""),"",AVERAGE(E521:M521))</f>
        <v>4093.9177777777782</v>
      </c>
      <c r="U519" s="195">
        <f>IF((M520=""),"",(R519-S519)/(R519+S519)*100)</f>
        <v>5.3736898436972691</v>
      </c>
      <c r="V519" s="66">
        <f t="shared" ref="V519" si="225">STDEV(E521:Q521)</f>
        <v>164.56132943206876</v>
      </c>
      <c r="W519" s="83" t="str">
        <f>IF(M520="","",IF(T519&gt;3650,IF(T519&lt;4450,"Pass","Fail"),"Fail"))</f>
        <v>Pass</v>
      </c>
      <c r="X519" s="101">
        <v>1428</v>
      </c>
      <c r="AA519" s="86">
        <v>3650</v>
      </c>
      <c r="AB519" s="86">
        <v>4450</v>
      </c>
      <c r="AC519" s="86">
        <v>3700</v>
      </c>
      <c r="AD519" s="86">
        <v>4250</v>
      </c>
      <c r="AE519" s="86">
        <v>7.2</v>
      </c>
      <c r="AF519" s="86">
        <v>3</v>
      </c>
    </row>
    <row r="520" spans="1:32" ht="15.75">
      <c r="A520" s="149"/>
      <c r="B520" s="82"/>
      <c r="C520" s="82"/>
      <c r="D520" s="204" t="s">
        <v>115</v>
      </c>
      <c r="E520">
        <v>4764.53</v>
      </c>
      <c r="F520">
        <v>4941.28</v>
      </c>
      <c r="G520">
        <v>5005.6899999999996</v>
      </c>
      <c r="H520">
        <v>4950.96</v>
      </c>
      <c r="I520">
        <v>4725.95</v>
      </c>
      <c r="J520">
        <v>4725.95</v>
      </c>
      <c r="K520">
        <v>4928.28</v>
      </c>
      <c r="L520">
        <v>5025.16</v>
      </c>
      <c r="M520">
        <v>4922.7</v>
      </c>
      <c r="N520" s="205"/>
      <c r="O520" s="205"/>
      <c r="P520" s="205"/>
      <c r="Q520" s="205"/>
      <c r="R520" s="190"/>
      <c r="S520" s="190"/>
      <c r="T520" s="191"/>
      <c r="U520" s="191"/>
      <c r="W520" s="177"/>
      <c r="X520" s="99"/>
    </row>
    <row r="521" spans="1:32" ht="48">
      <c r="A521" s="149"/>
      <c r="B521" s="207"/>
      <c r="C521" s="207"/>
      <c r="D521" s="204" t="s">
        <v>116</v>
      </c>
      <c r="E521" s="51">
        <f t="shared" ref="E521:M521" si="226">IF(((E519="")*AND(E520="")),"",(E519-E520)*2)</f>
        <v>4371.2800000000007</v>
      </c>
      <c r="F521" s="51">
        <f t="shared" si="226"/>
        <v>4014.9600000000009</v>
      </c>
      <c r="G521" s="51">
        <f t="shared" si="226"/>
        <v>3925.4400000000005</v>
      </c>
      <c r="H521" s="51">
        <f t="shared" si="226"/>
        <v>3967.5200000000004</v>
      </c>
      <c r="I521" s="51">
        <f t="shared" si="226"/>
        <v>4244.2800000000007</v>
      </c>
      <c r="J521" s="51">
        <f t="shared" si="226"/>
        <v>4260.7800000000007</v>
      </c>
      <c r="K521" s="51">
        <f t="shared" si="226"/>
        <v>3993.34</v>
      </c>
      <c r="L521" s="51">
        <f t="shared" si="226"/>
        <v>3930.5599999999995</v>
      </c>
      <c r="M521" s="51">
        <f t="shared" si="226"/>
        <v>4137.1000000000004</v>
      </c>
      <c r="N521" s="51"/>
      <c r="O521" s="51"/>
      <c r="P521" s="51"/>
      <c r="Q521" s="51"/>
      <c r="R521" s="192"/>
      <c r="S521" s="192"/>
      <c r="T521" s="193"/>
      <c r="U521" s="193"/>
      <c r="W521" s="178"/>
      <c r="X521" s="100"/>
    </row>
    <row r="522" spans="1:32" ht="15.75">
      <c r="A522" s="149">
        <v>43622</v>
      </c>
      <c r="B522" s="81" t="s">
        <v>121</v>
      </c>
      <c r="C522" s="81" t="s">
        <v>121</v>
      </c>
      <c r="D522" s="204" t="s">
        <v>114</v>
      </c>
      <c r="E522">
        <v>1936.3</v>
      </c>
      <c r="F522">
        <v>1932.35</v>
      </c>
      <c r="G522">
        <v>1925.17</v>
      </c>
      <c r="H522">
        <v>1929.4</v>
      </c>
      <c r="I522">
        <v>1932.52</v>
      </c>
      <c r="J522">
        <v>1946.03</v>
      </c>
      <c r="K522">
        <v>1937.3</v>
      </c>
      <c r="L522">
        <v>1927.87</v>
      </c>
      <c r="M522">
        <v>1930.92</v>
      </c>
      <c r="N522" s="205"/>
      <c r="O522" s="205"/>
      <c r="P522" s="205"/>
      <c r="Q522" s="205"/>
      <c r="R522" s="194">
        <f>IF((M523=""),"",MAX(E524:M524))</f>
        <v>3135.4400000000005</v>
      </c>
      <c r="S522" s="194">
        <f>IF((M523=""),"",MIN(E524:M524))</f>
        <v>2830.2800000000007</v>
      </c>
      <c r="T522" s="195">
        <f>IF((M524=""),"",AVERAGE(E524:M524))</f>
        <v>2981.3111111111116</v>
      </c>
      <c r="U522" s="195">
        <f>IF((M523=""),"",(R522-S522)/(R522+S522)*100)</f>
        <v>5.1152249854166767</v>
      </c>
      <c r="V522" s="66">
        <f t="shared" ref="V522" si="227">STDEV(E524:Q524)</f>
        <v>98.410198206853423</v>
      </c>
      <c r="W522" s="182" t="str">
        <f>IF(M523="","",IF(T522&gt;2000,IF(T522&lt;3000,"Pass","Fail"),"Fail"))</f>
        <v>Pass</v>
      </c>
      <c r="X522" s="92">
        <v>1428</v>
      </c>
      <c r="AA522" s="67">
        <v>2000</v>
      </c>
      <c r="AB522" s="67">
        <v>3000</v>
      </c>
      <c r="AC522" s="67">
        <v>2200</v>
      </c>
      <c r="AD522" s="67">
        <v>2900</v>
      </c>
      <c r="AE522" s="67">
        <v>7</v>
      </c>
      <c r="AF522" s="67">
        <v>5.5</v>
      </c>
    </row>
    <row r="523" spans="1:32" ht="15.75">
      <c r="A523" s="149"/>
      <c r="B523" s="82"/>
      <c r="C523" s="82"/>
      <c r="D523" s="204" t="s">
        <v>115</v>
      </c>
      <c r="E523">
        <v>1191.8499999999999</v>
      </c>
      <c r="F523">
        <v>1206.8399999999999</v>
      </c>
      <c r="G523">
        <v>1217.5999999999999</v>
      </c>
      <c r="H523">
        <v>1191.5899999999999</v>
      </c>
      <c r="I523">
        <v>1158.0899999999999</v>
      </c>
      <c r="J523">
        <v>1181.21</v>
      </c>
      <c r="K523">
        <v>1206.5</v>
      </c>
      <c r="L523">
        <v>1189.17</v>
      </c>
      <c r="M523">
        <v>1147.06</v>
      </c>
      <c r="N523" s="205"/>
      <c r="O523" s="205"/>
      <c r="P523" s="205"/>
      <c r="Q523" s="205"/>
      <c r="R523" s="190"/>
      <c r="S523" s="190"/>
      <c r="T523" s="191"/>
      <c r="U523" s="191"/>
      <c r="W523" s="179"/>
      <c r="X523" s="92"/>
    </row>
    <row r="524" spans="1:32" ht="48.75" thickBot="1">
      <c r="A524" s="149"/>
      <c r="B524" s="211"/>
      <c r="C524" s="211"/>
      <c r="D524" s="212" t="s">
        <v>116</v>
      </c>
      <c r="E524" s="87">
        <f t="shared" ref="E524:M524" si="228">IF(((E522="")*AND(E523="")),"",(E522-E523)*4)</f>
        <v>2977.8</v>
      </c>
      <c r="F524" s="87">
        <f t="shared" si="228"/>
        <v>2902.04</v>
      </c>
      <c r="G524" s="87">
        <f t="shared" si="228"/>
        <v>2830.2800000000007</v>
      </c>
      <c r="H524" s="87">
        <f t="shared" si="228"/>
        <v>2951.2400000000007</v>
      </c>
      <c r="I524" s="87">
        <f t="shared" si="228"/>
        <v>3097.7200000000003</v>
      </c>
      <c r="J524" s="87">
        <f t="shared" si="228"/>
        <v>3059.2799999999997</v>
      </c>
      <c r="K524" s="87">
        <f t="shared" si="228"/>
        <v>2923.2</v>
      </c>
      <c r="L524" s="87">
        <f t="shared" si="228"/>
        <v>2954.7999999999993</v>
      </c>
      <c r="M524" s="87">
        <f t="shared" si="228"/>
        <v>3135.4400000000005</v>
      </c>
      <c r="N524" s="85"/>
      <c r="O524" s="85"/>
      <c r="P524" s="85"/>
      <c r="Q524" s="85" t="str">
        <f>IF(((Q522="")*AND(Q523="")),"",(Q522-Q523)*4)</f>
        <v/>
      </c>
      <c r="R524" s="197"/>
      <c r="S524" s="197"/>
      <c r="T524" s="198"/>
      <c r="U524" s="198"/>
      <c r="W524" s="180"/>
      <c r="X524" s="93"/>
    </row>
    <row r="525" spans="1:32" ht="15.75">
      <c r="A525" s="149">
        <v>43840</v>
      </c>
      <c r="B525" s="200" t="s">
        <v>112</v>
      </c>
      <c r="C525" s="200" t="s">
        <v>113</v>
      </c>
      <c r="D525" s="201" t="s">
        <v>114</v>
      </c>
      <c r="E525" s="248">
        <v>4818.6400000000003</v>
      </c>
      <c r="F525" s="248">
        <v>4728.49</v>
      </c>
      <c r="G525" s="248">
        <v>4809.75</v>
      </c>
      <c r="H525" s="248">
        <v>5225.93</v>
      </c>
      <c r="I525" s="248">
        <v>5258.35</v>
      </c>
      <c r="J525" s="248">
        <v>5124.46</v>
      </c>
      <c r="K525" s="248">
        <v>4977.6000000000004</v>
      </c>
      <c r="L525" s="248">
        <v>5123.8100000000004</v>
      </c>
      <c r="M525" s="248">
        <v>4721.38</v>
      </c>
      <c r="N525" s="202"/>
      <c r="O525" s="202"/>
      <c r="P525" s="202"/>
      <c r="Q525" s="202"/>
      <c r="R525" s="188">
        <f>IF((M526=""),"",MAX(E527:M527))</f>
        <v>7367.5499999999993</v>
      </c>
      <c r="S525" s="188">
        <f>IF((M526=""),"",MIN(E527:M527))</f>
        <v>5721.7200000000012</v>
      </c>
      <c r="T525" s="189">
        <f>IF((M527=""),"",AVERAGE(E527:M527))</f>
        <v>6278.126666666667</v>
      </c>
      <c r="U525" s="189">
        <f>IF((M526=""),"",(R525-S525)/(R525+S525)*100)</f>
        <v>12.573886855416674</v>
      </c>
      <c r="V525" s="66">
        <f t="shared" ref="V525" si="229">STDEV(E527:Q527)</f>
        <v>507.83018948266607</v>
      </c>
      <c r="W525" s="170" t="str">
        <f>IF(M526="","",IF(U525&lt;6.3,IF(T525&gt;5550,IF(T525&lt;6900,"Pass","Fail"),"Fail"),"Fail"))</f>
        <v>Fail</v>
      </c>
      <c r="X525" s="98"/>
      <c r="AA525" s="67">
        <v>5860</v>
      </c>
      <c r="AB525" s="67">
        <v>6770</v>
      </c>
      <c r="AC525" s="67">
        <v>5550</v>
      </c>
      <c r="AD525" s="67">
        <v>6900</v>
      </c>
      <c r="AE525" s="67">
        <v>20</v>
      </c>
      <c r="AF525" s="67">
        <v>6.3</v>
      </c>
    </row>
    <row r="526" spans="1:32" ht="15.75">
      <c r="A526" s="149"/>
      <c r="B526" s="82"/>
      <c r="C526" s="82"/>
      <c r="D526" s="204" t="s">
        <v>115</v>
      </c>
      <c r="E526" s="248">
        <v>2688.59</v>
      </c>
      <c r="F526" s="248">
        <v>2688.59</v>
      </c>
      <c r="G526" s="248">
        <v>2822.71</v>
      </c>
      <c r="H526" s="248">
        <v>3278.79</v>
      </c>
      <c r="I526" s="248">
        <v>3260.48</v>
      </c>
      <c r="J526" s="248">
        <v>2668.61</v>
      </c>
      <c r="K526" s="248">
        <v>2809.21</v>
      </c>
      <c r="L526" s="248">
        <v>3216.57</v>
      </c>
      <c r="M526" s="248">
        <v>2520.48</v>
      </c>
      <c r="N526" s="205"/>
      <c r="O526" s="205"/>
      <c r="P526" s="205"/>
      <c r="Q526" s="205"/>
      <c r="R526" s="190"/>
      <c r="S526" s="190"/>
      <c r="T526" s="191"/>
      <c r="U526" s="191"/>
      <c r="W526" s="177"/>
      <c r="X526" s="99"/>
    </row>
    <row r="527" spans="1:32" ht="48">
      <c r="A527" s="149"/>
      <c r="B527" s="207"/>
      <c r="C527" s="207"/>
      <c r="D527" s="204" t="s">
        <v>116</v>
      </c>
      <c r="E527" s="51">
        <f>IF(((E525="")*AND(E526="")),"",(E525-E526)*3)</f>
        <v>6390.1500000000005</v>
      </c>
      <c r="F527" s="51">
        <f t="shared" ref="F527:Q527" si="230">IF(((F525="")*AND(F526="")),"",(F525-F526)*3)</f>
        <v>6119.6999999999989</v>
      </c>
      <c r="G527" s="51">
        <f t="shared" si="230"/>
        <v>5961.12</v>
      </c>
      <c r="H527" s="51">
        <f t="shared" si="230"/>
        <v>5841.420000000001</v>
      </c>
      <c r="I527" s="51">
        <f t="shared" si="230"/>
        <v>5993.6100000000006</v>
      </c>
      <c r="J527" s="51">
        <f t="shared" si="230"/>
        <v>7367.5499999999993</v>
      </c>
      <c r="K527" s="51">
        <f t="shared" si="230"/>
        <v>6505.170000000001</v>
      </c>
      <c r="L527" s="51">
        <f t="shared" si="230"/>
        <v>5721.7200000000012</v>
      </c>
      <c r="M527" s="51">
        <f t="shared" si="230"/>
        <v>6602.7000000000007</v>
      </c>
      <c r="N527" s="51" t="str">
        <f t="shared" si="230"/>
        <v/>
      </c>
      <c r="O527" s="51" t="str">
        <f t="shared" si="230"/>
        <v/>
      </c>
      <c r="P527" s="51" t="str">
        <f t="shared" si="230"/>
        <v/>
      </c>
      <c r="Q527" s="51" t="str">
        <f t="shared" si="230"/>
        <v/>
      </c>
      <c r="R527" s="192"/>
      <c r="S527" s="192"/>
      <c r="T527" s="193"/>
      <c r="U527" s="193"/>
      <c r="W527" s="178"/>
      <c r="X527" s="100"/>
    </row>
    <row r="528" spans="1:32" ht="15.75">
      <c r="A528" s="149">
        <v>43840</v>
      </c>
      <c r="B528" s="81" t="s">
        <v>117</v>
      </c>
      <c r="C528" s="81" t="s">
        <v>118</v>
      </c>
      <c r="D528" s="204" t="s">
        <v>114</v>
      </c>
      <c r="E528" s="248">
        <v>2672.68</v>
      </c>
      <c r="F528" s="248">
        <v>2624.44</v>
      </c>
      <c r="G528" s="248">
        <v>2624.41</v>
      </c>
      <c r="H528" s="248">
        <v>2644.24</v>
      </c>
      <c r="I528" s="248">
        <v>2736.06</v>
      </c>
      <c r="J528" s="248">
        <v>2665.4</v>
      </c>
      <c r="K528" s="248">
        <v>2637.17</v>
      </c>
      <c r="L528" s="248">
        <v>2632.77</v>
      </c>
      <c r="M528" s="248">
        <v>2672.69</v>
      </c>
      <c r="N528" s="248">
        <v>2630.23</v>
      </c>
      <c r="O528" s="248">
        <v>2653.1</v>
      </c>
      <c r="P528" s="248">
        <v>2655.71</v>
      </c>
      <c r="Q528" s="248">
        <v>2632.21</v>
      </c>
      <c r="R528" s="194">
        <f>IF((Q529=""),"",MAX(E530:Q530))</f>
        <v>384.20000000000027</v>
      </c>
      <c r="S528" s="194">
        <f>IF(Q529="","",MIN(E530:Q530))</f>
        <v>311.67000000000007</v>
      </c>
      <c r="T528" s="195">
        <f>IF((Q530=""),"",AVERAGE(E530:Q530))</f>
        <v>336.67538461538459</v>
      </c>
      <c r="U528" s="195">
        <f>IF((Q529=""),"",(R528-S528)/(R528+S528)*100)</f>
        <v>10.422923821978266</v>
      </c>
      <c r="V528" s="66">
        <f t="shared" ref="V528" si="231">STDEV(E530:Q530)</f>
        <v>28.908379873716175</v>
      </c>
      <c r="W528" s="83" t="str">
        <f>IF(Q529="","",IF(T528&gt;242,IF(T528&lt;320,"Pass","Fail"),"Fail"))</f>
        <v>Fail</v>
      </c>
      <c r="X528" s="101"/>
      <c r="AA528" s="67">
        <v>240</v>
      </c>
      <c r="AB528" s="67">
        <v>320</v>
      </c>
      <c r="AC528" s="67">
        <v>190</v>
      </c>
      <c r="AD528" s="67">
        <v>360</v>
      </c>
      <c r="AE528" s="67">
        <v>20</v>
      </c>
      <c r="AF528" s="67">
        <v>11</v>
      </c>
    </row>
    <row r="529" spans="1:32" ht="15.75">
      <c r="A529" s="149"/>
      <c r="B529" s="82"/>
      <c r="C529" s="82"/>
      <c r="D529" s="204" t="s">
        <v>115</v>
      </c>
      <c r="E529" s="248">
        <v>2301.89</v>
      </c>
      <c r="F529" s="248">
        <v>2310.06</v>
      </c>
      <c r="G529" s="248">
        <v>2312.7399999999998</v>
      </c>
      <c r="H529" s="248">
        <v>2328.96</v>
      </c>
      <c r="I529" s="248">
        <v>2353.4</v>
      </c>
      <c r="J529" s="248">
        <v>2281.1999999999998</v>
      </c>
      <c r="K529" s="248">
        <v>2313.92</v>
      </c>
      <c r="L529" s="248">
        <v>2316.14</v>
      </c>
      <c r="M529" s="248">
        <v>2299.2600000000002</v>
      </c>
      <c r="N529" s="248">
        <v>2309.23</v>
      </c>
      <c r="O529" s="248">
        <v>2332.96</v>
      </c>
      <c r="P529" s="248">
        <v>2331.9</v>
      </c>
      <c r="Q529" s="248">
        <v>2312.67</v>
      </c>
      <c r="R529" s="190"/>
      <c r="S529" s="190"/>
      <c r="T529" s="191"/>
      <c r="U529" s="191"/>
      <c r="W529" s="177"/>
      <c r="X529" s="99"/>
    </row>
    <row r="530" spans="1:32" ht="48">
      <c r="A530" s="149"/>
      <c r="B530" s="207"/>
      <c r="C530" s="207"/>
      <c r="D530" s="204" t="s">
        <v>116</v>
      </c>
      <c r="E530" s="51">
        <f t="shared" ref="E530:Q530" si="232">IF(((E528="")*AND(E529="")),"",(E528-E529))</f>
        <v>370.78999999999996</v>
      </c>
      <c r="F530" s="51">
        <f t="shared" si="232"/>
        <v>314.38000000000011</v>
      </c>
      <c r="G530" s="51">
        <f t="shared" si="232"/>
        <v>311.67000000000007</v>
      </c>
      <c r="H530" s="51">
        <f t="shared" si="232"/>
        <v>315.27999999999975</v>
      </c>
      <c r="I530" s="51">
        <f t="shared" si="232"/>
        <v>382.65999999999985</v>
      </c>
      <c r="J530" s="51">
        <f t="shared" si="232"/>
        <v>384.20000000000027</v>
      </c>
      <c r="K530" s="51">
        <f t="shared" si="232"/>
        <v>323.25</v>
      </c>
      <c r="L530" s="51">
        <f t="shared" si="232"/>
        <v>316.63000000000011</v>
      </c>
      <c r="M530" s="51">
        <f t="shared" si="232"/>
        <v>373.42999999999984</v>
      </c>
      <c r="N530" s="85">
        <f t="shared" si="232"/>
        <v>321</v>
      </c>
      <c r="O530" s="85">
        <f t="shared" si="232"/>
        <v>320.13999999999987</v>
      </c>
      <c r="P530" s="85">
        <f t="shared" si="232"/>
        <v>323.80999999999995</v>
      </c>
      <c r="Q530" s="85">
        <f t="shared" si="232"/>
        <v>319.53999999999996</v>
      </c>
      <c r="R530" s="192"/>
      <c r="S530" s="192"/>
      <c r="T530" s="193"/>
      <c r="U530" s="193"/>
      <c r="W530" s="178"/>
      <c r="X530" s="100"/>
    </row>
    <row r="531" spans="1:32" ht="15.75">
      <c r="A531" s="149">
        <v>43840</v>
      </c>
      <c r="B531" s="81" t="s">
        <v>119</v>
      </c>
      <c r="C531" s="81" t="s">
        <v>120</v>
      </c>
      <c r="D531" s="204" t="s">
        <v>114</v>
      </c>
      <c r="E531" s="248">
        <v>6862.6</v>
      </c>
      <c r="F531" s="248">
        <v>6891.21</v>
      </c>
      <c r="G531" s="248">
        <v>7019.2</v>
      </c>
      <c r="H531" s="248">
        <v>6983.86</v>
      </c>
      <c r="I531" s="248">
        <v>6955.33</v>
      </c>
      <c r="J531" s="248">
        <v>6847.15</v>
      </c>
      <c r="K531" s="248">
        <v>6950.46</v>
      </c>
      <c r="L531" s="248">
        <v>6995.25</v>
      </c>
      <c r="M531" s="248">
        <v>6936.27</v>
      </c>
      <c r="N531" s="210"/>
      <c r="O531" s="210"/>
      <c r="P531" s="210"/>
      <c r="Q531" s="210"/>
      <c r="R531" s="196">
        <f>IF((M532=""),"",MAX(E533:M533))</f>
        <v>4391.92</v>
      </c>
      <c r="S531" s="194">
        <f>IF(M532="","",MIN(E533:M533))</f>
        <v>3980.9400000000005</v>
      </c>
      <c r="T531" s="195">
        <f>IF((M533=""),"",AVERAGE(E533:M533))</f>
        <v>4136.9622222222224</v>
      </c>
      <c r="U531" s="195">
        <f>IF((M532=""),"",(R531-S531)/(R531+S531)*100)</f>
        <v>4.9084781066445577</v>
      </c>
      <c r="V531" s="66">
        <f t="shared" ref="V531" si="233">STDEV(E533:Q533)</f>
        <v>153.45454520619592</v>
      </c>
      <c r="W531" s="83" t="str">
        <f>IF(M532="","",IF(T531&gt;3650,IF(T531&lt;4450,"Pass","Fail"),"Fail"))</f>
        <v>Pass</v>
      </c>
      <c r="X531" s="101"/>
      <c r="AA531" s="86">
        <v>3650</v>
      </c>
      <c r="AB531" s="86">
        <v>4450</v>
      </c>
      <c r="AC531" s="86">
        <v>3700</v>
      </c>
      <c r="AD531" s="86">
        <v>4250</v>
      </c>
      <c r="AE531" s="86">
        <v>7.2</v>
      </c>
      <c r="AF531" s="86">
        <v>3</v>
      </c>
    </row>
    <row r="532" spans="1:32" ht="15.75">
      <c r="A532" s="149"/>
      <c r="B532" s="82"/>
      <c r="C532" s="82"/>
      <c r="D532" s="204" t="s">
        <v>115</v>
      </c>
      <c r="E532" s="248">
        <v>4666.6400000000003</v>
      </c>
      <c r="F532" s="248">
        <v>4862.62</v>
      </c>
      <c r="G532" s="248">
        <v>5028.7299999999996</v>
      </c>
      <c r="H532" s="248">
        <v>4976.62</v>
      </c>
      <c r="I532" s="248">
        <v>4809.2</v>
      </c>
      <c r="J532" s="248">
        <v>4704.6899999999996</v>
      </c>
      <c r="K532" s="248">
        <v>4928.76</v>
      </c>
      <c r="L532" s="248">
        <v>4999.8</v>
      </c>
      <c r="M532" s="248">
        <v>4847.9399999999996</v>
      </c>
      <c r="N532" s="205"/>
      <c r="O532" s="205"/>
      <c r="P532" s="205"/>
      <c r="Q532" s="205"/>
      <c r="R532" s="190"/>
      <c r="S532" s="190"/>
      <c r="T532" s="191"/>
      <c r="U532" s="191"/>
      <c r="W532" s="177"/>
      <c r="X532" s="99"/>
    </row>
    <row r="533" spans="1:32" ht="48">
      <c r="A533" s="149"/>
      <c r="B533" s="207"/>
      <c r="C533" s="207"/>
      <c r="D533" s="204" t="s">
        <v>116</v>
      </c>
      <c r="E533" s="51">
        <f t="shared" ref="E533:M533" si="234">IF(((E531="")*AND(E532="")),"",(E531-E532)*2)</f>
        <v>4391.92</v>
      </c>
      <c r="F533" s="51">
        <f t="shared" si="234"/>
        <v>4057.1800000000003</v>
      </c>
      <c r="G533" s="51">
        <f t="shared" si="234"/>
        <v>3980.9400000000005</v>
      </c>
      <c r="H533" s="51">
        <f t="shared" si="234"/>
        <v>4014.4799999999996</v>
      </c>
      <c r="I533" s="51">
        <f t="shared" si="234"/>
        <v>4292.26</v>
      </c>
      <c r="J533" s="51">
        <f t="shared" si="234"/>
        <v>4284.92</v>
      </c>
      <c r="K533" s="51">
        <f t="shared" si="234"/>
        <v>4043.3999999999996</v>
      </c>
      <c r="L533" s="51">
        <f t="shared" si="234"/>
        <v>3990.8999999999996</v>
      </c>
      <c r="M533" s="51">
        <f t="shared" si="234"/>
        <v>4176.6600000000017</v>
      </c>
      <c r="N533" s="51"/>
      <c r="O533" s="51"/>
      <c r="P533" s="51"/>
      <c r="Q533" s="51"/>
      <c r="R533" s="192"/>
      <c r="S533" s="192"/>
      <c r="T533" s="193"/>
      <c r="U533" s="193"/>
      <c r="W533" s="178"/>
      <c r="X533" s="100"/>
    </row>
    <row r="534" spans="1:32" ht="15.75">
      <c r="A534" s="149">
        <v>43840</v>
      </c>
      <c r="B534" s="81" t="s">
        <v>121</v>
      </c>
      <c r="C534" s="81" t="s">
        <v>121</v>
      </c>
      <c r="D534" s="204" t="s">
        <v>114</v>
      </c>
      <c r="E534" s="248">
        <v>1953.01</v>
      </c>
      <c r="F534" s="248">
        <v>1951.36</v>
      </c>
      <c r="G534" s="248">
        <v>1949.98</v>
      </c>
      <c r="H534" s="248">
        <v>1951.45</v>
      </c>
      <c r="I534" s="248">
        <v>1951.4</v>
      </c>
      <c r="J534" s="248">
        <v>1957.53</v>
      </c>
      <c r="K534" s="248">
        <v>1949.97</v>
      </c>
      <c r="L534" s="248">
        <v>1952.05</v>
      </c>
      <c r="M534" s="248">
        <v>1950.93</v>
      </c>
      <c r="N534" s="205"/>
      <c r="O534" s="205"/>
      <c r="P534" s="205"/>
      <c r="Q534" s="205"/>
      <c r="R534" s="194">
        <f>IF((M535=""),"",MAX(E536:M536))</f>
        <v>3078.04</v>
      </c>
      <c r="S534" s="194">
        <f>IF((M535=""),"",MIN(E536:M536))</f>
        <v>2812.88</v>
      </c>
      <c r="T534" s="195">
        <f>IF((M536=""),"",AVERAGE(E536:M536))</f>
        <v>2931.9777777777776</v>
      </c>
      <c r="U534" s="195">
        <f>IF((M535=""),"",(R534-S534)/(R534+S534)*100)</f>
        <v>4.5011645040163479</v>
      </c>
      <c r="V534" s="66">
        <f t="shared" ref="V534" si="235">STDEV(E536:Q536)</f>
        <v>87.154047780033267</v>
      </c>
      <c r="W534" s="182" t="str">
        <f>IF(M535="","",IF(T534&gt;2000,IF(T534&lt;3000,"Pass","Fail"),"Fail"))</f>
        <v>Pass</v>
      </c>
      <c r="X534" s="92"/>
      <c r="AA534" s="67">
        <v>2000</v>
      </c>
      <c r="AB534" s="67">
        <v>3000</v>
      </c>
      <c r="AC534" s="67">
        <v>2200</v>
      </c>
      <c r="AD534" s="67">
        <v>2900</v>
      </c>
      <c r="AE534" s="67">
        <v>7</v>
      </c>
      <c r="AF534" s="67">
        <v>5.5</v>
      </c>
    </row>
    <row r="535" spans="1:32" ht="15.75">
      <c r="A535" s="149"/>
      <c r="B535" s="82"/>
      <c r="C535" s="82"/>
      <c r="D535" s="204" t="s">
        <v>115</v>
      </c>
      <c r="E535" s="248">
        <v>1220.42</v>
      </c>
      <c r="F535" s="248">
        <v>1236.8599999999999</v>
      </c>
      <c r="G535" s="248">
        <v>1246.76</v>
      </c>
      <c r="H535" s="248">
        <v>1225.6600000000001</v>
      </c>
      <c r="I535" s="248">
        <v>1191.04</v>
      </c>
      <c r="J535" s="248">
        <v>1213.17</v>
      </c>
      <c r="K535" s="248">
        <v>1234.3499999999999</v>
      </c>
      <c r="L535" s="248">
        <v>1221.05</v>
      </c>
      <c r="M535" s="248">
        <v>1181.42</v>
      </c>
      <c r="N535" s="205"/>
      <c r="O535" s="205"/>
      <c r="P535" s="205"/>
      <c r="Q535" s="205"/>
      <c r="R535" s="190"/>
      <c r="S535" s="190"/>
      <c r="T535" s="191"/>
      <c r="U535" s="191"/>
      <c r="W535" s="179"/>
      <c r="X535" s="92"/>
    </row>
    <row r="536" spans="1:32" ht="48.75" thickBot="1">
      <c r="A536" s="149"/>
      <c r="B536" s="211"/>
      <c r="C536" s="211"/>
      <c r="D536" s="212" t="s">
        <v>116</v>
      </c>
      <c r="E536" s="87">
        <f t="shared" ref="E536:M536" si="236">IF(((E534="")*AND(E535="")),"",(E534-E535)*4)</f>
        <v>2930.3599999999997</v>
      </c>
      <c r="F536" s="87">
        <f t="shared" si="236"/>
        <v>2858</v>
      </c>
      <c r="G536" s="87">
        <f t="shared" si="236"/>
        <v>2812.88</v>
      </c>
      <c r="H536" s="87">
        <f t="shared" si="236"/>
        <v>2903.16</v>
      </c>
      <c r="I536" s="87">
        <f t="shared" si="236"/>
        <v>3041.4400000000005</v>
      </c>
      <c r="J536" s="87">
        <f t="shared" si="236"/>
        <v>2977.4399999999996</v>
      </c>
      <c r="K536" s="87">
        <f t="shared" si="236"/>
        <v>2862.4800000000005</v>
      </c>
      <c r="L536" s="87">
        <f t="shared" si="236"/>
        <v>2924</v>
      </c>
      <c r="M536" s="87">
        <f t="shared" si="236"/>
        <v>3078.04</v>
      </c>
      <c r="N536" s="85"/>
      <c r="O536" s="85"/>
      <c r="P536" s="85"/>
      <c r="Q536" s="85" t="str">
        <f>IF(((Q534="")*AND(Q535="")),"",(Q534-Q535)*4)</f>
        <v/>
      </c>
      <c r="R536" s="197"/>
      <c r="S536" s="197"/>
      <c r="T536" s="198"/>
      <c r="U536" s="198"/>
      <c r="W536" s="180"/>
      <c r="X536" s="93"/>
    </row>
    <row r="537" spans="1:32">
      <c r="A537" s="149"/>
      <c r="B537" s="200" t="s">
        <v>112</v>
      </c>
      <c r="C537" s="200" t="s">
        <v>113</v>
      </c>
      <c r="D537" s="201" t="s">
        <v>114</v>
      </c>
      <c r="E537" s="59"/>
      <c r="F537" s="59"/>
      <c r="G537" s="59"/>
      <c r="H537" s="59"/>
      <c r="I537" s="59"/>
      <c r="J537" s="59"/>
      <c r="K537" s="59"/>
      <c r="L537" s="59"/>
      <c r="M537" s="59"/>
      <c r="N537" s="202"/>
      <c r="O537" s="202"/>
      <c r="P537" s="202"/>
      <c r="Q537" s="202"/>
      <c r="R537" s="188" t="str">
        <f>IF((M538=""),"",MAX(E539:M539))</f>
        <v/>
      </c>
      <c r="S537" s="188" t="str">
        <f>IF((M538=""),"",MIN(E539:M539))</f>
        <v/>
      </c>
      <c r="T537" s="189" t="str">
        <f>IF((M539=""),"",AVERAGE(E539:M539))</f>
        <v/>
      </c>
      <c r="U537" s="189" t="str">
        <f>IF((M538=""),"",(R537-S537)/(R537+S537)*100)</f>
        <v/>
      </c>
      <c r="V537" s="66" t="e">
        <f t="shared" ref="V537" si="237">STDEV(E539:Q539)</f>
        <v>#DIV/0!</v>
      </c>
      <c r="W537" s="170" t="str">
        <f>IF(M538="","",IF(U537&lt;6.3,IF(T537&gt;5550,IF(T537&lt;6900,"Pass","Fail"),"Fail"),"Fail"))</f>
        <v/>
      </c>
      <c r="X537" s="98"/>
      <c r="AA537" s="67">
        <v>5860</v>
      </c>
      <c r="AB537" s="67">
        <v>6770</v>
      </c>
      <c r="AC537" s="67">
        <v>5550</v>
      </c>
      <c r="AD537" s="67">
        <v>6900</v>
      </c>
      <c r="AE537" s="67">
        <v>20</v>
      </c>
      <c r="AF537" s="67">
        <v>6.3</v>
      </c>
    </row>
    <row r="538" spans="1:32">
      <c r="A538" s="149"/>
      <c r="B538" s="82"/>
      <c r="C538" s="82"/>
      <c r="D538" s="204" t="s">
        <v>115</v>
      </c>
      <c r="E538" s="59"/>
      <c r="F538" s="59"/>
      <c r="G538" s="59"/>
      <c r="H538" s="59"/>
      <c r="I538" s="59"/>
      <c r="J538" s="59"/>
      <c r="K538" s="59"/>
      <c r="L538" s="59"/>
      <c r="M538" s="59"/>
      <c r="N538" s="205"/>
      <c r="O538" s="205"/>
      <c r="P538" s="205"/>
      <c r="Q538" s="205"/>
      <c r="R538" s="190"/>
      <c r="S538" s="190"/>
      <c r="T538" s="191"/>
      <c r="U538" s="191"/>
      <c r="W538" s="177"/>
      <c r="X538" s="99"/>
    </row>
    <row r="539" spans="1:32" ht="48">
      <c r="A539" s="149"/>
      <c r="B539" s="207"/>
      <c r="C539" s="207"/>
      <c r="D539" s="204" t="s">
        <v>116</v>
      </c>
      <c r="E539" s="51" t="str">
        <f>IF(((E537="")*AND(E538="")),"",(E537-E538)*3)</f>
        <v/>
      </c>
      <c r="F539" s="51" t="str">
        <f t="shared" ref="F539:Q539" si="238">IF(((F537="")*AND(F538="")),"",(F537-F538)*3)</f>
        <v/>
      </c>
      <c r="G539" s="51" t="str">
        <f t="shared" si="238"/>
        <v/>
      </c>
      <c r="H539" s="51" t="str">
        <f t="shared" si="238"/>
        <v/>
      </c>
      <c r="I539" s="51" t="str">
        <f t="shared" si="238"/>
        <v/>
      </c>
      <c r="J539" s="51" t="str">
        <f t="shared" si="238"/>
        <v/>
      </c>
      <c r="K539" s="51" t="str">
        <f t="shared" si="238"/>
        <v/>
      </c>
      <c r="L539" s="51" t="str">
        <f t="shared" si="238"/>
        <v/>
      </c>
      <c r="M539" s="51" t="str">
        <f t="shared" si="238"/>
        <v/>
      </c>
      <c r="N539" s="51" t="str">
        <f t="shared" si="238"/>
        <v/>
      </c>
      <c r="O539" s="51" t="str">
        <f t="shared" si="238"/>
        <v/>
      </c>
      <c r="P539" s="51" t="str">
        <f t="shared" si="238"/>
        <v/>
      </c>
      <c r="Q539" s="51" t="str">
        <f t="shared" si="238"/>
        <v/>
      </c>
      <c r="R539" s="192"/>
      <c r="S539" s="192"/>
      <c r="T539" s="193"/>
      <c r="U539" s="193"/>
      <c r="W539" s="178"/>
      <c r="X539" s="100"/>
    </row>
    <row r="540" spans="1:32">
      <c r="A540" s="149"/>
      <c r="B540" s="81" t="s">
        <v>117</v>
      </c>
      <c r="C540" s="81" t="s">
        <v>118</v>
      </c>
      <c r="D540" s="204" t="s">
        <v>114</v>
      </c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194" t="str">
        <f>IF((Q541=""),"",MAX(E542:Q542))</f>
        <v/>
      </c>
      <c r="S540" s="194" t="str">
        <f>IF(Q541="","",MIN(E542:Q542))</f>
        <v/>
      </c>
      <c r="T540" s="195" t="str">
        <f>IF((Q542=""),"",AVERAGE(E542:Q542))</f>
        <v/>
      </c>
      <c r="U540" s="195" t="str">
        <f>IF((Q541=""),"",(R540-S540)/(R540+S540)*100)</f>
        <v/>
      </c>
      <c r="V540" s="66" t="e">
        <f t="shared" ref="V540" si="239">STDEV(E542:Q542)</f>
        <v>#DIV/0!</v>
      </c>
      <c r="W540" s="83" t="str">
        <f>IF(Q541="","",IF(T540&gt;242,IF(T540&lt;320,"Pass","Fail"),"Fail"))</f>
        <v/>
      </c>
      <c r="X540" s="101"/>
      <c r="AA540" s="67">
        <v>240</v>
      </c>
      <c r="AB540" s="67">
        <v>320</v>
      </c>
      <c r="AC540" s="67">
        <v>190</v>
      </c>
      <c r="AD540" s="67">
        <v>360</v>
      </c>
      <c r="AE540" s="67">
        <v>20</v>
      </c>
      <c r="AF540" s="67">
        <v>11</v>
      </c>
    </row>
    <row r="541" spans="1:32">
      <c r="A541" s="149"/>
      <c r="B541" s="82"/>
      <c r="C541" s="82"/>
      <c r="D541" s="204" t="s">
        <v>115</v>
      </c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190"/>
      <c r="S541" s="190"/>
      <c r="T541" s="191"/>
      <c r="U541" s="191"/>
      <c r="W541" s="177"/>
      <c r="X541" s="99"/>
    </row>
    <row r="542" spans="1:32" ht="48">
      <c r="A542" s="149"/>
      <c r="B542" s="207"/>
      <c r="C542" s="207"/>
      <c r="D542" s="204" t="s">
        <v>116</v>
      </c>
      <c r="E542" s="51" t="str">
        <f t="shared" ref="E542:Q542" si="240">IF(((E540="")*AND(E541="")),"",(E540-E541))</f>
        <v/>
      </c>
      <c r="F542" s="51" t="str">
        <f t="shared" si="240"/>
        <v/>
      </c>
      <c r="G542" s="51" t="str">
        <f t="shared" si="240"/>
        <v/>
      </c>
      <c r="H542" s="51" t="str">
        <f t="shared" si="240"/>
        <v/>
      </c>
      <c r="I542" s="51" t="str">
        <f t="shared" si="240"/>
        <v/>
      </c>
      <c r="J542" s="51" t="str">
        <f t="shared" si="240"/>
        <v/>
      </c>
      <c r="K542" s="51" t="str">
        <f t="shared" si="240"/>
        <v/>
      </c>
      <c r="L542" s="51" t="str">
        <f t="shared" si="240"/>
        <v/>
      </c>
      <c r="M542" s="51" t="str">
        <f t="shared" si="240"/>
        <v/>
      </c>
      <c r="N542" s="85" t="str">
        <f t="shared" si="240"/>
        <v/>
      </c>
      <c r="O542" s="85" t="str">
        <f t="shared" si="240"/>
        <v/>
      </c>
      <c r="P542" s="85" t="str">
        <f t="shared" si="240"/>
        <v/>
      </c>
      <c r="Q542" s="85" t="str">
        <f t="shared" si="240"/>
        <v/>
      </c>
      <c r="R542" s="192"/>
      <c r="S542" s="192"/>
      <c r="T542" s="193"/>
      <c r="U542" s="193"/>
      <c r="W542" s="178"/>
      <c r="X542" s="100"/>
    </row>
    <row r="543" spans="1:32">
      <c r="A543" s="149"/>
      <c r="B543" s="81" t="s">
        <v>119</v>
      </c>
      <c r="C543" s="81" t="s">
        <v>120</v>
      </c>
      <c r="D543" s="204" t="s">
        <v>114</v>
      </c>
      <c r="E543" s="59"/>
      <c r="F543" s="59"/>
      <c r="G543" s="59"/>
      <c r="H543" s="59"/>
      <c r="I543" s="59"/>
      <c r="J543" s="59"/>
      <c r="K543" s="59"/>
      <c r="L543" s="59"/>
      <c r="M543" s="59"/>
      <c r="N543" s="210"/>
      <c r="O543" s="210"/>
      <c r="P543" s="210"/>
      <c r="Q543" s="210"/>
      <c r="R543" s="196" t="str">
        <f>IF((M544=""),"",MAX(E545:M545))</f>
        <v/>
      </c>
      <c r="S543" s="194" t="str">
        <f>IF(M544="","",MIN(E545:M545))</f>
        <v/>
      </c>
      <c r="T543" s="195" t="str">
        <f>IF((M545=""),"",AVERAGE(E545:M545))</f>
        <v/>
      </c>
      <c r="U543" s="195" t="str">
        <f>IF((M544=""),"",(R543-S543)/(R543+S543)*100)</f>
        <v/>
      </c>
      <c r="V543" s="66" t="e">
        <f t="shared" ref="V543" si="241">STDEV(E545:Q545)</f>
        <v>#DIV/0!</v>
      </c>
      <c r="W543" s="83" t="str">
        <f>IF(M544="","",IF(T543&gt;3650,IF(T543&lt;4450,"Pass","Fail"),"Fail"))</f>
        <v/>
      </c>
      <c r="X543" s="101"/>
      <c r="AA543" s="86">
        <v>3650</v>
      </c>
      <c r="AB543" s="86">
        <v>4450</v>
      </c>
      <c r="AC543" s="86">
        <v>3700</v>
      </c>
      <c r="AD543" s="86">
        <v>4250</v>
      </c>
      <c r="AE543" s="86">
        <v>7.2</v>
      </c>
      <c r="AF543" s="86">
        <v>3</v>
      </c>
    </row>
    <row r="544" spans="1:32">
      <c r="A544" s="149"/>
      <c r="B544" s="82"/>
      <c r="C544" s="82"/>
      <c r="D544" s="204" t="s">
        <v>115</v>
      </c>
      <c r="E544" s="59"/>
      <c r="F544" s="59"/>
      <c r="G544" s="59"/>
      <c r="H544" s="59"/>
      <c r="I544" s="59"/>
      <c r="J544" s="59"/>
      <c r="K544" s="59"/>
      <c r="L544" s="59"/>
      <c r="M544" s="59"/>
      <c r="N544" s="205"/>
      <c r="O544" s="205"/>
      <c r="P544" s="205"/>
      <c r="Q544" s="205"/>
      <c r="R544" s="190"/>
      <c r="S544" s="190"/>
      <c r="T544" s="191"/>
      <c r="U544" s="191"/>
      <c r="W544" s="177"/>
      <c r="X544" s="99"/>
    </row>
    <row r="545" spans="1:32" ht="48">
      <c r="A545" s="149"/>
      <c r="B545" s="207"/>
      <c r="C545" s="207"/>
      <c r="D545" s="204" t="s">
        <v>116</v>
      </c>
      <c r="E545" s="51" t="str">
        <f t="shared" ref="E545:M545" si="242">IF(((E543="")*AND(E544="")),"",(E543-E544)*2)</f>
        <v/>
      </c>
      <c r="F545" s="51" t="str">
        <f t="shared" si="242"/>
        <v/>
      </c>
      <c r="G545" s="51" t="str">
        <f t="shared" si="242"/>
        <v/>
      </c>
      <c r="H545" s="51" t="str">
        <f t="shared" si="242"/>
        <v/>
      </c>
      <c r="I545" s="51" t="str">
        <f t="shared" si="242"/>
        <v/>
      </c>
      <c r="J545" s="51" t="str">
        <f t="shared" si="242"/>
        <v/>
      </c>
      <c r="K545" s="51" t="str">
        <f t="shared" si="242"/>
        <v/>
      </c>
      <c r="L545" s="51" t="str">
        <f t="shared" si="242"/>
        <v/>
      </c>
      <c r="M545" s="51" t="str">
        <f t="shared" si="242"/>
        <v/>
      </c>
      <c r="N545" s="51"/>
      <c r="O545" s="51"/>
      <c r="P545" s="51"/>
      <c r="Q545" s="51"/>
      <c r="R545" s="192"/>
      <c r="S545" s="192"/>
      <c r="T545" s="193"/>
      <c r="U545" s="193"/>
      <c r="W545" s="178"/>
      <c r="X545" s="100"/>
    </row>
    <row r="546" spans="1:32">
      <c r="A546" s="149"/>
      <c r="B546" s="81" t="s">
        <v>121</v>
      </c>
      <c r="C546" s="81" t="s">
        <v>121</v>
      </c>
      <c r="D546" s="204" t="s">
        <v>114</v>
      </c>
      <c r="E546" s="59"/>
      <c r="F546" s="59"/>
      <c r="G546" s="59"/>
      <c r="H546" s="59"/>
      <c r="I546" s="59"/>
      <c r="J546" s="59"/>
      <c r="K546" s="59"/>
      <c r="L546" s="59"/>
      <c r="M546" s="59"/>
      <c r="N546" s="205"/>
      <c r="O546" s="205"/>
      <c r="P546" s="205"/>
      <c r="Q546" s="205"/>
      <c r="R546" s="194" t="str">
        <f>IF((M547=""),"",MAX(E548:M548))</f>
        <v/>
      </c>
      <c r="S546" s="194" t="str">
        <f>IF((M547=""),"",MIN(E548:M548))</f>
        <v/>
      </c>
      <c r="T546" s="195" t="str">
        <f>IF((M548=""),"",AVERAGE(E548:M548))</f>
        <v/>
      </c>
      <c r="U546" s="195" t="str">
        <f>IF((M547=""),"",(R546-S546)/(R546+S546)*100)</f>
        <v/>
      </c>
      <c r="V546" s="66" t="e">
        <f t="shared" ref="V546" si="243">STDEV(E548:Q548)</f>
        <v>#DIV/0!</v>
      </c>
      <c r="W546" s="182" t="str">
        <f>IF(M547="","",IF(T546&gt;2000,IF(T546&lt;3000,"Pass","Fail"),"Fail"))</f>
        <v/>
      </c>
      <c r="X546" s="92"/>
      <c r="AA546" s="67">
        <v>2000</v>
      </c>
      <c r="AB546" s="67">
        <v>3000</v>
      </c>
      <c r="AC546" s="67">
        <v>2200</v>
      </c>
      <c r="AD546" s="67">
        <v>2900</v>
      </c>
      <c r="AE546" s="67">
        <v>7</v>
      </c>
      <c r="AF546" s="67">
        <v>5.5</v>
      </c>
    </row>
    <row r="547" spans="1:32">
      <c r="A547" s="149"/>
      <c r="B547" s="82"/>
      <c r="C547" s="82"/>
      <c r="D547" s="204" t="s">
        <v>115</v>
      </c>
      <c r="E547" s="59"/>
      <c r="F547" s="59"/>
      <c r="G547" s="59"/>
      <c r="H547" s="59"/>
      <c r="I547" s="59"/>
      <c r="J547" s="59"/>
      <c r="K547" s="59"/>
      <c r="L547" s="59"/>
      <c r="M547" s="59"/>
      <c r="N547" s="205"/>
      <c r="O547" s="205"/>
      <c r="P547" s="205"/>
      <c r="Q547" s="205"/>
      <c r="R547" s="190"/>
      <c r="S547" s="190"/>
      <c r="T547" s="191"/>
      <c r="U547" s="191"/>
      <c r="W547" s="179"/>
      <c r="X547" s="92"/>
    </row>
    <row r="548" spans="1:32" ht="48.75" thickBot="1">
      <c r="A548" s="149"/>
      <c r="B548" s="211"/>
      <c r="C548" s="211"/>
      <c r="D548" s="212" t="s">
        <v>116</v>
      </c>
      <c r="E548" s="87" t="str">
        <f t="shared" ref="E548:M548" si="244">IF(((E546="")*AND(E547="")),"",(E546-E547)*4)</f>
        <v/>
      </c>
      <c r="F548" s="87" t="str">
        <f t="shared" si="244"/>
        <v/>
      </c>
      <c r="G548" s="87" t="str">
        <f t="shared" si="244"/>
        <v/>
      </c>
      <c r="H548" s="87" t="str">
        <f t="shared" si="244"/>
        <v/>
      </c>
      <c r="I548" s="87" t="str">
        <f t="shared" si="244"/>
        <v/>
      </c>
      <c r="J548" s="87" t="str">
        <f t="shared" si="244"/>
        <v/>
      </c>
      <c r="K548" s="87" t="str">
        <f t="shared" si="244"/>
        <v/>
      </c>
      <c r="L548" s="87" t="str">
        <f t="shared" si="244"/>
        <v/>
      </c>
      <c r="M548" s="87" t="str">
        <f t="shared" si="244"/>
        <v/>
      </c>
      <c r="N548" s="85"/>
      <c r="O548" s="85"/>
      <c r="P548" s="85"/>
      <c r="Q548" s="85" t="str">
        <f>IF(((Q546="")*AND(Q547="")),"",(Q546-Q547)*4)</f>
        <v/>
      </c>
      <c r="R548" s="197"/>
      <c r="S548" s="197"/>
      <c r="T548" s="198"/>
      <c r="U548" s="198"/>
      <c r="W548" s="180"/>
      <c r="X548" s="93"/>
    </row>
    <row r="549" spans="1:32">
      <c r="A549" s="149"/>
      <c r="B549" s="200" t="s">
        <v>112</v>
      </c>
      <c r="C549" s="200" t="s">
        <v>113</v>
      </c>
      <c r="D549" s="201" t="s">
        <v>114</v>
      </c>
      <c r="E549" s="59"/>
      <c r="F549" s="59"/>
      <c r="G549" s="59"/>
      <c r="H549" s="59"/>
      <c r="I549" s="59"/>
      <c r="J549" s="59"/>
      <c r="K549" s="59"/>
      <c r="L549" s="59"/>
      <c r="M549" s="59"/>
      <c r="N549" s="202"/>
      <c r="O549" s="202"/>
      <c r="P549" s="202"/>
      <c r="Q549" s="202"/>
      <c r="R549" s="188" t="str">
        <f>IF((M550=""),"",MAX(E551:M551))</f>
        <v/>
      </c>
      <c r="S549" s="188" t="str">
        <f>IF((M550=""),"",MIN(E551:M551))</f>
        <v/>
      </c>
      <c r="T549" s="189" t="str">
        <f>IF((M551=""),"",AVERAGE(E551:M551))</f>
        <v/>
      </c>
      <c r="U549" s="189" t="str">
        <f>IF((M550=""),"",(R549-S549)/(R549+S549)*100)</f>
        <v/>
      </c>
      <c r="V549" s="66" t="e">
        <f t="shared" ref="V549" si="245">STDEV(E551:Q551)</f>
        <v>#DIV/0!</v>
      </c>
      <c r="W549" s="170" t="str">
        <f>IF(M550="","",IF(U549&lt;6.3,IF(T549&gt;5550,IF(T549&lt;6900,"Pass","Fail"),"Fail"),"Fail"))</f>
        <v/>
      </c>
      <c r="X549" s="98"/>
      <c r="AA549" s="67">
        <v>5860</v>
      </c>
      <c r="AB549" s="67">
        <v>6770</v>
      </c>
      <c r="AC549" s="67">
        <v>5550</v>
      </c>
      <c r="AD549" s="67">
        <v>6900</v>
      </c>
      <c r="AE549" s="67">
        <v>20</v>
      </c>
      <c r="AF549" s="67">
        <v>6.3</v>
      </c>
    </row>
    <row r="550" spans="1:32">
      <c r="A550" s="149"/>
      <c r="B550" s="82"/>
      <c r="C550" s="82"/>
      <c r="D550" s="204" t="s">
        <v>115</v>
      </c>
      <c r="E550" s="59"/>
      <c r="F550" s="59"/>
      <c r="G550" s="59"/>
      <c r="H550" s="59"/>
      <c r="I550" s="59"/>
      <c r="J550" s="59"/>
      <c r="K550" s="59"/>
      <c r="L550" s="59"/>
      <c r="M550" s="59"/>
      <c r="N550" s="205"/>
      <c r="O550" s="205"/>
      <c r="P550" s="205"/>
      <c r="Q550" s="205"/>
      <c r="R550" s="190"/>
      <c r="S550" s="190"/>
      <c r="T550" s="191"/>
      <c r="U550" s="191"/>
      <c r="W550" s="177"/>
      <c r="X550" s="99"/>
    </row>
    <row r="551" spans="1:32" ht="48">
      <c r="A551" s="149"/>
      <c r="B551" s="207"/>
      <c r="C551" s="207"/>
      <c r="D551" s="204" t="s">
        <v>116</v>
      </c>
      <c r="E551" s="51" t="str">
        <f>IF(((E549="")*AND(E550="")),"",(E549-E550)*3)</f>
        <v/>
      </c>
      <c r="F551" s="51" t="str">
        <f t="shared" ref="F551:Q551" si="246">IF(((F549="")*AND(F550="")),"",(F549-F550)*3)</f>
        <v/>
      </c>
      <c r="G551" s="51" t="str">
        <f t="shared" si="246"/>
        <v/>
      </c>
      <c r="H551" s="51" t="str">
        <f t="shared" si="246"/>
        <v/>
      </c>
      <c r="I551" s="51" t="str">
        <f t="shared" si="246"/>
        <v/>
      </c>
      <c r="J551" s="51" t="str">
        <f t="shared" si="246"/>
        <v/>
      </c>
      <c r="K551" s="51" t="str">
        <f t="shared" si="246"/>
        <v/>
      </c>
      <c r="L551" s="51" t="str">
        <f t="shared" si="246"/>
        <v/>
      </c>
      <c r="M551" s="51" t="str">
        <f t="shared" si="246"/>
        <v/>
      </c>
      <c r="N551" s="51" t="str">
        <f t="shared" si="246"/>
        <v/>
      </c>
      <c r="O551" s="51" t="str">
        <f t="shared" si="246"/>
        <v/>
      </c>
      <c r="P551" s="51" t="str">
        <f t="shared" si="246"/>
        <v/>
      </c>
      <c r="Q551" s="51" t="str">
        <f t="shared" si="246"/>
        <v/>
      </c>
      <c r="R551" s="192"/>
      <c r="S551" s="192"/>
      <c r="T551" s="193"/>
      <c r="U551" s="193"/>
      <c r="W551" s="178"/>
      <c r="X551" s="100"/>
    </row>
    <row r="552" spans="1:32">
      <c r="A552" s="149"/>
      <c r="B552" s="81" t="s">
        <v>117</v>
      </c>
      <c r="C552" s="81" t="s">
        <v>118</v>
      </c>
      <c r="D552" s="204" t="s">
        <v>114</v>
      </c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194" t="str">
        <f>IF((Q553=""),"",MAX(E554:Q554))</f>
        <v/>
      </c>
      <c r="S552" s="194" t="str">
        <f>IF(Q553="","",MIN(E554:Q554))</f>
        <v/>
      </c>
      <c r="T552" s="195" t="str">
        <f>IF((Q554=""),"",AVERAGE(E554:Q554))</f>
        <v/>
      </c>
      <c r="U552" s="195" t="str">
        <f>IF((Q553=""),"",(R552-S552)/(R552+S552)*100)</f>
        <v/>
      </c>
      <c r="V552" s="66" t="e">
        <f t="shared" ref="V552" si="247">STDEV(E554:Q554)</f>
        <v>#DIV/0!</v>
      </c>
      <c r="W552" s="83" t="str">
        <f>IF(Q553="","",IF(T552&gt;242,IF(T552&lt;320,"Pass","Fail"),"Fail"))</f>
        <v/>
      </c>
      <c r="X552" s="101"/>
      <c r="AA552" s="67">
        <v>240</v>
      </c>
      <c r="AB552" s="67">
        <v>320</v>
      </c>
      <c r="AC552" s="67">
        <v>190</v>
      </c>
      <c r="AD552" s="67">
        <v>360</v>
      </c>
      <c r="AE552" s="67">
        <v>20</v>
      </c>
      <c r="AF552" s="67">
        <v>11</v>
      </c>
    </row>
    <row r="553" spans="1:32">
      <c r="A553" s="149"/>
      <c r="B553" s="82"/>
      <c r="C553" s="82"/>
      <c r="D553" s="204" t="s">
        <v>115</v>
      </c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190"/>
      <c r="S553" s="190"/>
      <c r="T553" s="191"/>
      <c r="U553" s="191"/>
      <c r="W553" s="177"/>
      <c r="X553" s="99"/>
    </row>
    <row r="554" spans="1:32" ht="48">
      <c r="A554" s="149"/>
      <c r="B554" s="207"/>
      <c r="C554" s="207"/>
      <c r="D554" s="204" t="s">
        <v>116</v>
      </c>
      <c r="E554" s="51" t="str">
        <f t="shared" ref="E554:Q554" si="248">IF(((E552="")*AND(E553="")),"",(E552-E553))</f>
        <v/>
      </c>
      <c r="F554" s="51" t="str">
        <f t="shared" si="248"/>
        <v/>
      </c>
      <c r="G554" s="51" t="str">
        <f t="shared" si="248"/>
        <v/>
      </c>
      <c r="H554" s="51" t="str">
        <f t="shared" si="248"/>
        <v/>
      </c>
      <c r="I554" s="51" t="str">
        <f t="shared" si="248"/>
        <v/>
      </c>
      <c r="J554" s="51" t="str">
        <f t="shared" si="248"/>
        <v/>
      </c>
      <c r="K554" s="51" t="str">
        <f t="shared" si="248"/>
        <v/>
      </c>
      <c r="L554" s="51" t="str">
        <f t="shared" si="248"/>
        <v/>
      </c>
      <c r="M554" s="51" t="str">
        <f t="shared" si="248"/>
        <v/>
      </c>
      <c r="N554" s="85" t="str">
        <f t="shared" si="248"/>
        <v/>
      </c>
      <c r="O554" s="85" t="str">
        <f t="shared" si="248"/>
        <v/>
      </c>
      <c r="P554" s="85" t="str">
        <f t="shared" si="248"/>
        <v/>
      </c>
      <c r="Q554" s="85" t="str">
        <f t="shared" si="248"/>
        <v/>
      </c>
      <c r="R554" s="192"/>
      <c r="S554" s="192"/>
      <c r="T554" s="193"/>
      <c r="U554" s="193"/>
      <c r="W554" s="178"/>
      <c r="X554" s="100"/>
    </row>
    <row r="555" spans="1:32">
      <c r="A555" s="149"/>
      <c r="B555" s="81" t="s">
        <v>119</v>
      </c>
      <c r="C555" s="81" t="s">
        <v>120</v>
      </c>
      <c r="D555" s="204" t="s">
        <v>114</v>
      </c>
      <c r="E555" s="59"/>
      <c r="F555" s="59"/>
      <c r="G555" s="59"/>
      <c r="H555" s="59"/>
      <c r="I555" s="59"/>
      <c r="J555" s="59"/>
      <c r="K555" s="59"/>
      <c r="L555" s="59"/>
      <c r="M555" s="59"/>
      <c r="N555" s="210"/>
      <c r="O555" s="210"/>
      <c r="P555" s="210"/>
      <c r="Q555" s="210"/>
      <c r="R555" s="196" t="str">
        <f>IF((M556=""),"",MAX(E557:M557))</f>
        <v/>
      </c>
      <c r="S555" s="194" t="str">
        <f>IF(M556="","",MIN(E557:M557))</f>
        <v/>
      </c>
      <c r="T555" s="195" t="str">
        <f>IF((M557=""),"",AVERAGE(E557:M557))</f>
        <v/>
      </c>
      <c r="U555" s="195" t="str">
        <f>IF((M556=""),"",(R555-S555)/(R555+S555)*100)</f>
        <v/>
      </c>
      <c r="V555" s="66" t="e">
        <f t="shared" ref="V555" si="249">STDEV(E557:Q557)</f>
        <v>#DIV/0!</v>
      </c>
      <c r="W555" s="83" t="str">
        <f>IF(M556="","",IF(T555&gt;3650,IF(T555&lt;4450,"Pass","Fail"),"Fail"))</f>
        <v/>
      </c>
      <c r="X555" s="101"/>
      <c r="AA555" s="86">
        <v>3650</v>
      </c>
      <c r="AB555" s="86">
        <v>4450</v>
      </c>
      <c r="AC555" s="86">
        <v>3700</v>
      </c>
      <c r="AD555" s="86">
        <v>4250</v>
      </c>
      <c r="AE555" s="86">
        <v>7.2</v>
      </c>
      <c r="AF555" s="86">
        <v>3</v>
      </c>
    </row>
    <row r="556" spans="1:32">
      <c r="A556" s="149"/>
      <c r="B556" s="82"/>
      <c r="C556" s="82"/>
      <c r="D556" s="204" t="s">
        <v>115</v>
      </c>
      <c r="E556" s="59"/>
      <c r="F556" s="59"/>
      <c r="G556" s="59"/>
      <c r="H556" s="59"/>
      <c r="I556" s="59"/>
      <c r="J556" s="59"/>
      <c r="K556" s="59"/>
      <c r="L556" s="59"/>
      <c r="M556" s="59"/>
      <c r="N556" s="205"/>
      <c r="O556" s="205"/>
      <c r="P556" s="205"/>
      <c r="Q556" s="205"/>
      <c r="R556" s="190"/>
      <c r="S556" s="190"/>
      <c r="T556" s="191"/>
      <c r="U556" s="191"/>
      <c r="W556" s="177"/>
      <c r="X556" s="99"/>
    </row>
    <row r="557" spans="1:32" ht="48">
      <c r="A557" s="149"/>
      <c r="B557" s="207"/>
      <c r="C557" s="207"/>
      <c r="D557" s="204" t="s">
        <v>116</v>
      </c>
      <c r="E557" s="51" t="str">
        <f t="shared" ref="E557:M557" si="250">IF(((E555="")*AND(E556="")),"",(E555-E556)*2)</f>
        <v/>
      </c>
      <c r="F557" s="51" t="str">
        <f t="shared" si="250"/>
        <v/>
      </c>
      <c r="G557" s="51" t="str">
        <f t="shared" si="250"/>
        <v/>
      </c>
      <c r="H557" s="51" t="str">
        <f t="shared" si="250"/>
        <v/>
      </c>
      <c r="I557" s="51" t="str">
        <f t="shared" si="250"/>
        <v/>
      </c>
      <c r="J557" s="51" t="str">
        <f t="shared" si="250"/>
        <v/>
      </c>
      <c r="K557" s="51" t="str">
        <f t="shared" si="250"/>
        <v/>
      </c>
      <c r="L557" s="51" t="str">
        <f t="shared" si="250"/>
        <v/>
      </c>
      <c r="M557" s="51" t="str">
        <f t="shared" si="250"/>
        <v/>
      </c>
      <c r="N557" s="51"/>
      <c r="O557" s="51"/>
      <c r="P557" s="51"/>
      <c r="Q557" s="51"/>
      <c r="R557" s="192"/>
      <c r="S557" s="192"/>
      <c r="T557" s="193"/>
      <c r="U557" s="193"/>
      <c r="W557" s="178"/>
      <c r="X557" s="100"/>
    </row>
    <row r="558" spans="1:32">
      <c r="A558" s="149"/>
      <c r="B558" s="81" t="s">
        <v>121</v>
      </c>
      <c r="C558" s="81" t="s">
        <v>121</v>
      </c>
      <c r="D558" s="204" t="s">
        <v>114</v>
      </c>
      <c r="E558" s="59"/>
      <c r="F558" s="59"/>
      <c r="G558" s="59"/>
      <c r="H558" s="59"/>
      <c r="I558" s="59"/>
      <c r="J558" s="59"/>
      <c r="K558" s="59"/>
      <c r="L558" s="59"/>
      <c r="M558" s="59"/>
      <c r="N558" s="205"/>
      <c r="O558" s="205"/>
      <c r="P558" s="205"/>
      <c r="Q558" s="205"/>
      <c r="R558" s="194" t="str">
        <f>IF((M559=""),"",MAX(E560:M560))</f>
        <v/>
      </c>
      <c r="S558" s="194" t="str">
        <f>IF((M559=""),"",MIN(E560:M560))</f>
        <v/>
      </c>
      <c r="T558" s="195" t="str">
        <f>IF((M560=""),"",AVERAGE(E560:M560))</f>
        <v/>
      </c>
      <c r="U558" s="195" t="str">
        <f>IF((M559=""),"",(R558-S558)/(R558+S558)*100)</f>
        <v/>
      </c>
      <c r="V558" s="66" t="e">
        <f t="shared" ref="V558" si="251">STDEV(E560:Q560)</f>
        <v>#DIV/0!</v>
      </c>
      <c r="W558" s="182" t="str">
        <f>IF(M559="","",IF(T558&gt;2000,IF(T558&lt;3000,"Pass","Fail"),"Fail"))</f>
        <v/>
      </c>
      <c r="X558" s="92"/>
      <c r="AA558" s="67">
        <v>2000</v>
      </c>
      <c r="AB558" s="67">
        <v>3000</v>
      </c>
      <c r="AC558" s="67">
        <v>2200</v>
      </c>
      <c r="AD558" s="67">
        <v>2900</v>
      </c>
      <c r="AE558" s="67">
        <v>7</v>
      </c>
      <c r="AF558" s="67">
        <v>5.5</v>
      </c>
    </row>
    <row r="559" spans="1:32">
      <c r="A559" s="149"/>
      <c r="B559" s="82"/>
      <c r="C559" s="82"/>
      <c r="D559" s="204" t="s">
        <v>115</v>
      </c>
      <c r="E559" s="59"/>
      <c r="F559" s="59"/>
      <c r="G559" s="59"/>
      <c r="H559" s="59"/>
      <c r="I559" s="59"/>
      <c r="J559" s="59"/>
      <c r="K559" s="59"/>
      <c r="L559" s="59"/>
      <c r="M559" s="59"/>
      <c r="N559" s="205"/>
      <c r="O559" s="205"/>
      <c r="P559" s="205"/>
      <c r="Q559" s="205"/>
      <c r="R559" s="190"/>
      <c r="S559" s="190"/>
      <c r="T559" s="191"/>
      <c r="U559" s="191"/>
      <c r="W559" s="179"/>
      <c r="X559" s="92"/>
    </row>
    <row r="560" spans="1:32" ht="48.75" thickBot="1">
      <c r="A560" s="149"/>
      <c r="B560" s="211"/>
      <c r="C560" s="211"/>
      <c r="D560" s="212" t="s">
        <v>116</v>
      </c>
      <c r="E560" s="87" t="str">
        <f t="shared" ref="E560:M560" si="252">IF(((E558="")*AND(E559="")),"",(E558-E559)*4)</f>
        <v/>
      </c>
      <c r="F560" s="87" t="str">
        <f t="shared" si="252"/>
        <v/>
      </c>
      <c r="G560" s="87" t="str">
        <f t="shared" si="252"/>
        <v/>
      </c>
      <c r="H560" s="87" t="str">
        <f t="shared" si="252"/>
        <v/>
      </c>
      <c r="I560" s="87" t="str">
        <f t="shared" si="252"/>
        <v/>
      </c>
      <c r="J560" s="87" t="str">
        <f t="shared" si="252"/>
        <v/>
      </c>
      <c r="K560" s="87" t="str">
        <f t="shared" si="252"/>
        <v/>
      </c>
      <c r="L560" s="87" t="str">
        <f t="shared" si="252"/>
        <v/>
      </c>
      <c r="M560" s="87" t="str">
        <f t="shared" si="252"/>
        <v/>
      </c>
      <c r="N560" s="85"/>
      <c r="O560" s="85"/>
      <c r="P560" s="85"/>
      <c r="Q560" s="85" t="str">
        <f>IF(((Q558="")*AND(Q559="")),"",(Q558-Q559)*4)</f>
        <v/>
      </c>
      <c r="R560" s="197"/>
      <c r="S560" s="197"/>
      <c r="T560" s="198"/>
      <c r="U560" s="198"/>
      <c r="W560" s="180"/>
      <c r="X560" s="93"/>
    </row>
    <row r="561" spans="1:32">
      <c r="A561" s="149"/>
      <c r="B561" s="200" t="s">
        <v>112</v>
      </c>
      <c r="C561" s="200" t="s">
        <v>113</v>
      </c>
      <c r="D561" s="201" t="s">
        <v>114</v>
      </c>
      <c r="E561" s="59"/>
      <c r="F561" s="59"/>
      <c r="G561" s="59"/>
      <c r="H561" s="59"/>
      <c r="I561" s="59"/>
      <c r="J561" s="59"/>
      <c r="K561" s="59"/>
      <c r="L561" s="59"/>
      <c r="M561" s="59"/>
      <c r="N561" s="202"/>
      <c r="O561" s="202"/>
      <c r="P561" s="202"/>
      <c r="Q561" s="202"/>
      <c r="R561" s="188" t="str">
        <f>IF((M562=""),"",MAX(E563:M563))</f>
        <v/>
      </c>
      <c r="S561" s="188" t="str">
        <f>IF((M562=""),"",MIN(E563:M563))</f>
        <v/>
      </c>
      <c r="T561" s="189" t="str">
        <f>IF((M563=""),"",AVERAGE(E563:M563))</f>
        <v/>
      </c>
      <c r="U561" s="189" t="str">
        <f>IF((M562=""),"",(R561-S561)/(R561+S561)*100)</f>
        <v/>
      </c>
      <c r="V561" s="66" t="e">
        <f t="shared" ref="V561" si="253">STDEV(E563:Q563)</f>
        <v>#DIV/0!</v>
      </c>
      <c r="W561" s="170" t="str">
        <f>IF(M562="","",IF(U561&lt;6.3,IF(T561&gt;5550,IF(T561&lt;6900,"Pass","Fail"),"Fail"),"Fail"))</f>
        <v/>
      </c>
      <c r="X561" s="98"/>
      <c r="AA561" s="67">
        <v>5860</v>
      </c>
      <c r="AB561" s="67">
        <v>6770</v>
      </c>
      <c r="AC561" s="67">
        <v>5550</v>
      </c>
      <c r="AD561" s="67">
        <v>6900</v>
      </c>
      <c r="AE561" s="67">
        <v>20</v>
      </c>
      <c r="AF561" s="67">
        <v>6.3</v>
      </c>
    </row>
    <row r="562" spans="1:32">
      <c r="A562" s="149"/>
      <c r="B562" s="82"/>
      <c r="C562" s="82"/>
      <c r="D562" s="204" t="s">
        <v>115</v>
      </c>
      <c r="E562" s="59"/>
      <c r="F562" s="59"/>
      <c r="G562" s="59"/>
      <c r="H562" s="59"/>
      <c r="I562" s="59"/>
      <c r="J562" s="59"/>
      <c r="K562" s="59"/>
      <c r="L562" s="59"/>
      <c r="M562" s="59"/>
      <c r="N562" s="205"/>
      <c r="O562" s="205"/>
      <c r="P562" s="205"/>
      <c r="Q562" s="205"/>
      <c r="R562" s="190"/>
      <c r="S562" s="190"/>
      <c r="T562" s="191"/>
      <c r="U562" s="191"/>
      <c r="W562" s="177"/>
      <c r="X562" s="99"/>
    </row>
    <row r="563" spans="1:32" ht="48">
      <c r="A563" s="149"/>
      <c r="B563" s="207"/>
      <c r="C563" s="207"/>
      <c r="D563" s="204" t="s">
        <v>116</v>
      </c>
      <c r="E563" s="51" t="str">
        <f>IF(((E561="")*AND(E562="")),"",(E561-E562)*3)</f>
        <v/>
      </c>
      <c r="F563" s="51" t="str">
        <f t="shared" ref="F563:Q563" si="254">IF(((F561="")*AND(F562="")),"",(F561-F562)*3)</f>
        <v/>
      </c>
      <c r="G563" s="51" t="str">
        <f t="shared" si="254"/>
        <v/>
      </c>
      <c r="H563" s="51" t="str">
        <f t="shared" si="254"/>
        <v/>
      </c>
      <c r="I563" s="51" t="str">
        <f t="shared" si="254"/>
        <v/>
      </c>
      <c r="J563" s="51" t="str">
        <f t="shared" si="254"/>
        <v/>
      </c>
      <c r="K563" s="51" t="str">
        <f t="shared" si="254"/>
        <v/>
      </c>
      <c r="L563" s="51" t="str">
        <f t="shared" si="254"/>
        <v/>
      </c>
      <c r="M563" s="51" t="str">
        <f t="shared" si="254"/>
        <v/>
      </c>
      <c r="N563" s="51" t="str">
        <f t="shared" si="254"/>
        <v/>
      </c>
      <c r="O563" s="51" t="str">
        <f t="shared" si="254"/>
        <v/>
      </c>
      <c r="P563" s="51" t="str">
        <f t="shared" si="254"/>
        <v/>
      </c>
      <c r="Q563" s="51" t="str">
        <f t="shared" si="254"/>
        <v/>
      </c>
      <c r="R563" s="192"/>
      <c r="S563" s="192"/>
      <c r="T563" s="193"/>
      <c r="U563" s="193"/>
      <c r="W563" s="178"/>
      <c r="X563" s="100"/>
    </row>
    <row r="564" spans="1:32">
      <c r="A564" s="149"/>
      <c r="B564" s="81" t="s">
        <v>117</v>
      </c>
      <c r="C564" s="81" t="s">
        <v>118</v>
      </c>
      <c r="D564" s="204" t="s">
        <v>114</v>
      </c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194" t="str">
        <f>IF((Q565=""),"",MAX(E566:Q566))</f>
        <v/>
      </c>
      <c r="S564" s="194" t="str">
        <f>IF(Q565="","",MIN(E566:Q566))</f>
        <v/>
      </c>
      <c r="T564" s="195" t="str">
        <f>IF((Q566=""),"",AVERAGE(E566:Q566))</f>
        <v/>
      </c>
      <c r="U564" s="195" t="str">
        <f>IF((Q565=""),"",(R564-S564)/(R564+S564)*100)</f>
        <v/>
      </c>
      <c r="V564" s="66" t="e">
        <f t="shared" ref="V564" si="255">STDEV(E566:Q566)</f>
        <v>#DIV/0!</v>
      </c>
      <c r="W564" s="83" t="str">
        <f>IF(Q565="","",IF(T564&gt;242,IF(T564&lt;320,"Pass","Fail"),"Fail"))</f>
        <v/>
      </c>
      <c r="X564" s="101"/>
      <c r="AA564" s="67">
        <v>240</v>
      </c>
      <c r="AB564" s="67">
        <v>320</v>
      </c>
      <c r="AC564" s="67">
        <v>190</v>
      </c>
      <c r="AD564" s="67">
        <v>360</v>
      </c>
      <c r="AE564" s="67">
        <v>20</v>
      </c>
      <c r="AF564" s="67">
        <v>11</v>
      </c>
    </row>
    <row r="565" spans="1:32">
      <c r="A565" s="149"/>
      <c r="B565" s="82"/>
      <c r="C565" s="82"/>
      <c r="D565" s="204" t="s">
        <v>115</v>
      </c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190"/>
      <c r="S565" s="190"/>
      <c r="T565" s="191"/>
      <c r="U565" s="191"/>
      <c r="W565" s="177"/>
      <c r="X565" s="99"/>
    </row>
    <row r="566" spans="1:32" ht="48">
      <c r="A566" s="149"/>
      <c r="B566" s="207"/>
      <c r="C566" s="207"/>
      <c r="D566" s="204" t="s">
        <v>116</v>
      </c>
      <c r="E566" s="51" t="str">
        <f t="shared" ref="E566:Q566" si="256">IF(((E564="")*AND(E565="")),"",(E564-E565))</f>
        <v/>
      </c>
      <c r="F566" s="51" t="str">
        <f t="shared" si="256"/>
        <v/>
      </c>
      <c r="G566" s="51" t="str">
        <f t="shared" si="256"/>
        <v/>
      </c>
      <c r="H566" s="51" t="str">
        <f t="shared" si="256"/>
        <v/>
      </c>
      <c r="I566" s="51" t="str">
        <f t="shared" si="256"/>
        <v/>
      </c>
      <c r="J566" s="51" t="str">
        <f t="shared" si="256"/>
        <v/>
      </c>
      <c r="K566" s="51" t="str">
        <f t="shared" si="256"/>
        <v/>
      </c>
      <c r="L566" s="51" t="str">
        <f t="shared" si="256"/>
        <v/>
      </c>
      <c r="M566" s="51" t="str">
        <f t="shared" si="256"/>
        <v/>
      </c>
      <c r="N566" s="85" t="str">
        <f t="shared" si="256"/>
        <v/>
      </c>
      <c r="O566" s="85" t="str">
        <f t="shared" si="256"/>
        <v/>
      </c>
      <c r="P566" s="85" t="str">
        <f t="shared" si="256"/>
        <v/>
      </c>
      <c r="Q566" s="85" t="str">
        <f t="shared" si="256"/>
        <v/>
      </c>
      <c r="R566" s="192"/>
      <c r="S566" s="192"/>
      <c r="T566" s="193"/>
      <c r="U566" s="193"/>
      <c r="W566" s="178"/>
      <c r="X566" s="100"/>
    </row>
    <row r="567" spans="1:32">
      <c r="A567" s="149"/>
      <c r="B567" s="81" t="s">
        <v>119</v>
      </c>
      <c r="C567" s="81" t="s">
        <v>120</v>
      </c>
      <c r="D567" s="204" t="s">
        <v>114</v>
      </c>
      <c r="E567" s="59"/>
      <c r="F567" s="59"/>
      <c r="G567" s="59"/>
      <c r="H567" s="59"/>
      <c r="I567" s="59"/>
      <c r="J567" s="59"/>
      <c r="K567" s="59"/>
      <c r="L567" s="59"/>
      <c r="M567" s="59"/>
      <c r="N567" s="210"/>
      <c r="O567" s="210"/>
      <c r="P567" s="210"/>
      <c r="Q567" s="210"/>
      <c r="R567" s="196" t="str">
        <f>IF((M568=""),"",MAX(E569:M569))</f>
        <v/>
      </c>
      <c r="S567" s="194" t="str">
        <f>IF(M568="","",MIN(E569:M569))</f>
        <v/>
      </c>
      <c r="T567" s="195" t="str">
        <f>IF((M569=""),"",AVERAGE(E569:M569))</f>
        <v/>
      </c>
      <c r="U567" s="195" t="str">
        <f>IF((M568=""),"",(R567-S567)/(R567+S567)*100)</f>
        <v/>
      </c>
      <c r="V567" s="66" t="e">
        <f t="shared" ref="V567" si="257">STDEV(E569:Q569)</f>
        <v>#DIV/0!</v>
      </c>
      <c r="W567" s="83" t="str">
        <f>IF(M568="","",IF(T567&gt;3650,IF(T567&lt;4450,"Pass","Fail"),"Fail"))</f>
        <v/>
      </c>
      <c r="X567" s="101"/>
      <c r="AA567" s="86">
        <v>3650</v>
      </c>
      <c r="AB567" s="86">
        <v>4450</v>
      </c>
      <c r="AC567" s="86">
        <v>3700</v>
      </c>
      <c r="AD567" s="86">
        <v>4250</v>
      </c>
      <c r="AE567" s="86">
        <v>7.2</v>
      </c>
      <c r="AF567" s="86">
        <v>3</v>
      </c>
    </row>
    <row r="568" spans="1:32">
      <c r="A568" s="149"/>
      <c r="B568" s="82"/>
      <c r="C568" s="82"/>
      <c r="D568" s="204" t="s">
        <v>115</v>
      </c>
      <c r="E568" s="59"/>
      <c r="F568" s="59"/>
      <c r="G568" s="59"/>
      <c r="H568" s="59"/>
      <c r="I568" s="59"/>
      <c r="J568" s="59"/>
      <c r="K568" s="59"/>
      <c r="L568" s="59"/>
      <c r="M568" s="59"/>
      <c r="N568" s="205"/>
      <c r="O568" s="205"/>
      <c r="P568" s="205"/>
      <c r="Q568" s="205"/>
      <c r="R568" s="190"/>
      <c r="S568" s="190"/>
      <c r="T568" s="191"/>
      <c r="U568" s="191"/>
      <c r="W568" s="177"/>
      <c r="X568" s="99"/>
    </row>
    <row r="569" spans="1:32" ht="48">
      <c r="A569" s="149"/>
      <c r="B569" s="207"/>
      <c r="C569" s="207"/>
      <c r="D569" s="204" t="s">
        <v>116</v>
      </c>
      <c r="E569" s="51" t="str">
        <f t="shared" ref="E569:M569" si="258">IF(((E567="")*AND(E568="")),"",(E567-E568)*2)</f>
        <v/>
      </c>
      <c r="F569" s="51" t="str">
        <f t="shared" si="258"/>
        <v/>
      </c>
      <c r="G569" s="51" t="str">
        <f t="shared" si="258"/>
        <v/>
      </c>
      <c r="H569" s="51" t="str">
        <f t="shared" si="258"/>
        <v/>
      </c>
      <c r="I569" s="51" t="str">
        <f t="shared" si="258"/>
        <v/>
      </c>
      <c r="J569" s="51" t="str">
        <f t="shared" si="258"/>
        <v/>
      </c>
      <c r="K569" s="51" t="str">
        <f t="shared" si="258"/>
        <v/>
      </c>
      <c r="L569" s="51" t="str">
        <f t="shared" si="258"/>
        <v/>
      </c>
      <c r="M569" s="51" t="str">
        <f t="shared" si="258"/>
        <v/>
      </c>
      <c r="N569" s="51"/>
      <c r="O569" s="51"/>
      <c r="P569" s="51"/>
      <c r="Q569" s="51"/>
      <c r="R569" s="192"/>
      <c r="S569" s="192"/>
      <c r="T569" s="193"/>
      <c r="U569" s="193"/>
      <c r="W569" s="178"/>
      <c r="X569" s="100"/>
    </row>
    <row r="570" spans="1:32">
      <c r="A570" s="149"/>
      <c r="B570" s="81" t="s">
        <v>121</v>
      </c>
      <c r="C570" s="81" t="s">
        <v>121</v>
      </c>
      <c r="D570" s="204" t="s">
        <v>114</v>
      </c>
      <c r="E570" s="59"/>
      <c r="F570" s="59"/>
      <c r="G570" s="59"/>
      <c r="H570" s="59"/>
      <c r="I570" s="59"/>
      <c r="J570" s="59"/>
      <c r="K570" s="59"/>
      <c r="L570" s="59"/>
      <c r="M570" s="59"/>
      <c r="N570" s="205"/>
      <c r="O570" s="205"/>
      <c r="P570" s="205"/>
      <c r="Q570" s="205"/>
      <c r="R570" s="194" t="str">
        <f>IF((M571=""),"",MAX(E572:M572))</f>
        <v/>
      </c>
      <c r="S570" s="194" t="str">
        <f>IF((M571=""),"",MIN(E572:M572))</f>
        <v/>
      </c>
      <c r="T570" s="195" t="str">
        <f>IF((M572=""),"",AVERAGE(E572:M572))</f>
        <v/>
      </c>
      <c r="U570" s="195" t="str">
        <f>IF((M571=""),"",(R570-S570)/(R570+S570)*100)</f>
        <v/>
      </c>
      <c r="V570" s="66" t="e">
        <f t="shared" ref="V570" si="259">STDEV(E572:Q572)</f>
        <v>#DIV/0!</v>
      </c>
      <c r="W570" s="182" t="str">
        <f>IF(M571="","",IF(T570&gt;2000,IF(T570&lt;3000,"Pass","Fail"),"Fail"))</f>
        <v/>
      </c>
      <c r="X570" s="92"/>
      <c r="AA570" s="67">
        <v>2000</v>
      </c>
      <c r="AB570" s="67">
        <v>3000</v>
      </c>
      <c r="AC570" s="67">
        <v>2200</v>
      </c>
      <c r="AD570" s="67">
        <v>2900</v>
      </c>
      <c r="AE570" s="67">
        <v>7</v>
      </c>
      <c r="AF570" s="67">
        <v>5.5</v>
      </c>
    </row>
    <row r="571" spans="1:32">
      <c r="A571" s="149"/>
      <c r="B571" s="82"/>
      <c r="C571" s="82"/>
      <c r="D571" s="204" t="s">
        <v>115</v>
      </c>
      <c r="E571" s="59"/>
      <c r="F571" s="59"/>
      <c r="G571" s="59"/>
      <c r="H571" s="59"/>
      <c r="I571" s="59"/>
      <c r="J571" s="59"/>
      <c r="K571" s="59"/>
      <c r="L571" s="59"/>
      <c r="M571" s="59"/>
      <c r="N571" s="205"/>
      <c r="O571" s="205"/>
      <c r="P571" s="205"/>
      <c r="Q571" s="205"/>
      <c r="R571" s="190"/>
      <c r="S571" s="190"/>
      <c r="T571" s="191"/>
      <c r="U571" s="191"/>
      <c r="W571" s="179"/>
      <c r="X571" s="92"/>
    </row>
    <row r="572" spans="1:32" ht="48.75" thickBot="1">
      <c r="A572" s="149"/>
      <c r="B572" s="211"/>
      <c r="C572" s="211"/>
      <c r="D572" s="212" t="s">
        <v>116</v>
      </c>
      <c r="E572" s="87" t="str">
        <f t="shared" ref="E572:M572" si="260">IF(((E570="")*AND(E571="")),"",(E570-E571)*4)</f>
        <v/>
      </c>
      <c r="F572" s="87" t="str">
        <f t="shared" si="260"/>
        <v/>
      </c>
      <c r="G572" s="87" t="str">
        <f t="shared" si="260"/>
        <v/>
      </c>
      <c r="H572" s="87" t="str">
        <f t="shared" si="260"/>
        <v/>
      </c>
      <c r="I572" s="87" t="str">
        <f t="shared" si="260"/>
        <v/>
      </c>
      <c r="J572" s="87" t="str">
        <f t="shared" si="260"/>
        <v/>
      </c>
      <c r="K572" s="87" t="str">
        <f t="shared" si="260"/>
        <v/>
      </c>
      <c r="L572" s="87" t="str">
        <f t="shared" si="260"/>
        <v/>
      </c>
      <c r="M572" s="87" t="str">
        <f t="shared" si="260"/>
        <v/>
      </c>
      <c r="N572" s="85"/>
      <c r="O572" s="85"/>
      <c r="P572" s="85"/>
      <c r="Q572" s="85" t="str">
        <f>IF(((Q570="")*AND(Q571="")),"",(Q570-Q571)*4)</f>
        <v/>
      </c>
      <c r="R572" s="197"/>
      <c r="S572" s="197"/>
      <c r="T572" s="198"/>
      <c r="U572" s="198"/>
      <c r="W572" s="180"/>
      <c r="X572" s="93"/>
    </row>
    <row r="573" spans="1:32">
      <c r="A573" s="149"/>
      <c r="B573" s="200" t="s">
        <v>112</v>
      </c>
      <c r="C573" s="200" t="s">
        <v>113</v>
      </c>
      <c r="D573" s="201" t="s">
        <v>114</v>
      </c>
      <c r="E573" s="59"/>
      <c r="F573" s="59"/>
      <c r="G573" s="59"/>
      <c r="H573" s="59"/>
      <c r="I573" s="59"/>
      <c r="J573" s="59"/>
      <c r="K573" s="59"/>
      <c r="L573" s="59"/>
      <c r="M573" s="59"/>
      <c r="N573" s="202"/>
      <c r="O573" s="202"/>
      <c r="P573" s="202"/>
      <c r="Q573" s="202"/>
      <c r="R573" s="188" t="str">
        <f>IF((M574=""),"",MAX(E575:M575))</f>
        <v/>
      </c>
      <c r="S573" s="188" t="str">
        <f>IF((M574=""),"",MIN(E575:M575))</f>
        <v/>
      </c>
      <c r="T573" s="189" t="str">
        <f>IF((M575=""),"",AVERAGE(E575:M575))</f>
        <v/>
      </c>
      <c r="U573" s="189" t="str">
        <f>IF((M574=""),"",(R573-S573)/(R573+S573)*100)</f>
        <v/>
      </c>
      <c r="V573" s="66" t="e">
        <f t="shared" ref="V573" si="261">STDEV(E575:Q575)</f>
        <v>#DIV/0!</v>
      </c>
      <c r="W573" s="170" t="str">
        <f>IF(M574="","",IF(U573&lt;6.3,IF(T573&gt;5550,IF(T573&lt;6900,"Pass","Fail"),"Fail"),"Fail"))</f>
        <v/>
      </c>
      <c r="X573" s="98"/>
      <c r="AA573" s="67">
        <v>5860</v>
      </c>
      <c r="AB573" s="67">
        <v>6770</v>
      </c>
      <c r="AC573" s="67">
        <v>5550</v>
      </c>
      <c r="AD573" s="67">
        <v>6900</v>
      </c>
      <c r="AE573" s="67">
        <v>20</v>
      </c>
      <c r="AF573" s="67">
        <v>6.3</v>
      </c>
    </row>
    <row r="574" spans="1:32">
      <c r="A574" s="149"/>
      <c r="B574" s="82"/>
      <c r="C574" s="82"/>
      <c r="D574" s="204" t="s">
        <v>115</v>
      </c>
      <c r="E574" s="59"/>
      <c r="F574" s="59"/>
      <c r="G574" s="59"/>
      <c r="H574" s="59"/>
      <c r="I574" s="59"/>
      <c r="J574" s="59"/>
      <c r="K574" s="59"/>
      <c r="L574" s="59"/>
      <c r="M574" s="59"/>
      <c r="N574" s="205"/>
      <c r="O574" s="205"/>
      <c r="P574" s="205"/>
      <c r="Q574" s="205"/>
      <c r="R574" s="190"/>
      <c r="S574" s="190"/>
      <c r="T574" s="191"/>
      <c r="U574" s="191"/>
      <c r="W574" s="177"/>
      <c r="X574" s="99"/>
    </row>
    <row r="575" spans="1:32" ht="48">
      <c r="A575" s="149"/>
      <c r="B575" s="207"/>
      <c r="C575" s="207"/>
      <c r="D575" s="204" t="s">
        <v>116</v>
      </c>
      <c r="E575" s="51" t="str">
        <f>IF(((E573="")*AND(E574="")),"",(E573-E574)*3)</f>
        <v/>
      </c>
      <c r="F575" s="51" t="str">
        <f t="shared" ref="F575:Q575" si="262">IF(((F573="")*AND(F574="")),"",(F573-F574)*3)</f>
        <v/>
      </c>
      <c r="G575" s="51" t="str">
        <f t="shared" si="262"/>
        <v/>
      </c>
      <c r="H575" s="51" t="str">
        <f t="shared" si="262"/>
        <v/>
      </c>
      <c r="I575" s="51" t="str">
        <f t="shared" si="262"/>
        <v/>
      </c>
      <c r="J575" s="51" t="str">
        <f t="shared" si="262"/>
        <v/>
      </c>
      <c r="K575" s="51" t="str">
        <f t="shared" si="262"/>
        <v/>
      </c>
      <c r="L575" s="51" t="str">
        <f t="shared" si="262"/>
        <v/>
      </c>
      <c r="M575" s="51" t="str">
        <f t="shared" si="262"/>
        <v/>
      </c>
      <c r="N575" s="51" t="str">
        <f t="shared" si="262"/>
        <v/>
      </c>
      <c r="O575" s="51" t="str">
        <f t="shared" si="262"/>
        <v/>
      </c>
      <c r="P575" s="51" t="str">
        <f t="shared" si="262"/>
        <v/>
      </c>
      <c r="Q575" s="51" t="str">
        <f t="shared" si="262"/>
        <v/>
      </c>
      <c r="R575" s="192"/>
      <c r="S575" s="192"/>
      <c r="T575" s="193"/>
      <c r="U575" s="193"/>
      <c r="W575" s="178"/>
      <c r="X575" s="100"/>
    </row>
    <row r="576" spans="1:32">
      <c r="A576" s="149"/>
      <c r="B576" s="81" t="s">
        <v>117</v>
      </c>
      <c r="C576" s="81" t="s">
        <v>118</v>
      </c>
      <c r="D576" s="204" t="s">
        <v>114</v>
      </c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194" t="str">
        <f>IF((Q577=""),"",MAX(E578:Q578))</f>
        <v/>
      </c>
      <c r="S576" s="194" t="str">
        <f>IF(Q577="","",MIN(E578:Q578))</f>
        <v/>
      </c>
      <c r="T576" s="195" t="str">
        <f>IF((Q578=""),"",AVERAGE(E578:Q578))</f>
        <v/>
      </c>
      <c r="U576" s="195" t="str">
        <f>IF((Q577=""),"",(R576-S576)/(R576+S576)*100)</f>
        <v/>
      </c>
      <c r="V576" s="66" t="e">
        <f t="shared" ref="V576" si="263">STDEV(E578:Q578)</f>
        <v>#DIV/0!</v>
      </c>
      <c r="W576" s="83" t="str">
        <f>IF(Q577="","",IF(T576&gt;242,IF(T576&lt;320,"Pass","Fail"),"Fail"))</f>
        <v/>
      </c>
      <c r="X576" s="101"/>
      <c r="AA576" s="67">
        <v>240</v>
      </c>
      <c r="AB576" s="67">
        <v>320</v>
      </c>
      <c r="AC576" s="67">
        <v>190</v>
      </c>
      <c r="AD576" s="67">
        <v>360</v>
      </c>
      <c r="AE576" s="67">
        <v>20</v>
      </c>
      <c r="AF576" s="67">
        <v>11</v>
      </c>
    </row>
    <row r="577" spans="1:32">
      <c r="A577" s="149"/>
      <c r="B577" s="82"/>
      <c r="C577" s="82"/>
      <c r="D577" s="204" t="s">
        <v>115</v>
      </c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190"/>
      <c r="S577" s="190"/>
      <c r="T577" s="191"/>
      <c r="U577" s="191"/>
      <c r="W577" s="177"/>
      <c r="X577" s="99"/>
    </row>
    <row r="578" spans="1:32" ht="48">
      <c r="A578" s="149"/>
      <c r="B578" s="207"/>
      <c r="C578" s="207"/>
      <c r="D578" s="204" t="s">
        <v>116</v>
      </c>
      <c r="E578" s="51" t="str">
        <f t="shared" ref="E578:Q578" si="264">IF(((E576="")*AND(E577="")),"",(E576-E577))</f>
        <v/>
      </c>
      <c r="F578" s="51" t="str">
        <f t="shared" si="264"/>
        <v/>
      </c>
      <c r="G578" s="51" t="str">
        <f t="shared" si="264"/>
        <v/>
      </c>
      <c r="H578" s="51" t="str">
        <f t="shared" si="264"/>
        <v/>
      </c>
      <c r="I578" s="51" t="str">
        <f t="shared" si="264"/>
        <v/>
      </c>
      <c r="J578" s="51" t="str">
        <f t="shared" si="264"/>
        <v/>
      </c>
      <c r="K578" s="51" t="str">
        <f t="shared" si="264"/>
        <v/>
      </c>
      <c r="L578" s="51" t="str">
        <f t="shared" si="264"/>
        <v/>
      </c>
      <c r="M578" s="51" t="str">
        <f t="shared" si="264"/>
        <v/>
      </c>
      <c r="N578" s="85" t="str">
        <f t="shared" si="264"/>
        <v/>
      </c>
      <c r="O578" s="85" t="str">
        <f t="shared" si="264"/>
        <v/>
      </c>
      <c r="P578" s="85" t="str">
        <f t="shared" si="264"/>
        <v/>
      </c>
      <c r="Q578" s="85" t="str">
        <f t="shared" si="264"/>
        <v/>
      </c>
      <c r="R578" s="192"/>
      <c r="S578" s="192"/>
      <c r="T578" s="193"/>
      <c r="U578" s="193"/>
      <c r="W578" s="178"/>
      <c r="X578" s="100"/>
    </row>
    <row r="579" spans="1:32">
      <c r="A579" s="149"/>
      <c r="B579" s="81" t="s">
        <v>119</v>
      </c>
      <c r="C579" s="81" t="s">
        <v>120</v>
      </c>
      <c r="D579" s="204" t="s">
        <v>114</v>
      </c>
      <c r="E579" s="59"/>
      <c r="F579" s="59"/>
      <c r="G579" s="59"/>
      <c r="H579" s="59"/>
      <c r="I579" s="59"/>
      <c r="J579" s="59"/>
      <c r="K579" s="59"/>
      <c r="L579" s="59"/>
      <c r="M579" s="59"/>
      <c r="N579" s="210"/>
      <c r="O579" s="210"/>
      <c r="P579" s="210"/>
      <c r="Q579" s="210"/>
      <c r="R579" s="196" t="str">
        <f>IF((M580=""),"",MAX(E581:M581))</f>
        <v/>
      </c>
      <c r="S579" s="194" t="str">
        <f>IF(M580="","",MIN(E581:M581))</f>
        <v/>
      </c>
      <c r="T579" s="195" t="str">
        <f>IF((M581=""),"",AVERAGE(E581:M581))</f>
        <v/>
      </c>
      <c r="U579" s="195" t="str">
        <f>IF((M580=""),"",(R579-S579)/(R579+S579)*100)</f>
        <v/>
      </c>
      <c r="V579" s="66" t="e">
        <f t="shared" ref="V579" si="265">STDEV(E581:Q581)</f>
        <v>#DIV/0!</v>
      </c>
      <c r="W579" s="83" t="str">
        <f>IF(M580="","",IF(T579&gt;3650,IF(T579&lt;4450,"Pass","Fail"),"Fail"))</f>
        <v/>
      </c>
      <c r="X579" s="101"/>
      <c r="AA579" s="86">
        <v>3650</v>
      </c>
      <c r="AB579" s="86">
        <v>4450</v>
      </c>
      <c r="AC579" s="86">
        <v>3700</v>
      </c>
      <c r="AD579" s="86">
        <v>4250</v>
      </c>
      <c r="AE579" s="86">
        <v>7.2</v>
      </c>
      <c r="AF579" s="86">
        <v>3</v>
      </c>
    </row>
    <row r="580" spans="1:32">
      <c r="A580" s="149"/>
      <c r="B580" s="82"/>
      <c r="C580" s="82"/>
      <c r="D580" s="204" t="s">
        <v>115</v>
      </c>
      <c r="E580" s="59"/>
      <c r="F580" s="59"/>
      <c r="G580" s="59"/>
      <c r="H580" s="59"/>
      <c r="I580" s="59"/>
      <c r="J580" s="59"/>
      <c r="K580" s="59"/>
      <c r="L580" s="59"/>
      <c r="M580" s="59"/>
      <c r="N580" s="205"/>
      <c r="O580" s="205"/>
      <c r="P580" s="205"/>
      <c r="Q580" s="205"/>
      <c r="R580" s="190"/>
      <c r="S580" s="190"/>
      <c r="T580" s="191"/>
      <c r="U580" s="191"/>
      <c r="W580" s="177"/>
      <c r="X580" s="99"/>
    </row>
    <row r="581" spans="1:32" ht="48">
      <c r="A581" s="149"/>
      <c r="B581" s="207"/>
      <c r="C581" s="207"/>
      <c r="D581" s="204" t="s">
        <v>116</v>
      </c>
      <c r="E581" s="51" t="str">
        <f t="shared" ref="E581:M581" si="266">IF(((E579="")*AND(E580="")),"",(E579-E580)*2)</f>
        <v/>
      </c>
      <c r="F581" s="51" t="str">
        <f t="shared" si="266"/>
        <v/>
      </c>
      <c r="G581" s="51" t="str">
        <f t="shared" si="266"/>
        <v/>
      </c>
      <c r="H581" s="51" t="str">
        <f t="shared" si="266"/>
        <v/>
      </c>
      <c r="I581" s="51" t="str">
        <f t="shared" si="266"/>
        <v/>
      </c>
      <c r="J581" s="51" t="str">
        <f t="shared" si="266"/>
        <v/>
      </c>
      <c r="K581" s="51" t="str">
        <f t="shared" si="266"/>
        <v/>
      </c>
      <c r="L581" s="51" t="str">
        <f t="shared" si="266"/>
        <v/>
      </c>
      <c r="M581" s="51" t="str">
        <f t="shared" si="266"/>
        <v/>
      </c>
      <c r="N581" s="51"/>
      <c r="O581" s="51"/>
      <c r="P581" s="51"/>
      <c r="Q581" s="51"/>
      <c r="R581" s="192"/>
      <c r="S581" s="192"/>
      <c r="T581" s="193"/>
      <c r="U581" s="193"/>
      <c r="W581" s="178"/>
      <c r="X581" s="100"/>
    </row>
    <row r="582" spans="1:32">
      <c r="A582" s="149"/>
      <c r="B582" s="81" t="s">
        <v>121</v>
      </c>
      <c r="C582" s="81" t="s">
        <v>121</v>
      </c>
      <c r="D582" s="204" t="s">
        <v>114</v>
      </c>
      <c r="E582" s="59"/>
      <c r="F582" s="59"/>
      <c r="G582" s="59"/>
      <c r="H582" s="59"/>
      <c r="I582" s="59"/>
      <c r="J582" s="59"/>
      <c r="K582" s="59"/>
      <c r="L582" s="59"/>
      <c r="M582" s="59"/>
      <c r="N582" s="205"/>
      <c r="O582" s="205"/>
      <c r="P582" s="205"/>
      <c r="Q582" s="205"/>
      <c r="R582" s="194" t="str">
        <f>IF((M583=""),"",MAX(E584:M584))</f>
        <v/>
      </c>
      <c r="S582" s="194" t="str">
        <f>IF((M583=""),"",MIN(E584:M584))</f>
        <v/>
      </c>
      <c r="T582" s="195" t="str">
        <f>IF((M584=""),"",AVERAGE(E584:M584))</f>
        <v/>
      </c>
      <c r="U582" s="195" t="str">
        <f>IF((M583=""),"",(R582-S582)/(R582+S582)*100)</f>
        <v/>
      </c>
      <c r="V582" s="66" t="e">
        <f t="shared" ref="V582" si="267">STDEV(E584:Q584)</f>
        <v>#DIV/0!</v>
      </c>
      <c r="W582" s="182" t="str">
        <f>IF(M583="","",IF(T582&gt;2000,IF(T582&lt;3000,"Pass","Fail"),"Fail"))</f>
        <v/>
      </c>
      <c r="X582" s="92"/>
      <c r="AA582" s="67">
        <v>2000</v>
      </c>
      <c r="AB582" s="67">
        <v>3000</v>
      </c>
      <c r="AC582" s="67">
        <v>2200</v>
      </c>
      <c r="AD582" s="67">
        <v>2900</v>
      </c>
      <c r="AE582" s="67">
        <v>7</v>
      </c>
      <c r="AF582" s="67">
        <v>5.5</v>
      </c>
    </row>
    <row r="583" spans="1:32">
      <c r="A583" s="149"/>
      <c r="B583" s="82"/>
      <c r="C583" s="82"/>
      <c r="D583" s="204" t="s">
        <v>115</v>
      </c>
      <c r="E583" s="59"/>
      <c r="F583" s="59"/>
      <c r="G583" s="59"/>
      <c r="H583" s="59"/>
      <c r="I583" s="59"/>
      <c r="J583" s="59"/>
      <c r="K583" s="59"/>
      <c r="L583" s="59"/>
      <c r="M583" s="59"/>
      <c r="N583" s="205"/>
      <c r="O583" s="205"/>
      <c r="P583" s="205"/>
      <c r="Q583" s="205"/>
      <c r="R583" s="190"/>
      <c r="S583" s="190"/>
      <c r="T583" s="191"/>
      <c r="U583" s="191"/>
      <c r="W583" s="179"/>
      <c r="X583" s="92"/>
    </row>
    <row r="584" spans="1:32" ht="48.75" thickBot="1">
      <c r="A584" s="149"/>
      <c r="B584" s="211"/>
      <c r="C584" s="211"/>
      <c r="D584" s="212" t="s">
        <v>116</v>
      </c>
      <c r="E584" s="87" t="str">
        <f t="shared" ref="E584:M584" si="268">IF(((E582="")*AND(E583="")),"",(E582-E583)*4)</f>
        <v/>
      </c>
      <c r="F584" s="87" t="str">
        <f t="shared" si="268"/>
        <v/>
      </c>
      <c r="G584" s="87" t="str">
        <f t="shared" si="268"/>
        <v/>
      </c>
      <c r="H584" s="87" t="str">
        <f t="shared" si="268"/>
        <v/>
      </c>
      <c r="I584" s="87" t="str">
        <f t="shared" si="268"/>
        <v/>
      </c>
      <c r="J584" s="87" t="str">
        <f t="shared" si="268"/>
        <v/>
      </c>
      <c r="K584" s="87" t="str">
        <f t="shared" si="268"/>
        <v/>
      </c>
      <c r="L584" s="87" t="str">
        <f t="shared" si="268"/>
        <v/>
      </c>
      <c r="M584" s="87" t="str">
        <f t="shared" si="268"/>
        <v/>
      </c>
      <c r="N584" s="85"/>
      <c r="O584" s="85"/>
      <c r="P584" s="85"/>
      <c r="Q584" s="85" t="str">
        <f>IF(((Q582="")*AND(Q583="")),"",(Q582-Q583)*4)</f>
        <v/>
      </c>
      <c r="R584" s="197"/>
      <c r="S584" s="197"/>
      <c r="T584" s="198"/>
      <c r="U584" s="198"/>
      <c r="W584" s="180"/>
      <c r="X584" s="93"/>
    </row>
    <row r="585" spans="1:32">
      <c r="A585" s="149"/>
      <c r="B585" s="200" t="s">
        <v>112</v>
      </c>
      <c r="C585" s="200" t="s">
        <v>113</v>
      </c>
      <c r="D585" s="201" t="s">
        <v>114</v>
      </c>
      <c r="E585" s="59"/>
      <c r="F585" s="59"/>
      <c r="G585" s="59"/>
      <c r="H585" s="59"/>
      <c r="I585" s="59"/>
      <c r="J585" s="59"/>
      <c r="K585" s="59"/>
      <c r="L585" s="59"/>
      <c r="M585" s="59"/>
      <c r="N585" s="202"/>
      <c r="O585" s="202"/>
      <c r="P585" s="202"/>
      <c r="Q585" s="202"/>
      <c r="R585" s="188" t="str">
        <f>IF((M586=""),"",MAX(E587:M587))</f>
        <v/>
      </c>
      <c r="S585" s="188" t="str">
        <f>IF((M586=""),"",MIN(E587:M587))</f>
        <v/>
      </c>
      <c r="T585" s="189" t="str">
        <f>IF((M587=""),"",AVERAGE(E587:M587))</f>
        <v/>
      </c>
      <c r="U585" s="189" t="str">
        <f>IF((M586=""),"",(R585-S585)/(R585+S585)*100)</f>
        <v/>
      </c>
      <c r="V585" s="66" t="e">
        <f t="shared" ref="V585" si="269">STDEV(E587:Q587)</f>
        <v>#DIV/0!</v>
      </c>
      <c r="W585" s="170" t="str">
        <f>IF(M586="","",IF(U585&lt;6.3,IF(T585&gt;5550,IF(T585&lt;6900,"Pass","Fail"),"Fail"),"Fail"))</f>
        <v/>
      </c>
      <c r="X585" s="98"/>
      <c r="AA585" s="67">
        <v>5860</v>
      </c>
      <c r="AB585" s="67">
        <v>6770</v>
      </c>
      <c r="AC585" s="67">
        <v>5550</v>
      </c>
      <c r="AD585" s="67">
        <v>6900</v>
      </c>
      <c r="AE585" s="67">
        <v>20</v>
      </c>
      <c r="AF585" s="67">
        <v>6.3</v>
      </c>
    </row>
    <row r="586" spans="1:32">
      <c r="A586" s="149"/>
      <c r="B586" s="82"/>
      <c r="C586" s="82"/>
      <c r="D586" s="204" t="s">
        <v>115</v>
      </c>
      <c r="E586" s="59"/>
      <c r="F586" s="59"/>
      <c r="G586" s="59"/>
      <c r="H586" s="59"/>
      <c r="I586" s="59"/>
      <c r="J586" s="59"/>
      <c r="K586" s="59"/>
      <c r="L586" s="59"/>
      <c r="M586" s="59"/>
      <c r="N586" s="205"/>
      <c r="O586" s="205"/>
      <c r="P586" s="205"/>
      <c r="Q586" s="205"/>
      <c r="R586" s="190"/>
      <c r="S586" s="190"/>
      <c r="T586" s="191"/>
      <c r="U586" s="191"/>
      <c r="W586" s="177"/>
      <c r="X586" s="99"/>
    </row>
    <row r="587" spans="1:32" ht="48">
      <c r="A587" s="149"/>
      <c r="B587" s="207"/>
      <c r="C587" s="207"/>
      <c r="D587" s="204" t="s">
        <v>116</v>
      </c>
      <c r="E587" s="51" t="str">
        <f>IF(((E585="")*AND(E586="")),"",(E585-E586)*3)</f>
        <v/>
      </c>
      <c r="F587" s="51" t="str">
        <f t="shared" ref="F587:Q587" si="270">IF(((F585="")*AND(F586="")),"",(F585-F586)*3)</f>
        <v/>
      </c>
      <c r="G587" s="51" t="str">
        <f t="shared" si="270"/>
        <v/>
      </c>
      <c r="H587" s="51" t="str">
        <f t="shared" si="270"/>
        <v/>
      </c>
      <c r="I587" s="51" t="str">
        <f t="shared" si="270"/>
        <v/>
      </c>
      <c r="J587" s="51" t="str">
        <f t="shared" si="270"/>
        <v/>
      </c>
      <c r="K587" s="51" t="str">
        <f t="shared" si="270"/>
        <v/>
      </c>
      <c r="L587" s="51" t="str">
        <f t="shared" si="270"/>
        <v/>
      </c>
      <c r="M587" s="51" t="str">
        <f t="shared" si="270"/>
        <v/>
      </c>
      <c r="N587" s="51" t="str">
        <f t="shared" si="270"/>
        <v/>
      </c>
      <c r="O587" s="51" t="str">
        <f t="shared" si="270"/>
        <v/>
      </c>
      <c r="P587" s="51" t="str">
        <f t="shared" si="270"/>
        <v/>
      </c>
      <c r="Q587" s="51" t="str">
        <f t="shared" si="270"/>
        <v/>
      </c>
      <c r="R587" s="192"/>
      <c r="S587" s="192"/>
      <c r="T587" s="193"/>
      <c r="U587" s="193"/>
      <c r="W587" s="178"/>
      <c r="X587" s="100"/>
    </row>
    <row r="588" spans="1:32">
      <c r="A588" s="149"/>
      <c r="B588" s="81" t="s">
        <v>117</v>
      </c>
      <c r="C588" s="81" t="s">
        <v>118</v>
      </c>
      <c r="D588" s="204" t="s">
        <v>114</v>
      </c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194" t="str">
        <f>IF((Q589=""),"",MAX(E590:Q590))</f>
        <v/>
      </c>
      <c r="S588" s="194" t="str">
        <f>IF(Q589="","",MIN(E590:Q590))</f>
        <v/>
      </c>
      <c r="T588" s="195" t="str">
        <f>IF((Q590=""),"",AVERAGE(E590:Q590))</f>
        <v/>
      </c>
      <c r="U588" s="195" t="str">
        <f>IF((Q589=""),"",(R588-S588)/(R588+S588)*100)</f>
        <v/>
      </c>
      <c r="V588" s="66" t="e">
        <f t="shared" ref="V588" si="271">STDEV(E590:Q590)</f>
        <v>#DIV/0!</v>
      </c>
      <c r="W588" s="83" t="str">
        <f>IF(Q589="","",IF(T588&gt;242,IF(T588&lt;320,"Pass","Fail"),"Fail"))</f>
        <v/>
      </c>
      <c r="X588" s="101"/>
      <c r="AA588" s="67">
        <v>240</v>
      </c>
      <c r="AB588" s="67">
        <v>320</v>
      </c>
      <c r="AC588" s="67">
        <v>190</v>
      </c>
      <c r="AD588" s="67">
        <v>360</v>
      </c>
      <c r="AE588" s="67">
        <v>20</v>
      </c>
      <c r="AF588" s="67">
        <v>11</v>
      </c>
    </row>
    <row r="589" spans="1:32">
      <c r="A589" s="149"/>
      <c r="B589" s="82"/>
      <c r="C589" s="82"/>
      <c r="D589" s="204" t="s">
        <v>115</v>
      </c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190"/>
      <c r="S589" s="190"/>
      <c r="T589" s="191"/>
      <c r="U589" s="191"/>
      <c r="W589" s="177"/>
      <c r="X589" s="99"/>
    </row>
    <row r="590" spans="1:32" ht="48">
      <c r="A590" s="149"/>
      <c r="B590" s="207"/>
      <c r="C590" s="207"/>
      <c r="D590" s="204" t="s">
        <v>116</v>
      </c>
      <c r="E590" s="51" t="str">
        <f t="shared" ref="E590:Q590" si="272">IF(((E588="")*AND(E589="")),"",(E588-E589))</f>
        <v/>
      </c>
      <c r="F590" s="51" t="str">
        <f t="shared" si="272"/>
        <v/>
      </c>
      <c r="G590" s="51" t="str">
        <f t="shared" si="272"/>
        <v/>
      </c>
      <c r="H590" s="51" t="str">
        <f t="shared" si="272"/>
        <v/>
      </c>
      <c r="I590" s="51" t="str">
        <f t="shared" si="272"/>
        <v/>
      </c>
      <c r="J590" s="51" t="str">
        <f t="shared" si="272"/>
        <v/>
      </c>
      <c r="K590" s="51" t="str">
        <f t="shared" si="272"/>
        <v/>
      </c>
      <c r="L590" s="51" t="str">
        <f t="shared" si="272"/>
        <v/>
      </c>
      <c r="M590" s="51" t="str">
        <f t="shared" si="272"/>
        <v/>
      </c>
      <c r="N590" s="85" t="str">
        <f t="shared" si="272"/>
        <v/>
      </c>
      <c r="O590" s="85" t="str">
        <f t="shared" si="272"/>
        <v/>
      </c>
      <c r="P590" s="85" t="str">
        <f t="shared" si="272"/>
        <v/>
      </c>
      <c r="Q590" s="85" t="str">
        <f t="shared" si="272"/>
        <v/>
      </c>
      <c r="R590" s="192"/>
      <c r="S590" s="192"/>
      <c r="T590" s="193"/>
      <c r="U590" s="193"/>
      <c r="W590" s="178"/>
      <c r="X590" s="100"/>
    </row>
    <row r="591" spans="1:32">
      <c r="A591" s="149"/>
      <c r="B591" s="81" t="s">
        <v>119</v>
      </c>
      <c r="C591" s="81" t="s">
        <v>120</v>
      </c>
      <c r="D591" s="204" t="s">
        <v>114</v>
      </c>
      <c r="E591" s="59"/>
      <c r="F591" s="59"/>
      <c r="G591" s="59"/>
      <c r="H591" s="59"/>
      <c r="I591" s="59"/>
      <c r="J591" s="59"/>
      <c r="K591" s="59"/>
      <c r="L591" s="59"/>
      <c r="M591" s="59"/>
      <c r="N591" s="210"/>
      <c r="O591" s="210"/>
      <c r="P591" s="210"/>
      <c r="Q591" s="210"/>
      <c r="R591" s="196" t="str">
        <f>IF((M592=""),"",MAX(E593:M593))</f>
        <v/>
      </c>
      <c r="S591" s="194" t="str">
        <f>IF(M592="","",MIN(E593:M593))</f>
        <v/>
      </c>
      <c r="T591" s="195" t="str">
        <f>IF((M593=""),"",AVERAGE(E593:M593))</f>
        <v/>
      </c>
      <c r="U591" s="195" t="str">
        <f>IF((M592=""),"",(R591-S591)/(R591+S591)*100)</f>
        <v/>
      </c>
      <c r="V591" s="66" t="e">
        <f t="shared" ref="V591" si="273">STDEV(E593:Q593)</f>
        <v>#DIV/0!</v>
      </c>
      <c r="W591" s="83" t="str">
        <f>IF(M592="","",IF(T591&gt;3650,IF(T591&lt;4450,"Pass","Fail"),"Fail"))</f>
        <v/>
      </c>
      <c r="X591" s="101"/>
      <c r="AA591" s="86">
        <v>3650</v>
      </c>
      <c r="AB591" s="86">
        <v>4450</v>
      </c>
      <c r="AC591" s="86">
        <v>3700</v>
      </c>
      <c r="AD591" s="86">
        <v>4250</v>
      </c>
      <c r="AE591" s="86">
        <v>7.2</v>
      </c>
      <c r="AF591" s="86">
        <v>3</v>
      </c>
    </row>
    <row r="592" spans="1:32">
      <c r="A592" s="149"/>
      <c r="B592" s="82"/>
      <c r="C592" s="82"/>
      <c r="D592" s="204" t="s">
        <v>115</v>
      </c>
      <c r="E592" s="59"/>
      <c r="F592" s="59"/>
      <c r="G592" s="59"/>
      <c r="H592" s="59"/>
      <c r="I592" s="59"/>
      <c r="J592" s="59"/>
      <c r="K592" s="59"/>
      <c r="L592" s="59"/>
      <c r="M592" s="59"/>
      <c r="N592" s="205"/>
      <c r="O592" s="205"/>
      <c r="P592" s="205"/>
      <c r="Q592" s="205"/>
      <c r="R592" s="190"/>
      <c r="S592" s="190"/>
      <c r="T592" s="191"/>
      <c r="U592" s="191"/>
      <c r="W592" s="177"/>
      <c r="X592" s="99"/>
    </row>
    <row r="593" spans="1:32" ht="48">
      <c r="A593" s="149"/>
      <c r="B593" s="207"/>
      <c r="C593" s="207"/>
      <c r="D593" s="204" t="s">
        <v>116</v>
      </c>
      <c r="E593" s="51" t="str">
        <f t="shared" ref="E593:M593" si="274">IF(((E591="")*AND(E592="")),"",(E591-E592)*2)</f>
        <v/>
      </c>
      <c r="F593" s="51" t="str">
        <f t="shared" si="274"/>
        <v/>
      </c>
      <c r="G593" s="51" t="str">
        <f t="shared" si="274"/>
        <v/>
      </c>
      <c r="H593" s="51" t="str">
        <f t="shared" si="274"/>
        <v/>
      </c>
      <c r="I593" s="51" t="str">
        <f t="shared" si="274"/>
        <v/>
      </c>
      <c r="J593" s="51" t="str">
        <f t="shared" si="274"/>
        <v/>
      </c>
      <c r="K593" s="51" t="str">
        <f t="shared" si="274"/>
        <v/>
      </c>
      <c r="L593" s="51" t="str">
        <f t="shared" si="274"/>
        <v/>
      </c>
      <c r="M593" s="51" t="str">
        <f t="shared" si="274"/>
        <v/>
      </c>
      <c r="N593" s="51"/>
      <c r="O593" s="51"/>
      <c r="P593" s="51"/>
      <c r="Q593" s="51"/>
      <c r="R593" s="192"/>
      <c r="S593" s="192"/>
      <c r="T593" s="193"/>
      <c r="U593" s="193"/>
      <c r="W593" s="178"/>
      <c r="X593" s="100"/>
    </row>
    <row r="594" spans="1:32">
      <c r="A594" s="149"/>
      <c r="B594" s="81" t="s">
        <v>121</v>
      </c>
      <c r="C594" s="81" t="s">
        <v>121</v>
      </c>
      <c r="D594" s="204" t="s">
        <v>114</v>
      </c>
      <c r="E594" s="59"/>
      <c r="F594" s="59"/>
      <c r="G594" s="59"/>
      <c r="H594" s="59"/>
      <c r="I594" s="59"/>
      <c r="J594" s="59"/>
      <c r="K594" s="59"/>
      <c r="L594" s="59"/>
      <c r="M594" s="59"/>
      <c r="N594" s="205"/>
      <c r="O594" s="205"/>
      <c r="P594" s="205"/>
      <c r="Q594" s="205"/>
      <c r="R594" s="194" t="str">
        <f>IF((M595=""),"",MAX(E596:M596))</f>
        <v/>
      </c>
      <c r="S594" s="194" t="str">
        <f>IF((M595=""),"",MIN(E596:M596))</f>
        <v/>
      </c>
      <c r="T594" s="195" t="str">
        <f>IF((M596=""),"",AVERAGE(E596:M596))</f>
        <v/>
      </c>
      <c r="U594" s="195" t="str">
        <f>IF((M595=""),"",(R594-S594)/(R594+S594)*100)</f>
        <v/>
      </c>
      <c r="V594" s="66" t="e">
        <f t="shared" ref="V594" si="275">STDEV(E596:Q596)</f>
        <v>#DIV/0!</v>
      </c>
      <c r="W594" s="182" t="str">
        <f>IF(M595="","",IF(T594&gt;2000,IF(T594&lt;3000,"Pass","Fail"),"Fail"))</f>
        <v/>
      </c>
      <c r="X594" s="92"/>
      <c r="AA594" s="67">
        <v>2000</v>
      </c>
      <c r="AB594" s="67">
        <v>3000</v>
      </c>
      <c r="AC594" s="67">
        <v>2200</v>
      </c>
      <c r="AD594" s="67">
        <v>2900</v>
      </c>
      <c r="AE594" s="67">
        <v>7</v>
      </c>
      <c r="AF594" s="67">
        <v>5.5</v>
      </c>
    </row>
    <row r="595" spans="1:32">
      <c r="A595" s="149"/>
      <c r="B595" s="82"/>
      <c r="C595" s="82"/>
      <c r="D595" s="204" t="s">
        <v>115</v>
      </c>
      <c r="E595" s="59"/>
      <c r="F595" s="59"/>
      <c r="G595" s="59"/>
      <c r="H595" s="59"/>
      <c r="I595" s="59"/>
      <c r="J595" s="59"/>
      <c r="K595" s="59"/>
      <c r="L595" s="59"/>
      <c r="M595" s="59"/>
      <c r="N595" s="205"/>
      <c r="O595" s="205"/>
      <c r="P595" s="205"/>
      <c r="Q595" s="205"/>
      <c r="R595" s="190"/>
      <c r="S595" s="190"/>
      <c r="T595" s="191"/>
      <c r="U595" s="191"/>
      <c r="W595" s="179"/>
      <c r="X595" s="92"/>
    </row>
    <row r="596" spans="1:32" ht="48.75" thickBot="1">
      <c r="A596" s="149"/>
      <c r="B596" s="211"/>
      <c r="C596" s="211"/>
      <c r="D596" s="212" t="s">
        <v>116</v>
      </c>
      <c r="E596" s="87" t="str">
        <f t="shared" ref="E596:M596" si="276">IF(((E594="")*AND(E595="")),"",(E594-E595)*4)</f>
        <v/>
      </c>
      <c r="F596" s="87" t="str">
        <f t="shared" si="276"/>
        <v/>
      </c>
      <c r="G596" s="87" t="str">
        <f t="shared" si="276"/>
        <v/>
      </c>
      <c r="H596" s="87" t="str">
        <f t="shared" si="276"/>
        <v/>
      </c>
      <c r="I596" s="87" t="str">
        <f t="shared" si="276"/>
        <v/>
      </c>
      <c r="J596" s="87" t="str">
        <f t="shared" si="276"/>
        <v/>
      </c>
      <c r="K596" s="87" t="str">
        <f t="shared" si="276"/>
        <v/>
      </c>
      <c r="L596" s="87" t="str">
        <f t="shared" si="276"/>
        <v/>
      </c>
      <c r="M596" s="87" t="str">
        <f t="shared" si="276"/>
        <v/>
      </c>
      <c r="N596" s="85"/>
      <c r="O596" s="85"/>
      <c r="P596" s="85"/>
      <c r="Q596" s="85" t="str">
        <f>IF(((Q594="")*AND(Q595="")),"",(Q594-Q595)*4)</f>
        <v/>
      </c>
      <c r="R596" s="197"/>
      <c r="S596" s="197"/>
      <c r="T596" s="198"/>
      <c r="U596" s="198"/>
      <c r="W596" s="180"/>
      <c r="X596" s="93"/>
    </row>
    <row r="597" spans="1:32">
      <c r="A597" s="149"/>
      <c r="B597" s="200" t="s">
        <v>112</v>
      </c>
      <c r="C597" s="200" t="s">
        <v>113</v>
      </c>
      <c r="D597" s="201" t="s">
        <v>114</v>
      </c>
      <c r="E597" s="59"/>
      <c r="F597" s="59"/>
      <c r="G597" s="59"/>
      <c r="H597" s="59"/>
      <c r="I597" s="59"/>
      <c r="J597" s="59"/>
      <c r="K597" s="59"/>
      <c r="L597" s="59"/>
      <c r="M597" s="59"/>
      <c r="N597" s="202"/>
      <c r="O597" s="202"/>
      <c r="P597" s="202"/>
      <c r="Q597" s="202"/>
      <c r="R597" s="188" t="str">
        <f>IF((M598=""),"",MAX(E599:M599))</f>
        <v/>
      </c>
      <c r="S597" s="188" t="str">
        <f>IF((M598=""),"",MIN(E599:M599))</f>
        <v/>
      </c>
      <c r="T597" s="189" t="str">
        <f>IF((M599=""),"",AVERAGE(E599:M599))</f>
        <v/>
      </c>
      <c r="U597" s="189" t="str">
        <f>IF((M598=""),"",(R597-S597)/(R597+S597)*100)</f>
        <v/>
      </c>
      <c r="V597" s="66" t="e">
        <f t="shared" ref="V597" si="277">STDEV(E599:Q599)</f>
        <v>#DIV/0!</v>
      </c>
      <c r="W597" s="170" t="str">
        <f>IF(M598="","",IF(U597&lt;6.3,IF(T597&gt;5550,IF(T597&lt;6900,"Pass","Fail"),"Fail"),"Fail"))</f>
        <v/>
      </c>
      <c r="X597" s="98"/>
      <c r="AA597" s="67">
        <v>5860</v>
      </c>
      <c r="AB597" s="67">
        <v>6770</v>
      </c>
      <c r="AC597" s="67">
        <v>5550</v>
      </c>
      <c r="AD597" s="67">
        <v>6900</v>
      </c>
      <c r="AE597" s="67">
        <v>20</v>
      </c>
      <c r="AF597" s="67">
        <v>6.3</v>
      </c>
    </row>
    <row r="598" spans="1:32">
      <c r="A598" s="149"/>
      <c r="B598" s="82"/>
      <c r="C598" s="82"/>
      <c r="D598" s="204" t="s">
        <v>115</v>
      </c>
      <c r="E598" s="59"/>
      <c r="F598" s="59"/>
      <c r="G598" s="59"/>
      <c r="H598" s="59"/>
      <c r="I598" s="59"/>
      <c r="J598" s="59"/>
      <c r="K598" s="59"/>
      <c r="L598" s="59"/>
      <c r="M598" s="59"/>
      <c r="N598" s="205"/>
      <c r="O598" s="205"/>
      <c r="P598" s="205"/>
      <c r="Q598" s="205"/>
      <c r="R598" s="190"/>
      <c r="S598" s="190"/>
      <c r="T598" s="191"/>
      <c r="U598" s="191"/>
      <c r="W598" s="177"/>
      <c r="X598" s="99"/>
    </row>
    <row r="599" spans="1:32" ht="48">
      <c r="A599" s="149"/>
      <c r="B599" s="207"/>
      <c r="C599" s="207"/>
      <c r="D599" s="204" t="s">
        <v>116</v>
      </c>
      <c r="E599" s="51" t="str">
        <f>IF(((E597="")*AND(E598="")),"",(E597-E598)*3)</f>
        <v/>
      </c>
      <c r="F599" s="51" t="str">
        <f t="shared" ref="F599:Q599" si="278">IF(((F597="")*AND(F598="")),"",(F597-F598)*3)</f>
        <v/>
      </c>
      <c r="G599" s="51" t="str">
        <f t="shared" si="278"/>
        <v/>
      </c>
      <c r="H599" s="51" t="str">
        <f t="shared" si="278"/>
        <v/>
      </c>
      <c r="I599" s="51" t="str">
        <f t="shared" si="278"/>
        <v/>
      </c>
      <c r="J599" s="51" t="str">
        <f t="shared" si="278"/>
        <v/>
      </c>
      <c r="K599" s="51" t="str">
        <f t="shared" si="278"/>
        <v/>
      </c>
      <c r="L599" s="51" t="str">
        <f t="shared" si="278"/>
        <v/>
      </c>
      <c r="M599" s="51" t="str">
        <f t="shared" si="278"/>
        <v/>
      </c>
      <c r="N599" s="51" t="str">
        <f t="shared" si="278"/>
        <v/>
      </c>
      <c r="O599" s="51" t="str">
        <f t="shared" si="278"/>
        <v/>
      </c>
      <c r="P599" s="51" t="str">
        <f t="shared" si="278"/>
        <v/>
      </c>
      <c r="Q599" s="51" t="str">
        <f t="shared" si="278"/>
        <v/>
      </c>
      <c r="R599" s="192"/>
      <c r="S599" s="192"/>
      <c r="T599" s="193"/>
      <c r="U599" s="193"/>
      <c r="W599" s="178"/>
      <c r="X599" s="100"/>
    </row>
    <row r="600" spans="1:32">
      <c r="A600" s="149"/>
      <c r="B600" s="81" t="s">
        <v>117</v>
      </c>
      <c r="C600" s="81" t="s">
        <v>118</v>
      </c>
      <c r="D600" s="204" t="s">
        <v>114</v>
      </c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194" t="str">
        <f>IF((Q601=""),"",MAX(E602:Q602))</f>
        <v/>
      </c>
      <c r="S600" s="194" t="str">
        <f>IF(Q601="","",MIN(E602:Q602))</f>
        <v/>
      </c>
      <c r="T600" s="195" t="str">
        <f>IF((Q602=""),"",AVERAGE(E602:Q602))</f>
        <v/>
      </c>
      <c r="U600" s="195" t="str">
        <f>IF((Q601=""),"",(R600-S600)/(R600+S600)*100)</f>
        <v/>
      </c>
      <c r="V600" s="66" t="e">
        <f t="shared" ref="V600" si="279">STDEV(E602:Q602)</f>
        <v>#DIV/0!</v>
      </c>
      <c r="W600" s="83" t="str">
        <f>IF(Q601="","",IF(T600&gt;242,IF(T600&lt;320,"Pass","Fail"),"Fail"))</f>
        <v/>
      </c>
      <c r="X600" s="101"/>
      <c r="AA600" s="67">
        <v>240</v>
      </c>
      <c r="AB600" s="67">
        <v>320</v>
      </c>
      <c r="AC600" s="67">
        <v>190</v>
      </c>
      <c r="AD600" s="67">
        <v>360</v>
      </c>
      <c r="AE600" s="67">
        <v>20</v>
      </c>
      <c r="AF600" s="67">
        <v>11</v>
      </c>
    </row>
    <row r="601" spans="1:32">
      <c r="A601" s="149"/>
      <c r="B601" s="82"/>
      <c r="C601" s="82"/>
      <c r="D601" s="204" t="s">
        <v>115</v>
      </c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190"/>
      <c r="S601" s="190"/>
      <c r="T601" s="191"/>
      <c r="U601" s="191"/>
      <c r="W601" s="177"/>
      <c r="X601" s="99"/>
    </row>
    <row r="602" spans="1:32" ht="48">
      <c r="A602" s="149"/>
      <c r="B602" s="207"/>
      <c r="C602" s="207"/>
      <c r="D602" s="204" t="s">
        <v>116</v>
      </c>
      <c r="E602" s="51" t="str">
        <f t="shared" ref="E602:Q602" si="280">IF(((E600="")*AND(E601="")),"",(E600-E601))</f>
        <v/>
      </c>
      <c r="F602" s="51" t="str">
        <f t="shared" si="280"/>
        <v/>
      </c>
      <c r="G602" s="51" t="str">
        <f t="shared" si="280"/>
        <v/>
      </c>
      <c r="H602" s="51" t="str">
        <f t="shared" si="280"/>
        <v/>
      </c>
      <c r="I602" s="51" t="str">
        <f t="shared" si="280"/>
        <v/>
      </c>
      <c r="J602" s="51" t="str">
        <f t="shared" si="280"/>
        <v/>
      </c>
      <c r="K602" s="51" t="str">
        <f t="shared" si="280"/>
        <v/>
      </c>
      <c r="L602" s="51" t="str">
        <f t="shared" si="280"/>
        <v/>
      </c>
      <c r="M602" s="51" t="str">
        <f t="shared" si="280"/>
        <v/>
      </c>
      <c r="N602" s="85" t="str">
        <f t="shared" si="280"/>
        <v/>
      </c>
      <c r="O602" s="85" t="str">
        <f t="shared" si="280"/>
        <v/>
      </c>
      <c r="P602" s="85" t="str">
        <f t="shared" si="280"/>
        <v/>
      </c>
      <c r="Q602" s="85" t="str">
        <f t="shared" si="280"/>
        <v/>
      </c>
      <c r="R602" s="192"/>
      <c r="S602" s="192"/>
      <c r="T602" s="193"/>
      <c r="U602" s="193"/>
      <c r="W602" s="178"/>
      <c r="X602" s="100"/>
    </row>
    <row r="603" spans="1:32">
      <c r="A603" s="149"/>
      <c r="B603" s="81" t="s">
        <v>119</v>
      </c>
      <c r="C603" s="81" t="s">
        <v>120</v>
      </c>
      <c r="D603" s="204" t="s">
        <v>114</v>
      </c>
      <c r="E603" s="59"/>
      <c r="F603" s="59"/>
      <c r="G603" s="59"/>
      <c r="H603" s="59"/>
      <c r="I603" s="59"/>
      <c r="J603" s="59"/>
      <c r="K603" s="59"/>
      <c r="L603" s="59"/>
      <c r="M603" s="59"/>
      <c r="N603" s="210"/>
      <c r="O603" s="210"/>
      <c r="P603" s="210"/>
      <c r="Q603" s="210"/>
      <c r="R603" s="196" t="str">
        <f>IF((M604=""),"",MAX(E605:M605))</f>
        <v/>
      </c>
      <c r="S603" s="194" t="str">
        <f>IF(M604="","",MIN(E605:M605))</f>
        <v/>
      </c>
      <c r="T603" s="195" t="str">
        <f>IF((M605=""),"",AVERAGE(E605:M605))</f>
        <v/>
      </c>
      <c r="U603" s="195" t="str">
        <f>IF((M604=""),"",(R603-S603)/(R603+S603)*100)</f>
        <v/>
      </c>
      <c r="V603" s="66" t="e">
        <f t="shared" ref="V603" si="281">STDEV(E605:Q605)</f>
        <v>#DIV/0!</v>
      </c>
      <c r="W603" s="83" t="str">
        <f>IF(M604="","",IF(T603&gt;3650,IF(T603&lt;4450,"Pass","Fail"),"Fail"))</f>
        <v/>
      </c>
      <c r="X603" s="101"/>
      <c r="AA603" s="86">
        <v>3650</v>
      </c>
      <c r="AB603" s="86">
        <v>4450</v>
      </c>
      <c r="AC603" s="86">
        <v>3700</v>
      </c>
      <c r="AD603" s="86">
        <v>4250</v>
      </c>
      <c r="AE603" s="86">
        <v>7.2</v>
      </c>
      <c r="AF603" s="86">
        <v>3</v>
      </c>
    </row>
    <row r="604" spans="1:32">
      <c r="A604" s="149"/>
      <c r="B604" s="82"/>
      <c r="C604" s="82"/>
      <c r="D604" s="204" t="s">
        <v>115</v>
      </c>
      <c r="E604" s="59"/>
      <c r="F604" s="59"/>
      <c r="G604" s="59"/>
      <c r="H604" s="59"/>
      <c r="I604" s="59"/>
      <c r="J604" s="59"/>
      <c r="K604" s="59"/>
      <c r="L604" s="59"/>
      <c r="M604" s="59"/>
      <c r="N604" s="205"/>
      <c r="O604" s="205"/>
      <c r="P604" s="205"/>
      <c r="Q604" s="205"/>
      <c r="R604" s="190"/>
      <c r="S604" s="190"/>
      <c r="T604" s="191"/>
      <c r="U604" s="191"/>
      <c r="W604" s="177"/>
      <c r="X604" s="99"/>
    </row>
    <row r="605" spans="1:32" ht="48">
      <c r="A605" s="149"/>
      <c r="B605" s="207"/>
      <c r="C605" s="207"/>
      <c r="D605" s="204" t="s">
        <v>116</v>
      </c>
      <c r="E605" s="51" t="str">
        <f t="shared" ref="E605:M605" si="282">IF(((E603="")*AND(E604="")),"",(E603-E604)*2)</f>
        <v/>
      </c>
      <c r="F605" s="51" t="str">
        <f t="shared" si="282"/>
        <v/>
      </c>
      <c r="G605" s="51" t="str">
        <f t="shared" si="282"/>
        <v/>
      </c>
      <c r="H605" s="51" t="str">
        <f t="shared" si="282"/>
        <v/>
      </c>
      <c r="I605" s="51" t="str">
        <f t="shared" si="282"/>
        <v/>
      </c>
      <c r="J605" s="51" t="str">
        <f t="shared" si="282"/>
        <v/>
      </c>
      <c r="K605" s="51" t="str">
        <f t="shared" si="282"/>
        <v/>
      </c>
      <c r="L605" s="51" t="str">
        <f t="shared" si="282"/>
        <v/>
      </c>
      <c r="M605" s="51" t="str">
        <f t="shared" si="282"/>
        <v/>
      </c>
      <c r="N605" s="51"/>
      <c r="O605" s="51"/>
      <c r="P605" s="51"/>
      <c r="Q605" s="51"/>
      <c r="R605" s="192"/>
      <c r="S605" s="192"/>
      <c r="T605" s="193"/>
      <c r="U605" s="193"/>
      <c r="W605" s="178"/>
      <c r="X605" s="100"/>
    </row>
    <row r="606" spans="1:32">
      <c r="A606" s="149"/>
      <c r="B606" s="81" t="s">
        <v>121</v>
      </c>
      <c r="C606" s="81" t="s">
        <v>121</v>
      </c>
      <c r="D606" s="204" t="s">
        <v>114</v>
      </c>
      <c r="E606" s="59"/>
      <c r="F606" s="59"/>
      <c r="G606" s="59"/>
      <c r="H606" s="59"/>
      <c r="I606" s="59"/>
      <c r="J606" s="59"/>
      <c r="K606" s="59"/>
      <c r="L606" s="59"/>
      <c r="M606" s="59"/>
      <c r="N606" s="205"/>
      <c r="O606" s="205"/>
      <c r="P606" s="205"/>
      <c r="Q606" s="205"/>
      <c r="R606" s="194" t="str">
        <f>IF((M607=""),"",MAX(E608:M608))</f>
        <v/>
      </c>
      <c r="S606" s="194" t="str">
        <f>IF((M607=""),"",MIN(E608:M608))</f>
        <v/>
      </c>
      <c r="T606" s="195" t="str">
        <f>IF((M608=""),"",AVERAGE(E608:M608))</f>
        <v/>
      </c>
      <c r="U606" s="195" t="str">
        <f>IF((M607=""),"",(R606-S606)/(R606+S606)*100)</f>
        <v/>
      </c>
      <c r="V606" s="66" t="e">
        <f t="shared" ref="V606" si="283">STDEV(E608:Q608)</f>
        <v>#DIV/0!</v>
      </c>
      <c r="W606" s="182" t="str">
        <f>IF(M607="","",IF(T606&gt;2000,IF(T606&lt;3000,"Pass","Fail"),"Fail"))</f>
        <v/>
      </c>
      <c r="X606" s="92"/>
      <c r="AA606" s="67">
        <v>2000</v>
      </c>
      <c r="AB606" s="67">
        <v>3000</v>
      </c>
      <c r="AC606" s="67">
        <v>2200</v>
      </c>
      <c r="AD606" s="67">
        <v>2900</v>
      </c>
      <c r="AE606" s="67">
        <v>7</v>
      </c>
      <c r="AF606" s="67">
        <v>5.5</v>
      </c>
    </row>
    <row r="607" spans="1:32">
      <c r="A607" s="149"/>
      <c r="B607" s="82"/>
      <c r="C607" s="82"/>
      <c r="D607" s="204" t="s">
        <v>115</v>
      </c>
      <c r="E607" s="59"/>
      <c r="F607" s="59"/>
      <c r="G607" s="59"/>
      <c r="H607" s="59"/>
      <c r="I607" s="59"/>
      <c r="J607" s="59"/>
      <c r="K607" s="59"/>
      <c r="L607" s="59"/>
      <c r="M607" s="59"/>
      <c r="N607" s="205"/>
      <c r="O607" s="205"/>
      <c r="P607" s="205"/>
      <c r="Q607" s="205"/>
      <c r="R607" s="190"/>
      <c r="S607" s="190"/>
      <c r="T607" s="191"/>
      <c r="U607" s="191"/>
      <c r="W607" s="179"/>
      <c r="X607" s="92"/>
    </row>
    <row r="608" spans="1:32" ht="48.75" thickBot="1">
      <c r="A608" s="149"/>
      <c r="B608" s="211"/>
      <c r="C608" s="211"/>
      <c r="D608" s="212" t="s">
        <v>116</v>
      </c>
      <c r="E608" s="87" t="str">
        <f t="shared" ref="E608:M608" si="284">IF(((E606="")*AND(E607="")),"",(E606-E607)*4)</f>
        <v/>
      </c>
      <c r="F608" s="87" t="str">
        <f t="shared" si="284"/>
        <v/>
      </c>
      <c r="G608" s="87" t="str">
        <f t="shared" si="284"/>
        <v/>
      </c>
      <c r="H608" s="87" t="str">
        <f t="shared" si="284"/>
        <v/>
      </c>
      <c r="I608" s="87" t="str">
        <f t="shared" si="284"/>
        <v/>
      </c>
      <c r="J608" s="87" t="str">
        <f t="shared" si="284"/>
        <v/>
      </c>
      <c r="K608" s="87" t="str">
        <f t="shared" si="284"/>
        <v/>
      </c>
      <c r="L608" s="87" t="str">
        <f t="shared" si="284"/>
        <v/>
      </c>
      <c r="M608" s="87" t="str">
        <f t="shared" si="284"/>
        <v/>
      </c>
      <c r="N608" s="85"/>
      <c r="O608" s="85"/>
      <c r="P608" s="85"/>
      <c r="Q608" s="85" t="str">
        <f>IF(((Q606="")*AND(Q607="")),"",(Q606-Q607)*4)</f>
        <v/>
      </c>
      <c r="R608" s="197"/>
      <c r="S608" s="197"/>
      <c r="T608" s="198"/>
      <c r="U608" s="198"/>
      <c r="W608" s="180"/>
      <c r="X608" s="93"/>
    </row>
    <row r="609" spans="1:32">
      <c r="A609" s="149"/>
      <c r="B609" s="200" t="s">
        <v>112</v>
      </c>
      <c r="C609" s="200" t="s">
        <v>113</v>
      </c>
      <c r="D609" s="201" t="s">
        <v>114</v>
      </c>
      <c r="E609" s="59"/>
      <c r="F609" s="59"/>
      <c r="G609" s="59"/>
      <c r="H609" s="59"/>
      <c r="I609" s="59"/>
      <c r="J609" s="59"/>
      <c r="K609" s="59"/>
      <c r="L609" s="59"/>
      <c r="M609" s="59"/>
      <c r="N609" s="202"/>
      <c r="O609" s="202"/>
      <c r="P609" s="202"/>
      <c r="Q609" s="202"/>
      <c r="R609" s="188" t="str">
        <f>IF((M610=""),"",MAX(E611:M611))</f>
        <v/>
      </c>
      <c r="S609" s="188" t="str">
        <f>IF((M610=""),"",MIN(E611:M611))</f>
        <v/>
      </c>
      <c r="T609" s="189" t="str">
        <f>IF((M611=""),"",AVERAGE(E611:M611))</f>
        <v/>
      </c>
      <c r="U609" s="189" t="str">
        <f>IF((M610=""),"",(R609-S609)/(R609+S609)*100)</f>
        <v/>
      </c>
      <c r="V609" s="66" t="e">
        <f t="shared" ref="V609" si="285">STDEV(E611:Q611)</f>
        <v>#DIV/0!</v>
      </c>
      <c r="W609" s="170" t="str">
        <f>IF(M610="","",IF(U609&lt;6.3,IF(T609&gt;5550,IF(T609&lt;6900,"Pass","Fail"),"Fail"),"Fail"))</f>
        <v/>
      </c>
      <c r="X609" s="98"/>
      <c r="AA609" s="67">
        <v>5860</v>
      </c>
      <c r="AB609" s="67">
        <v>6770</v>
      </c>
      <c r="AC609" s="67">
        <v>5550</v>
      </c>
      <c r="AD609" s="67">
        <v>6900</v>
      </c>
      <c r="AE609" s="67">
        <v>20</v>
      </c>
      <c r="AF609" s="67">
        <v>6.3</v>
      </c>
    </row>
    <row r="610" spans="1:32">
      <c r="A610" s="149"/>
      <c r="B610" s="82"/>
      <c r="C610" s="82"/>
      <c r="D610" s="204" t="s">
        <v>115</v>
      </c>
      <c r="E610" s="59"/>
      <c r="F610" s="59"/>
      <c r="G610" s="59"/>
      <c r="H610" s="59"/>
      <c r="I610" s="59"/>
      <c r="J610" s="59"/>
      <c r="K610" s="59"/>
      <c r="L610" s="59"/>
      <c r="M610" s="59"/>
      <c r="N610" s="205"/>
      <c r="O610" s="205"/>
      <c r="P610" s="205"/>
      <c r="Q610" s="205"/>
      <c r="R610" s="190"/>
      <c r="S610" s="190"/>
      <c r="T610" s="191"/>
      <c r="U610" s="191"/>
      <c r="W610" s="177"/>
      <c r="X610" s="99"/>
    </row>
    <row r="611" spans="1:32" ht="48">
      <c r="A611" s="149"/>
      <c r="B611" s="207"/>
      <c r="C611" s="207"/>
      <c r="D611" s="204" t="s">
        <v>116</v>
      </c>
      <c r="E611" s="51" t="str">
        <f>IF(((E609="")*AND(E610="")),"",(E609-E610)*3)</f>
        <v/>
      </c>
      <c r="F611" s="51" t="str">
        <f t="shared" ref="F611:Q611" si="286">IF(((F609="")*AND(F610="")),"",(F609-F610)*3)</f>
        <v/>
      </c>
      <c r="G611" s="51" t="str">
        <f t="shared" si="286"/>
        <v/>
      </c>
      <c r="H611" s="51" t="str">
        <f t="shared" si="286"/>
        <v/>
      </c>
      <c r="I611" s="51" t="str">
        <f t="shared" si="286"/>
        <v/>
      </c>
      <c r="J611" s="51" t="str">
        <f t="shared" si="286"/>
        <v/>
      </c>
      <c r="K611" s="51" t="str">
        <f t="shared" si="286"/>
        <v/>
      </c>
      <c r="L611" s="51" t="str">
        <f t="shared" si="286"/>
        <v/>
      </c>
      <c r="M611" s="51" t="str">
        <f t="shared" si="286"/>
        <v/>
      </c>
      <c r="N611" s="51" t="str">
        <f t="shared" si="286"/>
        <v/>
      </c>
      <c r="O611" s="51" t="str">
        <f t="shared" si="286"/>
        <v/>
      </c>
      <c r="P611" s="51" t="str">
        <f t="shared" si="286"/>
        <v/>
      </c>
      <c r="Q611" s="51" t="str">
        <f t="shared" si="286"/>
        <v/>
      </c>
      <c r="R611" s="192"/>
      <c r="S611" s="192"/>
      <c r="T611" s="193"/>
      <c r="U611" s="193"/>
      <c r="W611" s="178"/>
      <c r="X611" s="100"/>
    </row>
    <row r="612" spans="1:32">
      <c r="A612" s="149"/>
      <c r="B612" s="81" t="s">
        <v>117</v>
      </c>
      <c r="C612" s="81" t="s">
        <v>118</v>
      </c>
      <c r="D612" s="204" t="s">
        <v>114</v>
      </c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194" t="str">
        <f>IF((Q613=""),"",MAX(E614:Q614))</f>
        <v/>
      </c>
      <c r="S612" s="194" t="str">
        <f>IF(Q613="","",MIN(E614:Q614))</f>
        <v/>
      </c>
      <c r="T612" s="195" t="str">
        <f>IF((Q614=""),"",AVERAGE(E614:Q614))</f>
        <v/>
      </c>
      <c r="U612" s="195" t="str">
        <f>IF((Q613=""),"",(R612-S612)/(R612+S612)*100)</f>
        <v/>
      </c>
      <c r="V612" s="66" t="e">
        <f t="shared" ref="V612" si="287">STDEV(E614:Q614)</f>
        <v>#DIV/0!</v>
      </c>
      <c r="W612" s="83" t="str">
        <f>IF(Q613="","",IF(T612&gt;242,IF(T612&lt;320,"Pass","Fail"),"Fail"))</f>
        <v/>
      </c>
      <c r="X612" s="101"/>
      <c r="AA612" s="67">
        <v>240</v>
      </c>
      <c r="AB612" s="67">
        <v>320</v>
      </c>
      <c r="AC612" s="67">
        <v>190</v>
      </c>
      <c r="AD612" s="67">
        <v>360</v>
      </c>
      <c r="AE612" s="67">
        <v>20</v>
      </c>
      <c r="AF612" s="67">
        <v>11</v>
      </c>
    </row>
    <row r="613" spans="1:32">
      <c r="A613" s="149"/>
      <c r="B613" s="82"/>
      <c r="C613" s="82"/>
      <c r="D613" s="204" t="s">
        <v>115</v>
      </c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190"/>
      <c r="S613" s="190"/>
      <c r="T613" s="191"/>
      <c r="U613" s="191"/>
      <c r="W613" s="177"/>
      <c r="X613" s="99"/>
    </row>
    <row r="614" spans="1:32" ht="48">
      <c r="A614" s="149"/>
      <c r="B614" s="207"/>
      <c r="C614" s="207"/>
      <c r="D614" s="204" t="s">
        <v>116</v>
      </c>
      <c r="E614" s="51" t="str">
        <f t="shared" ref="E614:Q614" si="288">IF(((E612="")*AND(E613="")),"",(E612-E613))</f>
        <v/>
      </c>
      <c r="F614" s="51" t="str">
        <f t="shared" si="288"/>
        <v/>
      </c>
      <c r="G614" s="51" t="str">
        <f t="shared" si="288"/>
        <v/>
      </c>
      <c r="H614" s="51" t="str">
        <f t="shared" si="288"/>
        <v/>
      </c>
      <c r="I614" s="51" t="str">
        <f t="shared" si="288"/>
        <v/>
      </c>
      <c r="J614" s="51" t="str">
        <f t="shared" si="288"/>
        <v/>
      </c>
      <c r="K614" s="51" t="str">
        <f t="shared" si="288"/>
        <v/>
      </c>
      <c r="L614" s="51" t="str">
        <f t="shared" si="288"/>
        <v/>
      </c>
      <c r="M614" s="51" t="str">
        <f t="shared" si="288"/>
        <v/>
      </c>
      <c r="N614" s="85" t="str">
        <f t="shared" si="288"/>
        <v/>
      </c>
      <c r="O614" s="85" t="str">
        <f t="shared" si="288"/>
        <v/>
      </c>
      <c r="P614" s="85" t="str">
        <f t="shared" si="288"/>
        <v/>
      </c>
      <c r="Q614" s="85" t="str">
        <f t="shared" si="288"/>
        <v/>
      </c>
      <c r="R614" s="192"/>
      <c r="S614" s="192"/>
      <c r="T614" s="193"/>
      <c r="U614" s="193"/>
      <c r="W614" s="178"/>
      <c r="X614" s="100"/>
    </row>
    <row r="615" spans="1:32">
      <c r="A615" s="149"/>
      <c r="B615" s="81" t="s">
        <v>119</v>
      </c>
      <c r="C615" s="81" t="s">
        <v>120</v>
      </c>
      <c r="D615" s="204" t="s">
        <v>114</v>
      </c>
      <c r="E615" s="59"/>
      <c r="F615" s="59"/>
      <c r="G615" s="59"/>
      <c r="H615" s="59"/>
      <c r="I615" s="59"/>
      <c r="J615" s="59"/>
      <c r="K615" s="59"/>
      <c r="L615" s="59"/>
      <c r="M615" s="59"/>
      <c r="N615" s="210"/>
      <c r="O615" s="210"/>
      <c r="P615" s="210"/>
      <c r="Q615" s="210"/>
      <c r="R615" s="196" t="str">
        <f>IF((M616=""),"",MAX(E617:M617))</f>
        <v/>
      </c>
      <c r="S615" s="194" t="str">
        <f>IF(M616="","",MIN(E617:M617))</f>
        <v/>
      </c>
      <c r="T615" s="195" t="str">
        <f>IF((M617=""),"",AVERAGE(E617:M617))</f>
        <v/>
      </c>
      <c r="U615" s="195" t="str">
        <f>IF((M616=""),"",(R615-S615)/(R615+S615)*100)</f>
        <v/>
      </c>
      <c r="V615" s="66" t="e">
        <f t="shared" ref="V615" si="289">STDEV(E617:Q617)</f>
        <v>#DIV/0!</v>
      </c>
      <c r="W615" s="83" t="str">
        <f>IF(M616="","",IF(T615&gt;3650,IF(T615&lt;4450,"Pass","Fail"),"Fail"))</f>
        <v/>
      </c>
      <c r="X615" s="101"/>
      <c r="AA615" s="86">
        <v>3650</v>
      </c>
      <c r="AB615" s="86">
        <v>4450</v>
      </c>
      <c r="AC615" s="86">
        <v>3700</v>
      </c>
      <c r="AD615" s="86">
        <v>4250</v>
      </c>
      <c r="AE615" s="86">
        <v>7.2</v>
      </c>
      <c r="AF615" s="86">
        <v>3</v>
      </c>
    </row>
    <row r="616" spans="1:32">
      <c r="A616" s="149"/>
      <c r="B616" s="82"/>
      <c r="C616" s="82"/>
      <c r="D616" s="204" t="s">
        <v>115</v>
      </c>
      <c r="E616" s="59"/>
      <c r="F616" s="59"/>
      <c r="G616" s="59"/>
      <c r="H616" s="59"/>
      <c r="I616" s="59"/>
      <c r="J616" s="59"/>
      <c r="K616" s="59"/>
      <c r="L616" s="59"/>
      <c r="M616" s="59"/>
      <c r="N616" s="205"/>
      <c r="O616" s="205"/>
      <c r="P616" s="205"/>
      <c r="Q616" s="205"/>
      <c r="R616" s="190"/>
      <c r="S616" s="190"/>
      <c r="T616" s="191"/>
      <c r="U616" s="191"/>
      <c r="W616" s="177"/>
      <c r="X616" s="99"/>
    </row>
    <row r="617" spans="1:32" ht="48">
      <c r="A617" s="149"/>
      <c r="B617" s="207"/>
      <c r="C617" s="207"/>
      <c r="D617" s="204" t="s">
        <v>116</v>
      </c>
      <c r="E617" s="51" t="str">
        <f t="shared" ref="E617:M617" si="290">IF(((E615="")*AND(E616="")),"",(E615-E616)*2)</f>
        <v/>
      </c>
      <c r="F617" s="51" t="str">
        <f t="shared" si="290"/>
        <v/>
      </c>
      <c r="G617" s="51" t="str">
        <f t="shared" si="290"/>
        <v/>
      </c>
      <c r="H617" s="51" t="str">
        <f t="shared" si="290"/>
        <v/>
      </c>
      <c r="I617" s="51" t="str">
        <f t="shared" si="290"/>
        <v/>
      </c>
      <c r="J617" s="51" t="str">
        <f t="shared" si="290"/>
        <v/>
      </c>
      <c r="K617" s="51" t="str">
        <f t="shared" si="290"/>
        <v/>
      </c>
      <c r="L617" s="51" t="str">
        <f t="shared" si="290"/>
        <v/>
      </c>
      <c r="M617" s="51" t="str">
        <f t="shared" si="290"/>
        <v/>
      </c>
      <c r="N617" s="51"/>
      <c r="O617" s="51"/>
      <c r="P617" s="51"/>
      <c r="Q617" s="51"/>
      <c r="R617" s="192"/>
      <c r="S617" s="192"/>
      <c r="T617" s="193"/>
      <c r="U617" s="193"/>
      <c r="W617" s="178"/>
      <c r="X617" s="100"/>
    </row>
    <row r="618" spans="1:32">
      <c r="A618" s="149"/>
      <c r="B618" s="81" t="s">
        <v>121</v>
      </c>
      <c r="C618" s="81" t="s">
        <v>121</v>
      </c>
      <c r="D618" s="204" t="s">
        <v>114</v>
      </c>
      <c r="E618" s="59"/>
      <c r="F618" s="59"/>
      <c r="G618" s="59"/>
      <c r="H618" s="59"/>
      <c r="I618" s="59"/>
      <c r="J618" s="59"/>
      <c r="K618" s="59"/>
      <c r="L618" s="59"/>
      <c r="M618" s="59"/>
      <c r="N618" s="205"/>
      <c r="O618" s="205"/>
      <c r="P618" s="205"/>
      <c r="Q618" s="205"/>
      <c r="R618" s="194" t="str">
        <f>IF((M619=""),"",MAX(E620:M620))</f>
        <v/>
      </c>
      <c r="S618" s="194" t="str">
        <f>IF((M619=""),"",MIN(E620:M620))</f>
        <v/>
      </c>
      <c r="T618" s="195" t="str">
        <f>IF((M620=""),"",AVERAGE(E620:M620))</f>
        <v/>
      </c>
      <c r="U618" s="195" t="str">
        <f>IF((M619=""),"",(R618-S618)/(R618+S618)*100)</f>
        <v/>
      </c>
      <c r="V618" s="66" t="e">
        <f t="shared" ref="V618" si="291">STDEV(E620:Q620)</f>
        <v>#DIV/0!</v>
      </c>
      <c r="W618" s="182" t="str">
        <f>IF(M619="","",IF(T618&gt;2000,IF(T618&lt;3000,"Pass","Fail"),"Fail"))</f>
        <v/>
      </c>
      <c r="X618" s="92"/>
      <c r="AA618" s="67">
        <v>2000</v>
      </c>
      <c r="AB618" s="67">
        <v>3000</v>
      </c>
      <c r="AC618" s="67">
        <v>2200</v>
      </c>
      <c r="AD618" s="67">
        <v>2900</v>
      </c>
      <c r="AE618" s="67">
        <v>7</v>
      </c>
      <c r="AF618" s="67">
        <v>5.5</v>
      </c>
    </row>
    <row r="619" spans="1:32">
      <c r="A619" s="149"/>
      <c r="B619" s="82"/>
      <c r="C619" s="82"/>
      <c r="D619" s="204" t="s">
        <v>115</v>
      </c>
      <c r="E619" s="59"/>
      <c r="F619" s="59"/>
      <c r="G619" s="59"/>
      <c r="H619" s="59"/>
      <c r="I619" s="59"/>
      <c r="J619" s="59"/>
      <c r="K619" s="59"/>
      <c r="L619" s="59"/>
      <c r="M619" s="59"/>
      <c r="N619" s="205"/>
      <c r="O619" s="205"/>
      <c r="P619" s="205"/>
      <c r="Q619" s="205"/>
      <c r="R619" s="190"/>
      <c r="S619" s="190"/>
      <c r="T619" s="191"/>
      <c r="U619" s="191"/>
      <c r="W619" s="179"/>
      <c r="X619" s="92"/>
    </row>
    <row r="620" spans="1:32" ht="48.75" thickBot="1">
      <c r="A620" s="149"/>
      <c r="B620" s="211"/>
      <c r="C620" s="211"/>
      <c r="D620" s="212" t="s">
        <v>116</v>
      </c>
      <c r="E620" s="87" t="str">
        <f t="shared" ref="E620:M620" si="292">IF(((E618="")*AND(E619="")),"",(E618-E619)*4)</f>
        <v/>
      </c>
      <c r="F620" s="87" t="str">
        <f t="shared" si="292"/>
        <v/>
      </c>
      <c r="G620" s="87" t="str">
        <f t="shared" si="292"/>
        <v/>
      </c>
      <c r="H620" s="87" t="str">
        <f t="shared" si="292"/>
        <v/>
      </c>
      <c r="I620" s="87" t="str">
        <f t="shared" si="292"/>
        <v/>
      </c>
      <c r="J620" s="87" t="str">
        <f t="shared" si="292"/>
        <v/>
      </c>
      <c r="K620" s="87" t="str">
        <f t="shared" si="292"/>
        <v/>
      </c>
      <c r="L620" s="87" t="str">
        <f t="shared" si="292"/>
        <v/>
      </c>
      <c r="M620" s="87" t="str">
        <f t="shared" si="292"/>
        <v/>
      </c>
      <c r="N620" s="85"/>
      <c r="O620" s="85"/>
      <c r="P620" s="85"/>
      <c r="Q620" s="85" t="str">
        <f>IF(((Q618="")*AND(Q619="")),"",(Q618-Q619)*4)</f>
        <v/>
      </c>
      <c r="R620" s="197"/>
      <c r="S620" s="197"/>
      <c r="T620" s="198"/>
      <c r="U620" s="198"/>
      <c r="W620" s="180"/>
      <c r="X620" s="93"/>
    </row>
    <row r="621" spans="1:32">
      <c r="A621" s="149"/>
      <c r="B621" s="200" t="s">
        <v>112</v>
      </c>
      <c r="C621" s="200" t="s">
        <v>113</v>
      </c>
      <c r="D621" s="201" t="s">
        <v>114</v>
      </c>
      <c r="E621" s="59"/>
      <c r="F621" s="59"/>
      <c r="G621" s="59"/>
      <c r="H621" s="59"/>
      <c r="I621" s="59"/>
      <c r="J621" s="59"/>
      <c r="K621" s="59"/>
      <c r="L621" s="59"/>
      <c r="M621" s="59"/>
      <c r="N621" s="202"/>
      <c r="O621" s="202"/>
      <c r="P621" s="202"/>
      <c r="Q621" s="202"/>
      <c r="R621" s="188" t="str">
        <f>IF((M622=""),"",MAX(E623:M623))</f>
        <v/>
      </c>
      <c r="S621" s="188" t="str">
        <f>IF((M622=""),"",MIN(E623:M623))</f>
        <v/>
      </c>
      <c r="T621" s="189" t="str">
        <f>IF((M623=""),"",AVERAGE(E623:M623))</f>
        <v/>
      </c>
      <c r="U621" s="189" t="str">
        <f>IF((M622=""),"",(R621-S621)/(R621+S621)*100)</f>
        <v/>
      </c>
      <c r="V621" s="66" t="e">
        <f t="shared" ref="V621" si="293">STDEV(E623:Q623)</f>
        <v>#DIV/0!</v>
      </c>
      <c r="W621" s="170" t="str">
        <f>IF(M622="","",IF(U621&lt;6.3,IF(T621&gt;5550,IF(T621&lt;6900,"Pass","Fail"),"Fail"),"Fail"))</f>
        <v/>
      </c>
      <c r="X621" s="98"/>
      <c r="AA621" s="67">
        <v>5860</v>
      </c>
      <c r="AB621" s="67">
        <v>6770</v>
      </c>
      <c r="AC621" s="67">
        <v>5550</v>
      </c>
      <c r="AD621" s="67">
        <v>6900</v>
      </c>
      <c r="AE621" s="67">
        <v>20</v>
      </c>
      <c r="AF621" s="67">
        <v>6.3</v>
      </c>
    </row>
    <row r="622" spans="1:32">
      <c r="A622" s="149"/>
      <c r="B622" s="82"/>
      <c r="C622" s="82"/>
      <c r="D622" s="204" t="s">
        <v>115</v>
      </c>
      <c r="E622" s="59"/>
      <c r="F622" s="59"/>
      <c r="G622" s="59"/>
      <c r="H622" s="59"/>
      <c r="I622" s="59"/>
      <c r="J622" s="59"/>
      <c r="K622" s="59"/>
      <c r="L622" s="59"/>
      <c r="M622" s="59"/>
      <c r="N622" s="205"/>
      <c r="O622" s="205"/>
      <c r="P622" s="205"/>
      <c r="Q622" s="205"/>
      <c r="R622" s="190"/>
      <c r="S622" s="190"/>
      <c r="T622" s="191"/>
      <c r="U622" s="191"/>
      <c r="W622" s="177"/>
      <c r="X622" s="99"/>
    </row>
    <row r="623" spans="1:32" ht="48">
      <c r="A623" s="149"/>
      <c r="B623" s="207"/>
      <c r="C623" s="207"/>
      <c r="D623" s="204" t="s">
        <v>116</v>
      </c>
      <c r="E623" s="51" t="str">
        <f>IF(((E621="")*AND(E622="")),"",(E621-E622)*3)</f>
        <v/>
      </c>
      <c r="F623" s="51" t="str">
        <f t="shared" ref="F623:Q623" si="294">IF(((F621="")*AND(F622="")),"",(F621-F622)*3)</f>
        <v/>
      </c>
      <c r="G623" s="51" t="str">
        <f t="shared" si="294"/>
        <v/>
      </c>
      <c r="H623" s="51" t="str">
        <f t="shared" si="294"/>
        <v/>
      </c>
      <c r="I623" s="51" t="str">
        <f t="shared" si="294"/>
        <v/>
      </c>
      <c r="J623" s="51" t="str">
        <f t="shared" si="294"/>
        <v/>
      </c>
      <c r="K623" s="51" t="str">
        <f t="shared" si="294"/>
        <v/>
      </c>
      <c r="L623" s="51" t="str">
        <f t="shared" si="294"/>
        <v/>
      </c>
      <c r="M623" s="51" t="str">
        <f t="shared" si="294"/>
        <v/>
      </c>
      <c r="N623" s="51" t="str">
        <f t="shared" si="294"/>
        <v/>
      </c>
      <c r="O623" s="51" t="str">
        <f t="shared" si="294"/>
        <v/>
      </c>
      <c r="P623" s="51" t="str">
        <f t="shared" si="294"/>
        <v/>
      </c>
      <c r="Q623" s="51" t="str">
        <f t="shared" si="294"/>
        <v/>
      </c>
      <c r="R623" s="192"/>
      <c r="S623" s="192"/>
      <c r="T623" s="193"/>
      <c r="U623" s="193"/>
      <c r="W623" s="178"/>
      <c r="X623" s="100"/>
    </row>
    <row r="624" spans="1:32">
      <c r="A624" s="149"/>
      <c r="B624" s="81" t="s">
        <v>117</v>
      </c>
      <c r="C624" s="81" t="s">
        <v>118</v>
      </c>
      <c r="D624" s="204" t="s">
        <v>114</v>
      </c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194" t="str">
        <f>IF((Q625=""),"",MAX(E626:Q626))</f>
        <v/>
      </c>
      <c r="S624" s="194" t="str">
        <f>IF(Q625="","",MIN(E626:Q626))</f>
        <v/>
      </c>
      <c r="T624" s="195" t="str">
        <f>IF((Q626=""),"",AVERAGE(E626:Q626))</f>
        <v/>
      </c>
      <c r="U624" s="195" t="str">
        <f>IF((Q625=""),"",(R624-S624)/(R624+S624)*100)</f>
        <v/>
      </c>
      <c r="V624" s="66" t="e">
        <f t="shared" ref="V624" si="295">STDEV(E626:Q626)</f>
        <v>#DIV/0!</v>
      </c>
      <c r="W624" s="83" t="str">
        <f>IF(Q625="","",IF(T624&gt;242,IF(T624&lt;320,"Pass","Fail"),"Fail"))</f>
        <v/>
      </c>
      <c r="X624" s="101"/>
      <c r="AA624" s="67">
        <v>240</v>
      </c>
      <c r="AB624" s="67">
        <v>320</v>
      </c>
      <c r="AC624" s="67">
        <v>190</v>
      </c>
      <c r="AD624" s="67">
        <v>360</v>
      </c>
      <c r="AE624" s="67">
        <v>20</v>
      </c>
      <c r="AF624" s="67">
        <v>11</v>
      </c>
    </row>
    <row r="625" spans="1:32">
      <c r="A625" s="149"/>
      <c r="B625" s="82"/>
      <c r="C625" s="82"/>
      <c r="D625" s="204" t="s">
        <v>115</v>
      </c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190"/>
      <c r="S625" s="190"/>
      <c r="T625" s="191"/>
      <c r="U625" s="191"/>
      <c r="W625" s="177"/>
      <c r="X625" s="99"/>
    </row>
    <row r="626" spans="1:32" ht="48">
      <c r="A626" s="149"/>
      <c r="B626" s="207"/>
      <c r="C626" s="207"/>
      <c r="D626" s="204" t="s">
        <v>116</v>
      </c>
      <c r="E626" s="51" t="str">
        <f t="shared" ref="E626:Q626" si="296">IF(((E624="")*AND(E625="")),"",(E624-E625))</f>
        <v/>
      </c>
      <c r="F626" s="51" t="str">
        <f t="shared" si="296"/>
        <v/>
      </c>
      <c r="G626" s="51" t="str">
        <f t="shared" si="296"/>
        <v/>
      </c>
      <c r="H626" s="51" t="str">
        <f t="shared" si="296"/>
        <v/>
      </c>
      <c r="I626" s="51" t="str">
        <f t="shared" si="296"/>
        <v/>
      </c>
      <c r="J626" s="51" t="str">
        <f t="shared" si="296"/>
        <v/>
      </c>
      <c r="K626" s="51" t="str">
        <f t="shared" si="296"/>
        <v/>
      </c>
      <c r="L626" s="51" t="str">
        <f t="shared" si="296"/>
        <v/>
      </c>
      <c r="M626" s="51" t="str">
        <f t="shared" si="296"/>
        <v/>
      </c>
      <c r="N626" s="85" t="str">
        <f t="shared" si="296"/>
        <v/>
      </c>
      <c r="O626" s="85" t="str">
        <f t="shared" si="296"/>
        <v/>
      </c>
      <c r="P626" s="85" t="str">
        <f t="shared" si="296"/>
        <v/>
      </c>
      <c r="Q626" s="85" t="str">
        <f t="shared" si="296"/>
        <v/>
      </c>
      <c r="R626" s="192"/>
      <c r="S626" s="192"/>
      <c r="T626" s="193"/>
      <c r="U626" s="193"/>
      <c r="W626" s="178"/>
      <c r="X626" s="100"/>
    </row>
    <row r="627" spans="1:32">
      <c r="A627" s="149"/>
      <c r="B627" s="81" t="s">
        <v>119</v>
      </c>
      <c r="C627" s="81" t="s">
        <v>120</v>
      </c>
      <c r="D627" s="204" t="s">
        <v>114</v>
      </c>
      <c r="E627" s="59"/>
      <c r="F627" s="59"/>
      <c r="G627" s="59"/>
      <c r="H627" s="59"/>
      <c r="I627" s="59"/>
      <c r="J627" s="59"/>
      <c r="K627" s="59"/>
      <c r="L627" s="59"/>
      <c r="M627" s="59"/>
      <c r="N627" s="210"/>
      <c r="O627" s="210"/>
      <c r="P627" s="210"/>
      <c r="Q627" s="210"/>
      <c r="R627" s="196" t="str">
        <f>IF((M628=""),"",MAX(E629:M629))</f>
        <v/>
      </c>
      <c r="S627" s="194" t="str">
        <f>IF(M628="","",MIN(E629:M629))</f>
        <v/>
      </c>
      <c r="T627" s="195" t="str">
        <f>IF((M629=""),"",AVERAGE(E629:M629))</f>
        <v/>
      </c>
      <c r="U627" s="195" t="str">
        <f>IF((M628=""),"",(R627-S627)/(R627+S627)*100)</f>
        <v/>
      </c>
      <c r="V627" s="66" t="e">
        <f t="shared" ref="V627" si="297">STDEV(E629:Q629)</f>
        <v>#DIV/0!</v>
      </c>
      <c r="W627" s="83" t="str">
        <f>IF(M628="","",IF(T627&gt;3650,IF(T627&lt;4450,"Pass","Fail"),"Fail"))</f>
        <v/>
      </c>
      <c r="X627" s="101"/>
      <c r="AA627" s="86">
        <v>3650</v>
      </c>
      <c r="AB627" s="86">
        <v>4450</v>
      </c>
      <c r="AC627" s="86">
        <v>3700</v>
      </c>
      <c r="AD627" s="86">
        <v>4250</v>
      </c>
      <c r="AE627" s="86">
        <v>7.2</v>
      </c>
      <c r="AF627" s="86">
        <v>3</v>
      </c>
    </row>
    <row r="628" spans="1:32">
      <c r="A628" s="149"/>
      <c r="B628" s="82"/>
      <c r="C628" s="82"/>
      <c r="D628" s="204" t="s">
        <v>115</v>
      </c>
      <c r="E628" s="59"/>
      <c r="F628" s="59"/>
      <c r="G628" s="59"/>
      <c r="H628" s="59"/>
      <c r="I628" s="59"/>
      <c r="J628" s="59"/>
      <c r="K628" s="59"/>
      <c r="L628" s="59"/>
      <c r="M628" s="59"/>
      <c r="N628" s="205"/>
      <c r="O628" s="205"/>
      <c r="P628" s="205"/>
      <c r="Q628" s="205"/>
      <c r="R628" s="190"/>
      <c r="S628" s="190"/>
      <c r="T628" s="191"/>
      <c r="U628" s="191"/>
      <c r="W628" s="177"/>
      <c r="X628" s="99"/>
    </row>
    <row r="629" spans="1:32" ht="48">
      <c r="A629" s="149"/>
      <c r="B629" s="207"/>
      <c r="C629" s="207"/>
      <c r="D629" s="204" t="s">
        <v>116</v>
      </c>
      <c r="E629" s="51" t="str">
        <f t="shared" ref="E629:M629" si="298">IF(((E627="")*AND(E628="")),"",(E627-E628)*2)</f>
        <v/>
      </c>
      <c r="F629" s="51" t="str">
        <f t="shared" si="298"/>
        <v/>
      </c>
      <c r="G629" s="51" t="str">
        <f t="shared" si="298"/>
        <v/>
      </c>
      <c r="H629" s="51" t="str">
        <f t="shared" si="298"/>
        <v/>
      </c>
      <c r="I629" s="51" t="str">
        <f t="shared" si="298"/>
        <v/>
      </c>
      <c r="J629" s="51" t="str">
        <f t="shared" si="298"/>
        <v/>
      </c>
      <c r="K629" s="51" t="str">
        <f t="shared" si="298"/>
        <v/>
      </c>
      <c r="L629" s="51" t="str">
        <f t="shared" si="298"/>
        <v/>
      </c>
      <c r="M629" s="51" t="str">
        <f t="shared" si="298"/>
        <v/>
      </c>
      <c r="N629" s="51"/>
      <c r="O629" s="51"/>
      <c r="P629" s="51"/>
      <c r="Q629" s="51"/>
      <c r="R629" s="192"/>
      <c r="S629" s="192"/>
      <c r="T629" s="193"/>
      <c r="U629" s="193"/>
      <c r="W629" s="178"/>
      <c r="X629" s="100"/>
    </row>
    <row r="630" spans="1:32">
      <c r="A630" s="149"/>
      <c r="B630" s="81" t="s">
        <v>121</v>
      </c>
      <c r="C630" s="81" t="s">
        <v>121</v>
      </c>
      <c r="D630" s="204" t="s">
        <v>114</v>
      </c>
      <c r="E630" s="59"/>
      <c r="F630" s="59"/>
      <c r="G630" s="59"/>
      <c r="H630" s="59"/>
      <c r="I630" s="59"/>
      <c r="J630" s="59"/>
      <c r="K630" s="59"/>
      <c r="L630" s="59"/>
      <c r="M630" s="59"/>
      <c r="N630" s="205"/>
      <c r="O630" s="205"/>
      <c r="P630" s="205"/>
      <c r="Q630" s="205"/>
      <c r="R630" s="194" t="str">
        <f>IF((M631=""),"",MAX(E632:M632))</f>
        <v/>
      </c>
      <c r="S630" s="194" t="str">
        <f>IF((M631=""),"",MIN(E632:M632))</f>
        <v/>
      </c>
      <c r="T630" s="195" t="str">
        <f>IF((M632=""),"",AVERAGE(E632:M632))</f>
        <v/>
      </c>
      <c r="U630" s="195" t="str">
        <f>IF((M631=""),"",(R630-S630)/(R630+S630)*100)</f>
        <v/>
      </c>
      <c r="V630" s="66" t="e">
        <f t="shared" ref="V630" si="299">STDEV(E632:Q632)</f>
        <v>#DIV/0!</v>
      </c>
      <c r="W630" s="182" t="str">
        <f>IF(M631="","",IF(T630&gt;2000,IF(T630&lt;3000,"Pass","Fail"),"Fail"))</f>
        <v/>
      </c>
      <c r="X630" s="92"/>
      <c r="AA630" s="67">
        <v>2000</v>
      </c>
      <c r="AB630" s="67">
        <v>3000</v>
      </c>
      <c r="AC630" s="67">
        <v>2200</v>
      </c>
      <c r="AD630" s="67">
        <v>2900</v>
      </c>
      <c r="AE630" s="67">
        <v>7</v>
      </c>
      <c r="AF630" s="67">
        <v>5.5</v>
      </c>
    </row>
    <row r="631" spans="1:32">
      <c r="A631" s="149"/>
      <c r="B631" s="82"/>
      <c r="C631" s="82"/>
      <c r="D631" s="204" t="s">
        <v>115</v>
      </c>
      <c r="E631" s="59"/>
      <c r="F631" s="59"/>
      <c r="G631" s="59"/>
      <c r="H631" s="59"/>
      <c r="I631" s="59"/>
      <c r="J631" s="59"/>
      <c r="K631" s="59"/>
      <c r="L631" s="59"/>
      <c r="M631" s="59"/>
      <c r="N631" s="205"/>
      <c r="O631" s="205"/>
      <c r="P631" s="205"/>
      <c r="Q631" s="205"/>
      <c r="R631" s="190"/>
      <c r="S631" s="190"/>
      <c r="T631" s="191"/>
      <c r="U631" s="191"/>
      <c r="W631" s="179"/>
      <c r="X631" s="92"/>
    </row>
    <row r="632" spans="1:32" ht="48.75" thickBot="1">
      <c r="A632" s="149"/>
      <c r="B632" s="211"/>
      <c r="C632" s="211"/>
      <c r="D632" s="212" t="s">
        <v>116</v>
      </c>
      <c r="E632" s="87" t="str">
        <f t="shared" ref="E632:M632" si="300">IF(((E630="")*AND(E631="")),"",(E630-E631)*4)</f>
        <v/>
      </c>
      <c r="F632" s="87" t="str">
        <f t="shared" si="300"/>
        <v/>
      </c>
      <c r="G632" s="87" t="str">
        <f t="shared" si="300"/>
        <v/>
      </c>
      <c r="H632" s="87" t="str">
        <f t="shared" si="300"/>
        <v/>
      </c>
      <c r="I632" s="87" t="str">
        <f t="shared" si="300"/>
        <v/>
      </c>
      <c r="J632" s="87" t="str">
        <f t="shared" si="300"/>
        <v/>
      </c>
      <c r="K632" s="87" t="str">
        <f t="shared" si="300"/>
        <v/>
      </c>
      <c r="L632" s="87" t="str">
        <f t="shared" si="300"/>
        <v/>
      </c>
      <c r="M632" s="87" t="str">
        <f t="shared" si="300"/>
        <v/>
      </c>
      <c r="N632" s="85"/>
      <c r="O632" s="85"/>
      <c r="P632" s="85"/>
      <c r="Q632" s="85" t="str">
        <f>IF(((Q630="")*AND(Q631="")),"",(Q630-Q631)*4)</f>
        <v/>
      </c>
      <c r="R632" s="197"/>
      <c r="S632" s="197"/>
      <c r="T632" s="198"/>
      <c r="U632" s="198"/>
      <c r="W632" s="180"/>
      <c r="X632" s="93"/>
    </row>
    <row r="633" spans="1:32">
      <c r="A633" s="149"/>
      <c r="B633" s="200" t="s">
        <v>112</v>
      </c>
      <c r="C633" s="200" t="s">
        <v>113</v>
      </c>
      <c r="D633" s="201" t="s">
        <v>114</v>
      </c>
      <c r="E633" s="59"/>
      <c r="F633" s="59"/>
      <c r="G633" s="59"/>
      <c r="H633" s="59"/>
      <c r="I633" s="59"/>
      <c r="J633" s="59"/>
      <c r="K633" s="59"/>
      <c r="L633" s="59"/>
      <c r="M633" s="59"/>
      <c r="N633" s="202"/>
      <c r="O633" s="202"/>
      <c r="P633" s="202"/>
      <c r="Q633" s="202"/>
      <c r="R633" s="188" t="str">
        <f>IF((M634=""),"",MAX(E635:M635))</f>
        <v/>
      </c>
      <c r="S633" s="188" t="str">
        <f>IF((M634=""),"",MIN(E635:M635))</f>
        <v/>
      </c>
      <c r="T633" s="189" t="str">
        <f>IF((M635=""),"",AVERAGE(E635:M635))</f>
        <v/>
      </c>
      <c r="U633" s="189" t="str">
        <f>IF((M634=""),"",(R633-S633)/(R633+S633)*100)</f>
        <v/>
      </c>
      <c r="V633" s="66" t="e">
        <f t="shared" ref="V633" si="301">STDEV(E635:Q635)</f>
        <v>#DIV/0!</v>
      </c>
      <c r="W633" s="170" t="str">
        <f>IF(M634="","",IF(U633&lt;6.3,IF(T633&gt;5550,IF(T633&lt;6900,"Pass","Fail"),"Fail"),"Fail"))</f>
        <v/>
      </c>
      <c r="X633" s="98"/>
      <c r="AA633" s="67">
        <v>5860</v>
      </c>
      <c r="AB633" s="67">
        <v>6770</v>
      </c>
      <c r="AC633" s="67">
        <v>5550</v>
      </c>
      <c r="AD633" s="67">
        <v>6900</v>
      </c>
      <c r="AE633" s="67">
        <v>20</v>
      </c>
      <c r="AF633" s="67">
        <v>6.3</v>
      </c>
    </row>
    <row r="634" spans="1:32">
      <c r="A634" s="149"/>
      <c r="B634" s="82"/>
      <c r="C634" s="82"/>
      <c r="D634" s="204" t="s">
        <v>115</v>
      </c>
      <c r="E634" s="59"/>
      <c r="F634" s="59"/>
      <c r="G634" s="59"/>
      <c r="H634" s="59"/>
      <c r="I634" s="59"/>
      <c r="J634" s="59"/>
      <c r="K634" s="59"/>
      <c r="L634" s="59"/>
      <c r="M634" s="59"/>
      <c r="N634" s="205"/>
      <c r="O634" s="205"/>
      <c r="P634" s="205"/>
      <c r="Q634" s="205"/>
      <c r="R634" s="190"/>
      <c r="S634" s="190"/>
      <c r="T634" s="191"/>
      <c r="U634" s="191"/>
      <c r="W634" s="177"/>
      <c r="X634" s="99"/>
    </row>
    <row r="635" spans="1:32" ht="48">
      <c r="A635" s="149"/>
      <c r="B635" s="207"/>
      <c r="C635" s="207"/>
      <c r="D635" s="204" t="s">
        <v>116</v>
      </c>
      <c r="E635" s="51" t="str">
        <f>IF(((E633="")*AND(E634="")),"",(E633-E634)*3)</f>
        <v/>
      </c>
      <c r="F635" s="51" t="str">
        <f t="shared" ref="F635:Q635" si="302">IF(((F633="")*AND(F634="")),"",(F633-F634)*3)</f>
        <v/>
      </c>
      <c r="G635" s="51" t="str">
        <f t="shared" si="302"/>
        <v/>
      </c>
      <c r="H635" s="51" t="str">
        <f t="shared" si="302"/>
        <v/>
      </c>
      <c r="I635" s="51" t="str">
        <f t="shared" si="302"/>
        <v/>
      </c>
      <c r="J635" s="51" t="str">
        <f t="shared" si="302"/>
        <v/>
      </c>
      <c r="K635" s="51" t="str">
        <f t="shared" si="302"/>
        <v/>
      </c>
      <c r="L635" s="51" t="str">
        <f t="shared" si="302"/>
        <v/>
      </c>
      <c r="M635" s="51" t="str">
        <f t="shared" si="302"/>
        <v/>
      </c>
      <c r="N635" s="51" t="str">
        <f t="shared" si="302"/>
        <v/>
      </c>
      <c r="O635" s="51" t="str">
        <f t="shared" si="302"/>
        <v/>
      </c>
      <c r="P635" s="51" t="str">
        <f t="shared" si="302"/>
        <v/>
      </c>
      <c r="Q635" s="51" t="str">
        <f t="shared" si="302"/>
        <v/>
      </c>
      <c r="R635" s="192"/>
      <c r="S635" s="192"/>
      <c r="T635" s="193"/>
      <c r="U635" s="193"/>
      <c r="W635" s="178"/>
      <c r="X635" s="100"/>
    </row>
    <row r="636" spans="1:32">
      <c r="A636" s="149"/>
      <c r="B636" s="81" t="s">
        <v>117</v>
      </c>
      <c r="C636" s="81" t="s">
        <v>118</v>
      </c>
      <c r="D636" s="204" t="s">
        <v>114</v>
      </c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194" t="str">
        <f>IF((Q637=""),"",MAX(E638:Q638))</f>
        <v/>
      </c>
      <c r="S636" s="194" t="str">
        <f>IF(Q637="","",MIN(E638:Q638))</f>
        <v/>
      </c>
      <c r="T636" s="195" t="str">
        <f>IF((Q638=""),"",AVERAGE(E638:Q638))</f>
        <v/>
      </c>
      <c r="U636" s="195" t="str">
        <f>IF((Q637=""),"",(R636-S636)/(R636+S636)*100)</f>
        <v/>
      </c>
      <c r="V636" s="66" t="e">
        <f t="shared" ref="V636" si="303">STDEV(E638:Q638)</f>
        <v>#DIV/0!</v>
      </c>
      <c r="W636" s="83" t="str">
        <f>IF(Q637="","",IF(T636&gt;242,IF(T636&lt;320,"Pass","Fail"),"Fail"))</f>
        <v/>
      </c>
      <c r="X636" s="101"/>
      <c r="AA636" s="67">
        <v>240</v>
      </c>
      <c r="AB636" s="67">
        <v>320</v>
      </c>
      <c r="AC636" s="67">
        <v>190</v>
      </c>
      <c r="AD636" s="67">
        <v>360</v>
      </c>
      <c r="AE636" s="67">
        <v>20</v>
      </c>
      <c r="AF636" s="67">
        <v>11</v>
      </c>
    </row>
    <row r="637" spans="1:32">
      <c r="A637" s="149"/>
      <c r="B637" s="82"/>
      <c r="C637" s="82"/>
      <c r="D637" s="204" t="s">
        <v>115</v>
      </c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190"/>
      <c r="S637" s="190"/>
      <c r="T637" s="191"/>
      <c r="U637" s="191"/>
      <c r="W637" s="177"/>
      <c r="X637" s="99"/>
    </row>
    <row r="638" spans="1:32" ht="48">
      <c r="A638" s="149"/>
      <c r="B638" s="207"/>
      <c r="C638" s="207"/>
      <c r="D638" s="204" t="s">
        <v>116</v>
      </c>
      <c r="E638" s="51" t="str">
        <f t="shared" ref="E638:Q638" si="304">IF(((E636="")*AND(E637="")),"",(E636-E637))</f>
        <v/>
      </c>
      <c r="F638" s="51" t="str">
        <f t="shared" si="304"/>
        <v/>
      </c>
      <c r="G638" s="51" t="str">
        <f t="shared" si="304"/>
        <v/>
      </c>
      <c r="H638" s="51" t="str">
        <f t="shared" si="304"/>
        <v/>
      </c>
      <c r="I638" s="51" t="str">
        <f t="shared" si="304"/>
        <v/>
      </c>
      <c r="J638" s="51" t="str">
        <f t="shared" si="304"/>
        <v/>
      </c>
      <c r="K638" s="51" t="str">
        <f t="shared" si="304"/>
        <v/>
      </c>
      <c r="L638" s="51" t="str">
        <f t="shared" si="304"/>
        <v/>
      </c>
      <c r="M638" s="51" t="str">
        <f t="shared" si="304"/>
        <v/>
      </c>
      <c r="N638" s="85" t="str">
        <f t="shared" si="304"/>
        <v/>
      </c>
      <c r="O638" s="85" t="str">
        <f t="shared" si="304"/>
        <v/>
      </c>
      <c r="P638" s="85" t="str">
        <f t="shared" si="304"/>
        <v/>
      </c>
      <c r="Q638" s="85" t="str">
        <f t="shared" si="304"/>
        <v/>
      </c>
      <c r="R638" s="192"/>
      <c r="S638" s="192"/>
      <c r="T638" s="193"/>
      <c r="U638" s="193"/>
      <c r="W638" s="178"/>
      <c r="X638" s="100"/>
    </row>
    <row r="639" spans="1:32">
      <c r="A639" s="149"/>
      <c r="B639" s="81" t="s">
        <v>119</v>
      </c>
      <c r="C639" s="81" t="s">
        <v>120</v>
      </c>
      <c r="D639" s="204" t="s">
        <v>114</v>
      </c>
      <c r="E639" s="59"/>
      <c r="F639" s="59"/>
      <c r="G639" s="59"/>
      <c r="H639" s="59"/>
      <c r="I639" s="59"/>
      <c r="J639" s="59"/>
      <c r="K639" s="59"/>
      <c r="L639" s="59"/>
      <c r="M639" s="59"/>
      <c r="N639" s="210"/>
      <c r="O639" s="210"/>
      <c r="P639" s="210"/>
      <c r="Q639" s="210"/>
      <c r="R639" s="196" t="str">
        <f>IF((M640=""),"",MAX(E641:M641))</f>
        <v/>
      </c>
      <c r="S639" s="194" t="str">
        <f>IF(M640="","",MIN(E641:M641))</f>
        <v/>
      </c>
      <c r="T639" s="195" t="str">
        <f>IF((M641=""),"",AVERAGE(E641:M641))</f>
        <v/>
      </c>
      <c r="U639" s="195" t="str">
        <f>IF((M640=""),"",(R639-S639)/(R639+S639)*100)</f>
        <v/>
      </c>
      <c r="V639" s="66" t="e">
        <f t="shared" ref="V639" si="305">STDEV(E641:Q641)</f>
        <v>#DIV/0!</v>
      </c>
      <c r="W639" s="83" t="str">
        <f>IF(M640="","",IF(T639&gt;3650,IF(T639&lt;4450,"Pass","Fail"),"Fail"))</f>
        <v/>
      </c>
      <c r="X639" s="101"/>
      <c r="AA639" s="86">
        <v>3650</v>
      </c>
      <c r="AB639" s="86">
        <v>4450</v>
      </c>
      <c r="AC639" s="86">
        <v>3700</v>
      </c>
      <c r="AD639" s="86">
        <v>4250</v>
      </c>
      <c r="AE639" s="86">
        <v>7.2</v>
      </c>
      <c r="AF639" s="86">
        <v>3</v>
      </c>
    </row>
    <row r="640" spans="1:32">
      <c r="A640" s="149"/>
      <c r="B640" s="82"/>
      <c r="C640" s="82"/>
      <c r="D640" s="204" t="s">
        <v>115</v>
      </c>
      <c r="E640" s="59"/>
      <c r="F640" s="59"/>
      <c r="G640" s="59"/>
      <c r="H640" s="59"/>
      <c r="I640" s="59"/>
      <c r="J640" s="59"/>
      <c r="K640" s="59"/>
      <c r="L640" s="59"/>
      <c r="M640" s="59"/>
      <c r="N640" s="205"/>
      <c r="O640" s="205"/>
      <c r="P640" s="205"/>
      <c r="Q640" s="205"/>
      <c r="R640" s="190"/>
      <c r="S640" s="190"/>
      <c r="T640" s="191"/>
      <c r="U640" s="191"/>
      <c r="W640" s="177"/>
      <c r="X640" s="99"/>
    </row>
    <row r="641" spans="1:32" ht="48">
      <c r="A641" s="149"/>
      <c r="B641" s="207"/>
      <c r="C641" s="207"/>
      <c r="D641" s="204" t="s">
        <v>116</v>
      </c>
      <c r="E641" s="51" t="str">
        <f t="shared" ref="E641:M641" si="306">IF(((E639="")*AND(E640="")),"",(E639-E640)*2)</f>
        <v/>
      </c>
      <c r="F641" s="51" t="str">
        <f t="shared" si="306"/>
        <v/>
      </c>
      <c r="G641" s="51" t="str">
        <f t="shared" si="306"/>
        <v/>
      </c>
      <c r="H641" s="51" t="str">
        <f t="shared" si="306"/>
        <v/>
      </c>
      <c r="I641" s="51" t="str">
        <f t="shared" si="306"/>
        <v/>
      </c>
      <c r="J641" s="51" t="str">
        <f t="shared" si="306"/>
        <v/>
      </c>
      <c r="K641" s="51" t="str">
        <f t="shared" si="306"/>
        <v/>
      </c>
      <c r="L641" s="51" t="str">
        <f t="shared" si="306"/>
        <v/>
      </c>
      <c r="M641" s="51" t="str">
        <f t="shared" si="306"/>
        <v/>
      </c>
      <c r="N641" s="51"/>
      <c r="O641" s="51"/>
      <c r="P641" s="51"/>
      <c r="Q641" s="51"/>
      <c r="R641" s="192"/>
      <c r="S641" s="192"/>
      <c r="T641" s="193"/>
      <c r="U641" s="193"/>
      <c r="W641" s="178"/>
      <c r="X641" s="100"/>
    </row>
    <row r="642" spans="1:32">
      <c r="A642" s="149"/>
      <c r="B642" s="81" t="s">
        <v>121</v>
      </c>
      <c r="C642" s="81" t="s">
        <v>121</v>
      </c>
      <c r="D642" s="204" t="s">
        <v>114</v>
      </c>
      <c r="E642" s="59"/>
      <c r="F642" s="59"/>
      <c r="G642" s="59"/>
      <c r="H642" s="59"/>
      <c r="I642" s="59"/>
      <c r="J642" s="59"/>
      <c r="K642" s="59"/>
      <c r="L642" s="59"/>
      <c r="M642" s="59"/>
      <c r="N642" s="205"/>
      <c r="O642" s="205"/>
      <c r="P642" s="205"/>
      <c r="Q642" s="205"/>
      <c r="R642" s="194" t="str">
        <f>IF((M643=""),"",MAX(E644:M644))</f>
        <v/>
      </c>
      <c r="S642" s="194" t="str">
        <f>IF((M643=""),"",MIN(E644:M644))</f>
        <v/>
      </c>
      <c r="T642" s="195" t="str">
        <f>IF((M644=""),"",AVERAGE(E644:M644))</f>
        <v/>
      </c>
      <c r="U642" s="195" t="str">
        <f>IF((M643=""),"",(R642-S642)/(R642+S642)*100)</f>
        <v/>
      </c>
      <c r="V642" s="66" t="e">
        <f t="shared" ref="V642" si="307">STDEV(E644:Q644)</f>
        <v>#DIV/0!</v>
      </c>
      <c r="W642" s="182" t="str">
        <f>IF(M643="","",IF(T642&gt;2000,IF(T642&lt;3000,"Pass","Fail"),"Fail"))</f>
        <v/>
      </c>
      <c r="X642" s="92"/>
      <c r="AA642" s="67">
        <v>2000</v>
      </c>
      <c r="AB642" s="67">
        <v>3000</v>
      </c>
      <c r="AC642" s="67">
        <v>2200</v>
      </c>
      <c r="AD642" s="67">
        <v>2900</v>
      </c>
      <c r="AE642" s="67">
        <v>7</v>
      </c>
      <c r="AF642" s="67">
        <v>5.5</v>
      </c>
    </row>
    <row r="643" spans="1:32">
      <c r="A643" s="149"/>
      <c r="B643" s="82"/>
      <c r="C643" s="82"/>
      <c r="D643" s="204" t="s">
        <v>115</v>
      </c>
      <c r="E643" s="59"/>
      <c r="F643" s="59"/>
      <c r="G643" s="59"/>
      <c r="H643" s="59"/>
      <c r="I643" s="59"/>
      <c r="J643" s="59"/>
      <c r="K643" s="59"/>
      <c r="L643" s="59"/>
      <c r="M643" s="59"/>
      <c r="N643" s="205"/>
      <c r="O643" s="205"/>
      <c r="P643" s="205"/>
      <c r="Q643" s="205"/>
      <c r="R643" s="190"/>
      <c r="S643" s="190"/>
      <c r="T643" s="191"/>
      <c r="U643" s="191"/>
      <c r="W643" s="179"/>
      <c r="X643" s="92"/>
    </row>
    <row r="644" spans="1:32" ht="48.75" thickBot="1">
      <c r="A644" s="149"/>
      <c r="B644" s="211"/>
      <c r="C644" s="211"/>
      <c r="D644" s="212" t="s">
        <v>116</v>
      </c>
      <c r="E644" s="87" t="str">
        <f t="shared" ref="E644:M644" si="308">IF(((E642="")*AND(E643="")),"",(E642-E643)*4)</f>
        <v/>
      </c>
      <c r="F644" s="87" t="str">
        <f t="shared" si="308"/>
        <v/>
      </c>
      <c r="G644" s="87" t="str">
        <f t="shared" si="308"/>
        <v/>
      </c>
      <c r="H644" s="87" t="str">
        <f t="shared" si="308"/>
        <v/>
      </c>
      <c r="I644" s="87" t="str">
        <f t="shared" si="308"/>
        <v/>
      </c>
      <c r="J644" s="87" t="str">
        <f t="shared" si="308"/>
        <v/>
      </c>
      <c r="K644" s="87" t="str">
        <f t="shared" si="308"/>
        <v/>
      </c>
      <c r="L644" s="87" t="str">
        <f t="shared" si="308"/>
        <v/>
      </c>
      <c r="M644" s="87" t="str">
        <f t="shared" si="308"/>
        <v/>
      </c>
      <c r="N644" s="85"/>
      <c r="O644" s="85"/>
      <c r="P644" s="85"/>
      <c r="Q644" s="85" t="str">
        <f>IF(((Q642="")*AND(Q643="")),"",(Q642-Q643)*4)</f>
        <v/>
      </c>
      <c r="R644" s="197"/>
      <c r="S644" s="197"/>
      <c r="T644" s="198"/>
      <c r="U644" s="198"/>
      <c r="W644" s="180"/>
      <c r="X644" s="93"/>
    </row>
    <row r="645" spans="1:32">
      <c r="A645" s="149"/>
      <c r="B645" s="200" t="s">
        <v>112</v>
      </c>
      <c r="C645" s="200" t="s">
        <v>113</v>
      </c>
      <c r="D645" s="201" t="s">
        <v>114</v>
      </c>
      <c r="E645" s="59"/>
      <c r="F645" s="59"/>
      <c r="G645" s="59"/>
      <c r="H645" s="59"/>
      <c r="I645" s="59"/>
      <c r="J645" s="59"/>
      <c r="K645" s="59"/>
      <c r="L645" s="59"/>
      <c r="M645" s="59"/>
      <c r="N645" s="202"/>
      <c r="O645" s="202"/>
      <c r="P645" s="202"/>
      <c r="Q645" s="202"/>
      <c r="R645" s="188" t="str">
        <f>IF((M646=""),"",MAX(E647:M647))</f>
        <v/>
      </c>
      <c r="S645" s="188" t="str">
        <f>IF((M646=""),"",MIN(E647:M647))</f>
        <v/>
      </c>
      <c r="T645" s="189" t="str">
        <f>IF((M647=""),"",AVERAGE(E647:M647))</f>
        <v/>
      </c>
      <c r="U645" s="189" t="str">
        <f>IF((M646=""),"",(R645-S645)/(R645+S645)*100)</f>
        <v/>
      </c>
      <c r="V645" s="66" t="e">
        <f t="shared" ref="V645" si="309">STDEV(E647:Q647)</f>
        <v>#DIV/0!</v>
      </c>
      <c r="W645" s="170" t="str">
        <f>IF(M646="","",IF(U645&lt;6.3,IF(T645&gt;5550,IF(T645&lt;6900,"Pass","Fail"),"Fail"),"Fail"))</f>
        <v/>
      </c>
      <c r="X645" s="98"/>
      <c r="AA645" s="67">
        <v>5860</v>
      </c>
      <c r="AB645" s="67">
        <v>6770</v>
      </c>
      <c r="AC645" s="67">
        <v>5550</v>
      </c>
      <c r="AD645" s="67">
        <v>6900</v>
      </c>
      <c r="AE645" s="67">
        <v>20</v>
      </c>
      <c r="AF645" s="67">
        <v>6.3</v>
      </c>
    </row>
    <row r="646" spans="1:32">
      <c r="A646" s="149"/>
      <c r="B646" s="82"/>
      <c r="C646" s="82"/>
      <c r="D646" s="204" t="s">
        <v>115</v>
      </c>
      <c r="E646" s="59"/>
      <c r="F646" s="59"/>
      <c r="G646" s="59"/>
      <c r="H646" s="59"/>
      <c r="I646" s="59"/>
      <c r="J646" s="59"/>
      <c r="K646" s="59"/>
      <c r="L646" s="59"/>
      <c r="M646" s="59"/>
      <c r="N646" s="205"/>
      <c r="O646" s="205"/>
      <c r="P646" s="205"/>
      <c r="Q646" s="205"/>
      <c r="R646" s="190"/>
      <c r="S646" s="190"/>
      <c r="T646" s="191"/>
      <c r="U646" s="191"/>
      <c r="W646" s="177"/>
      <c r="X646" s="99"/>
    </row>
    <row r="647" spans="1:32" ht="48">
      <c r="A647" s="149"/>
      <c r="B647" s="207"/>
      <c r="C647" s="207"/>
      <c r="D647" s="204" t="s">
        <v>116</v>
      </c>
      <c r="E647" s="51" t="str">
        <f>IF(((E645="")*AND(E646="")),"",(E645-E646)*3)</f>
        <v/>
      </c>
      <c r="F647" s="51" t="str">
        <f t="shared" ref="F647:Q647" si="310">IF(((F645="")*AND(F646="")),"",(F645-F646)*3)</f>
        <v/>
      </c>
      <c r="G647" s="51" t="str">
        <f t="shared" si="310"/>
        <v/>
      </c>
      <c r="H647" s="51" t="str">
        <f t="shared" si="310"/>
        <v/>
      </c>
      <c r="I647" s="51" t="str">
        <f t="shared" si="310"/>
        <v/>
      </c>
      <c r="J647" s="51" t="str">
        <f t="shared" si="310"/>
        <v/>
      </c>
      <c r="K647" s="51" t="str">
        <f t="shared" si="310"/>
        <v/>
      </c>
      <c r="L647" s="51" t="str">
        <f t="shared" si="310"/>
        <v/>
      </c>
      <c r="M647" s="51" t="str">
        <f t="shared" si="310"/>
        <v/>
      </c>
      <c r="N647" s="51" t="str">
        <f t="shared" si="310"/>
        <v/>
      </c>
      <c r="O647" s="51" t="str">
        <f t="shared" si="310"/>
        <v/>
      </c>
      <c r="P647" s="51" t="str">
        <f t="shared" si="310"/>
        <v/>
      </c>
      <c r="Q647" s="51" t="str">
        <f t="shared" si="310"/>
        <v/>
      </c>
      <c r="R647" s="192"/>
      <c r="S647" s="192"/>
      <c r="T647" s="193"/>
      <c r="U647" s="193"/>
      <c r="W647" s="178"/>
      <c r="X647" s="100"/>
    </row>
    <row r="648" spans="1:32">
      <c r="A648" s="149"/>
      <c r="B648" s="81" t="s">
        <v>117</v>
      </c>
      <c r="C648" s="81" t="s">
        <v>118</v>
      </c>
      <c r="D648" s="204" t="s">
        <v>114</v>
      </c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194" t="str">
        <f>IF((Q649=""),"",MAX(E650:Q650))</f>
        <v/>
      </c>
      <c r="S648" s="194" t="str">
        <f>IF(Q649="","",MIN(E650:Q650))</f>
        <v/>
      </c>
      <c r="T648" s="195" t="str">
        <f>IF((Q650=""),"",AVERAGE(E650:Q650))</f>
        <v/>
      </c>
      <c r="U648" s="195" t="str">
        <f>IF((Q649=""),"",(R648-S648)/(R648+S648)*100)</f>
        <v/>
      </c>
      <c r="V648" s="66" t="e">
        <f t="shared" ref="V648" si="311">STDEV(E650:Q650)</f>
        <v>#DIV/0!</v>
      </c>
      <c r="W648" s="83" t="str">
        <f>IF(Q649="","",IF(T648&gt;242,IF(T648&lt;320,"Pass","Fail"),"Fail"))</f>
        <v/>
      </c>
      <c r="X648" s="101"/>
      <c r="AA648" s="67">
        <v>240</v>
      </c>
      <c r="AB648" s="67">
        <v>320</v>
      </c>
      <c r="AC648" s="67">
        <v>190</v>
      </c>
      <c r="AD648" s="67">
        <v>360</v>
      </c>
      <c r="AE648" s="67">
        <v>20</v>
      </c>
      <c r="AF648" s="67">
        <v>11</v>
      </c>
    </row>
    <row r="649" spans="1:32">
      <c r="A649" s="149"/>
      <c r="B649" s="82"/>
      <c r="C649" s="82"/>
      <c r="D649" s="204" t="s">
        <v>115</v>
      </c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190"/>
      <c r="S649" s="190"/>
      <c r="T649" s="191"/>
      <c r="U649" s="191"/>
      <c r="W649" s="177"/>
      <c r="X649" s="99"/>
    </row>
    <row r="650" spans="1:32" ht="48">
      <c r="A650" s="149"/>
      <c r="B650" s="207"/>
      <c r="C650" s="207"/>
      <c r="D650" s="204" t="s">
        <v>116</v>
      </c>
      <c r="E650" s="51" t="str">
        <f t="shared" ref="E650:Q650" si="312">IF(((E648="")*AND(E649="")),"",(E648-E649))</f>
        <v/>
      </c>
      <c r="F650" s="51" t="str">
        <f t="shared" si="312"/>
        <v/>
      </c>
      <c r="G650" s="51" t="str">
        <f t="shared" si="312"/>
        <v/>
      </c>
      <c r="H650" s="51" t="str">
        <f t="shared" si="312"/>
        <v/>
      </c>
      <c r="I650" s="51" t="str">
        <f t="shared" si="312"/>
        <v/>
      </c>
      <c r="J650" s="51" t="str">
        <f t="shared" si="312"/>
        <v/>
      </c>
      <c r="K650" s="51" t="str">
        <f t="shared" si="312"/>
        <v/>
      </c>
      <c r="L650" s="51" t="str">
        <f t="shared" si="312"/>
        <v/>
      </c>
      <c r="M650" s="51" t="str">
        <f t="shared" si="312"/>
        <v/>
      </c>
      <c r="N650" s="85" t="str">
        <f t="shared" si="312"/>
        <v/>
      </c>
      <c r="O650" s="85" t="str">
        <f t="shared" si="312"/>
        <v/>
      </c>
      <c r="P650" s="85" t="str">
        <f t="shared" si="312"/>
        <v/>
      </c>
      <c r="Q650" s="85" t="str">
        <f t="shared" si="312"/>
        <v/>
      </c>
      <c r="R650" s="192"/>
      <c r="S650" s="192"/>
      <c r="T650" s="193"/>
      <c r="U650" s="193"/>
      <c r="W650" s="178"/>
      <c r="X650" s="100"/>
    </row>
    <row r="651" spans="1:32">
      <c r="A651" s="149"/>
      <c r="B651" s="81" t="s">
        <v>119</v>
      </c>
      <c r="C651" s="81" t="s">
        <v>120</v>
      </c>
      <c r="D651" s="204" t="s">
        <v>114</v>
      </c>
      <c r="E651" s="59"/>
      <c r="F651" s="59"/>
      <c r="G651" s="59"/>
      <c r="H651" s="59"/>
      <c r="I651" s="59"/>
      <c r="J651" s="59"/>
      <c r="K651" s="59"/>
      <c r="L651" s="59"/>
      <c r="M651" s="59"/>
      <c r="N651" s="210"/>
      <c r="O651" s="210"/>
      <c r="P651" s="210"/>
      <c r="Q651" s="210"/>
      <c r="R651" s="196" t="str">
        <f>IF((M652=""),"",MAX(E653:M653))</f>
        <v/>
      </c>
      <c r="S651" s="194" t="str">
        <f>IF(M652="","",MIN(E653:M653))</f>
        <v/>
      </c>
      <c r="T651" s="195" t="str">
        <f>IF((M653=""),"",AVERAGE(E653:M653))</f>
        <v/>
      </c>
      <c r="U651" s="195" t="str">
        <f>IF((M652=""),"",(R651-S651)/(R651+S651)*100)</f>
        <v/>
      </c>
      <c r="V651" s="66" t="e">
        <f t="shared" ref="V651" si="313">STDEV(E653:Q653)</f>
        <v>#DIV/0!</v>
      </c>
      <c r="W651" s="83" t="str">
        <f>IF(M652="","",IF(T651&gt;3650,IF(T651&lt;4450,"Pass","Fail"),"Fail"))</f>
        <v/>
      </c>
      <c r="X651" s="101"/>
      <c r="AA651" s="86">
        <v>3650</v>
      </c>
      <c r="AB651" s="86">
        <v>4450</v>
      </c>
      <c r="AC651" s="86">
        <v>3700</v>
      </c>
      <c r="AD651" s="86">
        <v>4250</v>
      </c>
      <c r="AE651" s="86">
        <v>7.2</v>
      </c>
      <c r="AF651" s="86">
        <v>3</v>
      </c>
    </row>
    <row r="652" spans="1:32">
      <c r="A652" s="149"/>
      <c r="B652" s="82"/>
      <c r="C652" s="82"/>
      <c r="D652" s="204" t="s">
        <v>115</v>
      </c>
      <c r="E652" s="59"/>
      <c r="F652" s="59"/>
      <c r="G652" s="59"/>
      <c r="H652" s="59"/>
      <c r="I652" s="59"/>
      <c r="J652" s="59"/>
      <c r="K652" s="59"/>
      <c r="L652" s="59"/>
      <c r="M652" s="59"/>
      <c r="N652" s="205"/>
      <c r="O652" s="205"/>
      <c r="P652" s="205"/>
      <c r="Q652" s="205"/>
      <c r="R652" s="190"/>
      <c r="S652" s="190"/>
      <c r="T652" s="191"/>
      <c r="U652" s="191"/>
      <c r="W652" s="177"/>
      <c r="X652" s="99"/>
    </row>
    <row r="653" spans="1:32" ht="48">
      <c r="A653" s="149"/>
      <c r="B653" s="207"/>
      <c r="C653" s="207"/>
      <c r="D653" s="204" t="s">
        <v>116</v>
      </c>
      <c r="E653" s="51" t="str">
        <f t="shared" ref="E653:M653" si="314">IF(((E651="")*AND(E652="")),"",(E651-E652)*2)</f>
        <v/>
      </c>
      <c r="F653" s="51" t="str">
        <f t="shared" si="314"/>
        <v/>
      </c>
      <c r="G653" s="51" t="str">
        <f t="shared" si="314"/>
        <v/>
      </c>
      <c r="H653" s="51" t="str">
        <f t="shared" si="314"/>
        <v/>
      </c>
      <c r="I653" s="51" t="str">
        <f t="shared" si="314"/>
        <v/>
      </c>
      <c r="J653" s="51" t="str">
        <f t="shared" si="314"/>
        <v/>
      </c>
      <c r="K653" s="51" t="str">
        <f t="shared" si="314"/>
        <v/>
      </c>
      <c r="L653" s="51" t="str">
        <f t="shared" si="314"/>
        <v/>
      </c>
      <c r="M653" s="51" t="str">
        <f t="shared" si="314"/>
        <v/>
      </c>
      <c r="N653" s="51"/>
      <c r="O653" s="51"/>
      <c r="P653" s="51"/>
      <c r="Q653" s="51"/>
      <c r="R653" s="192"/>
      <c r="S653" s="192"/>
      <c r="T653" s="193"/>
      <c r="U653" s="193"/>
      <c r="W653" s="178"/>
      <c r="X653" s="100"/>
    </row>
    <row r="654" spans="1:32">
      <c r="A654" s="149"/>
      <c r="B654" s="81" t="s">
        <v>121</v>
      </c>
      <c r="C654" s="81" t="s">
        <v>121</v>
      </c>
      <c r="D654" s="204" t="s">
        <v>114</v>
      </c>
      <c r="E654" s="59"/>
      <c r="F654" s="59"/>
      <c r="G654" s="59"/>
      <c r="H654" s="59"/>
      <c r="I654" s="59"/>
      <c r="J654" s="59"/>
      <c r="K654" s="59"/>
      <c r="L654" s="59"/>
      <c r="M654" s="59"/>
      <c r="N654" s="205"/>
      <c r="O654" s="205"/>
      <c r="P654" s="205"/>
      <c r="Q654" s="205"/>
      <c r="R654" s="194" t="str">
        <f>IF((M655=""),"",MAX(E656:M656))</f>
        <v/>
      </c>
      <c r="S654" s="194" t="str">
        <f>IF((M655=""),"",MIN(E656:M656))</f>
        <v/>
      </c>
      <c r="T654" s="195" t="str">
        <f>IF((M656=""),"",AVERAGE(E656:M656))</f>
        <v/>
      </c>
      <c r="U654" s="195" t="str">
        <f>IF((M655=""),"",(R654-S654)/(R654+S654)*100)</f>
        <v/>
      </c>
      <c r="V654" s="66" t="e">
        <f t="shared" ref="V654" si="315">STDEV(E656:Q656)</f>
        <v>#DIV/0!</v>
      </c>
      <c r="W654" s="182" t="str">
        <f>IF(M655="","",IF(T654&gt;2000,IF(T654&lt;3000,"Pass","Fail"),"Fail"))</f>
        <v/>
      </c>
      <c r="X654" s="92"/>
      <c r="AA654" s="67">
        <v>2000</v>
      </c>
      <c r="AB654" s="67">
        <v>3000</v>
      </c>
      <c r="AC654" s="67">
        <v>2200</v>
      </c>
      <c r="AD654" s="67">
        <v>2900</v>
      </c>
      <c r="AE654" s="67">
        <v>7</v>
      </c>
      <c r="AF654" s="67">
        <v>5.5</v>
      </c>
    </row>
    <row r="655" spans="1:32">
      <c r="A655" s="149"/>
      <c r="B655" s="82"/>
      <c r="C655" s="82"/>
      <c r="D655" s="204" t="s">
        <v>115</v>
      </c>
      <c r="E655" s="59"/>
      <c r="F655" s="59"/>
      <c r="G655" s="59"/>
      <c r="H655" s="59"/>
      <c r="I655" s="59"/>
      <c r="J655" s="59"/>
      <c r="K655" s="59"/>
      <c r="L655" s="59"/>
      <c r="M655" s="59"/>
      <c r="N655" s="205"/>
      <c r="O655" s="205"/>
      <c r="P655" s="205"/>
      <c r="Q655" s="205"/>
      <c r="R655" s="190"/>
      <c r="S655" s="190"/>
      <c r="T655" s="191"/>
      <c r="U655" s="191"/>
      <c r="W655" s="179"/>
      <c r="X655" s="92"/>
    </row>
    <row r="656" spans="1:32" ht="48.75" thickBot="1">
      <c r="A656" s="149"/>
      <c r="B656" s="211"/>
      <c r="C656" s="211"/>
      <c r="D656" s="212" t="s">
        <v>116</v>
      </c>
      <c r="E656" s="87" t="str">
        <f t="shared" ref="E656:M656" si="316">IF(((E654="")*AND(E655="")),"",(E654-E655)*4)</f>
        <v/>
      </c>
      <c r="F656" s="87" t="str">
        <f t="shared" si="316"/>
        <v/>
      </c>
      <c r="G656" s="87" t="str">
        <f t="shared" si="316"/>
        <v/>
      </c>
      <c r="H656" s="87" t="str">
        <f t="shared" si="316"/>
        <v/>
      </c>
      <c r="I656" s="87" t="str">
        <f t="shared" si="316"/>
        <v/>
      </c>
      <c r="J656" s="87" t="str">
        <f t="shared" si="316"/>
        <v/>
      </c>
      <c r="K656" s="87" t="str">
        <f t="shared" si="316"/>
        <v/>
      </c>
      <c r="L656" s="87" t="str">
        <f t="shared" si="316"/>
        <v/>
      </c>
      <c r="M656" s="87" t="str">
        <f t="shared" si="316"/>
        <v/>
      </c>
      <c r="N656" s="85"/>
      <c r="O656" s="85"/>
      <c r="P656" s="85"/>
      <c r="Q656" s="85" t="str">
        <f>IF(((Q654="")*AND(Q655="")),"",(Q654-Q655)*4)</f>
        <v/>
      </c>
      <c r="R656" s="197"/>
      <c r="S656" s="197"/>
      <c r="T656" s="198"/>
      <c r="U656" s="198"/>
      <c r="W656" s="180"/>
      <c r="X656" s="93"/>
    </row>
    <row r="657" spans="1:32">
      <c r="A657" s="149"/>
      <c r="B657" s="200" t="s">
        <v>112</v>
      </c>
      <c r="C657" s="200" t="s">
        <v>113</v>
      </c>
      <c r="D657" s="201" t="s">
        <v>114</v>
      </c>
      <c r="E657" s="59"/>
      <c r="F657" s="59"/>
      <c r="G657" s="59"/>
      <c r="H657" s="59"/>
      <c r="I657" s="59"/>
      <c r="J657" s="59"/>
      <c r="K657" s="59"/>
      <c r="L657" s="59"/>
      <c r="M657" s="59"/>
      <c r="N657" s="202"/>
      <c r="O657" s="202"/>
      <c r="P657" s="202"/>
      <c r="Q657" s="202"/>
      <c r="R657" s="188" t="str">
        <f>IF((M658=""),"",MAX(E659:M659))</f>
        <v/>
      </c>
      <c r="S657" s="188" t="str">
        <f>IF((M658=""),"",MIN(E659:M659))</f>
        <v/>
      </c>
      <c r="T657" s="189" t="str">
        <f>IF((M659=""),"",AVERAGE(E659:M659))</f>
        <v/>
      </c>
      <c r="U657" s="189" t="str">
        <f>IF((M658=""),"",(R657-S657)/(R657+S657)*100)</f>
        <v/>
      </c>
      <c r="V657" s="66" t="e">
        <f t="shared" ref="V657" si="317">STDEV(E659:Q659)</f>
        <v>#DIV/0!</v>
      </c>
      <c r="W657" s="170" t="str">
        <f>IF(M658="","",IF(U657&lt;6.3,IF(T657&gt;5550,IF(T657&lt;6900,"Pass","Fail"),"Fail"),"Fail"))</f>
        <v/>
      </c>
      <c r="X657" s="98"/>
      <c r="AA657" s="67">
        <v>5860</v>
      </c>
      <c r="AB657" s="67">
        <v>6770</v>
      </c>
      <c r="AC657" s="67">
        <v>5550</v>
      </c>
      <c r="AD657" s="67">
        <v>6900</v>
      </c>
      <c r="AE657" s="67">
        <v>20</v>
      </c>
      <c r="AF657" s="67">
        <v>6.3</v>
      </c>
    </row>
    <row r="658" spans="1:32">
      <c r="A658" s="149"/>
      <c r="B658" s="82"/>
      <c r="C658" s="82"/>
      <c r="D658" s="204" t="s">
        <v>115</v>
      </c>
      <c r="E658" s="59"/>
      <c r="F658" s="59"/>
      <c r="G658" s="59"/>
      <c r="H658" s="59"/>
      <c r="I658" s="59"/>
      <c r="J658" s="59"/>
      <c r="K658" s="59"/>
      <c r="L658" s="59"/>
      <c r="M658" s="59"/>
      <c r="N658" s="205"/>
      <c r="O658" s="205"/>
      <c r="P658" s="205"/>
      <c r="Q658" s="205"/>
      <c r="R658" s="190"/>
      <c r="S658" s="190"/>
      <c r="T658" s="191"/>
      <c r="U658" s="191"/>
      <c r="W658" s="177"/>
      <c r="X658" s="99"/>
    </row>
    <row r="659" spans="1:32" ht="48">
      <c r="A659" s="149"/>
      <c r="B659" s="207"/>
      <c r="C659" s="207"/>
      <c r="D659" s="204" t="s">
        <v>116</v>
      </c>
      <c r="E659" s="51" t="str">
        <f>IF(((E657="")*AND(E658="")),"",(E657-E658)*3)</f>
        <v/>
      </c>
      <c r="F659" s="51" t="str">
        <f t="shared" ref="F659:Q659" si="318">IF(((F657="")*AND(F658="")),"",(F657-F658)*3)</f>
        <v/>
      </c>
      <c r="G659" s="51" t="str">
        <f t="shared" si="318"/>
        <v/>
      </c>
      <c r="H659" s="51" t="str">
        <f t="shared" si="318"/>
        <v/>
      </c>
      <c r="I659" s="51" t="str">
        <f t="shared" si="318"/>
        <v/>
      </c>
      <c r="J659" s="51" t="str">
        <f t="shared" si="318"/>
        <v/>
      </c>
      <c r="K659" s="51" t="str">
        <f t="shared" si="318"/>
        <v/>
      </c>
      <c r="L659" s="51" t="str">
        <f t="shared" si="318"/>
        <v/>
      </c>
      <c r="M659" s="51" t="str">
        <f t="shared" si="318"/>
        <v/>
      </c>
      <c r="N659" s="51" t="str">
        <f t="shared" si="318"/>
        <v/>
      </c>
      <c r="O659" s="51" t="str">
        <f t="shared" si="318"/>
        <v/>
      </c>
      <c r="P659" s="51" t="str">
        <f t="shared" si="318"/>
        <v/>
      </c>
      <c r="Q659" s="51" t="str">
        <f t="shared" si="318"/>
        <v/>
      </c>
      <c r="R659" s="192"/>
      <c r="S659" s="192"/>
      <c r="T659" s="193"/>
      <c r="U659" s="193"/>
      <c r="W659" s="178"/>
      <c r="X659" s="100"/>
    </row>
    <row r="660" spans="1:32">
      <c r="A660" s="149"/>
      <c r="B660" s="81" t="s">
        <v>117</v>
      </c>
      <c r="C660" s="81" t="s">
        <v>118</v>
      </c>
      <c r="D660" s="204" t="s">
        <v>114</v>
      </c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194" t="str">
        <f>IF((Q661=""),"",MAX(E662:Q662))</f>
        <v/>
      </c>
      <c r="S660" s="194" t="str">
        <f>IF(Q661="","",MIN(E662:Q662))</f>
        <v/>
      </c>
      <c r="T660" s="195" t="str">
        <f>IF((Q662=""),"",AVERAGE(E662:Q662))</f>
        <v/>
      </c>
      <c r="U660" s="195" t="str">
        <f>IF((Q661=""),"",(R660-S660)/(R660+S660)*100)</f>
        <v/>
      </c>
      <c r="V660" s="66" t="e">
        <f t="shared" ref="V660" si="319">STDEV(E662:Q662)</f>
        <v>#DIV/0!</v>
      </c>
      <c r="W660" s="83" t="str">
        <f>IF(Q661="","",IF(T660&gt;242,IF(T660&lt;320,"Pass","Fail"),"Fail"))</f>
        <v/>
      </c>
      <c r="X660" s="101"/>
      <c r="AA660" s="67">
        <v>240</v>
      </c>
      <c r="AB660" s="67">
        <v>320</v>
      </c>
      <c r="AC660" s="67">
        <v>190</v>
      </c>
      <c r="AD660" s="67">
        <v>360</v>
      </c>
      <c r="AE660" s="67">
        <v>20</v>
      </c>
      <c r="AF660" s="67">
        <v>11</v>
      </c>
    </row>
    <row r="661" spans="1:32">
      <c r="A661" s="149"/>
      <c r="B661" s="82"/>
      <c r="C661" s="82"/>
      <c r="D661" s="204" t="s">
        <v>115</v>
      </c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190"/>
      <c r="S661" s="190"/>
      <c r="T661" s="191"/>
      <c r="U661" s="191"/>
      <c r="W661" s="177"/>
      <c r="X661" s="99"/>
    </row>
    <row r="662" spans="1:32" ht="48">
      <c r="A662" s="149"/>
      <c r="B662" s="207"/>
      <c r="C662" s="207"/>
      <c r="D662" s="204" t="s">
        <v>116</v>
      </c>
      <c r="E662" s="51" t="str">
        <f t="shared" ref="E662:Q662" si="320">IF(((E660="")*AND(E661="")),"",(E660-E661))</f>
        <v/>
      </c>
      <c r="F662" s="51" t="str">
        <f t="shared" si="320"/>
        <v/>
      </c>
      <c r="G662" s="51" t="str">
        <f t="shared" si="320"/>
        <v/>
      </c>
      <c r="H662" s="51" t="str">
        <f t="shared" si="320"/>
        <v/>
      </c>
      <c r="I662" s="51" t="str">
        <f t="shared" si="320"/>
        <v/>
      </c>
      <c r="J662" s="51" t="str">
        <f t="shared" si="320"/>
        <v/>
      </c>
      <c r="K662" s="51" t="str">
        <f t="shared" si="320"/>
        <v/>
      </c>
      <c r="L662" s="51" t="str">
        <f t="shared" si="320"/>
        <v/>
      </c>
      <c r="M662" s="51" t="str">
        <f t="shared" si="320"/>
        <v/>
      </c>
      <c r="N662" s="85" t="str">
        <f t="shared" si="320"/>
        <v/>
      </c>
      <c r="O662" s="85" t="str">
        <f t="shared" si="320"/>
        <v/>
      </c>
      <c r="P662" s="85" t="str">
        <f t="shared" si="320"/>
        <v/>
      </c>
      <c r="Q662" s="85" t="str">
        <f t="shared" si="320"/>
        <v/>
      </c>
      <c r="R662" s="192"/>
      <c r="S662" s="192"/>
      <c r="T662" s="193"/>
      <c r="U662" s="193"/>
      <c r="W662" s="178"/>
      <c r="X662" s="100"/>
    </row>
    <row r="663" spans="1:32">
      <c r="A663" s="149"/>
      <c r="B663" s="81" t="s">
        <v>119</v>
      </c>
      <c r="C663" s="81" t="s">
        <v>120</v>
      </c>
      <c r="D663" s="204" t="s">
        <v>114</v>
      </c>
      <c r="E663" s="59"/>
      <c r="F663" s="59"/>
      <c r="G663" s="59"/>
      <c r="H663" s="59"/>
      <c r="I663" s="59"/>
      <c r="J663" s="59"/>
      <c r="K663" s="59"/>
      <c r="L663" s="59"/>
      <c r="M663" s="59"/>
      <c r="N663" s="210"/>
      <c r="O663" s="210"/>
      <c r="P663" s="210"/>
      <c r="Q663" s="210"/>
      <c r="R663" s="196" t="str">
        <f>IF((M664=""),"",MAX(E665:M665))</f>
        <v/>
      </c>
      <c r="S663" s="194" t="str">
        <f>IF(M664="","",MIN(E665:M665))</f>
        <v/>
      </c>
      <c r="T663" s="195" t="str">
        <f>IF((M665=""),"",AVERAGE(E665:M665))</f>
        <v/>
      </c>
      <c r="U663" s="195" t="str">
        <f>IF((M664=""),"",(R663-S663)/(R663+S663)*100)</f>
        <v/>
      </c>
      <c r="V663" s="66" t="e">
        <f t="shared" ref="V663" si="321">STDEV(E665:Q665)</f>
        <v>#DIV/0!</v>
      </c>
      <c r="W663" s="83" t="str">
        <f>IF(M664="","",IF(T663&gt;3650,IF(T663&lt;4450,"Pass","Fail"),"Fail"))</f>
        <v/>
      </c>
      <c r="X663" s="101"/>
      <c r="AA663" s="86">
        <v>3650</v>
      </c>
      <c r="AB663" s="86">
        <v>4450</v>
      </c>
      <c r="AC663" s="86">
        <v>3700</v>
      </c>
      <c r="AD663" s="86">
        <v>4250</v>
      </c>
      <c r="AE663" s="86">
        <v>7.2</v>
      </c>
      <c r="AF663" s="86">
        <v>3</v>
      </c>
    </row>
    <row r="664" spans="1:32">
      <c r="A664" s="149"/>
      <c r="B664" s="82"/>
      <c r="C664" s="82"/>
      <c r="D664" s="204" t="s">
        <v>115</v>
      </c>
      <c r="E664" s="59"/>
      <c r="F664" s="59"/>
      <c r="G664" s="59"/>
      <c r="H664" s="59"/>
      <c r="I664" s="59"/>
      <c r="J664" s="59"/>
      <c r="K664" s="59"/>
      <c r="L664" s="59"/>
      <c r="M664" s="59"/>
      <c r="N664" s="205"/>
      <c r="O664" s="205"/>
      <c r="P664" s="205"/>
      <c r="Q664" s="205"/>
      <c r="R664" s="190"/>
      <c r="S664" s="190"/>
      <c r="T664" s="191"/>
      <c r="U664" s="191"/>
      <c r="W664" s="177"/>
      <c r="X664" s="99"/>
    </row>
    <row r="665" spans="1:32" ht="48">
      <c r="A665" s="149"/>
      <c r="B665" s="207"/>
      <c r="C665" s="207"/>
      <c r="D665" s="204" t="s">
        <v>116</v>
      </c>
      <c r="E665" s="51" t="str">
        <f t="shared" ref="E665:M665" si="322">IF(((E663="")*AND(E664="")),"",(E663-E664)*2)</f>
        <v/>
      </c>
      <c r="F665" s="51" t="str">
        <f t="shared" si="322"/>
        <v/>
      </c>
      <c r="G665" s="51" t="str">
        <f t="shared" si="322"/>
        <v/>
      </c>
      <c r="H665" s="51" t="str">
        <f t="shared" si="322"/>
        <v/>
      </c>
      <c r="I665" s="51" t="str">
        <f t="shared" si="322"/>
        <v/>
      </c>
      <c r="J665" s="51" t="str">
        <f t="shared" si="322"/>
        <v/>
      </c>
      <c r="K665" s="51" t="str">
        <f t="shared" si="322"/>
        <v/>
      </c>
      <c r="L665" s="51" t="str">
        <f t="shared" si="322"/>
        <v/>
      </c>
      <c r="M665" s="51" t="str">
        <f t="shared" si="322"/>
        <v/>
      </c>
      <c r="N665" s="51"/>
      <c r="O665" s="51"/>
      <c r="P665" s="51"/>
      <c r="Q665" s="51"/>
      <c r="R665" s="192"/>
      <c r="S665" s="192"/>
      <c r="T665" s="193"/>
      <c r="U665" s="193"/>
      <c r="W665" s="178"/>
      <c r="X665" s="100"/>
    </row>
    <row r="666" spans="1:32">
      <c r="A666" s="149"/>
      <c r="B666" s="81" t="s">
        <v>121</v>
      </c>
      <c r="C666" s="81" t="s">
        <v>121</v>
      </c>
      <c r="D666" s="204" t="s">
        <v>114</v>
      </c>
      <c r="E666" s="59"/>
      <c r="F666" s="59"/>
      <c r="G666" s="59"/>
      <c r="H666" s="59"/>
      <c r="I666" s="59"/>
      <c r="J666" s="59"/>
      <c r="K666" s="59"/>
      <c r="L666" s="59"/>
      <c r="M666" s="59"/>
      <c r="N666" s="205"/>
      <c r="O666" s="205"/>
      <c r="P666" s="205"/>
      <c r="Q666" s="205"/>
      <c r="R666" s="194" t="str">
        <f>IF((M667=""),"",MAX(E668:M668))</f>
        <v/>
      </c>
      <c r="S666" s="194" t="str">
        <f>IF((M667=""),"",MIN(E668:M668))</f>
        <v/>
      </c>
      <c r="T666" s="195" t="str">
        <f>IF((M668=""),"",AVERAGE(E668:M668))</f>
        <v/>
      </c>
      <c r="U666" s="195" t="str">
        <f>IF((M667=""),"",(R666-S666)/(R666+S666)*100)</f>
        <v/>
      </c>
      <c r="V666" s="66" t="e">
        <f t="shared" ref="V666" si="323">STDEV(E668:Q668)</f>
        <v>#DIV/0!</v>
      </c>
      <c r="W666" s="182" t="str">
        <f>IF(M667="","",IF(T666&gt;2000,IF(T666&lt;3000,"Pass","Fail"),"Fail"))</f>
        <v/>
      </c>
      <c r="X666" s="92"/>
      <c r="AA666" s="67">
        <v>2000</v>
      </c>
      <c r="AB666" s="67">
        <v>3000</v>
      </c>
      <c r="AC666" s="67">
        <v>2200</v>
      </c>
      <c r="AD666" s="67">
        <v>2900</v>
      </c>
      <c r="AE666" s="67">
        <v>7</v>
      </c>
      <c r="AF666" s="67">
        <v>5.5</v>
      </c>
    </row>
    <row r="667" spans="1:32">
      <c r="A667" s="149"/>
      <c r="B667" s="82"/>
      <c r="C667" s="82"/>
      <c r="D667" s="204" t="s">
        <v>115</v>
      </c>
      <c r="E667" s="59"/>
      <c r="F667" s="59"/>
      <c r="G667" s="59"/>
      <c r="H667" s="59"/>
      <c r="I667" s="59"/>
      <c r="J667" s="59"/>
      <c r="K667" s="59"/>
      <c r="L667" s="59"/>
      <c r="M667" s="59"/>
      <c r="N667" s="205"/>
      <c r="O667" s="205"/>
      <c r="P667" s="205"/>
      <c r="Q667" s="205"/>
      <c r="R667" s="190"/>
      <c r="S667" s="190"/>
      <c r="T667" s="191"/>
      <c r="U667" s="191"/>
      <c r="W667" s="179"/>
      <c r="X667" s="92"/>
    </row>
    <row r="668" spans="1:32" ht="48.75" thickBot="1">
      <c r="A668" s="149"/>
      <c r="B668" s="211"/>
      <c r="C668" s="211"/>
      <c r="D668" s="212" t="s">
        <v>116</v>
      </c>
      <c r="E668" s="87" t="str">
        <f t="shared" ref="E668:M668" si="324">IF(((E666="")*AND(E667="")),"",(E666-E667)*4)</f>
        <v/>
      </c>
      <c r="F668" s="87" t="str">
        <f t="shared" si="324"/>
        <v/>
      </c>
      <c r="G668" s="87" t="str">
        <f t="shared" si="324"/>
        <v/>
      </c>
      <c r="H668" s="87" t="str">
        <f t="shared" si="324"/>
        <v/>
      </c>
      <c r="I668" s="87" t="str">
        <f t="shared" si="324"/>
        <v/>
      </c>
      <c r="J668" s="87" t="str">
        <f t="shared" si="324"/>
        <v/>
      </c>
      <c r="K668" s="87" t="str">
        <f t="shared" si="324"/>
        <v/>
      </c>
      <c r="L668" s="87" t="str">
        <f t="shared" si="324"/>
        <v/>
      </c>
      <c r="M668" s="87" t="str">
        <f t="shared" si="324"/>
        <v/>
      </c>
      <c r="N668" s="85"/>
      <c r="O668" s="85"/>
      <c r="P668" s="85"/>
      <c r="Q668" s="85" t="str">
        <f>IF(((Q666="")*AND(Q667="")),"",(Q666-Q667)*4)</f>
        <v/>
      </c>
      <c r="R668" s="197"/>
      <c r="S668" s="197"/>
      <c r="T668" s="198"/>
      <c r="U668" s="198"/>
      <c r="W668" s="180"/>
      <c r="X668" s="93"/>
    </row>
  </sheetData>
  <autoFilter ref="A17:WWN560"/>
  <mergeCells count="5">
    <mergeCell ref="E8:M8"/>
    <mergeCell ref="C9:C10"/>
    <mergeCell ref="C11:C12"/>
    <mergeCell ref="C13:C14"/>
    <mergeCell ref="C15:C16"/>
  </mergeCells>
  <conditionalFormatting sqref="P489:Q490 P501:Q502 P495:Q496 P492:Q493 P498:Q499 P507:Q508 P510:Q511 P471:Q472 P483:Q484 P378:Q379 P315:Q316 P321:Q322 P327:Q328 P330:Q331 P336:Q337 P342:Q343 P348:Q349 P297:Q298 P285:Q286 K298:O298 K300:M301 K312:M313 K304:M304 J291:J292 P354:Q355 J288:J289 J201:J202 J210:J211 J204:J208 P192:Q193 J222:J223 J219:J220 J213:J217 P228:Q229 J234:J235 J231:J232 J225:J229 P240:Q241 J246:J247 J243:J244 J237:J241 P264:Q265 J270:J271 J267:J268 J261:J265 P276:Q277 J282:J283 J279:J280 J273:J277 P252:Q253 J198:J199 J195:J196 P183:Q184 J258:J259 J255:J256 J249:J253 P207:Q208 J177:J178 J189:J190 J186:J187 J180:J184 P174:Q175 J156:J157 J153:J154 J150:J151 J144:J148 J168:J169 J165:J166 J159:J163 P129:Q130 J171:J175 P162:Q163 J99:J100 J111:J112 J123:J124 J135:J136 J96:J97 J108:J109 J120:J121 J132:J133 J102:J106 J114:J118 J126:J130 J138:J142 J78:J79 J90:J91 J75:J76 J87:J88 J69:J73 J81:J85 J93:J94 J27:J28 J24:J25 J39:J40 J36:J37 J30:J34 J51:J52 J48:J49 J42:J46 J63:J64 J60:J61 J54:J58 J66:J67 P360:Q361 P366:Q367 P372:Q373 P216:Q217 P384:Q385 P402:Q403 P408:Q409 P414:Q415 P426:Q427 P432:Q433 P438:Q439 P444:Q445 P450:Q451 P456:Q457 P390:Q391 P396:Q397 P420:Q421 K420:M420 P462:Q463 J294:M294 K295:M295 J306:M306 K307:M307 K309:M310 J426:J436 J438:J448 J295:J305 P468:Q469 P477:Q478 P474:Q475 P480:Q481 P486:Q487 P303:Q304 P465:Q466 J18:J22 J285:J286 J192:J193 J307:J424 P504:Q505 P519:Q520 P522:Q523 P516:Q517 P525:Q526 P531:Q532 P534:Q535 P528:Q529 P537:Q538 P543:Q544 P546:Q547 P540:Q541 P549:Q550 P555:Q556 P558:Q559 P552:Q553 P513:Q514 J450:J519 P561:Q562 P567:Q568 P570:Q571 P564:Q565 P573:Q574 P579:Q580 P582:Q583 P576:Q577 P585:Q586 P591:Q592 P594:Q595 P588:Q589 P597:Q598 P603:Q604 P606:Q607 P600:Q601 P609:Q610 P615:Q616 P618:Q619 P612:Q613 P621:Q622 P627:Q628 P630:Q631 P624:Q625 P633:Q634 P639:Q640 P642:Q643 P636:Q637 P645:Q646 P651:Q652 P654:Q655 P648:Q649 P657:Q658 P663:Q664 P666:Q667 P660:Q661 J521:J668">
    <cfRule type="cellIs" dxfId="3" priority="169" stopIfTrue="1" operator="equal">
      <formula>"Pass"</formula>
    </cfRule>
    <cfRule type="cellIs" dxfId="2" priority="170" stopIfTrue="1" operator="equal">
      <formula>"Fail"</formula>
    </cfRule>
  </conditionalFormatting>
  <conditionalFormatting sqref="W18:W668">
    <cfRule type="cellIs" dxfId="1" priority="171" stopIfTrue="1" operator="equal">
      <formula>"Fail"</formula>
    </cfRule>
    <cfRule type="cellIs" dxfId="0" priority="17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21" sqref="G21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R37"/>
  <sheetViews>
    <sheetView topLeftCell="A14" workbookViewId="0">
      <selection activeCell="R43" sqref="R43"/>
    </sheetView>
  </sheetViews>
  <sheetFormatPr defaultRowHeight="12.75"/>
  <cols>
    <col min="1" max="1" width="8.25" style="104" customWidth="1"/>
    <col min="2" max="2" width="15.125" style="104" bestFit="1" customWidth="1"/>
    <col min="3" max="3" width="12.5" style="104" bestFit="1" customWidth="1"/>
    <col min="4" max="4" width="8.25" style="104" customWidth="1"/>
    <col min="5" max="5" width="15.125" style="104" bestFit="1" customWidth="1"/>
    <col min="6" max="9" width="8.25" style="104" customWidth="1"/>
    <col min="10" max="256" width="8.75" style="107"/>
    <col min="257" max="257" width="8.25" style="107" customWidth="1"/>
    <col min="258" max="258" width="15.125" style="107" bestFit="1" customWidth="1"/>
    <col min="259" max="259" width="12.5" style="107" bestFit="1" customWidth="1"/>
    <col min="260" max="260" width="8.25" style="107" customWidth="1"/>
    <col min="261" max="261" width="15.125" style="107" bestFit="1" customWidth="1"/>
    <col min="262" max="265" width="8.25" style="107" customWidth="1"/>
    <col min="266" max="512" width="8.75" style="107"/>
    <col min="513" max="513" width="8.25" style="107" customWidth="1"/>
    <col min="514" max="514" width="15.125" style="107" bestFit="1" customWidth="1"/>
    <col min="515" max="515" width="12.5" style="107" bestFit="1" customWidth="1"/>
    <col min="516" max="516" width="8.25" style="107" customWidth="1"/>
    <col min="517" max="517" width="15.125" style="107" bestFit="1" customWidth="1"/>
    <col min="518" max="521" width="8.25" style="107" customWidth="1"/>
    <col min="522" max="768" width="8.75" style="107"/>
    <col min="769" max="769" width="8.25" style="107" customWidth="1"/>
    <col min="770" max="770" width="15.125" style="107" bestFit="1" customWidth="1"/>
    <col min="771" max="771" width="12.5" style="107" bestFit="1" customWidth="1"/>
    <col min="772" max="772" width="8.25" style="107" customWidth="1"/>
    <col min="773" max="773" width="15.125" style="107" bestFit="1" customWidth="1"/>
    <col min="774" max="777" width="8.25" style="107" customWidth="1"/>
    <col min="778" max="1024" width="8.75" style="107"/>
    <col min="1025" max="1025" width="8.25" style="107" customWidth="1"/>
    <col min="1026" max="1026" width="15.125" style="107" bestFit="1" customWidth="1"/>
    <col min="1027" max="1027" width="12.5" style="107" bestFit="1" customWidth="1"/>
    <col min="1028" max="1028" width="8.25" style="107" customWidth="1"/>
    <col min="1029" max="1029" width="15.125" style="107" bestFit="1" customWidth="1"/>
    <col min="1030" max="1033" width="8.25" style="107" customWidth="1"/>
    <col min="1034" max="1280" width="8.75" style="107"/>
    <col min="1281" max="1281" width="8.25" style="107" customWidth="1"/>
    <col min="1282" max="1282" width="15.125" style="107" bestFit="1" customWidth="1"/>
    <col min="1283" max="1283" width="12.5" style="107" bestFit="1" customWidth="1"/>
    <col min="1284" max="1284" width="8.25" style="107" customWidth="1"/>
    <col min="1285" max="1285" width="15.125" style="107" bestFit="1" customWidth="1"/>
    <col min="1286" max="1289" width="8.25" style="107" customWidth="1"/>
    <col min="1290" max="1536" width="8.75" style="107"/>
    <col min="1537" max="1537" width="8.25" style="107" customWidth="1"/>
    <col min="1538" max="1538" width="15.125" style="107" bestFit="1" customWidth="1"/>
    <col min="1539" max="1539" width="12.5" style="107" bestFit="1" customWidth="1"/>
    <col min="1540" max="1540" width="8.25" style="107" customWidth="1"/>
    <col min="1541" max="1541" width="15.125" style="107" bestFit="1" customWidth="1"/>
    <col min="1542" max="1545" width="8.25" style="107" customWidth="1"/>
    <col min="1546" max="1792" width="8.75" style="107"/>
    <col min="1793" max="1793" width="8.25" style="107" customWidth="1"/>
    <col min="1794" max="1794" width="15.125" style="107" bestFit="1" customWidth="1"/>
    <col min="1795" max="1795" width="12.5" style="107" bestFit="1" customWidth="1"/>
    <col min="1796" max="1796" width="8.25" style="107" customWidth="1"/>
    <col min="1797" max="1797" width="15.125" style="107" bestFit="1" customWidth="1"/>
    <col min="1798" max="1801" width="8.25" style="107" customWidth="1"/>
    <col min="1802" max="2048" width="8.75" style="107"/>
    <col min="2049" max="2049" width="8.25" style="107" customWidth="1"/>
    <col min="2050" max="2050" width="15.125" style="107" bestFit="1" customWidth="1"/>
    <col min="2051" max="2051" width="12.5" style="107" bestFit="1" customWidth="1"/>
    <col min="2052" max="2052" width="8.25" style="107" customWidth="1"/>
    <col min="2053" max="2053" width="15.125" style="107" bestFit="1" customWidth="1"/>
    <col min="2054" max="2057" width="8.25" style="107" customWidth="1"/>
    <col min="2058" max="2304" width="8.75" style="107"/>
    <col min="2305" max="2305" width="8.25" style="107" customWidth="1"/>
    <col min="2306" max="2306" width="15.125" style="107" bestFit="1" customWidth="1"/>
    <col min="2307" max="2307" width="12.5" style="107" bestFit="1" customWidth="1"/>
    <col min="2308" max="2308" width="8.25" style="107" customWidth="1"/>
    <col min="2309" max="2309" width="15.125" style="107" bestFit="1" customWidth="1"/>
    <col min="2310" max="2313" width="8.25" style="107" customWidth="1"/>
    <col min="2314" max="2560" width="8.75" style="107"/>
    <col min="2561" max="2561" width="8.25" style="107" customWidth="1"/>
    <col min="2562" max="2562" width="15.125" style="107" bestFit="1" customWidth="1"/>
    <col min="2563" max="2563" width="12.5" style="107" bestFit="1" customWidth="1"/>
    <col min="2564" max="2564" width="8.25" style="107" customWidth="1"/>
    <col min="2565" max="2565" width="15.125" style="107" bestFit="1" customWidth="1"/>
    <col min="2566" max="2569" width="8.25" style="107" customWidth="1"/>
    <col min="2570" max="2816" width="8.75" style="107"/>
    <col min="2817" max="2817" width="8.25" style="107" customWidth="1"/>
    <col min="2818" max="2818" width="15.125" style="107" bestFit="1" customWidth="1"/>
    <col min="2819" max="2819" width="12.5" style="107" bestFit="1" customWidth="1"/>
    <col min="2820" max="2820" width="8.25" style="107" customWidth="1"/>
    <col min="2821" max="2821" width="15.125" style="107" bestFit="1" customWidth="1"/>
    <col min="2822" max="2825" width="8.25" style="107" customWidth="1"/>
    <col min="2826" max="3072" width="8.75" style="107"/>
    <col min="3073" max="3073" width="8.25" style="107" customWidth="1"/>
    <col min="3074" max="3074" width="15.125" style="107" bestFit="1" customWidth="1"/>
    <col min="3075" max="3075" width="12.5" style="107" bestFit="1" customWidth="1"/>
    <col min="3076" max="3076" width="8.25" style="107" customWidth="1"/>
    <col min="3077" max="3077" width="15.125" style="107" bestFit="1" customWidth="1"/>
    <col min="3078" max="3081" width="8.25" style="107" customWidth="1"/>
    <col min="3082" max="3328" width="8.75" style="107"/>
    <col min="3329" max="3329" width="8.25" style="107" customWidth="1"/>
    <col min="3330" max="3330" width="15.125" style="107" bestFit="1" customWidth="1"/>
    <col min="3331" max="3331" width="12.5" style="107" bestFit="1" customWidth="1"/>
    <col min="3332" max="3332" width="8.25" style="107" customWidth="1"/>
    <col min="3333" max="3333" width="15.125" style="107" bestFit="1" customWidth="1"/>
    <col min="3334" max="3337" width="8.25" style="107" customWidth="1"/>
    <col min="3338" max="3584" width="8.75" style="107"/>
    <col min="3585" max="3585" width="8.25" style="107" customWidth="1"/>
    <col min="3586" max="3586" width="15.125" style="107" bestFit="1" customWidth="1"/>
    <col min="3587" max="3587" width="12.5" style="107" bestFit="1" customWidth="1"/>
    <col min="3588" max="3588" width="8.25" style="107" customWidth="1"/>
    <col min="3589" max="3589" width="15.125" style="107" bestFit="1" customWidth="1"/>
    <col min="3590" max="3593" width="8.25" style="107" customWidth="1"/>
    <col min="3594" max="3840" width="8.75" style="107"/>
    <col min="3841" max="3841" width="8.25" style="107" customWidth="1"/>
    <col min="3842" max="3842" width="15.125" style="107" bestFit="1" customWidth="1"/>
    <col min="3843" max="3843" width="12.5" style="107" bestFit="1" customWidth="1"/>
    <col min="3844" max="3844" width="8.25" style="107" customWidth="1"/>
    <col min="3845" max="3845" width="15.125" style="107" bestFit="1" customWidth="1"/>
    <col min="3846" max="3849" width="8.25" style="107" customWidth="1"/>
    <col min="3850" max="4096" width="8.75" style="107"/>
    <col min="4097" max="4097" width="8.25" style="107" customWidth="1"/>
    <col min="4098" max="4098" width="15.125" style="107" bestFit="1" customWidth="1"/>
    <col min="4099" max="4099" width="12.5" style="107" bestFit="1" customWidth="1"/>
    <col min="4100" max="4100" width="8.25" style="107" customWidth="1"/>
    <col min="4101" max="4101" width="15.125" style="107" bestFit="1" customWidth="1"/>
    <col min="4102" max="4105" width="8.25" style="107" customWidth="1"/>
    <col min="4106" max="4352" width="8.75" style="107"/>
    <col min="4353" max="4353" width="8.25" style="107" customWidth="1"/>
    <col min="4354" max="4354" width="15.125" style="107" bestFit="1" customWidth="1"/>
    <col min="4355" max="4355" width="12.5" style="107" bestFit="1" customWidth="1"/>
    <col min="4356" max="4356" width="8.25" style="107" customWidth="1"/>
    <col min="4357" max="4357" width="15.125" style="107" bestFit="1" customWidth="1"/>
    <col min="4358" max="4361" width="8.25" style="107" customWidth="1"/>
    <col min="4362" max="4608" width="8.75" style="107"/>
    <col min="4609" max="4609" width="8.25" style="107" customWidth="1"/>
    <col min="4610" max="4610" width="15.125" style="107" bestFit="1" customWidth="1"/>
    <col min="4611" max="4611" width="12.5" style="107" bestFit="1" customWidth="1"/>
    <col min="4612" max="4612" width="8.25" style="107" customWidth="1"/>
    <col min="4613" max="4613" width="15.125" style="107" bestFit="1" customWidth="1"/>
    <col min="4614" max="4617" width="8.25" style="107" customWidth="1"/>
    <col min="4618" max="4864" width="8.75" style="107"/>
    <col min="4865" max="4865" width="8.25" style="107" customWidth="1"/>
    <col min="4866" max="4866" width="15.125" style="107" bestFit="1" customWidth="1"/>
    <col min="4867" max="4867" width="12.5" style="107" bestFit="1" customWidth="1"/>
    <col min="4868" max="4868" width="8.25" style="107" customWidth="1"/>
    <col min="4869" max="4869" width="15.125" style="107" bestFit="1" customWidth="1"/>
    <col min="4870" max="4873" width="8.25" style="107" customWidth="1"/>
    <col min="4874" max="5120" width="8.75" style="107"/>
    <col min="5121" max="5121" width="8.25" style="107" customWidth="1"/>
    <col min="5122" max="5122" width="15.125" style="107" bestFit="1" customWidth="1"/>
    <col min="5123" max="5123" width="12.5" style="107" bestFit="1" customWidth="1"/>
    <col min="5124" max="5124" width="8.25" style="107" customWidth="1"/>
    <col min="5125" max="5125" width="15.125" style="107" bestFit="1" customWidth="1"/>
    <col min="5126" max="5129" width="8.25" style="107" customWidth="1"/>
    <col min="5130" max="5376" width="8.75" style="107"/>
    <col min="5377" max="5377" width="8.25" style="107" customWidth="1"/>
    <col min="5378" max="5378" width="15.125" style="107" bestFit="1" customWidth="1"/>
    <col min="5379" max="5379" width="12.5" style="107" bestFit="1" customWidth="1"/>
    <col min="5380" max="5380" width="8.25" style="107" customWidth="1"/>
    <col min="5381" max="5381" width="15.125" style="107" bestFit="1" customWidth="1"/>
    <col min="5382" max="5385" width="8.25" style="107" customWidth="1"/>
    <col min="5386" max="5632" width="8.75" style="107"/>
    <col min="5633" max="5633" width="8.25" style="107" customWidth="1"/>
    <col min="5634" max="5634" width="15.125" style="107" bestFit="1" customWidth="1"/>
    <col min="5635" max="5635" width="12.5" style="107" bestFit="1" customWidth="1"/>
    <col min="5636" max="5636" width="8.25" style="107" customWidth="1"/>
    <col min="5637" max="5637" width="15.125" style="107" bestFit="1" customWidth="1"/>
    <col min="5638" max="5641" width="8.25" style="107" customWidth="1"/>
    <col min="5642" max="5888" width="8.75" style="107"/>
    <col min="5889" max="5889" width="8.25" style="107" customWidth="1"/>
    <col min="5890" max="5890" width="15.125" style="107" bestFit="1" customWidth="1"/>
    <col min="5891" max="5891" width="12.5" style="107" bestFit="1" customWidth="1"/>
    <col min="5892" max="5892" width="8.25" style="107" customWidth="1"/>
    <col min="5893" max="5893" width="15.125" style="107" bestFit="1" customWidth="1"/>
    <col min="5894" max="5897" width="8.25" style="107" customWidth="1"/>
    <col min="5898" max="6144" width="8.75" style="107"/>
    <col min="6145" max="6145" width="8.25" style="107" customWidth="1"/>
    <col min="6146" max="6146" width="15.125" style="107" bestFit="1" customWidth="1"/>
    <col min="6147" max="6147" width="12.5" style="107" bestFit="1" customWidth="1"/>
    <col min="6148" max="6148" width="8.25" style="107" customWidth="1"/>
    <col min="6149" max="6149" width="15.125" style="107" bestFit="1" customWidth="1"/>
    <col min="6150" max="6153" width="8.25" style="107" customWidth="1"/>
    <col min="6154" max="6400" width="8.75" style="107"/>
    <col min="6401" max="6401" width="8.25" style="107" customWidth="1"/>
    <col min="6402" max="6402" width="15.125" style="107" bestFit="1" customWidth="1"/>
    <col min="6403" max="6403" width="12.5" style="107" bestFit="1" customWidth="1"/>
    <col min="6404" max="6404" width="8.25" style="107" customWidth="1"/>
    <col min="6405" max="6405" width="15.125" style="107" bestFit="1" customWidth="1"/>
    <col min="6406" max="6409" width="8.25" style="107" customWidth="1"/>
    <col min="6410" max="6656" width="8.75" style="107"/>
    <col min="6657" max="6657" width="8.25" style="107" customWidth="1"/>
    <col min="6658" max="6658" width="15.125" style="107" bestFit="1" customWidth="1"/>
    <col min="6659" max="6659" width="12.5" style="107" bestFit="1" customWidth="1"/>
    <col min="6660" max="6660" width="8.25" style="107" customWidth="1"/>
    <col min="6661" max="6661" width="15.125" style="107" bestFit="1" customWidth="1"/>
    <col min="6662" max="6665" width="8.25" style="107" customWidth="1"/>
    <col min="6666" max="6912" width="8.75" style="107"/>
    <col min="6913" max="6913" width="8.25" style="107" customWidth="1"/>
    <col min="6914" max="6914" width="15.125" style="107" bestFit="1" customWidth="1"/>
    <col min="6915" max="6915" width="12.5" style="107" bestFit="1" customWidth="1"/>
    <col min="6916" max="6916" width="8.25" style="107" customWidth="1"/>
    <col min="6917" max="6917" width="15.125" style="107" bestFit="1" customWidth="1"/>
    <col min="6918" max="6921" width="8.25" style="107" customWidth="1"/>
    <col min="6922" max="7168" width="8.75" style="107"/>
    <col min="7169" max="7169" width="8.25" style="107" customWidth="1"/>
    <col min="7170" max="7170" width="15.125" style="107" bestFit="1" customWidth="1"/>
    <col min="7171" max="7171" width="12.5" style="107" bestFit="1" customWidth="1"/>
    <col min="7172" max="7172" width="8.25" style="107" customWidth="1"/>
    <col min="7173" max="7173" width="15.125" style="107" bestFit="1" customWidth="1"/>
    <col min="7174" max="7177" width="8.25" style="107" customWidth="1"/>
    <col min="7178" max="7424" width="8.75" style="107"/>
    <col min="7425" max="7425" width="8.25" style="107" customWidth="1"/>
    <col min="7426" max="7426" width="15.125" style="107" bestFit="1" customWidth="1"/>
    <col min="7427" max="7427" width="12.5" style="107" bestFit="1" customWidth="1"/>
    <col min="7428" max="7428" width="8.25" style="107" customWidth="1"/>
    <col min="7429" max="7429" width="15.125" style="107" bestFit="1" customWidth="1"/>
    <col min="7430" max="7433" width="8.25" style="107" customWidth="1"/>
    <col min="7434" max="7680" width="8.75" style="107"/>
    <col min="7681" max="7681" width="8.25" style="107" customWidth="1"/>
    <col min="7682" max="7682" width="15.125" style="107" bestFit="1" customWidth="1"/>
    <col min="7683" max="7683" width="12.5" style="107" bestFit="1" customWidth="1"/>
    <col min="7684" max="7684" width="8.25" style="107" customWidth="1"/>
    <col min="7685" max="7685" width="15.125" style="107" bestFit="1" customWidth="1"/>
    <col min="7686" max="7689" width="8.25" style="107" customWidth="1"/>
    <col min="7690" max="7936" width="8.75" style="107"/>
    <col min="7937" max="7937" width="8.25" style="107" customWidth="1"/>
    <col min="7938" max="7938" width="15.125" style="107" bestFit="1" customWidth="1"/>
    <col min="7939" max="7939" width="12.5" style="107" bestFit="1" customWidth="1"/>
    <col min="7940" max="7940" width="8.25" style="107" customWidth="1"/>
    <col min="7941" max="7941" width="15.125" style="107" bestFit="1" customWidth="1"/>
    <col min="7942" max="7945" width="8.25" style="107" customWidth="1"/>
    <col min="7946" max="8192" width="8.75" style="107"/>
    <col min="8193" max="8193" width="8.25" style="107" customWidth="1"/>
    <col min="8194" max="8194" width="15.125" style="107" bestFit="1" customWidth="1"/>
    <col min="8195" max="8195" width="12.5" style="107" bestFit="1" customWidth="1"/>
    <col min="8196" max="8196" width="8.25" style="107" customWidth="1"/>
    <col min="8197" max="8197" width="15.125" style="107" bestFit="1" customWidth="1"/>
    <col min="8198" max="8201" width="8.25" style="107" customWidth="1"/>
    <col min="8202" max="8448" width="8.75" style="107"/>
    <col min="8449" max="8449" width="8.25" style="107" customWidth="1"/>
    <col min="8450" max="8450" width="15.125" style="107" bestFit="1" customWidth="1"/>
    <col min="8451" max="8451" width="12.5" style="107" bestFit="1" customWidth="1"/>
    <col min="8452" max="8452" width="8.25" style="107" customWidth="1"/>
    <col min="8453" max="8453" width="15.125" style="107" bestFit="1" customWidth="1"/>
    <col min="8454" max="8457" width="8.25" style="107" customWidth="1"/>
    <col min="8458" max="8704" width="8.75" style="107"/>
    <col min="8705" max="8705" width="8.25" style="107" customWidth="1"/>
    <col min="8706" max="8706" width="15.125" style="107" bestFit="1" customWidth="1"/>
    <col min="8707" max="8707" width="12.5" style="107" bestFit="1" customWidth="1"/>
    <col min="8708" max="8708" width="8.25" style="107" customWidth="1"/>
    <col min="8709" max="8709" width="15.125" style="107" bestFit="1" customWidth="1"/>
    <col min="8710" max="8713" width="8.25" style="107" customWidth="1"/>
    <col min="8714" max="8960" width="8.75" style="107"/>
    <col min="8961" max="8961" width="8.25" style="107" customWidth="1"/>
    <col min="8962" max="8962" width="15.125" style="107" bestFit="1" customWidth="1"/>
    <col min="8963" max="8963" width="12.5" style="107" bestFit="1" customWidth="1"/>
    <col min="8964" max="8964" width="8.25" style="107" customWidth="1"/>
    <col min="8965" max="8965" width="15.125" style="107" bestFit="1" customWidth="1"/>
    <col min="8966" max="8969" width="8.25" style="107" customWidth="1"/>
    <col min="8970" max="9216" width="8.75" style="107"/>
    <col min="9217" max="9217" width="8.25" style="107" customWidth="1"/>
    <col min="9218" max="9218" width="15.125" style="107" bestFit="1" customWidth="1"/>
    <col min="9219" max="9219" width="12.5" style="107" bestFit="1" customWidth="1"/>
    <col min="9220" max="9220" width="8.25" style="107" customWidth="1"/>
    <col min="9221" max="9221" width="15.125" style="107" bestFit="1" customWidth="1"/>
    <col min="9222" max="9225" width="8.25" style="107" customWidth="1"/>
    <col min="9226" max="9472" width="8.75" style="107"/>
    <col min="9473" max="9473" width="8.25" style="107" customWidth="1"/>
    <col min="9474" max="9474" width="15.125" style="107" bestFit="1" customWidth="1"/>
    <col min="9475" max="9475" width="12.5" style="107" bestFit="1" customWidth="1"/>
    <col min="9476" max="9476" width="8.25" style="107" customWidth="1"/>
    <col min="9477" max="9477" width="15.125" style="107" bestFit="1" customWidth="1"/>
    <col min="9478" max="9481" width="8.25" style="107" customWidth="1"/>
    <col min="9482" max="9728" width="8.75" style="107"/>
    <col min="9729" max="9729" width="8.25" style="107" customWidth="1"/>
    <col min="9730" max="9730" width="15.125" style="107" bestFit="1" customWidth="1"/>
    <col min="9731" max="9731" width="12.5" style="107" bestFit="1" customWidth="1"/>
    <col min="9732" max="9732" width="8.25" style="107" customWidth="1"/>
    <col min="9733" max="9733" width="15.125" style="107" bestFit="1" customWidth="1"/>
    <col min="9734" max="9737" width="8.25" style="107" customWidth="1"/>
    <col min="9738" max="9984" width="8.75" style="107"/>
    <col min="9985" max="9985" width="8.25" style="107" customWidth="1"/>
    <col min="9986" max="9986" width="15.125" style="107" bestFit="1" customWidth="1"/>
    <col min="9987" max="9987" width="12.5" style="107" bestFit="1" customWidth="1"/>
    <col min="9988" max="9988" width="8.25" style="107" customWidth="1"/>
    <col min="9989" max="9989" width="15.125" style="107" bestFit="1" customWidth="1"/>
    <col min="9990" max="9993" width="8.25" style="107" customWidth="1"/>
    <col min="9994" max="10240" width="8.75" style="107"/>
    <col min="10241" max="10241" width="8.25" style="107" customWidth="1"/>
    <col min="10242" max="10242" width="15.125" style="107" bestFit="1" customWidth="1"/>
    <col min="10243" max="10243" width="12.5" style="107" bestFit="1" customWidth="1"/>
    <col min="10244" max="10244" width="8.25" style="107" customWidth="1"/>
    <col min="10245" max="10245" width="15.125" style="107" bestFit="1" customWidth="1"/>
    <col min="10246" max="10249" width="8.25" style="107" customWidth="1"/>
    <col min="10250" max="10496" width="8.75" style="107"/>
    <col min="10497" max="10497" width="8.25" style="107" customWidth="1"/>
    <col min="10498" max="10498" width="15.125" style="107" bestFit="1" customWidth="1"/>
    <col min="10499" max="10499" width="12.5" style="107" bestFit="1" customWidth="1"/>
    <col min="10500" max="10500" width="8.25" style="107" customWidth="1"/>
    <col min="10501" max="10501" width="15.125" style="107" bestFit="1" customWidth="1"/>
    <col min="10502" max="10505" width="8.25" style="107" customWidth="1"/>
    <col min="10506" max="10752" width="8.75" style="107"/>
    <col min="10753" max="10753" width="8.25" style="107" customWidth="1"/>
    <col min="10754" max="10754" width="15.125" style="107" bestFit="1" customWidth="1"/>
    <col min="10755" max="10755" width="12.5" style="107" bestFit="1" customWidth="1"/>
    <col min="10756" max="10756" width="8.25" style="107" customWidth="1"/>
    <col min="10757" max="10757" width="15.125" style="107" bestFit="1" customWidth="1"/>
    <col min="10758" max="10761" width="8.25" style="107" customWidth="1"/>
    <col min="10762" max="11008" width="8.75" style="107"/>
    <col min="11009" max="11009" width="8.25" style="107" customWidth="1"/>
    <col min="11010" max="11010" width="15.125" style="107" bestFit="1" customWidth="1"/>
    <col min="11011" max="11011" width="12.5" style="107" bestFit="1" customWidth="1"/>
    <col min="11012" max="11012" width="8.25" style="107" customWidth="1"/>
    <col min="11013" max="11013" width="15.125" style="107" bestFit="1" customWidth="1"/>
    <col min="11014" max="11017" width="8.25" style="107" customWidth="1"/>
    <col min="11018" max="11264" width="8.75" style="107"/>
    <col min="11265" max="11265" width="8.25" style="107" customWidth="1"/>
    <col min="11266" max="11266" width="15.125" style="107" bestFit="1" customWidth="1"/>
    <col min="11267" max="11267" width="12.5" style="107" bestFit="1" customWidth="1"/>
    <col min="11268" max="11268" width="8.25" style="107" customWidth="1"/>
    <col min="11269" max="11269" width="15.125" style="107" bestFit="1" customWidth="1"/>
    <col min="11270" max="11273" width="8.25" style="107" customWidth="1"/>
    <col min="11274" max="11520" width="8.75" style="107"/>
    <col min="11521" max="11521" width="8.25" style="107" customWidth="1"/>
    <col min="11522" max="11522" width="15.125" style="107" bestFit="1" customWidth="1"/>
    <col min="11523" max="11523" width="12.5" style="107" bestFit="1" customWidth="1"/>
    <col min="11524" max="11524" width="8.25" style="107" customWidth="1"/>
    <col min="11525" max="11525" width="15.125" style="107" bestFit="1" customWidth="1"/>
    <col min="11526" max="11529" width="8.25" style="107" customWidth="1"/>
    <col min="11530" max="11776" width="8.75" style="107"/>
    <col min="11777" max="11777" width="8.25" style="107" customWidth="1"/>
    <col min="11778" max="11778" width="15.125" style="107" bestFit="1" customWidth="1"/>
    <col min="11779" max="11779" width="12.5" style="107" bestFit="1" customWidth="1"/>
    <col min="11780" max="11780" width="8.25" style="107" customWidth="1"/>
    <col min="11781" max="11781" width="15.125" style="107" bestFit="1" customWidth="1"/>
    <col min="11782" max="11785" width="8.25" style="107" customWidth="1"/>
    <col min="11786" max="12032" width="8.75" style="107"/>
    <col min="12033" max="12033" width="8.25" style="107" customWidth="1"/>
    <col min="12034" max="12034" width="15.125" style="107" bestFit="1" customWidth="1"/>
    <col min="12035" max="12035" width="12.5" style="107" bestFit="1" customWidth="1"/>
    <col min="12036" max="12036" width="8.25" style="107" customWidth="1"/>
    <col min="12037" max="12037" width="15.125" style="107" bestFit="1" customWidth="1"/>
    <col min="12038" max="12041" width="8.25" style="107" customWidth="1"/>
    <col min="12042" max="12288" width="8.75" style="107"/>
    <col min="12289" max="12289" width="8.25" style="107" customWidth="1"/>
    <col min="12290" max="12290" width="15.125" style="107" bestFit="1" customWidth="1"/>
    <col min="12291" max="12291" width="12.5" style="107" bestFit="1" customWidth="1"/>
    <col min="12292" max="12292" width="8.25" style="107" customWidth="1"/>
    <col min="12293" max="12293" width="15.125" style="107" bestFit="1" customWidth="1"/>
    <col min="12294" max="12297" width="8.25" style="107" customWidth="1"/>
    <col min="12298" max="12544" width="8.75" style="107"/>
    <col min="12545" max="12545" width="8.25" style="107" customWidth="1"/>
    <col min="12546" max="12546" width="15.125" style="107" bestFit="1" customWidth="1"/>
    <col min="12547" max="12547" width="12.5" style="107" bestFit="1" customWidth="1"/>
    <col min="12548" max="12548" width="8.25" style="107" customWidth="1"/>
    <col min="12549" max="12549" width="15.125" style="107" bestFit="1" customWidth="1"/>
    <col min="12550" max="12553" width="8.25" style="107" customWidth="1"/>
    <col min="12554" max="12800" width="8.75" style="107"/>
    <col min="12801" max="12801" width="8.25" style="107" customWidth="1"/>
    <col min="12802" max="12802" width="15.125" style="107" bestFit="1" customWidth="1"/>
    <col min="12803" max="12803" width="12.5" style="107" bestFit="1" customWidth="1"/>
    <col min="12804" max="12804" width="8.25" style="107" customWidth="1"/>
    <col min="12805" max="12805" width="15.125" style="107" bestFit="1" customWidth="1"/>
    <col min="12806" max="12809" width="8.25" style="107" customWidth="1"/>
    <col min="12810" max="13056" width="8.75" style="107"/>
    <col min="13057" max="13057" width="8.25" style="107" customWidth="1"/>
    <col min="13058" max="13058" width="15.125" style="107" bestFit="1" customWidth="1"/>
    <col min="13059" max="13059" width="12.5" style="107" bestFit="1" customWidth="1"/>
    <col min="13060" max="13060" width="8.25" style="107" customWidth="1"/>
    <col min="13061" max="13061" width="15.125" style="107" bestFit="1" customWidth="1"/>
    <col min="13062" max="13065" width="8.25" style="107" customWidth="1"/>
    <col min="13066" max="13312" width="8.75" style="107"/>
    <col min="13313" max="13313" width="8.25" style="107" customWidth="1"/>
    <col min="13314" max="13314" width="15.125" style="107" bestFit="1" customWidth="1"/>
    <col min="13315" max="13315" width="12.5" style="107" bestFit="1" customWidth="1"/>
    <col min="13316" max="13316" width="8.25" style="107" customWidth="1"/>
    <col min="13317" max="13317" width="15.125" style="107" bestFit="1" customWidth="1"/>
    <col min="13318" max="13321" width="8.25" style="107" customWidth="1"/>
    <col min="13322" max="13568" width="8.75" style="107"/>
    <col min="13569" max="13569" width="8.25" style="107" customWidth="1"/>
    <col min="13570" max="13570" width="15.125" style="107" bestFit="1" customWidth="1"/>
    <col min="13571" max="13571" width="12.5" style="107" bestFit="1" customWidth="1"/>
    <col min="13572" max="13572" width="8.25" style="107" customWidth="1"/>
    <col min="13573" max="13573" width="15.125" style="107" bestFit="1" customWidth="1"/>
    <col min="13574" max="13577" width="8.25" style="107" customWidth="1"/>
    <col min="13578" max="13824" width="8.75" style="107"/>
    <col min="13825" max="13825" width="8.25" style="107" customWidth="1"/>
    <col min="13826" max="13826" width="15.125" style="107" bestFit="1" customWidth="1"/>
    <col min="13827" max="13827" width="12.5" style="107" bestFit="1" customWidth="1"/>
    <col min="13828" max="13828" width="8.25" style="107" customWidth="1"/>
    <col min="13829" max="13829" width="15.125" style="107" bestFit="1" customWidth="1"/>
    <col min="13830" max="13833" width="8.25" style="107" customWidth="1"/>
    <col min="13834" max="14080" width="8.75" style="107"/>
    <col min="14081" max="14081" width="8.25" style="107" customWidth="1"/>
    <col min="14082" max="14082" width="15.125" style="107" bestFit="1" customWidth="1"/>
    <col min="14083" max="14083" width="12.5" style="107" bestFit="1" customWidth="1"/>
    <col min="14084" max="14084" width="8.25" style="107" customWidth="1"/>
    <col min="14085" max="14085" width="15.125" style="107" bestFit="1" customWidth="1"/>
    <col min="14086" max="14089" width="8.25" style="107" customWidth="1"/>
    <col min="14090" max="14336" width="8.75" style="107"/>
    <col min="14337" max="14337" width="8.25" style="107" customWidth="1"/>
    <col min="14338" max="14338" width="15.125" style="107" bestFit="1" customWidth="1"/>
    <col min="14339" max="14339" width="12.5" style="107" bestFit="1" customWidth="1"/>
    <col min="14340" max="14340" width="8.25" style="107" customWidth="1"/>
    <col min="14341" max="14341" width="15.125" style="107" bestFit="1" customWidth="1"/>
    <col min="14342" max="14345" width="8.25" style="107" customWidth="1"/>
    <col min="14346" max="14592" width="8.75" style="107"/>
    <col min="14593" max="14593" width="8.25" style="107" customWidth="1"/>
    <col min="14594" max="14594" width="15.125" style="107" bestFit="1" customWidth="1"/>
    <col min="14595" max="14595" width="12.5" style="107" bestFit="1" customWidth="1"/>
    <col min="14596" max="14596" width="8.25" style="107" customWidth="1"/>
    <col min="14597" max="14597" width="15.125" style="107" bestFit="1" customWidth="1"/>
    <col min="14598" max="14601" width="8.25" style="107" customWidth="1"/>
    <col min="14602" max="14848" width="8.75" style="107"/>
    <col min="14849" max="14849" width="8.25" style="107" customWidth="1"/>
    <col min="14850" max="14850" width="15.125" style="107" bestFit="1" customWidth="1"/>
    <col min="14851" max="14851" width="12.5" style="107" bestFit="1" customWidth="1"/>
    <col min="14852" max="14852" width="8.25" style="107" customWidth="1"/>
    <col min="14853" max="14853" width="15.125" style="107" bestFit="1" customWidth="1"/>
    <col min="14854" max="14857" width="8.25" style="107" customWidth="1"/>
    <col min="14858" max="15104" width="8.75" style="107"/>
    <col min="15105" max="15105" width="8.25" style="107" customWidth="1"/>
    <col min="15106" max="15106" width="15.125" style="107" bestFit="1" customWidth="1"/>
    <col min="15107" max="15107" width="12.5" style="107" bestFit="1" customWidth="1"/>
    <col min="15108" max="15108" width="8.25" style="107" customWidth="1"/>
    <col min="15109" max="15109" width="15.125" style="107" bestFit="1" customWidth="1"/>
    <col min="15110" max="15113" width="8.25" style="107" customWidth="1"/>
    <col min="15114" max="15360" width="8.75" style="107"/>
    <col min="15361" max="15361" width="8.25" style="107" customWidth="1"/>
    <col min="15362" max="15362" width="15.125" style="107" bestFit="1" customWidth="1"/>
    <col min="15363" max="15363" width="12.5" style="107" bestFit="1" customWidth="1"/>
    <col min="15364" max="15364" width="8.25" style="107" customWidth="1"/>
    <col min="15365" max="15365" width="15.125" style="107" bestFit="1" customWidth="1"/>
    <col min="15366" max="15369" width="8.25" style="107" customWidth="1"/>
    <col min="15370" max="15616" width="8.75" style="107"/>
    <col min="15617" max="15617" width="8.25" style="107" customWidth="1"/>
    <col min="15618" max="15618" width="15.125" style="107" bestFit="1" customWidth="1"/>
    <col min="15619" max="15619" width="12.5" style="107" bestFit="1" customWidth="1"/>
    <col min="15620" max="15620" width="8.25" style="107" customWidth="1"/>
    <col min="15621" max="15621" width="15.125" style="107" bestFit="1" customWidth="1"/>
    <col min="15622" max="15625" width="8.25" style="107" customWidth="1"/>
    <col min="15626" max="15872" width="8.75" style="107"/>
    <col min="15873" max="15873" width="8.25" style="107" customWidth="1"/>
    <col min="15874" max="15874" width="15.125" style="107" bestFit="1" customWidth="1"/>
    <col min="15875" max="15875" width="12.5" style="107" bestFit="1" customWidth="1"/>
    <col min="15876" max="15876" width="8.25" style="107" customWidth="1"/>
    <col min="15877" max="15877" width="15.125" style="107" bestFit="1" customWidth="1"/>
    <col min="15878" max="15881" width="8.25" style="107" customWidth="1"/>
    <col min="15882" max="16128" width="8.75" style="107"/>
    <col min="16129" max="16129" width="8.25" style="107" customWidth="1"/>
    <col min="16130" max="16130" width="15.125" style="107" bestFit="1" customWidth="1"/>
    <col min="16131" max="16131" width="12.5" style="107" bestFit="1" customWidth="1"/>
    <col min="16132" max="16132" width="8.25" style="107" customWidth="1"/>
    <col min="16133" max="16133" width="15.125" style="107" bestFit="1" customWidth="1"/>
    <col min="16134" max="16137" width="8.25" style="107" customWidth="1"/>
    <col min="16138" max="16384" width="8.75" style="107"/>
  </cols>
  <sheetData>
    <row r="1" spans="2:18" ht="13.5" thickBot="1">
      <c r="B1" s="104" t="s">
        <v>138</v>
      </c>
      <c r="C1" s="104" t="s">
        <v>139</v>
      </c>
      <c r="E1" s="105" t="s">
        <v>140</v>
      </c>
      <c r="I1" s="105" t="s">
        <v>141</v>
      </c>
      <c r="J1" s="106" t="s">
        <v>142</v>
      </c>
      <c r="L1" s="107" t="s">
        <v>143</v>
      </c>
    </row>
    <row r="2" spans="2:18" ht="13.5" thickBot="1">
      <c r="B2" s="108">
        <v>2555.0355555555557</v>
      </c>
      <c r="C2" s="108">
        <v>3.4138438651286442</v>
      </c>
      <c r="E2" s="109">
        <v>6325.557777777778</v>
      </c>
      <c r="F2" s="109">
        <v>4.899741753078021</v>
      </c>
      <c r="I2" s="108">
        <v>268.1438461538462</v>
      </c>
      <c r="J2" s="108">
        <v>3.4982041304999019</v>
      </c>
      <c r="K2" s="104"/>
      <c r="L2" s="107">
        <v>4270.213333333334</v>
      </c>
      <c r="M2" s="107">
        <v>4.518536203998873</v>
      </c>
      <c r="P2" s="110">
        <v>3.7292898489896649</v>
      </c>
      <c r="Q2" s="107">
        <v>4270.213333333334</v>
      </c>
      <c r="R2" s="107">
        <v>4.518536203998873</v>
      </c>
    </row>
    <row r="3" spans="2:18">
      <c r="B3" s="108">
        <v>2565.8844444444444</v>
      </c>
      <c r="C3" s="108">
        <v>3.1502548800198897</v>
      </c>
      <c r="E3" s="109">
        <v>6354.3199999999988</v>
      </c>
      <c r="F3" s="109">
        <v>4.9216580004466675</v>
      </c>
      <c r="I3" s="108">
        <v>270.12846153846158</v>
      </c>
      <c r="J3" s="108">
        <v>3.701514591798948</v>
      </c>
      <c r="K3" s="104"/>
      <c r="L3" s="107">
        <v>4273.3066666666664</v>
      </c>
      <c r="M3" s="107">
        <v>4.4646927992334913</v>
      </c>
      <c r="P3" s="110">
        <v>169.48388330456498</v>
      </c>
      <c r="Q3" s="107">
        <v>4273.3066666666664</v>
      </c>
      <c r="R3" s="107">
        <v>4.4646927992334913</v>
      </c>
    </row>
    <row r="4" spans="2:18" ht="13.5" thickBot="1">
      <c r="B4" s="108">
        <v>2559.315555555555</v>
      </c>
      <c r="C4" s="108">
        <v>1.8585155292593212</v>
      </c>
      <c r="E4" s="111">
        <v>6209.4200000000019</v>
      </c>
      <c r="F4" s="111">
        <v>4.8300156834358861</v>
      </c>
      <c r="I4" s="108">
        <v>259.95230769230767</v>
      </c>
      <c r="J4" s="108">
        <v>3.8896733138624273</v>
      </c>
      <c r="K4" s="104"/>
      <c r="L4" s="107">
        <v>4400.1044444444451</v>
      </c>
      <c r="M4" s="107">
        <v>5.7217436115748033</v>
      </c>
      <c r="P4" s="110">
        <v>79.537495839664771</v>
      </c>
      <c r="Q4" s="107">
        <v>4400.1044444444451</v>
      </c>
      <c r="R4" s="107">
        <v>5.7217436115748033</v>
      </c>
    </row>
    <row r="5" spans="2:18" ht="13.5" thickBot="1">
      <c r="B5" s="108">
        <v>2900.1644444444446</v>
      </c>
      <c r="C5" s="108">
        <v>4.6698297822668682</v>
      </c>
      <c r="E5" s="109">
        <v>6252.4955555555553</v>
      </c>
      <c r="F5" s="109">
        <v>4.9323278917246336</v>
      </c>
      <c r="I5" s="108">
        <v>343.98769230769244</v>
      </c>
      <c r="J5" s="108">
        <v>6.4703937438005443</v>
      </c>
      <c r="K5" s="104"/>
      <c r="L5" s="107">
        <v>4422.6822222222218</v>
      </c>
      <c r="M5" s="107">
        <v>5.572863973700132</v>
      </c>
      <c r="P5" s="110">
        <v>217.5889877983185</v>
      </c>
      <c r="Q5" s="107">
        <v>4422.6822222222218</v>
      </c>
      <c r="R5" s="107">
        <v>5.572863973700132</v>
      </c>
    </row>
    <row r="6" spans="2:18" ht="13.5" thickBot="1">
      <c r="B6" s="108">
        <v>2621.008888888889</v>
      </c>
      <c r="C6" s="108">
        <v>3.6478313592995781</v>
      </c>
      <c r="E6" s="109">
        <v>6296.8844444444439</v>
      </c>
      <c r="F6" s="109">
        <v>4.9559135549937166</v>
      </c>
      <c r="I6" s="108">
        <v>264.01461538461535</v>
      </c>
      <c r="J6" s="108">
        <v>4.9317219849461944</v>
      </c>
      <c r="K6" s="104"/>
      <c r="L6" s="107">
        <v>4232.8444444444431</v>
      </c>
      <c r="M6" s="107">
        <v>5.6970703179651672</v>
      </c>
      <c r="P6" s="110">
        <v>13.995644064414142</v>
      </c>
      <c r="Q6" s="107">
        <v>4232.8444444444431</v>
      </c>
      <c r="R6" s="107">
        <v>5.6970703179651672</v>
      </c>
    </row>
    <row r="7" spans="2:18" ht="13.5" thickBot="1">
      <c r="B7" s="108">
        <v>2603.9466666666667</v>
      </c>
      <c r="C7" s="108">
        <v>2.9135531637759651</v>
      </c>
      <c r="E7" s="109">
        <v>6240.3577777777773</v>
      </c>
      <c r="F7" s="109">
        <v>4.8340813066487662</v>
      </c>
      <c r="I7" s="108">
        <v>277.49000000000007</v>
      </c>
      <c r="J7" s="108">
        <v>4.5482067172418645</v>
      </c>
      <c r="K7" s="104"/>
      <c r="L7" s="107">
        <v>4304.3577777777782</v>
      </c>
      <c r="M7" s="107">
        <v>6.1455243731747711</v>
      </c>
      <c r="P7" s="110">
        <v>194.04947461925551</v>
      </c>
      <c r="Q7" s="107">
        <v>4304.3577777777782</v>
      </c>
      <c r="R7" s="107">
        <v>6.1455243731747711</v>
      </c>
    </row>
    <row r="8" spans="2:18" ht="13.5" thickBot="1">
      <c r="B8" s="108">
        <v>2723.1600000000003</v>
      </c>
      <c r="C8" s="108">
        <v>2.7934848062038413</v>
      </c>
      <c r="E8" s="109">
        <v>6250.1222222222223</v>
      </c>
      <c r="F8" s="109">
        <v>4.9256882580101147</v>
      </c>
      <c r="I8" s="108">
        <v>331.0215384615384</v>
      </c>
      <c r="J8" s="108">
        <v>2.9427387655370736</v>
      </c>
      <c r="K8" s="104"/>
      <c r="L8" s="107">
        <v>4248.9644444444439</v>
      </c>
      <c r="M8" s="107">
        <v>5.9095602090847157</v>
      </c>
      <c r="P8" s="110">
        <v>37.32489130741898</v>
      </c>
      <c r="Q8" s="107">
        <v>4248.9644444444439</v>
      </c>
      <c r="R8" s="107">
        <v>5.9095602090847157</v>
      </c>
    </row>
    <row r="9" spans="2:18" ht="13.5" thickBot="1">
      <c r="B9" s="108">
        <v>2742.1200000000003</v>
      </c>
      <c r="C9" s="108">
        <v>2.6309648815774067</v>
      </c>
      <c r="E9" s="109"/>
      <c r="F9" s="109" t="s">
        <v>144</v>
      </c>
      <c r="I9" s="108">
        <v>256.9861538461538</v>
      </c>
      <c r="J9" s="108">
        <v>5.4219115134615254</v>
      </c>
      <c r="K9" s="104"/>
      <c r="L9" s="107">
        <v>1278.2422222222222</v>
      </c>
      <c r="M9" s="107">
        <v>3.7961477975180227</v>
      </c>
      <c r="P9" s="110">
        <v>205.75380099768262</v>
      </c>
      <c r="Q9" s="107">
        <v>1278.2422222222222</v>
      </c>
      <c r="R9" s="107">
        <v>3.7961477975180227</v>
      </c>
    </row>
    <row r="10" spans="2:18" ht="13.5" thickBot="1">
      <c r="B10" s="108">
        <v>2622.6488888888894</v>
      </c>
      <c r="C10" s="108">
        <v>3.5520305433720507</v>
      </c>
      <c r="E10" s="109">
        <v>6260.9000000000005</v>
      </c>
      <c r="F10" s="109">
        <v>4.9124944970108331</v>
      </c>
      <c r="I10" s="108">
        <v>266.95923076923071</v>
      </c>
      <c r="J10" s="108">
        <v>3.998185220892577</v>
      </c>
      <c r="K10" s="104"/>
      <c r="L10" s="107">
        <v>4314.1111111111113</v>
      </c>
      <c r="M10" s="107">
        <v>4.9857648453974512</v>
      </c>
      <c r="P10" s="110">
        <v>25.742054113843018</v>
      </c>
      <c r="Q10" s="107">
        <v>4314.1111111111113</v>
      </c>
      <c r="R10" s="107">
        <v>4.9857648453974512</v>
      </c>
    </row>
    <row r="11" spans="2:18" ht="13.5" thickBot="1">
      <c r="B11" s="108">
        <v>2702.9022222222225</v>
      </c>
      <c r="C11" s="108">
        <v>4.0565389813235315</v>
      </c>
      <c r="E11" s="109">
        <v>6275.0755555555552</v>
      </c>
      <c r="F11" s="109">
        <v>4.8744950630155088</v>
      </c>
      <c r="I11" s="108">
        <v>315.63307692307694</v>
      </c>
      <c r="J11" s="108">
        <v>6.5040394831976602</v>
      </c>
      <c r="K11" s="104"/>
      <c r="L11" s="107">
        <v>4218.9666666666681</v>
      </c>
      <c r="M11" s="107">
        <v>5.3907456776339355</v>
      </c>
      <c r="P11" s="110">
        <v>171.67925979700939</v>
      </c>
      <c r="Q11" s="107">
        <v>4218.9666666666681</v>
      </c>
      <c r="R11" s="107">
        <v>5.3907456776339355</v>
      </c>
    </row>
    <row r="12" spans="2:18" ht="13.5" thickBot="1">
      <c r="B12" s="108">
        <v>2430.6177777777775</v>
      </c>
      <c r="C12" s="108">
        <v>1.8833475886571562</v>
      </c>
      <c r="E12" s="109">
        <v>6283.420000000001</v>
      </c>
      <c r="F12" s="109">
        <v>4.7205263300185747</v>
      </c>
      <c r="I12" s="108">
        <v>282.19461538461542</v>
      </c>
      <c r="J12" s="108">
        <v>4.5342792919359649</v>
      </c>
      <c r="K12" s="104"/>
      <c r="L12" s="107">
        <v>3929.48</v>
      </c>
      <c r="M12" s="107">
        <v>4.1376835038621813</v>
      </c>
      <c r="P12" s="110">
        <v>96.147617986328129</v>
      </c>
      <c r="Q12" s="107">
        <v>3929.48</v>
      </c>
      <c r="R12" s="107">
        <v>4.1376835038621813</v>
      </c>
    </row>
    <row r="13" spans="2:18" ht="13.5" thickBot="1">
      <c r="B13" s="108">
        <v>2519.9066666666668</v>
      </c>
      <c r="C13" s="108">
        <v>2.9023204332529673</v>
      </c>
      <c r="E13" s="109">
        <v>6363.3555555555549</v>
      </c>
      <c r="F13" s="109">
        <v>4.9635499605818252</v>
      </c>
      <c r="I13" s="108">
        <v>269.64538461538461</v>
      </c>
      <c r="J13" s="108">
        <v>4.5833023567020774</v>
      </c>
      <c r="K13" s="104"/>
      <c r="L13" s="107">
        <v>3948.4044444444444</v>
      </c>
      <c r="M13" s="107">
        <v>4.1538064231431759</v>
      </c>
      <c r="P13" s="110">
        <v>208.85765589267825</v>
      </c>
      <c r="Q13" s="107">
        <v>3948.4044444444444</v>
      </c>
      <c r="R13" s="107">
        <v>4.1538064231431759</v>
      </c>
    </row>
    <row r="14" spans="2:18" ht="13.5" thickBot="1">
      <c r="B14" s="108">
        <v>2527.9022222222216</v>
      </c>
      <c r="C14" s="108">
        <v>2.6597938144330042</v>
      </c>
      <c r="E14" s="109">
        <v>6243.0955555555556</v>
      </c>
      <c r="F14" s="109">
        <v>4.7645081310755302</v>
      </c>
      <c r="I14" s="108">
        <v>371.07538461538456</v>
      </c>
      <c r="J14" s="108"/>
      <c r="K14" s="104"/>
      <c r="L14" s="107">
        <v>3897.4177777777772</v>
      </c>
      <c r="M14" s="107">
        <v>5.1655331920633758</v>
      </c>
      <c r="P14" s="110">
        <v>10.472218936045104</v>
      </c>
      <c r="Q14" s="107">
        <v>3897.4177777777772</v>
      </c>
      <c r="R14" s="107">
        <v>5.1655331920633758</v>
      </c>
    </row>
    <row r="15" spans="2:18" ht="13.5" thickBot="1">
      <c r="B15" s="108">
        <v>2584.6311111111108</v>
      </c>
      <c r="C15" s="108">
        <v>3.6280374984581183</v>
      </c>
      <c r="E15" s="109">
        <v>6497.4777777777772</v>
      </c>
      <c r="F15" s="109">
        <v>5.3726629942382313</v>
      </c>
      <c r="I15" s="109">
        <v>256.5553846153847</v>
      </c>
      <c r="J15" s="109">
        <v>7.2382764498354843</v>
      </c>
      <c r="K15" s="104"/>
      <c r="L15" s="107">
        <v>3959.6533333333332</v>
      </c>
      <c r="M15" s="107">
        <v>5.5972579950090839</v>
      </c>
      <c r="P15" s="110">
        <v>167.56073287021292</v>
      </c>
      <c r="Q15" s="107">
        <v>3959.6533333333332</v>
      </c>
      <c r="R15" s="107">
        <v>5.5972579950090839</v>
      </c>
    </row>
    <row r="16" spans="2:18" ht="13.5" thickBot="1">
      <c r="B16" s="108">
        <v>2540.2533333333331</v>
      </c>
      <c r="C16" s="108">
        <v>2.1549726209274978</v>
      </c>
      <c r="E16" s="109" t="s">
        <v>144</v>
      </c>
      <c r="F16" s="109" t="s">
        <v>144</v>
      </c>
      <c r="I16" s="108">
        <v>278.40230769230777</v>
      </c>
      <c r="J16" s="108">
        <v>3.6627773560925654</v>
      </c>
      <c r="K16" s="104"/>
      <c r="L16" s="107">
        <v>4078.1666666666665</v>
      </c>
      <c r="M16" s="107">
        <v>3.4449301189428594</v>
      </c>
      <c r="P16" s="110">
        <v>81.001266656749706</v>
      </c>
      <c r="Q16" s="107">
        <v>4078.1666666666665</v>
      </c>
      <c r="R16" s="107">
        <v>3.4449301189428594</v>
      </c>
    </row>
    <row r="17" spans="2:18" ht="13.5" thickBot="1">
      <c r="B17" s="108">
        <v>2588.7066666666669</v>
      </c>
      <c r="C17" s="108">
        <v>2.9264434484576687</v>
      </c>
      <c r="E17" s="109">
        <v>6394.18</v>
      </c>
      <c r="F17" s="109">
        <v>5.647047457885936</v>
      </c>
      <c r="I17" s="108">
        <v>267.58923076923071</v>
      </c>
      <c r="J17" s="108">
        <v>0.90441700754309362</v>
      </c>
      <c r="K17" s="104"/>
      <c r="L17" s="107">
        <v>3945.5533333333328</v>
      </c>
      <c r="M17" s="107">
        <v>5.1435768387856342</v>
      </c>
      <c r="P17" s="110">
        <v>230.16674520878743</v>
      </c>
      <c r="Q17" s="107">
        <v>3945.5533333333328</v>
      </c>
      <c r="R17" s="107">
        <v>5.1435768387856342</v>
      </c>
    </row>
    <row r="18" spans="2:18" ht="13.5" thickBot="1">
      <c r="B18" s="108" t="s">
        <v>144</v>
      </c>
      <c r="C18" s="108" t="s">
        <v>144</v>
      </c>
      <c r="E18" s="109">
        <v>5336.713333333334</v>
      </c>
      <c r="F18" s="109"/>
      <c r="I18" s="108">
        <v>270.45769230769235</v>
      </c>
      <c r="J18" s="108">
        <v>5.8255773871079164</v>
      </c>
      <c r="K18" s="104"/>
      <c r="L18" s="107">
        <v>3945.5533333333328</v>
      </c>
      <c r="M18" s="107">
        <v>5.1435768387856342</v>
      </c>
      <c r="P18" s="110">
        <v>41.625045578887423</v>
      </c>
      <c r="Q18" s="107">
        <v>3945.5533333333328</v>
      </c>
      <c r="R18" s="107">
        <v>5.1435768387856342</v>
      </c>
    </row>
    <row r="19" spans="2:18" ht="13.5" thickBot="1">
      <c r="B19" s="108">
        <v>2686.5511111111114</v>
      </c>
      <c r="C19" s="108">
        <v>2.6281179643788852</v>
      </c>
      <c r="E19" s="109">
        <v>6372.4622222222206</v>
      </c>
      <c r="F19" s="109">
        <v>5.4623376909645467</v>
      </c>
      <c r="I19" s="108">
        <v>264.65538461538466</v>
      </c>
      <c r="J19" s="108">
        <v>4.133368025870765</v>
      </c>
      <c r="K19" s="104"/>
      <c r="L19" s="107">
        <v>3923.4466666666672</v>
      </c>
      <c r="M19" s="107">
        <v>5.2199035615271088</v>
      </c>
      <c r="P19" s="110">
        <v>174.13028340871506</v>
      </c>
      <c r="Q19" s="107">
        <v>3923.4466666666672</v>
      </c>
      <c r="R19" s="107">
        <v>5.2199035615271088</v>
      </c>
    </row>
    <row r="20" spans="2:18" ht="13.5" thickBot="1">
      <c r="B20" s="108">
        <v>2545.12</v>
      </c>
      <c r="C20" s="108">
        <v>2.3552256569262999</v>
      </c>
      <c r="E20" s="109">
        <v>6357.7800000000007</v>
      </c>
      <c r="F20" s="109">
        <v>5.777478422957036</v>
      </c>
      <c r="I20" s="108">
        <v>285.86769230769221</v>
      </c>
      <c r="J20" s="108">
        <v>4.7434522367919634</v>
      </c>
      <c r="K20" s="104"/>
      <c r="L20" s="107">
        <v>3989.5799999999995</v>
      </c>
      <c r="M20" s="107">
        <v>5.894276045648196</v>
      </c>
      <c r="P20" s="110">
        <v>38.297098816696113</v>
      </c>
      <c r="Q20" s="107">
        <v>3989.5799999999995</v>
      </c>
      <c r="R20" s="107">
        <v>5.894276045648196</v>
      </c>
    </row>
    <row r="21" spans="2:18" ht="13.5" thickBot="1">
      <c r="B21" s="108">
        <v>2512.7955555555554</v>
      </c>
      <c r="C21" s="108">
        <v>3.020343039489422</v>
      </c>
      <c r="E21" s="109">
        <v>6250.4533333333329</v>
      </c>
      <c r="F21" s="109">
        <v>4.835754638908961</v>
      </c>
      <c r="I21" s="108">
        <v>238.71461538461534</v>
      </c>
      <c r="J21" s="108">
        <v>3.5318283761973461</v>
      </c>
      <c r="K21" s="104"/>
      <c r="L21" s="107">
        <v>3956.0777777777776</v>
      </c>
      <c r="M21" s="107">
        <v>5.2578326529589967</v>
      </c>
      <c r="P21" s="110">
        <v>215.40763200267855</v>
      </c>
      <c r="Q21" s="107">
        <v>3956.0777777777776</v>
      </c>
      <c r="R21" s="107">
        <v>5.2578326529589967</v>
      </c>
    </row>
    <row r="22" spans="2:18" ht="13.5" thickBot="1">
      <c r="B22" s="108">
        <v>2488.4355555555553</v>
      </c>
      <c r="C22" s="108">
        <v>3.2572790049670819</v>
      </c>
      <c r="E22" s="109">
        <v>6369.05111111111</v>
      </c>
      <c r="F22" s="109">
        <v>5.5160660360583185</v>
      </c>
      <c r="I22" s="108">
        <v>264.82538461538456</v>
      </c>
      <c r="J22" s="108">
        <v>3.6226189139627394</v>
      </c>
      <c r="K22" s="104"/>
      <c r="L22" s="107">
        <v>3946.6733333333332</v>
      </c>
      <c r="M22" s="107">
        <v>5.3112346268956871</v>
      </c>
      <c r="P22" s="110">
        <v>7.3482021610723391</v>
      </c>
      <c r="Q22" s="107">
        <v>3946.6733333333332</v>
      </c>
      <c r="R22" s="107">
        <v>5.3112346268956871</v>
      </c>
    </row>
    <row r="23" spans="2:18" ht="13.5" thickBot="1">
      <c r="B23" s="108">
        <v>2501.6088888888894</v>
      </c>
      <c r="C23" s="108">
        <v>3.6176610223136598</v>
      </c>
      <c r="E23" s="109">
        <v>6318.0444444444447</v>
      </c>
      <c r="F23" s="109">
        <v>5.413302673620155</v>
      </c>
      <c r="I23" s="108">
        <v>300.22615384615381</v>
      </c>
      <c r="J23" s="108">
        <v>11.370234333648757</v>
      </c>
      <c r="K23" s="104"/>
      <c r="L23" s="107">
        <v>4008.6266666666666</v>
      </c>
      <c r="M23" s="107">
        <v>5.3086484033888279</v>
      </c>
      <c r="P23" s="110">
        <v>150.51063255169984</v>
      </c>
      <c r="Q23" s="107">
        <v>4008.6266666666666</v>
      </c>
      <c r="R23" s="107">
        <v>5.3086484033888279</v>
      </c>
    </row>
    <row r="24" spans="2:18" ht="13.5" thickBot="1">
      <c r="B24" s="108">
        <v>2508.6444444444442</v>
      </c>
      <c r="C24" s="108">
        <v>3.1992463047557105</v>
      </c>
      <c r="E24" s="109" t="s">
        <v>144</v>
      </c>
      <c r="F24" s="109" t="s">
        <v>144</v>
      </c>
      <c r="I24" s="108">
        <v>261.20461538461541</v>
      </c>
      <c r="J24" s="108">
        <v>5.8131088304866152</v>
      </c>
      <c r="K24" s="104"/>
      <c r="L24" s="107">
        <v>3886.3311111111116</v>
      </c>
      <c r="M24" s="107">
        <v>4.3417998557914093</v>
      </c>
      <c r="P24" s="110">
        <v>20.786178099883347</v>
      </c>
      <c r="Q24" s="107">
        <v>3886.3311111111116</v>
      </c>
      <c r="R24" s="107">
        <v>4.3417998557914093</v>
      </c>
    </row>
    <row r="25" spans="2:18" ht="13.5" thickBot="1">
      <c r="B25" s="108">
        <v>2485.9288888888891</v>
      </c>
      <c r="C25" s="108">
        <v>3.5959712322301463</v>
      </c>
      <c r="E25" s="109" t="s">
        <v>144</v>
      </c>
      <c r="F25" s="109" t="s">
        <v>144</v>
      </c>
      <c r="I25" s="108">
        <v>261.54384615384618</v>
      </c>
      <c r="J25" s="108">
        <v>4.6820928187956632</v>
      </c>
      <c r="K25" s="104"/>
      <c r="L25" s="108"/>
      <c r="M25" s="108"/>
    </row>
    <row r="26" spans="2:18" ht="13.5" thickBot="1">
      <c r="B26" s="108">
        <v>2556.4844444444443</v>
      </c>
      <c r="C26" s="108">
        <v>3.7961477975180227</v>
      </c>
      <c r="E26" s="109">
        <v>6295.6422222222218</v>
      </c>
      <c r="F26" s="109">
        <v>5.4765529987455404</v>
      </c>
      <c r="I26" s="108">
        <v>254.01999999999995</v>
      </c>
      <c r="J26" s="108">
        <v>3.4745117930509677</v>
      </c>
      <c r="K26" s="104"/>
      <c r="L26" s="108"/>
      <c r="M26" s="108"/>
    </row>
    <row r="27" spans="2:18" ht="13.5" thickBot="1">
      <c r="B27" s="108">
        <v>2384.0755555555556</v>
      </c>
      <c r="C27" s="108">
        <v>3.8810542615008083</v>
      </c>
      <c r="E27" s="109">
        <v>6171.6422222222218</v>
      </c>
      <c r="F27" s="109">
        <v>4.6852023398480283</v>
      </c>
      <c r="I27" s="108">
        <v>259.48384615384617</v>
      </c>
      <c r="J27" s="108">
        <v>4.7228003784295245</v>
      </c>
      <c r="K27" s="104"/>
      <c r="L27" s="108"/>
      <c r="M27" s="108"/>
    </row>
    <row r="28" spans="2:18">
      <c r="B28" s="108">
        <v>2409.431111111111</v>
      </c>
      <c r="C28" s="108">
        <v>4.7418071414868619</v>
      </c>
      <c r="E28" s="109">
        <v>5883.7733333333344</v>
      </c>
      <c r="F28" s="109">
        <v>4.9840896927541101</v>
      </c>
      <c r="I28" s="108">
        <v>267.26461538461535</v>
      </c>
      <c r="J28" s="108">
        <v>6.8400595735406053</v>
      </c>
      <c r="K28" s="104"/>
      <c r="L28" s="108"/>
      <c r="M28" s="108"/>
    </row>
    <row r="29" spans="2:18">
      <c r="B29" s="108">
        <v>2406.2311111111112</v>
      </c>
      <c r="C29" s="108">
        <v>4.2966539037789344</v>
      </c>
      <c r="E29" s="108"/>
      <c r="F29" s="108"/>
      <c r="I29" s="108">
        <v>304.83230769230767</v>
      </c>
      <c r="J29" s="108">
        <v>4.1636684764832177</v>
      </c>
      <c r="K29" s="104"/>
      <c r="L29" s="108"/>
      <c r="M29" s="108"/>
    </row>
    <row r="30" spans="2:18">
      <c r="B30" s="108">
        <v>2559.2488888888888</v>
      </c>
      <c r="C30" s="108">
        <v>4.221603026104825</v>
      </c>
      <c r="E30" s="108"/>
      <c r="F30" s="108"/>
      <c r="I30" s="108">
        <v>259.2269230769229</v>
      </c>
      <c r="J30" s="108">
        <v>1.8458991781033145</v>
      </c>
      <c r="K30" s="104"/>
      <c r="L30" s="108"/>
      <c r="M30" s="108"/>
    </row>
    <row r="31" spans="2:18">
      <c r="I31" s="108">
        <v>289.00076923076927</v>
      </c>
      <c r="J31" s="108">
        <v>8.6813148668817917</v>
      </c>
      <c r="K31" s="104"/>
      <c r="L31" s="104"/>
      <c r="M31" s="104"/>
    </row>
    <row r="32" spans="2:18">
      <c r="I32" s="108">
        <v>265.13</v>
      </c>
      <c r="J32" s="108">
        <v>6.9705679048277638</v>
      </c>
      <c r="K32" s="104"/>
      <c r="L32" s="104"/>
      <c r="M32" s="104"/>
    </row>
    <row r="33" spans="1:18">
      <c r="A33" s="104" t="s">
        <v>145</v>
      </c>
      <c r="B33" s="104">
        <f>AVERAGE(B8:B30)</f>
        <v>2546.7002020202021</v>
      </c>
      <c r="C33" s="104">
        <f>AVERAGE(C8:C30)</f>
        <v>3.2635929532779056</v>
      </c>
      <c r="D33" s="104" t="s">
        <v>145</v>
      </c>
      <c r="E33" s="104">
        <f>AVERAGE(E8:E30)</f>
        <v>6230.7758169934632</v>
      </c>
      <c r="F33" s="104">
        <f>AVERAGE(F8:F30)</f>
        <v>5.1457348241058289</v>
      </c>
      <c r="H33" s="104" t="s">
        <v>145</v>
      </c>
      <c r="I33" s="104">
        <f>AVERAGE(I8:I30)</f>
        <v>277.7558862876254</v>
      </c>
      <c r="J33" s="104">
        <f>AVERAGE(J8:J30)</f>
        <v>4.7526885348939736</v>
      </c>
      <c r="K33" s="104" t="s">
        <v>145</v>
      </c>
      <c r="L33" s="104">
        <f>AVERAGE(L8:L30)</f>
        <v>3851.4852287581693</v>
      </c>
      <c r="M33" s="104">
        <f>AVERAGE(M8:M30)</f>
        <v>4.9530752109668406</v>
      </c>
      <c r="O33" s="104" t="s">
        <v>145</v>
      </c>
      <c r="P33" s="104">
        <f>AVERAGE(Q2:Q24)</f>
        <v>3972.9894685990344</v>
      </c>
      <c r="Q33" s="104"/>
      <c r="R33" s="104">
        <f>AVERAGE(R2:R24)</f>
        <v>5.0575091246123272</v>
      </c>
    </row>
    <row r="34" spans="1:18">
      <c r="A34" s="104" t="s">
        <v>146</v>
      </c>
      <c r="B34" s="104">
        <f>STDEV(B2:B30)</f>
        <v>111.93955739548089</v>
      </c>
      <c r="C34" s="104">
        <f>STDEV(C8:C30)</f>
        <v>0.74232630789576193</v>
      </c>
      <c r="D34" s="104" t="s">
        <v>146</v>
      </c>
      <c r="E34" s="104">
        <f>STDEV(E2:E30)</f>
        <v>227.45985174504418</v>
      </c>
      <c r="F34" s="104">
        <f>STDEV(F8:F30)</f>
        <v>0.36426670523148391</v>
      </c>
      <c r="H34" s="104" t="s">
        <v>146</v>
      </c>
      <c r="I34" s="104">
        <f>STDEV(I2:I30)</f>
        <v>29.464015879199099</v>
      </c>
      <c r="J34" s="104">
        <f>STDEV(J8:J30)</f>
        <v>2.1114621259641457</v>
      </c>
      <c r="K34" s="104" t="s">
        <v>146</v>
      </c>
      <c r="L34" s="104">
        <f>STDEV(L2:L30)</f>
        <v>613.8051425947308</v>
      </c>
      <c r="M34" s="104">
        <f>STDEV(M8:M30)</f>
        <v>0.7174241068288546</v>
      </c>
      <c r="O34" s="104" t="s">
        <v>146</v>
      </c>
      <c r="P34" s="104">
        <f>STDEV(P2:P30)</f>
        <v>83.27675906369069</v>
      </c>
      <c r="Q34" s="104"/>
      <c r="R34" s="104">
        <f>STDEV(R2:R30)</f>
        <v>0.71865100533953308</v>
      </c>
    </row>
    <row r="35" spans="1:18">
      <c r="A35" s="104" t="s">
        <v>147</v>
      </c>
      <c r="B35" s="104">
        <f>3*B34</f>
        <v>335.81867218644265</v>
      </c>
      <c r="C35" s="104">
        <f>3*C34</f>
        <v>2.2269789236872857</v>
      </c>
      <c r="D35" s="104" t="s">
        <v>147</v>
      </c>
      <c r="E35" s="104">
        <f>3*E34</f>
        <v>682.37955523513256</v>
      </c>
      <c r="F35" s="104">
        <f>3*F34</f>
        <v>1.0928001156944518</v>
      </c>
      <c r="H35" s="104" t="s">
        <v>147</v>
      </c>
      <c r="I35" s="104">
        <f>3*I34</f>
        <v>88.392047637597301</v>
      </c>
      <c r="J35" s="104">
        <f>3*J34</f>
        <v>6.3343863778924376</v>
      </c>
      <c r="K35" s="104" t="s">
        <v>147</v>
      </c>
      <c r="L35" s="104">
        <f>3*L34</f>
        <v>1841.4154277841924</v>
      </c>
      <c r="M35" s="104">
        <f>3*M34</f>
        <v>2.1522723204865639</v>
      </c>
      <c r="O35" s="104" t="s">
        <v>147</v>
      </c>
      <c r="P35" s="104">
        <f>3*P34</f>
        <v>249.83027719107207</v>
      </c>
      <c r="Q35" s="104"/>
      <c r="R35" s="104">
        <f>3*R34</f>
        <v>2.1559530160185991</v>
      </c>
    </row>
    <row r="36" spans="1:18">
      <c r="A36" s="112" t="s">
        <v>107</v>
      </c>
      <c r="B36" s="112">
        <f>B33-B35</f>
        <v>2210.8815298337595</v>
      </c>
      <c r="C36" s="112">
        <f>C33-C35</f>
        <v>1.0366140295906199</v>
      </c>
      <c r="D36" s="112" t="s">
        <v>107</v>
      </c>
      <c r="E36" s="112">
        <f>E33-E35</f>
        <v>5548.3962617583311</v>
      </c>
      <c r="F36" s="112">
        <f>F33-F35</f>
        <v>4.0529347084113772</v>
      </c>
      <c r="H36" s="112" t="s">
        <v>107</v>
      </c>
      <c r="I36" s="112">
        <f>I33-I35</f>
        <v>189.3638386500281</v>
      </c>
      <c r="J36" s="112">
        <f>J33-J35</f>
        <v>-1.5816978429984641</v>
      </c>
      <c r="K36" s="112" t="s">
        <v>107</v>
      </c>
      <c r="L36" s="112">
        <f>L33-L35</f>
        <v>2010.069800973977</v>
      </c>
      <c r="M36" s="112">
        <f>M33-M35</f>
        <v>2.8008028904802766</v>
      </c>
      <c r="O36" s="112" t="s">
        <v>107</v>
      </c>
      <c r="P36" s="112">
        <f>P33-P35</f>
        <v>3723.1591914079622</v>
      </c>
      <c r="Q36" s="112"/>
      <c r="R36" s="112">
        <f>R33-R35</f>
        <v>2.901556108593728</v>
      </c>
    </row>
    <row r="37" spans="1:18">
      <c r="A37" s="112" t="s">
        <v>108</v>
      </c>
      <c r="B37" s="112">
        <f>B33+B35</f>
        <v>2882.5188742066448</v>
      </c>
      <c r="C37" s="112">
        <f>C33+C35</f>
        <v>5.4905718769651912</v>
      </c>
      <c r="D37" s="112" t="s">
        <v>108</v>
      </c>
      <c r="E37" s="112">
        <f>E33+E35</f>
        <v>6913.1553722285953</v>
      </c>
      <c r="F37" s="112">
        <f>F33+F35</f>
        <v>6.2385349398002807</v>
      </c>
      <c r="H37" s="112" t="s">
        <v>108</v>
      </c>
      <c r="I37" s="112">
        <f>I33+I35</f>
        <v>366.14793392522267</v>
      </c>
      <c r="J37" s="112">
        <f>J33+J35</f>
        <v>11.087074912786411</v>
      </c>
      <c r="K37" s="112" t="s">
        <v>108</v>
      </c>
      <c r="L37" s="112">
        <f>L33+L35</f>
        <v>5692.9006565423615</v>
      </c>
      <c r="M37" s="112">
        <f>M33+M35</f>
        <v>7.105347531453404</v>
      </c>
      <c r="O37" s="112" t="s">
        <v>108</v>
      </c>
      <c r="P37" s="112">
        <f>P33+P35</f>
        <v>4222.819745790106</v>
      </c>
      <c r="Q37" s="112"/>
      <c r="R37" s="112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AI172"/>
  <sheetViews>
    <sheetView tabSelected="1" topLeftCell="E30" zoomScale="85" zoomScaleNormal="85" workbookViewId="0">
      <selection activeCell="AE50" sqref="AE50"/>
    </sheetView>
  </sheetViews>
  <sheetFormatPr defaultRowHeight="15.75"/>
  <cols>
    <col min="1" max="1" width="1.125" style="254" customWidth="1"/>
    <col min="2" max="2" width="9.625" style="254" customWidth="1"/>
    <col min="3" max="18" width="6.125" style="254" bestFit="1" customWidth="1"/>
    <col min="19" max="19" width="7.625" style="254" bestFit="1" customWidth="1"/>
    <col min="20" max="34" width="6.125" style="254" bestFit="1" customWidth="1"/>
    <col min="35" max="35" width="5.75" style="254" bestFit="1" customWidth="1"/>
    <col min="36" max="16384" width="9" style="254"/>
  </cols>
  <sheetData>
    <row r="1" spans="1:35"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4"/>
      <c r="AF1" s="284"/>
      <c r="AG1" s="284"/>
      <c r="AH1" s="284"/>
      <c r="AI1" s="284"/>
    </row>
    <row r="2" spans="1:35" ht="16.5" thickBot="1">
      <c r="B2" s="266">
        <v>44201</v>
      </c>
    </row>
    <row r="3" spans="1:35" ht="15.75" customHeight="1" thickTop="1" thickBot="1">
      <c r="B3" s="267" t="s">
        <v>170</v>
      </c>
      <c r="C3" s="303" t="s">
        <v>179</v>
      </c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3"/>
      <c r="AB3" s="303"/>
      <c r="AC3" s="303"/>
      <c r="AD3" s="303"/>
      <c r="AE3" s="304"/>
      <c r="AF3" s="305" t="s">
        <v>174</v>
      </c>
      <c r="AG3" s="303"/>
      <c r="AH3" s="304"/>
      <c r="AI3" s="306" t="s">
        <v>172</v>
      </c>
    </row>
    <row r="4" spans="1:35" ht="16.5" thickBot="1">
      <c r="B4" s="258" t="s">
        <v>171</v>
      </c>
      <c r="C4" s="255">
        <v>1</v>
      </c>
      <c r="D4" s="255">
        <v>2</v>
      </c>
      <c r="E4" s="255">
        <v>3</v>
      </c>
      <c r="F4" s="255">
        <v>4</v>
      </c>
      <c r="G4" s="255">
        <v>5</v>
      </c>
      <c r="H4" s="255">
        <v>6</v>
      </c>
      <c r="I4" s="255">
        <v>7</v>
      </c>
      <c r="J4" s="255">
        <v>8</v>
      </c>
      <c r="K4" s="255">
        <v>9</v>
      </c>
      <c r="L4" s="255">
        <v>10</v>
      </c>
      <c r="M4" s="255">
        <v>11</v>
      </c>
      <c r="N4" s="255">
        <v>12</v>
      </c>
      <c r="O4" s="255">
        <v>13</v>
      </c>
      <c r="P4" s="255">
        <v>14</v>
      </c>
      <c r="Q4" s="255">
        <v>15</v>
      </c>
      <c r="R4" s="255">
        <v>16</v>
      </c>
      <c r="S4" s="255">
        <v>17</v>
      </c>
      <c r="T4" s="255">
        <v>18</v>
      </c>
      <c r="U4" s="255">
        <v>19</v>
      </c>
      <c r="V4" s="255">
        <v>20</v>
      </c>
      <c r="W4" s="255">
        <v>21</v>
      </c>
      <c r="X4" s="255">
        <v>22</v>
      </c>
      <c r="Y4" s="255">
        <v>23</v>
      </c>
      <c r="Z4" s="255">
        <v>24</v>
      </c>
      <c r="AA4" s="255">
        <v>25</v>
      </c>
      <c r="AB4" s="255">
        <v>26</v>
      </c>
      <c r="AC4" s="255">
        <v>27</v>
      </c>
      <c r="AD4" s="255">
        <v>28</v>
      </c>
      <c r="AE4" s="260">
        <v>29</v>
      </c>
      <c r="AF4" s="264" t="s">
        <v>175</v>
      </c>
      <c r="AG4" s="255" t="s">
        <v>176</v>
      </c>
      <c r="AH4" s="265" t="s">
        <v>145</v>
      </c>
      <c r="AI4" s="307"/>
    </row>
    <row r="5" spans="1:35">
      <c r="B5" s="271" t="s">
        <v>114</v>
      </c>
      <c r="C5" s="272">
        <v>1968.69</v>
      </c>
      <c r="D5" s="272">
        <v>1987.15</v>
      </c>
      <c r="E5" s="272">
        <v>1989.45</v>
      </c>
      <c r="F5" s="272">
        <v>1987.63</v>
      </c>
      <c r="G5" s="272">
        <v>1979.05</v>
      </c>
      <c r="H5" s="272">
        <v>1988.6</v>
      </c>
      <c r="I5" s="272">
        <v>1997.9</v>
      </c>
      <c r="J5" s="272">
        <v>1997.12</v>
      </c>
      <c r="K5" s="272">
        <v>2000.18</v>
      </c>
      <c r="L5" s="272">
        <v>1996.36</v>
      </c>
      <c r="M5" s="272">
        <v>1988.92</v>
      </c>
      <c r="N5" s="272">
        <v>1990.07</v>
      </c>
      <c r="O5" s="272">
        <v>1985.8</v>
      </c>
      <c r="P5" s="272">
        <v>2017.47</v>
      </c>
      <c r="Q5" s="272">
        <v>2003.05</v>
      </c>
      <c r="R5" s="272">
        <v>1996.28</v>
      </c>
      <c r="S5" s="272">
        <v>2003.19</v>
      </c>
      <c r="T5" s="272">
        <v>1992.25</v>
      </c>
      <c r="U5" s="272">
        <v>1986.86</v>
      </c>
      <c r="V5" s="272">
        <v>1988.32</v>
      </c>
      <c r="W5" s="272">
        <v>1994.21</v>
      </c>
      <c r="X5" s="272">
        <v>1997.99</v>
      </c>
      <c r="Y5" s="272">
        <v>2001.65</v>
      </c>
      <c r="Z5" s="272">
        <v>1997.55</v>
      </c>
      <c r="AA5" s="272">
        <v>1995.91</v>
      </c>
      <c r="AB5" s="272">
        <v>1989.45</v>
      </c>
      <c r="AC5" s="272">
        <v>1993.36</v>
      </c>
      <c r="AD5" s="272">
        <v>1993.8</v>
      </c>
      <c r="AE5" s="273">
        <v>1999.24</v>
      </c>
      <c r="AF5" s="308">
        <v>2366.0700000000002</v>
      </c>
      <c r="AG5" s="311">
        <v>2195.4899999999998</v>
      </c>
      <c r="AH5" s="314">
        <v>2259.556</v>
      </c>
      <c r="AI5" s="316">
        <v>3.7395100000000001</v>
      </c>
    </row>
    <row r="6" spans="1:35" ht="16.5" thickBot="1">
      <c r="A6" s="256"/>
      <c r="B6" s="274" t="s">
        <v>115</v>
      </c>
      <c r="C6" s="275">
        <v>1240</v>
      </c>
      <c r="D6" s="275">
        <v>1233.6400000000001</v>
      </c>
      <c r="E6" s="275">
        <v>1240.4100000000001</v>
      </c>
      <c r="F6" s="275">
        <v>1236.32</v>
      </c>
      <c r="G6" s="275">
        <v>1236.31</v>
      </c>
      <c r="H6" s="275">
        <v>1233.82</v>
      </c>
      <c r="I6" s="275">
        <v>1239.26</v>
      </c>
      <c r="J6" s="275">
        <v>1238.45</v>
      </c>
      <c r="K6" s="275">
        <v>1249.25</v>
      </c>
      <c r="L6" s="275">
        <v>1240.1300000000001</v>
      </c>
      <c r="M6" s="275">
        <v>1242.71</v>
      </c>
      <c r="N6" s="275">
        <v>1243.8599999999999</v>
      </c>
      <c r="O6" s="275">
        <v>1235.02</v>
      </c>
      <c r="P6" s="275">
        <v>1228.78</v>
      </c>
      <c r="Q6" s="275">
        <v>1235.96</v>
      </c>
      <c r="R6" s="275">
        <v>1240.31</v>
      </c>
      <c r="S6" s="275">
        <v>1271.3599999999999</v>
      </c>
      <c r="T6" s="275">
        <v>1240.82</v>
      </c>
      <c r="U6" s="275">
        <v>1244.1400000000001</v>
      </c>
      <c r="V6" s="275">
        <v>1238.53</v>
      </c>
      <c r="W6" s="275">
        <v>1236.8399999999999</v>
      </c>
      <c r="X6" s="275">
        <v>1238.7</v>
      </c>
      <c r="Y6" s="275">
        <v>1260.3699999999999</v>
      </c>
      <c r="Z6" s="275">
        <v>1241.58</v>
      </c>
      <c r="AA6" s="275">
        <v>1240.02</v>
      </c>
      <c r="AB6" s="275">
        <v>1237.47</v>
      </c>
      <c r="AC6" s="275">
        <v>1226.83</v>
      </c>
      <c r="AD6" s="275">
        <v>1240.5999999999999</v>
      </c>
      <c r="AE6" s="276">
        <v>1257.81</v>
      </c>
      <c r="AF6" s="308"/>
      <c r="AG6" s="311"/>
      <c r="AH6" s="314"/>
      <c r="AI6" s="316"/>
    </row>
    <row r="7" spans="1:35" ht="32.25" customHeight="1" thickBot="1">
      <c r="A7" s="256"/>
      <c r="B7" s="268" t="s">
        <v>177</v>
      </c>
      <c r="C7" s="269">
        <v>2186.0700000000002</v>
      </c>
      <c r="D7" s="269">
        <v>2260.5300000000002</v>
      </c>
      <c r="E7" s="269">
        <v>2247.12</v>
      </c>
      <c r="F7" s="269">
        <v>2253.9299999999998</v>
      </c>
      <c r="G7" s="269">
        <v>2228.2199999999998</v>
      </c>
      <c r="H7" s="269">
        <v>2264.34</v>
      </c>
      <c r="I7" s="269">
        <v>2275.92</v>
      </c>
      <c r="J7" s="269">
        <v>2276.0100000000002</v>
      </c>
      <c r="K7" s="269">
        <v>2252.79</v>
      </c>
      <c r="L7" s="269">
        <v>2268.69</v>
      </c>
      <c r="M7" s="269">
        <v>2238.63</v>
      </c>
      <c r="N7" s="269">
        <v>2238.63</v>
      </c>
      <c r="O7" s="269">
        <v>2252.34</v>
      </c>
      <c r="P7" s="269">
        <v>2366.0700000000002</v>
      </c>
      <c r="Q7" s="269">
        <v>2301.27</v>
      </c>
      <c r="R7" s="269">
        <v>2267.91</v>
      </c>
      <c r="S7" s="269">
        <v>2195.4899999999998</v>
      </c>
      <c r="T7" s="269">
        <v>2254.29</v>
      </c>
      <c r="U7" s="269">
        <v>2228.16</v>
      </c>
      <c r="V7" s="269">
        <v>2249.37</v>
      </c>
      <c r="W7" s="269">
        <v>2272.11</v>
      </c>
      <c r="X7" s="269">
        <v>2277.87</v>
      </c>
      <c r="Y7" s="269">
        <v>2223.84</v>
      </c>
      <c r="Z7" s="269">
        <v>2267.91</v>
      </c>
      <c r="AA7" s="269">
        <v>2267.67</v>
      </c>
      <c r="AB7" s="269">
        <v>2255.94</v>
      </c>
      <c r="AC7" s="269">
        <v>2299.59</v>
      </c>
      <c r="AD7" s="269">
        <v>2259.6</v>
      </c>
      <c r="AE7" s="270">
        <v>2224.29</v>
      </c>
      <c r="AF7" s="309"/>
      <c r="AG7" s="312"/>
      <c r="AH7" s="315"/>
      <c r="AI7" s="317"/>
    </row>
    <row r="8" spans="1:35" ht="16.5" thickTop="1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</row>
    <row r="9" spans="1:35" ht="16.5" thickBot="1">
      <c r="A9" s="256"/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61"/>
    </row>
    <row r="10" spans="1:35" ht="15.75" customHeight="1" thickTop="1" thickBot="1">
      <c r="A10" s="256"/>
      <c r="B10" s="267" t="s">
        <v>178</v>
      </c>
      <c r="C10" s="303" t="s">
        <v>186</v>
      </c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304"/>
      <c r="AF10" s="305" t="s">
        <v>174</v>
      </c>
      <c r="AG10" s="303"/>
      <c r="AH10" s="304"/>
      <c r="AI10" s="306" t="s">
        <v>172</v>
      </c>
    </row>
    <row r="11" spans="1:35" ht="16.5" thickBot="1">
      <c r="A11" s="256"/>
      <c r="B11" s="258" t="s">
        <v>171</v>
      </c>
      <c r="C11" s="255">
        <v>1</v>
      </c>
      <c r="D11" s="255">
        <v>2</v>
      </c>
      <c r="E11" s="255">
        <v>3</v>
      </c>
      <c r="F11" s="255">
        <v>4</v>
      </c>
      <c r="G11" s="255">
        <v>5</v>
      </c>
      <c r="H11" s="255">
        <v>6</v>
      </c>
      <c r="I11" s="255">
        <v>7</v>
      </c>
      <c r="J11" s="255">
        <v>8</v>
      </c>
      <c r="K11" s="255">
        <v>9</v>
      </c>
      <c r="L11" s="255">
        <v>10</v>
      </c>
      <c r="M11" s="255">
        <v>11</v>
      </c>
      <c r="N11" s="255">
        <v>12</v>
      </c>
      <c r="O11" s="255">
        <v>13</v>
      </c>
      <c r="P11" s="255">
        <v>14</v>
      </c>
      <c r="Q11" s="255">
        <v>15</v>
      </c>
      <c r="R11" s="255">
        <v>16</v>
      </c>
      <c r="S11" s="255">
        <v>17</v>
      </c>
      <c r="T11" s="255">
        <v>18</v>
      </c>
      <c r="U11" s="255">
        <v>19</v>
      </c>
      <c r="V11" s="255">
        <v>20</v>
      </c>
      <c r="W11" s="255">
        <v>21</v>
      </c>
      <c r="X11" s="255">
        <v>22</v>
      </c>
      <c r="Y11" s="255">
        <v>23</v>
      </c>
      <c r="Z11" s="255">
        <v>24</v>
      </c>
      <c r="AA11" s="255">
        <v>25</v>
      </c>
      <c r="AB11" s="255">
        <v>26</v>
      </c>
      <c r="AC11" s="255">
        <v>27</v>
      </c>
      <c r="AD11" s="255">
        <v>28</v>
      </c>
      <c r="AE11" s="260">
        <v>29</v>
      </c>
      <c r="AF11" s="264" t="s">
        <v>175</v>
      </c>
      <c r="AG11" s="255" t="s">
        <v>176</v>
      </c>
      <c r="AH11" s="265" t="s">
        <v>145</v>
      </c>
      <c r="AI11" s="307"/>
    </row>
    <row r="12" spans="1:35">
      <c r="A12" s="256"/>
      <c r="B12" s="259" t="s">
        <v>114</v>
      </c>
      <c r="C12" s="262">
        <v>2005.62</v>
      </c>
      <c r="D12" s="262">
        <v>2008.73</v>
      </c>
      <c r="E12" s="262">
        <v>2006.85</v>
      </c>
      <c r="F12" s="262">
        <v>1999.87</v>
      </c>
      <c r="G12" s="262">
        <v>1999.54</v>
      </c>
      <c r="H12" s="262">
        <v>2006.17</v>
      </c>
      <c r="I12" s="262">
        <v>2008.78</v>
      </c>
      <c r="J12" s="262">
        <v>2012.08</v>
      </c>
      <c r="K12" s="262">
        <v>2019.07</v>
      </c>
      <c r="L12" s="262">
        <v>2013.73</v>
      </c>
      <c r="M12" s="262">
        <v>2007.56</v>
      </c>
      <c r="N12" s="262">
        <v>2005.1</v>
      </c>
      <c r="O12" s="262">
        <v>2001.94</v>
      </c>
      <c r="P12" s="262">
        <v>2026.47</v>
      </c>
      <c r="Q12" s="262">
        <v>2015.06</v>
      </c>
      <c r="R12" s="262">
        <v>2013.85</v>
      </c>
      <c r="S12" s="262">
        <v>2029.38</v>
      </c>
      <c r="T12" s="262">
        <v>2008.99</v>
      </c>
      <c r="U12" s="262">
        <v>2004.1</v>
      </c>
      <c r="V12" s="262">
        <v>2002.92</v>
      </c>
      <c r="W12" s="262">
        <v>2007.75</v>
      </c>
      <c r="X12" s="262">
        <v>2011.21</v>
      </c>
      <c r="Y12" s="262">
        <v>2029.47</v>
      </c>
      <c r="Z12" s="262">
        <v>2017.4</v>
      </c>
      <c r="AA12" s="262">
        <v>2009.76</v>
      </c>
      <c r="AB12" s="262">
        <v>2007.35</v>
      </c>
      <c r="AC12" s="262">
        <v>2011.01</v>
      </c>
      <c r="AD12" s="262">
        <v>2010.66</v>
      </c>
      <c r="AE12" s="263">
        <v>2019.12</v>
      </c>
      <c r="AF12" s="308">
        <v>3404.84</v>
      </c>
      <c r="AG12" s="311">
        <v>2770.68</v>
      </c>
      <c r="AH12" s="314">
        <v>2951.761</v>
      </c>
      <c r="AI12" s="316">
        <v>10.268929999999999</v>
      </c>
    </row>
    <row r="13" spans="1:35" ht="16.5" thickBot="1">
      <c r="A13" s="256"/>
      <c r="B13" s="277" t="s">
        <v>115</v>
      </c>
      <c r="C13" s="278">
        <v>512.16999999999996</v>
      </c>
      <c r="D13" s="278">
        <v>544.87</v>
      </c>
      <c r="E13" s="278">
        <v>575.82000000000005</v>
      </c>
      <c r="F13" s="278">
        <v>598.76</v>
      </c>
      <c r="G13" s="278">
        <v>614.20000000000005</v>
      </c>
      <c r="H13" s="278">
        <v>600.66</v>
      </c>
      <c r="I13" s="278">
        <v>579.61</v>
      </c>
      <c r="J13" s="278">
        <v>545.65</v>
      </c>
      <c r="K13" s="278">
        <v>510.89</v>
      </c>
      <c r="L13" s="278">
        <v>519.04999999999995</v>
      </c>
      <c r="M13" s="278">
        <v>554.70000000000005</v>
      </c>
      <c r="N13" s="278">
        <v>588.45000000000005</v>
      </c>
      <c r="O13" s="278">
        <v>609.9</v>
      </c>
      <c r="P13" s="278">
        <v>609.4</v>
      </c>
      <c r="Q13" s="278">
        <v>565.89</v>
      </c>
      <c r="R13" s="278">
        <v>521.14</v>
      </c>
      <c r="S13" s="278">
        <v>456.79</v>
      </c>
      <c r="T13" s="278">
        <v>470.61</v>
      </c>
      <c r="U13" s="278">
        <v>553.73</v>
      </c>
      <c r="V13" s="278">
        <v>599.54999999999995</v>
      </c>
      <c r="W13" s="278">
        <v>585.54999999999995</v>
      </c>
      <c r="X13" s="278">
        <v>527.66</v>
      </c>
      <c r="Y13" s="278">
        <v>327.05</v>
      </c>
      <c r="Z13" s="278">
        <v>453.02</v>
      </c>
      <c r="AA13" s="278">
        <v>552.85</v>
      </c>
      <c r="AB13" s="278">
        <v>598.29999999999995</v>
      </c>
      <c r="AC13" s="278">
        <v>403.51</v>
      </c>
      <c r="AD13" s="278">
        <v>529.6</v>
      </c>
      <c r="AE13" s="279">
        <v>404.07</v>
      </c>
      <c r="AF13" s="308"/>
      <c r="AG13" s="311"/>
      <c r="AH13" s="314"/>
      <c r="AI13" s="316"/>
    </row>
    <row r="14" spans="1:35" ht="32.25" thickBot="1">
      <c r="A14" s="256"/>
      <c r="B14" s="280" t="s">
        <v>173</v>
      </c>
      <c r="C14" s="281">
        <v>2986.9</v>
      </c>
      <c r="D14" s="281">
        <v>2927.72</v>
      </c>
      <c r="E14" s="281">
        <v>2862.06</v>
      </c>
      <c r="F14" s="281">
        <v>2802.22</v>
      </c>
      <c r="G14" s="281">
        <v>2770.68</v>
      </c>
      <c r="H14" s="281">
        <v>2811.02</v>
      </c>
      <c r="I14" s="281">
        <v>2858.34</v>
      </c>
      <c r="J14" s="281">
        <v>2932.86</v>
      </c>
      <c r="K14" s="281">
        <v>3016.36</v>
      </c>
      <c r="L14" s="281">
        <v>2989.36</v>
      </c>
      <c r="M14" s="281">
        <v>2905.72</v>
      </c>
      <c r="N14" s="281">
        <v>2833.3</v>
      </c>
      <c r="O14" s="281">
        <v>2784.08</v>
      </c>
      <c r="P14" s="281">
        <v>2834.14</v>
      </c>
      <c r="Q14" s="281">
        <v>2898.34</v>
      </c>
      <c r="R14" s="281">
        <v>2985.42</v>
      </c>
      <c r="S14" s="281">
        <v>3145.18</v>
      </c>
      <c r="T14" s="281">
        <v>3076.76</v>
      </c>
      <c r="U14" s="281">
        <v>2900.74</v>
      </c>
      <c r="V14" s="281">
        <v>2806.74</v>
      </c>
      <c r="W14" s="281">
        <v>2844.4</v>
      </c>
      <c r="X14" s="281">
        <v>2967.1</v>
      </c>
      <c r="Y14" s="281">
        <v>3404.84</v>
      </c>
      <c r="Z14" s="281">
        <v>3128.76</v>
      </c>
      <c r="AA14" s="281">
        <v>2913.82</v>
      </c>
      <c r="AB14" s="281">
        <v>2818.1</v>
      </c>
      <c r="AC14" s="281">
        <v>3215</v>
      </c>
      <c r="AD14" s="281">
        <v>2962.12</v>
      </c>
      <c r="AE14" s="282">
        <v>3230.1</v>
      </c>
      <c r="AF14" s="309"/>
      <c r="AG14" s="312"/>
      <c r="AH14" s="315"/>
      <c r="AI14" s="317"/>
    </row>
    <row r="15" spans="1:35" ht="16.5" thickTop="1">
      <c r="A15" s="256"/>
    </row>
    <row r="16" spans="1:35" ht="16.5" thickBot="1">
      <c r="A16" s="256"/>
      <c r="B16" s="266">
        <v>44202</v>
      </c>
    </row>
    <row r="17" spans="1:35" ht="17.25" customHeight="1" thickTop="1" thickBot="1">
      <c r="A17" s="256"/>
      <c r="B17" s="267" t="s">
        <v>170</v>
      </c>
      <c r="C17" s="303" t="s">
        <v>180</v>
      </c>
      <c r="D17" s="303"/>
      <c r="E17" s="303"/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3"/>
      <c r="S17" s="303"/>
      <c r="T17" s="303"/>
      <c r="U17" s="303"/>
      <c r="V17" s="303"/>
      <c r="W17" s="303"/>
      <c r="X17" s="303"/>
      <c r="Y17" s="303"/>
      <c r="Z17" s="303"/>
      <c r="AA17" s="303"/>
      <c r="AB17" s="303"/>
      <c r="AC17" s="303"/>
      <c r="AD17" s="303"/>
      <c r="AE17" s="304"/>
      <c r="AF17" s="305" t="s">
        <v>174</v>
      </c>
      <c r="AG17" s="303"/>
      <c r="AH17" s="304"/>
      <c r="AI17" s="306" t="s">
        <v>172</v>
      </c>
    </row>
    <row r="18" spans="1:35" ht="16.5" thickBot="1">
      <c r="A18" s="256"/>
      <c r="B18" s="258" t="s">
        <v>171</v>
      </c>
      <c r="C18" s="255">
        <v>1</v>
      </c>
      <c r="D18" s="255">
        <v>2</v>
      </c>
      <c r="E18" s="255">
        <v>3</v>
      </c>
      <c r="F18" s="255">
        <v>4</v>
      </c>
      <c r="G18" s="255">
        <v>5</v>
      </c>
      <c r="H18" s="255">
        <v>6</v>
      </c>
      <c r="I18" s="255">
        <v>7</v>
      </c>
      <c r="J18" s="255">
        <v>8</v>
      </c>
      <c r="K18" s="255">
        <v>9</v>
      </c>
      <c r="L18" s="255">
        <v>10</v>
      </c>
      <c r="M18" s="255">
        <v>11</v>
      </c>
      <c r="N18" s="255">
        <v>12</v>
      </c>
      <c r="O18" s="255">
        <v>13</v>
      </c>
      <c r="P18" s="255">
        <v>14</v>
      </c>
      <c r="Q18" s="255">
        <v>15</v>
      </c>
      <c r="R18" s="255">
        <v>16</v>
      </c>
      <c r="S18" s="255">
        <v>17</v>
      </c>
      <c r="T18" s="255">
        <v>18</v>
      </c>
      <c r="U18" s="255">
        <v>19</v>
      </c>
      <c r="V18" s="255">
        <v>20</v>
      </c>
      <c r="W18" s="255">
        <v>21</v>
      </c>
      <c r="X18" s="255">
        <v>22</v>
      </c>
      <c r="Y18" s="255">
        <v>23</v>
      </c>
      <c r="Z18" s="255">
        <v>24</v>
      </c>
      <c r="AA18" s="255">
        <v>25</v>
      </c>
      <c r="AB18" s="255">
        <v>26</v>
      </c>
      <c r="AC18" s="255">
        <v>27</v>
      </c>
      <c r="AD18" s="255">
        <v>28</v>
      </c>
      <c r="AE18" s="260">
        <v>29</v>
      </c>
      <c r="AF18" s="264" t="s">
        <v>175</v>
      </c>
      <c r="AG18" s="255" t="s">
        <v>176</v>
      </c>
      <c r="AH18" s="265" t="s">
        <v>145</v>
      </c>
      <c r="AI18" s="307"/>
    </row>
    <row r="19" spans="1:35">
      <c r="A19" s="256"/>
      <c r="B19" s="259" t="s">
        <v>114</v>
      </c>
      <c r="C19" s="262">
        <v>1938</v>
      </c>
      <c r="D19" s="262">
        <v>1932</v>
      </c>
      <c r="E19" s="262">
        <v>1930</v>
      </c>
      <c r="F19" s="262">
        <v>1925</v>
      </c>
      <c r="G19" s="262">
        <v>1921</v>
      </c>
      <c r="H19" s="262">
        <v>1922</v>
      </c>
      <c r="I19" s="262">
        <v>1927</v>
      </c>
      <c r="J19" s="262">
        <v>1929</v>
      </c>
      <c r="K19" s="262">
        <v>1934</v>
      </c>
      <c r="L19" s="262">
        <v>1939</v>
      </c>
      <c r="M19" s="262">
        <v>1936</v>
      </c>
      <c r="N19" s="262">
        <v>1928</v>
      </c>
      <c r="O19" s="262">
        <v>1921</v>
      </c>
      <c r="P19" s="262">
        <v>1922</v>
      </c>
      <c r="Q19" s="262">
        <v>1930</v>
      </c>
      <c r="R19" s="262">
        <v>1935</v>
      </c>
      <c r="S19" s="262">
        <v>1938</v>
      </c>
      <c r="T19" s="262">
        <v>1938</v>
      </c>
      <c r="U19" s="262">
        <v>1931</v>
      </c>
      <c r="V19" s="262">
        <v>1926</v>
      </c>
      <c r="W19" s="262">
        <v>1924</v>
      </c>
      <c r="X19" s="262">
        <v>1877</v>
      </c>
      <c r="Y19" s="262">
        <v>1933</v>
      </c>
      <c r="Z19" s="262">
        <v>1935</v>
      </c>
      <c r="AA19" s="262">
        <v>1929</v>
      </c>
      <c r="AB19" s="262">
        <v>1927</v>
      </c>
      <c r="AC19" s="262">
        <v>1928</v>
      </c>
      <c r="AD19" s="262">
        <v>1936</v>
      </c>
      <c r="AE19" s="263">
        <v>1938</v>
      </c>
      <c r="AF19" s="308">
        <f>MAX(C21:AE21)</f>
        <v>2816.363636363636</v>
      </c>
      <c r="AG19" s="310">
        <f>MIN(C21:AE21)</f>
        <v>2570.909090909091</v>
      </c>
      <c r="AH19" s="313">
        <f>AVERAGE(C21:AE21)</f>
        <v>2717.6802507836987</v>
      </c>
      <c r="AI19" s="316">
        <f>(AF19-AG19)/(AF19+AG19)*100</f>
        <v>4.5561930475868975</v>
      </c>
    </row>
    <row r="20" spans="1:35" ht="16.5" thickBot="1">
      <c r="A20" s="256"/>
      <c r="B20" s="277" t="s">
        <v>115</v>
      </c>
      <c r="C20" s="278">
        <v>412</v>
      </c>
      <c r="D20" s="278">
        <v>454</v>
      </c>
      <c r="E20" s="278">
        <v>449</v>
      </c>
      <c r="F20" s="278">
        <v>420</v>
      </c>
      <c r="G20" s="278">
        <v>413</v>
      </c>
      <c r="H20" s="278">
        <v>412</v>
      </c>
      <c r="I20" s="278">
        <v>434</v>
      </c>
      <c r="J20" s="278">
        <v>443</v>
      </c>
      <c r="K20" s="278">
        <v>409</v>
      </c>
      <c r="L20" s="278">
        <v>403</v>
      </c>
      <c r="M20" s="278">
        <v>430</v>
      </c>
      <c r="N20" s="278">
        <v>429</v>
      </c>
      <c r="O20" s="278">
        <v>408</v>
      </c>
      <c r="P20" s="278">
        <v>426</v>
      </c>
      <c r="Q20" s="278">
        <v>471</v>
      </c>
      <c r="R20" s="278">
        <v>488</v>
      </c>
      <c r="S20" s="278">
        <v>459</v>
      </c>
      <c r="T20" s="278">
        <v>389</v>
      </c>
      <c r="U20" s="278">
        <v>437</v>
      </c>
      <c r="V20" s="278">
        <v>421</v>
      </c>
      <c r="W20" s="278">
        <v>433</v>
      </c>
      <c r="X20" s="278">
        <v>463</v>
      </c>
      <c r="Y20" s="278">
        <v>421</v>
      </c>
      <c r="Z20" s="278">
        <v>415</v>
      </c>
      <c r="AA20" s="278">
        <v>443</v>
      </c>
      <c r="AB20" s="278">
        <v>414</v>
      </c>
      <c r="AC20" s="278">
        <v>443</v>
      </c>
      <c r="AD20" s="278">
        <v>496</v>
      </c>
      <c r="AE20" s="279">
        <v>447</v>
      </c>
      <c r="AF20" s="308"/>
      <c r="AG20" s="311"/>
      <c r="AH20" s="314"/>
      <c r="AI20" s="316"/>
    </row>
    <row r="21" spans="1:35" ht="32.25" thickBot="1">
      <c r="A21" s="256"/>
      <c r="B21" s="280" t="s">
        <v>177</v>
      </c>
      <c r="C21" s="281">
        <f>(C19-C20)/33*60</f>
        <v>2774.5454545454545</v>
      </c>
      <c r="D21" s="281">
        <f t="shared" ref="D21:AE21" si="0">(D19-D20)/33*60</f>
        <v>2687.2727272727275</v>
      </c>
      <c r="E21" s="281">
        <f t="shared" si="0"/>
        <v>2692.7272727272725</v>
      </c>
      <c r="F21" s="281">
        <f t="shared" si="0"/>
        <v>2736.3636363636365</v>
      </c>
      <c r="G21" s="281">
        <f t="shared" si="0"/>
        <v>2741.8181818181815</v>
      </c>
      <c r="H21" s="281">
        <f t="shared" si="0"/>
        <v>2745.4545454545455</v>
      </c>
      <c r="I21" s="281">
        <f t="shared" si="0"/>
        <v>2714.5454545454545</v>
      </c>
      <c r="J21" s="281">
        <f t="shared" si="0"/>
        <v>2701.818181818182</v>
      </c>
      <c r="K21" s="281">
        <f t="shared" si="0"/>
        <v>2772.7272727272725</v>
      </c>
      <c r="L21" s="281">
        <f t="shared" si="0"/>
        <v>2792.727272727273</v>
      </c>
      <c r="M21" s="281">
        <f t="shared" si="0"/>
        <v>2738.181818181818</v>
      </c>
      <c r="N21" s="281">
        <f t="shared" si="0"/>
        <v>2725.4545454545455</v>
      </c>
      <c r="O21" s="281">
        <f t="shared" si="0"/>
        <v>2750.909090909091</v>
      </c>
      <c r="P21" s="281">
        <f t="shared" si="0"/>
        <v>2720</v>
      </c>
      <c r="Q21" s="281">
        <f t="shared" si="0"/>
        <v>2652.7272727272725</v>
      </c>
      <c r="R21" s="281">
        <f t="shared" si="0"/>
        <v>2630.909090909091</v>
      </c>
      <c r="S21" s="281">
        <f t="shared" si="0"/>
        <v>2689.090909090909</v>
      </c>
      <c r="T21" s="281">
        <f t="shared" si="0"/>
        <v>2816.363636363636</v>
      </c>
      <c r="U21" s="281">
        <f t="shared" si="0"/>
        <v>2716.3636363636365</v>
      </c>
      <c r="V21" s="281">
        <f t="shared" si="0"/>
        <v>2736.3636363636365</v>
      </c>
      <c r="W21" s="281">
        <f t="shared" si="0"/>
        <v>2710.909090909091</v>
      </c>
      <c r="X21" s="281">
        <f t="shared" si="0"/>
        <v>2570.909090909091</v>
      </c>
      <c r="Y21" s="281">
        <f t="shared" si="0"/>
        <v>2749.090909090909</v>
      </c>
      <c r="Z21" s="281">
        <f t="shared" si="0"/>
        <v>2763.636363636364</v>
      </c>
      <c r="AA21" s="281">
        <f t="shared" si="0"/>
        <v>2701.818181818182</v>
      </c>
      <c r="AB21" s="281">
        <f t="shared" si="0"/>
        <v>2750.909090909091</v>
      </c>
      <c r="AC21" s="281">
        <f t="shared" si="0"/>
        <v>2700</v>
      </c>
      <c r="AD21" s="281">
        <f t="shared" si="0"/>
        <v>2618.181818181818</v>
      </c>
      <c r="AE21" s="282">
        <f t="shared" si="0"/>
        <v>2710.909090909091</v>
      </c>
      <c r="AF21" s="309"/>
      <c r="AG21" s="312"/>
      <c r="AH21" s="315"/>
      <c r="AI21" s="317"/>
    </row>
    <row r="22" spans="1:35" ht="16.5" thickTop="1">
      <c r="A22" s="256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</row>
    <row r="23" spans="1:35">
      <c r="A23" s="256"/>
      <c r="B23" s="327" t="s">
        <v>188</v>
      </c>
      <c r="C23" s="327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  <c r="R23" s="327"/>
      <c r="S23" s="327"/>
      <c r="T23" s="327"/>
      <c r="U23" s="327"/>
      <c r="V23" s="327"/>
      <c r="W23" s="327"/>
      <c r="X23" s="327"/>
      <c r="Y23" s="327"/>
      <c r="Z23" s="327"/>
      <c r="AA23" s="327"/>
      <c r="AB23" s="327"/>
      <c r="AC23" s="327"/>
      <c r="AD23" s="327"/>
      <c r="AE23" s="327"/>
      <c r="AF23" s="327"/>
      <c r="AG23" s="327"/>
      <c r="AH23" s="327"/>
      <c r="AI23" s="327"/>
    </row>
    <row r="24" spans="1:35" ht="16.5" thickBot="1">
      <c r="A24" s="256"/>
      <c r="B24" s="328" t="s">
        <v>187</v>
      </c>
      <c r="C24" s="328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8"/>
      <c r="S24" s="328"/>
      <c r="T24" s="328"/>
      <c r="U24" s="328"/>
      <c r="V24" s="328"/>
      <c r="W24" s="328"/>
      <c r="X24" s="328"/>
      <c r="Y24" s="328"/>
      <c r="Z24" s="328"/>
      <c r="AA24" s="328"/>
      <c r="AB24" s="328"/>
      <c r="AC24" s="328"/>
      <c r="AD24" s="328"/>
      <c r="AE24" s="328"/>
      <c r="AF24" s="328"/>
      <c r="AG24" s="328"/>
      <c r="AH24" s="328"/>
      <c r="AI24" s="328"/>
    </row>
    <row r="25" spans="1:35" ht="17.25" customHeight="1" thickTop="1" thickBot="1">
      <c r="A25" s="256"/>
      <c r="B25" s="267" t="s">
        <v>178</v>
      </c>
      <c r="C25" s="303" t="s">
        <v>181</v>
      </c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03"/>
      <c r="Y25" s="303"/>
      <c r="Z25" s="303"/>
      <c r="AA25" s="303"/>
      <c r="AB25" s="303"/>
      <c r="AC25" s="303"/>
      <c r="AD25" s="303"/>
      <c r="AE25" s="304"/>
      <c r="AF25" s="305" t="s">
        <v>174</v>
      </c>
      <c r="AG25" s="303"/>
      <c r="AH25" s="304"/>
      <c r="AI25" s="306" t="s">
        <v>172</v>
      </c>
    </row>
    <row r="26" spans="1:35" ht="16.5" thickBot="1">
      <c r="A26" s="256"/>
      <c r="B26" s="258" t="s">
        <v>171</v>
      </c>
      <c r="C26" s="255">
        <v>1</v>
      </c>
      <c r="D26" s="255">
        <v>2</v>
      </c>
      <c r="E26" s="255">
        <v>3</v>
      </c>
      <c r="F26" s="255">
        <v>4</v>
      </c>
      <c r="G26" s="255">
        <v>5</v>
      </c>
      <c r="H26" s="255">
        <v>6</v>
      </c>
      <c r="I26" s="255">
        <v>7</v>
      </c>
      <c r="J26" s="255">
        <v>8</v>
      </c>
      <c r="K26" s="255">
        <v>9</v>
      </c>
      <c r="L26" s="255">
        <v>10</v>
      </c>
      <c r="M26" s="255">
        <v>11</v>
      </c>
      <c r="N26" s="255">
        <v>12</v>
      </c>
      <c r="O26" s="255">
        <v>13</v>
      </c>
      <c r="P26" s="255">
        <v>14</v>
      </c>
      <c r="Q26" s="255">
        <v>15</v>
      </c>
      <c r="R26" s="255">
        <v>16</v>
      </c>
      <c r="S26" s="255">
        <v>17</v>
      </c>
      <c r="T26" s="255">
        <v>18</v>
      </c>
      <c r="U26" s="255">
        <v>19</v>
      </c>
      <c r="V26" s="255">
        <v>20</v>
      </c>
      <c r="W26" s="255">
        <v>21</v>
      </c>
      <c r="X26" s="255">
        <v>22</v>
      </c>
      <c r="Y26" s="255">
        <v>23</v>
      </c>
      <c r="Z26" s="255">
        <v>24</v>
      </c>
      <c r="AA26" s="255">
        <v>25</v>
      </c>
      <c r="AB26" s="255">
        <v>26</v>
      </c>
      <c r="AC26" s="255">
        <v>27</v>
      </c>
      <c r="AD26" s="255">
        <v>28</v>
      </c>
      <c r="AE26" s="260">
        <v>29</v>
      </c>
      <c r="AF26" s="264" t="s">
        <v>175</v>
      </c>
      <c r="AG26" s="255" t="s">
        <v>176</v>
      </c>
      <c r="AH26" s="265" t="s">
        <v>145</v>
      </c>
      <c r="AI26" s="307"/>
    </row>
    <row r="27" spans="1:35">
      <c r="A27" s="256"/>
      <c r="B27" s="259" t="s">
        <v>114</v>
      </c>
      <c r="C27" s="262">
        <v>1948</v>
      </c>
      <c r="D27" s="262">
        <v>1943</v>
      </c>
      <c r="E27" s="262">
        <v>1942</v>
      </c>
      <c r="F27" s="262">
        <v>1938</v>
      </c>
      <c r="G27" s="262">
        <v>1940</v>
      </c>
      <c r="H27" s="262">
        <v>1938</v>
      </c>
      <c r="I27" s="262">
        <v>1942</v>
      </c>
      <c r="J27" s="262">
        <v>1942</v>
      </c>
      <c r="K27" s="262">
        <v>1944</v>
      </c>
      <c r="L27" s="262">
        <v>1951</v>
      </c>
      <c r="M27" s="262">
        <v>1945</v>
      </c>
      <c r="N27" s="262">
        <v>1943</v>
      </c>
      <c r="O27" s="262">
        <v>1938</v>
      </c>
      <c r="P27" s="262">
        <v>1937</v>
      </c>
      <c r="Q27" s="262">
        <v>1941</v>
      </c>
      <c r="R27" s="262">
        <v>1941</v>
      </c>
      <c r="S27" s="262">
        <v>1948</v>
      </c>
      <c r="T27" s="262">
        <v>1947</v>
      </c>
      <c r="U27" s="262">
        <v>1945</v>
      </c>
      <c r="V27" s="262">
        <v>1942</v>
      </c>
      <c r="W27" s="262">
        <v>1942</v>
      </c>
      <c r="X27" s="262">
        <v>1942</v>
      </c>
      <c r="Y27" s="262">
        <v>1946</v>
      </c>
      <c r="Z27" s="262">
        <v>1948</v>
      </c>
      <c r="AA27" s="262">
        <v>1946</v>
      </c>
      <c r="AB27" s="262">
        <v>1940</v>
      </c>
      <c r="AC27" s="262">
        <v>1940</v>
      </c>
      <c r="AD27" s="262">
        <v>1941</v>
      </c>
      <c r="AE27" s="263">
        <v>1948</v>
      </c>
      <c r="AF27" s="308">
        <f>MAX(C29:AE29)</f>
        <v>4188</v>
      </c>
      <c r="AG27" s="310">
        <f>MIN(C29:AE29)</f>
        <v>3321</v>
      </c>
      <c r="AH27" s="313">
        <f>AVERAGE(C29:AE29)</f>
        <v>3716.4827586206898</v>
      </c>
      <c r="AI27" s="316">
        <f>(AF27-AG27)/(AF27+AG27)*100</f>
        <v>11.546144626448262</v>
      </c>
    </row>
    <row r="28" spans="1:35" ht="16.5" thickBot="1">
      <c r="A28" s="256"/>
      <c r="B28" s="277" t="s">
        <v>115</v>
      </c>
      <c r="C28" s="278">
        <v>561</v>
      </c>
      <c r="D28" s="278">
        <v>672</v>
      </c>
      <c r="E28" s="278">
        <v>770</v>
      </c>
      <c r="F28" s="278">
        <v>815</v>
      </c>
      <c r="G28" s="278">
        <v>833</v>
      </c>
      <c r="H28" s="278">
        <v>813</v>
      </c>
      <c r="I28" s="278">
        <v>770</v>
      </c>
      <c r="J28" s="278">
        <v>674</v>
      </c>
      <c r="K28" s="278">
        <v>577</v>
      </c>
      <c r="L28" s="278">
        <v>555</v>
      </c>
      <c r="M28" s="278">
        <v>671</v>
      </c>
      <c r="N28" s="278">
        <v>771</v>
      </c>
      <c r="O28" s="278">
        <v>817</v>
      </c>
      <c r="P28" s="278">
        <v>811</v>
      </c>
      <c r="Q28" s="278">
        <v>762</v>
      </c>
      <c r="R28" s="278">
        <v>661</v>
      </c>
      <c r="S28" s="278">
        <v>558</v>
      </c>
      <c r="T28" s="278">
        <v>564</v>
      </c>
      <c r="U28" s="278">
        <v>714</v>
      </c>
      <c r="V28" s="278">
        <v>808</v>
      </c>
      <c r="W28" s="278">
        <v>802</v>
      </c>
      <c r="X28" s="278">
        <v>705</v>
      </c>
      <c r="Y28" s="278">
        <v>577</v>
      </c>
      <c r="Z28" s="278">
        <v>573</v>
      </c>
      <c r="AA28" s="278">
        <v>716</v>
      </c>
      <c r="AB28" s="278">
        <v>807</v>
      </c>
      <c r="AC28" s="278">
        <v>803</v>
      </c>
      <c r="AD28" s="278">
        <v>702</v>
      </c>
      <c r="AE28" s="279">
        <v>560</v>
      </c>
      <c r="AF28" s="308"/>
      <c r="AG28" s="311"/>
      <c r="AH28" s="314"/>
      <c r="AI28" s="316"/>
    </row>
    <row r="29" spans="1:35" ht="32.25" thickBot="1">
      <c r="A29" s="256"/>
      <c r="B29" s="280" t="s">
        <v>173</v>
      </c>
      <c r="C29" s="281">
        <f>(C27-C28)*3</f>
        <v>4161</v>
      </c>
      <c r="D29" s="281">
        <f t="shared" ref="D29:AE29" si="1">(D27-D28)*3</f>
        <v>3813</v>
      </c>
      <c r="E29" s="281">
        <f t="shared" si="1"/>
        <v>3516</v>
      </c>
      <c r="F29" s="281">
        <f t="shared" si="1"/>
        <v>3369</v>
      </c>
      <c r="G29" s="281">
        <f t="shared" si="1"/>
        <v>3321</v>
      </c>
      <c r="H29" s="281">
        <f t="shared" si="1"/>
        <v>3375</v>
      </c>
      <c r="I29" s="281">
        <f t="shared" si="1"/>
        <v>3516</v>
      </c>
      <c r="J29" s="281">
        <f t="shared" si="1"/>
        <v>3804</v>
      </c>
      <c r="K29" s="281">
        <f t="shared" si="1"/>
        <v>4101</v>
      </c>
      <c r="L29" s="281">
        <f t="shared" si="1"/>
        <v>4188</v>
      </c>
      <c r="M29" s="281">
        <f t="shared" si="1"/>
        <v>3822</v>
      </c>
      <c r="N29" s="281">
        <f t="shared" si="1"/>
        <v>3516</v>
      </c>
      <c r="O29" s="281">
        <f t="shared" si="1"/>
        <v>3363</v>
      </c>
      <c r="P29" s="281">
        <f t="shared" si="1"/>
        <v>3378</v>
      </c>
      <c r="Q29" s="281">
        <f t="shared" si="1"/>
        <v>3537</v>
      </c>
      <c r="R29" s="281">
        <f t="shared" si="1"/>
        <v>3840</v>
      </c>
      <c r="S29" s="281">
        <f t="shared" si="1"/>
        <v>4170</v>
      </c>
      <c r="T29" s="281">
        <f t="shared" si="1"/>
        <v>4149</v>
      </c>
      <c r="U29" s="281">
        <f t="shared" si="1"/>
        <v>3693</v>
      </c>
      <c r="V29" s="281">
        <f t="shared" si="1"/>
        <v>3402</v>
      </c>
      <c r="W29" s="281">
        <f t="shared" si="1"/>
        <v>3420</v>
      </c>
      <c r="X29" s="281">
        <f t="shared" si="1"/>
        <v>3711</v>
      </c>
      <c r="Y29" s="281">
        <f t="shared" si="1"/>
        <v>4107</v>
      </c>
      <c r="Z29" s="281">
        <f t="shared" si="1"/>
        <v>4125</v>
      </c>
      <c r="AA29" s="281">
        <f t="shared" si="1"/>
        <v>3690</v>
      </c>
      <c r="AB29" s="281">
        <f t="shared" si="1"/>
        <v>3399</v>
      </c>
      <c r="AC29" s="281">
        <f t="shared" si="1"/>
        <v>3411</v>
      </c>
      <c r="AD29" s="281">
        <f t="shared" si="1"/>
        <v>3717</v>
      </c>
      <c r="AE29" s="281">
        <f t="shared" si="1"/>
        <v>4164</v>
      </c>
      <c r="AF29" s="309"/>
      <c r="AG29" s="312"/>
      <c r="AH29" s="315"/>
      <c r="AI29" s="317"/>
    </row>
    <row r="30" spans="1:35" ht="16.5" thickTop="1">
      <c r="A30" s="256"/>
    </row>
    <row r="31" spans="1:35" ht="16.5" thickBot="1">
      <c r="A31" s="256"/>
      <c r="B31" s="266">
        <v>44203</v>
      </c>
    </row>
    <row r="32" spans="1:35" ht="17.25" thickTop="1" thickBot="1">
      <c r="A32" s="256"/>
      <c r="B32" s="267" t="s">
        <v>178</v>
      </c>
      <c r="C32" s="303" t="s">
        <v>182</v>
      </c>
      <c r="D32" s="303"/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303"/>
      <c r="Y32" s="303"/>
      <c r="Z32" s="303"/>
      <c r="AA32" s="303"/>
      <c r="AB32" s="303"/>
      <c r="AC32" s="303"/>
      <c r="AD32" s="303"/>
      <c r="AE32" s="304"/>
      <c r="AF32" s="305" t="s">
        <v>174</v>
      </c>
      <c r="AG32" s="303"/>
      <c r="AH32" s="304"/>
      <c r="AI32" s="306" t="s">
        <v>172</v>
      </c>
    </row>
    <row r="33" spans="1:35" ht="16.5" thickBot="1">
      <c r="A33" s="256"/>
      <c r="B33" s="258" t="s">
        <v>171</v>
      </c>
      <c r="C33" s="255">
        <v>1</v>
      </c>
      <c r="D33" s="255">
        <v>2</v>
      </c>
      <c r="E33" s="255">
        <v>3</v>
      </c>
      <c r="F33" s="255">
        <v>4</v>
      </c>
      <c r="G33" s="255">
        <v>5</v>
      </c>
      <c r="H33" s="255">
        <v>6</v>
      </c>
      <c r="I33" s="255">
        <v>7</v>
      </c>
      <c r="J33" s="255">
        <v>8</v>
      </c>
      <c r="K33" s="255">
        <v>9</v>
      </c>
      <c r="L33" s="255">
        <v>10</v>
      </c>
      <c r="M33" s="255">
        <v>11</v>
      </c>
      <c r="N33" s="255">
        <v>12</v>
      </c>
      <c r="O33" s="255">
        <v>13</v>
      </c>
      <c r="P33" s="255">
        <v>14</v>
      </c>
      <c r="Q33" s="255">
        <v>15</v>
      </c>
      <c r="R33" s="255">
        <v>16</v>
      </c>
      <c r="S33" s="255">
        <v>17</v>
      </c>
      <c r="T33" s="255">
        <v>18</v>
      </c>
      <c r="U33" s="255">
        <v>19</v>
      </c>
      <c r="V33" s="255">
        <v>20</v>
      </c>
      <c r="W33" s="255">
        <v>21</v>
      </c>
      <c r="X33" s="255">
        <v>22</v>
      </c>
      <c r="Y33" s="255">
        <v>23</v>
      </c>
      <c r="Z33" s="255">
        <v>24</v>
      </c>
      <c r="AA33" s="255">
        <v>25</v>
      </c>
      <c r="AB33" s="255">
        <v>26</v>
      </c>
      <c r="AC33" s="255">
        <v>27</v>
      </c>
      <c r="AD33" s="255">
        <v>28</v>
      </c>
      <c r="AE33" s="260">
        <v>29</v>
      </c>
      <c r="AF33" s="264" t="s">
        <v>175</v>
      </c>
      <c r="AG33" s="255" t="s">
        <v>176</v>
      </c>
      <c r="AH33" s="265" t="s">
        <v>145</v>
      </c>
      <c r="AI33" s="307"/>
    </row>
    <row r="34" spans="1:35">
      <c r="A34" s="256"/>
      <c r="B34" s="259" t="s">
        <v>114</v>
      </c>
      <c r="C34" s="262">
        <v>1930</v>
      </c>
      <c r="D34" s="262">
        <v>1925</v>
      </c>
      <c r="E34" s="262">
        <v>1923</v>
      </c>
      <c r="F34" s="262">
        <v>1922</v>
      </c>
      <c r="G34" s="262">
        <v>1916</v>
      </c>
      <c r="H34" s="262">
        <v>1921</v>
      </c>
      <c r="I34" s="262">
        <v>1922</v>
      </c>
      <c r="J34" s="262">
        <v>1923</v>
      </c>
      <c r="K34" s="262">
        <v>1928</v>
      </c>
      <c r="L34" s="262">
        <v>1929</v>
      </c>
      <c r="M34" s="262">
        <v>1926</v>
      </c>
      <c r="N34" s="262">
        <v>1923</v>
      </c>
      <c r="O34" s="262">
        <v>1917</v>
      </c>
      <c r="P34" s="262">
        <v>1920</v>
      </c>
      <c r="Q34" s="262">
        <v>1921</v>
      </c>
      <c r="R34" s="262">
        <v>1923</v>
      </c>
      <c r="S34" s="262">
        <v>1929</v>
      </c>
      <c r="T34" s="262">
        <v>1928</v>
      </c>
      <c r="U34" s="262">
        <v>1925</v>
      </c>
      <c r="V34" s="262">
        <v>1925</v>
      </c>
      <c r="W34" s="262">
        <v>1919</v>
      </c>
      <c r="X34" s="262">
        <v>1924</v>
      </c>
      <c r="Y34" s="262">
        <v>1927</v>
      </c>
      <c r="Z34" s="262">
        <v>1928</v>
      </c>
      <c r="AA34" s="262">
        <v>1924</v>
      </c>
      <c r="AB34" s="262">
        <v>1919</v>
      </c>
      <c r="AC34" s="262">
        <v>1921</v>
      </c>
      <c r="AD34" s="262">
        <v>1924</v>
      </c>
      <c r="AE34" s="263">
        <v>1927</v>
      </c>
      <c r="AF34" s="308">
        <f>MAX(C36:AE36)</f>
        <v>3402</v>
      </c>
      <c r="AG34" s="310">
        <f>MIN(C36:AE36)</f>
        <v>3135</v>
      </c>
      <c r="AH34" s="313">
        <f>AVERAGE(C36:AE36)</f>
        <v>3228.6206896551726</v>
      </c>
      <c r="AI34" s="316">
        <f>(AF34-AG34)/(AF34+AG34)*100</f>
        <v>4.0844424047728323</v>
      </c>
    </row>
    <row r="35" spans="1:35" ht="16.5" thickBot="1">
      <c r="A35" s="256"/>
      <c r="B35" s="277" t="s">
        <v>115</v>
      </c>
      <c r="C35" s="278">
        <v>796</v>
      </c>
      <c r="D35" s="278">
        <v>843</v>
      </c>
      <c r="E35" s="278">
        <v>864</v>
      </c>
      <c r="F35" s="278">
        <v>869</v>
      </c>
      <c r="G35" s="278">
        <v>871</v>
      </c>
      <c r="H35" s="278">
        <v>870</v>
      </c>
      <c r="I35" s="278">
        <v>864</v>
      </c>
      <c r="J35" s="278">
        <v>852</v>
      </c>
      <c r="K35" s="278">
        <v>819</v>
      </c>
      <c r="L35" s="278">
        <v>810</v>
      </c>
      <c r="M35" s="278">
        <v>851</v>
      </c>
      <c r="N35" s="278">
        <v>868</v>
      </c>
      <c r="O35" s="278">
        <v>872</v>
      </c>
      <c r="P35" s="278">
        <v>868</v>
      </c>
      <c r="Q35" s="278">
        <v>862</v>
      </c>
      <c r="R35" s="278">
        <v>843</v>
      </c>
      <c r="S35" s="278">
        <v>814</v>
      </c>
      <c r="T35" s="278">
        <v>799</v>
      </c>
      <c r="U35" s="278">
        <v>855</v>
      </c>
      <c r="V35" s="278">
        <v>873</v>
      </c>
      <c r="W35" s="278">
        <v>871</v>
      </c>
      <c r="X35" s="278">
        <v>854</v>
      </c>
      <c r="Y35" s="278">
        <v>821</v>
      </c>
      <c r="Z35" s="278">
        <v>812</v>
      </c>
      <c r="AA35" s="278">
        <v>860</v>
      </c>
      <c r="AB35" s="278">
        <v>871</v>
      </c>
      <c r="AC35" s="278">
        <v>868</v>
      </c>
      <c r="AD35" s="278">
        <v>849</v>
      </c>
      <c r="AE35" s="279">
        <v>810</v>
      </c>
      <c r="AF35" s="308"/>
      <c r="AG35" s="311"/>
      <c r="AH35" s="314"/>
      <c r="AI35" s="316"/>
    </row>
    <row r="36" spans="1:35" ht="32.25" thickBot="1">
      <c r="A36" s="256"/>
      <c r="B36" s="280" t="s">
        <v>173</v>
      </c>
      <c r="C36" s="281">
        <f>(C34-C35)*3</f>
        <v>3402</v>
      </c>
      <c r="D36" s="281">
        <f t="shared" ref="D36:AE36" si="2">(D34-D35)*3</f>
        <v>3246</v>
      </c>
      <c r="E36" s="281">
        <f t="shared" si="2"/>
        <v>3177</v>
      </c>
      <c r="F36" s="281">
        <f t="shared" si="2"/>
        <v>3159</v>
      </c>
      <c r="G36" s="281">
        <f t="shared" si="2"/>
        <v>3135</v>
      </c>
      <c r="H36" s="281">
        <f t="shared" si="2"/>
        <v>3153</v>
      </c>
      <c r="I36" s="281">
        <f t="shared" si="2"/>
        <v>3174</v>
      </c>
      <c r="J36" s="281">
        <f t="shared" si="2"/>
        <v>3213</v>
      </c>
      <c r="K36" s="281">
        <f t="shared" si="2"/>
        <v>3327</v>
      </c>
      <c r="L36" s="281">
        <f t="shared" si="2"/>
        <v>3357</v>
      </c>
      <c r="M36" s="281">
        <f t="shared" si="2"/>
        <v>3225</v>
      </c>
      <c r="N36" s="281">
        <f t="shared" si="2"/>
        <v>3165</v>
      </c>
      <c r="O36" s="281">
        <f t="shared" si="2"/>
        <v>3135</v>
      </c>
      <c r="P36" s="281">
        <f t="shared" si="2"/>
        <v>3156</v>
      </c>
      <c r="Q36" s="281">
        <f t="shared" si="2"/>
        <v>3177</v>
      </c>
      <c r="R36" s="281">
        <f t="shared" si="2"/>
        <v>3240</v>
      </c>
      <c r="S36" s="281">
        <f t="shared" si="2"/>
        <v>3345</v>
      </c>
      <c r="T36" s="281">
        <f t="shared" si="2"/>
        <v>3387</v>
      </c>
      <c r="U36" s="281">
        <f t="shared" si="2"/>
        <v>3210</v>
      </c>
      <c r="V36" s="281">
        <f t="shared" si="2"/>
        <v>3156</v>
      </c>
      <c r="W36" s="281">
        <f t="shared" si="2"/>
        <v>3144</v>
      </c>
      <c r="X36" s="281">
        <f t="shared" si="2"/>
        <v>3210</v>
      </c>
      <c r="Y36" s="281">
        <f t="shared" si="2"/>
        <v>3318</v>
      </c>
      <c r="Z36" s="281">
        <f t="shared" si="2"/>
        <v>3348</v>
      </c>
      <c r="AA36" s="281">
        <f t="shared" si="2"/>
        <v>3192</v>
      </c>
      <c r="AB36" s="281">
        <f t="shared" si="2"/>
        <v>3144</v>
      </c>
      <c r="AC36" s="281">
        <f t="shared" si="2"/>
        <v>3159</v>
      </c>
      <c r="AD36" s="281">
        <f t="shared" si="2"/>
        <v>3225</v>
      </c>
      <c r="AE36" s="281">
        <f t="shared" si="2"/>
        <v>3351</v>
      </c>
      <c r="AF36" s="309"/>
      <c r="AG36" s="312"/>
      <c r="AH36" s="315"/>
      <c r="AI36" s="317"/>
    </row>
    <row r="37" spans="1:35" ht="16.5" thickTop="1">
      <c r="A37" s="256"/>
    </row>
    <row r="38" spans="1:35">
      <c r="A38" s="256"/>
      <c r="B38" s="266">
        <v>44204</v>
      </c>
    </row>
    <row r="39" spans="1:35" ht="16.5" thickBot="1">
      <c r="A39" s="256"/>
      <c r="B39" s="326" t="s">
        <v>185</v>
      </c>
      <c r="C39" s="326"/>
      <c r="D39" s="326"/>
      <c r="E39" s="326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6"/>
      <c r="V39" s="326"/>
      <c r="W39" s="326"/>
      <c r="X39" s="326"/>
      <c r="Y39" s="326"/>
      <c r="Z39" s="326"/>
      <c r="AA39" s="326"/>
      <c r="AB39" s="326"/>
      <c r="AC39" s="326"/>
      <c r="AD39" s="326"/>
      <c r="AE39" s="326"/>
      <c r="AF39" s="326"/>
      <c r="AG39" s="326"/>
      <c r="AH39" s="326"/>
      <c r="AI39" s="326"/>
    </row>
    <row r="40" spans="1:35" ht="17.25" thickTop="1" thickBot="1">
      <c r="A40" s="256"/>
      <c r="B40" s="267" t="s">
        <v>178</v>
      </c>
      <c r="C40" s="303" t="s">
        <v>183</v>
      </c>
      <c r="D40" s="303"/>
      <c r="E40" s="303"/>
      <c r="F40" s="303"/>
      <c r="G40" s="303"/>
      <c r="H40" s="303"/>
      <c r="I40" s="303"/>
      <c r="J40" s="303"/>
      <c r="K40" s="303"/>
      <c r="L40" s="303"/>
      <c r="M40" s="303"/>
      <c r="N40" s="303"/>
      <c r="O40" s="303"/>
      <c r="P40" s="303"/>
      <c r="Q40" s="303"/>
      <c r="R40" s="303"/>
      <c r="S40" s="303"/>
      <c r="T40" s="303"/>
      <c r="U40" s="303"/>
      <c r="V40" s="303"/>
      <c r="W40" s="303"/>
      <c r="X40" s="303"/>
      <c r="Y40" s="303"/>
      <c r="Z40" s="303"/>
      <c r="AA40" s="303"/>
      <c r="AB40" s="303"/>
      <c r="AC40" s="303"/>
      <c r="AD40" s="303"/>
      <c r="AE40" s="304"/>
      <c r="AF40" s="305" t="s">
        <v>174</v>
      </c>
      <c r="AG40" s="303"/>
      <c r="AH40" s="304"/>
      <c r="AI40" s="306" t="s">
        <v>172</v>
      </c>
    </row>
    <row r="41" spans="1:35" ht="16.5" thickBot="1">
      <c r="A41" s="256"/>
      <c r="B41" s="258" t="s">
        <v>171</v>
      </c>
      <c r="C41" s="255">
        <v>1</v>
      </c>
      <c r="D41" s="255">
        <v>2</v>
      </c>
      <c r="E41" s="255">
        <v>3</v>
      </c>
      <c r="F41" s="255">
        <v>4</v>
      </c>
      <c r="G41" s="255">
        <v>5</v>
      </c>
      <c r="H41" s="255">
        <v>6</v>
      </c>
      <c r="I41" s="255">
        <v>7</v>
      </c>
      <c r="J41" s="255">
        <v>8</v>
      </c>
      <c r="K41" s="255">
        <v>9</v>
      </c>
      <c r="L41" s="255">
        <v>10</v>
      </c>
      <c r="M41" s="255">
        <v>11</v>
      </c>
      <c r="N41" s="255">
        <v>12</v>
      </c>
      <c r="O41" s="255">
        <v>13</v>
      </c>
      <c r="P41" s="255">
        <v>14</v>
      </c>
      <c r="Q41" s="255">
        <v>15</v>
      </c>
      <c r="R41" s="255">
        <v>16</v>
      </c>
      <c r="S41" s="255">
        <v>17</v>
      </c>
      <c r="T41" s="255">
        <v>18</v>
      </c>
      <c r="U41" s="255">
        <v>19</v>
      </c>
      <c r="V41" s="255">
        <v>20</v>
      </c>
      <c r="W41" s="255">
        <v>21</v>
      </c>
      <c r="X41" s="255">
        <v>22</v>
      </c>
      <c r="Y41" s="255">
        <v>23</v>
      </c>
      <c r="Z41" s="255">
        <v>24</v>
      </c>
      <c r="AA41" s="255">
        <v>25</v>
      </c>
      <c r="AB41" s="255">
        <v>26</v>
      </c>
      <c r="AC41" s="255">
        <v>27</v>
      </c>
      <c r="AD41" s="255">
        <v>28</v>
      </c>
      <c r="AE41" s="260">
        <v>29</v>
      </c>
      <c r="AF41" s="264" t="s">
        <v>175</v>
      </c>
      <c r="AG41" s="255" t="s">
        <v>176</v>
      </c>
      <c r="AH41" s="265" t="s">
        <v>145</v>
      </c>
      <c r="AI41" s="307"/>
    </row>
    <row r="42" spans="1:35">
      <c r="A42" s="256"/>
      <c r="B42" s="259" t="s">
        <v>114</v>
      </c>
      <c r="C42" s="262">
        <v>29129.99</v>
      </c>
      <c r="D42" s="262">
        <v>29058.18</v>
      </c>
      <c r="E42" s="262">
        <v>29003.439999999999</v>
      </c>
      <c r="F42" s="262">
        <v>28992.67</v>
      </c>
      <c r="G42" s="262">
        <v>28998.06</v>
      </c>
      <c r="H42" s="262">
        <v>28970.12</v>
      </c>
      <c r="I42" s="262">
        <v>28973.439999999999</v>
      </c>
      <c r="J42" s="262">
        <v>29015.06</v>
      </c>
      <c r="K42" s="262">
        <v>29085.439999999999</v>
      </c>
      <c r="L42" s="262">
        <v>29106.45</v>
      </c>
      <c r="M42" s="262">
        <v>29039.69</v>
      </c>
      <c r="N42" s="262">
        <v>28982.2</v>
      </c>
      <c r="O42" s="262">
        <v>28976.14</v>
      </c>
      <c r="P42" s="262">
        <v>28965.35</v>
      </c>
      <c r="Q42" s="262">
        <v>28979.87</v>
      </c>
      <c r="R42" s="262">
        <v>29020.05</v>
      </c>
      <c r="S42" s="262">
        <v>29113.200000000001</v>
      </c>
      <c r="T42" s="262">
        <v>29109.64</v>
      </c>
      <c r="U42" s="262">
        <v>29014.78</v>
      </c>
      <c r="V42" s="262">
        <v>28970.01</v>
      </c>
      <c r="W42" s="262">
        <v>28961.11</v>
      </c>
      <c r="X42" s="262">
        <v>28991.37</v>
      </c>
      <c r="Y42" s="262">
        <v>29087.41</v>
      </c>
      <c r="Z42" s="262">
        <v>29073.279999999999</v>
      </c>
      <c r="AA42" s="262">
        <v>28997.919999999998</v>
      </c>
      <c r="AB42" s="262">
        <v>28954.04</v>
      </c>
      <c r="AC42" s="262">
        <v>29024.400000000001</v>
      </c>
      <c r="AD42" s="262">
        <v>29007.67</v>
      </c>
      <c r="AE42" s="263">
        <v>29106.71</v>
      </c>
      <c r="AF42" s="308">
        <f>MAX(C44:AE44)</f>
        <v>2527.4142857142838</v>
      </c>
      <c r="AG42" s="310">
        <f>MIN(C44:AE44)</f>
        <v>2325.3428571428572</v>
      </c>
      <c r="AH42" s="313">
        <f>AVERAGE(C44:AE44)</f>
        <v>2412.7662561576349</v>
      </c>
      <c r="AI42" s="316">
        <f>(AF42-AG42)/(AF42+AG42)*100</f>
        <v>4.1640540134768358</v>
      </c>
    </row>
    <row r="43" spans="1:35" ht="16.5" thickBot="1">
      <c r="A43" s="256"/>
      <c r="B43" s="277" t="s">
        <v>115</v>
      </c>
      <c r="C43" s="278">
        <v>27951.439999999999</v>
      </c>
      <c r="D43" s="278">
        <v>27918.799999999999</v>
      </c>
      <c r="E43" s="278">
        <v>27891.119999999999</v>
      </c>
      <c r="F43" s="278">
        <v>27891.55</v>
      </c>
      <c r="G43" s="278">
        <v>27900.41</v>
      </c>
      <c r="H43" s="278">
        <v>27884.81</v>
      </c>
      <c r="I43" s="278">
        <v>27870</v>
      </c>
      <c r="J43" s="278">
        <v>27891.439999999999</v>
      </c>
      <c r="K43" s="278">
        <v>27948.01</v>
      </c>
      <c r="L43" s="278">
        <v>27949.21</v>
      </c>
      <c r="M43" s="278">
        <v>27915.25</v>
      </c>
      <c r="N43" s="278">
        <v>27880.42</v>
      </c>
      <c r="O43" s="278">
        <v>27880.41</v>
      </c>
      <c r="P43" s="278">
        <v>27870.34</v>
      </c>
      <c r="Q43" s="278">
        <v>27865.84</v>
      </c>
      <c r="R43" s="278">
        <v>27883.48</v>
      </c>
      <c r="S43" s="278">
        <v>27933.74</v>
      </c>
      <c r="T43" s="278">
        <v>27940.37</v>
      </c>
      <c r="U43" s="278">
        <v>27891.56</v>
      </c>
      <c r="V43" s="278">
        <v>27878.45</v>
      </c>
      <c r="W43" s="278">
        <v>27875.95</v>
      </c>
      <c r="X43" s="278">
        <v>27874.62</v>
      </c>
      <c r="Y43" s="278">
        <v>27917.63</v>
      </c>
      <c r="Z43" s="278">
        <v>27928.6</v>
      </c>
      <c r="AA43" s="278">
        <v>27878.29</v>
      </c>
      <c r="AB43" s="278">
        <v>27863.19</v>
      </c>
      <c r="AC43" s="278">
        <v>27862.400000000001</v>
      </c>
      <c r="AD43" s="278">
        <v>27883.09</v>
      </c>
      <c r="AE43" s="279">
        <v>27934.5</v>
      </c>
      <c r="AF43" s="308"/>
      <c r="AG43" s="311"/>
      <c r="AH43" s="314"/>
      <c r="AI43" s="316"/>
    </row>
    <row r="44" spans="1:35" ht="32.25" thickBot="1">
      <c r="A44" s="256"/>
      <c r="B44" s="280" t="s">
        <v>173</v>
      </c>
      <c r="C44" s="281">
        <f>(C42-C43)/28*60</f>
        <v>2525.4642857142917</v>
      </c>
      <c r="D44" s="281">
        <f t="shared" ref="D44:AE44" si="3">(D42-D43)/28*60</f>
        <v>2441.5285714285733</v>
      </c>
      <c r="E44" s="281">
        <f t="shared" si="3"/>
        <v>2383.5428571428565</v>
      </c>
      <c r="F44" s="281">
        <f t="shared" si="3"/>
        <v>2359.5428571428547</v>
      </c>
      <c r="G44" s="281">
        <f t="shared" si="3"/>
        <v>2352.1071428571463</v>
      </c>
      <c r="H44" s="281">
        <f t="shared" si="3"/>
        <v>2325.664285714281</v>
      </c>
      <c r="I44" s="281">
        <f t="shared" si="3"/>
        <v>2364.5142857142832</v>
      </c>
      <c r="J44" s="281">
        <f t="shared" si="3"/>
        <v>2407.7571428571482</v>
      </c>
      <c r="K44" s="281">
        <f t="shared" si="3"/>
        <v>2437.3500000000004</v>
      </c>
      <c r="L44" s="281">
        <f t="shared" si="3"/>
        <v>2479.8000000000034</v>
      </c>
      <c r="M44" s="281">
        <f t="shared" si="3"/>
        <v>2409.5142857142832</v>
      </c>
      <c r="N44" s="281">
        <f t="shared" si="3"/>
        <v>2360.9571428571485</v>
      </c>
      <c r="O44" s="281">
        <f t="shared" si="3"/>
        <v>2347.9928571428559</v>
      </c>
      <c r="P44" s="281">
        <f t="shared" si="3"/>
        <v>2346.4499999999966</v>
      </c>
      <c r="Q44" s="281">
        <f t="shared" si="3"/>
        <v>2387.2071428571403</v>
      </c>
      <c r="R44" s="281">
        <f t="shared" si="3"/>
        <v>2435.5071428571423</v>
      </c>
      <c r="S44" s="281">
        <f t="shared" si="3"/>
        <v>2527.4142857142838</v>
      </c>
      <c r="T44" s="281">
        <f t="shared" si="3"/>
        <v>2505.5785714285721</v>
      </c>
      <c r="U44" s="281">
        <f t="shared" si="3"/>
        <v>2406.8999999999946</v>
      </c>
      <c r="V44" s="281">
        <f t="shared" si="3"/>
        <v>2339.0571428571379</v>
      </c>
      <c r="W44" s="281">
        <f t="shared" si="3"/>
        <v>2325.3428571428572</v>
      </c>
      <c r="X44" s="281">
        <f t="shared" si="3"/>
        <v>2393.0357142857142</v>
      </c>
      <c r="Y44" s="281">
        <f t="shared" si="3"/>
        <v>2506.6714285714261</v>
      </c>
      <c r="Z44" s="281">
        <f t="shared" si="3"/>
        <v>2452.8857142857146</v>
      </c>
      <c r="AA44" s="281">
        <f t="shared" si="3"/>
        <v>2399.2071428571376</v>
      </c>
      <c r="AB44" s="281">
        <f t="shared" si="3"/>
        <v>2337.5357142857192</v>
      </c>
      <c r="AC44" s="281">
        <f t="shared" si="3"/>
        <v>2490</v>
      </c>
      <c r="AD44" s="281">
        <f t="shared" si="3"/>
        <v>2409.8142857142816</v>
      </c>
      <c r="AE44" s="281">
        <f t="shared" si="3"/>
        <v>2511.8785714285696</v>
      </c>
      <c r="AF44" s="309"/>
      <c r="AG44" s="312"/>
      <c r="AH44" s="315"/>
      <c r="AI44" s="317"/>
    </row>
    <row r="45" spans="1:35" ht="17.25" thickTop="1" thickBot="1">
      <c r="A45" s="256"/>
    </row>
    <row r="46" spans="1:35" ht="17.25" customHeight="1" thickTop="1" thickBot="1">
      <c r="A46" s="256"/>
      <c r="B46" s="267" t="s">
        <v>178</v>
      </c>
      <c r="C46" s="305" t="s">
        <v>184</v>
      </c>
      <c r="D46" s="303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4"/>
      <c r="P46" s="305" t="s">
        <v>174</v>
      </c>
      <c r="Q46" s="303"/>
      <c r="R46" s="304"/>
      <c r="S46" s="306" t="s">
        <v>172</v>
      </c>
    </row>
    <row r="47" spans="1:35" ht="16.5" thickBot="1">
      <c r="A47" s="256"/>
      <c r="B47" s="258" t="s">
        <v>171</v>
      </c>
      <c r="C47" s="255">
        <v>1</v>
      </c>
      <c r="D47" s="255">
        <v>2</v>
      </c>
      <c r="E47" s="255">
        <v>3</v>
      </c>
      <c r="F47" s="255">
        <v>4</v>
      </c>
      <c r="G47" s="255">
        <v>5</v>
      </c>
      <c r="H47" s="255">
        <v>6</v>
      </c>
      <c r="I47" s="255">
        <v>7</v>
      </c>
      <c r="J47" s="255">
        <v>8</v>
      </c>
      <c r="K47" s="255">
        <v>9</v>
      </c>
      <c r="L47" s="255">
        <v>10</v>
      </c>
      <c r="M47" s="255">
        <v>11</v>
      </c>
      <c r="N47" s="255">
        <v>12</v>
      </c>
      <c r="O47" s="260">
        <v>13</v>
      </c>
      <c r="P47" s="264" t="s">
        <v>175</v>
      </c>
      <c r="Q47" s="255" t="s">
        <v>176</v>
      </c>
      <c r="R47" s="265" t="s">
        <v>145</v>
      </c>
      <c r="S47" s="307"/>
    </row>
    <row r="48" spans="1:35">
      <c r="A48" s="256"/>
      <c r="B48" s="259" t="s">
        <v>114</v>
      </c>
      <c r="C48" s="262">
        <v>313.10000000000002</v>
      </c>
      <c r="D48" s="262">
        <v>304.5</v>
      </c>
      <c r="E48" s="262">
        <v>303</v>
      </c>
      <c r="F48" s="262">
        <v>303.60000000000002</v>
      </c>
      <c r="G48" s="262">
        <v>302.7</v>
      </c>
      <c r="H48" s="262">
        <v>303.7</v>
      </c>
      <c r="I48" s="262">
        <v>302.89999999999998</v>
      </c>
      <c r="J48" s="262">
        <v>303.3</v>
      </c>
      <c r="K48" s="262">
        <v>304</v>
      </c>
      <c r="L48" s="262">
        <v>280.89999999999998</v>
      </c>
      <c r="M48" s="262">
        <v>279.60000000000002</v>
      </c>
      <c r="N48" s="262">
        <v>280.89999999999998</v>
      </c>
      <c r="O48" s="263">
        <v>283.60000000000002</v>
      </c>
      <c r="P48" s="318">
        <f>MAX(C50:O50)</f>
        <v>20.024999999999949</v>
      </c>
      <c r="Q48" s="320">
        <f>MIN(C50:O50)</f>
        <v>7.6499999999999488</v>
      </c>
      <c r="R48" s="323">
        <f>AVERAGE(C50:O50)</f>
        <v>13.326923076923077</v>
      </c>
      <c r="S48" s="316">
        <f>(P48-Q48)/(P48+Q48)*100</f>
        <v>44.715447154471711</v>
      </c>
    </row>
    <row r="49" spans="1:31" ht="16.5" thickBot="1">
      <c r="A49" s="256"/>
      <c r="B49" s="277" t="s">
        <v>115</v>
      </c>
      <c r="C49" s="278">
        <v>308.3</v>
      </c>
      <c r="D49" s="278">
        <v>298.89999999999998</v>
      </c>
      <c r="E49" s="278">
        <v>298.2</v>
      </c>
      <c r="F49" s="278">
        <v>298.39999999999998</v>
      </c>
      <c r="G49" s="278">
        <v>299.3</v>
      </c>
      <c r="H49" s="278">
        <v>294.8</v>
      </c>
      <c r="I49" s="278">
        <v>297.8</v>
      </c>
      <c r="J49" s="278">
        <v>296.60000000000002</v>
      </c>
      <c r="K49" s="278">
        <v>297.89999999999998</v>
      </c>
      <c r="L49" s="278">
        <v>273.7</v>
      </c>
      <c r="M49" s="278">
        <v>273.2</v>
      </c>
      <c r="N49" s="278">
        <v>274.60000000000002</v>
      </c>
      <c r="O49" s="279">
        <v>277.10000000000002</v>
      </c>
      <c r="P49" s="318"/>
      <c r="Q49" s="321"/>
      <c r="R49" s="324"/>
      <c r="S49" s="316"/>
      <c r="AE49" s="254">
        <f>3229/2413</f>
        <v>1.3381682552838789</v>
      </c>
    </row>
    <row r="50" spans="1:31" ht="32.25" thickBot="1">
      <c r="A50" s="256"/>
      <c r="B50" s="280" t="s">
        <v>173</v>
      </c>
      <c r="C50" s="283">
        <f>(C48-C49)/28*63</f>
        <v>10.800000000000026</v>
      </c>
      <c r="D50" s="283">
        <f t="shared" ref="D50:O50" si="4">(D48-D49)/28*63</f>
        <v>12.600000000000051</v>
      </c>
      <c r="E50" s="283">
        <f t="shared" si="4"/>
        <v>10.800000000000026</v>
      </c>
      <c r="F50" s="283">
        <f t="shared" si="4"/>
        <v>11.700000000000102</v>
      </c>
      <c r="G50" s="283">
        <f t="shared" si="4"/>
        <v>7.6499999999999488</v>
      </c>
      <c r="H50" s="283">
        <f t="shared" si="4"/>
        <v>20.024999999999949</v>
      </c>
      <c r="I50" s="283">
        <f t="shared" si="4"/>
        <v>11.474999999999923</v>
      </c>
      <c r="J50" s="283">
        <f t="shared" si="4"/>
        <v>15.074999999999974</v>
      </c>
      <c r="K50" s="283">
        <f t="shared" si="4"/>
        <v>13.725000000000051</v>
      </c>
      <c r="L50" s="283">
        <f t="shared" si="4"/>
        <v>16.199999999999974</v>
      </c>
      <c r="M50" s="283">
        <f t="shared" si="4"/>
        <v>14.400000000000077</v>
      </c>
      <c r="N50" s="283">
        <f t="shared" si="4"/>
        <v>14.174999999999898</v>
      </c>
      <c r="O50" s="283">
        <f t="shared" si="4"/>
        <v>14.625</v>
      </c>
      <c r="P50" s="319"/>
      <c r="Q50" s="322"/>
      <c r="R50" s="325"/>
      <c r="S50" s="317"/>
      <c r="AE50" s="254">
        <f>3229/13.33</f>
        <v>242.23555888972243</v>
      </c>
    </row>
    <row r="51" spans="1:31" ht="16.5" thickTop="1">
      <c r="A51" s="256"/>
      <c r="J51" s="256"/>
    </row>
    <row r="52" spans="1:31">
      <c r="A52" s="256"/>
    </row>
    <row r="53" spans="1:31">
      <c r="A53" s="256"/>
      <c r="J53" s="256"/>
    </row>
    <row r="54" spans="1:31">
      <c r="A54" s="256"/>
      <c r="J54" s="256"/>
    </row>
    <row r="55" spans="1:31">
      <c r="A55" s="256"/>
    </row>
    <row r="56" spans="1:31">
      <c r="A56" s="256"/>
      <c r="J56" s="256"/>
    </row>
    <row r="57" spans="1:31">
      <c r="A57" s="256"/>
    </row>
    <row r="58" spans="1:31">
      <c r="A58" s="256"/>
    </row>
    <row r="59" spans="1:31">
      <c r="A59" s="256"/>
      <c r="J59" s="256"/>
    </row>
    <row r="60" spans="1:31">
      <c r="A60" s="256"/>
    </row>
    <row r="61" spans="1:31">
      <c r="A61" s="256"/>
      <c r="J61" s="256"/>
    </row>
    <row r="62" spans="1:31">
      <c r="A62" s="256"/>
      <c r="J62" s="256"/>
    </row>
    <row r="63" spans="1:31">
      <c r="A63" s="256"/>
      <c r="J63" s="256"/>
    </row>
    <row r="64" spans="1:31">
      <c r="A64" s="256"/>
      <c r="J64" s="256"/>
    </row>
    <row r="65" spans="1:10">
      <c r="A65" s="256"/>
      <c r="J65" s="256"/>
    </row>
    <row r="66" spans="1:10">
      <c r="A66" s="256"/>
    </row>
    <row r="67" spans="1:10">
      <c r="A67" s="256"/>
      <c r="J67" s="256"/>
    </row>
    <row r="68" spans="1:10">
      <c r="A68" s="256"/>
      <c r="J68" s="256"/>
    </row>
    <row r="69" spans="1:10">
      <c r="A69" s="256"/>
    </row>
    <row r="70" spans="1:10">
      <c r="A70" s="256"/>
    </row>
    <row r="71" spans="1:10">
      <c r="A71" s="256"/>
    </row>
    <row r="72" spans="1:10">
      <c r="A72" s="256"/>
    </row>
    <row r="73" spans="1:10">
      <c r="A73" s="256"/>
      <c r="J73" s="256"/>
    </row>
    <row r="74" spans="1:10">
      <c r="A74" s="256"/>
      <c r="J74" s="256"/>
    </row>
    <row r="75" spans="1:10">
      <c r="A75" s="256"/>
    </row>
    <row r="76" spans="1:10">
      <c r="A76" s="256"/>
      <c r="J76" s="256"/>
    </row>
    <row r="77" spans="1:10">
      <c r="A77" s="256"/>
      <c r="J77" s="256"/>
    </row>
    <row r="78" spans="1:10">
      <c r="A78" s="256"/>
    </row>
    <row r="79" spans="1:10">
      <c r="A79" s="256"/>
    </row>
    <row r="80" spans="1:10">
      <c r="A80" s="256"/>
    </row>
    <row r="81" spans="1:1">
      <c r="A81" s="256"/>
    </row>
    <row r="82" spans="1:1">
      <c r="A82" s="256"/>
    </row>
    <row r="83" spans="1:1">
      <c r="A83" s="256"/>
    </row>
    <row r="84" spans="1:1">
      <c r="A84" s="256"/>
    </row>
    <row r="85" spans="1:1">
      <c r="A85" s="256"/>
    </row>
    <row r="86" spans="1:1">
      <c r="A86" s="256"/>
    </row>
    <row r="87" spans="1:1">
      <c r="A87" s="256"/>
    </row>
    <row r="88" spans="1:1">
      <c r="A88" s="256"/>
    </row>
    <row r="89" spans="1:1">
      <c r="A89" s="256"/>
    </row>
    <row r="90" spans="1:1">
      <c r="A90" s="256"/>
    </row>
    <row r="91" spans="1:1">
      <c r="A91" s="256"/>
    </row>
    <row r="92" spans="1:1">
      <c r="A92" s="256"/>
    </row>
    <row r="93" spans="1:1">
      <c r="A93" s="256"/>
    </row>
    <row r="94" spans="1:1">
      <c r="A94" s="256"/>
    </row>
    <row r="95" spans="1:1">
      <c r="A95" s="256"/>
    </row>
    <row r="96" spans="1:1">
      <c r="A96" s="256"/>
    </row>
    <row r="97" spans="1:1">
      <c r="A97" s="256"/>
    </row>
    <row r="98" spans="1:1">
      <c r="A98" s="256"/>
    </row>
    <row r="99" spans="1:1">
      <c r="A99" s="256"/>
    </row>
    <row r="100" spans="1:1">
      <c r="A100" s="256"/>
    </row>
    <row r="101" spans="1:1">
      <c r="A101" s="256"/>
    </row>
    <row r="102" spans="1:1">
      <c r="A102" s="256"/>
    </row>
    <row r="103" spans="1:1">
      <c r="A103" s="256"/>
    </row>
    <row r="104" spans="1:1">
      <c r="A104" s="256"/>
    </row>
    <row r="105" spans="1:1">
      <c r="A105" s="256"/>
    </row>
    <row r="106" spans="1:1">
      <c r="A106" s="256"/>
    </row>
    <row r="107" spans="1:1">
      <c r="A107" s="256"/>
    </row>
    <row r="108" spans="1:1">
      <c r="A108" s="256"/>
    </row>
    <row r="109" spans="1:1">
      <c r="A109" s="256"/>
    </row>
    <row r="110" spans="1:1">
      <c r="A110" s="256"/>
    </row>
    <row r="111" spans="1:1">
      <c r="A111" s="256"/>
    </row>
    <row r="112" spans="1:1">
      <c r="A112" s="256"/>
    </row>
    <row r="113" spans="1:1">
      <c r="A113" s="256"/>
    </row>
    <row r="114" spans="1:1">
      <c r="A114" s="256"/>
    </row>
    <row r="115" spans="1:1">
      <c r="A115" s="256"/>
    </row>
    <row r="116" spans="1:1">
      <c r="A116" s="256"/>
    </row>
    <row r="117" spans="1:1">
      <c r="A117" s="256"/>
    </row>
    <row r="118" spans="1:1">
      <c r="A118" s="256"/>
    </row>
    <row r="119" spans="1:1">
      <c r="A119" s="256"/>
    </row>
    <row r="120" spans="1:1">
      <c r="A120" s="256"/>
    </row>
    <row r="121" spans="1:1">
      <c r="A121" s="256"/>
    </row>
    <row r="122" spans="1:1">
      <c r="A122" s="256"/>
    </row>
    <row r="123" spans="1:1">
      <c r="A123" s="256"/>
    </row>
    <row r="124" spans="1:1">
      <c r="A124" s="256"/>
    </row>
    <row r="125" spans="1:1">
      <c r="A125" s="256"/>
    </row>
    <row r="126" spans="1:1">
      <c r="A126" s="256"/>
    </row>
    <row r="127" spans="1:1">
      <c r="A127" s="256"/>
    </row>
    <row r="128" spans="1:1">
      <c r="A128" s="256"/>
    </row>
    <row r="129" spans="1:1">
      <c r="A129" s="256"/>
    </row>
    <row r="130" spans="1:1">
      <c r="A130" s="256"/>
    </row>
    <row r="131" spans="1:1">
      <c r="A131" s="256"/>
    </row>
    <row r="132" spans="1:1">
      <c r="A132" s="256"/>
    </row>
    <row r="133" spans="1:1">
      <c r="A133" s="256"/>
    </row>
    <row r="134" spans="1:1">
      <c r="A134" s="256"/>
    </row>
    <row r="135" spans="1:1">
      <c r="A135" s="256"/>
    </row>
    <row r="136" spans="1:1">
      <c r="A136" s="256"/>
    </row>
    <row r="137" spans="1:1">
      <c r="A137" s="256"/>
    </row>
    <row r="138" spans="1:1">
      <c r="A138" s="256"/>
    </row>
    <row r="139" spans="1:1">
      <c r="A139" s="256"/>
    </row>
    <row r="140" spans="1:1">
      <c r="A140" s="256"/>
    </row>
    <row r="141" spans="1:1">
      <c r="A141" s="256"/>
    </row>
    <row r="142" spans="1:1">
      <c r="A142" s="256"/>
    </row>
    <row r="143" spans="1:1">
      <c r="A143" s="256"/>
    </row>
    <row r="144" spans="1:1">
      <c r="A144" s="256"/>
    </row>
    <row r="145" spans="1:1">
      <c r="A145" s="256"/>
    </row>
    <row r="146" spans="1:1">
      <c r="A146" s="256"/>
    </row>
    <row r="147" spans="1:1">
      <c r="A147" s="256"/>
    </row>
    <row r="148" spans="1:1">
      <c r="A148" s="256"/>
    </row>
    <row r="149" spans="1:1">
      <c r="A149" s="256"/>
    </row>
    <row r="150" spans="1:1">
      <c r="A150" s="256"/>
    </row>
    <row r="151" spans="1:1">
      <c r="A151" s="256"/>
    </row>
    <row r="152" spans="1:1">
      <c r="A152" s="256"/>
    </row>
    <row r="153" spans="1:1">
      <c r="A153" s="256"/>
    </row>
    <row r="154" spans="1:1">
      <c r="A154" s="256"/>
    </row>
    <row r="155" spans="1:1">
      <c r="A155" s="256"/>
    </row>
    <row r="156" spans="1:1">
      <c r="A156" s="256"/>
    </row>
    <row r="157" spans="1:1">
      <c r="A157" s="256"/>
    </row>
    <row r="158" spans="1:1">
      <c r="A158" s="256"/>
    </row>
    <row r="159" spans="1:1">
      <c r="A159" s="256"/>
    </row>
    <row r="160" spans="1:1">
      <c r="A160" s="256"/>
    </row>
    <row r="161" spans="1:1">
      <c r="A161" s="256"/>
    </row>
    <row r="162" spans="1:1">
      <c r="A162" s="256"/>
    </row>
    <row r="163" spans="1:1">
      <c r="A163" s="256"/>
    </row>
    <row r="164" spans="1:1">
      <c r="A164" s="256"/>
    </row>
    <row r="165" spans="1:1">
      <c r="A165" s="256"/>
    </row>
    <row r="166" spans="1:1">
      <c r="A166" s="256"/>
    </row>
    <row r="167" spans="1:1">
      <c r="A167" s="256"/>
    </row>
    <row r="168" spans="1:1">
      <c r="A168" s="256"/>
    </row>
    <row r="169" spans="1:1">
      <c r="A169" s="256"/>
    </row>
    <row r="170" spans="1:1">
      <c r="A170" s="256"/>
    </row>
    <row r="171" spans="1:1">
      <c r="A171" s="256"/>
    </row>
    <row r="172" spans="1:1">
      <c r="A172" s="256"/>
    </row>
  </sheetData>
  <mergeCells count="52">
    <mergeCell ref="B39:AI39"/>
    <mergeCell ref="B23:AI23"/>
    <mergeCell ref="B24:AI24"/>
    <mergeCell ref="C46:O46"/>
    <mergeCell ref="P46:R46"/>
    <mergeCell ref="S46:S47"/>
    <mergeCell ref="AF40:AH40"/>
    <mergeCell ref="AI40:AI41"/>
    <mergeCell ref="AF42:AF44"/>
    <mergeCell ref="AG42:AG44"/>
    <mergeCell ref="AH42:AH44"/>
    <mergeCell ref="AI42:AI44"/>
    <mergeCell ref="AF27:AF29"/>
    <mergeCell ref="AG27:AG29"/>
    <mergeCell ref="AH27:AH29"/>
    <mergeCell ref="AI27:AI29"/>
    <mergeCell ref="P48:P50"/>
    <mergeCell ref="Q48:Q50"/>
    <mergeCell ref="R48:R50"/>
    <mergeCell ref="S48:S50"/>
    <mergeCell ref="C40:AE40"/>
    <mergeCell ref="C3:AE3"/>
    <mergeCell ref="C10:AE10"/>
    <mergeCell ref="C17:AE17"/>
    <mergeCell ref="C25:AE25"/>
    <mergeCell ref="AF17:AH17"/>
    <mergeCell ref="AF25:AH25"/>
    <mergeCell ref="AF3:AH3"/>
    <mergeCell ref="AF10:AH10"/>
    <mergeCell ref="AI25:AI26"/>
    <mergeCell ref="AF12:AF14"/>
    <mergeCell ref="AG12:AG14"/>
    <mergeCell ref="AH12:AH14"/>
    <mergeCell ref="AI12:AI14"/>
    <mergeCell ref="AI17:AI18"/>
    <mergeCell ref="AF19:AF21"/>
    <mergeCell ref="AG19:AG21"/>
    <mergeCell ref="AH19:AH21"/>
    <mergeCell ref="AI19:AI21"/>
    <mergeCell ref="AI3:AI4"/>
    <mergeCell ref="AI10:AI11"/>
    <mergeCell ref="AF5:AF7"/>
    <mergeCell ref="AG5:AG7"/>
    <mergeCell ref="AH5:AH7"/>
    <mergeCell ref="AI5:AI7"/>
    <mergeCell ref="C32:AE32"/>
    <mergeCell ref="AF32:AH32"/>
    <mergeCell ref="AI32:AI33"/>
    <mergeCell ref="AF34:AF36"/>
    <mergeCell ref="AG34:AG36"/>
    <mergeCell ref="AH34:AH36"/>
    <mergeCell ref="AI34:AI3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REOX1B-WSA</vt:lpstr>
      <vt:lpstr>REOX1B-CP</vt:lpstr>
      <vt:lpstr>REOX1B-ER</vt:lpstr>
      <vt:lpstr>RUN_code</vt:lpstr>
      <vt:lpstr>CL calculation sheet</vt:lpstr>
      <vt:lpstr>METAL BARC ER Exp</vt:lpstr>
      <vt:lpstr>_xlwings.conf</vt:lpstr>
      <vt:lpstr>'REOX1B-WSA'!Print_Area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2021-01-08T13:17:29Z</dcterms:modified>
</cp:coreProperties>
</file>